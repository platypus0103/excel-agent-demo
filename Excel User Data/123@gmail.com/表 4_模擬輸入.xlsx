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303" yWindow="-660" windowWidth="21795" windowHeight="13695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"/>
    <numFmt numFmtId="165" formatCode="#,##0.00%"/>
    <numFmt numFmtId="166" formatCode="0.00_);[Red]\(0.00\)"/>
    <numFmt numFmtId="167" formatCode="0_);[Red]\(0\)"/>
    <numFmt numFmtId="168" formatCode="&quot;$&quot;#,##0.00_);[Red]\(&quot;$&quot;#,##0.00\)"/>
    <numFmt numFmtId="169" formatCode="&quot;$&quot;#,##0_);[Red]\(&quot;$&quot;#,##0\)"/>
    <numFmt numFmtId="170" formatCode="0.00000%"/>
    <numFmt numFmtId="171" formatCode="_-&quot;$&quot;* #,##0_-;\-&quot;$&quot;* #,##0_-;_-&quot;$&quot;* &quot;-&quot;??_-;_-@_-"/>
    <numFmt numFmtId="172" formatCode="0.0000%"/>
    <numFmt numFmtId="173" formatCode="0.000%"/>
  </numFmts>
  <fonts count="34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新細明體"/>
      <family val="2"/>
      <color theme="0" tint="-0.1499984740745262"/>
      <sz val="11"/>
      <scheme val="minor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3" applyAlignment="1" pivotButton="0" quotePrefix="0" xfId="0">
      <alignment horizontal="center"/>
    </xf>
    <xf numFmtId="0" fontId="10" fillId="6" borderId="13" applyAlignment="1" pivotButton="0" quotePrefix="0" xfId="0">
      <alignment horizontal="center"/>
    </xf>
    <xf numFmtId="4" fontId="11" fillId="0" borderId="15" applyAlignment="1" pivotButton="0" quotePrefix="0" xfId="0">
      <alignment horizontal="right"/>
    </xf>
    <xf numFmtId="3" fontId="12" fillId="0" borderId="16" applyAlignment="1" pivotButton="0" quotePrefix="0" xfId="0">
      <alignment horizontal="left"/>
    </xf>
    <xf numFmtId="3" fontId="12" fillId="0" borderId="17" applyAlignment="1" pivotButton="0" quotePrefix="0" xfId="0">
      <alignment horizontal="left"/>
    </xf>
    <xf numFmtId="3" fontId="13" fillId="7" borderId="18" applyAlignment="1" pivotButton="0" quotePrefix="0" xfId="0">
      <alignment horizontal="left"/>
    </xf>
    <xf numFmtId="3" fontId="9" fillId="0" borderId="17" applyAlignment="1" pivotButton="0" quotePrefix="0" xfId="0">
      <alignment horizontal="left"/>
    </xf>
    <xf numFmtId="3" fontId="9" fillId="8" borderId="18" applyAlignment="1" pivotButton="0" quotePrefix="0" xfId="0">
      <alignment horizontal="center"/>
    </xf>
    <xf numFmtId="0" fontId="9" fillId="0" borderId="19" applyAlignment="1" pivotButton="0" quotePrefix="0" xfId="0">
      <alignment horizontal="left"/>
    </xf>
    <xf numFmtId="4" fontId="14" fillId="0" borderId="20" applyAlignment="1" pivotButton="0" quotePrefix="0" xfId="0">
      <alignment horizontal="right"/>
    </xf>
    <xf numFmtId="3" fontId="14" fillId="0" borderId="14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/>
    </xf>
    <xf numFmtId="4" fontId="16" fillId="0" borderId="22" applyAlignment="1" pivotButton="0" quotePrefix="0" xfId="0">
      <alignment horizontal="right"/>
    </xf>
    <xf numFmtId="3" fontId="14" fillId="5" borderId="23" applyAlignment="1" pivotButton="0" quotePrefix="0" xfId="0">
      <alignment horizontal="center"/>
    </xf>
    <xf numFmtId="4" fontId="16" fillId="9" borderId="24" applyAlignment="1" pivotButton="0" quotePrefix="0" xfId="0">
      <alignment horizontal="left"/>
    </xf>
    <xf numFmtId="3" fontId="14" fillId="0" borderId="16" applyAlignment="1" pivotButton="0" quotePrefix="0" xfId="0">
      <alignment horizontal="center"/>
    </xf>
    <xf numFmtId="3" fontId="14" fillId="0" borderId="17" applyAlignment="1" pivotButton="0" quotePrefix="0" xfId="0">
      <alignment horizontal="center"/>
    </xf>
    <xf numFmtId="3" fontId="14" fillId="0" borderId="19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21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7" applyAlignment="1" pivotButton="0" quotePrefix="0" xfId="0">
      <alignment horizontal="center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4" fontId="16" fillId="10" borderId="25" applyAlignment="1" pivotButton="0" quotePrefix="0" xfId="0">
      <alignment horizontal="left"/>
    </xf>
    <xf numFmtId="3" fontId="14" fillId="7" borderId="13" applyAlignment="1" pivotButton="0" quotePrefix="0" xfId="0">
      <alignment horizontal="center"/>
    </xf>
    <xf numFmtId="3" fontId="9" fillId="0" borderId="14" applyAlignment="1" pivotButton="0" quotePrefix="0" xfId="0">
      <alignment horizontal="left"/>
    </xf>
    <xf numFmtId="3" fontId="9" fillId="0" borderId="30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5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5" applyAlignment="1" pivotButton="0" quotePrefix="0" xfId="0">
      <alignment horizontal="right"/>
    </xf>
    <xf numFmtId="0" fontId="9" fillId="0" borderId="21" applyAlignment="1" pivotButton="0" quotePrefix="0" xfId="0">
      <alignment horizontal="center"/>
    </xf>
    <xf numFmtId="4" fontId="17" fillId="0" borderId="15" applyAlignment="1" pivotButton="0" quotePrefix="0" xfId="0">
      <alignment horizontal="right"/>
    </xf>
    <xf numFmtId="3" fontId="18" fillId="0" borderId="17" applyAlignment="1" pivotButton="0" quotePrefix="0" xfId="0">
      <alignment horizontal="center"/>
    </xf>
    <xf numFmtId="3" fontId="18" fillId="0" borderId="31" applyAlignment="1" pivotButton="0" quotePrefix="0" xfId="0">
      <alignment horizontal="center"/>
    </xf>
    <xf numFmtId="3" fontId="18" fillId="0" borderId="19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2" applyAlignment="1" pivotButton="0" quotePrefix="0" xfId="0">
      <alignment horizontal="right"/>
    </xf>
    <xf numFmtId="3" fontId="21" fillId="0" borderId="27" applyAlignment="1" pivotButton="0" quotePrefix="0" xfId="0">
      <alignment horizontal="center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4" fontId="23" fillId="0" borderId="22" applyAlignment="1" pivotButton="0" quotePrefix="0" xfId="0">
      <alignment horizontal="right"/>
    </xf>
    <xf numFmtId="3" fontId="22" fillId="0" borderId="27" applyAlignment="1" pivotButton="0" quotePrefix="0" xfId="0">
      <alignment horizontal="center"/>
    </xf>
    <xf numFmtId="3" fontId="21" fillId="0" borderId="33" applyAlignment="1" pivotButton="0" quotePrefix="0" xfId="0">
      <alignment horizontal="center"/>
    </xf>
    <xf numFmtId="4" fontId="21" fillId="0" borderId="34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3" applyAlignment="1" pivotButton="0" quotePrefix="0" xfId="0">
      <alignment horizontal="left"/>
    </xf>
    <xf numFmtId="3" fontId="10" fillId="11" borderId="13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3" applyAlignment="1" pivotButton="0" quotePrefix="0" xfId="0">
      <alignment horizontal="left"/>
    </xf>
    <xf numFmtId="3" fontId="8" fillId="0" borderId="32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5" applyAlignment="1" pivotButton="0" quotePrefix="0" xfId="0">
      <alignment horizontal="left"/>
    </xf>
    <xf numFmtId="3" fontId="8" fillId="0" borderId="35" applyAlignment="1" pivotButton="0" quotePrefix="0" xfId="0">
      <alignment horizontal="right"/>
    </xf>
    <xf numFmtId="3" fontId="8" fillId="0" borderId="35" applyAlignment="1" pivotButton="0" quotePrefix="0" xfId="0">
      <alignment horizontal="left"/>
    </xf>
    <xf numFmtId="3" fontId="8" fillId="13" borderId="13" applyAlignment="1" pivotButton="0" quotePrefix="0" xfId="0">
      <alignment horizontal="left"/>
    </xf>
    <xf numFmtId="4" fontId="8" fillId="0" borderId="36" applyAlignment="1" pivotButton="0" quotePrefix="0" xfId="0">
      <alignment horizontal="left"/>
    </xf>
    <xf numFmtId="3" fontId="8" fillId="0" borderId="36" applyAlignment="1" pivotButton="0" quotePrefix="0" xfId="0">
      <alignment horizontal="right"/>
    </xf>
    <xf numFmtId="3" fontId="8" fillId="0" borderId="36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2" applyAlignment="1" pivotButton="0" quotePrefix="0" xfId="0">
      <alignment horizontal="left"/>
    </xf>
    <xf numFmtId="3" fontId="8" fillId="0" borderId="32" applyAlignment="1" pivotButton="0" quotePrefix="0" xfId="0">
      <alignment horizontal="right"/>
    </xf>
    <xf numFmtId="3" fontId="8" fillId="5" borderId="37" applyAlignment="1" pivotButton="0" quotePrefix="0" xfId="0">
      <alignment horizontal="left"/>
    </xf>
    <xf numFmtId="3" fontId="8" fillId="7" borderId="13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4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3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38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38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5" fillId="14" borderId="41" applyAlignment="1" pivotButton="0" quotePrefix="0" xfId="0">
      <alignment horizontal="center"/>
    </xf>
    <xf numFmtId="0" fontId="0" fillId="0" borderId="33" pivotButton="0" quotePrefix="0" xfId="0"/>
    <xf numFmtId="0" fontId="0" fillId="0" borderId="42" pivotButton="0" quotePrefix="0" xfId="0"/>
    <xf numFmtId="166" fontId="26" fillId="0" borderId="0" pivotButton="0" quotePrefix="0" xfId="0"/>
    <xf numFmtId="166" fontId="8" fillId="0" borderId="43" applyAlignment="1" pivotButton="0" quotePrefix="0" xfId="0">
      <alignment horizontal="left"/>
    </xf>
    <xf numFmtId="166" fontId="27" fillId="0" borderId="43" applyAlignment="1" pivotButton="0" quotePrefix="0" xfId="0">
      <alignment horizontal="left"/>
    </xf>
    <xf numFmtId="166" fontId="27" fillId="0" borderId="43" applyAlignment="1" pivotButton="0" quotePrefix="0" xfId="0">
      <alignment horizontal="center"/>
    </xf>
    <xf numFmtId="166" fontId="8" fillId="0" borderId="44" applyAlignment="1" pivotButton="0" quotePrefix="0" xfId="0">
      <alignment horizontal="left"/>
    </xf>
    <xf numFmtId="166" fontId="27" fillId="0" borderId="44" applyAlignment="1" pivotButton="0" quotePrefix="0" xfId="0">
      <alignment horizontal="left"/>
    </xf>
    <xf numFmtId="166" fontId="27" fillId="0" borderId="44" applyAlignment="1" pivotButton="0" quotePrefix="0" xfId="0">
      <alignment horizontal="center"/>
    </xf>
    <xf numFmtId="166" fontId="27" fillId="0" borderId="0" applyAlignment="1" pivotButton="0" quotePrefix="0" xfId="0">
      <alignment horizontal="left"/>
    </xf>
    <xf numFmtId="166" fontId="28" fillId="14" borderId="41" applyAlignment="1" pivotButton="0" quotePrefix="0" xfId="0">
      <alignment horizontal="center"/>
    </xf>
    <xf numFmtId="166" fontId="27" fillId="15" borderId="45" applyAlignment="1" pivotButton="0" quotePrefix="0" xfId="0">
      <alignment horizontal="center"/>
    </xf>
    <xf numFmtId="0" fontId="0" fillId="0" borderId="46" pivotButton="0" quotePrefix="0" xfId="0"/>
    <xf numFmtId="0" fontId="0" fillId="0" borderId="47" pivotButton="0" quotePrefix="0" xfId="0"/>
    <xf numFmtId="166" fontId="27" fillId="0" borderId="48" applyAlignment="1" pivotButton="0" quotePrefix="0" xfId="0">
      <alignment horizontal="left"/>
    </xf>
    <xf numFmtId="166" fontId="27" fillId="0" borderId="49" applyAlignment="1" pivotButton="0" quotePrefix="0" xfId="0">
      <alignment horizontal="left"/>
    </xf>
    <xf numFmtId="166" fontId="8" fillId="0" borderId="50" applyAlignment="1" pivotButton="0" quotePrefix="0" xfId="0">
      <alignment horizontal="left"/>
    </xf>
    <xf numFmtId="166" fontId="27" fillId="0" borderId="14" applyAlignment="1" pivotButton="0" quotePrefix="0" xfId="0">
      <alignment horizontal="left" vertical="top"/>
    </xf>
    <xf numFmtId="0" fontId="0" fillId="0" borderId="14" pivotButton="0" quotePrefix="0" xfId="0"/>
    <xf numFmtId="166" fontId="27" fillId="0" borderId="51" applyAlignment="1" pivotButton="0" quotePrefix="0" xfId="0">
      <alignment horizontal="left"/>
    </xf>
    <xf numFmtId="166" fontId="27" fillId="16" borderId="41" applyAlignment="1" pivotButton="0" quotePrefix="0" xfId="0">
      <alignment horizontal="center"/>
    </xf>
    <xf numFmtId="166" fontId="27" fillId="0" borderId="50" applyAlignment="1" pivotButton="0" quotePrefix="0" xfId="0">
      <alignment horizontal="left"/>
    </xf>
    <xf numFmtId="166" fontId="27" fillId="0" borderId="43" applyAlignment="1" pivotButton="0" quotePrefix="0" xfId="0">
      <alignment horizontal="left" vertical="top"/>
    </xf>
    <xf numFmtId="166" fontId="27" fillId="0" borderId="43" applyAlignment="1" pivotButton="0" quotePrefix="0" xfId="0">
      <alignment horizontal="center" vertical="top"/>
    </xf>
    <xf numFmtId="0" fontId="0" fillId="0" borderId="43" pivotButton="0" quotePrefix="0" xfId="0"/>
    <xf numFmtId="166" fontId="27" fillId="0" borderId="44" applyAlignment="1" pivotButton="0" quotePrefix="0" xfId="0">
      <alignment horizontal="left" vertical="top"/>
    </xf>
    <xf numFmtId="166" fontId="8" fillId="0" borderId="44" applyAlignment="1" pivotButton="0" quotePrefix="0" xfId="0">
      <alignment horizontal="left" wrapText="1"/>
    </xf>
    <xf numFmtId="166" fontId="29" fillId="0" borderId="0" applyAlignment="1" pivotButton="0" quotePrefix="0" xfId="0">
      <alignment horizontal="left"/>
    </xf>
    <xf numFmtId="166" fontId="11" fillId="0" borderId="15" applyAlignment="1" pivotButton="0" quotePrefix="0" xfId="0">
      <alignment horizontal="right"/>
    </xf>
    <xf numFmtId="166" fontId="12" fillId="0" borderId="16" applyAlignment="1" pivotButton="0" quotePrefix="0" xfId="0">
      <alignment horizontal="left"/>
    </xf>
    <xf numFmtId="166" fontId="12" fillId="0" borderId="17" applyAlignment="1" pivotButton="0" quotePrefix="0" xfId="0">
      <alignment horizontal="left"/>
    </xf>
    <xf numFmtId="166" fontId="13" fillId="0" borderId="18" applyAlignment="1" pivotButton="0" quotePrefix="0" xfId="0">
      <alignment horizontal="left"/>
    </xf>
    <xf numFmtId="166" fontId="9" fillId="0" borderId="17" applyAlignment="1" pivotButton="0" quotePrefix="0" xfId="0">
      <alignment horizontal="left"/>
    </xf>
    <xf numFmtId="166" fontId="9" fillId="0" borderId="18" applyAlignment="1" pivotButton="0" quotePrefix="0" xfId="0">
      <alignment horizontal="center"/>
    </xf>
    <xf numFmtId="166" fontId="9" fillId="0" borderId="19" applyAlignment="1" pivotButton="0" quotePrefix="0" xfId="0">
      <alignment horizontal="left"/>
    </xf>
    <xf numFmtId="0" fontId="14" fillId="0" borderId="20" applyAlignment="1" pivotButton="0" quotePrefix="0" xfId="0">
      <alignment horizontal="right"/>
    </xf>
    <xf numFmtId="0" fontId="14" fillId="0" borderId="14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166" fontId="16" fillId="0" borderId="22" applyAlignment="1" pivotButton="0" quotePrefix="0" xfId="0">
      <alignment horizontal="right"/>
    </xf>
    <xf numFmtId="166" fontId="14" fillId="0" borderId="14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6" fontId="14" fillId="5" borderId="23" applyAlignment="1" pivotButton="0" quotePrefix="0" xfId="0">
      <alignment horizontal="center"/>
    </xf>
    <xf numFmtId="168" fontId="16" fillId="9" borderId="24" applyAlignment="1" pivotButton="0" quotePrefix="0" xfId="0">
      <alignment horizontal="left"/>
    </xf>
    <xf numFmtId="168" fontId="14" fillId="0" borderId="16" applyAlignment="1" pivotButton="0" quotePrefix="0" xfId="0">
      <alignment horizontal="center"/>
    </xf>
    <xf numFmtId="169" fontId="14" fillId="0" borderId="17" applyAlignment="1" pivotButton="0" quotePrefix="0" xfId="0">
      <alignment horizontal="center"/>
    </xf>
    <xf numFmtId="168" fontId="14" fillId="0" borderId="19" applyAlignment="1" pivotButton="0" quotePrefix="0" xfId="0">
      <alignment horizontal="center"/>
    </xf>
    <xf numFmtId="168" fontId="16" fillId="9" borderId="25" applyAlignment="1" pivotButton="0" quotePrefix="0" xfId="0">
      <alignment horizontal="left"/>
    </xf>
    <xf numFmtId="168" fontId="14" fillId="0" borderId="14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8" fontId="14" fillId="0" borderId="21" applyAlignment="1" pivotButton="0" quotePrefix="0" xfId="0">
      <alignment horizontal="center"/>
    </xf>
    <xf numFmtId="168" fontId="16" fillId="9" borderId="26" applyAlignment="1" pivotButton="0" quotePrefix="0" xfId="0">
      <alignment horizontal="left"/>
    </xf>
    <xf numFmtId="168" fontId="14" fillId="0" borderId="27" applyAlignment="1" pivotButton="0" quotePrefix="0" xfId="0">
      <alignment horizontal="center"/>
    </xf>
    <xf numFmtId="168" fontId="14" fillId="0" borderId="28" applyAlignment="1" pivotButton="0" quotePrefix="0" xfId="0">
      <alignment horizontal="center"/>
    </xf>
    <xf numFmtId="168" fontId="14" fillId="0" borderId="29" applyAlignment="1" pivotButton="0" quotePrefix="0" xfId="0">
      <alignment horizontal="center"/>
    </xf>
    <xf numFmtId="168" fontId="16" fillId="10" borderId="25" applyAlignment="1" pivotButton="0" quotePrefix="0" xfId="0">
      <alignment horizontal="left"/>
    </xf>
    <xf numFmtId="169" fontId="14" fillId="0" borderId="14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8" fontId="9" fillId="0" borderId="14" applyAlignment="1" pivotButton="0" quotePrefix="0" xfId="0">
      <alignment horizontal="left"/>
    </xf>
    <xf numFmtId="168" fontId="17" fillId="10" borderId="25" applyAlignment="1" pivotButton="0" quotePrefix="0" xfId="0">
      <alignment horizontal="left"/>
    </xf>
    <xf numFmtId="168" fontId="31" fillId="0" borderId="15" applyAlignment="1" pivotButton="0" quotePrefix="0" xfId="0">
      <alignment horizontal="right"/>
    </xf>
    <xf numFmtId="169" fontId="21" fillId="0" borderId="27" applyAlignment="1" pivotButton="0" quotePrefix="0" xfId="0">
      <alignment horizontal="center"/>
    </xf>
    <xf numFmtId="169" fontId="18" fillId="0" borderId="31" applyAlignment="1" pivotButton="0" quotePrefix="0" xfId="0">
      <alignment horizontal="center"/>
    </xf>
    <xf numFmtId="168" fontId="18" fillId="0" borderId="31" applyAlignment="1" pivotButton="0" quotePrefix="0" xfId="0">
      <alignment horizontal="center"/>
    </xf>
    <xf numFmtId="168" fontId="19" fillId="0" borderId="0" applyAlignment="1" pivotButton="0" quotePrefix="0" xfId="0">
      <alignment horizontal="left"/>
    </xf>
    <xf numFmtId="168" fontId="19" fillId="0" borderId="0" applyAlignment="1" pivotButton="0" quotePrefix="0" xfId="0">
      <alignment horizontal="right"/>
    </xf>
    <xf numFmtId="168" fontId="20" fillId="0" borderId="22" applyAlignment="1" pivotButton="0" quotePrefix="0" xfId="0">
      <alignment horizontal="right"/>
    </xf>
    <xf numFmtId="169" fontId="21" fillId="0" borderId="28" applyAlignment="1" pivotButton="0" quotePrefix="0" xfId="0">
      <alignment horizontal="center"/>
    </xf>
    <xf numFmtId="168" fontId="23" fillId="0" borderId="22" applyAlignment="1" pivotButton="0" quotePrefix="0" xfId="0">
      <alignment horizontal="right"/>
    </xf>
    <xf numFmtId="168" fontId="22" fillId="0" borderId="27" applyAlignment="1" pivotButton="0" quotePrefix="0" xfId="0">
      <alignment horizontal="center"/>
    </xf>
    <xf numFmtId="169" fontId="21" fillId="0" borderId="33" applyAlignment="1" pivotButton="0" quotePrefix="0" xfId="0">
      <alignment horizontal="center"/>
    </xf>
    <xf numFmtId="168" fontId="21" fillId="0" borderId="33" applyAlignment="1" pivotButton="0" quotePrefix="0" xfId="0">
      <alignment horizontal="center"/>
    </xf>
    <xf numFmtId="166" fontId="32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8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9" fontId="14" fillId="7" borderId="13" applyAlignment="1" pivotButton="0" quotePrefix="0" xfId="0">
      <alignment horizontal="center"/>
    </xf>
    <xf numFmtId="168" fontId="9" fillId="0" borderId="30" applyAlignment="1" pivotButton="0" quotePrefix="0" xfId="0">
      <alignment horizontal="left"/>
    </xf>
    <xf numFmtId="168" fontId="9" fillId="0" borderId="0" applyAlignment="1" pivotButton="0" quotePrefix="0" xfId="0">
      <alignment horizontal="left"/>
    </xf>
    <xf numFmtId="168" fontId="18" fillId="0" borderId="17" applyAlignment="1" pivotButton="0" quotePrefix="0" xfId="0">
      <alignment horizontal="center"/>
    </xf>
    <xf numFmtId="168" fontId="33" fillId="0" borderId="0" applyAlignment="1" pivotButton="0" quotePrefix="0" xfId="0">
      <alignment horizontal="right"/>
    </xf>
    <xf numFmtId="168" fontId="21" fillId="0" borderId="27" applyAlignment="1" pivotButton="0" quotePrefix="0" xfId="0">
      <alignment horizontal="center"/>
    </xf>
    <xf numFmtId="168" fontId="21" fillId="0" borderId="28" applyAlignment="1" pivotButton="0" quotePrefix="0" xfId="0">
      <alignment horizontal="center"/>
    </xf>
    <xf numFmtId="168" fontId="21" fillId="0" borderId="29" applyAlignment="1" pivotButton="0" quotePrefix="0" xfId="0">
      <alignment horizontal="center"/>
    </xf>
    <xf numFmtId="166" fontId="23" fillId="0" borderId="22" applyAlignment="1" pivotButton="0" quotePrefix="0" xfId="0">
      <alignment horizontal="right"/>
    </xf>
    <xf numFmtId="166" fontId="22" fillId="0" borderId="27" applyAlignment="1" pivotButton="0" quotePrefix="0" xfId="0">
      <alignment horizontal="center"/>
    </xf>
    <xf numFmtId="166" fontId="21" fillId="0" borderId="33" applyAlignment="1" pivotButton="0" quotePrefix="0" xfId="0">
      <alignment horizontal="center"/>
    </xf>
    <xf numFmtId="166" fontId="21" fillId="0" borderId="34" applyAlignment="1" pivotButton="0" quotePrefix="0" xfId="0">
      <alignment horizontal="center"/>
    </xf>
    <xf numFmtId="0" fontId="10" fillId="11" borderId="13" applyAlignment="1" pivotButton="0" quotePrefix="0" xfId="0">
      <alignment horizontal="left"/>
    </xf>
    <xf numFmtId="0" fontId="10" fillId="11" borderId="13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left"/>
    </xf>
    <xf numFmtId="169" fontId="8" fillId="0" borderId="0" applyAlignment="1" pivotButton="0" quotePrefix="0" xfId="0">
      <alignment horizontal="center"/>
    </xf>
    <xf numFmtId="169" fontId="8" fillId="12" borderId="13" applyAlignment="1" pivotButton="0" quotePrefix="0" xfId="0">
      <alignment horizontal="center"/>
    </xf>
    <xf numFmtId="169" fontId="8" fillId="0" borderId="13" applyAlignment="1" pivotButton="0" quotePrefix="0" xfId="0">
      <alignment horizontal="center"/>
    </xf>
    <xf numFmtId="169" fontId="8" fillId="0" borderId="32" applyAlignment="1" pivotButton="0" quotePrefix="0" xfId="0">
      <alignment horizontal="center"/>
    </xf>
    <xf numFmtId="168" fontId="16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left"/>
    </xf>
    <xf numFmtId="168" fontId="8" fillId="0" borderId="35" applyAlignment="1" pivotButton="0" quotePrefix="0" xfId="0">
      <alignment horizontal="left"/>
    </xf>
    <xf numFmtId="168" fontId="8" fillId="0" borderId="35" applyAlignment="1" pivotButton="0" quotePrefix="0" xfId="0">
      <alignment horizontal="right"/>
    </xf>
    <xf numFmtId="169" fontId="8" fillId="0" borderId="35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left"/>
    </xf>
    <xf numFmtId="167" fontId="8" fillId="13" borderId="13" applyAlignment="1" pivotButton="0" quotePrefix="0" xfId="0">
      <alignment horizontal="center"/>
    </xf>
    <xf numFmtId="168" fontId="8" fillId="0" borderId="36" applyAlignment="1" pivotButton="0" quotePrefix="0" xfId="0">
      <alignment horizontal="left"/>
    </xf>
    <xf numFmtId="168" fontId="8" fillId="0" borderId="36" applyAlignment="1" pivotButton="0" quotePrefix="0" xfId="0">
      <alignment horizontal="right"/>
    </xf>
    <xf numFmtId="171" fontId="8" fillId="0" borderId="36" applyAlignment="1" pivotButton="0" quotePrefix="0" xfId="0">
      <alignment horizontal="right"/>
    </xf>
    <xf numFmtId="171" fontId="16" fillId="0" borderId="0" applyAlignment="1" pivotButton="0" quotePrefix="0" xfId="0">
      <alignment horizontal="center"/>
    </xf>
    <xf numFmtId="168" fontId="8" fillId="0" borderId="32" applyAlignment="1" pivotButton="0" quotePrefix="0" xfId="0">
      <alignment horizontal="left"/>
    </xf>
    <xf numFmtId="168" fontId="8" fillId="0" borderId="32" applyAlignment="1" pivotButton="0" quotePrefix="0" xfId="0">
      <alignment horizontal="right"/>
    </xf>
    <xf numFmtId="169" fontId="8" fillId="5" borderId="37" applyAlignment="1" pivotButton="0" quotePrefix="0" xfId="0">
      <alignment horizontal="center"/>
    </xf>
    <xf numFmtId="172" fontId="8" fillId="7" borderId="13" applyAlignment="1" pivotButton="0" quotePrefix="0" xfId="0">
      <alignment horizontal="left"/>
    </xf>
    <xf numFmtId="173" fontId="8" fillId="7" borderId="13" applyAlignment="1" pivotButton="0" quotePrefix="0" xfId="0">
      <alignment horizontal="left"/>
    </xf>
    <xf numFmtId="166" fontId="24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2"/>
  <sheetViews>
    <sheetView tabSelected="1" topLeftCell="A54" workbookViewId="0">
      <selection activeCell="A58" sqref="A58:XFD58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25" t="inlineStr">
        <is>
          <t>電站基本資料</t>
        </is>
      </c>
      <c r="B1" s="126" t="n"/>
      <c r="C1" s="126" t="n"/>
      <c r="D1" s="127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11" t="inlineStr">
        <is>
          <t>-</t>
        </is>
      </c>
      <c r="D2" s="111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28" t="inlineStr">
        <is>
          <t>綜合損益表</t>
        </is>
      </c>
      <c r="B7" s="126" t="n"/>
      <c r="C7" s="126" t="n"/>
      <c r="D7" s="127" t="n"/>
    </row>
    <row r="8" ht="22.5" customHeight="1" thickBot="1">
      <c r="A8" s="129" t="inlineStr">
        <is>
          <t>收入</t>
        </is>
      </c>
      <c r="D8" s="130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08" t="inlineStr">
        <is>
          <t>電費收入</t>
        </is>
      </c>
      <c r="B10" s="109" t="inlineStr">
        <is>
          <t>年度AC併網總發電量</t>
        </is>
      </c>
      <c r="C10" s="109" t="n">
        <v>547002</v>
      </c>
      <c r="D10" s="108" t="n">
        <v>20</v>
      </c>
    </row>
    <row r="11" ht="21.75" customHeight="1">
      <c r="A11" s="131" t="n"/>
      <c r="B11" s="7" t="inlineStr">
        <is>
          <t>首年衰退率</t>
        </is>
      </c>
      <c r="C11" s="13" t="n">
        <v>0.01</v>
      </c>
      <c r="D11" s="131" t="n"/>
    </row>
    <row r="12" ht="21.75" customHeight="1">
      <c r="A12" s="131" t="n"/>
      <c r="B12" s="7" t="inlineStr">
        <is>
          <t>次年衰退率</t>
        </is>
      </c>
      <c r="C12" s="14" t="n">
        <v>0.004</v>
      </c>
      <c r="D12" s="131" t="n"/>
    </row>
    <row r="13" ht="22.5" customHeight="1" thickBot="1">
      <c r="A13" s="131" t="n"/>
      <c r="B13" s="112" t="inlineStr">
        <is>
          <t>躉售費率(FIT)</t>
        </is>
      </c>
      <c r="C13" s="112" t="n">
        <v>3.7152</v>
      </c>
      <c r="D13" s="131" t="n"/>
    </row>
    <row r="14" ht="22.5" customHeight="1" thickBot="1">
      <c r="A14" s="132" t="inlineStr">
        <is>
          <t>支出</t>
        </is>
      </c>
      <c r="B14" s="126" t="n"/>
      <c r="C14" s="126" t="n"/>
      <c r="D14" s="127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09" t="inlineStr">
        <is>
          <t>設備費用(價金)</t>
        </is>
      </c>
      <c r="B16" s="17" t="inlineStr">
        <is>
          <t>每kWp設備成本</t>
        </is>
      </c>
      <c r="C16" s="109" t="n">
        <v>35000</v>
      </c>
      <c r="D16" s="111" t="n">
        <v>20</v>
      </c>
    </row>
    <row r="17" ht="21.75" customHeight="1">
      <c r="A17" s="131" t="n"/>
      <c r="B17" s="7" t="inlineStr">
        <is>
          <t>信邦利潤率</t>
        </is>
      </c>
      <c r="C17" s="5" t="n">
        <v>0.3</v>
      </c>
      <c r="D17" s="131" t="n"/>
    </row>
    <row r="18" ht="21.75" customHeight="1">
      <c r="A18" s="133" t="n"/>
      <c r="B18" s="7" t="inlineStr">
        <is>
          <t>開發費</t>
        </is>
      </c>
      <c r="C18" s="5" t="n">
        <v>3000</v>
      </c>
      <c r="D18" s="133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11" t="inlineStr">
        <is>
          <t>-</t>
        </is>
      </c>
    </row>
    <row r="20" ht="20.25" customHeight="1">
      <c r="A20" s="131" t="n"/>
      <c r="B20" s="19" t="inlineStr">
        <is>
          <t>【方式1參數】租金總額</t>
        </is>
      </c>
      <c r="C20" s="5" t="n">
        <v>290201</v>
      </c>
      <c r="D20" s="111" t="n">
        <v>20</v>
      </c>
    </row>
    <row r="21" ht="21.75" customHeight="1">
      <c r="A21" s="133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28" t="inlineStr">
        <is>
          <t>現金流量表</t>
        </is>
      </c>
      <c r="B29" s="126" t="n"/>
      <c r="C29" s="127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09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t="18.75" customHeight="1" thickBot="1">
      <c r="A58" s="75" t="inlineStr">
        <is>
          <t>回收年限評估</t>
        </is>
      </c>
      <c r="B58" s="76" t="n"/>
      <c r="C58" s="77">
        <f>IF((C57)&gt;0,"回收","未回收")</f>
        <v/>
      </c>
      <c r="D58" s="77">
        <f>IF((D57)&gt;0,"回收","未回收")</f>
        <v/>
      </c>
      <c r="E58" s="77">
        <f>IF((E57)&gt;0,"回收","未回收")</f>
        <v/>
      </c>
      <c r="F58" s="77">
        <f>IF((F57)&gt;0,"回收","未回收")</f>
        <v/>
      </c>
      <c r="G58" s="77">
        <f>IF((G57)&gt;0,"回收","未回收")</f>
        <v/>
      </c>
      <c r="H58" s="77">
        <f>IF((H57)&gt;0,"回收","未回收")</f>
        <v/>
      </c>
      <c r="I58" s="77">
        <f>IF((I57)&gt;0,"回收","未回收")</f>
        <v/>
      </c>
      <c r="J58" s="77">
        <f>IF((J57)&gt;0,"回收","未回收")</f>
        <v/>
      </c>
      <c r="K58" s="77">
        <f>IF((K57)&gt;0,"回收","未回收")</f>
        <v/>
      </c>
      <c r="L58" s="77">
        <f>IF((L57)&gt;0,"回收","未回收")</f>
        <v/>
      </c>
      <c r="M58" s="77">
        <f>IF((M57)&gt;0,"回收","未回收")</f>
        <v/>
      </c>
      <c r="N58" s="77">
        <f>IF((N57)&gt;0,"回收","未回收")</f>
        <v/>
      </c>
      <c r="O58" s="77">
        <f>IF((O57)&gt;0,"回收","未回收")</f>
        <v/>
      </c>
      <c r="P58" s="77">
        <f>IF((P57)&gt;0,"回收","未回收")</f>
        <v/>
      </c>
      <c r="Q58" s="77">
        <f>IF((Q57)&gt;0,"回收","未回收")</f>
        <v/>
      </c>
      <c r="R58" s="77">
        <f>IF((R57)&gt;0,"回收","未回收")</f>
        <v/>
      </c>
      <c r="S58" s="77">
        <f>IF((S57)&gt;0,"回收","未回收")</f>
        <v/>
      </c>
      <c r="T58" s="77">
        <f>IF((T57)&gt;0,"回收","未回收")</f>
        <v/>
      </c>
      <c r="U58" s="77">
        <f>IF((U57)&gt;0,"回收","未回收")</f>
        <v/>
      </c>
      <c r="V58" s="77">
        <f>IF((V57)&gt;0,"回收","未回收")</f>
        <v/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t="18.75" customHeight="1">
      <c r="A59" s="28" t="n"/>
      <c r="B59" s="134" t="n"/>
      <c r="C59" s="134" t="n"/>
      <c r="D59" s="134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t="18.75" customHeight="1">
      <c r="A60" s="28" t="n"/>
      <c r="B60" s="134" t="n"/>
      <c r="C60" s="134" t="n"/>
      <c r="D60" s="134" t="n"/>
      <c r="E60" s="59" t="n"/>
      <c r="F60" s="59" t="n"/>
      <c r="G60" s="59" t="n"/>
      <c r="H60" s="59" t="n"/>
      <c r="I60" s="59" t="n"/>
      <c r="J60" s="59" t="n"/>
      <c r="K60" s="59" t="inlineStr">
        <is>
          <t>預估可建置量</t>
        </is>
      </c>
      <c r="L60" s="81" t="n">
        <v>0</v>
      </c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t="18.75" customHeight="1">
      <c r="A61" s="28" t="n"/>
      <c r="B61" s="134" t="n"/>
      <c r="C61" s="134" t="n"/>
      <c r="D61" s="134" t="n"/>
      <c r="E61" s="59" t="n"/>
      <c r="F61" s="59" t="n"/>
      <c r="G61" s="59" t="n"/>
      <c r="H61" s="59" t="n"/>
      <c r="I61" s="59" t="n"/>
      <c r="J61" s="59" t="n"/>
      <c r="K61" s="59" t="inlineStr">
        <is>
          <t>預估可建置量</t>
        </is>
      </c>
      <c r="L61" s="81" t="n">
        <v>0</v>
      </c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80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t="18.75" customHeight="1">
      <c r="B62" s="82" t="inlineStr">
        <is>
          <t>年份</t>
        </is>
      </c>
      <c r="C62" s="83" t="n">
        <v>2020</v>
      </c>
      <c r="D62" s="83" t="n">
        <v>2021</v>
      </c>
      <c r="E62" s="83" t="n">
        <v>2022</v>
      </c>
      <c r="F62" s="83" t="n">
        <v>2023</v>
      </c>
      <c r="G62" s="83" t="n">
        <v>2024</v>
      </c>
      <c r="H62" s="83" t="n">
        <v>2025</v>
      </c>
      <c r="I62" s="83" t="n">
        <v>2026</v>
      </c>
      <c r="J62" s="83" t="n">
        <v>2027</v>
      </c>
      <c r="K62" s="83" t="n">
        <v>2028</v>
      </c>
      <c r="L62" s="83" t="n">
        <v>2029</v>
      </c>
      <c r="M62" s="83" t="n">
        <v>2030</v>
      </c>
      <c r="N62" s="83" t="n">
        <v>2031</v>
      </c>
      <c r="O62" s="83" t="n">
        <v>2032</v>
      </c>
      <c r="P62" s="83" t="n">
        <v>2033</v>
      </c>
      <c r="Q62" s="83" t="n">
        <v>2034</v>
      </c>
      <c r="R62" s="83" t="n">
        <v>2035</v>
      </c>
      <c r="S62" s="83" t="n">
        <v>2036</v>
      </c>
      <c r="T62" s="83" t="n">
        <v>2037</v>
      </c>
      <c r="U62" s="83" t="n">
        <v>2038</v>
      </c>
      <c r="V62" s="83" t="n">
        <v>2039</v>
      </c>
      <c r="W62" s="84" t="n"/>
    </row>
    <row r="63" ht="18.75" customHeight="1">
      <c r="W63" s="84" t="n"/>
    </row>
    <row r="64" ht="18.75" customHeight="1">
      <c r="A64" s="85" t="inlineStr">
        <is>
          <t>(Unit : Currency)</t>
        </is>
      </c>
      <c r="B64" s="86" t="n">
        <v>0</v>
      </c>
      <c r="C64" s="86" t="n">
        <v>1</v>
      </c>
      <c r="D64" s="86" t="n">
        <v>2</v>
      </c>
      <c r="E64" s="86" t="n">
        <v>3</v>
      </c>
      <c r="F64" s="86" t="n">
        <v>4</v>
      </c>
      <c r="G64" s="86" t="n">
        <v>5</v>
      </c>
      <c r="H64" s="86" t="n">
        <v>6</v>
      </c>
      <c r="I64" s="86" t="n">
        <v>7</v>
      </c>
      <c r="J64" s="86" t="n">
        <v>8</v>
      </c>
      <c r="K64" s="86" t="n">
        <v>9</v>
      </c>
      <c r="L64" s="86" t="n">
        <v>10</v>
      </c>
      <c r="M64" s="86" t="n">
        <v>11</v>
      </c>
      <c r="N64" s="86" t="n">
        <v>12</v>
      </c>
      <c r="O64" s="86" t="n">
        <v>13</v>
      </c>
      <c r="P64" s="86" t="n">
        <v>14</v>
      </c>
      <c r="Q64" s="86" t="n">
        <v>15</v>
      </c>
      <c r="R64" s="86" t="n">
        <v>16</v>
      </c>
      <c r="S64" s="86" t="n">
        <v>17</v>
      </c>
      <c r="T64" s="86" t="n">
        <v>18</v>
      </c>
      <c r="U64" s="86" t="n">
        <v>19</v>
      </c>
      <c r="V64" s="86" t="n">
        <v>20</v>
      </c>
      <c r="W64" s="87" t="n"/>
    </row>
    <row r="65" ht="18.75" customHeight="1">
      <c r="A65" s="88" t="inlineStr">
        <is>
          <t>稅後淨利</t>
        </is>
      </c>
      <c r="B65" s="89" t="n"/>
      <c r="C65" s="89">
        <f>#REF!</f>
        <v/>
      </c>
      <c r="D65" s="89">
        <f>#REF!</f>
        <v/>
      </c>
      <c r="E65" s="89">
        <f>#REF!</f>
        <v/>
      </c>
      <c r="F65" s="89">
        <f>#REF!</f>
        <v/>
      </c>
      <c r="G65" s="89">
        <f>#REF!</f>
        <v/>
      </c>
      <c r="H65" s="89">
        <f>#REF!</f>
        <v/>
      </c>
      <c r="I65" s="89">
        <f>#REF!</f>
        <v/>
      </c>
      <c r="J65" s="89">
        <f>#REF!</f>
        <v/>
      </c>
      <c r="K65" s="89">
        <f>#REF!</f>
        <v/>
      </c>
      <c r="L65" s="89">
        <f>#REF!</f>
        <v/>
      </c>
      <c r="M65" s="89">
        <f>#REF!</f>
        <v/>
      </c>
      <c r="N65" s="89">
        <f>#REF!</f>
        <v/>
      </c>
      <c r="O65" s="89">
        <f>#REF!</f>
        <v/>
      </c>
      <c r="P65" s="89">
        <f>#REF!</f>
        <v/>
      </c>
      <c r="Q65" s="89">
        <f>#REF!</f>
        <v/>
      </c>
      <c r="R65" s="89">
        <f>#REF!</f>
        <v/>
      </c>
      <c r="S65" s="89">
        <f>#REF!</f>
        <v/>
      </c>
      <c r="T65" s="89">
        <f>#REF!</f>
        <v/>
      </c>
      <c r="U65" s="89">
        <f>#REF!</f>
        <v/>
      </c>
      <c r="V65" s="89">
        <f>#REF!</f>
        <v/>
      </c>
      <c r="W65" s="74" t="n"/>
    </row>
    <row r="66" ht="18.75" customHeight="1">
      <c r="A66" s="88" t="inlineStr">
        <is>
          <t>設備折舊</t>
        </is>
      </c>
      <c r="B66" s="89" t="n"/>
      <c r="C66" s="90">
        <f>-#REF!</f>
        <v/>
      </c>
      <c r="D66" s="90">
        <f>-#REF!</f>
        <v/>
      </c>
      <c r="E66" s="90">
        <f>-#REF!</f>
        <v/>
      </c>
      <c r="F66" s="90">
        <f>-#REF!</f>
        <v/>
      </c>
      <c r="G66" s="90">
        <f>-#REF!</f>
        <v/>
      </c>
      <c r="H66" s="90">
        <f>-#REF!</f>
        <v/>
      </c>
      <c r="I66" s="90">
        <f>-#REF!</f>
        <v/>
      </c>
      <c r="J66" s="90">
        <f>-#REF!</f>
        <v/>
      </c>
      <c r="K66" s="90">
        <f>-#REF!</f>
        <v/>
      </c>
      <c r="L66" s="90">
        <f>-#REF!</f>
        <v/>
      </c>
      <c r="M66" s="90">
        <f>-#REF!</f>
        <v/>
      </c>
      <c r="N66" s="90">
        <f>-#REF!</f>
        <v/>
      </c>
      <c r="O66" s="90">
        <f>-#REF!</f>
        <v/>
      </c>
      <c r="P66" s="90">
        <f>-#REF!</f>
        <v/>
      </c>
      <c r="Q66" s="90">
        <f>-#REF!</f>
        <v/>
      </c>
      <c r="R66" s="90">
        <f>-#REF!</f>
        <v/>
      </c>
      <c r="S66" s="90">
        <f>-#REF!</f>
        <v/>
      </c>
      <c r="T66" s="90">
        <f>-#REF!</f>
        <v/>
      </c>
      <c r="U66" s="90">
        <f>-#REF!</f>
        <v/>
      </c>
      <c r="V66" s="90">
        <f>-#REF!</f>
        <v/>
      </c>
      <c r="W66" s="74" t="n"/>
    </row>
    <row r="67" ht="18.75" customHeight="1">
      <c r="A67" s="88" t="inlineStr">
        <is>
          <t>營運活動現金流量</t>
        </is>
      </c>
      <c r="B67" s="89" t="n"/>
      <c r="C67" s="91">
        <f>SUM(C65:C66)</f>
        <v/>
      </c>
      <c r="D67" s="91">
        <f>SUM(D65:D66)</f>
        <v/>
      </c>
      <c r="E67" s="91">
        <f>SUM(E65:E66)</f>
        <v/>
      </c>
      <c r="F67" s="91">
        <f>SUM(F65:F66)</f>
        <v/>
      </c>
      <c r="G67" s="91">
        <f>SUM(G65:G66)</f>
        <v/>
      </c>
      <c r="H67" s="91">
        <f>SUM(H65:H66)</f>
        <v/>
      </c>
      <c r="I67" s="91">
        <f>SUM(I65:I66)</f>
        <v/>
      </c>
      <c r="J67" s="91">
        <f>SUM(J65:J66)</f>
        <v/>
      </c>
      <c r="K67" s="91">
        <f>SUM(K65:K66)</f>
        <v/>
      </c>
      <c r="L67" s="91">
        <f>SUM(L65:L66)</f>
        <v/>
      </c>
      <c r="M67" s="91">
        <f>SUM(M65:M66)</f>
        <v/>
      </c>
      <c r="N67" s="91">
        <f>SUM(N65:N66)</f>
        <v/>
      </c>
      <c r="O67" s="91">
        <f>SUM(O65:O66)</f>
        <v/>
      </c>
      <c r="P67" s="91">
        <f>SUM(P65:P66)</f>
        <v/>
      </c>
      <c r="Q67" s="91">
        <f>SUM(Q65:Q66)</f>
        <v/>
      </c>
      <c r="R67" s="91">
        <f>SUM(R65:R66)</f>
        <v/>
      </c>
      <c r="S67" s="91">
        <f>SUM(S65:S66)</f>
        <v/>
      </c>
      <c r="T67" s="91">
        <f>SUM(T65:T66)</f>
        <v/>
      </c>
      <c r="U67" s="91">
        <f>SUM(U65:U66)</f>
        <v/>
      </c>
      <c r="V67" s="91">
        <f>SUM(V65:V66)</f>
        <v/>
      </c>
      <c r="W67" s="92" t="n"/>
    </row>
    <row r="68" ht="18.75" customHeight="1">
      <c r="A68" s="88" t="n"/>
      <c r="B68" s="89" t="n"/>
      <c r="C68" s="89" t="n"/>
      <c r="D68" s="89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  <c r="R68" s="93" t="n"/>
      <c r="S68" s="93" t="n"/>
      <c r="T68" s="93" t="n"/>
      <c r="U68" s="93" t="n"/>
      <c r="V68" s="93" t="n"/>
      <c r="W68" s="84" t="n"/>
    </row>
    <row r="69" ht="18.75" customHeight="1">
      <c r="A69" s="94" t="inlineStr">
        <is>
          <t>投資活動-設備支出</t>
        </is>
      </c>
      <c r="B69" s="95" t="n"/>
      <c r="C69" s="96">
        <f>B44</f>
        <v/>
      </c>
      <c r="D69" s="95" t="n">
        <v>0</v>
      </c>
      <c r="E69" s="95" t="n"/>
      <c r="F69" s="95" t="n">
        <v>0</v>
      </c>
      <c r="G69" s="95" t="n">
        <v>0</v>
      </c>
      <c r="H69" s="95" t="n">
        <v>0</v>
      </c>
      <c r="I69" s="95" t="n">
        <v>0</v>
      </c>
      <c r="J69" s="95" t="n">
        <v>0</v>
      </c>
      <c r="K69" s="95" t="n">
        <v>0</v>
      </c>
      <c r="L69" s="95" t="n">
        <v>0</v>
      </c>
      <c r="M69" s="95" t="n">
        <v>0</v>
      </c>
      <c r="N69" s="95" t="n">
        <v>0</v>
      </c>
      <c r="O69" s="95" t="n">
        <v>0</v>
      </c>
      <c r="P69" s="95" t="n">
        <v>0</v>
      </c>
      <c r="Q69" s="95" t="n">
        <v>0</v>
      </c>
      <c r="R69" s="95" t="n">
        <v>0</v>
      </c>
      <c r="S69" s="95" t="n">
        <v>0</v>
      </c>
      <c r="T69" s="95" t="n">
        <v>0</v>
      </c>
      <c r="U69" s="95" t="n">
        <v>0</v>
      </c>
      <c r="V69" s="95" t="n">
        <v>0</v>
      </c>
      <c r="W69" s="74" t="n"/>
    </row>
    <row r="70" ht="18.75" customHeight="1">
      <c r="A70" s="88" t="n"/>
      <c r="B70" s="89" t="n"/>
      <c r="C70" s="89" t="n"/>
      <c r="D70" s="89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  <c r="R70" s="93" t="n"/>
      <c r="S70" s="93" t="n"/>
      <c r="T70" s="93" t="n"/>
      <c r="U70" s="93" t="n"/>
      <c r="V70" s="93" t="n"/>
      <c r="W70" s="84" t="n"/>
    </row>
    <row r="71" ht="18.75" customHeight="1">
      <c r="A71" s="88" t="n"/>
      <c r="B71" s="89" t="n"/>
      <c r="C71" s="89" t="n"/>
      <c r="D71" s="89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  <c r="R71" s="93" t="n"/>
      <c r="S71" s="93" t="n"/>
      <c r="T71" s="93" t="n"/>
      <c r="U71" s="93" t="n"/>
      <c r="V71" s="93" t="n"/>
      <c r="W71" s="84" t="n"/>
    </row>
    <row r="72" ht="18.75" customHeight="1">
      <c r="A72" s="94" t="inlineStr">
        <is>
          <t>理財活動-借款</t>
        </is>
      </c>
      <c r="B72" s="95" t="n"/>
      <c r="C72" s="96">
        <f>#REF!*0.8</f>
        <v/>
      </c>
      <c r="D72" s="95" t="n"/>
      <c r="E72" s="95" t="n"/>
      <c r="F72" s="95" t="n">
        <v>0</v>
      </c>
      <c r="G72" s="95" t="n">
        <v>0</v>
      </c>
      <c r="H72" s="95" t="n">
        <v>0</v>
      </c>
      <c r="I72" s="95" t="n">
        <v>0</v>
      </c>
      <c r="J72" s="95" t="n">
        <v>0</v>
      </c>
      <c r="K72" s="95" t="n">
        <v>0</v>
      </c>
      <c r="L72" s="95" t="n">
        <v>0</v>
      </c>
      <c r="M72" s="95" t="n">
        <v>0</v>
      </c>
      <c r="N72" s="95" t="n">
        <v>0</v>
      </c>
      <c r="O72" s="95" t="n">
        <v>0</v>
      </c>
      <c r="P72" s="95" t="n">
        <v>0</v>
      </c>
      <c r="Q72" s="95" t="n">
        <v>0</v>
      </c>
      <c r="R72" s="95" t="n">
        <v>0</v>
      </c>
      <c r="S72" s="95" t="n">
        <v>0</v>
      </c>
      <c r="T72" s="95" t="n">
        <v>0</v>
      </c>
      <c r="U72" s="95" t="n">
        <v>0</v>
      </c>
      <c r="V72" s="95" t="n">
        <v>0</v>
      </c>
      <c r="W72" s="84" t="n"/>
    </row>
    <row r="73" ht="18.75" customHeight="1">
      <c r="A73" s="88" t="inlineStr">
        <is>
          <t>理財活動-還款</t>
        </is>
      </c>
      <c r="B73" s="89" t="n"/>
      <c r="C73" s="89" t="n"/>
      <c r="D73" s="89">
        <f>-#REF!</f>
        <v/>
      </c>
      <c r="E73" s="89">
        <f>-#REF!</f>
        <v/>
      </c>
      <c r="F73" s="89">
        <f>-#REF!</f>
        <v/>
      </c>
      <c r="G73" s="89">
        <f>-#REF!</f>
        <v/>
      </c>
      <c r="H73" s="89">
        <f>-#REF!</f>
        <v/>
      </c>
      <c r="I73" s="89">
        <f>-#REF!</f>
        <v/>
      </c>
      <c r="J73" s="89">
        <f>-#REF!</f>
        <v/>
      </c>
      <c r="K73" s="89">
        <f>-#REF!</f>
        <v/>
      </c>
      <c r="L73" s="89">
        <f>-#REF!</f>
        <v/>
      </c>
      <c r="M73" s="89">
        <f>-#REF!</f>
        <v/>
      </c>
      <c r="N73" s="89">
        <f>-#REF!</f>
        <v/>
      </c>
      <c r="O73" s="89">
        <f>-#REF!</f>
        <v/>
      </c>
      <c r="P73" s="89">
        <f>-#REF!</f>
        <v/>
      </c>
      <c r="Q73" s="89">
        <f>-#REF!</f>
        <v/>
      </c>
      <c r="R73" s="89">
        <f>-#REF!</f>
        <v/>
      </c>
      <c r="S73" s="93" t="n"/>
      <c r="T73" s="93" t="n"/>
      <c r="U73" s="93" t="n"/>
      <c r="V73" s="93" t="n"/>
      <c r="W73" s="74" t="n"/>
    </row>
    <row r="74" ht="18.75" customHeight="1">
      <c r="A74" s="88" t="inlineStr">
        <is>
          <t>理財活動-現金增資</t>
        </is>
      </c>
      <c r="B74" s="93" t="n"/>
      <c r="C74" s="89">
        <f>#REF!*0.2</f>
        <v/>
      </c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  <c r="R74" s="93" t="n"/>
      <c r="S74" s="93" t="n"/>
      <c r="T74" s="93" t="n"/>
      <c r="U74" s="93" t="n"/>
      <c r="V74" s="93" t="n"/>
      <c r="W74" s="92" t="n"/>
    </row>
    <row r="75" ht="18.75" customHeight="1">
      <c r="A75" s="88" t="inlineStr">
        <is>
          <t>現金股利</t>
        </is>
      </c>
      <c r="B75" s="93" t="n"/>
      <c r="C75" s="93" t="n"/>
      <c r="D75" s="97">
        <f>-C65*0.9</f>
        <v/>
      </c>
      <c r="E75" s="89">
        <f>-D65*0.9</f>
        <v/>
      </c>
      <c r="F75" s="89">
        <f>-E65*0.9</f>
        <v/>
      </c>
      <c r="G75" s="89">
        <f>-F65*0.9</f>
        <v/>
      </c>
      <c r="H75" s="89">
        <f>-G65*0.9</f>
        <v/>
      </c>
      <c r="I75" s="89">
        <f>-H65*0.9</f>
        <v/>
      </c>
      <c r="J75" s="89">
        <f>-I65*0.9</f>
        <v/>
      </c>
      <c r="K75" s="89">
        <f>-J65*0.9</f>
        <v/>
      </c>
      <c r="L75" s="89">
        <f>-K65*0.9</f>
        <v/>
      </c>
      <c r="M75" s="89">
        <f>-L65*0.9</f>
        <v/>
      </c>
      <c r="N75" s="89">
        <f>-M65*0.9</f>
        <v/>
      </c>
      <c r="O75" s="89">
        <f>-N65*0.9</f>
        <v/>
      </c>
      <c r="P75" s="89">
        <f>-O65*0.9</f>
        <v/>
      </c>
      <c r="Q75" s="89">
        <f>-P65*0.9</f>
        <v/>
      </c>
      <c r="R75" s="89">
        <f>-Q65*0.9</f>
        <v/>
      </c>
      <c r="S75" s="89">
        <f>-R65*0.9</f>
        <v/>
      </c>
      <c r="T75" s="89">
        <f>-S65*0.9</f>
        <v/>
      </c>
      <c r="U75" s="93" t="n"/>
      <c r="V75" s="89">
        <f>-U65*0.9</f>
        <v/>
      </c>
      <c r="W75" s="92" t="n"/>
    </row>
    <row r="76" ht="18.75" customHeight="1">
      <c r="A76" s="98" t="inlineStr">
        <is>
          <t>年底減資</t>
        </is>
      </c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100">
        <f>-$C$74/4</f>
        <v/>
      </c>
      <c r="R76" s="100">
        <f>-$C$74/4</f>
        <v/>
      </c>
      <c r="S76" s="100">
        <f>-$C$74/4</f>
        <v/>
      </c>
      <c r="T76" s="100">
        <f>-$C$74/4</f>
        <v/>
      </c>
      <c r="U76" s="99" t="n"/>
      <c r="V76" s="99" t="n"/>
      <c r="W76" s="92" t="n"/>
    </row>
    <row r="77" ht="18.75" customHeight="1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  <c r="R77" s="93" t="n"/>
      <c r="S77" s="93" t="n"/>
      <c r="T77" s="93" t="n"/>
      <c r="U77" s="93" t="n"/>
      <c r="V77" s="93" t="n"/>
      <c r="W77" s="92" t="n"/>
    </row>
    <row r="78" ht="18.75" customHeight="1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  <c r="R78" s="93" t="n"/>
      <c r="S78" s="93" t="n"/>
      <c r="T78" s="93" t="n"/>
      <c r="U78" s="93" t="n"/>
      <c r="V78" s="93" t="n"/>
      <c r="W78" s="92" t="n"/>
    </row>
    <row r="79" ht="18.75" customHeight="1">
      <c r="A79" s="88" t="inlineStr">
        <is>
          <t>現金淨流入(出 )</t>
        </is>
      </c>
      <c r="B79" s="93">
        <f>SUM(B69:B78)</f>
        <v/>
      </c>
      <c r="C79" s="91">
        <f>SUM(C67:C78)</f>
        <v/>
      </c>
      <c r="D79" s="91">
        <f>SUM(D67:D78)</f>
        <v/>
      </c>
      <c r="E79" s="91">
        <f>SUM(E67:E78)</f>
        <v/>
      </c>
      <c r="F79" s="91">
        <f>SUM(F67:F78)</f>
        <v/>
      </c>
      <c r="G79" s="91">
        <f>SUM(G67:G78)</f>
        <v/>
      </c>
      <c r="H79" s="91">
        <f>SUM(H67:H78)</f>
        <v/>
      </c>
      <c r="I79" s="91">
        <f>SUM(I67:I78)</f>
        <v/>
      </c>
      <c r="J79" s="91">
        <f>SUM(J67:J78)</f>
        <v/>
      </c>
      <c r="K79" s="91">
        <f>SUM(K67:K78)</f>
        <v/>
      </c>
      <c r="L79" s="91">
        <f>SUM(L67:L78)</f>
        <v/>
      </c>
      <c r="M79" s="91">
        <f>SUM(M67:M78)</f>
        <v/>
      </c>
      <c r="N79" s="91">
        <f>SUM(N67:N78)</f>
        <v/>
      </c>
      <c r="O79" s="91">
        <f>SUM(O67:O78)</f>
        <v/>
      </c>
      <c r="P79" s="91">
        <f>SUM(P67:P78)</f>
        <v/>
      </c>
      <c r="Q79" s="91">
        <f>SUM(Q67:Q78)</f>
        <v/>
      </c>
      <c r="R79" s="91">
        <f>SUM(R67:R78)</f>
        <v/>
      </c>
      <c r="S79" s="91">
        <f>SUM(S67:S78)</f>
        <v/>
      </c>
      <c r="T79" s="91">
        <f>SUM(T67:T78)</f>
        <v/>
      </c>
      <c r="U79" s="91">
        <f>SUM(U67:U78)</f>
        <v/>
      </c>
      <c r="V79" s="91">
        <f>SUM(V67:V78)</f>
        <v/>
      </c>
      <c r="W79" s="92" t="n"/>
    </row>
    <row r="80" ht="18.75" customHeight="1">
      <c r="A80" s="88" t="inlineStr">
        <is>
          <t>期初淨現金</t>
        </is>
      </c>
      <c r="B80" s="93" t="n">
        <v>0</v>
      </c>
      <c r="C80" s="93">
        <f>B81</f>
        <v/>
      </c>
      <c r="D80" s="89">
        <f>C81</f>
        <v/>
      </c>
      <c r="E80" s="89">
        <f>D81</f>
        <v/>
      </c>
      <c r="F80" s="89">
        <f>E81</f>
        <v/>
      </c>
      <c r="G80" s="89">
        <f>F81</f>
        <v/>
      </c>
      <c r="H80" s="89">
        <f>G81</f>
        <v/>
      </c>
      <c r="I80" s="89">
        <f>H81</f>
        <v/>
      </c>
      <c r="J80" s="89">
        <f>I81</f>
        <v/>
      </c>
      <c r="K80" s="89">
        <f>J81</f>
        <v/>
      </c>
      <c r="L80" s="89">
        <f>K81</f>
        <v/>
      </c>
      <c r="M80" s="89">
        <f>L81</f>
        <v/>
      </c>
      <c r="N80" s="89">
        <f>M81</f>
        <v/>
      </c>
      <c r="O80" s="89">
        <f>N81</f>
        <v/>
      </c>
      <c r="P80" s="89">
        <f>O81</f>
        <v/>
      </c>
      <c r="Q80" s="89">
        <f>P81</f>
        <v/>
      </c>
      <c r="R80" s="89">
        <f>Q81</f>
        <v/>
      </c>
      <c r="S80" s="89">
        <f>R81</f>
        <v/>
      </c>
      <c r="T80" s="89">
        <f>S81</f>
        <v/>
      </c>
      <c r="U80" s="93" t="n"/>
      <c r="V80" s="93" t="n"/>
      <c r="W80" s="84" t="n"/>
    </row>
    <row r="81" ht="18.75" customHeight="1">
      <c r="A81" s="88" t="inlineStr">
        <is>
          <t>期未淨現金</t>
        </is>
      </c>
      <c r="B81" s="93">
        <f>B79</f>
        <v/>
      </c>
      <c r="C81" s="89">
        <f>C79+C80</f>
        <v/>
      </c>
      <c r="D81" s="89">
        <f>D79+D80</f>
        <v/>
      </c>
      <c r="E81" s="89">
        <f>E79+E80</f>
        <v/>
      </c>
      <c r="F81" s="89">
        <f>F79+F80</f>
        <v/>
      </c>
      <c r="G81" s="89">
        <f>G79+G80</f>
        <v/>
      </c>
      <c r="H81" s="89">
        <f>H79+H80</f>
        <v/>
      </c>
      <c r="I81" s="89">
        <f>I79+I80</f>
        <v/>
      </c>
      <c r="J81" s="89">
        <f>J79+J80</f>
        <v/>
      </c>
      <c r="K81" s="89">
        <f>K79+K80</f>
        <v/>
      </c>
      <c r="L81" s="89">
        <f>L79+L80</f>
        <v/>
      </c>
      <c r="M81" s="89">
        <f>M79+M80</f>
        <v/>
      </c>
      <c r="N81" s="89">
        <f>N79+N80</f>
        <v/>
      </c>
      <c r="O81" s="89">
        <f>O79+O80</f>
        <v/>
      </c>
      <c r="P81" s="89">
        <f>P79+P80</f>
        <v/>
      </c>
      <c r="Q81" s="89">
        <f>Q79+Q80</f>
        <v/>
      </c>
      <c r="R81" s="89">
        <f>R79+R80</f>
        <v/>
      </c>
      <c r="S81" s="89">
        <f>S79+S80</f>
        <v/>
      </c>
      <c r="T81" s="89">
        <f>T79+T80</f>
        <v/>
      </c>
      <c r="U81" s="93" t="n"/>
      <c r="V81" s="93" t="n"/>
      <c r="W81" s="84" t="n"/>
    </row>
    <row r="82" ht="18.75" customHeight="1">
      <c r="A82" s="88" t="n"/>
      <c r="B82" s="89" t="n"/>
      <c r="C82" s="89" t="n"/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101" t="n"/>
    </row>
    <row r="83" ht="18.75" customHeight="1">
      <c r="A83" s="88" t="n"/>
      <c r="B83" s="89" t="n"/>
      <c r="C83" s="89" t="n"/>
      <c r="D83" s="89" t="n"/>
      <c r="E83" s="93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101" t="n"/>
    </row>
    <row r="84" ht="18.75" customHeight="1">
      <c r="A84" s="102" t="inlineStr">
        <is>
          <t>成本法實際現金流</t>
        </is>
      </c>
      <c r="B84" s="103" t="n"/>
      <c r="C84" s="104">
        <f>-C74</f>
        <v/>
      </c>
      <c r="D84" s="91">
        <f>-D75-D76</f>
        <v/>
      </c>
      <c r="E84" s="91">
        <f>-E75-E76</f>
        <v/>
      </c>
      <c r="F84" s="91">
        <f>-F75-F76</f>
        <v/>
      </c>
      <c r="G84" s="91">
        <f>-G75-G76</f>
        <v/>
      </c>
      <c r="H84" s="91">
        <f>-H75-H76</f>
        <v/>
      </c>
      <c r="I84" s="91">
        <f>-I75-I76</f>
        <v/>
      </c>
      <c r="J84" s="91">
        <f>-J75-J76</f>
        <v/>
      </c>
      <c r="K84" s="91">
        <f>-K75-K76</f>
        <v/>
      </c>
      <c r="L84" s="91">
        <f>-L75-L76</f>
        <v/>
      </c>
      <c r="M84" s="91">
        <f>-M75-M76</f>
        <v/>
      </c>
      <c r="N84" s="91">
        <f>-N75-N76</f>
        <v/>
      </c>
      <c r="O84" s="91">
        <f>-O75-O76</f>
        <v/>
      </c>
      <c r="P84" s="91">
        <f>-P75-P76</f>
        <v/>
      </c>
      <c r="Q84" s="91">
        <f>-Q75-Q76</f>
        <v/>
      </c>
      <c r="R84" s="91">
        <f>-R75-R76</f>
        <v/>
      </c>
      <c r="S84" s="91">
        <f>-S75-S76</f>
        <v/>
      </c>
      <c r="T84" s="91">
        <f>-T75-T76</f>
        <v/>
      </c>
      <c r="U84" s="103">
        <f>-U75-U76</f>
        <v/>
      </c>
      <c r="V84" s="91">
        <f>-V75-V76</f>
        <v/>
      </c>
      <c r="W84" s="92" t="n"/>
    </row>
    <row r="85" ht="18.75" customHeight="1">
      <c r="A85" s="88" t="inlineStr">
        <is>
          <t>成本法IRR</t>
        </is>
      </c>
      <c r="B85" s="105">
        <f>IRR(C84:V84)</f>
        <v/>
      </c>
      <c r="C85" s="135" t="n"/>
      <c r="D85" s="135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101" t="n"/>
    </row>
    <row r="86" ht="18.75" customHeight="1">
      <c r="A86" s="102" t="inlineStr">
        <is>
          <t>權益法實際現金流</t>
        </is>
      </c>
      <c r="B86" s="103" t="n"/>
      <c r="C86" s="104">
        <f>#REF!-C74</f>
        <v/>
      </c>
      <c r="D86" s="91">
        <f>#REF!</f>
        <v/>
      </c>
      <c r="E86" s="91">
        <f>#REF!-E76</f>
        <v/>
      </c>
      <c r="F86" s="91">
        <f>#REF!-F76</f>
        <v/>
      </c>
      <c r="G86" s="91">
        <f>#REF!-G76</f>
        <v/>
      </c>
      <c r="H86" s="91">
        <f>#REF!-H76</f>
        <v/>
      </c>
      <c r="I86" s="91">
        <f>#REF!-I76</f>
        <v/>
      </c>
      <c r="J86" s="91">
        <f>#REF!-J76</f>
        <v/>
      </c>
      <c r="K86" s="91">
        <f>#REF!-K76</f>
        <v/>
      </c>
      <c r="L86" s="91">
        <f>#REF!-L76</f>
        <v/>
      </c>
      <c r="M86" s="91">
        <f>#REF!-M76</f>
        <v/>
      </c>
      <c r="N86" s="91">
        <f>#REF!-N76</f>
        <v/>
      </c>
      <c r="O86" s="91">
        <f>#REF!-O76</f>
        <v/>
      </c>
      <c r="P86" s="91">
        <f>#REF!-P76</f>
        <v/>
      </c>
      <c r="Q86" s="91">
        <f>#REF!-Q76</f>
        <v/>
      </c>
      <c r="R86" s="91">
        <f>#REF!-R76</f>
        <v/>
      </c>
      <c r="S86" s="91">
        <f>#REF!-S76</f>
        <v/>
      </c>
      <c r="T86" s="91">
        <f>#REF!-T76</f>
        <v/>
      </c>
      <c r="U86" s="91">
        <f>#REF!-U76</f>
        <v/>
      </c>
      <c r="V86" s="91">
        <f>#REF!-V76</f>
        <v/>
      </c>
      <c r="W86" s="74" t="n"/>
    </row>
    <row r="87" ht="18.75" customHeight="1">
      <c r="A87" s="102" t="inlineStr">
        <is>
          <t>權益法IRR</t>
        </is>
      </c>
      <c r="B87" s="105">
        <f>IRR(C86:V86)</f>
        <v/>
      </c>
      <c r="C87" s="135" t="n"/>
      <c r="D87" s="135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101" t="n"/>
    </row>
    <row r="88" ht="18.75" customHeight="1">
      <c r="A88" s="88" t="n"/>
      <c r="B88" s="89" t="n"/>
      <c r="C88" s="89" t="n"/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101" t="n"/>
    </row>
    <row r="89" ht="18.75" customHeight="1">
      <c r="A89" s="88" t="inlineStr">
        <is>
          <t>借款餘額</t>
        </is>
      </c>
      <c r="B89" s="93" t="n">
        <v>0</v>
      </c>
      <c r="C89" s="89">
        <f>C72</f>
        <v/>
      </c>
      <c r="D89" s="89">
        <f>C89+D72+D73</f>
        <v/>
      </c>
      <c r="E89" s="89">
        <f>D89+E72+E73</f>
        <v/>
      </c>
      <c r="F89" s="89">
        <f>E89+F72+F73</f>
        <v/>
      </c>
      <c r="G89" s="89">
        <f>F89+G72+G73</f>
        <v/>
      </c>
      <c r="H89" s="89">
        <f>G89+H72+H73</f>
        <v/>
      </c>
      <c r="I89" s="89">
        <f>H89+I72+I73</f>
        <v/>
      </c>
      <c r="J89" s="89">
        <f>I89+J72+J73</f>
        <v/>
      </c>
      <c r="K89" s="89">
        <f>J89+K72+K73</f>
        <v/>
      </c>
      <c r="L89" s="89">
        <f>K89+L72+L73</f>
        <v/>
      </c>
      <c r="M89" s="89">
        <f>L89+M72+M73</f>
        <v/>
      </c>
      <c r="N89" s="89">
        <f>M89+N72+N73</f>
        <v/>
      </c>
      <c r="O89" s="89">
        <f>N89+O72+O73</f>
        <v/>
      </c>
      <c r="P89" s="89">
        <f>O89+P72+P73</f>
        <v/>
      </c>
      <c r="Q89" s="89">
        <f>P89+Q72+Q73</f>
        <v/>
      </c>
      <c r="R89" s="89">
        <f>Q89+R72+R73</f>
        <v/>
      </c>
      <c r="S89" s="93" t="n"/>
      <c r="T89" s="93" t="n"/>
      <c r="U89" s="93" t="n"/>
      <c r="V89" s="93" t="n"/>
      <c r="W89" s="93" t="n"/>
    </row>
    <row r="90" ht="18.75" customHeight="1"/>
    <row r="91" ht="18.75" customHeight="1">
      <c r="A91" s="107" t="n"/>
    </row>
    <row r="92" ht="18.75" customHeight="1">
      <c r="F92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1.67</v>
      </c>
      <c r="D2" t="n">
        <v>1.27</v>
      </c>
      <c r="E2" s="136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1.91</v>
      </c>
      <c r="D3" t="n">
        <v>1.99</v>
      </c>
      <c r="E3" s="136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2.17</v>
      </c>
      <c r="D4" t="n">
        <v>2.75</v>
      </c>
      <c r="E4" s="136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2.44</v>
      </c>
      <c r="D5" t="n">
        <v>3.56</v>
      </c>
      <c r="E5" s="136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2.72</v>
      </c>
      <c r="D6" t="n">
        <v>4.43</v>
      </c>
      <c r="E6" s="136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3.02</v>
      </c>
      <c r="D7" t="n">
        <v>5.37</v>
      </c>
      <c r="E7" s="136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3.32</v>
      </c>
      <c r="D8" t="n">
        <v>6.37</v>
      </c>
      <c r="E8" s="136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3.65</v>
      </c>
      <c r="D9" t="n">
        <v>7.46</v>
      </c>
      <c r="E9" s="136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3.99</v>
      </c>
      <c r="D10" t="n">
        <v>8.65</v>
      </c>
      <c r="E10" s="136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4.35</v>
      </c>
      <c r="D11" t="n">
        <v>9.960000000000001</v>
      </c>
      <c r="E11" s="136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4.74</v>
      </c>
      <c r="D12" t="n">
        <v>11.4</v>
      </c>
      <c r="E12" s="136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5.14</v>
      </c>
      <c r="D13" t="n">
        <v>13</v>
      </c>
      <c r="E13" s="136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5.57</v>
      </c>
      <c r="D14" t="n">
        <v>14.79</v>
      </c>
      <c r="E14" s="136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6.03</v>
      </c>
      <c r="D15" t="n">
        <v>16.83</v>
      </c>
      <c r="E15" s="136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6.52</v>
      </c>
      <c r="D16" t="n">
        <v>19.16</v>
      </c>
      <c r="E16" s="136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7.05</v>
      </c>
      <c r="D17" t="n">
        <v>21.86</v>
      </c>
      <c r="E17" s="136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初始價金摘要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35000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1.67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1.27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初始價金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35000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-45790.5</v>
      </c>
      <c r="E49" s="195" t="n">
        <v>-45790.5</v>
      </c>
      <c r="F49" s="195" t="n">
        <v>-45790.5</v>
      </c>
      <c r="G49" s="195" t="n">
        <v>-45790.5</v>
      </c>
      <c r="H49" s="195" t="n">
        <v>-45790.5</v>
      </c>
      <c r="I49" s="195" t="n">
        <v>-45790.5</v>
      </c>
      <c r="J49" s="195" t="n">
        <v>-45790.5</v>
      </c>
      <c r="K49" s="195" t="n">
        <v>-45790.5</v>
      </c>
      <c r="L49" s="195" t="n">
        <v>-45790.5</v>
      </c>
      <c r="M49" s="195" t="n">
        <v>-45790.5</v>
      </c>
      <c r="N49" s="195" t="n">
        <v>-45790.5</v>
      </c>
      <c r="O49" s="195" t="n">
        <v>-45790.5</v>
      </c>
      <c r="P49" s="195" t="n">
        <v>-45790.5</v>
      </c>
      <c r="Q49" s="195" t="n">
        <v>-45790.5</v>
      </c>
      <c r="R49" s="195" t="n">
        <v>-45790.5</v>
      </c>
      <c r="S49" s="195" t="n">
        <v>-45790.5</v>
      </c>
      <c r="T49" s="195" t="n">
        <v>-45790.5</v>
      </c>
      <c r="U49" s="195" t="n">
        <v>-45790.5</v>
      </c>
      <c r="V49" s="195" t="n">
        <v>-45790.5</v>
      </c>
      <c r="W49" s="195" t="n">
        <v>-45790.5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-1232709.333333333</v>
      </c>
      <c r="F93" s="245" t="n">
        <v>-1232709.333333333</v>
      </c>
      <c r="G93" s="245" t="n">
        <v>-1232709.333333333</v>
      </c>
      <c r="H93" s="245" t="n">
        <v>-1232709.333333333</v>
      </c>
      <c r="I93" s="245" t="n">
        <v>-1232709.333333333</v>
      </c>
      <c r="J93" s="245" t="n">
        <v>-1232709.333333333</v>
      </c>
      <c r="K93" s="245" t="n">
        <v>-1232709.333333333</v>
      </c>
      <c r="L93" s="245" t="n">
        <v>-1232709.333333333</v>
      </c>
      <c r="M93" s="245" t="n">
        <v>-1232709.333333333</v>
      </c>
      <c r="N93" s="245" t="n">
        <v>-1232709.333333333</v>
      </c>
      <c r="O93" s="245" t="n">
        <v>-1232709.333333333</v>
      </c>
      <c r="P93" s="245" t="n">
        <v>-1232709.333333333</v>
      </c>
      <c r="Q93" s="245" t="n">
        <v>-1232709.333333333</v>
      </c>
      <c r="R93" s="245" t="n">
        <v>-1232709.333333333</v>
      </c>
      <c r="S93" s="245" t="n">
        <v>-1232709.333333333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-1155665</v>
      </c>
      <c r="U96" s="249" t="n">
        <v>-1155665</v>
      </c>
      <c r="V96" s="249" t="n">
        <v>-1155665</v>
      </c>
      <c r="W96" s="249" t="n">
        <v>-1155665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2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34000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1.91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1.99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34000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-44482.2</v>
      </c>
      <c r="E49" s="195" t="n">
        <v>-44482.2</v>
      </c>
      <c r="F49" s="195" t="n">
        <v>-44482.2</v>
      </c>
      <c r="G49" s="195" t="n">
        <v>-44482.2</v>
      </c>
      <c r="H49" s="195" t="n">
        <v>-44482.2</v>
      </c>
      <c r="I49" s="195" t="n">
        <v>-44482.2</v>
      </c>
      <c r="J49" s="195" t="n">
        <v>-44482.2</v>
      </c>
      <c r="K49" s="195" t="n">
        <v>-44482.2</v>
      </c>
      <c r="L49" s="195" t="n">
        <v>-44482.2</v>
      </c>
      <c r="M49" s="195" t="n">
        <v>-44482.2</v>
      </c>
      <c r="N49" s="195" t="n">
        <v>-44482.2</v>
      </c>
      <c r="O49" s="195" t="n">
        <v>-44482.2</v>
      </c>
      <c r="P49" s="195" t="n">
        <v>-44482.2</v>
      </c>
      <c r="Q49" s="195" t="n">
        <v>-44482.2</v>
      </c>
      <c r="R49" s="195" t="n">
        <v>-44482.2</v>
      </c>
      <c r="S49" s="195" t="n">
        <v>-44482.2</v>
      </c>
      <c r="T49" s="195" t="n">
        <v>-44482.2</v>
      </c>
      <c r="U49" s="195" t="n">
        <v>-44482.2</v>
      </c>
      <c r="V49" s="195" t="n">
        <v>-44482.2</v>
      </c>
      <c r="W49" s="195" t="n">
        <v>-44482.2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-1199482.666666667</v>
      </c>
      <c r="F93" s="245" t="n">
        <v>-1199482.666666667</v>
      </c>
      <c r="G93" s="245" t="n">
        <v>-1199482.666666667</v>
      </c>
      <c r="H93" s="245" t="n">
        <v>-1199482.666666667</v>
      </c>
      <c r="I93" s="245" t="n">
        <v>-1199482.666666667</v>
      </c>
      <c r="J93" s="245" t="n">
        <v>-1199482.666666667</v>
      </c>
      <c r="K93" s="245" t="n">
        <v>-1199482.666666667</v>
      </c>
      <c r="L93" s="245" t="n">
        <v>-1199482.666666667</v>
      </c>
      <c r="M93" s="245" t="n">
        <v>-1199482.666666667</v>
      </c>
      <c r="N93" s="245" t="n">
        <v>-1199482.666666667</v>
      </c>
      <c r="O93" s="245" t="n">
        <v>-1199482.666666667</v>
      </c>
      <c r="P93" s="245" t="n">
        <v>-1199482.666666667</v>
      </c>
      <c r="Q93" s="245" t="n">
        <v>-1199482.666666667</v>
      </c>
      <c r="R93" s="245" t="n">
        <v>-1199482.666666667</v>
      </c>
      <c r="S93" s="245" t="n">
        <v>-1199482.666666667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-1124515</v>
      </c>
      <c r="U96" s="249" t="n">
        <v>-1124515</v>
      </c>
      <c r="V96" s="249" t="n">
        <v>-1124515</v>
      </c>
      <c r="W96" s="249" t="n">
        <v>-1124515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3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第2次滾算摘要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33000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2.17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2.75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第2次滾算，減少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33000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-43173.9</v>
      </c>
      <c r="E49" s="195" t="n">
        <v>-43173.9</v>
      </c>
      <c r="F49" s="195" t="n">
        <v>-43173.9</v>
      </c>
      <c r="G49" s="195" t="n">
        <v>-43173.9</v>
      </c>
      <c r="H49" s="195" t="n">
        <v>-43173.9</v>
      </c>
      <c r="I49" s="195" t="n">
        <v>-43173.9</v>
      </c>
      <c r="J49" s="195" t="n">
        <v>-43173.9</v>
      </c>
      <c r="K49" s="195" t="n">
        <v>-43173.9</v>
      </c>
      <c r="L49" s="195" t="n">
        <v>-43173.9</v>
      </c>
      <c r="M49" s="195" t="n">
        <v>-43173.9</v>
      </c>
      <c r="N49" s="195" t="n">
        <v>-43173.9</v>
      </c>
      <c r="O49" s="195" t="n">
        <v>-43173.9</v>
      </c>
      <c r="P49" s="195" t="n">
        <v>-43173.9</v>
      </c>
      <c r="Q49" s="195" t="n">
        <v>-43173.9</v>
      </c>
      <c r="R49" s="195" t="n">
        <v>-43173.9</v>
      </c>
      <c r="S49" s="195" t="n">
        <v>-43173.9</v>
      </c>
      <c r="T49" s="195" t="n">
        <v>-43173.9</v>
      </c>
      <c r="U49" s="195" t="n">
        <v>-43173.9</v>
      </c>
      <c r="V49" s="195" t="n">
        <v>-43173.9</v>
      </c>
      <c r="W49" s="195" t="n">
        <v>-43173.9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-1166256</v>
      </c>
      <c r="F93" s="245" t="n">
        <v>-1166256</v>
      </c>
      <c r="G93" s="245" t="n">
        <v>-1166256</v>
      </c>
      <c r="H93" s="245" t="n">
        <v>-1166256</v>
      </c>
      <c r="I93" s="245" t="n">
        <v>-1166256</v>
      </c>
      <c r="J93" s="245" t="n">
        <v>-1166256</v>
      </c>
      <c r="K93" s="245" t="n">
        <v>-1166256</v>
      </c>
      <c r="L93" s="245" t="n">
        <v>-1166256</v>
      </c>
      <c r="M93" s="245" t="n">
        <v>-1166256</v>
      </c>
      <c r="N93" s="245" t="n">
        <v>-1166256</v>
      </c>
      <c r="O93" s="245" t="n">
        <v>-1166256</v>
      </c>
      <c r="P93" s="245" t="n">
        <v>-1166256</v>
      </c>
      <c r="Q93" s="245" t="n">
        <v>-1166256</v>
      </c>
      <c r="R93" s="245" t="n">
        <v>-1166256</v>
      </c>
      <c r="S93" s="245" t="n">
        <v>-1166256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-1093365</v>
      </c>
      <c r="U96" s="249" t="n">
        <v>-1093365</v>
      </c>
      <c r="V96" s="249" t="n">
        <v>-1093365</v>
      </c>
      <c r="W96" s="249" t="n">
        <v>-1093365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4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第3次滾算摘要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32000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2.44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3.56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第3次滾算，減少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32000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-41865.6</v>
      </c>
      <c r="E49" s="195" t="n">
        <v>-41865.6</v>
      </c>
      <c r="F49" s="195" t="n">
        <v>-41865.6</v>
      </c>
      <c r="G49" s="195" t="n">
        <v>-41865.6</v>
      </c>
      <c r="H49" s="195" t="n">
        <v>-41865.6</v>
      </c>
      <c r="I49" s="195" t="n">
        <v>-41865.6</v>
      </c>
      <c r="J49" s="195" t="n">
        <v>-41865.6</v>
      </c>
      <c r="K49" s="195" t="n">
        <v>-41865.6</v>
      </c>
      <c r="L49" s="195" t="n">
        <v>-41865.6</v>
      </c>
      <c r="M49" s="195" t="n">
        <v>-41865.6</v>
      </c>
      <c r="N49" s="195" t="n">
        <v>-41865.6</v>
      </c>
      <c r="O49" s="195" t="n">
        <v>-41865.6</v>
      </c>
      <c r="P49" s="195" t="n">
        <v>-41865.6</v>
      </c>
      <c r="Q49" s="195" t="n">
        <v>-41865.6</v>
      </c>
      <c r="R49" s="195" t="n">
        <v>-41865.6</v>
      </c>
      <c r="S49" s="195" t="n">
        <v>-41865.6</v>
      </c>
      <c r="T49" s="195" t="n">
        <v>-41865.6</v>
      </c>
      <c r="U49" s="195" t="n">
        <v>-41865.6</v>
      </c>
      <c r="V49" s="195" t="n">
        <v>-41865.6</v>
      </c>
      <c r="W49" s="195" t="n">
        <v>-41865.6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-1133029.333333333</v>
      </c>
      <c r="F93" s="245" t="n">
        <v>-1133029.333333333</v>
      </c>
      <c r="G93" s="245" t="n">
        <v>-1133029.333333333</v>
      </c>
      <c r="H93" s="245" t="n">
        <v>-1133029.333333333</v>
      </c>
      <c r="I93" s="245" t="n">
        <v>-1133029.333333333</v>
      </c>
      <c r="J93" s="245" t="n">
        <v>-1133029.333333333</v>
      </c>
      <c r="K93" s="245" t="n">
        <v>-1133029.333333333</v>
      </c>
      <c r="L93" s="245" t="n">
        <v>-1133029.333333333</v>
      </c>
      <c r="M93" s="245" t="n">
        <v>-1133029.333333333</v>
      </c>
      <c r="N93" s="245" t="n">
        <v>-1133029.333333333</v>
      </c>
      <c r="O93" s="245" t="n">
        <v>-1133029.333333333</v>
      </c>
      <c r="P93" s="245" t="n">
        <v>-1133029.333333333</v>
      </c>
      <c r="Q93" s="245" t="n">
        <v>-1133029.333333333</v>
      </c>
      <c r="R93" s="245" t="n">
        <v>-1133029.333333333</v>
      </c>
      <c r="S93" s="245" t="n">
        <v>-1133029.333333333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-1062215</v>
      </c>
      <c r="U96" s="249" t="n">
        <v>-1062215</v>
      </c>
      <c r="V96" s="249" t="n">
        <v>-1062215</v>
      </c>
      <c r="W96" s="249" t="n">
        <v>-1062215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5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第4次滾算摘要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31000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2.72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4.43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第4次滾算，減少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31000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-40557.3</v>
      </c>
      <c r="E49" s="195" t="n">
        <v>-40557.3</v>
      </c>
      <c r="F49" s="195" t="n">
        <v>-40557.3</v>
      </c>
      <c r="G49" s="195" t="n">
        <v>-40557.3</v>
      </c>
      <c r="H49" s="195" t="n">
        <v>-40557.3</v>
      </c>
      <c r="I49" s="195" t="n">
        <v>-40557.3</v>
      </c>
      <c r="J49" s="195" t="n">
        <v>-40557.3</v>
      </c>
      <c r="K49" s="195" t="n">
        <v>-40557.3</v>
      </c>
      <c r="L49" s="195" t="n">
        <v>-40557.3</v>
      </c>
      <c r="M49" s="195" t="n">
        <v>-40557.3</v>
      </c>
      <c r="N49" s="195" t="n">
        <v>-40557.3</v>
      </c>
      <c r="O49" s="195" t="n">
        <v>-40557.3</v>
      </c>
      <c r="P49" s="195" t="n">
        <v>-40557.3</v>
      </c>
      <c r="Q49" s="195" t="n">
        <v>-40557.3</v>
      </c>
      <c r="R49" s="195" t="n">
        <v>-40557.3</v>
      </c>
      <c r="S49" s="195" t="n">
        <v>-40557.3</v>
      </c>
      <c r="T49" s="195" t="n">
        <v>-40557.3</v>
      </c>
      <c r="U49" s="195" t="n">
        <v>-40557.3</v>
      </c>
      <c r="V49" s="195" t="n">
        <v>-40557.3</v>
      </c>
      <c r="W49" s="195" t="n">
        <v>-40557.3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-1099802.666666667</v>
      </c>
      <c r="F93" s="245" t="n">
        <v>-1099802.666666667</v>
      </c>
      <c r="G93" s="245" t="n">
        <v>-1099802.666666667</v>
      </c>
      <c r="H93" s="245" t="n">
        <v>-1099802.666666667</v>
      </c>
      <c r="I93" s="245" t="n">
        <v>-1099802.666666667</v>
      </c>
      <c r="J93" s="245" t="n">
        <v>-1099802.666666667</v>
      </c>
      <c r="K93" s="245" t="n">
        <v>-1099802.666666667</v>
      </c>
      <c r="L93" s="245" t="n">
        <v>-1099802.666666667</v>
      </c>
      <c r="M93" s="245" t="n">
        <v>-1099802.666666667</v>
      </c>
      <c r="N93" s="245" t="n">
        <v>-1099802.666666667</v>
      </c>
      <c r="O93" s="245" t="n">
        <v>-1099802.666666667</v>
      </c>
      <c r="P93" s="245" t="n">
        <v>-1099802.666666667</v>
      </c>
      <c r="Q93" s="245" t="n">
        <v>-1099802.666666667</v>
      </c>
      <c r="R93" s="245" t="n">
        <v>-1099802.666666667</v>
      </c>
      <c r="S93" s="245" t="n">
        <v>-1099802.666666667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-1031065</v>
      </c>
      <c r="U96" s="249" t="n">
        <v>-1031065</v>
      </c>
      <c r="V96" s="249" t="n">
        <v>-1031065</v>
      </c>
      <c r="W96" s="249" t="n">
        <v>-1031065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6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第5次滾算摘要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30000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3.02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5.37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第5次滾算，減少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30000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-39249</v>
      </c>
      <c r="E49" s="195" t="n">
        <v>-39249</v>
      </c>
      <c r="F49" s="195" t="n">
        <v>-39249</v>
      </c>
      <c r="G49" s="195" t="n">
        <v>-39249</v>
      </c>
      <c r="H49" s="195" t="n">
        <v>-39249</v>
      </c>
      <c r="I49" s="195" t="n">
        <v>-39249</v>
      </c>
      <c r="J49" s="195" t="n">
        <v>-39249</v>
      </c>
      <c r="K49" s="195" t="n">
        <v>-39249</v>
      </c>
      <c r="L49" s="195" t="n">
        <v>-39249</v>
      </c>
      <c r="M49" s="195" t="n">
        <v>-39249</v>
      </c>
      <c r="N49" s="195" t="n">
        <v>-39249</v>
      </c>
      <c r="O49" s="195" t="n">
        <v>-39249</v>
      </c>
      <c r="P49" s="195" t="n">
        <v>-39249</v>
      </c>
      <c r="Q49" s="195" t="n">
        <v>-39249</v>
      </c>
      <c r="R49" s="195" t="n">
        <v>-39249</v>
      </c>
      <c r="S49" s="195" t="n">
        <v>-39249</v>
      </c>
      <c r="T49" s="195" t="n">
        <v>-39249</v>
      </c>
      <c r="U49" s="195" t="n">
        <v>-39249</v>
      </c>
      <c r="V49" s="195" t="n">
        <v>-39249</v>
      </c>
      <c r="W49" s="195" t="n">
        <v>-39249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-1066576</v>
      </c>
      <c r="F93" s="245" t="n">
        <v>-1066576</v>
      </c>
      <c r="G93" s="245" t="n">
        <v>-1066576</v>
      </c>
      <c r="H93" s="245" t="n">
        <v>-1066576</v>
      </c>
      <c r="I93" s="245" t="n">
        <v>-1066576</v>
      </c>
      <c r="J93" s="245" t="n">
        <v>-1066576</v>
      </c>
      <c r="K93" s="245" t="n">
        <v>-1066576</v>
      </c>
      <c r="L93" s="245" t="n">
        <v>-1066576</v>
      </c>
      <c r="M93" s="245" t="n">
        <v>-1066576</v>
      </c>
      <c r="N93" s="245" t="n">
        <v>-1066576</v>
      </c>
      <c r="O93" s="245" t="n">
        <v>-1066576</v>
      </c>
      <c r="P93" s="245" t="n">
        <v>-1066576</v>
      </c>
      <c r="Q93" s="245" t="n">
        <v>-1066576</v>
      </c>
      <c r="R93" s="245" t="n">
        <v>-1066576</v>
      </c>
      <c r="S93" s="245" t="n">
        <v>-1066576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-999915</v>
      </c>
      <c r="U96" s="249" t="n">
        <v>-999915</v>
      </c>
      <c r="V96" s="249" t="n">
        <v>-999915</v>
      </c>
      <c r="W96" s="249" t="n">
        <v>-999915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7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第6次滾算摘要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29000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3.32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6.37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第6次滾算，減少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29000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-37940.7</v>
      </c>
      <c r="E49" s="195" t="n">
        <v>-37940.7</v>
      </c>
      <c r="F49" s="195" t="n">
        <v>-37940.7</v>
      </c>
      <c r="G49" s="195" t="n">
        <v>-37940.7</v>
      </c>
      <c r="H49" s="195" t="n">
        <v>-37940.7</v>
      </c>
      <c r="I49" s="195" t="n">
        <v>-37940.7</v>
      </c>
      <c r="J49" s="195" t="n">
        <v>-37940.7</v>
      </c>
      <c r="K49" s="195" t="n">
        <v>-37940.7</v>
      </c>
      <c r="L49" s="195" t="n">
        <v>-37940.7</v>
      </c>
      <c r="M49" s="195" t="n">
        <v>-37940.7</v>
      </c>
      <c r="N49" s="195" t="n">
        <v>-37940.7</v>
      </c>
      <c r="O49" s="195" t="n">
        <v>-37940.7</v>
      </c>
      <c r="P49" s="195" t="n">
        <v>-37940.7</v>
      </c>
      <c r="Q49" s="195" t="n">
        <v>-37940.7</v>
      </c>
      <c r="R49" s="195" t="n">
        <v>-37940.7</v>
      </c>
      <c r="S49" s="195" t="n">
        <v>-37940.7</v>
      </c>
      <c r="T49" s="195" t="n">
        <v>-37940.7</v>
      </c>
      <c r="U49" s="195" t="n">
        <v>-37940.7</v>
      </c>
      <c r="V49" s="195" t="n">
        <v>-37940.7</v>
      </c>
      <c r="W49" s="195" t="n">
        <v>-37940.7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-1033349.333333333</v>
      </c>
      <c r="F93" s="245" t="n">
        <v>-1033349.333333333</v>
      </c>
      <c r="G93" s="245" t="n">
        <v>-1033349.333333333</v>
      </c>
      <c r="H93" s="245" t="n">
        <v>-1033349.333333333</v>
      </c>
      <c r="I93" s="245" t="n">
        <v>-1033349.333333333</v>
      </c>
      <c r="J93" s="245" t="n">
        <v>-1033349.333333333</v>
      </c>
      <c r="K93" s="245" t="n">
        <v>-1033349.333333333</v>
      </c>
      <c r="L93" s="245" t="n">
        <v>-1033349.333333333</v>
      </c>
      <c r="M93" s="245" t="n">
        <v>-1033349.333333333</v>
      </c>
      <c r="N93" s="245" t="n">
        <v>-1033349.333333333</v>
      </c>
      <c r="O93" s="245" t="n">
        <v>-1033349.333333333</v>
      </c>
      <c r="P93" s="245" t="n">
        <v>-1033349.333333333</v>
      </c>
      <c r="Q93" s="245" t="n">
        <v>-1033349.333333333</v>
      </c>
      <c r="R93" s="245" t="n">
        <v>-1033349.333333333</v>
      </c>
      <c r="S93" s="245" t="n">
        <v>-1033349.333333333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-968765</v>
      </c>
      <c r="U96" s="249" t="n">
        <v>-968765</v>
      </c>
      <c r="V96" s="249" t="n">
        <v>-968765</v>
      </c>
      <c r="W96" s="249" t="n">
        <v>-968765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8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第7次滾算摘要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28000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3.65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7.46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第7次滾算，減少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28000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-36632.4</v>
      </c>
      <c r="E49" s="195" t="n">
        <v>-36632.4</v>
      </c>
      <c r="F49" s="195" t="n">
        <v>-36632.4</v>
      </c>
      <c r="G49" s="195" t="n">
        <v>-36632.4</v>
      </c>
      <c r="H49" s="195" t="n">
        <v>-36632.4</v>
      </c>
      <c r="I49" s="195" t="n">
        <v>-36632.4</v>
      </c>
      <c r="J49" s="195" t="n">
        <v>-36632.4</v>
      </c>
      <c r="K49" s="195" t="n">
        <v>-36632.4</v>
      </c>
      <c r="L49" s="195" t="n">
        <v>-36632.4</v>
      </c>
      <c r="M49" s="195" t="n">
        <v>-36632.4</v>
      </c>
      <c r="N49" s="195" t="n">
        <v>-36632.4</v>
      </c>
      <c r="O49" s="195" t="n">
        <v>-36632.4</v>
      </c>
      <c r="P49" s="195" t="n">
        <v>-36632.4</v>
      </c>
      <c r="Q49" s="195" t="n">
        <v>-36632.4</v>
      </c>
      <c r="R49" s="195" t="n">
        <v>-36632.4</v>
      </c>
      <c r="S49" s="195" t="n">
        <v>-36632.4</v>
      </c>
      <c r="T49" s="195" t="n">
        <v>-36632.4</v>
      </c>
      <c r="U49" s="195" t="n">
        <v>-36632.4</v>
      </c>
      <c r="V49" s="195" t="n">
        <v>-36632.4</v>
      </c>
      <c r="W49" s="195" t="n">
        <v>-36632.4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-1000122.666666667</v>
      </c>
      <c r="F93" s="245" t="n">
        <v>-1000122.666666667</v>
      </c>
      <c r="G93" s="245" t="n">
        <v>-1000122.666666667</v>
      </c>
      <c r="H93" s="245" t="n">
        <v>-1000122.666666667</v>
      </c>
      <c r="I93" s="245" t="n">
        <v>-1000122.666666667</v>
      </c>
      <c r="J93" s="245" t="n">
        <v>-1000122.666666667</v>
      </c>
      <c r="K93" s="245" t="n">
        <v>-1000122.666666667</v>
      </c>
      <c r="L93" s="245" t="n">
        <v>-1000122.666666667</v>
      </c>
      <c r="M93" s="245" t="n">
        <v>-1000122.666666667</v>
      </c>
      <c r="N93" s="245" t="n">
        <v>-1000122.666666667</v>
      </c>
      <c r="O93" s="245" t="n">
        <v>-1000122.666666667</v>
      </c>
      <c r="P93" s="245" t="n">
        <v>-1000122.666666667</v>
      </c>
      <c r="Q93" s="245" t="n">
        <v>-1000122.666666667</v>
      </c>
      <c r="R93" s="245" t="n">
        <v>-1000122.666666667</v>
      </c>
      <c r="S93" s="245" t="n">
        <v>-1000122.666666667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-937615</v>
      </c>
      <c r="U96" s="249" t="n">
        <v>-937615</v>
      </c>
      <c r="V96" s="249" t="n">
        <v>-937615</v>
      </c>
      <c r="W96" s="249" t="n">
        <v>-937615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9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第8次滾算摘要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27000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3.99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8.65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第8次滾算，減少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27000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-35324.1</v>
      </c>
      <c r="E49" s="195" t="n">
        <v>-35324.1</v>
      </c>
      <c r="F49" s="195" t="n">
        <v>-35324.1</v>
      </c>
      <c r="G49" s="195" t="n">
        <v>-35324.1</v>
      </c>
      <c r="H49" s="195" t="n">
        <v>-35324.1</v>
      </c>
      <c r="I49" s="195" t="n">
        <v>-35324.1</v>
      </c>
      <c r="J49" s="195" t="n">
        <v>-35324.1</v>
      </c>
      <c r="K49" s="195" t="n">
        <v>-35324.1</v>
      </c>
      <c r="L49" s="195" t="n">
        <v>-35324.1</v>
      </c>
      <c r="M49" s="195" t="n">
        <v>-35324.1</v>
      </c>
      <c r="N49" s="195" t="n">
        <v>-35324.1</v>
      </c>
      <c r="O49" s="195" t="n">
        <v>-35324.1</v>
      </c>
      <c r="P49" s="195" t="n">
        <v>-35324.1</v>
      </c>
      <c r="Q49" s="195" t="n">
        <v>-35324.1</v>
      </c>
      <c r="R49" s="195" t="n">
        <v>-35324.1</v>
      </c>
      <c r="S49" s="195" t="n">
        <v>-35324.1</v>
      </c>
      <c r="T49" s="195" t="n">
        <v>-35324.1</v>
      </c>
      <c r="U49" s="195" t="n">
        <v>-35324.1</v>
      </c>
      <c r="V49" s="195" t="n">
        <v>-35324.1</v>
      </c>
      <c r="W49" s="195" t="n">
        <v>-35324.1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-966896</v>
      </c>
      <c r="F93" s="245" t="n">
        <v>-966896</v>
      </c>
      <c r="G93" s="245" t="n">
        <v>-966896</v>
      </c>
      <c r="H93" s="245" t="n">
        <v>-966896</v>
      </c>
      <c r="I93" s="245" t="n">
        <v>-966896</v>
      </c>
      <c r="J93" s="245" t="n">
        <v>-966896</v>
      </c>
      <c r="K93" s="245" t="n">
        <v>-966896</v>
      </c>
      <c r="L93" s="245" t="n">
        <v>-966896</v>
      </c>
      <c r="M93" s="245" t="n">
        <v>-966896</v>
      </c>
      <c r="N93" s="245" t="n">
        <v>-966896</v>
      </c>
      <c r="O93" s="245" t="n">
        <v>-966896</v>
      </c>
      <c r="P93" s="245" t="n">
        <v>-966896</v>
      </c>
      <c r="Q93" s="245" t="n">
        <v>-966896</v>
      </c>
      <c r="R93" s="245" t="n">
        <v>-966896</v>
      </c>
      <c r="S93" s="245" t="n">
        <v>-966896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-906465</v>
      </c>
      <c r="U96" s="249" t="n">
        <v>-906465</v>
      </c>
      <c r="V96" s="249" t="n">
        <v>-906465</v>
      </c>
      <c r="W96" s="249" t="n">
        <v>-906465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10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第9次滾算摘要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26000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4.35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9.96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第9次滾算，減少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26000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-34015.8</v>
      </c>
      <c r="E49" s="195" t="n">
        <v>-34015.8</v>
      </c>
      <c r="F49" s="195" t="n">
        <v>-34015.8</v>
      </c>
      <c r="G49" s="195" t="n">
        <v>-34015.8</v>
      </c>
      <c r="H49" s="195" t="n">
        <v>-34015.8</v>
      </c>
      <c r="I49" s="195" t="n">
        <v>-34015.8</v>
      </c>
      <c r="J49" s="195" t="n">
        <v>-34015.8</v>
      </c>
      <c r="K49" s="195" t="n">
        <v>-34015.8</v>
      </c>
      <c r="L49" s="195" t="n">
        <v>-34015.8</v>
      </c>
      <c r="M49" s="195" t="n">
        <v>-34015.8</v>
      </c>
      <c r="N49" s="195" t="n">
        <v>-34015.8</v>
      </c>
      <c r="O49" s="195" t="n">
        <v>-34015.8</v>
      </c>
      <c r="P49" s="195" t="n">
        <v>-34015.8</v>
      </c>
      <c r="Q49" s="195" t="n">
        <v>-34015.8</v>
      </c>
      <c r="R49" s="195" t="n">
        <v>-34015.8</v>
      </c>
      <c r="S49" s="195" t="n">
        <v>-34015.8</v>
      </c>
      <c r="T49" s="195" t="n">
        <v>-34015.8</v>
      </c>
      <c r="U49" s="195" t="n">
        <v>-34015.8</v>
      </c>
      <c r="V49" s="195" t="n">
        <v>-34015.8</v>
      </c>
      <c r="W49" s="195" t="n">
        <v>-34015.8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-933669.3333333334</v>
      </c>
      <c r="F93" s="245" t="n">
        <v>-933669.3333333334</v>
      </c>
      <c r="G93" s="245" t="n">
        <v>-933669.3333333334</v>
      </c>
      <c r="H93" s="245" t="n">
        <v>-933669.3333333334</v>
      </c>
      <c r="I93" s="245" t="n">
        <v>-933669.3333333334</v>
      </c>
      <c r="J93" s="245" t="n">
        <v>-933669.3333333334</v>
      </c>
      <c r="K93" s="245" t="n">
        <v>-933669.3333333334</v>
      </c>
      <c r="L93" s="245" t="n">
        <v>-933669.3333333334</v>
      </c>
      <c r="M93" s="245" t="n">
        <v>-933669.3333333334</v>
      </c>
      <c r="N93" s="245" t="n">
        <v>-933669.3333333334</v>
      </c>
      <c r="O93" s="245" t="n">
        <v>-933669.3333333334</v>
      </c>
      <c r="P93" s="245" t="n">
        <v>-933669.3333333334</v>
      </c>
      <c r="Q93" s="245" t="n">
        <v>-933669.3333333334</v>
      </c>
      <c r="R93" s="245" t="n">
        <v>-933669.3333333334</v>
      </c>
      <c r="S93" s="245" t="n">
        <v>-933669.3333333334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-875315</v>
      </c>
      <c r="U96" s="249" t="n">
        <v>-875315</v>
      </c>
      <c r="V96" s="249" t="n">
        <v>-875315</v>
      </c>
      <c r="W96" s="249" t="n">
        <v>-875315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11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第10次滾算摘要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25000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4.74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11.4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第10次滾算，減少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25000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-32707.5</v>
      </c>
      <c r="E49" s="195" t="n">
        <v>-32707.5</v>
      </c>
      <c r="F49" s="195" t="n">
        <v>-32707.5</v>
      </c>
      <c r="G49" s="195" t="n">
        <v>-32707.5</v>
      </c>
      <c r="H49" s="195" t="n">
        <v>-32707.5</v>
      </c>
      <c r="I49" s="195" t="n">
        <v>-32707.5</v>
      </c>
      <c r="J49" s="195" t="n">
        <v>-32707.5</v>
      </c>
      <c r="K49" s="195" t="n">
        <v>-32707.5</v>
      </c>
      <c r="L49" s="195" t="n">
        <v>-32707.5</v>
      </c>
      <c r="M49" s="195" t="n">
        <v>-32707.5</v>
      </c>
      <c r="N49" s="195" t="n">
        <v>-32707.5</v>
      </c>
      <c r="O49" s="195" t="n">
        <v>-32707.5</v>
      </c>
      <c r="P49" s="195" t="n">
        <v>-32707.5</v>
      </c>
      <c r="Q49" s="195" t="n">
        <v>-32707.5</v>
      </c>
      <c r="R49" s="195" t="n">
        <v>-32707.5</v>
      </c>
      <c r="S49" s="195" t="n">
        <v>-32707.5</v>
      </c>
      <c r="T49" s="195" t="n">
        <v>-32707.5</v>
      </c>
      <c r="U49" s="195" t="n">
        <v>-32707.5</v>
      </c>
      <c r="V49" s="195" t="n">
        <v>-32707.5</v>
      </c>
      <c r="W49" s="195" t="n">
        <v>-32707.5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-900442.6666666666</v>
      </c>
      <c r="F93" s="245" t="n">
        <v>-900442.6666666666</v>
      </c>
      <c r="G93" s="245" t="n">
        <v>-900442.6666666666</v>
      </c>
      <c r="H93" s="245" t="n">
        <v>-900442.6666666666</v>
      </c>
      <c r="I93" s="245" t="n">
        <v>-900442.6666666666</v>
      </c>
      <c r="J93" s="245" t="n">
        <v>-900442.6666666666</v>
      </c>
      <c r="K93" s="245" t="n">
        <v>-900442.6666666666</v>
      </c>
      <c r="L93" s="245" t="n">
        <v>-900442.6666666666</v>
      </c>
      <c r="M93" s="245" t="n">
        <v>-900442.6666666666</v>
      </c>
      <c r="N93" s="245" t="n">
        <v>-900442.6666666666</v>
      </c>
      <c r="O93" s="245" t="n">
        <v>-900442.6666666666</v>
      </c>
      <c r="P93" s="245" t="n">
        <v>-900442.6666666666</v>
      </c>
      <c r="Q93" s="245" t="n">
        <v>-900442.6666666666</v>
      </c>
      <c r="R93" s="245" t="n">
        <v>-900442.6666666666</v>
      </c>
      <c r="S93" s="245" t="n">
        <v>-900442.6666666666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-844165</v>
      </c>
      <c r="U96" s="249" t="n">
        <v>-844165</v>
      </c>
      <c r="V96" s="249" t="n">
        <v>-844165</v>
      </c>
      <c r="W96" s="249" t="n">
        <v>-844165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12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第11次滾算摘要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24000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5.14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13.0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第11次滾算，減少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24000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-31399.2</v>
      </c>
      <c r="E49" s="195" t="n">
        <v>-31399.2</v>
      </c>
      <c r="F49" s="195" t="n">
        <v>-31399.2</v>
      </c>
      <c r="G49" s="195" t="n">
        <v>-31399.2</v>
      </c>
      <c r="H49" s="195" t="n">
        <v>-31399.2</v>
      </c>
      <c r="I49" s="195" t="n">
        <v>-31399.2</v>
      </c>
      <c r="J49" s="195" t="n">
        <v>-31399.2</v>
      </c>
      <c r="K49" s="195" t="n">
        <v>-31399.2</v>
      </c>
      <c r="L49" s="195" t="n">
        <v>-31399.2</v>
      </c>
      <c r="M49" s="195" t="n">
        <v>-31399.2</v>
      </c>
      <c r="N49" s="195" t="n">
        <v>-31399.2</v>
      </c>
      <c r="O49" s="195" t="n">
        <v>-31399.2</v>
      </c>
      <c r="P49" s="195" t="n">
        <v>-31399.2</v>
      </c>
      <c r="Q49" s="195" t="n">
        <v>-31399.2</v>
      </c>
      <c r="R49" s="195" t="n">
        <v>-31399.2</v>
      </c>
      <c r="S49" s="195" t="n">
        <v>-31399.2</v>
      </c>
      <c r="T49" s="195" t="n">
        <v>-31399.2</v>
      </c>
      <c r="U49" s="195" t="n">
        <v>-31399.2</v>
      </c>
      <c r="V49" s="195" t="n">
        <v>-31399.2</v>
      </c>
      <c r="W49" s="195" t="n">
        <v>-31399.2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-867216</v>
      </c>
      <c r="F93" s="245" t="n">
        <v>-867216</v>
      </c>
      <c r="G93" s="245" t="n">
        <v>-867216</v>
      </c>
      <c r="H93" s="245" t="n">
        <v>-867216</v>
      </c>
      <c r="I93" s="245" t="n">
        <v>-867216</v>
      </c>
      <c r="J93" s="245" t="n">
        <v>-867216</v>
      </c>
      <c r="K93" s="245" t="n">
        <v>-867216</v>
      </c>
      <c r="L93" s="245" t="n">
        <v>-867216</v>
      </c>
      <c r="M93" s="245" t="n">
        <v>-867216</v>
      </c>
      <c r="N93" s="245" t="n">
        <v>-867216</v>
      </c>
      <c r="O93" s="245" t="n">
        <v>-867216</v>
      </c>
      <c r="P93" s="245" t="n">
        <v>-867216</v>
      </c>
      <c r="Q93" s="245" t="n">
        <v>-867216</v>
      </c>
      <c r="R93" s="245" t="n">
        <v>-867216</v>
      </c>
      <c r="S93" s="245" t="n">
        <v>-867216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-813015</v>
      </c>
      <c r="U96" s="249" t="n">
        <v>-813015</v>
      </c>
      <c r="V96" s="249" t="n">
        <v>-813015</v>
      </c>
      <c r="W96" s="249" t="n">
        <v>-813015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13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第12次滾算摘要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23000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5.57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14.79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第12次滾算，減少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23000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-30090.9</v>
      </c>
      <c r="E49" s="195" t="n">
        <v>-30090.9</v>
      </c>
      <c r="F49" s="195" t="n">
        <v>-30090.9</v>
      </c>
      <c r="G49" s="195" t="n">
        <v>-30090.9</v>
      </c>
      <c r="H49" s="195" t="n">
        <v>-30090.9</v>
      </c>
      <c r="I49" s="195" t="n">
        <v>-30090.9</v>
      </c>
      <c r="J49" s="195" t="n">
        <v>-30090.9</v>
      </c>
      <c r="K49" s="195" t="n">
        <v>-30090.9</v>
      </c>
      <c r="L49" s="195" t="n">
        <v>-30090.9</v>
      </c>
      <c r="M49" s="195" t="n">
        <v>-30090.9</v>
      </c>
      <c r="N49" s="195" t="n">
        <v>-30090.9</v>
      </c>
      <c r="O49" s="195" t="n">
        <v>-30090.9</v>
      </c>
      <c r="P49" s="195" t="n">
        <v>-30090.9</v>
      </c>
      <c r="Q49" s="195" t="n">
        <v>-30090.9</v>
      </c>
      <c r="R49" s="195" t="n">
        <v>-30090.9</v>
      </c>
      <c r="S49" s="195" t="n">
        <v>-30090.9</v>
      </c>
      <c r="T49" s="195" t="n">
        <v>-30090.9</v>
      </c>
      <c r="U49" s="195" t="n">
        <v>-30090.9</v>
      </c>
      <c r="V49" s="195" t="n">
        <v>-30090.9</v>
      </c>
      <c r="W49" s="195" t="n">
        <v>-30090.9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-833989.3333333334</v>
      </c>
      <c r="F93" s="245" t="n">
        <v>-833989.3333333334</v>
      </c>
      <c r="G93" s="245" t="n">
        <v>-833989.3333333334</v>
      </c>
      <c r="H93" s="245" t="n">
        <v>-833989.3333333334</v>
      </c>
      <c r="I93" s="245" t="n">
        <v>-833989.3333333334</v>
      </c>
      <c r="J93" s="245" t="n">
        <v>-833989.3333333334</v>
      </c>
      <c r="K93" s="245" t="n">
        <v>-833989.3333333334</v>
      </c>
      <c r="L93" s="245" t="n">
        <v>-833989.3333333334</v>
      </c>
      <c r="M93" s="245" t="n">
        <v>-833989.3333333334</v>
      </c>
      <c r="N93" s="245" t="n">
        <v>-833989.3333333334</v>
      </c>
      <c r="O93" s="245" t="n">
        <v>-833989.3333333334</v>
      </c>
      <c r="P93" s="245" t="n">
        <v>-833989.3333333334</v>
      </c>
      <c r="Q93" s="245" t="n">
        <v>-833989.3333333334</v>
      </c>
      <c r="R93" s="245" t="n">
        <v>-833989.3333333334</v>
      </c>
      <c r="S93" s="245" t="n">
        <v>-833989.3333333334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-781865</v>
      </c>
      <c r="U96" s="249" t="n">
        <v>-781865</v>
      </c>
      <c r="V96" s="249" t="n">
        <v>-781865</v>
      </c>
      <c r="W96" s="249" t="n">
        <v>-781865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14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第13次滾算摘要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22000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6.03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16.83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第13次滾算，減少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22000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-28782.6</v>
      </c>
      <c r="E49" s="195" t="n">
        <v>-28782.6</v>
      </c>
      <c r="F49" s="195" t="n">
        <v>-28782.6</v>
      </c>
      <c r="G49" s="195" t="n">
        <v>-28782.6</v>
      </c>
      <c r="H49" s="195" t="n">
        <v>-28782.6</v>
      </c>
      <c r="I49" s="195" t="n">
        <v>-28782.6</v>
      </c>
      <c r="J49" s="195" t="n">
        <v>-28782.6</v>
      </c>
      <c r="K49" s="195" t="n">
        <v>-28782.6</v>
      </c>
      <c r="L49" s="195" t="n">
        <v>-28782.6</v>
      </c>
      <c r="M49" s="195" t="n">
        <v>-28782.6</v>
      </c>
      <c r="N49" s="195" t="n">
        <v>-28782.6</v>
      </c>
      <c r="O49" s="195" t="n">
        <v>-28782.6</v>
      </c>
      <c r="P49" s="195" t="n">
        <v>-28782.6</v>
      </c>
      <c r="Q49" s="195" t="n">
        <v>-28782.6</v>
      </c>
      <c r="R49" s="195" t="n">
        <v>-28782.6</v>
      </c>
      <c r="S49" s="195" t="n">
        <v>-28782.6</v>
      </c>
      <c r="T49" s="195" t="n">
        <v>-28782.6</v>
      </c>
      <c r="U49" s="195" t="n">
        <v>-28782.6</v>
      </c>
      <c r="V49" s="195" t="n">
        <v>-28782.6</v>
      </c>
      <c r="W49" s="195" t="n">
        <v>-28782.6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-800762.6666666666</v>
      </c>
      <c r="F93" s="245" t="n">
        <v>-800762.6666666666</v>
      </c>
      <c r="G93" s="245" t="n">
        <v>-800762.6666666666</v>
      </c>
      <c r="H93" s="245" t="n">
        <v>-800762.6666666666</v>
      </c>
      <c r="I93" s="245" t="n">
        <v>-800762.6666666666</v>
      </c>
      <c r="J93" s="245" t="n">
        <v>-800762.6666666666</v>
      </c>
      <c r="K93" s="245" t="n">
        <v>-800762.6666666666</v>
      </c>
      <c r="L93" s="245" t="n">
        <v>-800762.6666666666</v>
      </c>
      <c r="M93" s="245" t="n">
        <v>-800762.6666666666</v>
      </c>
      <c r="N93" s="245" t="n">
        <v>-800762.6666666666</v>
      </c>
      <c r="O93" s="245" t="n">
        <v>-800762.6666666666</v>
      </c>
      <c r="P93" s="245" t="n">
        <v>-800762.6666666666</v>
      </c>
      <c r="Q93" s="245" t="n">
        <v>-800762.6666666666</v>
      </c>
      <c r="R93" s="245" t="n">
        <v>-800762.6666666666</v>
      </c>
      <c r="S93" s="245" t="n">
        <v>-800762.6666666666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-750715</v>
      </c>
      <c r="U96" s="249" t="n">
        <v>-750715</v>
      </c>
      <c r="V96" s="249" t="n">
        <v>-750715</v>
      </c>
      <c r="W96" s="249" t="n">
        <v>-750715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15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第14次滾算摘要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21000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6.52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19.16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第14次滾算，減少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21000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-27474.3</v>
      </c>
      <c r="E49" s="195" t="n">
        <v>-27474.3</v>
      </c>
      <c r="F49" s="195" t="n">
        <v>-27474.3</v>
      </c>
      <c r="G49" s="195" t="n">
        <v>-27474.3</v>
      </c>
      <c r="H49" s="195" t="n">
        <v>-27474.3</v>
      </c>
      <c r="I49" s="195" t="n">
        <v>-27474.3</v>
      </c>
      <c r="J49" s="195" t="n">
        <v>-27474.3</v>
      </c>
      <c r="K49" s="195" t="n">
        <v>-27474.3</v>
      </c>
      <c r="L49" s="195" t="n">
        <v>-27474.3</v>
      </c>
      <c r="M49" s="195" t="n">
        <v>-27474.3</v>
      </c>
      <c r="N49" s="195" t="n">
        <v>-27474.3</v>
      </c>
      <c r="O49" s="195" t="n">
        <v>-27474.3</v>
      </c>
      <c r="P49" s="195" t="n">
        <v>-27474.3</v>
      </c>
      <c r="Q49" s="195" t="n">
        <v>-27474.3</v>
      </c>
      <c r="R49" s="195" t="n">
        <v>-27474.3</v>
      </c>
      <c r="S49" s="195" t="n">
        <v>-27474.3</v>
      </c>
      <c r="T49" s="195" t="n">
        <v>-27474.3</v>
      </c>
      <c r="U49" s="195" t="n">
        <v>-27474.3</v>
      </c>
      <c r="V49" s="195" t="n">
        <v>-27474.3</v>
      </c>
      <c r="W49" s="195" t="n">
        <v>-27474.3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-767536</v>
      </c>
      <c r="F93" s="245" t="n">
        <v>-767536</v>
      </c>
      <c r="G93" s="245" t="n">
        <v>-767536</v>
      </c>
      <c r="H93" s="245" t="n">
        <v>-767536</v>
      </c>
      <c r="I93" s="245" t="n">
        <v>-767536</v>
      </c>
      <c r="J93" s="245" t="n">
        <v>-767536</v>
      </c>
      <c r="K93" s="245" t="n">
        <v>-767536</v>
      </c>
      <c r="L93" s="245" t="n">
        <v>-767536</v>
      </c>
      <c r="M93" s="245" t="n">
        <v>-767536</v>
      </c>
      <c r="N93" s="245" t="n">
        <v>-767536</v>
      </c>
      <c r="O93" s="245" t="n">
        <v>-767536</v>
      </c>
      <c r="P93" s="245" t="n">
        <v>-767536</v>
      </c>
      <c r="Q93" s="245" t="n">
        <v>-767536</v>
      </c>
      <c r="R93" s="245" t="n">
        <v>-767536</v>
      </c>
      <c r="S93" s="245" t="n">
        <v>-767536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-719565</v>
      </c>
      <c r="U96" s="249" t="n">
        <v>-719565</v>
      </c>
      <c r="V96" s="249" t="n">
        <v>-719565</v>
      </c>
      <c r="W96" s="249" t="n">
        <v>-719565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16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第15次滾算摘要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20000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7.05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21.86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第15次滾算，減少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20000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-26166</v>
      </c>
      <c r="E49" s="195" t="n">
        <v>-26166</v>
      </c>
      <c r="F49" s="195" t="n">
        <v>-26166</v>
      </c>
      <c r="G49" s="195" t="n">
        <v>-26166</v>
      </c>
      <c r="H49" s="195" t="n">
        <v>-26166</v>
      </c>
      <c r="I49" s="195" t="n">
        <v>-26166</v>
      </c>
      <c r="J49" s="195" t="n">
        <v>-26166</v>
      </c>
      <c r="K49" s="195" t="n">
        <v>-26166</v>
      </c>
      <c r="L49" s="195" t="n">
        <v>-26166</v>
      </c>
      <c r="M49" s="195" t="n">
        <v>-26166</v>
      </c>
      <c r="N49" s="195" t="n">
        <v>-26166</v>
      </c>
      <c r="O49" s="195" t="n">
        <v>-26166</v>
      </c>
      <c r="P49" s="195" t="n">
        <v>-26166</v>
      </c>
      <c r="Q49" s="195" t="n">
        <v>-26166</v>
      </c>
      <c r="R49" s="195" t="n">
        <v>-26166</v>
      </c>
      <c r="S49" s="195" t="n">
        <v>-26166</v>
      </c>
      <c r="T49" s="195" t="n">
        <v>-26166</v>
      </c>
      <c r="U49" s="195" t="n">
        <v>-26166</v>
      </c>
      <c r="V49" s="195" t="n">
        <v>-26166</v>
      </c>
      <c r="W49" s="195" t="n">
        <v>-26166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D45</f>
        <v/>
      </c>
      <c r="E68" s="195">
        <f>E45</f>
        <v/>
      </c>
      <c r="F68" s="195">
        <f>F45</f>
        <v/>
      </c>
      <c r="G68" s="195">
        <f>G45</f>
        <v/>
      </c>
      <c r="H68" s="195">
        <f>H45</f>
        <v/>
      </c>
      <c r="I68" s="195">
        <f>I45</f>
        <v/>
      </c>
      <c r="J68" s="195">
        <f>J45</f>
        <v/>
      </c>
      <c r="K68" s="195">
        <f>K45</f>
        <v/>
      </c>
      <c r="L68" s="195">
        <f>L45</f>
        <v/>
      </c>
      <c r="M68" s="195">
        <f>M45</f>
        <v/>
      </c>
      <c r="N68" s="195">
        <f>N45</f>
        <v/>
      </c>
      <c r="O68" s="195">
        <f>O45</f>
        <v/>
      </c>
      <c r="P68" s="195">
        <f>P45</f>
        <v/>
      </c>
      <c r="Q68" s="195">
        <f>Q45</f>
        <v/>
      </c>
      <c r="R68" s="195">
        <f>R45</f>
        <v/>
      </c>
      <c r="S68" s="195">
        <f>S45</f>
        <v/>
      </c>
      <c r="T68" s="195">
        <f>T45</f>
        <v/>
      </c>
      <c r="U68" s="195">
        <f>U45</f>
        <v/>
      </c>
      <c r="V68" s="195">
        <f>V45</f>
        <v/>
      </c>
      <c r="W68" s="195">
        <f>W45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-734309.3333333334</v>
      </c>
      <c r="F93" s="245" t="n">
        <v>-734309.3333333334</v>
      </c>
      <c r="G93" s="245" t="n">
        <v>-734309.3333333334</v>
      </c>
      <c r="H93" s="245" t="n">
        <v>-734309.3333333334</v>
      </c>
      <c r="I93" s="245" t="n">
        <v>-734309.3333333334</v>
      </c>
      <c r="J93" s="245" t="n">
        <v>-734309.3333333334</v>
      </c>
      <c r="K93" s="245" t="n">
        <v>-734309.3333333334</v>
      </c>
      <c r="L93" s="245" t="n">
        <v>-734309.3333333334</v>
      </c>
      <c r="M93" s="245" t="n">
        <v>-734309.3333333334</v>
      </c>
      <c r="N93" s="245" t="n">
        <v>-734309.3333333334</v>
      </c>
      <c r="O93" s="245" t="n">
        <v>-734309.3333333334</v>
      </c>
      <c r="P93" s="245" t="n">
        <v>-734309.3333333334</v>
      </c>
      <c r="Q93" s="245" t="n">
        <v>-734309.3333333334</v>
      </c>
      <c r="R93" s="245" t="n">
        <v>-734309.3333333334</v>
      </c>
      <c r="S93" s="245" t="n">
        <v>-734309.3333333334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-688415</v>
      </c>
      <c r="U96" s="249" t="n">
        <v>-688415</v>
      </c>
      <c r="V96" s="249" t="n">
        <v>-688415</v>
      </c>
      <c r="W96" s="249" t="n">
        <v>-688415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2026-03-11T06:26:53Z</dcterms:modified>
  <cp:lastModifiedBy>王竣生</cp:lastModifiedBy>
</cp:coreProperties>
</file>