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_p2" sheetId="2" state="visible" r:id="rId4"/>
    <sheet name="淡江大學_p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<sst xmlns="http://schemas.openxmlformats.org/spreadsheetml/2006/main" count="310" uniqueCount="131">
  <si>
    <t xml:space="preserve">年份</t>
  </si>
  <si>
    <t xml:space="preserve">預估發電度數</t>
  </si>
  <si>
    <t xml:space="preserve">淡江大學</t>
  </si>
  <si>
    <r>
      <rPr>
        <sz val="11"/>
        <color theme="1"/>
        <rFont val="Noto Sans TC"/>
        <family val="2"/>
        <charset val="136"/>
      </rPr>
      <t xml:space="preserve">預估發電度數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</si>
  <si>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預估收入</t>
  </si>
  <si>
    <r>
      <rPr>
        <sz val="11"/>
        <color theme="1"/>
        <rFont val="Noto Sans TC"/>
        <family val="2"/>
        <charset val="136"/>
      </rPr>
      <t xml:space="preserve">預估收入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</si>
  <si>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租金</t>
  </si>
  <si>
    <r>
      <rPr>
        <sz val="11"/>
        <color theme="1"/>
        <rFont val="Noto Sans TC"/>
        <family val="2"/>
        <charset val="136"/>
      </rPr>
      <t xml:space="preserve">租金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</si>
  <si>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運維</t>
  </si>
  <si>
    <r>
      <rPr>
        <sz val="11"/>
        <color theme="1"/>
        <rFont val="Noto Sans TC"/>
        <family val="2"/>
        <charset val="136"/>
      </rPr>
      <t xml:space="preserve">運維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</si>
  <si>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保險</t>
  </si>
  <si>
    <r>
      <rPr>
        <sz val="11"/>
        <color theme="1"/>
        <rFont val="Noto Sans TC"/>
        <family val="2"/>
        <charset val="136"/>
      </rPr>
      <t xml:space="preserve">保險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</si>
  <si>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模組回收費</t>
  </si>
  <si>
    <r>
      <rPr>
        <sz val="11"/>
        <color theme="1"/>
        <rFont val="Noto Sans TC"/>
        <family val="2"/>
        <charset val="136"/>
      </rPr>
      <t xml:space="preserve">模組回收費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</si>
  <si>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所得稅</t>
  </si>
  <si>
    <r>
      <rPr>
        <sz val="11"/>
        <color theme="1"/>
        <rFont val="Noto Sans TC"/>
        <family val="2"/>
        <charset val="136"/>
      </rPr>
      <t xml:space="preserve">所得稅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</si>
  <si>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設備折舊</t>
  </si>
  <si>
    <r>
      <rPr>
        <sz val="11"/>
        <color theme="1"/>
        <rFont val="Noto Sans TC"/>
        <family val="2"/>
        <charset val="136"/>
      </rPr>
      <t xml:space="preserve">設備折舊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</si>
  <si>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r>
      <rPr>
        <sz val="11"/>
        <color theme="1"/>
        <rFont val="Noto Sans TC"/>
        <family val="2"/>
        <charset val="136"/>
      </rPr>
      <t xml:space="preserve">貸款成數</t>
    </r>
    <r>
      <rPr>
        <sz val="11"/>
        <color theme="1"/>
        <rFont val="Calibri"/>
        <family val="2"/>
        <charset val="1"/>
      </rPr>
      <t xml:space="preserve">(%)</t>
    </r>
  </si>
  <si>
    <t xml:space="preserve">還款期數</t>
  </si>
  <si>
    <r>
      <rPr>
        <sz val="11"/>
        <color theme="1"/>
        <rFont val="Noto Sans TC"/>
        <family val="2"/>
        <charset val="136"/>
      </rPr>
      <t xml:space="preserve">股利比率</t>
    </r>
    <r>
      <rPr>
        <sz val="11"/>
        <color theme="1"/>
        <rFont val="Calibri"/>
        <family val="2"/>
        <charset val="1"/>
      </rPr>
      <t xml:space="preserve">(%)</t>
    </r>
  </si>
  <si>
    <t xml:space="preserve">年底減資攤還期數</t>
  </si>
  <si>
    <r>
      <rPr>
        <sz val="11"/>
        <color theme="1"/>
        <rFont val="Noto Sans TC"/>
        <family val="2"/>
        <charset val="136"/>
      </rPr>
      <t xml:space="preserve">銀行利率</t>
    </r>
    <r>
      <rPr>
        <sz val="11"/>
        <color theme="1"/>
        <rFont val="Calibri"/>
        <family val="2"/>
        <charset val="1"/>
      </rPr>
      <t xml:space="preserve">(%)</t>
    </r>
  </si>
  <si>
    <t xml:space="preserve">(Unit : Currency)</t>
  </si>
  <si>
    <r>
      <rPr>
        <sz val="12"/>
        <color rgb="FF000000"/>
        <rFont val="Noto Sans TC"/>
        <family val="2"/>
        <charset val="136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</si>
  <si>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</si>
  <si>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</si>
  <si>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</si>
  <si>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</si>
  <si>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</si>
  <si>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</si>
  <si>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</si>
  <si>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</si>
  <si>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</si>
  <si>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</si>
  <si>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</si>
  <si>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</si>
  <si>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</si>
  <si>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</si>
  <si>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</si>
  <si>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</si>
  <si>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</si>
  <si>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</si>
  <si>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</si>
  <si>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</si>
  <si>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</si>
  <si>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</si>
  <si>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</si>
  <si>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</si>
  <si>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</si>
  <si>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</si>
  <si>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</si>
  <si>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</si>
  <si>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</si>
  <si>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</si>
  <si>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</si>
  <si>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</si>
  <si>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</si>
  <si>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</si>
  <si>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</si>
  <si>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</si>
  <si>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</si>
  <si>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</si>
  <si>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電站基本資料(請填寫著色處)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</si>
  <si>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</si>
  <si>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</si>
  <si>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</si>
  <si>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</si>
  <si>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</si>
  <si>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</si>
  <si>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</si>
  <si>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2</t>
  </si>
  <si>
    <t xml:space="preserve">起始年度</t>
  </si>
  <si>
    <t xml:space="preserve">第1次滾算摘要</t>
  </si>
  <si>
    <t xml:space="preserve">價金: 33000</t>
  </si>
  <si>
    <t xml:space="preserve">綜合損益表(請填寫著色處)</t>
  </si>
  <si>
    <t xml:space="preserve">專案IRR: 2.97</t>
  </si>
  <si>
    <t xml:space="preserve">收入</t>
  </si>
  <si>
    <t xml:space="preserve">權益法IRR: 5.57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</si>
  <si>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</si>
  <si>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</si>
  <si>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</si>
  <si>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</si>
  <si>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</si>
  <si>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</si>
  <si>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</si>
  <si>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第1次滾算，減少 2000 元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</si>
  <si>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</si>
  <si>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</si>
  <si>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</si>
  <si>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</si>
  <si>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</si>
  <si>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</si>
  <si>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</si>
  <si>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</si>
  <si>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</si>
  <si>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</si>
  <si>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</si>
  <si>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</si>
  <si>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</si>
  <si>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</si>
  <si>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</si>
  <si>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</si>
  <si>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【方式1參數】每年相同價格</t>
  </si>
  <si>
    <t xml:space="preserve">【方式2參數】抽成比率</t>
  </si>
  <si>
    <t xml:space="preserve">運維費用</t>
  </si>
  <si>
    <t xml:space="preserve">每kw運維成本</t>
  </si>
  <si>
    <t xml:space="preserve">保險費用</t>
  </si>
  <si>
    <t xml:space="preserve">占整體設備費用比例</t>
  </si>
  <si>
    <t xml:space="preserve">模組回收費用</t>
  </si>
  <si>
    <t xml:space="preserve">每kw模組回收成本</t>
  </si>
  <si>
    <t xml:space="preserve">利息費用</t>
  </si>
  <si>
    <t xml:space="preserve">銀行利率</t>
  </si>
  <si>
    <t xml:space="preserve">所得稅率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</si>
  <si>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</si>
  <si>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</si>
  <si>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</si>
  <si>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</si>
  <si>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</si>
  <si>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</si>
  <si>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</si>
  <si>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</si>
  <si>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</si>
  <si>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</si>
  <si>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</si>
  <si>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情境編號: 3</t>
  </si>
  <si>
    <t xml:space="preserve">第2次滾算摘要</t>
  </si>
  <si>
    <t xml:space="preserve">價金: 31000</t>
  </si>
  <si>
    <t xml:space="preserve">專案IRR: 3.54</t>
  </si>
  <si>
    <t xml:space="preserve">權益法IRR: 7.49</t>
  </si>
  <si>
    <t xml:space="preserve">第2次滾算，減少 2000 元 - 現金模式，每次減少 2000 元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</si>
</sst>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0.00%"/>
    <numFmt numFmtId="171" formatCode="_-\$* #,##0_-;&quot;-$&quot;* #,##0_-;_-\$* \-??_-;_-@_-"/>
    <numFmt numFmtId="172" formatCode="#,##0_ "/>
    <numFmt numFmtId="173" formatCode="0%"/>
    <numFmt numFmtId="174" formatCode="_-* #,##0_-;\-* #,##0_-;_-* \-??_-;_-@_-"/>
  </numFmts>
  <fonts count="36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FFFFFF"/>
      <name val="Noto Sans TC"/>
      <family val="2"/>
      <charset val="136"/>
    </font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1"/>
      <color theme="1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8"/>
        <bgColor rgb="FFDCE6F1"/>
      </patternFill>
    </fill>
    <fill>
      <patternFill patternType="solid">
        <fgColor theme="5" tint="0.3998"/>
        <bgColor rgb="FF969696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X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30.02"/>
    <col collapsed="false" customWidth="true" hidden="false" outlineLevel="0" max="23" min="3" style="0" width="16.38"/>
  </cols>
  <sheetData>
    <row r="4" customFormat="false" ht="15" hidden="false" customHeight="false" outlineLevel="0" collapsed="false">
      <c r="C4" s="1" t="s">
        <v>0</v>
      </c>
      <c r="D4" s="1" t="n">
        <v>2020</v>
      </c>
      <c r="E4" s="1" t="n">
        <v>2021</v>
      </c>
      <c r="F4" s="1" t="n">
        <v>2022</v>
      </c>
      <c r="G4" s="1" t="n">
        <v>2023</v>
      </c>
      <c r="H4" s="1" t="n">
        <v>2024</v>
      </c>
      <c r="I4" s="1" t="n">
        <v>2025</v>
      </c>
      <c r="J4" s="1" t="n">
        <v>2026</v>
      </c>
      <c r="K4" s="1" t="n">
        <v>2027</v>
      </c>
      <c r="L4" s="1" t="n">
        <v>2028</v>
      </c>
      <c r="M4" s="1" t="n">
        <v>2029</v>
      </c>
      <c r="N4" s="1" t="n">
        <v>2030</v>
      </c>
      <c r="O4" s="1" t="n">
        <v>2031</v>
      </c>
      <c r="P4" s="1" t="n">
        <v>2032</v>
      </c>
      <c r="Q4" s="1" t="n">
        <v>2033</v>
      </c>
      <c r="R4" s="1" t="n">
        <v>2034</v>
      </c>
      <c r="S4" s="1" t="n">
        <v>2035</v>
      </c>
      <c r="T4" s="1" t="n">
        <v>2036</v>
      </c>
      <c r="U4" s="1" t="n">
        <v>2037</v>
      </c>
      <c r="V4" s="1" t="n">
        <v>2038</v>
      </c>
      <c r="W4" s="1" t="n">
        <v>2039</v>
      </c>
    </row>
    <row r="5" customFormat="false" ht="15" hidden="false" customHeight="false" outlineLevel="0" collapsed="false">
      <c r="C5" s="0" t="s">
        <v>1</v>
      </c>
    </row>
    <row r="6" customFormat="false" ht="15" hidden="false" customHeight="false" outlineLevel="0" collapsed="false">
      <c r="B6" s="0" t="s">
        <v>2</v>
      </c>
      <c r="D6" s="2" t="n">
        <f aca="false">ROUND(ABS(淡江大學_p2!D40),0)</f>
        <v>0</v>
      </c>
      <c r="E6" s="2" t="n">
        <f aca="false">ROUND(ABS(淡江大學_p2!E40),0)</f>
        <v>0</v>
      </c>
      <c r="F6" s="2" t="n">
        <f aca="false">ROUND(ABS(淡江大學_p2!F40),0)</f>
        <v>0</v>
      </c>
      <c r="G6" s="2" t="n">
        <f aca="false">ROUND(ABS(淡江大學_p2!G40),0)</f>
        <v>0</v>
      </c>
      <c r="H6" s="2" t="n">
        <f aca="false">ROUND(ABS(淡江大學_p2!H40),0)</f>
        <v>0</v>
      </c>
      <c r="I6" s="2" t="n">
        <f aca="false">ROUND(ABS(淡江大學_p2!I40),0)</f>
        <v>0</v>
      </c>
      <c r="J6" s="2" t="n">
        <f aca="false">ROUND(ABS(淡江大學_p2!J40),0)</f>
        <v>0</v>
      </c>
      <c r="K6" s="2" t="n">
        <f aca="false">ROUND(ABS(淡江大學_p2!K40),0)</f>
        <v>0</v>
      </c>
      <c r="L6" s="2" t="n">
        <f aca="false">ROUND(ABS(淡江大學_p2!L40),0)</f>
        <v>0</v>
      </c>
      <c r="M6" s="2" t="n">
        <f aca="false">ROUND(ABS(淡江大學_p2!M40),0)</f>
        <v>0</v>
      </c>
      <c r="N6" s="2" t="n">
        <f aca="false">ROUND(ABS(淡江大學_p2!N40),0)</f>
        <v>0</v>
      </c>
      <c r="O6" s="2" t="n">
        <f aca="false">ROUND(ABS(淡江大學_p2!O40),0)</f>
        <v>0</v>
      </c>
      <c r="P6" s="2" t="n">
        <f aca="false">ROUND(ABS(淡江大學_p2!P40),0)</f>
        <v>0</v>
      </c>
      <c r="Q6" s="2" t="n">
        <f aca="false">ROUND(ABS(淡江大學_p2!Q40),0)</f>
        <v>0</v>
      </c>
      <c r="R6" s="2" t="n">
        <f aca="false">ROUND(ABS(淡江大學_p2!R40),0)</f>
        <v>0</v>
      </c>
      <c r="S6" s="2" t="n">
        <f aca="false">ROUND(ABS(淡江大學_p2!S40),0)</f>
        <v>0</v>
      </c>
      <c r="T6" s="2" t="n">
        <f aca="false">ROUND(ABS(淡江大學_p2!T40),0)</f>
        <v>0</v>
      </c>
      <c r="U6" s="2" t="n">
        <f aca="false">ROUND(ABS(淡江大學_p2!U40),0)</f>
        <v>0</v>
      </c>
      <c r="V6" s="2" t="n">
        <f aca="false">ROUND(ABS(淡江大學_p2!V40),0)</f>
        <v>0</v>
      </c>
      <c r="W6" s="2" t="n">
        <f aca="false">ROUND(ABS(淡江大學_p2!W40),0)</f>
        <v>0</v>
      </c>
    </row>
    <row r="7" customFormat="false" ht="15" hidden="false" customHeight="false" outlineLevel="0" collapsed="false">
      <c r="B7" s="0" t="s">
        <v>2</v>
      </c>
      <c r="D7" s="2" t="n">
        <f aca="false">ROUND(ABS(淡江大學_p3!D40),0)</f>
        <v>0</v>
      </c>
      <c r="E7" s="2" t="n">
        <f aca="false">ROUND(ABS(淡江大學_p3!E40),0)</f>
        <v>0</v>
      </c>
      <c r="F7" s="2" t="n">
        <f aca="false">ROUND(ABS(淡江大學_p3!F40),0)</f>
        <v>0</v>
      </c>
      <c r="G7" s="2" t="n">
        <f aca="false">ROUND(ABS(淡江大學_p3!G40),0)</f>
        <v>0</v>
      </c>
      <c r="H7" s="2" t="n">
        <f aca="false">ROUND(ABS(淡江大學_p3!H40),0)</f>
        <v>0</v>
      </c>
      <c r="I7" s="2" t="n">
        <f aca="false">ROUND(ABS(淡江大學_p3!I40),0)</f>
        <v>0</v>
      </c>
      <c r="J7" s="2" t="n">
        <f aca="false">ROUND(ABS(淡江大學_p3!J40),0)</f>
        <v>0</v>
      </c>
      <c r="K7" s="2" t="n">
        <f aca="false">ROUND(ABS(淡江大學_p3!K40),0)</f>
        <v>0</v>
      </c>
      <c r="L7" s="2" t="n">
        <f aca="false">ROUND(ABS(淡江大學_p3!L40),0)</f>
        <v>0</v>
      </c>
      <c r="M7" s="2" t="n">
        <f aca="false">ROUND(ABS(淡江大學_p3!M40),0)</f>
        <v>0</v>
      </c>
      <c r="N7" s="2" t="n">
        <f aca="false">ROUND(ABS(淡江大學_p3!N40),0)</f>
        <v>0</v>
      </c>
      <c r="O7" s="2" t="n">
        <f aca="false">ROUND(ABS(淡江大學_p3!O40),0)</f>
        <v>0</v>
      </c>
      <c r="P7" s="2" t="n">
        <f aca="false">ROUND(ABS(淡江大學_p3!P40),0)</f>
        <v>0</v>
      </c>
      <c r="Q7" s="2" t="n">
        <f aca="false">ROUND(ABS(淡江大學_p3!Q40),0)</f>
        <v>0</v>
      </c>
      <c r="R7" s="2" t="n">
        <f aca="false">ROUND(ABS(淡江大學_p3!R40),0)</f>
        <v>0</v>
      </c>
      <c r="S7" s="2" t="n">
        <f aca="false">ROUND(ABS(淡江大學_p3!S40),0)</f>
        <v>0</v>
      </c>
      <c r="T7" s="2" t="n">
        <f aca="false">ROUND(ABS(淡江大學_p3!T40),0)</f>
        <v>0</v>
      </c>
      <c r="U7" s="2" t="n">
        <f aca="false">ROUND(ABS(淡江大學_p3!U40),0)</f>
        <v>0</v>
      </c>
      <c r="V7" s="2" t="n">
        <f aca="false">ROUND(ABS(淡江大學_p3!V40),0)</f>
        <v>0</v>
      </c>
      <c r="W7" s="2" t="n">
        <f aca="false">ROUND(ABS(淡江大學_p3!W40),0)</f>
        <v>0</v>
      </c>
    </row>
    <row r="8" customFormat="false" ht="15" hidden="false" customHeight="false" outlineLevel="0" collapsed="false">
      <c r="C8" s="3" t="s">
        <v>3</v>
      </c>
      <c r="D8" s="4" t="n">
        <f aca="false">SUM(D6:D7)</f>
        <v>0</v>
      </c>
      <c r="E8" s="4" t="n">
        <f aca="false">SUM(E6:E7)</f>
        <v>0</v>
      </c>
      <c r="F8" s="4" t="n">
        <f aca="false">SUM(F6:F7)</f>
        <v>0</v>
      </c>
      <c r="G8" s="4" t="n">
        <f aca="false">SUM(G6:G7)</f>
        <v>0</v>
      </c>
      <c r="H8" s="4" t="n">
        <f aca="false">SUM(H6:H7)</f>
        <v>0</v>
      </c>
      <c r="I8" s="4" t="n">
        <f aca="false">SUM(I6:I7)</f>
        <v>0</v>
      </c>
      <c r="J8" s="4" t="n">
        <f aca="false">SUM(J6:J7)</f>
        <v>0</v>
      </c>
      <c r="K8" s="4" t="n">
        <f aca="false">SUM(K6:K7)</f>
        <v>0</v>
      </c>
      <c r="L8" s="4" t="n">
        <f aca="false">SUM(L6:L7)</f>
        <v>0</v>
      </c>
      <c r="M8" s="4" t="n">
        <f aca="false">SUM(M6:M7)</f>
        <v>0</v>
      </c>
      <c r="N8" s="4" t="n">
        <f aca="false">SUM(N6:N7)</f>
        <v>0</v>
      </c>
      <c r="O8" s="4" t="n">
        <f aca="false">SUM(O6:O7)</f>
        <v>0</v>
      </c>
      <c r="P8" s="4" t="n">
        <f aca="false">SUM(P6:P7)</f>
        <v>0</v>
      </c>
      <c r="Q8" s="4" t="n">
        <f aca="false">SUM(Q6:Q7)</f>
        <v>0</v>
      </c>
      <c r="R8" s="4" t="n">
        <f aca="false">SUM(R6:R7)</f>
        <v>0</v>
      </c>
      <c r="S8" s="4" t="n">
        <f aca="false">SUM(S6:S7)</f>
        <v>0</v>
      </c>
      <c r="T8" s="4" t="n">
        <f aca="false">SUM(T6:T7)</f>
        <v>0</v>
      </c>
      <c r="U8" s="4" t="n">
        <f aca="false">SUM(U6:U7)</f>
        <v>0</v>
      </c>
      <c r="V8" s="4" t="n">
        <f aca="false">SUM(V6:V7)</f>
        <v>0</v>
      </c>
      <c r="W8" s="4" t="n">
        <f aca="false">SUM(W6:W7)</f>
        <v>0</v>
      </c>
    </row>
    <row r="9" customFormat="false" ht="15" hidden="false" customHeight="false" outlineLevel="0" collapsed="false">
      <c r="C9" s="1" t="s">
        <v>0</v>
      </c>
      <c r="D9" s="1" t="n">
        <v>2020</v>
      </c>
      <c r="E9" s="1" t="n">
        <v>2021</v>
      </c>
      <c r="F9" s="1" t="n">
        <v>2022</v>
      </c>
      <c r="G9" s="1" t="n">
        <v>2023</v>
      </c>
      <c r="H9" s="1" t="n">
        <v>2024</v>
      </c>
      <c r="I9" s="1" t="n">
        <v>2025</v>
      </c>
      <c r="J9" s="1" t="n">
        <v>2026</v>
      </c>
      <c r="K9" s="1" t="n">
        <v>2027</v>
      </c>
      <c r="L9" s="1" t="n">
        <v>2028</v>
      </c>
      <c r="M9" s="1" t="n">
        <v>2029</v>
      </c>
      <c r="N9" s="1" t="n">
        <v>2030</v>
      </c>
      <c r="O9" s="1" t="n">
        <v>2031</v>
      </c>
      <c r="P9" s="1" t="n">
        <v>2032</v>
      </c>
      <c r="Q9" s="1" t="n">
        <v>2033</v>
      </c>
      <c r="R9" s="1" t="n">
        <v>2034</v>
      </c>
      <c r="S9" s="1" t="n">
        <v>2035</v>
      </c>
      <c r="T9" s="1" t="n">
        <v>2036</v>
      </c>
      <c r="U9" s="1" t="n">
        <v>2037</v>
      </c>
      <c r="V9" s="1" t="n">
        <v>2038</v>
      </c>
      <c r="W9" s="1" t="n">
        <v>2039</v>
      </c>
    </row>
    <row r="10" customFormat="false" ht="15" hidden="false" customHeight="false" outlineLevel="0" collapsed="false">
      <c r="C10" s="0" t="s">
        <v>4</v>
      </c>
    </row>
    <row r="11" customFormat="false" ht="15" hidden="false" customHeight="false" outlineLevel="0" collapsed="false">
      <c r="B11" s="0" t="s">
        <v>2</v>
      </c>
      <c r="D11" s="2" t="n">
        <f aca="false">ROUND(ABS(淡江大學_p2!D41),0)</f>
        <v>0</v>
      </c>
      <c r="E11" s="2" t="n">
        <f aca="false">ROUND(ABS(淡江大學_p2!E41),0)</f>
        <v>0</v>
      </c>
      <c r="F11" s="2" t="n">
        <f aca="false">ROUND(ABS(淡江大學_p2!F41),0)</f>
        <v>0</v>
      </c>
      <c r="G11" s="2" t="n">
        <f aca="false">ROUND(ABS(淡江大學_p2!G41),0)</f>
        <v>0</v>
      </c>
      <c r="H11" s="2" t="n">
        <f aca="false">ROUND(ABS(淡江大學_p2!H41),0)</f>
        <v>0</v>
      </c>
      <c r="I11" s="2" t="n">
        <f aca="false">ROUND(ABS(淡江大學_p2!I41),0)</f>
        <v>0</v>
      </c>
      <c r="J11" s="2" t="n">
        <f aca="false">ROUND(ABS(淡江大學_p2!J41),0)</f>
        <v>0</v>
      </c>
      <c r="K11" s="2" t="n">
        <f aca="false">ROUND(ABS(淡江大學_p2!K41),0)</f>
        <v>0</v>
      </c>
      <c r="L11" s="2" t="n">
        <f aca="false">ROUND(ABS(淡江大學_p2!L41),0)</f>
        <v>0</v>
      </c>
      <c r="M11" s="2" t="n">
        <f aca="false">ROUND(ABS(淡江大學_p2!M41),0)</f>
        <v>0</v>
      </c>
      <c r="N11" s="2" t="n">
        <f aca="false">ROUND(ABS(淡江大學_p2!N41),0)</f>
        <v>0</v>
      </c>
      <c r="O11" s="2" t="n">
        <f aca="false">ROUND(ABS(淡江大學_p2!O41),0)</f>
        <v>0</v>
      </c>
      <c r="P11" s="2" t="n">
        <f aca="false">ROUND(ABS(淡江大學_p2!P41),0)</f>
        <v>0</v>
      </c>
      <c r="Q11" s="2" t="n">
        <f aca="false">ROUND(ABS(淡江大學_p2!Q41),0)</f>
        <v>0</v>
      </c>
      <c r="R11" s="2" t="n">
        <f aca="false">ROUND(ABS(淡江大學_p2!R41),0)</f>
        <v>0</v>
      </c>
      <c r="S11" s="2" t="n">
        <f aca="false">ROUND(ABS(淡江大學_p2!S41),0)</f>
        <v>0</v>
      </c>
      <c r="T11" s="2" t="n">
        <f aca="false">ROUND(ABS(淡江大學_p2!T41),0)</f>
        <v>0</v>
      </c>
      <c r="U11" s="2" t="n">
        <f aca="false">ROUND(ABS(淡江大學_p2!U41),0)</f>
        <v>0</v>
      </c>
      <c r="V11" s="2" t="n">
        <f aca="false">ROUND(ABS(淡江大學_p2!V41),0)</f>
        <v>0</v>
      </c>
      <c r="W11" s="2" t="n">
        <f aca="false">ROUND(ABS(淡江大學_p2!W41),0)</f>
        <v>0</v>
      </c>
    </row>
    <row r="12" customFormat="false" ht="15" hidden="false" customHeight="false" outlineLevel="0" collapsed="false">
      <c r="B12" s="0" t="s">
        <v>2</v>
      </c>
      <c r="D12" s="2" t="n">
        <f aca="false">ROUND(ABS(淡江大學_p3!D41),0)</f>
        <v>0</v>
      </c>
      <c r="E12" s="2" t="n">
        <f aca="false">ROUND(ABS(淡江大學_p3!E41),0)</f>
        <v>0</v>
      </c>
      <c r="F12" s="2" t="n">
        <f aca="false">ROUND(ABS(淡江大學_p3!F41),0)</f>
        <v>0</v>
      </c>
      <c r="G12" s="2" t="n">
        <f aca="false">ROUND(ABS(淡江大學_p3!G41),0)</f>
        <v>0</v>
      </c>
      <c r="H12" s="2" t="n">
        <f aca="false">ROUND(ABS(淡江大學_p3!H41),0)</f>
        <v>0</v>
      </c>
      <c r="I12" s="2" t="n">
        <f aca="false">ROUND(ABS(淡江大學_p3!I41),0)</f>
        <v>0</v>
      </c>
      <c r="J12" s="2" t="n">
        <f aca="false">ROUND(ABS(淡江大學_p3!J41),0)</f>
        <v>0</v>
      </c>
      <c r="K12" s="2" t="n">
        <f aca="false">ROUND(ABS(淡江大學_p3!K41),0)</f>
        <v>0</v>
      </c>
      <c r="L12" s="2" t="n">
        <f aca="false">ROUND(ABS(淡江大學_p3!L41),0)</f>
        <v>0</v>
      </c>
      <c r="M12" s="2" t="n">
        <f aca="false">ROUND(ABS(淡江大學_p3!M41),0)</f>
        <v>0</v>
      </c>
      <c r="N12" s="2" t="n">
        <f aca="false">ROUND(ABS(淡江大學_p3!N41),0)</f>
        <v>0</v>
      </c>
      <c r="O12" s="2" t="n">
        <f aca="false">ROUND(ABS(淡江大學_p3!O41),0)</f>
        <v>0</v>
      </c>
      <c r="P12" s="2" t="n">
        <f aca="false">ROUND(ABS(淡江大學_p3!P41),0)</f>
        <v>0</v>
      </c>
      <c r="Q12" s="2" t="n">
        <f aca="false">ROUND(ABS(淡江大學_p3!Q41),0)</f>
        <v>0</v>
      </c>
      <c r="R12" s="2" t="n">
        <f aca="false">ROUND(ABS(淡江大學_p3!R41),0)</f>
        <v>0</v>
      </c>
      <c r="S12" s="2" t="n">
        <f aca="false">ROUND(ABS(淡江大學_p3!S41),0)</f>
        <v>0</v>
      </c>
      <c r="T12" s="2" t="n">
        <f aca="false">ROUND(ABS(淡江大學_p3!T41),0)</f>
        <v>0</v>
      </c>
      <c r="U12" s="2" t="n">
        <f aca="false">ROUND(ABS(淡江大學_p3!U41),0)</f>
        <v>0</v>
      </c>
      <c r="V12" s="2" t="n">
        <f aca="false">ROUND(ABS(淡江大學_p3!V41),0)</f>
        <v>0</v>
      </c>
      <c r="W12" s="2" t="n">
        <f aca="false">ROUND(ABS(淡江大學_p3!W41),0)</f>
        <v>0</v>
      </c>
    </row>
    <row r="13" customFormat="false" ht="15" hidden="false" customHeight="false" outlineLevel="0" collapsed="false">
      <c r="C13" s="5" t="s">
        <v>5</v>
      </c>
      <c r="D13" s="6" t="n">
        <f aca="false">SUM(D11:D12)</f>
        <v>0</v>
      </c>
      <c r="E13" s="6" t="n">
        <f aca="false">SUM(E11:E12)</f>
        <v>0</v>
      </c>
      <c r="F13" s="6" t="n">
        <f aca="false">SUM(F11:F12)</f>
        <v>0</v>
      </c>
      <c r="G13" s="6" t="n">
        <f aca="false">SUM(G11:G12)</f>
        <v>0</v>
      </c>
      <c r="H13" s="6" t="n">
        <f aca="false">SUM(H11:H12)</f>
        <v>0</v>
      </c>
      <c r="I13" s="6" t="n">
        <f aca="false">SUM(I11:I12)</f>
        <v>0</v>
      </c>
      <c r="J13" s="6" t="n">
        <f aca="false">SUM(J11:J12)</f>
        <v>0</v>
      </c>
      <c r="K13" s="6" t="n">
        <f aca="false">SUM(K11:K12)</f>
        <v>0</v>
      </c>
      <c r="L13" s="6" t="n">
        <f aca="false">SUM(L11:L12)</f>
        <v>0</v>
      </c>
      <c r="M13" s="6" t="n">
        <f aca="false">SUM(M11:M12)</f>
        <v>0</v>
      </c>
      <c r="N13" s="6" t="n">
        <f aca="false">SUM(N11:N12)</f>
        <v>0</v>
      </c>
      <c r="O13" s="6" t="n">
        <f aca="false">SUM(O11:O12)</f>
        <v>0</v>
      </c>
      <c r="P13" s="6" t="n">
        <f aca="false">SUM(P11:P12)</f>
        <v>0</v>
      </c>
      <c r="Q13" s="6" t="n">
        <f aca="false">SUM(Q11:Q12)</f>
        <v>0</v>
      </c>
      <c r="R13" s="6" t="n">
        <f aca="false">SUM(R11:R12)</f>
        <v>0</v>
      </c>
      <c r="S13" s="6" t="n">
        <f aca="false">SUM(S11:S12)</f>
        <v>0</v>
      </c>
      <c r="T13" s="6" t="n">
        <f aca="false">SUM(T11:T12)</f>
        <v>0</v>
      </c>
      <c r="U13" s="6" t="n">
        <f aca="false">SUM(U11:U12)</f>
        <v>0</v>
      </c>
      <c r="V13" s="6" t="n">
        <f aca="false">SUM(V11:V12)</f>
        <v>0</v>
      </c>
      <c r="W13" s="6" t="n">
        <f aca="false">SUM(W11:W12)</f>
        <v>0</v>
      </c>
    </row>
    <row r="14" customFormat="false" ht="15" hidden="false" customHeight="false" outlineLevel="0" collapsed="false">
      <c r="C14" s="1" t="s">
        <v>0</v>
      </c>
      <c r="D14" s="1" t="n">
        <v>2020</v>
      </c>
      <c r="E14" s="1" t="n">
        <v>2021</v>
      </c>
      <c r="F14" s="1" t="n">
        <v>2022</v>
      </c>
      <c r="G14" s="1" t="n">
        <v>2023</v>
      </c>
      <c r="H14" s="1" t="n">
        <v>2024</v>
      </c>
      <c r="I14" s="1" t="n">
        <v>2025</v>
      </c>
      <c r="J14" s="1" t="n">
        <v>2026</v>
      </c>
      <c r="K14" s="1" t="n">
        <v>2027</v>
      </c>
      <c r="L14" s="1" t="n">
        <v>2028</v>
      </c>
      <c r="M14" s="1" t="n">
        <v>2029</v>
      </c>
      <c r="N14" s="1" t="n">
        <v>2030</v>
      </c>
      <c r="O14" s="1" t="n">
        <v>2031</v>
      </c>
      <c r="P14" s="1" t="n">
        <v>2032</v>
      </c>
      <c r="Q14" s="1" t="n">
        <v>2033</v>
      </c>
      <c r="R14" s="1" t="n">
        <v>2034</v>
      </c>
      <c r="S14" s="1" t="n">
        <v>2035</v>
      </c>
      <c r="T14" s="1" t="n">
        <v>2036</v>
      </c>
      <c r="U14" s="1" t="n">
        <v>2037</v>
      </c>
      <c r="V14" s="1" t="n">
        <v>2038</v>
      </c>
      <c r="W14" s="1" t="n">
        <v>2039</v>
      </c>
    </row>
    <row r="15" customFormat="false" ht="15" hidden="false" customHeight="false" outlineLevel="0" collapsed="false">
      <c r="C15" s="0" t="s">
        <v>6</v>
      </c>
    </row>
    <row r="16" customFormat="false" ht="15" hidden="false" customHeight="false" outlineLevel="0" collapsed="false">
      <c r="B16" s="0" t="s">
        <v>2</v>
      </c>
      <c r="D16" s="2" t="n">
        <f aca="false">ROUND(ABS(淡江大學_p2!D45),0)</f>
        <v>290201</v>
      </c>
      <c r="E16" s="2" t="n">
        <f aca="false">ROUND(ABS(淡江大學_p2!E45),0)</f>
        <v>290201</v>
      </c>
      <c r="F16" s="2" t="n">
        <f aca="false">ROUND(ABS(淡江大學_p2!F45),0)</f>
        <v>290201</v>
      </c>
      <c r="G16" s="2" t="n">
        <f aca="false">ROUND(ABS(淡江大學_p2!G45),0)</f>
        <v>290201</v>
      </c>
      <c r="H16" s="2" t="n">
        <f aca="false">ROUND(ABS(淡江大學_p2!H45),0)</f>
        <v>290201</v>
      </c>
      <c r="I16" s="2" t="n">
        <f aca="false">ROUND(ABS(淡江大學_p2!I45),0)</f>
        <v>290201</v>
      </c>
      <c r="J16" s="2" t="n">
        <f aca="false">ROUND(ABS(淡江大學_p2!J45),0)</f>
        <v>290201</v>
      </c>
      <c r="K16" s="2" t="n">
        <f aca="false">ROUND(ABS(淡江大學_p2!K45),0)</f>
        <v>290201</v>
      </c>
      <c r="L16" s="2" t="n">
        <f aca="false">ROUND(ABS(淡江大學_p2!L45),0)</f>
        <v>290201</v>
      </c>
      <c r="M16" s="2" t="n">
        <f aca="false">ROUND(ABS(淡江大學_p2!M45),0)</f>
        <v>290201</v>
      </c>
      <c r="N16" s="2" t="n">
        <f aca="false">ROUND(ABS(淡江大學_p2!N45),0)</f>
        <v>290201</v>
      </c>
      <c r="O16" s="2" t="n">
        <f aca="false">ROUND(ABS(淡江大學_p2!O45),0)</f>
        <v>290201</v>
      </c>
      <c r="P16" s="2" t="n">
        <f aca="false">ROUND(ABS(淡江大學_p2!P45),0)</f>
        <v>290201</v>
      </c>
      <c r="Q16" s="2" t="n">
        <f aca="false">ROUND(ABS(淡江大學_p2!Q45),0)</f>
        <v>290201</v>
      </c>
      <c r="R16" s="2" t="n">
        <f aca="false">ROUND(ABS(淡江大學_p2!R45),0)</f>
        <v>290201</v>
      </c>
      <c r="S16" s="2" t="n">
        <f aca="false">ROUND(ABS(淡江大學_p2!S45),0)</f>
        <v>290201</v>
      </c>
      <c r="T16" s="2" t="n">
        <f aca="false">ROUND(ABS(淡江大學_p2!T45),0)</f>
        <v>290201</v>
      </c>
      <c r="U16" s="2" t="n">
        <f aca="false">ROUND(ABS(淡江大學_p2!U45),0)</f>
        <v>290201</v>
      </c>
      <c r="V16" s="2" t="n">
        <f aca="false">ROUND(ABS(淡江大學_p2!V45),0)</f>
        <v>290201</v>
      </c>
      <c r="W16" s="2" t="n">
        <f aca="false">ROUND(ABS(淡江大學_p2!W45),0)</f>
        <v>290201</v>
      </c>
    </row>
    <row r="17" customFormat="false" ht="15" hidden="false" customHeight="false" outlineLevel="0" collapsed="false">
      <c r="B17" s="0" t="s">
        <v>2</v>
      </c>
      <c r="D17" s="2" t="n">
        <f aca="false">ROUND(ABS(淡江大學_p3!D45),0)</f>
        <v>290201</v>
      </c>
      <c r="E17" s="2" t="n">
        <f aca="false">ROUND(ABS(淡江大學_p3!E45),0)</f>
        <v>290201</v>
      </c>
      <c r="F17" s="2" t="n">
        <f aca="false">ROUND(ABS(淡江大學_p3!F45),0)</f>
        <v>290201</v>
      </c>
      <c r="G17" s="2" t="n">
        <f aca="false">ROUND(ABS(淡江大學_p3!G45),0)</f>
        <v>290201</v>
      </c>
      <c r="H17" s="2" t="n">
        <f aca="false">ROUND(ABS(淡江大學_p3!H45),0)</f>
        <v>290201</v>
      </c>
      <c r="I17" s="2" t="n">
        <f aca="false">ROUND(ABS(淡江大學_p3!I45),0)</f>
        <v>290201</v>
      </c>
      <c r="J17" s="2" t="n">
        <f aca="false">ROUND(ABS(淡江大學_p3!J45),0)</f>
        <v>290201</v>
      </c>
      <c r="K17" s="2" t="n">
        <f aca="false">ROUND(ABS(淡江大學_p3!K45),0)</f>
        <v>290201</v>
      </c>
      <c r="L17" s="2" t="n">
        <f aca="false">ROUND(ABS(淡江大學_p3!L45),0)</f>
        <v>290201</v>
      </c>
      <c r="M17" s="2" t="n">
        <f aca="false">ROUND(ABS(淡江大學_p3!M45),0)</f>
        <v>290201</v>
      </c>
      <c r="N17" s="2" t="n">
        <f aca="false">ROUND(ABS(淡江大學_p3!N45),0)</f>
        <v>290201</v>
      </c>
      <c r="O17" s="2" t="n">
        <f aca="false">ROUND(ABS(淡江大學_p3!O45),0)</f>
        <v>290201</v>
      </c>
      <c r="P17" s="2" t="n">
        <f aca="false">ROUND(ABS(淡江大學_p3!P45),0)</f>
        <v>290201</v>
      </c>
      <c r="Q17" s="2" t="n">
        <f aca="false">ROUND(ABS(淡江大學_p3!Q45),0)</f>
        <v>290201</v>
      </c>
      <c r="R17" s="2" t="n">
        <f aca="false">ROUND(ABS(淡江大學_p3!R45),0)</f>
        <v>290201</v>
      </c>
      <c r="S17" s="2" t="n">
        <f aca="false">ROUND(ABS(淡江大學_p3!S45),0)</f>
        <v>290201</v>
      </c>
      <c r="T17" s="2" t="n">
        <f aca="false">ROUND(ABS(淡江大學_p3!T45),0)</f>
        <v>290201</v>
      </c>
      <c r="U17" s="2" t="n">
        <f aca="false">ROUND(ABS(淡江大學_p3!U45),0)</f>
        <v>290201</v>
      </c>
      <c r="V17" s="2" t="n">
        <f aca="false">ROUND(ABS(淡江大學_p3!V45),0)</f>
        <v>290201</v>
      </c>
      <c r="W17" s="2" t="n">
        <f aca="false">ROUND(ABS(淡江大學_p3!W45),0)</f>
        <v>290201</v>
      </c>
    </row>
    <row r="18" customFormat="false" ht="15" hidden="false" customHeight="false" outlineLevel="0" collapsed="false">
      <c r="C18" s="7" t="s">
        <v>7</v>
      </c>
      <c r="D18" s="8" t="n">
        <f aca="false">SUM(D16:D17)</f>
        <v>580402</v>
      </c>
      <c r="E18" s="8" t="n">
        <f aca="false">SUM(E16:E17)</f>
        <v>580402</v>
      </c>
      <c r="F18" s="8" t="n">
        <f aca="false">SUM(F16:F17)</f>
        <v>580402</v>
      </c>
      <c r="G18" s="8" t="n">
        <f aca="false">SUM(G16:G17)</f>
        <v>580402</v>
      </c>
      <c r="H18" s="8" t="n">
        <f aca="false">SUM(H16:H17)</f>
        <v>580402</v>
      </c>
      <c r="I18" s="8" t="n">
        <f aca="false">SUM(I16:I17)</f>
        <v>580402</v>
      </c>
      <c r="J18" s="8" t="n">
        <f aca="false">SUM(J16:J17)</f>
        <v>580402</v>
      </c>
      <c r="K18" s="8" t="n">
        <f aca="false">SUM(K16:K17)</f>
        <v>580402</v>
      </c>
      <c r="L18" s="8" t="n">
        <f aca="false">SUM(L16:L17)</f>
        <v>580402</v>
      </c>
      <c r="M18" s="8" t="n">
        <f aca="false">SUM(M16:M17)</f>
        <v>580402</v>
      </c>
      <c r="N18" s="8" t="n">
        <f aca="false">SUM(N16:N17)</f>
        <v>580402</v>
      </c>
      <c r="O18" s="8" t="n">
        <f aca="false">SUM(O16:O17)</f>
        <v>580402</v>
      </c>
      <c r="P18" s="8" t="n">
        <f aca="false">SUM(P16:P17)</f>
        <v>580402</v>
      </c>
      <c r="Q18" s="8" t="n">
        <f aca="false">SUM(Q16:Q17)</f>
        <v>580402</v>
      </c>
      <c r="R18" s="8" t="n">
        <f aca="false">SUM(R16:R17)</f>
        <v>580402</v>
      </c>
      <c r="S18" s="8" t="n">
        <f aca="false">SUM(S16:S17)</f>
        <v>580402</v>
      </c>
      <c r="T18" s="8" t="n">
        <f aca="false">SUM(T16:T17)</f>
        <v>580402</v>
      </c>
      <c r="U18" s="8" t="n">
        <f aca="false">SUM(U16:U17)</f>
        <v>580402</v>
      </c>
      <c r="V18" s="8" t="n">
        <f aca="false">SUM(V16:V17)</f>
        <v>580402</v>
      </c>
      <c r="W18" s="8" t="n">
        <f aca="false">SUM(W16:W17)</f>
        <v>580402</v>
      </c>
    </row>
    <row r="19" customFormat="false" ht="15" hidden="false" customHeight="false" outlineLevel="0" collapsed="false">
      <c r="C19" s="1" t="s">
        <v>0</v>
      </c>
      <c r="D19" s="1" t="n">
        <v>2020</v>
      </c>
      <c r="E19" s="1" t="n">
        <v>2021</v>
      </c>
      <c r="F19" s="1" t="n">
        <v>2022</v>
      </c>
      <c r="G19" s="1" t="n">
        <v>2023</v>
      </c>
      <c r="H19" s="1" t="n">
        <v>2024</v>
      </c>
      <c r="I19" s="1" t="n">
        <v>2025</v>
      </c>
      <c r="J19" s="1" t="n">
        <v>2026</v>
      </c>
      <c r="K19" s="1" t="n">
        <v>2027</v>
      </c>
      <c r="L19" s="1" t="n">
        <v>2028</v>
      </c>
      <c r="M19" s="1" t="n">
        <v>2029</v>
      </c>
      <c r="N19" s="1" t="n">
        <v>2030</v>
      </c>
      <c r="O19" s="1" t="n">
        <v>2031</v>
      </c>
      <c r="P19" s="1" t="n">
        <v>2032</v>
      </c>
      <c r="Q19" s="1" t="n">
        <v>2033</v>
      </c>
      <c r="R19" s="1" t="n">
        <v>2034</v>
      </c>
      <c r="S19" s="1" t="n">
        <v>2035</v>
      </c>
      <c r="T19" s="1" t="n">
        <v>2036</v>
      </c>
      <c r="U19" s="1" t="n">
        <v>2037</v>
      </c>
      <c r="V19" s="1" t="n">
        <v>2038</v>
      </c>
      <c r="W19" s="1" t="n">
        <v>2039</v>
      </c>
    </row>
    <row r="20" customFormat="false" ht="15" hidden="false" customHeight="false" outlineLevel="0" collapsed="false">
      <c r="C20" s="0" t="s">
        <v>8</v>
      </c>
    </row>
    <row r="21" customFormat="false" ht="15" hidden="false" customHeight="false" outlineLevel="0" collapsed="false">
      <c r="B21" s="0" t="s">
        <v>2</v>
      </c>
      <c r="D21" s="2" t="n">
        <f aca="false">ROUND(ABS(淡江大學_p2!D48),0)</f>
        <v>174440</v>
      </c>
      <c r="E21" s="2" t="n">
        <f aca="false">ROUND(ABS(淡江大學_p2!E48),0)</f>
        <v>174440</v>
      </c>
      <c r="F21" s="2" t="n">
        <f aca="false">ROUND(ABS(淡江大學_p2!F48),0)</f>
        <v>174440</v>
      </c>
      <c r="G21" s="2" t="n">
        <f aca="false">ROUND(ABS(淡江大學_p2!G48),0)</f>
        <v>174440</v>
      </c>
      <c r="H21" s="2" t="n">
        <f aca="false">ROUND(ABS(淡江大學_p2!H48),0)</f>
        <v>174440</v>
      </c>
      <c r="I21" s="2" t="n">
        <f aca="false">ROUND(ABS(淡江大學_p2!I48),0)</f>
        <v>174440</v>
      </c>
      <c r="J21" s="2" t="n">
        <f aca="false">ROUND(ABS(淡江大學_p2!J48),0)</f>
        <v>174440</v>
      </c>
      <c r="K21" s="2" t="n">
        <f aca="false">ROUND(ABS(淡江大學_p2!K48),0)</f>
        <v>174440</v>
      </c>
      <c r="L21" s="2" t="n">
        <f aca="false">ROUND(ABS(淡江大學_p2!L48),0)</f>
        <v>174440</v>
      </c>
      <c r="M21" s="2" t="n">
        <f aca="false">ROUND(ABS(淡江大學_p2!M48),0)</f>
        <v>174440</v>
      </c>
      <c r="N21" s="2" t="n">
        <f aca="false">ROUND(ABS(淡江大學_p2!N48),0)</f>
        <v>174440</v>
      </c>
      <c r="O21" s="2" t="n">
        <f aca="false">ROUND(ABS(淡江大學_p2!O48),0)</f>
        <v>174440</v>
      </c>
      <c r="P21" s="2" t="n">
        <f aca="false">ROUND(ABS(淡江大學_p2!P48),0)</f>
        <v>174440</v>
      </c>
      <c r="Q21" s="2" t="n">
        <f aca="false">ROUND(ABS(淡江大學_p2!Q48),0)</f>
        <v>174440</v>
      </c>
      <c r="R21" s="2" t="n">
        <f aca="false">ROUND(ABS(淡江大學_p2!R48),0)</f>
        <v>174440</v>
      </c>
      <c r="S21" s="2" t="n">
        <f aca="false">ROUND(ABS(淡江大學_p2!S48),0)</f>
        <v>174440</v>
      </c>
      <c r="T21" s="2" t="n">
        <f aca="false">ROUND(ABS(淡江大學_p2!T48),0)</f>
        <v>174440</v>
      </c>
      <c r="U21" s="2" t="n">
        <f aca="false">ROUND(ABS(淡江大學_p2!U48),0)</f>
        <v>174440</v>
      </c>
      <c r="V21" s="2" t="n">
        <f aca="false">ROUND(ABS(淡江大學_p2!V48),0)</f>
        <v>174440</v>
      </c>
      <c r="W21" s="2" t="n">
        <f aca="false">ROUND(ABS(淡江大學_p2!W48),0)</f>
        <v>174440</v>
      </c>
    </row>
    <row r="22" customFormat="false" ht="15" hidden="false" customHeight="false" outlineLevel="0" collapsed="false">
      <c r="B22" s="0" t="s">
        <v>2</v>
      </c>
      <c r="D22" s="2" t="n">
        <f aca="false">ROUND(ABS(淡江大學_p3!D48),0)</f>
        <v>174440</v>
      </c>
      <c r="E22" s="2" t="n">
        <f aca="false">ROUND(ABS(淡江大學_p3!E48),0)</f>
        <v>174440</v>
      </c>
      <c r="F22" s="2" t="n">
        <f aca="false">ROUND(ABS(淡江大學_p3!F48),0)</f>
        <v>174440</v>
      </c>
      <c r="G22" s="2" t="n">
        <f aca="false">ROUND(ABS(淡江大學_p3!G48),0)</f>
        <v>174440</v>
      </c>
      <c r="H22" s="2" t="n">
        <f aca="false">ROUND(ABS(淡江大學_p3!H48),0)</f>
        <v>174440</v>
      </c>
      <c r="I22" s="2" t="n">
        <f aca="false">ROUND(ABS(淡江大學_p3!I48),0)</f>
        <v>174440</v>
      </c>
      <c r="J22" s="2" t="n">
        <f aca="false">ROUND(ABS(淡江大學_p3!J48),0)</f>
        <v>174440</v>
      </c>
      <c r="K22" s="2" t="n">
        <f aca="false">ROUND(ABS(淡江大學_p3!K48),0)</f>
        <v>174440</v>
      </c>
      <c r="L22" s="2" t="n">
        <f aca="false">ROUND(ABS(淡江大學_p3!L48),0)</f>
        <v>174440</v>
      </c>
      <c r="M22" s="2" t="n">
        <f aca="false">ROUND(ABS(淡江大學_p3!M48),0)</f>
        <v>174440</v>
      </c>
      <c r="N22" s="2" t="n">
        <f aca="false">ROUND(ABS(淡江大學_p3!N48),0)</f>
        <v>174440</v>
      </c>
      <c r="O22" s="2" t="n">
        <f aca="false">ROUND(ABS(淡江大學_p3!O48),0)</f>
        <v>174440</v>
      </c>
      <c r="P22" s="2" t="n">
        <f aca="false">ROUND(ABS(淡江大學_p3!P48),0)</f>
        <v>174440</v>
      </c>
      <c r="Q22" s="2" t="n">
        <f aca="false">ROUND(ABS(淡江大學_p3!Q48),0)</f>
        <v>174440</v>
      </c>
      <c r="R22" s="2" t="n">
        <f aca="false">ROUND(ABS(淡江大學_p3!R48),0)</f>
        <v>174440</v>
      </c>
      <c r="S22" s="2" t="n">
        <f aca="false">ROUND(ABS(淡江大學_p3!S48),0)</f>
        <v>174440</v>
      </c>
      <c r="T22" s="2" t="n">
        <f aca="false">ROUND(ABS(淡江大學_p3!T48),0)</f>
        <v>174440</v>
      </c>
      <c r="U22" s="2" t="n">
        <f aca="false">ROUND(ABS(淡江大學_p3!U48),0)</f>
        <v>174440</v>
      </c>
      <c r="V22" s="2" t="n">
        <f aca="false">ROUND(ABS(淡江大學_p3!V48),0)</f>
        <v>174440</v>
      </c>
      <c r="W22" s="2" t="n">
        <f aca="false">ROUND(ABS(淡江大學_p3!W48),0)</f>
        <v>174440</v>
      </c>
    </row>
    <row r="23" customFormat="false" ht="15" hidden="false" customHeight="false" outlineLevel="0" collapsed="false">
      <c r="C23" s="9" t="s">
        <v>9</v>
      </c>
      <c r="D23" s="10" t="n">
        <f aca="false">SUM(D21:D22)</f>
        <v>348880</v>
      </c>
      <c r="E23" s="10" t="n">
        <f aca="false">SUM(E21:E22)</f>
        <v>348880</v>
      </c>
      <c r="F23" s="10" t="n">
        <f aca="false">SUM(F21:F22)</f>
        <v>348880</v>
      </c>
      <c r="G23" s="10" t="n">
        <f aca="false">SUM(G21:G22)</f>
        <v>348880</v>
      </c>
      <c r="H23" s="10" t="n">
        <f aca="false">SUM(H21:H22)</f>
        <v>348880</v>
      </c>
      <c r="I23" s="10" t="n">
        <f aca="false">SUM(I21:I22)</f>
        <v>348880</v>
      </c>
      <c r="J23" s="10" t="n">
        <f aca="false">SUM(J21:J22)</f>
        <v>348880</v>
      </c>
      <c r="K23" s="10" t="n">
        <f aca="false">SUM(K21:K22)</f>
        <v>348880</v>
      </c>
      <c r="L23" s="10" t="n">
        <f aca="false">SUM(L21:L22)</f>
        <v>348880</v>
      </c>
      <c r="M23" s="10" t="n">
        <f aca="false">SUM(M21:M22)</f>
        <v>348880</v>
      </c>
      <c r="N23" s="10" t="n">
        <f aca="false">SUM(N21:N22)</f>
        <v>348880</v>
      </c>
      <c r="O23" s="10" t="n">
        <f aca="false">SUM(O21:O22)</f>
        <v>348880</v>
      </c>
      <c r="P23" s="10" t="n">
        <f aca="false">SUM(P21:P22)</f>
        <v>348880</v>
      </c>
      <c r="Q23" s="10" t="n">
        <f aca="false">SUM(Q21:Q22)</f>
        <v>348880</v>
      </c>
      <c r="R23" s="10" t="n">
        <f aca="false">SUM(R21:R22)</f>
        <v>348880</v>
      </c>
      <c r="S23" s="10" t="n">
        <f aca="false">SUM(S21:S22)</f>
        <v>348880</v>
      </c>
      <c r="T23" s="10" t="n">
        <f aca="false">SUM(T21:T22)</f>
        <v>348880</v>
      </c>
      <c r="U23" s="10" t="n">
        <f aca="false">SUM(U21:U22)</f>
        <v>348880</v>
      </c>
      <c r="V23" s="10" t="n">
        <f aca="false">SUM(V21:V22)</f>
        <v>348880</v>
      </c>
      <c r="W23" s="10" t="n">
        <f aca="false">SUM(W21:W22)</f>
        <v>348880</v>
      </c>
    </row>
    <row r="24" customFormat="false" ht="15" hidden="false" customHeight="false" outlineLevel="0" collapsed="false">
      <c r="C24" s="1" t="s">
        <v>0</v>
      </c>
      <c r="D24" s="1" t="n">
        <v>2020</v>
      </c>
      <c r="E24" s="1" t="n">
        <v>2021</v>
      </c>
      <c r="F24" s="1" t="n">
        <v>2022</v>
      </c>
      <c r="G24" s="1" t="n">
        <v>2023</v>
      </c>
      <c r="H24" s="1" t="n">
        <v>2024</v>
      </c>
      <c r="I24" s="1" t="n">
        <v>2025</v>
      </c>
      <c r="J24" s="1" t="n">
        <v>2026</v>
      </c>
      <c r="K24" s="1" t="n">
        <v>2027</v>
      </c>
      <c r="L24" s="1" t="n">
        <v>2028</v>
      </c>
      <c r="M24" s="1" t="n">
        <v>2029</v>
      </c>
      <c r="N24" s="1" t="n">
        <v>2030</v>
      </c>
      <c r="O24" s="1" t="n">
        <v>2031</v>
      </c>
      <c r="P24" s="1" t="n">
        <v>2032</v>
      </c>
      <c r="Q24" s="1" t="n">
        <v>2033</v>
      </c>
      <c r="R24" s="1" t="n">
        <v>2034</v>
      </c>
      <c r="S24" s="1" t="n">
        <v>2035</v>
      </c>
      <c r="T24" s="1" t="n">
        <v>2036</v>
      </c>
      <c r="U24" s="1" t="n">
        <v>2037</v>
      </c>
      <c r="V24" s="1" t="n">
        <v>2038</v>
      </c>
      <c r="W24" s="1" t="n">
        <v>2039</v>
      </c>
    </row>
    <row r="25" customFormat="false" ht="15" hidden="false" customHeight="false" outlineLevel="0" collapsed="false">
      <c r="C25" s="0" t="s">
        <v>10</v>
      </c>
    </row>
    <row r="26" customFormat="false" ht="15" hidden="false" customHeight="false" outlineLevel="0" collapsed="false">
      <c r="B26" s="0" t="s">
        <v>2</v>
      </c>
      <c r="D26" s="2" t="n">
        <f aca="false">ROUND(ABS(淡江大學_p2!D49),0)</f>
        <v>43174</v>
      </c>
      <c r="E26" s="2" t="n">
        <f aca="false">ROUND(ABS(淡江大學_p2!E49),0)</f>
        <v>43174</v>
      </c>
      <c r="F26" s="2" t="n">
        <f aca="false">ROUND(ABS(淡江大學_p2!F49),0)</f>
        <v>43174</v>
      </c>
      <c r="G26" s="2" t="n">
        <f aca="false">ROUND(ABS(淡江大學_p2!G49),0)</f>
        <v>43174</v>
      </c>
      <c r="H26" s="2" t="n">
        <f aca="false">ROUND(ABS(淡江大學_p2!H49),0)</f>
        <v>43174</v>
      </c>
      <c r="I26" s="2" t="n">
        <f aca="false">ROUND(ABS(淡江大學_p2!I49),0)</f>
        <v>43174</v>
      </c>
      <c r="J26" s="2" t="n">
        <f aca="false">ROUND(ABS(淡江大學_p2!J49),0)</f>
        <v>43174</v>
      </c>
      <c r="K26" s="2" t="n">
        <f aca="false">ROUND(ABS(淡江大學_p2!K49),0)</f>
        <v>43174</v>
      </c>
      <c r="L26" s="2" t="n">
        <f aca="false">ROUND(ABS(淡江大學_p2!L49),0)</f>
        <v>43174</v>
      </c>
      <c r="M26" s="2" t="n">
        <f aca="false">ROUND(ABS(淡江大學_p2!M49),0)</f>
        <v>43174</v>
      </c>
      <c r="N26" s="2" t="n">
        <f aca="false">ROUND(ABS(淡江大學_p2!N49),0)</f>
        <v>43174</v>
      </c>
      <c r="O26" s="2" t="n">
        <f aca="false">ROUND(ABS(淡江大學_p2!O49),0)</f>
        <v>43174</v>
      </c>
      <c r="P26" s="2" t="n">
        <f aca="false">ROUND(ABS(淡江大學_p2!P49),0)</f>
        <v>43174</v>
      </c>
      <c r="Q26" s="2" t="n">
        <f aca="false">ROUND(ABS(淡江大學_p2!Q49),0)</f>
        <v>43174</v>
      </c>
      <c r="R26" s="2" t="n">
        <f aca="false">ROUND(ABS(淡江大學_p2!R49),0)</f>
        <v>43174</v>
      </c>
      <c r="S26" s="2" t="n">
        <f aca="false">ROUND(ABS(淡江大學_p2!S49),0)</f>
        <v>43174</v>
      </c>
      <c r="T26" s="2" t="n">
        <f aca="false">ROUND(ABS(淡江大學_p2!T49),0)</f>
        <v>43174</v>
      </c>
      <c r="U26" s="2" t="n">
        <f aca="false">ROUND(ABS(淡江大學_p2!U49),0)</f>
        <v>43174</v>
      </c>
      <c r="V26" s="2" t="n">
        <f aca="false">ROUND(ABS(淡江大學_p2!V49),0)</f>
        <v>43174</v>
      </c>
      <c r="W26" s="2" t="n">
        <f aca="false">ROUND(ABS(淡江大學_p2!W49),0)</f>
        <v>43174</v>
      </c>
    </row>
    <row r="27" customFormat="false" ht="15" hidden="false" customHeight="false" outlineLevel="0" collapsed="false">
      <c r="B27" s="0" t="s">
        <v>2</v>
      </c>
      <c r="D27" s="2" t="n">
        <f aca="false">ROUND(ABS(淡江大學_p3!D49),0)</f>
        <v>40557</v>
      </c>
      <c r="E27" s="2" t="n">
        <f aca="false">ROUND(ABS(淡江大學_p3!E49),0)</f>
        <v>40557</v>
      </c>
      <c r="F27" s="2" t="n">
        <f aca="false">ROUND(ABS(淡江大學_p3!F49),0)</f>
        <v>40557</v>
      </c>
      <c r="G27" s="2" t="n">
        <f aca="false">ROUND(ABS(淡江大學_p3!G49),0)</f>
        <v>40557</v>
      </c>
      <c r="H27" s="2" t="n">
        <f aca="false">ROUND(ABS(淡江大學_p3!H49),0)</f>
        <v>40557</v>
      </c>
      <c r="I27" s="2" t="n">
        <f aca="false">ROUND(ABS(淡江大學_p3!I49),0)</f>
        <v>40557</v>
      </c>
      <c r="J27" s="2" t="n">
        <f aca="false">ROUND(ABS(淡江大學_p3!J49),0)</f>
        <v>40557</v>
      </c>
      <c r="K27" s="2" t="n">
        <f aca="false">ROUND(ABS(淡江大學_p3!K49),0)</f>
        <v>40557</v>
      </c>
      <c r="L27" s="2" t="n">
        <f aca="false">ROUND(ABS(淡江大學_p3!L49),0)</f>
        <v>40557</v>
      </c>
      <c r="M27" s="2" t="n">
        <f aca="false">ROUND(ABS(淡江大學_p3!M49),0)</f>
        <v>40557</v>
      </c>
      <c r="N27" s="2" t="n">
        <f aca="false">ROUND(ABS(淡江大學_p3!N49),0)</f>
        <v>40557</v>
      </c>
      <c r="O27" s="2" t="n">
        <f aca="false">ROUND(ABS(淡江大學_p3!O49),0)</f>
        <v>40557</v>
      </c>
      <c r="P27" s="2" t="n">
        <f aca="false">ROUND(ABS(淡江大學_p3!P49),0)</f>
        <v>40557</v>
      </c>
      <c r="Q27" s="2" t="n">
        <f aca="false">ROUND(ABS(淡江大學_p3!Q49),0)</f>
        <v>40557</v>
      </c>
      <c r="R27" s="2" t="n">
        <f aca="false">ROUND(ABS(淡江大學_p3!R49),0)</f>
        <v>40557</v>
      </c>
      <c r="S27" s="2" t="n">
        <f aca="false">ROUND(ABS(淡江大學_p3!S49),0)</f>
        <v>40557</v>
      </c>
      <c r="T27" s="2" t="n">
        <f aca="false">ROUND(ABS(淡江大學_p3!T49),0)</f>
        <v>40557</v>
      </c>
      <c r="U27" s="2" t="n">
        <f aca="false">ROUND(ABS(淡江大學_p3!U49),0)</f>
        <v>40557</v>
      </c>
      <c r="V27" s="2" t="n">
        <f aca="false">ROUND(ABS(淡江大學_p3!V49),0)</f>
        <v>40557</v>
      </c>
      <c r="W27" s="2" t="n">
        <f aca="false">ROUND(ABS(淡江大學_p3!W49),0)</f>
        <v>40557</v>
      </c>
    </row>
    <row r="28" customFormat="false" ht="15" hidden="false" customHeight="false" outlineLevel="0" collapsed="false">
      <c r="C28" s="11" t="s">
        <v>11</v>
      </c>
      <c r="D28" s="12" t="n">
        <f aca="false">SUM(D26:D27)</f>
        <v>83731</v>
      </c>
      <c r="E28" s="12" t="n">
        <f aca="false">SUM(E26:E27)</f>
        <v>83731</v>
      </c>
      <c r="F28" s="12" t="n">
        <f aca="false">SUM(F26:F27)</f>
        <v>83731</v>
      </c>
      <c r="G28" s="12" t="n">
        <f aca="false">SUM(G26:G27)</f>
        <v>83731</v>
      </c>
      <c r="H28" s="12" t="n">
        <f aca="false">SUM(H26:H27)</f>
        <v>83731</v>
      </c>
      <c r="I28" s="12" t="n">
        <f aca="false">SUM(I26:I27)</f>
        <v>83731</v>
      </c>
      <c r="J28" s="12" t="n">
        <f aca="false">SUM(J26:J27)</f>
        <v>83731</v>
      </c>
      <c r="K28" s="12" t="n">
        <f aca="false">SUM(K26:K27)</f>
        <v>83731</v>
      </c>
      <c r="L28" s="12" t="n">
        <f aca="false">SUM(L26:L27)</f>
        <v>83731</v>
      </c>
      <c r="M28" s="12" t="n">
        <f aca="false">SUM(M26:M27)</f>
        <v>83731</v>
      </c>
      <c r="N28" s="12" t="n">
        <f aca="false">SUM(N26:N27)</f>
        <v>83731</v>
      </c>
      <c r="O28" s="12" t="n">
        <f aca="false">SUM(O26:O27)</f>
        <v>83731</v>
      </c>
      <c r="P28" s="12" t="n">
        <f aca="false">SUM(P26:P27)</f>
        <v>83731</v>
      </c>
      <c r="Q28" s="12" t="n">
        <f aca="false">SUM(Q26:Q27)</f>
        <v>83731</v>
      </c>
      <c r="R28" s="12" t="n">
        <f aca="false">SUM(R26:R27)</f>
        <v>83731</v>
      </c>
      <c r="S28" s="12" t="n">
        <f aca="false">SUM(S26:S27)</f>
        <v>83731</v>
      </c>
      <c r="T28" s="12" t="n">
        <f aca="false">SUM(T26:T27)</f>
        <v>83731</v>
      </c>
      <c r="U28" s="12" t="n">
        <f aca="false">SUM(U26:U27)</f>
        <v>83731</v>
      </c>
      <c r="V28" s="12" t="n">
        <f aca="false">SUM(V26:V27)</f>
        <v>83731</v>
      </c>
      <c r="W28" s="12" t="n">
        <f aca="false">SUM(W26:W27)</f>
        <v>83731</v>
      </c>
    </row>
    <row r="29" customFormat="false" ht="15" hidden="false" customHeight="false" outlineLevel="0" collapsed="false">
      <c r="C29" s="1" t="s">
        <v>0</v>
      </c>
      <c r="D29" s="1" t="n">
        <v>2020</v>
      </c>
      <c r="E29" s="1" t="n">
        <v>2021</v>
      </c>
      <c r="F29" s="1" t="n">
        <v>2022</v>
      </c>
      <c r="G29" s="1" t="n">
        <v>2023</v>
      </c>
      <c r="H29" s="1" t="n">
        <v>2024</v>
      </c>
      <c r="I29" s="1" t="n">
        <v>2025</v>
      </c>
      <c r="J29" s="1" t="n">
        <v>2026</v>
      </c>
      <c r="K29" s="1" t="n">
        <v>2027</v>
      </c>
      <c r="L29" s="1" t="n">
        <v>2028</v>
      </c>
      <c r="M29" s="1" t="n">
        <v>2029</v>
      </c>
      <c r="N29" s="1" t="n">
        <v>2030</v>
      </c>
      <c r="O29" s="1" t="n">
        <v>2031</v>
      </c>
      <c r="P29" s="1" t="n">
        <v>2032</v>
      </c>
      <c r="Q29" s="1" t="n">
        <v>2033</v>
      </c>
      <c r="R29" s="1" t="n">
        <v>2034</v>
      </c>
      <c r="S29" s="1" t="n">
        <v>2035</v>
      </c>
      <c r="T29" s="1" t="n">
        <v>2036</v>
      </c>
      <c r="U29" s="1" t="n">
        <v>2037</v>
      </c>
      <c r="V29" s="1" t="n">
        <v>2038</v>
      </c>
      <c r="W29" s="1" t="n">
        <v>2039</v>
      </c>
    </row>
    <row r="30" customFormat="false" ht="15" hidden="false" customHeight="false" outlineLevel="0" collapsed="false">
      <c r="C30" s="0" t="s">
        <v>12</v>
      </c>
    </row>
    <row r="31" customFormat="false" ht="15" hidden="false" customHeight="false" outlineLevel="0" collapsed="false">
      <c r="B31" s="0" t="s">
        <v>2</v>
      </c>
      <c r="D31" s="2" t="n">
        <f aca="false">ROUND(ABS(淡江大學_p2!D50),0)</f>
        <v>43610</v>
      </c>
      <c r="E31" s="2" t="n">
        <f aca="false">ROUND(ABS(淡江大學_p2!E50),0)</f>
        <v>43610</v>
      </c>
      <c r="F31" s="2" t="n">
        <f aca="false">ROUND(ABS(淡江大學_p2!F50),0)</f>
        <v>43610</v>
      </c>
      <c r="G31" s="2" t="n">
        <f aca="false">ROUND(ABS(淡江大學_p2!G50),0)</f>
        <v>43610</v>
      </c>
      <c r="H31" s="2" t="n">
        <f aca="false">ROUND(ABS(淡江大學_p2!H50),0)</f>
        <v>43610</v>
      </c>
      <c r="I31" s="2" t="n">
        <f aca="false">ROUND(ABS(淡江大學_p2!I50),0)</f>
        <v>43610</v>
      </c>
      <c r="J31" s="2" t="n">
        <f aca="false">ROUND(ABS(淡江大學_p2!J50),0)</f>
        <v>43610</v>
      </c>
      <c r="K31" s="2" t="n">
        <f aca="false">ROUND(ABS(淡江大學_p2!K50),0)</f>
        <v>43610</v>
      </c>
      <c r="L31" s="2" t="n">
        <f aca="false">ROUND(ABS(淡江大學_p2!L50),0)</f>
        <v>43610</v>
      </c>
      <c r="M31" s="2" t="n">
        <f aca="false">ROUND(ABS(淡江大學_p2!M50),0)</f>
        <v>43610</v>
      </c>
      <c r="N31" s="2" t="n">
        <f aca="false">ROUND(ABS(淡江大學_p2!N50),0)</f>
        <v>0</v>
      </c>
      <c r="O31" s="2" t="n">
        <f aca="false">ROUND(ABS(淡江大學_p2!O50),0)</f>
        <v>0</v>
      </c>
      <c r="P31" s="2" t="n">
        <f aca="false">ROUND(ABS(淡江大學_p2!P50),0)</f>
        <v>0</v>
      </c>
      <c r="Q31" s="2" t="n">
        <f aca="false">ROUND(ABS(淡江大學_p2!Q50),0)</f>
        <v>0</v>
      </c>
      <c r="R31" s="2" t="n">
        <f aca="false">ROUND(ABS(淡江大學_p2!R50),0)</f>
        <v>0</v>
      </c>
      <c r="S31" s="2" t="n">
        <f aca="false">ROUND(ABS(淡江大學_p2!S50),0)</f>
        <v>0</v>
      </c>
      <c r="T31" s="2" t="n">
        <f aca="false">ROUND(ABS(淡江大學_p2!T50),0)</f>
        <v>0</v>
      </c>
      <c r="U31" s="2" t="n">
        <f aca="false">ROUND(ABS(淡江大學_p2!U50),0)</f>
        <v>0</v>
      </c>
      <c r="V31" s="2" t="n">
        <f aca="false">ROUND(ABS(淡江大學_p2!V50),0)</f>
        <v>0</v>
      </c>
      <c r="W31" s="2" t="n">
        <f aca="false">ROUND(ABS(淡江大學_p2!W50),0)</f>
        <v>0</v>
      </c>
    </row>
    <row r="32" customFormat="false" ht="15" hidden="false" customHeight="false" outlineLevel="0" collapsed="false">
      <c r="B32" s="0" t="s">
        <v>2</v>
      </c>
      <c r="D32" s="2" t="n">
        <f aca="false">ROUND(ABS(淡江大學_p3!D50),0)</f>
        <v>43610</v>
      </c>
      <c r="E32" s="2" t="n">
        <f aca="false">ROUND(ABS(淡江大學_p3!E50),0)</f>
        <v>43610</v>
      </c>
      <c r="F32" s="2" t="n">
        <f aca="false">ROUND(ABS(淡江大學_p3!F50),0)</f>
        <v>43610</v>
      </c>
      <c r="G32" s="2" t="n">
        <f aca="false">ROUND(ABS(淡江大學_p3!G50),0)</f>
        <v>43610</v>
      </c>
      <c r="H32" s="2" t="n">
        <f aca="false">ROUND(ABS(淡江大學_p3!H50),0)</f>
        <v>43610</v>
      </c>
      <c r="I32" s="2" t="n">
        <f aca="false">ROUND(ABS(淡江大學_p3!I50),0)</f>
        <v>43610</v>
      </c>
      <c r="J32" s="2" t="n">
        <f aca="false">ROUND(ABS(淡江大學_p3!J50),0)</f>
        <v>43610</v>
      </c>
      <c r="K32" s="2" t="n">
        <f aca="false">ROUND(ABS(淡江大學_p3!K50),0)</f>
        <v>43610</v>
      </c>
      <c r="L32" s="2" t="n">
        <f aca="false">ROUND(ABS(淡江大學_p3!L50),0)</f>
        <v>43610</v>
      </c>
      <c r="M32" s="2" t="n">
        <f aca="false">ROUND(ABS(淡江大學_p3!M50),0)</f>
        <v>43610</v>
      </c>
      <c r="N32" s="2" t="n">
        <f aca="false">ROUND(ABS(淡江大學_p3!N50),0)</f>
        <v>0</v>
      </c>
      <c r="O32" s="2" t="n">
        <f aca="false">ROUND(ABS(淡江大學_p3!O50),0)</f>
        <v>0</v>
      </c>
      <c r="P32" s="2" t="n">
        <f aca="false">ROUND(ABS(淡江大學_p3!P50),0)</f>
        <v>0</v>
      </c>
      <c r="Q32" s="2" t="n">
        <f aca="false">ROUND(ABS(淡江大學_p3!Q50),0)</f>
        <v>0</v>
      </c>
      <c r="R32" s="2" t="n">
        <f aca="false">ROUND(ABS(淡江大學_p3!R50),0)</f>
        <v>0</v>
      </c>
      <c r="S32" s="2" t="n">
        <f aca="false">ROUND(ABS(淡江大學_p3!S50),0)</f>
        <v>0</v>
      </c>
      <c r="T32" s="2" t="n">
        <f aca="false">ROUND(ABS(淡江大學_p3!T50),0)</f>
        <v>0</v>
      </c>
      <c r="U32" s="2" t="n">
        <f aca="false">ROUND(ABS(淡江大學_p3!U50),0)</f>
        <v>0</v>
      </c>
      <c r="V32" s="2" t="n">
        <f aca="false">ROUND(ABS(淡江大學_p3!V50),0)</f>
        <v>0</v>
      </c>
      <c r="W32" s="2" t="n">
        <f aca="false">ROUND(ABS(淡江大學_p3!W50),0)</f>
        <v>0</v>
      </c>
    </row>
    <row r="33" customFormat="false" ht="15" hidden="false" customHeight="false" outlineLevel="0" collapsed="false">
      <c r="C33" s="5" t="s">
        <v>13</v>
      </c>
      <c r="D33" s="6" t="n">
        <f aca="false">SUM(D31:D32)</f>
        <v>87220</v>
      </c>
      <c r="E33" s="6" t="n">
        <f aca="false">SUM(E31:E32)</f>
        <v>87220</v>
      </c>
      <c r="F33" s="6" t="n">
        <f aca="false">SUM(F31:F32)</f>
        <v>87220</v>
      </c>
      <c r="G33" s="6" t="n">
        <f aca="false">SUM(G31:G32)</f>
        <v>87220</v>
      </c>
      <c r="H33" s="6" t="n">
        <f aca="false">SUM(H31:H32)</f>
        <v>87220</v>
      </c>
      <c r="I33" s="6" t="n">
        <f aca="false">SUM(I31:I32)</f>
        <v>87220</v>
      </c>
      <c r="J33" s="6" t="n">
        <f aca="false">SUM(J31:J32)</f>
        <v>87220</v>
      </c>
      <c r="K33" s="6" t="n">
        <f aca="false">SUM(K31:K32)</f>
        <v>87220</v>
      </c>
      <c r="L33" s="6" t="n">
        <f aca="false">SUM(L31:L32)</f>
        <v>87220</v>
      </c>
      <c r="M33" s="6" t="n">
        <f aca="false">SUM(M31:M32)</f>
        <v>87220</v>
      </c>
      <c r="N33" s="6" t="n">
        <f aca="false">SUM(N31:N32)</f>
        <v>0</v>
      </c>
      <c r="O33" s="6" t="n">
        <f aca="false">SUM(O31:O32)</f>
        <v>0</v>
      </c>
      <c r="P33" s="6" t="n">
        <f aca="false">SUM(P31:P32)</f>
        <v>0</v>
      </c>
      <c r="Q33" s="6" t="n">
        <f aca="false">SUM(Q31:Q32)</f>
        <v>0</v>
      </c>
      <c r="R33" s="6" t="n">
        <f aca="false">SUM(R31:R32)</f>
        <v>0</v>
      </c>
      <c r="S33" s="6" t="n">
        <f aca="false">SUM(S31:S32)</f>
        <v>0</v>
      </c>
      <c r="T33" s="6" t="n">
        <f aca="false">SUM(T31:T32)</f>
        <v>0</v>
      </c>
      <c r="U33" s="6" t="n">
        <f aca="false">SUM(U31:U32)</f>
        <v>0</v>
      </c>
      <c r="V33" s="6" t="n">
        <f aca="false">SUM(V31:V32)</f>
        <v>0</v>
      </c>
      <c r="W33" s="6" t="n">
        <f aca="false">SUM(W31:W32)</f>
        <v>0</v>
      </c>
    </row>
    <row r="34" customFormat="false" ht="15" hidden="false" customHeight="false" outlineLevel="0" collapsed="false">
      <c r="C34" s="1" t="s">
        <v>0</v>
      </c>
      <c r="D34" s="1" t="n">
        <v>2020</v>
      </c>
      <c r="E34" s="1" t="n">
        <v>2021</v>
      </c>
      <c r="F34" s="1" t="n">
        <v>2022</v>
      </c>
      <c r="G34" s="1" t="n">
        <v>2023</v>
      </c>
      <c r="H34" s="1" t="n">
        <v>2024</v>
      </c>
      <c r="I34" s="1" t="n">
        <v>2025</v>
      </c>
      <c r="J34" s="1" t="n">
        <v>2026</v>
      </c>
      <c r="K34" s="1" t="n">
        <v>2027</v>
      </c>
      <c r="L34" s="1" t="n">
        <v>2028</v>
      </c>
      <c r="M34" s="1" t="n">
        <v>2029</v>
      </c>
      <c r="N34" s="1" t="n">
        <v>2030</v>
      </c>
      <c r="O34" s="1" t="n">
        <v>2031</v>
      </c>
      <c r="P34" s="1" t="n">
        <v>2032</v>
      </c>
      <c r="Q34" s="1" t="n">
        <v>2033</v>
      </c>
      <c r="R34" s="1" t="n">
        <v>2034</v>
      </c>
      <c r="S34" s="1" t="n">
        <v>2035</v>
      </c>
      <c r="T34" s="1" t="n">
        <v>2036</v>
      </c>
      <c r="U34" s="1" t="n">
        <v>2037</v>
      </c>
      <c r="V34" s="1" t="n">
        <v>2038</v>
      </c>
      <c r="W34" s="1" t="n">
        <v>2039</v>
      </c>
    </row>
    <row r="35" customFormat="false" ht="15" hidden="false" customHeight="false" outlineLevel="0" collapsed="false">
      <c r="C35" s="0" t="s">
        <v>14</v>
      </c>
    </row>
    <row r="36" customFormat="false" ht="15" hidden="false" customHeight="false" outlineLevel="0" collapsed="false">
      <c r="B36" s="0" t="s">
        <v>2</v>
      </c>
      <c r="D36" s="2" t="n">
        <f aca="false">ROUND(ABS(淡江大學_p2!D54),0)</f>
        <v>0</v>
      </c>
      <c r="E36" s="2" t="n">
        <f aca="false">ROUND(ABS(淡江大學_p2!E54),0)</f>
        <v>0</v>
      </c>
      <c r="F36" s="2" t="n">
        <f aca="false">ROUND(ABS(淡江大學_p2!F54),0)</f>
        <v>0</v>
      </c>
      <c r="G36" s="2" t="n">
        <f aca="false">ROUND(ABS(淡江大學_p2!G54),0)</f>
        <v>0</v>
      </c>
      <c r="H36" s="2" t="n">
        <f aca="false">ROUND(ABS(淡江大學_p2!H54),0)</f>
        <v>0</v>
      </c>
      <c r="I36" s="2" t="n">
        <f aca="false">ROUND(ABS(淡江大學_p2!I54),0)</f>
        <v>0</v>
      </c>
      <c r="J36" s="2" t="n">
        <f aca="false">ROUND(ABS(淡江大學_p2!J54),0)</f>
        <v>0</v>
      </c>
      <c r="K36" s="2" t="n">
        <f aca="false">ROUND(ABS(淡江大學_p2!K54),0)</f>
        <v>0</v>
      </c>
      <c r="L36" s="2" t="n">
        <f aca="false">ROUND(ABS(淡江大學_p2!L54),0)</f>
        <v>0</v>
      </c>
      <c r="M36" s="2" t="n">
        <f aca="false">ROUND(ABS(淡江大學_p2!M54),0)</f>
        <v>0</v>
      </c>
      <c r="N36" s="2" t="n">
        <f aca="false">ROUND(ABS(淡江大學_p2!N54),0)</f>
        <v>0</v>
      </c>
      <c r="O36" s="2" t="n">
        <f aca="false">ROUND(ABS(淡江大學_p2!O54),0)</f>
        <v>0</v>
      </c>
      <c r="P36" s="2" t="n">
        <f aca="false">ROUND(ABS(淡江大學_p2!P54),0)</f>
        <v>0</v>
      </c>
      <c r="Q36" s="2" t="n">
        <f aca="false">ROUND(ABS(淡江大學_p2!Q54),0)</f>
        <v>0</v>
      </c>
      <c r="R36" s="2" t="n">
        <f aca="false">ROUND(ABS(淡江大學_p2!R54),0)</f>
        <v>0</v>
      </c>
      <c r="S36" s="2" t="n">
        <f aca="false">ROUND(ABS(淡江大學_p2!S54),0)</f>
        <v>0</v>
      </c>
      <c r="T36" s="2" t="n">
        <f aca="false">ROUND(ABS(淡江大學_p2!T54),0)</f>
        <v>0</v>
      </c>
      <c r="U36" s="2" t="n">
        <f aca="false">ROUND(ABS(淡江大學_p2!U54),0)</f>
        <v>0</v>
      </c>
      <c r="V36" s="2" t="n">
        <f aca="false">ROUND(ABS(淡江大學_p2!V54),0)</f>
        <v>0</v>
      </c>
      <c r="W36" s="2" t="n">
        <f aca="false">ROUND(ABS(淡江大學_p2!W54),0)</f>
        <v>0</v>
      </c>
    </row>
    <row r="37" customFormat="false" ht="15" hidden="false" customHeight="false" outlineLevel="0" collapsed="false">
      <c r="B37" s="0" t="s">
        <v>2</v>
      </c>
      <c r="D37" s="2" t="n">
        <f aca="false">ROUND(ABS(淡江大學_p3!D54),0)</f>
        <v>0</v>
      </c>
      <c r="E37" s="2" t="n">
        <f aca="false">ROUND(ABS(淡江大學_p3!E54),0)</f>
        <v>0</v>
      </c>
      <c r="F37" s="2" t="n">
        <f aca="false">ROUND(ABS(淡江大學_p3!F54),0)</f>
        <v>0</v>
      </c>
      <c r="G37" s="2" t="n">
        <f aca="false">ROUND(ABS(淡江大學_p3!G54),0)</f>
        <v>0</v>
      </c>
      <c r="H37" s="2" t="n">
        <f aca="false">ROUND(ABS(淡江大學_p3!H54),0)</f>
        <v>0</v>
      </c>
      <c r="I37" s="2" t="n">
        <f aca="false">ROUND(ABS(淡江大學_p3!I54),0)</f>
        <v>0</v>
      </c>
      <c r="J37" s="2" t="n">
        <f aca="false">ROUND(ABS(淡江大學_p3!J54),0)</f>
        <v>0</v>
      </c>
      <c r="K37" s="2" t="n">
        <f aca="false">ROUND(ABS(淡江大學_p3!K54),0)</f>
        <v>0</v>
      </c>
      <c r="L37" s="2" t="n">
        <f aca="false">ROUND(ABS(淡江大學_p3!L54),0)</f>
        <v>0</v>
      </c>
      <c r="M37" s="2" t="n">
        <f aca="false">ROUND(ABS(淡江大學_p3!M54),0)</f>
        <v>0</v>
      </c>
      <c r="N37" s="2" t="n">
        <f aca="false">ROUND(ABS(淡江大學_p3!N54),0)</f>
        <v>0</v>
      </c>
      <c r="O37" s="2" t="n">
        <f aca="false">ROUND(ABS(淡江大學_p3!O54),0)</f>
        <v>0</v>
      </c>
      <c r="P37" s="2" t="n">
        <f aca="false">ROUND(ABS(淡江大學_p3!P54),0)</f>
        <v>0</v>
      </c>
      <c r="Q37" s="2" t="n">
        <f aca="false">ROUND(ABS(淡江大學_p3!Q54),0)</f>
        <v>0</v>
      </c>
      <c r="R37" s="2" t="n">
        <f aca="false">ROUND(ABS(淡江大學_p3!R54),0)</f>
        <v>0</v>
      </c>
      <c r="S37" s="2" t="n">
        <f aca="false">ROUND(ABS(淡江大學_p3!S54),0)</f>
        <v>0</v>
      </c>
      <c r="T37" s="2" t="n">
        <f aca="false">ROUND(ABS(淡江大學_p3!T54),0)</f>
        <v>0</v>
      </c>
      <c r="U37" s="2" t="n">
        <f aca="false">ROUND(ABS(淡江大學_p3!U54),0)</f>
        <v>0</v>
      </c>
      <c r="V37" s="2" t="n">
        <f aca="false">ROUND(ABS(淡江大學_p3!V54),0)</f>
        <v>0</v>
      </c>
      <c r="W37" s="2" t="n">
        <f aca="false">ROUND(ABS(淡江大學_p3!W54),0)</f>
        <v>0</v>
      </c>
    </row>
    <row r="38" customFormat="false" ht="15" hidden="false" customHeight="false" outlineLevel="0" collapsed="false">
      <c r="C38" s="3" t="s">
        <v>15</v>
      </c>
      <c r="D38" s="4" t="n">
        <f aca="false">SUM(D36:D37)</f>
        <v>0</v>
      </c>
      <c r="E38" s="4" t="n">
        <f aca="false">SUM(E36:E37)</f>
        <v>0</v>
      </c>
      <c r="F38" s="4" t="n">
        <f aca="false">SUM(F36:F37)</f>
        <v>0</v>
      </c>
      <c r="G38" s="4" t="n">
        <f aca="false">SUM(G36:G37)</f>
        <v>0</v>
      </c>
      <c r="H38" s="4" t="n">
        <f aca="false">SUM(H36:H37)</f>
        <v>0</v>
      </c>
      <c r="I38" s="4" t="n">
        <f aca="false">SUM(I36:I37)</f>
        <v>0</v>
      </c>
      <c r="J38" s="4" t="n">
        <f aca="false">SUM(J36:J37)</f>
        <v>0</v>
      </c>
      <c r="K38" s="4" t="n">
        <f aca="false">SUM(K36:K37)</f>
        <v>0</v>
      </c>
      <c r="L38" s="4" t="n">
        <f aca="false">SUM(L36:L37)</f>
        <v>0</v>
      </c>
      <c r="M38" s="4" t="n">
        <f aca="false">SUM(M36:M37)</f>
        <v>0</v>
      </c>
      <c r="N38" s="4" t="n">
        <f aca="false">SUM(N36:N37)</f>
        <v>0</v>
      </c>
      <c r="O38" s="4" t="n">
        <f aca="false">SUM(O36:O37)</f>
        <v>0</v>
      </c>
      <c r="P38" s="4" t="n">
        <f aca="false">SUM(P36:P37)</f>
        <v>0</v>
      </c>
      <c r="Q38" s="4" t="n">
        <f aca="false">SUM(Q36:Q37)</f>
        <v>0</v>
      </c>
      <c r="R38" s="4" t="n">
        <f aca="false">SUM(R36:R37)</f>
        <v>0</v>
      </c>
      <c r="S38" s="4" t="n">
        <f aca="false">SUM(S36:S37)</f>
        <v>0</v>
      </c>
      <c r="T38" s="4" t="n">
        <f aca="false">SUM(T36:T37)</f>
        <v>0</v>
      </c>
      <c r="U38" s="4" t="n">
        <f aca="false">SUM(U36:U37)</f>
        <v>0</v>
      </c>
      <c r="V38" s="4" t="n">
        <f aca="false">SUM(V36:V37)</f>
        <v>0</v>
      </c>
      <c r="W38" s="4" t="n">
        <f aca="false">SUM(W36:W37)</f>
        <v>0</v>
      </c>
    </row>
    <row r="39" customFormat="false" ht="15" hidden="false" customHeight="false" outlineLevel="0" collapsed="false">
      <c r="C39" s="1" t="s">
        <v>0</v>
      </c>
      <c r="D39" s="1" t="n">
        <v>2020</v>
      </c>
      <c r="E39" s="1" t="n">
        <v>2021</v>
      </c>
      <c r="F39" s="1" t="n">
        <v>2022</v>
      </c>
      <c r="G39" s="1" t="n">
        <v>2023</v>
      </c>
      <c r="H39" s="1" t="n">
        <v>2024</v>
      </c>
      <c r="I39" s="1" t="n">
        <v>2025</v>
      </c>
      <c r="J39" s="1" t="n">
        <v>2026</v>
      </c>
      <c r="K39" s="1" t="n">
        <v>2027</v>
      </c>
      <c r="L39" s="1" t="n">
        <v>2028</v>
      </c>
      <c r="M39" s="1" t="n">
        <v>2029</v>
      </c>
      <c r="N39" s="1" t="n">
        <v>2030</v>
      </c>
      <c r="O39" s="1" t="n">
        <v>2031</v>
      </c>
      <c r="P39" s="1" t="n">
        <v>2032</v>
      </c>
      <c r="Q39" s="1" t="n">
        <v>2033</v>
      </c>
      <c r="R39" s="1" t="n">
        <v>2034</v>
      </c>
      <c r="S39" s="1" t="n">
        <v>2035</v>
      </c>
      <c r="T39" s="1" t="n">
        <v>2036</v>
      </c>
      <c r="U39" s="1" t="n">
        <v>2037</v>
      </c>
      <c r="V39" s="1" t="n">
        <v>2038</v>
      </c>
      <c r="W39" s="1" t="n">
        <v>2039</v>
      </c>
    </row>
    <row r="40" customFormat="false" ht="15" hidden="false" customHeight="false" outlineLevel="0" collapsed="false">
      <c r="C40" s="0" t="s">
        <v>16</v>
      </c>
    </row>
    <row r="41" customFormat="false" ht="15" hidden="false" customHeight="false" outlineLevel="0" collapsed="false">
      <c r="B41" s="0" t="s">
        <v>2</v>
      </c>
      <c r="D41" s="2" t="n">
        <f aca="false">ROUND(ABS(淡江大學_p2!D67),0)</f>
        <v>0</v>
      </c>
      <c r="E41" s="2" t="n">
        <f aca="false">ROUND(ABS(淡江大學_p2!E67),0)</f>
        <v>0</v>
      </c>
      <c r="F41" s="2" t="n">
        <f aca="false">ROUND(ABS(淡江大學_p2!F67),0)</f>
        <v>0</v>
      </c>
      <c r="G41" s="2" t="n">
        <f aca="false">ROUND(ABS(淡江大學_p2!G67),0)</f>
        <v>0</v>
      </c>
      <c r="H41" s="2" t="n">
        <f aca="false">ROUND(ABS(淡江大學_p2!H67),0)</f>
        <v>0</v>
      </c>
      <c r="I41" s="2" t="n">
        <f aca="false">ROUND(ABS(淡江大學_p2!I67),0)</f>
        <v>0</v>
      </c>
      <c r="J41" s="2" t="n">
        <f aca="false">ROUND(ABS(淡江大學_p2!J67),0)</f>
        <v>0</v>
      </c>
      <c r="K41" s="2" t="n">
        <f aca="false">ROUND(ABS(淡江大學_p2!K67),0)</f>
        <v>0</v>
      </c>
      <c r="L41" s="2" t="n">
        <f aca="false">ROUND(ABS(淡江大學_p2!L67),0)</f>
        <v>0</v>
      </c>
      <c r="M41" s="2" t="n">
        <f aca="false">ROUND(ABS(淡江大學_p2!M67),0)</f>
        <v>0</v>
      </c>
      <c r="N41" s="2" t="n">
        <f aca="false">ROUND(ABS(淡江大學_p2!N67),0)</f>
        <v>0</v>
      </c>
      <c r="O41" s="2" t="n">
        <f aca="false">ROUND(ABS(淡江大學_p2!O67),0)</f>
        <v>0</v>
      </c>
      <c r="P41" s="2" t="n">
        <f aca="false">ROUND(ABS(淡江大學_p2!P67),0)</f>
        <v>0</v>
      </c>
      <c r="Q41" s="2" t="n">
        <f aca="false">ROUND(ABS(淡江大學_p2!Q67),0)</f>
        <v>0</v>
      </c>
      <c r="R41" s="2" t="n">
        <f aca="false">ROUND(ABS(淡江大學_p2!R67),0)</f>
        <v>0</v>
      </c>
      <c r="S41" s="2" t="n">
        <f aca="false">ROUND(ABS(淡江大學_p2!S67),0)</f>
        <v>0</v>
      </c>
      <c r="T41" s="2" t="n">
        <f aca="false">ROUND(ABS(淡江大學_p2!T67),0)</f>
        <v>0</v>
      </c>
      <c r="U41" s="2" t="n">
        <f aca="false">ROUND(ABS(淡江大學_p2!U67),0)</f>
        <v>0</v>
      </c>
      <c r="V41" s="2" t="n">
        <f aca="false">ROUND(ABS(淡江大學_p2!V67),0)</f>
        <v>0</v>
      </c>
      <c r="W41" s="2" t="n">
        <f aca="false">ROUND(ABS(淡江大學_p2!W67),0)</f>
        <v>0</v>
      </c>
    </row>
    <row r="42" customFormat="false" ht="15" hidden="false" customHeight="false" outlineLevel="0" collapsed="false">
      <c r="B42" s="0" t="s">
        <v>2</v>
      </c>
      <c r="D42" s="2" t="n">
        <f aca="false">ROUND(ABS(淡江大學_p3!D67),0)</f>
        <v>0</v>
      </c>
      <c r="E42" s="2" t="n">
        <f aca="false">ROUND(ABS(淡江大學_p3!E67),0)</f>
        <v>0</v>
      </c>
      <c r="F42" s="2" t="n">
        <f aca="false">ROUND(ABS(淡江大學_p3!F67),0)</f>
        <v>0</v>
      </c>
      <c r="G42" s="2" t="n">
        <f aca="false">ROUND(ABS(淡江大學_p3!G67),0)</f>
        <v>0</v>
      </c>
      <c r="H42" s="2" t="n">
        <f aca="false">ROUND(ABS(淡江大學_p3!H67),0)</f>
        <v>0</v>
      </c>
      <c r="I42" s="2" t="n">
        <f aca="false">ROUND(ABS(淡江大學_p3!I67),0)</f>
        <v>0</v>
      </c>
      <c r="J42" s="2" t="n">
        <f aca="false">ROUND(ABS(淡江大學_p3!J67),0)</f>
        <v>0</v>
      </c>
      <c r="K42" s="2" t="n">
        <f aca="false">ROUND(ABS(淡江大學_p3!K67),0)</f>
        <v>0</v>
      </c>
      <c r="L42" s="2" t="n">
        <f aca="false">ROUND(ABS(淡江大學_p3!L67),0)</f>
        <v>0</v>
      </c>
      <c r="M42" s="2" t="n">
        <f aca="false">ROUND(ABS(淡江大學_p3!M67),0)</f>
        <v>0</v>
      </c>
      <c r="N42" s="2" t="n">
        <f aca="false">ROUND(ABS(淡江大學_p3!N67),0)</f>
        <v>0</v>
      </c>
      <c r="O42" s="2" t="n">
        <f aca="false">ROUND(ABS(淡江大學_p3!O67),0)</f>
        <v>0</v>
      </c>
      <c r="P42" s="2" t="n">
        <f aca="false">ROUND(ABS(淡江大學_p3!P67),0)</f>
        <v>0</v>
      </c>
      <c r="Q42" s="2" t="n">
        <f aca="false">ROUND(ABS(淡江大學_p3!Q67),0)</f>
        <v>0</v>
      </c>
      <c r="R42" s="2" t="n">
        <f aca="false">ROUND(ABS(淡江大學_p3!R67),0)</f>
        <v>0</v>
      </c>
      <c r="S42" s="2" t="n">
        <f aca="false">ROUND(ABS(淡江大學_p3!S67),0)</f>
        <v>0</v>
      </c>
      <c r="T42" s="2" t="n">
        <f aca="false">ROUND(ABS(淡江大學_p3!T67),0)</f>
        <v>0</v>
      </c>
      <c r="U42" s="2" t="n">
        <f aca="false">ROUND(ABS(淡江大學_p3!U67),0)</f>
        <v>0</v>
      </c>
      <c r="V42" s="2" t="n">
        <f aca="false">ROUND(ABS(淡江大學_p3!V67),0)</f>
        <v>0</v>
      </c>
      <c r="W42" s="2" t="n">
        <f aca="false">ROUND(ABS(淡江大學_p3!W67),0)</f>
        <v>0</v>
      </c>
    </row>
    <row r="43" customFormat="false" ht="15" hidden="false" customHeight="false" outlineLevel="0" collapsed="false">
      <c r="C43" s="13" t="s">
        <v>17</v>
      </c>
      <c r="D43" s="14" t="n">
        <f aca="false">SUM(D41:D42)</f>
        <v>0</v>
      </c>
      <c r="E43" s="14" t="n">
        <f aca="false">SUM(E41:E42)</f>
        <v>0</v>
      </c>
      <c r="F43" s="14" t="n">
        <f aca="false">SUM(F41:F42)</f>
        <v>0</v>
      </c>
      <c r="G43" s="14" t="n">
        <f aca="false">SUM(G41:G42)</f>
        <v>0</v>
      </c>
      <c r="H43" s="14" t="n">
        <f aca="false">SUM(H41:H42)</f>
        <v>0</v>
      </c>
      <c r="I43" s="14" t="n">
        <f aca="false">SUM(I41:I42)</f>
        <v>0</v>
      </c>
      <c r="J43" s="14" t="n">
        <f aca="false">SUM(J41:J42)</f>
        <v>0</v>
      </c>
      <c r="K43" s="14" t="n">
        <f aca="false">SUM(K41:K42)</f>
        <v>0</v>
      </c>
      <c r="L43" s="14" t="n">
        <f aca="false">SUM(L41:L42)</f>
        <v>0</v>
      </c>
      <c r="M43" s="14" t="n">
        <f aca="false">SUM(M41:M42)</f>
        <v>0</v>
      </c>
      <c r="N43" s="14" t="n">
        <f aca="false">SUM(N41:N42)</f>
        <v>0</v>
      </c>
      <c r="O43" s="14" t="n">
        <f aca="false">SUM(O41:O42)</f>
        <v>0</v>
      </c>
      <c r="P43" s="14" t="n">
        <f aca="false">SUM(P41:P42)</f>
        <v>0</v>
      </c>
      <c r="Q43" s="14" t="n">
        <f aca="false">SUM(Q41:Q42)</f>
        <v>0</v>
      </c>
      <c r="R43" s="14" t="n">
        <f aca="false">SUM(R41:R42)</f>
        <v>0</v>
      </c>
      <c r="S43" s="14" t="n">
        <f aca="false">SUM(S41:S42)</f>
        <v>0</v>
      </c>
      <c r="T43" s="14" t="n">
        <f aca="false">SUM(T41:T42)</f>
        <v>0</v>
      </c>
      <c r="U43" s="14" t="n">
        <f aca="false">SUM(U41:U42)</f>
        <v>0</v>
      </c>
      <c r="V43" s="14" t="n">
        <f aca="false">SUM(V41:V42)</f>
        <v>0</v>
      </c>
      <c r="W43" s="14" t="n">
        <f aca="false">SUM(W41:W42)</f>
        <v>0</v>
      </c>
    </row>
    <row r="45" customFormat="false" ht="15" hidden="false" customHeight="false" outlineLevel="0" collapsed="false">
      <c r="B45" s="0" t="s">
        <v>18</v>
      </c>
      <c r="C45" s="0" t="n">
        <v>80</v>
      </c>
    </row>
    <row r="46" customFormat="false" ht="15" hidden="false" customHeight="false" outlineLevel="0" collapsed="false">
      <c r="B46" s="0" t="s">
        <v>19</v>
      </c>
      <c r="C46" s="0" t="n">
        <v>15</v>
      </c>
    </row>
    <row r="47" customFormat="false" ht="15" hidden="false" customHeight="false" outlineLevel="0" collapsed="false">
      <c r="B47" s="0" t="s">
        <v>20</v>
      </c>
      <c r="C47" s="0" t="n">
        <v>90</v>
      </c>
    </row>
    <row r="48" customFormat="false" ht="15" hidden="false" customHeight="false" outlineLevel="0" collapsed="false">
      <c r="B48" s="0" t="s">
        <v>21</v>
      </c>
      <c r="C48" s="0" t="n">
        <v>4</v>
      </c>
    </row>
    <row r="49" customFormat="false" ht="15" hidden="false" customHeight="false" outlineLevel="0" collapsed="false">
      <c r="B49" s="0" t="s">
        <v>22</v>
      </c>
      <c r="C49" s="0" t="n">
        <v>3</v>
      </c>
    </row>
    <row r="50" customFormat="false" ht="18.75" hidden="false" customHeight="true" outlineLevel="0" collapsed="false">
      <c r="B50" s="15"/>
      <c r="C50" s="16" t="s">
        <v>0</v>
      </c>
      <c r="D50" s="16" t="n">
        <v>2020</v>
      </c>
      <c r="E50" s="16" t="n">
        <v>2021</v>
      </c>
      <c r="F50" s="16" t="n">
        <v>2022</v>
      </c>
      <c r="G50" s="16" t="n">
        <v>2023</v>
      </c>
      <c r="H50" s="16" t="n">
        <v>2024</v>
      </c>
      <c r="I50" s="16" t="n">
        <v>2025</v>
      </c>
      <c r="J50" s="16" t="n">
        <v>2026</v>
      </c>
      <c r="K50" s="16" t="n">
        <v>2027</v>
      </c>
      <c r="L50" s="16" t="n">
        <v>2028</v>
      </c>
      <c r="M50" s="16" t="n">
        <v>2029</v>
      </c>
      <c r="N50" s="16" t="n">
        <v>2030</v>
      </c>
      <c r="O50" s="16" t="n">
        <v>2031</v>
      </c>
      <c r="P50" s="16" t="n">
        <v>2032</v>
      </c>
      <c r="Q50" s="16" t="n">
        <v>2033</v>
      </c>
      <c r="R50" s="16" t="n">
        <v>2034</v>
      </c>
      <c r="S50" s="16" t="n">
        <v>2035</v>
      </c>
      <c r="T50" s="16" t="n">
        <v>2036</v>
      </c>
      <c r="U50" s="16" t="n">
        <v>2037</v>
      </c>
      <c r="V50" s="16" t="n">
        <v>2038</v>
      </c>
      <c r="W50" s="16" t="n">
        <v>2039</v>
      </c>
    </row>
    <row r="51" customFormat="false" ht="18.75" hidden="false" customHeight="true" outlineLevel="0" collapsed="false">
      <c r="B51" s="17" t="n">
        <v>0</v>
      </c>
      <c r="C51" s="18"/>
      <c r="D51" s="19"/>
      <c r="E51" s="19"/>
      <c r="F51" s="20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2"/>
      <c r="U51" s="21"/>
      <c r="V51" s="21"/>
      <c r="W51" s="21"/>
    </row>
    <row r="52" customFormat="false" ht="18.75" hidden="false" customHeight="true" outlineLevel="0" collapsed="false">
      <c r="B52" s="23" t="s">
        <v>23</v>
      </c>
      <c r="C52" s="24" t="n">
        <v>0</v>
      </c>
      <c r="D52" s="25" t="n">
        <v>1</v>
      </c>
      <c r="E52" s="25" t="n">
        <v>2</v>
      </c>
      <c r="F52" s="25" t="n">
        <v>3</v>
      </c>
      <c r="G52" s="25" t="n">
        <v>4</v>
      </c>
      <c r="H52" s="25" t="n">
        <v>5</v>
      </c>
      <c r="I52" s="25" t="n">
        <v>6</v>
      </c>
      <c r="J52" s="25" t="n">
        <v>7</v>
      </c>
      <c r="K52" s="25" t="n">
        <v>8</v>
      </c>
      <c r="L52" s="25" t="n">
        <v>9</v>
      </c>
      <c r="M52" s="25" t="n">
        <v>10</v>
      </c>
      <c r="N52" s="25" t="n">
        <v>11</v>
      </c>
      <c r="O52" s="25" t="n">
        <v>12</v>
      </c>
      <c r="P52" s="25" t="n">
        <v>13</v>
      </c>
      <c r="Q52" s="25" t="n">
        <v>14</v>
      </c>
      <c r="R52" s="25" t="n">
        <v>15</v>
      </c>
      <c r="S52" s="25" t="n">
        <v>16</v>
      </c>
      <c r="T52" s="26" t="n">
        <v>17</v>
      </c>
      <c r="U52" s="25" t="n">
        <v>18</v>
      </c>
      <c r="V52" s="25" t="n">
        <v>19</v>
      </c>
      <c r="W52" s="25" t="n">
        <v>20</v>
      </c>
    </row>
    <row r="53" customFormat="false" ht="18.75" hidden="false" customHeight="true" outlineLevel="0" collapsed="false">
      <c r="B53" s="27" t="s">
        <v>24</v>
      </c>
      <c r="C53" s="28" t="n">
        <v>0</v>
      </c>
      <c r="D53" s="29" t="n">
        <f aca="false">D8</f>
        <v>0</v>
      </c>
      <c r="E53" s="29" t="n">
        <f aca="false">E8</f>
        <v>0</v>
      </c>
      <c r="F53" s="29" t="n">
        <f aca="false">F8</f>
        <v>0</v>
      </c>
      <c r="G53" s="29" t="n">
        <f aca="false">G8</f>
        <v>0</v>
      </c>
      <c r="H53" s="29" t="n">
        <f aca="false">H8</f>
        <v>0</v>
      </c>
      <c r="I53" s="29" t="n">
        <f aca="false">I8</f>
        <v>0</v>
      </c>
      <c r="J53" s="29" t="n">
        <f aca="false">J8</f>
        <v>0</v>
      </c>
      <c r="K53" s="29" t="n">
        <f aca="false">K8</f>
        <v>0</v>
      </c>
      <c r="L53" s="29" t="n">
        <f aca="false">L8</f>
        <v>0</v>
      </c>
      <c r="M53" s="29" t="n">
        <f aca="false">M8</f>
        <v>0</v>
      </c>
      <c r="N53" s="29" t="n">
        <f aca="false">N8</f>
        <v>0</v>
      </c>
      <c r="O53" s="29" t="n">
        <f aca="false">O8</f>
        <v>0</v>
      </c>
      <c r="P53" s="29" t="n">
        <f aca="false">P8</f>
        <v>0</v>
      </c>
      <c r="Q53" s="29" t="n">
        <f aca="false">Q8</f>
        <v>0</v>
      </c>
      <c r="R53" s="29" t="n">
        <f aca="false">R8</f>
        <v>0</v>
      </c>
      <c r="S53" s="29" t="n">
        <f aca="false">S8</f>
        <v>0</v>
      </c>
      <c r="T53" s="29" t="n">
        <f aca="false">T8</f>
        <v>0</v>
      </c>
      <c r="U53" s="29" t="n">
        <f aca="false">U8</f>
        <v>0</v>
      </c>
      <c r="V53" s="29" t="n">
        <f aca="false">V8</f>
        <v>0</v>
      </c>
      <c r="W53" s="29" t="n">
        <f aca="false">W8</f>
        <v>0</v>
      </c>
    </row>
    <row r="54" customFormat="false" ht="18.75" hidden="false" customHeight="true" outlineLevel="0" collapsed="false">
      <c r="B54" s="30" t="s">
        <v>25</v>
      </c>
      <c r="C54" s="31" t="s">
        <v>26</v>
      </c>
      <c r="D54" s="32" t="n">
        <f aca="false">D13</f>
        <v>0</v>
      </c>
      <c r="E54" s="32" t="n">
        <f aca="false">E13</f>
        <v>0</v>
      </c>
      <c r="F54" s="32" t="n">
        <f aca="false">F13</f>
        <v>0</v>
      </c>
      <c r="G54" s="32" t="n">
        <f aca="false">G13</f>
        <v>0</v>
      </c>
      <c r="H54" s="32" t="n">
        <f aca="false">H13</f>
        <v>0</v>
      </c>
      <c r="I54" s="32" t="n">
        <f aca="false">I13</f>
        <v>0</v>
      </c>
      <c r="J54" s="32" t="n">
        <f aca="false">J13</f>
        <v>0</v>
      </c>
      <c r="K54" s="32" t="n">
        <f aca="false">K13</f>
        <v>0</v>
      </c>
      <c r="L54" s="32" t="n">
        <f aca="false">L13</f>
        <v>0</v>
      </c>
      <c r="M54" s="32" t="n">
        <f aca="false">M13</f>
        <v>0</v>
      </c>
      <c r="N54" s="32" t="n">
        <f aca="false">N13</f>
        <v>0</v>
      </c>
      <c r="O54" s="32" t="n">
        <f aca="false">O13</f>
        <v>0</v>
      </c>
      <c r="P54" s="32" t="n">
        <f aca="false">P13</f>
        <v>0</v>
      </c>
      <c r="Q54" s="32" t="n">
        <f aca="false">Q13</f>
        <v>0</v>
      </c>
      <c r="R54" s="32" t="n">
        <f aca="false">R13</f>
        <v>0</v>
      </c>
      <c r="S54" s="32" t="n">
        <f aca="false">S13</f>
        <v>0</v>
      </c>
      <c r="T54" s="32" t="n">
        <f aca="false">T13</f>
        <v>0</v>
      </c>
      <c r="U54" s="32" t="n">
        <f aca="false">U13</f>
        <v>0</v>
      </c>
      <c r="V54" s="32" t="n">
        <f aca="false">V13</f>
        <v>0</v>
      </c>
      <c r="W54" s="32" t="n">
        <f aca="false">W13</f>
        <v>0</v>
      </c>
    </row>
    <row r="55" customFormat="false" ht="18.75" hidden="false" customHeight="true" outlineLevel="0" collapsed="false">
      <c r="B55" s="33" t="s">
        <v>27</v>
      </c>
      <c r="C55" s="34" t="s">
        <v>26</v>
      </c>
      <c r="D55" s="35"/>
      <c r="E55" s="35"/>
      <c r="F55" s="35"/>
      <c r="G55" s="36" t="s">
        <v>26</v>
      </c>
      <c r="H55" s="36" t="s">
        <v>26</v>
      </c>
      <c r="I55" s="36" t="s">
        <v>26</v>
      </c>
      <c r="J55" s="36" t="s">
        <v>26</v>
      </c>
      <c r="K55" s="36" t="s">
        <v>26</v>
      </c>
      <c r="L55" s="36" t="s">
        <v>26</v>
      </c>
      <c r="M55" s="36" t="s">
        <v>26</v>
      </c>
      <c r="N55" s="36" t="s">
        <v>26</v>
      </c>
      <c r="O55" s="36" t="s">
        <v>26</v>
      </c>
      <c r="P55" s="36" t="s">
        <v>26</v>
      </c>
      <c r="Q55" s="36" t="s">
        <v>26</v>
      </c>
      <c r="R55" s="36" t="s">
        <v>26</v>
      </c>
      <c r="S55" s="36" t="s">
        <v>26</v>
      </c>
      <c r="T55" s="36" t="s">
        <v>26</v>
      </c>
      <c r="U55" s="36" t="s">
        <v>26</v>
      </c>
      <c r="V55" s="36" t="s">
        <v>26</v>
      </c>
      <c r="W55" s="36" t="s">
        <v>26</v>
      </c>
    </row>
    <row r="56" customFormat="false" ht="18.75" hidden="false" customHeight="true" outlineLevel="0" collapsed="false">
      <c r="B56" s="37" t="s">
        <v>28</v>
      </c>
      <c r="C56" s="38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customFormat="false" ht="18.75" hidden="false" customHeight="true" outlineLevel="0" collapsed="false">
      <c r="B57" s="40" t="s">
        <v>29</v>
      </c>
      <c r="C57" s="41" t="n">
        <f aca="false">-SUM(D43:W43)</f>
        <v>-0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</row>
    <row r="58" customFormat="false" ht="18.75" hidden="false" customHeight="true" outlineLevel="0" collapsed="false">
      <c r="B58" s="40" t="s">
        <v>30</v>
      </c>
      <c r="C58" s="34" t="s">
        <v>26</v>
      </c>
      <c r="D58" s="42" t="n">
        <f aca="false">-D18</f>
        <v>-580402</v>
      </c>
      <c r="E58" s="42" t="n">
        <f aca="false">-E18</f>
        <v>-580402</v>
      </c>
      <c r="F58" s="42" t="n">
        <f aca="false">-F18</f>
        <v>-580402</v>
      </c>
      <c r="G58" s="42" t="n">
        <f aca="false">-G18</f>
        <v>-580402</v>
      </c>
      <c r="H58" s="42" t="n">
        <f aca="false">-H18</f>
        <v>-580402</v>
      </c>
      <c r="I58" s="42" t="n">
        <f aca="false">-I18</f>
        <v>-580402</v>
      </c>
      <c r="J58" s="42" t="n">
        <f aca="false">-J18</f>
        <v>-580402</v>
      </c>
      <c r="K58" s="42" t="n">
        <f aca="false">-K18</f>
        <v>-580402</v>
      </c>
      <c r="L58" s="42" t="n">
        <f aca="false">-L18</f>
        <v>-580402</v>
      </c>
      <c r="M58" s="42" t="n">
        <f aca="false">-M18</f>
        <v>-580402</v>
      </c>
      <c r="N58" s="42" t="n">
        <f aca="false">-N18</f>
        <v>-580402</v>
      </c>
      <c r="O58" s="42" t="n">
        <f aca="false">-O18</f>
        <v>-580402</v>
      </c>
      <c r="P58" s="42" t="n">
        <f aca="false">-P18</f>
        <v>-580402</v>
      </c>
      <c r="Q58" s="42" t="n">
        <f aca="false">-Q18</f>
        <v>-580402</v>
      </c>
      <c r="R58" s="42" t="n">
        <f aca="false">-R18</f>
        <v>-580402</v>
      </c>
      <c r="S58" s="42" t="n">
        <f aca="false">-S18</f>
        <v>-580402</v>
      </c>
      <c r="T58" s="42" t="n">
        <f aca="false">-T18</f>
        <v>-580402</v>
      </c>
      <c r="U58" s="42" t="n">
        <f aca="false">-U18</f>
        <v>-580402</v>
      </c>
      <c r="V58" s="42" t="n">
        <f aca="false">-V18</f>
        <v>-580402</v>
      </c>
      <c r="W58" s="42" t="n">
        <f aca="false">-W18</f>
        <v>-580402</v>
      </c>
    </row>
    <row r="59" customFormat="false" ht="18.75" hidden="false" customHeight="true" outlineLevel="0" collapsed="false">
      <c r="B59" s="40" t="s">
        <v>31</v>
      </c>
      <c r="C59" s="34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</row>
    <row r="60" customFormat="false" ht="18.75" hidden="false" customHeight="true" outlineLevel="0" collapsed="false">
      <c r="B60" s="40" t="s">
        <v>32</v>
      </c>
      <c r="C60" s="34" t="s">
        <v>26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</row>
    <row r="61" customFormat="false" ht="18.75" hidden="false" customHeight="true" outlineLevel="0" collapsed="false">
      <c r="B61" s="40" t="s">
        <v>33</v>
      </c>
      <c r="C61" s="34" t="s">
        <v>26</v>
      </c>
      <c r="D61" s="42" t="n">
        <f aca="false">-D23</f>
        <v>-348880</v>
      </c>
      <c r="E61" s="42" t="n">
        <f aca="false">-E23</f>
        <v>-348880</v>
      </c>
      <c r="F61" s="42" t="n">
        <f aca="false">-F23</f>
        <v>-348880</v>
      </c>
      <c r="G61" s="42" t="n">
        <f aca="false">-G23</f>
        <v>-348880</v>
      </c>
      <c r="H61" s="42" t="n">
        <f aca="false">-H23</f>
        <v>-348880</v>
      </c>
      <c r="I61" s="42" t="n">
        <f aca="false">-I23</f>
        <v>-348880</v>
      </c>
      <c r="J61" s="42" t="n">
        <f aca="false">-J23</f>
        <v>-348880</v>
      </c>
      <c r="K61" s="42" t="n">
        <f aca="false">-K23</f>
        <v>-348880</v>
      </c>
      <c r="L61" s="42" t="n">
        <f aca="false">-L23</f>
        <v>-348880</v>
      </c>
      <c r="M61" s="42" t="n">
        <f aca="false">-M23</f>
        <v>-348880</v>
      </c>
      <c r="N61" s="42" t="n">
        <f aca="false">-N23</f>
        <v>-348880</v>
      </c>
      <c r="O61" s="42" t="n">
        <f aca="false">-O23</f>
        <v>-348880</v>
      </c>
      <c r="P61" s="42" t="n">
        <f aca="false">-P23</f>
        <v>-348880</v>
      </c>
      <c r="Q61" s="42" t="n">
        <f aca="false">-Q23</f>
        <v>-348880</v>
      </c>
      <c r="R61" s="42" t="n">
        <f aca="false">-R23</f>
        <v>-348880</v>
      </c>
      <c r="S61" s="42" t="n">
        <f aca="false">-S23</f>
        <v>-348880</v>
      </c>
      <c r="T61" s="42" t="n">
        <f aca="false">-T23</f>
        <v>-348880</v>
      </c>
      <c r="U61" s="42" t="n">
        <f aca="false">-U23</f>
        <v>-348880</v>
      </c>
      <c r="V61" s="42" t="n">
        <f aca="false">-V23</f>
        <v>-348880</v>
      </c>
      <c r="W61" s="42" t="n">
        <f aca="false">-W23</f>
        <v>-348880</v>
      </c>
    </row>
    <row r="62" customFormat="false" ht="18.75" hidden="false" customHeight="true" outlineLevel="0" collapsed="false">
      <c r="B62" s="40" t="s">
        <v>34</v>
      </c>
      <c r="C62" s="34" t="s">
        <v>26</v>
      </c>
      <c r="D62" s="42" t="n">
        <f aca="false">-D28</f>
        <v>-83731</v>
      </c>
      <c r="E62" s="42" t="n">
        <f aca="false">-E28</f>
        <v>-83731</v>
      </c>
      <c r="F62" s="42" t="n">
        <f aca="false">-F28</f>
        <v>-83731</v>
      </c>
      <c r="G62" s="42" t="n">
        <f aca="false">-G28</f>
        <v>-83731</v>
      </c>
      <c r="H62" s="42" t="n">
        <f aca="false">-H28</f>
        <v>-83731</v>
      </c>
      <c r="I62" s="42" t="n">
        <f aca="false">-I28</f>
        <v>-83731</v>
      </c>
      <c r="J62" s="42" t="n">
        <f aca="false">-J28</f>
        <v>-83731</v>
      </c>
      <c r="K62" s="42" t="n">
        <f aca="false">-K28</f>
        <v>-83731</v>
      </c>
      <c r="L62" s="42" t="n">
        <f aca="false">-L28</f>
        <v>-83731</v>
      </c>
      <c r="M62" s="42" t="n">
        <f aca="false">-M28</f>
        <v>-83731</v>
      </c>
      <c r="N62" s="42" t="n">
        <f aca="false">-N28</f>
        <v>-83731</v>
      </c>
      <c r="O62" s="42" t="n">
        <f aca="false">-O28</f>
        <v>-83731</v>
      </c>
      <c r="P62" s="42" t="n">
        <f aca="false">-P28</f>
        <v>-83731</v>
      </c>
      <c r="Q62" s="42" t="n">
        <f aca="false">-Q28</f>
        <v>-83731</v>
      </c>
      <c r="R62" s="42" t="n">
        <f aca="false">-R28</f>
        <v>-83731</v>
      </c>
      <c r="S62" s="42" t="n">
        <f aca="false">-S28</f>
        <v>-83731</v>
      </c>
      <c r="T62" s="42" t="n">
        <f aca="false">-T28</f>
        <v>-83731</v>
      </c>
      <c r="U62" s="42" t="n">
        <f aca="false">-U28</f>
        <v>-83731</v>
      </c>
      <c r="V62" s="42" t="n">
        <f aca="false">-V28</f>
        <v>-83731</v>
      </c>
      <c r="W62" s="42" t="n">
        <f aca="false">-W28</f>
        <v>-83731</v>
      </c>
    </row>
    <row r="63" customFormat="false" ht="18.75" hidden="false" customHeight="true" outlineLevel="0" collapsed="false">
      <c r="B63" s="40" t="s">
        <v>35</v>
      </c>
      <c r="C63" s="34"/>
      <c r="D63" s="42" t="n">
        <f aca="false">-D33</f>
        <v>-87220</v>
      </c>
      <c r="E63" s="42" t="n">
        <f aca="false">-E33</f>
        <v>-87220</v>
      </c>
      <c r="F63" s="42" t="n">
        <f aca="false">-F33</f>
        <v>-87220</v>
      </c>
      <c r="G63" s="42" t="n">
        <f aca="false">-G33</f>
        <v>-87220</v>
      </c>
      <c r="H63" s="42" t="n">
        <f aca="false">-H33</f>
        <v>-87220</v>
      </c>
      <c r="I63" s="42" t="n">
        <f aca="false">-I33</f>
        <v>-87220</v>
      </c>
      <c r="J63" s="42" t="n">
        <f aca="false">-J33</f>
        <v>-87220</v>
      </c>
      <c r="K63" s="42" t="n">
        <f aca="false">-K33</f>
        <v>-87220</v>
      </c>
      <c r="L63" s="42" t="n">
        <f aca="false">-L33</f>
        <v>-87220</v>
      </c>
      <c r="M63" s="42" t="n">
        <f aca="false">-M33</f>
        <v>-87220</v>
      </c>
      <c r="N63" s="42" t="n">
        <f aca="false">-N33</f>
        <v>-0</v>
      </c>
      <c r="O63" s="42" t="n">
        <f aca="false">-O33</f>
        <v>-0</v>
      </c>
      <c r="P63" s="42" t="n">
        <f aca="false">-P33</f>
        <v>-0</v>
      </c>
      <c r="Q63" s="42" t="n">
        <f aca="false">-Q33</f>
        <v>-0</v>
      </c>
      <c r="R63" s="42" t="n">
        <f aca="false">-R33</f>
        <v>-0</v>
      </c>
      <c r="S63" s="42" t="n">
        <f aca="false">-S33</f>
        <v>-0</v>
      </c>
      <c r="T63" s="42" t="n">
        <f aca="false">-T33</f>
        <v>-0</v>
      </c>
      <c r="U63" s="42" t="n">
        <f aca="false">-U33</f>
        <v>-0</v>
      </c>
      <c r="V63" s="42" t="n">
        <f aca="false">-V33</f>
        <v>-0</v>
      </c>
      <c r="W63" s="42" t="n">
        <f aca="false">-W33</f>
        <v>-0</v>
      </c>
    </row>
    <row r="64" customFormat="false" ht="18.75" hidden="false" customHeight="true" outlineLevel="0" collapsed="false">
      <c r="B64" s="40" t="s">
        <v>36</v>
      </c>
      <c r="C64" s="4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</row>
    <row r="65" customFormat="false" ht="18.75" hidden="false" customHeight="true" outlineLevel="0" collapsed="false">
      <c r="B65" s="40" t="s">
        <v>37</v>
      </c>
      <c r="C65" s="4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</row>
    <row r="66" customFormat="false" ht="18.75" hidden="false" customHeight="true" outlineLevel="0" collapsed="false">
      <c r="B66" s="44" t="s">
        <v>38</v>
      </c>
      <c r="C66" s="43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</row>
    <row r="67" customFormat="false" ht="18.75" hidden="false" customHeight="true" outlineLevel="0" collapsed="false">
      <c r="B67" s="44" t="s">
        <v>39</v>
      </c>
      <c r="C67" s="43"/>
      <c r="D67" s="42" t="n">
        <f aca="false">-D90</f>
        <v>220046.6</v>
      </c>
      <c r="E67" s="42" t="n">
        <f aca="false">-E90</f>
        <v>220046.6</v>
      </c>
      <c r="F67" s="42" t="n">
        <f aca="false">-F90</f>
        <v>220046.6</v>
      </c>
      <c r="G67" s="42" t="n">
        <f aca="false">-G90</f>
        <v>220046.6</v>
      </c>
      <c r="H67" s="42" t="n">
        <f aca="false">-H90</f>
        <v>220046.6</v>
      </c>
      <c r="I67" s="42" t="n">
        <f aca="false">-I90</f>
        <v>220046.6</v>
      </c>
      <c r="J67" s="42" t="n">
        <f aca="false">-J90</f>
        <v>220046.6</v>
      </c>
      <c r="K67" s="42" t="n">
        <f aca="false">-K90</f>
        <v>220046.6</v>
      </c>
      <c r="L67" s="42" t="n">
        <f aca="false">-L90</f>
        <v>220046.6</v>
      </c>
      <c r="M67" s="42" t="n">
        <f aca="false">-M90</f>
        <v>220046.6</v>
      </c>
      <c r="N67" s="42" t="n">
        <f aca="false">-N90</f>
        <v>202602.6</v>
      </c>
      <c r="O67" s="42" t="n">
        <f aca="false">-O90</f>
        <v>202602.6</v>
      </c>
      <c r="P67" s="42" t="n">
        <f aca="false">-P90</f>
        <v>202602.6</v>
      </c>
      <c r="Q67" s="42" t="n">
        <f aca="false">-Q90</f>
        <v>202602.6</v>
      </c>
      <c r="R67" s="42" t="n">
        <f aca="false">-R90</f>
        <v>202602.6</v>
      </c>
      <c r="S67" s="42" t="n">
        <f aca="false">-S90</f>
        <v>202602.6</v>
      </c>
      <c r="T67" s="42" t="n">
        <f aca="false">-T90</f>
        <v>202602.6</v>
      </c>
      <c r="U67" s="42" t="n">
        <f aca="false">-U90</f>
        <v>202602.6</v>
      </c>
      <c r="V67" s="42" t="n">
        <f aca="false">-V90</f>
        <v>202602.6</v>
      </c>
      <c r="W67" s="42" t="n">
        <f aca="false">-W90</f>
        <v>202602.6</v>
      </c>
    </row>
    <row r="68" customFormat="false" ht="18.75" hidden="false" customHeight="true" outlineLevel="0" collapsed="false">
      <c r="B68" s="45" t="s">
        <v>40</v>
      </c>
      <c r="C68" s="46" t="n">
        <f aca="false">C57</f>
        <v>-0</v>
      </c>
      <c r="D68" s="47" t="n">
        <f aca="false">SUM(D54:D67)</f>
        <v>-880186.4</v>
      </c>
      <c r="E68" s="47" t="n">
        <f aca="false">SUM(E54:E67)</f>
        <v>-880186.4</v>
      </c>
      <c r="F68" s="47" t="n">
        <f aca="false">SUM(F54:F67)</f>
        <v>-880186.4</v>
      </c>
      <c r="G68" s="47" t="n">
        <f aca="false">SUM(G54:G67)</f>
        <v>-880186.4</v>
      </c>
      <c r="H68" s="47" t="n">
        <f aca="false">SUM(H54:H67)</f>
        <v>-880186.4</v>
      </c>
      <c r="I68" s="47" t="n">
        <f aca="false">SUM(I54:I67)</f>
        <v>-880186.4</v>
      </c>
      <c r="J68" s="47" t="n">
        <f aca="false">SUM(J54:J67)</f>
        <v>-880186.4</v>
      </c>
      <c r="K68" s="47" t="n">
        <f aca="false">SUM(K54:K67)</f>
        <v>-880186.4</v>
      </c>
      <c r="L68" s="47" t="n">
        <f aca="false">SUM(L54:L67)</f>
        <v>-880186.4</v>
      </c>
      <c r="M68" s="47" t="n">
        <f aca="false">SUM(M54:M67)</f>
        <v>-880186.4</v>
      </c>
      <c r="N68" s="47" t="n">
        <f aca="false">SUM(N54:N67)</f>
        <v>-810410.4</v>
      </c>
      <c r="O68" s="47" t="n">
        <f aca="false">SUM(O54:O67)</f>
        <v>-810410.4</v>
      </c>
      <c r="P68" s="47" t="n">
        <f aca="false">SUM(P54:P67)</f>
        <v>-810410.4</v>
      </c>
      <c r="Q68" s="47" t="n">
        <f aca="false">SUM(Q54:Q67)</f>
        <v>-810410.4</v>
      </c>
      <c r="R68" s="47" t="n">
        <f aca="false">SUM(R54:R67)</f>
        <v>-810410.4</v>
      </c>
      <c r="S68" s="47" t="n">
        <f aca="false">SUM(S54:S67)</f>
        <v>-810410.4</v>
      </c>
      <c r="T68" s="47" t="n">
        <f aca="false">SUM(T54:T67)</f>
        <v>-810410.4</v>
      </c>
      <c r="U68" s="47" t="n">
        <f aca="false">SUM(U54:U67)</f>
        <v>-810410.4</v>
      </c>
      <c r="V68" s="47" t="n">
        <f aca="false">SUM(V54:V67)</f>
        <v>-810410.4</v>
      </c>
      <c r="W68" s="47" t="n">
        <f aca="false">SUM(W54:W67)</f>
        <v>-810410.4</v>
      </c>
    </row>
    <row r="69" customFormat="false" ht="18.75" hidden="false" customHeight="true" outlineLevel="0" collapsed="false">
      <c r="B69" s="48" t="s">
        <v>41</v>
      </c>
      <c r="D69" s="49" t="e">
        <f aca="false">C55+D55</f>
        <v>#VALUE!</v>
      </c>
      <c r="E69" s="49" t="n">
        <f aca="false">D56+E55</f>
        <v>0</v>
      </c>
      <c r="F69" s="49" t="n">
        <f aca="false">E56+F55</f>
        <v>0</v>
      </c>
      <c r="G69" s="49" t="e">
        <f aca="false">F56+G55</f>
        <v>#VALUE!</v>
      </c>
      <c r="H69" s="49" t="e">
        <f aca="false">G56+H55</f>
        <v>#VALUE!</v>
      </c>
      <c r="I69" s="49" t="e">
        <f aca="false">H56+I55</f>
        <v>#VALUE!</v>
      </c>
      <c r="J69" s="49" t="e">
        <f aca="false">I56+J55</f>
        <v>#VALUE!</v>
      </c>
      <c r="K69" s="49" t="e">
        <f aca="false">J56+K55</f>
        <v>#VALUE!</v>
      </c>
      <c r="L69" s="49" t="e">
        <f aca="false">K56+L55</f>
        <v>#VALUE!</v>
      </c>
      <c r="M69" s="49" t="e">
        <f aca="false">L56+M55</f>
        <v>#VALUE!</v>
      </c>
      <c r="N69" s="49" t="e">
        <f aca="false">M56+N55</f>
        <v>#VALUE!</v>
      </c>
      <c r="O69" s="49" t="e">
        <f aca="false">N56+O55</f>
        <v>#VALUE!</v>
      </c>
      <c r="P69" s="49" t="e">
        <f aca="false">O56+P55</f>
        <v>#VALUE!</v>
      </c>
      <c r="Q69" s="49" t="e">
        <f aca="false">P56+Q55</f>
        <v>#VALUE!</v>
      </c>
      <c r="R69" s="49" t="e">
        <f aca="false">Q56+R55</f>
        <v>#VALUE!</v>
      </c>
      <c r="S69" s="49" t="e">
        <f aca="false">R56+S55</f>
        <v>#VALUE!</v>
      </c>
      <c r="T69" s="49" t="e">
        <f aca="false">S56+T55</f>
        <v>#VALUE!</v>
      </c>
      <c r="U69" s="49" t="e">
        <f aca="false">T56+U55</f>
        <v>#VALUE!</v>
      </c>
      <c r="V69" s="49" t="e">
        <f aca="false">U56+V55</f>
        <v>#VALUE!</v>
      </c>
      <c r="W69" s="49" t="e">
        <f aca="false">V56+W55</f>
        <v>#VALUE!</v>
      </c>
    </row>
    <row r="70" customFormat="false" ht="18.75" hidden="false" customHeight="true" outlineLevel="0" collapsed="false">
      <c r="B70" s="50" t="s">
        <v>42</v>
      </c>
      <c r="C70" s="51"/>
      <c r="D70" s="52" t="str">
        <f aca="false">IF((D56)&gt;0,"回收","未回收")</f>
        <v>未回收</v>
      </c>
      <c r="E70" s="53" t="str">
        <f aca="false">IF((E56)&gt;0,"回收","未回收")</f>
        <v>未回收</v>
      </c>
      <c r="F70" s="53" t="str">
        <f aca="false">IF((F56)&gt;0,"回收","未回收")</f>
        <v>未回收</v>
      </c>
      <c r="G70" s="53" t="str">
        <f aca="false">IF((G56)&gt;0,"回收","未回收")</f>
        <v>未回收</v>
      </c>
      <c r="H70" s="53" t="str">
        <f aca="false">IF((H56)&gt;0,"回收","未回收")</f>
        <v>未回收</v>
      </c>
      <c r="I70" s="53" t="str">
        <f aca="false">IF((I56)&gt;0,"回收","未回收")</f>
        <v>未回收</v>
      </c>
      <c r="J70" s="53" t="str">
        <f aca="false">IF((J56)&gt;0,"回收","未回收")</f>
        <v>未回收</v>
      </c>
      <c r="K70" s="53" t="str">
        <f aca="false">IF((K56)&gt;0,"回收","未回收")</f>
        <v>未回收</v>
      </c>
      <c r="L70" s="53" t="str">
        <f aca="false">IF((L56)&gt;0,"回收","未回收")</f>
        <v>未回收</v>
      </c>
      <c r="M70" s="53" t="str">
        <f aca="false">IF((M56)&gt;0,"回收","未回收")</f>
        <v>未回收</v>
      </c>
      <c r="N70" s="53" t="str">
        <f aca="false">IF((N56)&gt;0,"回收","未回收")</f>
        <v>未回收</v>
      </c>
      <c r="O70" s="53" t="str">
        <f aca="false">IF((O56)&gt;0,"回收","未回收")</f>
        <v>未回收</v>
      </c>
      <c r="P70" s="53" t="str">
        <f aca="false">IF((P56)&gt;0,"回收","未回收")</f>
        <v>未回收</v>
      </c>
      <c r="Q70" s="53" t="str">
        <f aca="false">IF((Q56)&gt;0,"回收","未回收")</f>
        <v>未回收</v>
      </c>
      <c r="R70" s="53" t="str">
        <f aca="false">IF((R56)&gt;0,"回收","未回收")</f>
        <v>未回收</v>
      </c>
      <c r="S70" s="53" t="str">
        <f aca="false">IF((S56)&gt;0,"回收","未回收")</f>
        <v>未回收</v>
      </c>
      <c r="T70" s="53" t="str">
        <f aca="false">IF((T56)&gt;0,"回收","未回收")</f>
        <v>未回收</v>
      </c>
      <c r="U70" s="53" t="str">
        <f aca="false">IF((U56)&gt;0,"回收","未回收")</f>
        <v>未回收</v>
      </c>
      <c r="V70" s="53" t="str">
        <f aca="false">IF((V56)&gt;0,"回收","未回收")</f>
        <v>未回收</v>
      </c>
      <c r="W70" s="53" t="str">
        <f aca="false">IF((W56)&gt;0,"回收","未回收")</f>
        <v>未回收</v>
      </c>
    </row>
    <row r="71" customFormat="false" ht="18.75" hidden="false" customHeight="true" outlineLevel="0" collapsed="false">
      <c r="B71" s="54" t="s">
        <v>43</v>
      </c>
      <c r="C71" s="55" t="e">
        <f aca="false">IRR(C68:W68)</f>
        <v>#N/A</v>
      </c>
      <c r="D71" s="56"/>
      <c r="E71" s="56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customFormat="false" ht="18.75" hidden="false" customHeight="true" outlineLevel="0" collapsed="false">
      <c r="B72" s="57"/>
      <c r="C72" s="56"/>
      <c r="D72" s="56"/>
      <c r="E72" s="56"/>
      <c r="F72" s="57"/>
      <c r="G72" s="57"/>
      <c r="H72" s="57"/>
      <c r="I72" s="57"/>
      <c r="J72" s="57"/>
      <c r="K72" s="57"/>
      <c r="L72" s="57"/>
      <c r="M72" s="56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customFormat="false" ht="18.75" hidden="false" customHeight="true" outlineLevel="0" collapsed="false">
      <c r="B73" s="15"/>
      <c r="C73" s="16" t="s">
        <v>0</v>
      </c>
      <c r="D73" s="16" t="n">
        <v>2020</v>
      </c>
      <c r="E73" s="16" t="n">
        <v>2021</v>
      </c>
      <c r="F73" s="16" t="n">
        <v>2022</v>
      </c>
      <c r="G73" s="16" t="n">
        <v>2023</v>
      </c>
      <c r="H73" s="16" t="n">
        <v>2024</v>
      </c>
      <c r="I73" s="16" t="n">
        <v>2025</v>
      </c>
      <c r="J73" s="16" t="n">
        <v>2026</v>
      </c>
      <c r="K73" s="16" t="n">
        <v>2027</v>
      </c>
      <c r="L73" s="16" t="n">
        <v>2028</v>
      </c>
      <c r="M73" s="16" t="n">
        <v>2029</v>
      </c>
      <c r="N73" s="16" t="n">
        <v>2030</v>
      </c>
      <c r="O73" s="16" t="n">
        <v>2031</v>
      </c>
      <c r="P73" s="16" t="n">
        <v>2032</v>
      </c>
      <c r="Q73" s="16" t="n">
        <v>2033</v>
      </c>
      <c r="R73" s="16" t="n">
        <v>2034</v>
      </c>
      <c r="S73" s="16" t="n">
        <v>2035</v>
      </c>
      <c r="T73" s="16" t="n">
        <v>2036</v>
      </c>
      <c r="U73" s="16" t="n">
        <v>2037</v>
      </c>
      <c r="V73" s="16" t="n">
        <v>2038</v>
      </c>
      <c r="W73" s="16" t="n">
        <v>2039</v>
      </c>
    </row>
    <row r="74" customFormat="false" ht="18.75" hidden="false" customHeight="true" outlineLevel="0" collapsed="false">
      <c r="B74" s="17" t="n">
        <v>0</v>
      </c>
      <c r="C74" s="18"/>
      <c r="D74" s="19"/>
      <c r="E74" s="19"/>
      <c r="F74" s="20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58" t="s">
        <v>44</v>
      </c>
      <c r="U74" s="21"/>
      <c r="V74" s="21"/>
      <c r="W74" s="21"/>
    </row>
    <row r="75" customFormat="false" ht="18.75" hidden="false" customHeight="true" outlineLevel="0" collapsed="false">
      <c r="B75" s="23" t="s">
        <v>23</v>
      </c>
      <c r="C75" s="24" t="n">
        <v>0</v>
      </c>
      <c r="D75" s="25" t="n">
        <v>1</v>
      </c>
      <c r="E75" s="25" t="n">
        <v>2</v>
      </c>
      <c r="F75" s="25" t="n">
        <v>3</v>
      </c>
      <c r="G75" s="25" t="n">
        <v>4</v>
      </c>
      <c r="H75" s="25" t="n">
        <v>5</v>
      </c>
      <c r="I75" s="25" t="n">
        <v>6</v>
      </c>
      <c r="J75" s="25" t="n">
        <v>7</v>
      </c>
      <c r="K75" s="25" t="n">
        <v>8</v>
      </c>
      <c r="L75" s="25" t="n">
        <v>9</v>
      </c>
      <c r="M75" s="25" t="n">
        <v>10</v>
      </c>
      <c r="N75" s="25" t="n">
        <v>11</v>
      </c>
      <c r="O75" s="25" t="n">
        <v>12</v>
      </c>
      <c r="P75" s="25" t="n">
        <v>13</v>
      </c>
      <c r="Q75" s="25" t="n">
        <v>14</v>
      </c>
      <c r="R75" s="25" t="n">
        <v>15</v>
      </c>
      <c r="S75" s="25" t="n">
        <v>16</v>
      </c>
      <c r="T75" s="59" t="n">
        <v>17</v>
      </c>
      <c r="U75" s="25" t="n">
        <v>18</v>
      </c>
      <c r="V75" s="25" t="n">
        <v>19</v>
      </c>
      <c r="W75" s="25" t="n">
        <v>20</v>
      </c>
    </row>
    <row r="76" customFormat="false" ht="18.75" hidden="false" customHeight="true" outlineLevel="0" collapsed="false">
      <c r="B76" s="27" t="s">
        <v>24</v>
      </c>
      <c r="C76" s="28" t="n">
        <v>0</v>
      </c>
      <c r="D76" s="29" t="n">
        <f aca="false">D8</f>
        <v>0</v>
      </c>
      <c r="E76" s="29" t="n">
        <f aca="false">E8</f>
        <v>0</v>
      </c>
      <c r="F76" s="29" t="n">
        <f aca="false">F8</f>
        <v>0</v>
      </c>
      <c r="G76" s="29" t="n">
        <f aca="false">G8</f>
        <v>0</v>
      </c>
      <c r="H76" s="29" t="n">
        <f aca="false">H8</f>
        <v>0</v>
      </c>
      <c r="I76" s="29" t="n">
        <f aca="false">I8</f>
        <v>0</v>
      </c>
      <c r="J76" s="29" t="n">
        <f aca="false">J8</f>
        <v>0</v>
      </c>
      <c r="K76" s="29" t="n">
        <f aca="false">K8</f>
        <v>0</v>
      </c>
      <c r="L76" s="29" t="n">
        <f aca="false">L8</f>
        <v>0</v>
      </c>
      <c r="M76" s="29" t="n">
        <f aca="false">M8</f>
        <v>0</v>
      </c>
      <c r="N76" s="29" t="n">
        <f aca="false">N8</f>
        <v>0</v>
      </c>
      <c r="O76" s="29" t="n">
        <f aca="false">O8</f>
        <v>0</v>
      </c>
      <c r="P76" s="29" t="n">
        <f aca="false">P8</f>
        <v>0</v>
      </c>
      <c r="Q76" s="29" t="n">
        <f aca="false">Q8</f>
        <v>0</v>
      </c>
      <c r="R76" s="29" t="n">
        <f aca="false">R8</f>
        <v>0</v>
      </c>
      <c r="S76" s="29" t="n">
        <f aca="false">S8</f>
        <v>0</v>
      </c>
      <c r="T76" s="29" t="n">
        <f aca="false">T8</f>
        <v>0</v>
      </c>
      <c r="U76" s="29" t="n">
        <f aca="false">U8</f>
        <v>0</v>
      </c>
      <c r="V76" s="29" t="n">
        <f aca="false">V8</f>
        <v>0</v>
      </c>
      <c r="W76" s="29" t="n">
        <f aca="false">W8</f>
        <v>0</v>
      </c>
    </row>
    <row r="77" customFormat="false" ht="18.75" hidden="false" customHeight="true" outlineLevel="0" collapsed="false">
      <c r="B77" s="30" t="s">
        <v>25</v>
      </c>
      <c r="C77" s="31" t="s">
        <v>26</v>
      </c>
      <c r="D77" s="32" t="n">
        <f aca="false">D13</f>
        <v>0</v>
      </c>
      <c r="E77" s="32" t="n">
        <f aca="false">E13</f>
        <v>0</v>
      </c>
      <c r="F77" s="32" t="n">
        <f aca="false">F13</f>
        <v>0</v>
      </c>
      <c r="G77" s="32" t="n">
        <f aca="false">G13</f>
        <v>0</v>
      </c>
      <c r="H77" s="32" t="n">
        <f aca="false">H13</f>
        <v>0</v>
      </c>
      <c r="I77" s="32" t="n">
        <f aca="false">I13</f>
        <v>0</v>
      </c>
      <c r="J77" s="32" t="n">
        <f aca="false">J13</f>
        <v>0</v>
      </c>
      <c r="K77" s="32" t="n">
        <f aca="false">K13</f>
        <v>0</v>
      </c>
      <c r="L77" s="32" t="n">
        <f aca="false">L13</f>
        <v>0</v>
      </c>
      <c r="M77" s="32" t="n">
        <f aca="false">M13</f>
        <v>0</v>
      </c>
      <c r="N77" s="32" t="n">
        <f aca="false">N13</f>
        <v>0</v>
      </c>
      <c r="O77" s="32" t="n">
        <f aca="false">O13</f>
        <v>0</v>
      </c>
      <c r="P77" s="32" t="n">
        <f aca="false">P13</f>
        <v>0</v>
      </c>
      <c r="Q77" s="32" t="n">
        <f aca="false">Q13</f>
        <v>0</v>
      </c>
      <c r="R77" s="32" t="n">
        <f aca="false">R13</f>
        <v>0</v>
      </c>
      <c r="S77" s="32" t="n">
        <f aca="false">S13</f>
        <v>0</v>
      </c>
      <c r="T77" s="32" t="n">
        <f aca="false">T13</f>
        <v>0</v>
      </c>
      <c r="U77" s="32" t="n">
        <f aca="false">U13</f>
        <v>0</v>
      </c>
      <c r="V77" s="32" t="n">
        <f aca="false">V13</f>
        <v>0</v>
      </c>
      <c r="W77" s="32" t="n">
        <f aca="false">W13</f>
        <v>0</v>
      </c>
    </row>
    <row r="78" customFormat="false" ht="18.75" hidden="false" customHeight="true" outlineLevel="0" collapsed="false">
      <c r="B78" s="33" t="s">
        <v>27</v>
      </c>
      <c r="C78" s="34" t="s">
        <v>26</v>
      </c>
      <c r="D78" s="36"/>
      <c r="E78" s="36"/>
      <c r="F78" s="36"/>
      <c r="G78" s="36" t="s">
        <v>26</v>
      </c>
      <c r="H78" s="36" t="s">
        <v>26</v>
      </c>
      <c r="I78" s="36" t="s">
        <v>26</v>
      </c>
      <c r="J78" s="36" t="s">
        <v>26</v>
      </c>
      <c r="K78" s="36" t="s">
        <v>26</v>
      </c>
      <c r="L78" s="36" t="s">
        <v>26</v>
      </c>
      <c r="M78" s="36" t="s">
        <v>26</v>
      </c>
      <c r="N78" s="36" t="s">
        <v>26</v>
      </c>
      <c r="O78" s="36" t="s">
        <v>26</v>
      </c>
      <c r="P78" s="36" t="s">
        <v>26</v>
      </c>
      <c r="Q78" s="36" t="s">
        <v>26</v>
      </c>
      <c r="R78" s="36" t="s">
        <v>26</v>
      </c>
      <c r="S78" s="36" t="s">
        <v>26</v>
      </c>
      <c r="T78" s="36" t="s">
        <v>26</v>
      </c>
      <c r="U78" s="36" t="s">
        <v>26</v>
      </c>
      <c r="V78" s="36" t="s">
        <v>26</v>
      </c>
      <c r="W78" s="36" t="s">
        <v>26</v>
      </c>
    </row>
    <row r="79" customFormat="false" ht="18.75" hidden="false" customHeight="true" outlineLevel="0" collapsed="false">
      <c r="B79" s="37" t="s">
        <v>28</v>
      </c>
      <c r="C79" s="38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 customFormat="false" ht="18.75" hidden="false" customHeight="true" outlineLevel="0" collapsed="false">
      <c r="B80" s="40" t="s">
        <v>45</v>
      </c>
      <c r="C80" s="34"/>
      <c r="D80" s="60" t="n">
        <f aca="false">-D43</f>
        <v>-0</v>
      </c>
      <c r="E80" s="60" t="n">
        <f aca="false">-E43</f>
        <v>-0</v>
      </c>
      <c r="F80" s="60" t="n">
        <f aca="false">-F43</f>
        <v>-0</v>
      </c>
      <c r="G80" s="60" t="n">
        <f aca="false">-G43</f>
        <v>-0</v>
      </c>
      <c r="H80" s="60" t="n">
        <f aca="false">-H43</f>
        <v>-0</v>
      </c>
      <c r="I80" s="60" t="n">
        <f aca="false">-I43</f>
        <v>-0</v>
      </c>
      <c r="J80" s="60" t="n">
        <f aca="false">-J43</f>
        <v>-0</v>
      </c>
      <c r="K80" s="60" t="n">
        <f aca="false">-K43</f>
        <v>-0</v>
      </c>
      <c r="L80" s="60" t="n">
        <f aca="false">-L43</f>
        <v>-0</v>
      </c>
      <c r="M80" s="60" t="n">
        <f aca="false">-M43</f>
        <v>-0</v>
      </c>
      <c r="N80" s="60" t="n">
        <f aca="false">-N43</f>
        <v>-0</v>
      </c>
      <c r="O80" s="60" t="n">
        <f aca="false">-O43</f>
        <v>-0</v>
      </c>
      <c r="P80" s="60" t="n">
        <f aca="false">-P43</f>
        <v>-0</v>
      </c>
      <c r="Q80" s="60" t="n">
        <f aca="false">-Q43</f>
        <v>-0</v>
      </c>
      <c r="R80" s="60" t="n">
        <f aca="false">-R43</f>
        <v>-0</v>
      </c>
      <c r="S80" s="60" t="n">
        <f aca="false">-S43</f>
        <v>-0</v>
      </c>
      <c r="T80" s="60" t="n">
        <f aca="false">-T43</f>
        <v>-0</v>
      </c>
      <c r="U80" s="60" t="n">
        <f aca="false">-U43</f>
        <v>-0</v>
      </c>
      <c r="V80" s="60" t="n">
        <f aca="false">-V43</f>
        <v>-0</v>
      </c>
      <c r="W80" s="60" t="n">
        <f aca="false">-W43</f>
        <v>-0</v>
      </c>
    </row>
    <row r="81" customFormat="false" ht="18.75" hidden="false" customHeight="true" outlineLevel="0" collapsed="false">
      <c r="B81" s="40" t="s">
        <v>30</v>
      </c>
      <c r="C81" s="34" t="s">
        <v>26</v>
      </c>
      <c r="D81" s="42" t="n">
        <f aca="false">-D18</f>
        <v>-580402</v>
      </c>
      <c r="E81" s="42" t="n">
        <f aca="false">-E18</f>
        <v>-580402</v>
      </c>
      <c r="F81" s="42" t="n">
        <f aca="false">-F18</f>
        <v>-580402</v>
      </c>
      <c r="G81" s="42" t="n">
        <f aca="false">-G18</f>
        <v>-580402</v>
      </c>
      <c r="H81" s="42" t="n">
        <f aca="false">-H18</f>
        <v>-580402</v>
      </c>
      <c r="I81" s="42" t="n">
        <f aca="false">-I18</f>
        <v>-580402</v>
      </c>
      <c r="J81" s="42" t="n">
        <f aca="false">-J18</f>
        <v>-580402</v>
      </c>
      <c r="K81" s="42" t="n">
        <f aca="false">-K18</f>
        <v>-580402</v>
      </c>
      <c r="L81" s="42" t="n">
        <f aca="false">-L18</f>
        <v>-580402</v>
      </c>
      <c r="M81" s="42" t="n">
        <f aca="false">-M18</f>
        <v>-580402</v>
      </c>
      <c r="N81" s="42" t="n">
        <f aca="false">-N18</f>
        <v>-580402</v>
      </c>
      <c r="O81" s="42" t="n">
        <f aca="false">-O18</f>
        <v>-580402</v>
      </c>
      <c r="P81" s="42" t="n">
        <f aca="false">-P18</f>
        <v>-580402</v>
      </c>
      <c r="Q81" s="42" t="n">
        <f aca="false">-Q18</f>
        <v>-580402</v>
      </c>
      <c r="R81" s="42" t="n">
        <f aca="false">-R18</f>
        <v>-580402</v>
      </c>
      <c r="S81" s="42" t="n">
        <f aca="false">-S18</f>
        <v>-580402</v>
      </c>
      <c r="T81" s="42" t="n">
        <f aca="false">-T18</f>
        <v>-580402</v>
      </c>
      <c r="U81" s="42" t="n">
        <f aca="false">-U18</f>
        <v>-580402</v>
      </c>
      <c r="V81" s="42" t="n">
        <f aca="false">-V18</f>
        <v>-580402</v>
      </c>
      <c r="W81" s="42" t="n">
        <f aca="false">-W18</f>
        <v>-580402</v>
      </c>
    </row>
    <row r="82" customFormat="false" ht="18.75" hidden="false" customHeight="true" outlineLevel="0" collapsed="false">
      <c r="B82" s="40" t="s">
        <v>31</v>
      </c>
      <c r="C82" s="34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 customFormat="false" ht="18.75" hidden="false" customHeight="true" outlineLevel="0" collapsed="false">
      <c r="B83" s="40" t="s">
        <v>32</v>
      </c>
      <c r="C83" s="34" t="s">
        <v>26</v>
      </c>
      <c r="D83" s="42" t="n">
        <f aca="false">-D121*C49/100</f>
        <v>-0</v>
      </c>
      <c r="E83" s="42" t="n">
        <f aca="false">-E121*C49/100</f>
        <v>-0</v>
      </c>
      <c r="F83" s="42" t="n">
        <f aca="false">-F121*C49/100</f>
        <v>-0</v>
      </c>
      <c r="G83" s="42" t="n">
        <f aca="false">-G121*C49/100</f>
        <v>-0</v>
      </c>
      <c r="H83" s="42" t="n">
        <f aca="false">-H121*C49/100</f>
        <v>-0</v>
      </c>
      <c r="I83" s="42" t="n">
        <f aca="false">-I121*C49/100</f>
        <v>-0</v>
      </c>
      <c r="J83" s="42" t="n">
        <f aca="false">-J121*C49/100</f>
        <v>-0</v>
      </c>
      <c r="K83" s="42" t="n">
        <f aca="false">-K121*C49/100</f>
        <v>-0</v>
      </c>
      <c r="L83" s="42" t="n">
        <f aca="false">-L121*C49/100</f>
        <v>-0</v>
      </c>
      <c r="M83" s="42" t="n">
        <f aca="false">-M121*C49/100</f>
        <v>-0</v>
      </c>
      <c r="N83" s="42" t="n">
        <f aca="false">-N121*C49/100</f>
        <v>-0</v>
      </c>
      <c r="O83" s="42" t="n">
        <f aca="false">-O121*C49/100</f>
        <v>-0</v>
      </c>
      <c r="P83" s="42" t="n">
        <f aca="false">-P121*C49/100</f>
        <v>-0</v>
      </c>
      <c r="Q83" s="42" t="n">
        <f aca="false">-Q121*C49/100</f>
        <v>-0</v>
      </c>
      <c r="R83" s="42" t="n">
        <f aca="false">-R121*C49/100</f>
        <v>-0</v>
      </c>
      <c r="S83" s="42" t="n">
        <f aca="false">-S121*C49/100</f>
        <v>-0</v>
      </c>
      <c r="T83" s="42" t="n">
        <f aca="false">-T121*C49/100</f>
        <v>-0</v>
      </c>
      <c r="U83" s="42" t="n">
        <f aca="false">-U121*C49/100</f>
        <v>-0</v>
      </c>
      <c r="V83" s="42" t="n">
        <f aca="false">-V121*C49/100</f>
        <v>-0</v>
      </c>
      <c r="W83" s="42" t="n">
        <f aca="false">-W121*C49/100</f>
        <v>-0</v>
      </c>
    </row>
    <row r="84" customFormat="false" ht="18.75" hidden="false" customHeight="true" outlineLevel="0" collapsed="false">
      <c r="B84" s="40" t="s">
        <v>33</v>
      </c>
      <c r="C84" s="34" t="s">
        <v>26</v>
      </c>
      <c r="D84" s="42" t="n">
        <f aca="false">-D23</f>
        <v>-348880</v>
      </c>
      <c r="E84" s="42" t="n">
        <f aca="false">-E23</f>
        <v>-348880</v>
      </c>
      <c r="F84" s="42" t="n">
        <f aca="false">-F23</f>
        <v>-348880</v>
      </c>
      <c r="G84" s="42" t="n">
        <f aca="false">-G23</f>
        <v>-348880</v>
      </c>
      <c r="H84" s="42" t="n">
        <f aca="false">-H23</f>
        <v>-348880</v>
      </c>
      <c r="I84" s="42" t="n">
        <f aca="false">-I23</f>
        <v>-348880</v>
      </c>
      <c r="J84" s="42" t="n">
        <f aca="false">-J23</f>
        <v>-348880</v>
      </c>
      <c r="K84" s="42" t="n">
        <f aca="false">-K23</f>
        <v>-348880</v>
      </c>
      <c r="L84" s="42" t="n">
        <f aca="false">-L23</f>
        <v>-348880</v>
      </c>
      <c r="M84" s="42" t="n">
        <f aca="false">-M23</f>
        <v>-348880</v>
      </c>
      <c r="N84" s="42" t="n">
        <f aca="false">-N23</f>
        <v>-348880</v>
      </c>
      <c r="O84" s="42" t="n">
        <f aca="false">-O23</f>
        <v>-348880</v>
      </c>
      <c r="P84" s="42" t="n">
        <f aca="false">-P23</f>
        <v>-348880</v>
      </c>
      <c r="Q84" s="42" t="n">
        <f aca="false">-Q23</f>
        <v>-348880</v>
      </c>
      <c r="R84" s="42" t="n">
        <f aca="false">-R23</f>
        <v>-348880</v>
      </c>
      <c r="S84" s="42" t="n">
        <f aca="false">-S23</f>
        <v>-348880</v>
      </c>
      <c r="T84" s="42" t="n">
        <f aca="false">-T23</f>
        <v>-348880</v>
      </c>
      <c r="U84" s="42" t="n">
        <f aca="false">-U23</f>
        <v>-348880</v>
      </c>
      <c r="V84" s="42" t="n">
        <f aca="false">-V23</f>
        <v>-348880</v>
      </c>
      <c r="W84" s="42" t="n">
        <f aca="false">-W23</f>
        <v>-348880</v>
      </c>
    </row>
    <row r="85" customFormat="false" ht="18.75" hidden="false" customHeight="true" outlineLevel="0" collapsed="false">
      <c r="B85" s="40" t="s">
        <v>34</v>
      </c>
      <c r="C85" s="34" t="s">
        <v>26</v>
      </c>
      <c r="D85" s="42" t="n">
        <f aca="false">-D28</f>
        <v>-83731</v>
      </c>
      <c r="E85" s="42" t="n">
        <f aca="false">-E28</f>
        <v>-83731</v>
      </c>
      <c r="F85" s="42" t="n">
        <f aca="false">-F28</f>
        <v>-83731</v>
      </c>
      <c r="G85" s="42" t="n">
        <f aca="false">-G28</f>
        <v>-83731</v>
      </c>
      <c r="H85" s="42" t="n">
        <f aca="false">-H28</f>
        <v>-83731</v>
      </c>
      <c r="I85" s="42" t="n">
        <f aca="false">-I28</f>
        <v>-83731</v>
      </c>
      <c r="J85" s="42" t="n">
        <f aca="false">-J28</f>
        <v>-83731</v>
      </c>
      <c r="K85" s="42" t="n">
        <f aca="false">-K28</f>
        <v>-83731</v>
      </c>
      <c r="L85" s="42" t="n">
        <f aca="false">-L28</f>
        <v>-83731</v>
      </c>
      <c r="M85" s="42" t="n">
        <f aca="false">-M28</f>
        <v>-83731</v>
      </c>
      <c r="N85" s="42" t="n">
        <f aca="false">-N28</f>
        <v>-83731</v>
      </c>
      <c r="O85" s="42" t="n">
        <f aca="false">-O28</f>
        <v>-83731</v>
      </c>
      <c r="P85" s="42" t="n">
        <f aca="false">-P28</f>
        <v>-83731</v>
      </c>
      <c r="Q85" s="42" t="n">
        <f aca="false">-Q28</f>
        <v>-83731</v>
      </c>
      <c r="R85" s="42" t="n">
        <f aca="false">-R28</f>
        <v>-83731</v>
      </c>
      <c r="S85" s="42" t="n">
        <f aca="false">-S28</f>
        <v>-83731</v>
      </c>
      <c r="T85" s="42" t="n">
        <f aca="false">-T28</f>
        <v>-83731</v>
      </c>
      <c r="U85" s="42" t="n">
        <f aca="false">-U28</f>
        <v>-83731</v>
      </c>
      <c r="V85" s="42" t="n">
        <f aca="false">-V28</f>
        <v>-83731</v>
      </c>
      <c r="W85" s="42" t="n">
        <f aca="false">-W28</f>
        <v>-83731</v>
      </c>
    </row>
    <row r="86" customFormat="false" ht="18.75" hidden="false" customHeight="true" outlineLevel="0" collapsed="false">
      <c r="B86" s="40" t="s">
        <v>35</v>
      </c>
      <c r="C86" s="34"/>
      <c r="D86" s="42" t="n">
        <f aca="false">-D33</f>
        <v>-87220</v>
      </c>
      <c r="E86" s="42" t="n">
        <f aca="false">-E33</f>
        <v>-87220</v>
      </c>
      <c r="F86" s="42" t="n">
        <f aca="false">-F33</f>
        <v>-87220</v>
      </c>
      <c r="G86" s="42" t="n">
        <f aca="false">-G33</f>
        <v>-87220</v>
      </c>
      <c r="H86" s="42" t="n">
        <f aca="false">-H33</f>
        <v>-87220</v>
      </c>
      <c r="I86" s="42" t="n">
        <f aca="false">-I33</f>
        <v>-87220</v>
      </c>
      <c r="J86" s="42" t="n">
        <f aca="false">-J33</f>
        <v>-87220</v>
      </c>
      <c r="K86" s="42" t="n">
        <f aca="false">-K33</f>
        <v>-87220</v>
      </c>
      <c r="L86" s="42" t="n">
        <f aca="false">-L33</f>
        <v>-87220</v>
      </c>
      <c r="M86" s="42" t="n">
        <f aca="false">-M33</f>
        <v>-87220</v>
      </c>
      <c r="N86" s="42" t="n">
        <f aca="false">-N33</f>
        <v>-0</v>
      </c>
      <c r="O86" s="42" t="n">
        <f aca="false">-O33</f>
        <v>-0</v>
      </c>
      <c r="P86" s="42" t="n">
        <f aca="false">-P33</f>
        <v>-0</v>
      </c>
      <c r="Q86" s="42" t="n">
        <f aca="false">-Q33</f>
        <v>-0</v>
      </c>
      <c r="R86" s="42" t="n">
        <f aca="false">-R33</f>
        <v>-0</v>
      </c>
      <c r="S86" s="42" t="n">
        <f aca="false">-S33</f>
        <v>-0</v>
      </c>
      <c r="T86" s="42" t="n">
        <f aca="false">-T33</f>
        <v>-0</v>
      </c>
      <c r="U86" s="42" t="n">
        <f aca="false">-U33</f>
        <v>-0</v>
      </c>
      <c r="V86" s="42" t="n">
        <f aca="false">-V33</f>
        <v>-0</v>
      </c>
      <c r="W86" s="42" t="n">
        <f aca="false">-W33</f>
        <v>-0</v>
      </c>
    </row>
    <row r="87" customFormat="false" ht="18.75" hidden="false" customHeight="true" outlineLevel="0" collapsed="false">
      <c r="B87" s="40" t="s">
        <v>36</v>
      </c>
      <c r="C87" s="43"/>
      <c r="D87" s="61"/>
      <c r="E87" s="62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 customFormat="false" ht="18.75" hidden="false" customHeight="true" outlineLevel="0" collapsed="false">
      <c r="B88" s="40" t="s">
        <v>37</v>
      </c>
      <c r="C88" s="43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 customFormat="false" ht="18.75" hidden="false" customHeight="true" outlineLevel="0" collapsed="false">
      <c r="B89" s="45" t="s">
        <v>46</v>
      </c>
      <c r="C89" s="63"/>
      <c r="D89" s="47" t="n">
        <f aca="false">SUM(D77:D88)</f>
        <v>-1100233</v>
      </c>
      <c r="E89" s="47" t="n">
        <f aca="false">SUM(E77:E88)</f>
        <v>-1100233</v>
      </c>
      <c r="F89" s="47" t="n">
        <f aca="false">SUM(F77:F88)</f>
        <v>-1100233</v>
      </c>
      <c r="G89" s="47" t="n">
        <f aca="false">SUM(G77:G88)</f>
        <v>-1100233</v>
      </c>
      <c r="H89" s="47" t="n">
        <f aca="false">SUM(H77:H88)</f>
        <v>-1100233</v>
      </c>
      <c r="I89" s="47" t="n">
        <f aca="false">SUM(I77:I88)</f>
        <v>-1100233</v>
      </c>
      <c r="J89" s="47" t="n">
        <f aca="false">SUM(J77:J88)</f>
        <v>-1100233</v>
      </c>
      <c r="K89" s="47" t="n">
        <f aca="false">SUM(K77:K88)</f>
        <v>-1100233</v>
      </c>
      <c r="L89" s="47" t="n">
        <f aca="false">SUM(L77:L88)</f>
        <v>-1100233</v>
      </c>
      <c r="M89" s="47" t="n">
        <f aca="false">SUM(M77:M88)</f>
        <v>-1100233</v>
      </c>
      <c r="N89" s="47" t="n">
        <f aca="false">SUM(N77:N88)</f>
        <v>-1013013</v>
      </c>
      <c r="O89" s="47" t="n">
        <f aca="false">SUM(O77:O88)</f>
        <v>-1013013</v>
      </c>
      <c r="P89" s="47" t="n">
        <f aca="false">SUM(P77:P88)</f>
        <v>-1013013</v>
      </c>
      <c r="Q89" s="47" t="n">
        <f aca="false">SUM(Q77:Q88)</f>
        <v>-1013013</v>
      </c>
      <c r="R89" s="47" t="n">
        <f aca="false">SUM(R77:R88)</f>
        <v>-1013013</v>
      </c>
      <c r="S89" s="47" t="n">
        <f aca="false">SUM(S77:S88)</f>
        <v>-1013013</v>
      </c>
      <c r="T89" s="47" t="n">
        <f aca="false">SUM(T77:T88)</f>
        <v>-1013013</v>
      </c>
      <c r="U89" s="47" t="n">
        <f aca="false">SUM(U77:U88)</f>
        <v>-1013013</v>
      </c>
      <c r="V89" s="47" t="n">
        <f aca="false">SUM(V77:V88)</f>
        <v>-1013013</v>
      </c>
      <c r="W89" s="47" t="n">
        <f aca="false">SUM(W77:W88)</f>
        <v>-1013013</v>
      </c>
    </row>
    <row r="90" customFormat="false" ht="18.75" hidden="false" customHeight="true" outlineLevel="0" collapsed="false">
      <c r="B90" s="44" t="s">
        <v>39</v>
      </c>
      <c r="C90" s="43"/>
      <c r="D90" s="42" t="n">
        <f aca="false">D89*0.2</f>
        <v>-220046.6</v>
      </c>
      <c r="E90" s="42" t="n">
        <f aca="false">E89*0.2</f>
        <v>-220046.6</v>
      </c>
      <c r="F90" s="42" t="n">
        <f aca="false">F89*0.2</f>
        <v>-220046.6</v>
      </c>
      <c r="G90" s="42" t="n">
        <f aca="false">G89*0.2</f>
        <v>-220046.6</v>
      </c>
      <c r="H90" s="42" t="n">
        <f aca="false">H89*0.2</f>
        <v>-220046.6</v>
      </c>
      <c r="I90" s="42" t="n">
        <f aca="false">I89*0.2</f>
        <v>-220046.6</v>
      </c>
      <c r="J90" s="42" t="n">
        <f aca="false">J89*0.2</f>
        <v>-220046.6</v>
      </c>
      <c r="K90" s="42" t="n">
        <f aca="false">K89*0.2</f>
        <v>-220046.6</v>
      </c>
      <c r="L90" s="42" t="n">
        <f aca="false">L89*0.2</f>
        <v>-220046.6</v>
      </c>
      <c r="M90" s="42" t="n">
        <f aca="false">M89*0.2</f>
        <v>-220046.6</v>
      </c>
      <c r="N90" s="42" t="n">
        <f aca="false">N89*0.2</f>
        <v>-202602.6</v>
      </c>
      <c r="O90" s="42" t="n">
        <f aca="false">O89*0.2</f>
        <v>-202602.6</v>
      </c>
      <c r="P90" s="42" t="n">
        <f aca="false">P89*0.2</f>
        <v>-202602.6</v>
      </c>
      <c r="Q90" s="42" t="n">
        <f aca="false">Q89*0.2</f>
        <v>-202602.6</v>
      </c>
      <c r="R90" s="42" t="n">
        <f aca="false">R89*0.2</f>
        <v>-202602.6</v>
      </c>
      <c r="S90" s="42" t="n">
        <f aca="false">S89*0.2</f>
        <v>-202602.6</v>
      </c>
      <c r="T90" s="42" t="n">
        <f aca="false">T89*0.2</f>
        <v>-202602.6</v>
      </c>
      <c r="U90" s="42" t="n">
        <f aca="false">U89*0.2</f>
        <v>-202602.6</v>
      </c>
      <c r="V90" s="42" t="n">
        <f aca="false">V89*0.2</f>
        <v>-202602.6</v>
      </c>
      <c r="W90" s="42" t="n">
        <f aca="false">W89*0.2</f>
        <v>-202602.6</v>
      </c>
    </row>
    <row r="91" customFormat="false" ht="15" hidden="false" customHeight="true" outlineLevel="0" collapsed="false">
      <c r="B91" s="64" t="s">
        <v>47</v>
      </c>
      <c r="D91" s="42" t="n">
        <f aca="false">D89-D90</f>
        <v>-880186.4</v>
      </c>
      <c r="E91" s="42" t="n">
        <f aca="false">E89-E90</f>
        <v>-880186.4</v>
      </c>
      <c r="F91" s="42" t="n">
        <f aca="false">F89-F90</f>
        <v>-880186.4</v>
      </c>
      <c r="G91" s="42" t="n">
        <f aca="false">G89-G90</f>
        <v>-880186.4</v>
      </c>
      <c r="H91" s="42" t="n">
        <f aca="false">H89-H90</f>
        <v>-880186.4</v>
      </c>
      <c r="I91" s="42" t="n">
        <f aca="false">I89-I90</f>
        <v>-880186.4</v>
      </c>
      <c r="J91" s="42" t="n">
        <f aca="false">J89-J90</f>
        <v>-880186.4</v>
      </c>
      <c r="K91" s="42" t="n">
        <f aca="false">K89-K90</f>
        <v>-880186.4</v>
      </c>
      <c r="L91" s="42" t="n">
        <f aca="false">L89-L90</f>
        <v>-880186.4</v>
      </c>
      <c r="M91" s="42" t="n">
        <f aca="false">M89-M90</f>
        <v>-880186.4</v>
      </c>
      <c r="N91" s="42" t="n">
        <f aca="false">N89-N90</f>
        <v>-810410.4</v>
      </c>
      <c r="O91" s="42" t="n">
        <f aca="false">O89-O90</f>
        <v>-810410.4</v>
      </c>
      <c r="P91" s="42" t="n">
        <f aca="false">P89-P90</f>
        <v>-810410.4</v>
      </c>
      <c r="Q91" s="42" t="n">
        <f aca="false">Q89-Q90</f>
        <v>-810410.4</v>
      </c>
      <c r="R91" s="42" t="n">
        <f aca="false">R89-R90</f>
        <v>-810410.4</v>
      </c>
      <c r="S91" s="42" t="n">
        <f aca="false">S89-S90</f>
        <v>-810410.4</v>
      </c>
      <c r="T91" s="42" t="n">
        <f aca="false">T89-T90</f>
        <v>-810410.4</v>
      </c>
      <c r="U91" s="42" t="n">
        <f aca="false">U89-U90</f>
        <v>-810410.4</v>
      </c>
      <c r="V91" s="42" t="n">
        <f aca="false">V89-V90</f>
        <v>-810410.4</v>
      </c>
      <c r="W91" s="42" t="n">
        <f aca="false">W89-W90</f>
        <v>-810410.4</v>
      </c>
    </row>
    <row r="92" customFormat="false" ht="18.75" hidden="false" customHeight="true" outlineLevel="0" collapsed="false">
      <c r="B92" s="48" t="s">
        <v>41</v>
      </c>
      <c r="C92" s="65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 customFormat="false" ht="18.75" hidden="false" customHeight="true" outlineLevel="0" collapsed="false">
      <c r="B93" s="67" t="s">
        <v>42</v>
      </c>
      <c r="C93" s="68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</row>
    <row r="94" customFormat="false" ht="18.75" hidden="false" customHeight="true" outlineLevel="0" collapsed="false">
      <c r="C94" s="70" t="s">
        <v>0</v>
      </c>
      <c r="D94" s="71" t="n">
        <v>2020</v>
      </c>
      <c r="E94" s="71" t="n">
        <v>2021</v>
      </c>
      <c r="F94" s="71" t="n">
        <v>2022</v>
      </c>
      <c r="G94" s="71" t="n">
        <v>2023</v>
      </c>
      <c r="H94" s="71" t="n">
        <v>2024</v>
      </c>
      <c r="I94" s="71" t="n">
        <v>2025</v>
      </c>
      <c r="J94" s="71" t="n">
        <v>2026</v>
      </c>
      <c r="K94" s="71" t="n">
        <v>2027</v>
      </c>
      <c r="L94" s="71" t="n">
        <v>2028</v>
      </c>
      <c r="M94" s="71" t="n">
        <v>2029</v>
      </c>
      <c r="N94" s="71" t="n">
        <v>2030</v>
      </c>
      <c r="O94" s="71" t="n">
        <v>2031</v>
      </c>
      <c r="P94" s="71" t="n">
        <v>2032</v>
      </c>
      <c r="Q94" s="71" t="n">
        <v>2033</v>
      </c>
      <c r="R94" s="71" t="n">
        <v>2034</v>
      </c>
      <c r="S94" s="71" t="n">
        <v>2035</v>
      </c>
      <c r="T94" s="71" t="n">
        <v>2036</v>
      </c>
      <c r="U94" s="71" t="n">
        <v>2037</v>
      </c>
      <c r="V94" s="71" t="n">
        <v>2038</v>
      </c>
      <c r="W94" s="71" t="n">
        <v>2039</v>
      </c>
      <c r="X94" s="71"/>
    </row>
    <row r="95" customFormat="false" ht="18.75" hidden="false" customHeight="true" outlineLevel="0" collapsed="false"/>
    <row r="96" customFormat="false" ht="18.75" hidden="false" customHeight="true" outlineLevel="0" collapsed="false">
      <c r="B96" s="72" t="s">
        <v>23</v>
      </c>
      <c r="C96" s="72" t="n">
        <v>0</v>
      </c>
      <c r="D96" s="72" t="n">
        <v>1</v>
      </c>
      <c r="E96" s="72" t="n">
        <v>2</v>
      </c>
      <c r="F96" s="72" t="n">
        <v>3</v>
      </c>
      <c r="G96" s="72" t="n">
        <v>4</v>
      </c>
      <c r="H96" s="72" t="n">
        <v>5</v>
      </c>
      <c r="I96" s="72" t="n">
        <v>6</v>
      </c>
      <c r="J96" s="72" t="n">
        <v>7</v>
      </c>
      <c r="K96" s="72" t="n">
        <v>8</v>
      </c>
      <c r="L96" s="72" t="n">
        <v>9</v>
      </c>
      <c r="M96" s="72" t="n">
        <v>10</v>
      </c>
      <c r="N96" s="72" t="n">
        <v>11</v>
      </c>
      <c r="O96" s="72" t="n">
        <v>12</v>
      </c>
      <c r="P96" s="72" t="n">
        <v>13</v>
      </c>
      <c r="Q96" s="72" t="n">
        <v>14</v>
      </c>
      <c r="R96" s="72" t="n">
        <v>15</v>
      </c>
      <c r="S96" s="72" t="n">
        <v>16</v>
      </c>
      <c r="T96" s="72" t="n">
        <v>17</v>
      </c>
      <c r="U96" s="72" t="n">
        <v>18</v>
      </c>
      <c r="V96" s="72" t="n">
        <v>19</v>
      </c>
      <c r="W96" s="72" t="n">
        <v>20</v>
      </c>
      <c r="X96" s="72"/>
    </row>
    <row r="97" customFormat="false" ht="18.75" hidden="false" customHeight="true" outlineLevel="0" collapsed="false">
      <c r="B97" s="73" t="s">
        <v>47</v>
      </c>
      <c r="C97" s="73"/>
      <c r="D97" s="74" t="n">
        <f aca="false">D91</f>
        <v>-880186.4</v>
      </c>
      <c r="E97" s="74" t="n">
        <f aca="false">E91</f>
        <v>-880186.4</v>
      </c>
      <c r="F97" s="74" t="n">
        <f aca="false">F91</f>
        <v>-880186.4</v>
      </c>
      <c r="G97" s="74" t="n">
        <f aca="false">G91</f>
        <v>-880186.4</v>
      </c>
      <c r="H97" s="74" t="n">
        <f aca="false">H91</f>
        <v>-880186.4</v>
      </c>
      <c r="I97" s="74" t="n">
        <f aca="false">I91</f>
        <v>-880186.4</v>
      </c>
      <c r="J97" s="74" t="n">
        <f aca="false">J91</f>
        <v>-880186.4</v>
      </c>
      <c r="K97" s="74" t="n">
        <f aca="false">K91</f>
        <v>-880186.4</v>
      </c>
      <c r="L97" s="74" t="n">
        <f aca="false">L91</f>
        <v>-880186.4</v>
      </c>
      <c r="M97" s="74" t="n">
        <f aca="false">M91</f>
        <v>-880186.4</v>
      </c>
      <c r="N97" s="74" t="n">
        <f aca="false">N91</f>
        <v>-810410.4</v>
      </c>
      <c r="O97" s="74" t="n">
        <f aca="false">O91</f>
        <v>-810410.4</v>
      </c>
      <c r="P97" s="74" t="n">
        <f aca="false">P91</f>
        <v>-810410.4</v>
      </c>
      <c r="Q97" s="74" t="n">
        <f aca="false">Q91</f>
        <v>-810410.4</v>
      </c>
      <c r="R97" s="74" t="n">
        <f aca="false">R91</f>
        <v>-810410.4</v>
      </c>
      <c r="S97" s="74" t="n">
        <f aca="false">S91</f>
        <v>-810410.4</v>
      </c>
      <c r="T97" s="74" t="n">
        <f aca="false">T91</f>
        <v>-810410.4</v>
      </c>
      <c r="U97" s="74" t="n">
        <f aca="false">U91</f>
        <v>-810410.4</v>
      </c>
      <c r="V97" s="74" t="n">
        <f aca="false">V91</f>
        <v>-810410.4</v>
      </c>
      <c r="W97" s="74" t="n">
        <f aca="false">W91</f>
        <v>-810410.4</v>
      </c>
      <c r="X97" s="74"/>
    </row>
    <row r="98" customFormat="false" ht="15" hidden="false" customHeight="true" outlineLevel="0" collapsed="false">
      <c r="B98" s="73" t="s">
        <v>16</v>
      </c>
      <c r="C98" s="73"/>
      <c r="D98" s="75" t="n">
        <f aca="false">D43</f>
        <v>0</v>
      </c>
      <c r="E98" s="75" t="n">
        <f aca="false">E43</f>
        <v>0</v>
      </c>
      <c r="F98" s="75" t="n">
        <f aca="false">F43</f>
        <v>0</v>
      </c>
      <c r="G98" s="75" t="n">
        <f aca="false">G43</f>
        <v>0</v>
      </c>
      <c r="H98" s="75" t="n">
        <f aca="false">H43</f>
        <v>0</v>
      </c>
      <c r="I98" s="75" t="n">
        <f aca="false">I43</f>
        <v>0</v>
      </c>
      <c r="J98" s="75" t="n">
        <f aca="false">J43</f>
        <v>0</v>
      </c>
      <c r="K98" s="75" t="n">
        <f aca="false">K43</f>
        <v>0</v>
      </c>
      <c r="L98" s="75" t="n">
        <f aca="false">L43</f>
        <v>0</v>
      </c>
      <c r="M98" s="75" t="n">
        <f aca="false">M43</f>
        <v>0</v>
      </c>
      <c r="N98" s="75" t="n">
        <f aca="false">N43</f>
        <v>0</v>
      </c>
      <c r="O98" s="75" t="n">
        <f aca="false">O43</f>
        <v>0</v>
      </c>
      <c r="P98" s="75" t="n">
        <f aca="false">P43</f>
        <v>0</v>
      </c>
      <c r="Q98" s="75" t="n">
        <f aca="false">Q43</f>
        <v>0</v>
      </c>
      <c r="R98" s="75" t="n">
        <f aca="false">R43</f>
        <v>0</v>
      </c>
      <c r="S98" s="75" t="n">
        <f aca="false">S43</f>
        <v>0</v>
      </c>
      <c r="T98" s="75" t="n">
        <f aca="false">T43</f>
        <v>0</v>
      </c>
      <c r="U98" s="75" t="n">
        <f aca="false">U43</f>
        <v>0</v>
      </c>
      <c r="V98" s="75" t="n">
        <f aca="false">V43</f>
        <v>0</v>
      </c>
      <c r="W98" s="75" t="n">
        <f aca="false">W43</f>
        <v>0</v>
      </c>
      <c r="X98" s="75"/>
    </row>
    <row r="99" customFormat="false" ht="15" hidden="false" customHeight="true" outlineLevel="0" collapsed="false">
      <c r="B99" s="73" t="s">
        <v>48</v>
      </c>
      <c r="C99" s="73"/>
      <c r="D99" s="76" t="n">
        <f aca="false">D97+D98</f>
        <v>-880186.4</v>
      </c>
      <c r="E99" s="76" t="n">
        <f aca="false">E97+E98</f>
        <v>-880186.4</v>
      </c>
      <c r="F99" s="76" t="n">
        <f aca="false">F97+F98</f>
        <v>-880186.4</v>
      </c>
      <c r="G99" s="76" t="n">
        <f aca="false">G97+G98</f>
        <v>-880186.4</v>
      </c>
      <c r="H99" s="76" t="n">
        <f aca="false">H97+H98</f>
        <v>-880186.4</v>
      </c>
      <c r="I99" s="76" t="n">
        <f aca="false">I97+I98</f>
        <v>-880186.4</v>
      </c>
      <c r="J99" s="76" t="n">
        <f aca="false">J97+J98</f>
        <v>-880186.4</v>
      </c>
      <c r="K99" s="76" t="n">
        <f aca="false">K97+K98</f>
        <v>-880186.4</v>
      </c>
      <c r="L99" s="76" t="n">
        <f aca="false">L97+L98</f>
        <v>-880186.4</v>
      </c>
      <c r="M99" s="76" t="n">
        <f aca="false">M97+M98</f>
        <v>-880186.4</v>
      </c>
      <c r="N99" s="76" t="n">
        <f aca="false">N97+N98</f>
        <v>-810410.4</v>
      </c>
      <c r="O99" s="76" t="n">
        <f aca="false">O97+O98</f>
        <v>-810410.4</v>
      </c>
      <c r="P99" s="76" t="n">
        <f aca="false">P97+P98</f>
        <v>-810410.4</v>
      </c>
      <c r="Q99" s="76" t="n">
        <f aca="false">Q97+Q98</f>
        <v>-810410.4</v>
      </c>
      <c r="R99" s="76" t="n">
        <f aca="false">R97+R98</f>
        <v>-810410.4</v>
      </c>
      <c r="S99" s="76" t="n">
        <f aca="false">S97+S98</f>
        <v>-810410.4</v>
      </c>
      <c r="T99" s="76" t="n">
        <f aca="false">T97+T98</f>
        <v>-810410.4</v>
      </c>
      <c r="U99" s="76" t="n">
        <f aca="false">U97+U98</f>
        <v>-810410.4</v>
      </c>
      <c r="V99" s="76" t="n">
        <f aca="false">V97+V98</f>
        <v>-810410.4</v>
      </c>
      <c r="W99" s="76" t="n">
        <f aca="false">W97+W98</f>
        <v>-810410.4</v>
      </c>
      <c r="X99" s="76"/>
    </row>
    <row r="100" customFormat="false" ht="15" hidden="false" customHeight="true" outlineLevel="0" collapsed="false">
      <c r="B100" s="73"/>
      <c r="C100" s="73"/>
      <c r="D100" s="73"/>
      <c r="E100" s="73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3"/>
    </row>
    <row r="101" customFormat="false" ht="15" hidden="false" customHeight="true" outlineLevel="0" collapsed="false">
      <c r="B101" s="78" t="s">
        <v>49</v>
      </c>
      <c r="C101" s="79"/>
      <c r="D101" s="80" t="n">
        <f aca="false">C57</f>
        <v>-0</v>
      </c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</row>
    <row r="102" customFormat="false" ht="15" hidden="false" customHeight="true" outlineLevel="0" collapsed="false">
      <c r="B102" s="73"/>
      <c r="C102" s="73"/>
      <c r="D102" s="73"/>
      <c r="E102" s="73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3"/>
    </row>
    <row r="103" customFormat="false" ht="15" hidden="false" customHeight="true" outlineLevel="0" collapsed="false">
      <c r="B103" s="73"/>
      <c r="C103" s="73"/>
      <c r="D103" s="73"/>
      <c r="E103" s="73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3"/>
    </row>
    <row r="104" customFormat="false" ht="15" hidden="false" customHeight="true" outlineLevel="0" collapsed="false">
      <c r="B104" s="78" t="s">
        <v>50</v>
      </c>
      <c r="C104" s="79"/>
      <c r="D104" s="80" t="n">
        <f aca="false">-D101*C45/100</f>
        <v>0</v>
      </c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</row>
    <row r="105" customFormat="false" ht="15" hidden="false" customHeight="true" outlineLevel="0" collapsed="false">
      <c r="B105" s="73" t="s">
        <v>51</v>
      </c>
      <c r="C105" s="73"/>
      <c r="D105" s="81"/>
      <c r="E105" s="81" t="n">
        <f aca="false">-D104/C46</f>
        <v>-0</v>
      </c>
      <c r="F105" s="81" t="n">
        <f aca="false">-D104/C46</f>
        <v>-0</v>
      </c>
      <c r="G105" s="81" t="n">
        <f aca="false">-D104/C46</f>
        <v>-0</v>
      </c>
      <c r="H105" s="81" t="n">
        <f aca="false">-D104/C46</f>
        <v>-0</v>
      </c>
      <c r="I105" s="81" t="n">
        <f aca="false">-D104/C46</f>
        <v>-0</v>
      </c>
      <c r="J105" s="81" t="n">
        <f aca="false">-D104/C46</f>
        <v>-0</v>
      </c>
      <c r="K105" s="81" t="n">
        <f aca="false">-D104/C46</f>
        <v>-0</v>
      </c>
      <c r="L105" s="81" t="n">
        <f aca="false">-D104/C46</f>
        <v>-0</v>
      </c>
      <c r="M105" s="81" t="n">
        <f aca="false">-D104/C46</f>
        <v>-0</v>
      </c>
      <c r="N105" s="81" t="n">
        <f aca="false">-D104/C46</f>
        <v>-0</v>
      </c>
      <c r="O105" s="81" t="n">
        <f aca="false">-D104/C46</f>
        <v>-0</v>
      </c>
      <c r="P105" s="81" t="n">
        <f aca="false">-D104/C46</f>
        <v>-0</v>
      </c>
      <c r="Q105" s="81" t="n">
        <f aca="false">-D104/C46</f>
        <v>-0</v>
      </c>
      <c r="R105" s="81" t="n">
        <f aca="false">-D104/C46</f>
        <v>-0</v>
      </c>
      <c r="S105" s="81" t="n">
        <f aca="false">-D104/C46</f>
        <v>-0</v>
      </c>
      <c r="T105" s="81"/>
      <c r="U105" s="81"/>
      <c r="V105" s="81"/>
      <c r="W105" s="81"/>
      <c r="X105" s="81"/>
    </row>
    <row r="106" customFormat="false" ht="15" hidden="false" customHeight="true" outlineLevel="0" collapsed="false">
      <c r="B106" s="73" t="s">
        <v>52</v>
      </c>
      <c r="C106" s="77"/>
      <c r="D106" s="74" t="n">
        <f aca="false">-D101*(1-C45/100)</f>
        <v>0</v>
      </c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</row>
    <row r="107" customFormat="false" ht="15" hidden="false" customHeight="true" outlineLevel="0" collapsed="false">
      <c r="B107" s="73" t="s">
        <v>53</v>
      </c>
      <c r="C107" s="77"/>
      <c r="D107" s="77"/>
      <c r="E107" s="82" t="n">
        <f aca="false">-D97*C47/100</f>
        <v>792167.76</v>
      </c>
      <c r="F107" s="82" t="n">
        <f aca="false">-E97*C47/100</f>
        <v>792167.76</v>
      </c>
      <c r="G107" s="82" t="n">
        <f aca="false">-F97*C47/100</f>
        <v>792167.76</v>
      </c>
      <c r="H107" s="82" t="n">
        <f aca="false">-G97*C47/100</f>
        <v>792167.76</v>
      </c>
      <c r="I107" s="82" t="n">
        <f aca="false">-H97*C47/100</f>
        <v>792167.76</v>
      </c>
      <c r="J107" s="82" t="n">
        <f aca="false">-I97*C47/100</f>
        <v>792167.76</v>
      </c>
      <c r="K107" s="82" t="n">
        <f aca="false">-J97*C47/100</f>
        <v>792167.76</v>
      </c>
      <c r="L107" s="82" t="n">
        <f aca="false">-K97*C47/100</f>
        <v>792167.76</v>
      </c>
      <c r="M107" s="82" t="n">
        <f aca="false">-L97*C47/100</f>
        <v>792167.76</v>
      </c>
      <c r="N107" s="82" t="n">
        <f aca="false">-M97*C47/100</f>
        <v>792167.76</v>
      </c>
      <c r="O107" s="82" t="n">
        <f aca="false">-N97*C47/100</f>
        <v>729369.36</v>
      </c>
      <c r="P107" s="82" t="n">
        <f aca="false">-O97*C47/100</f>
        <v>729369.36</v>
      </c>
      <c r="Q107" s="82" t="n">
        <f aca="false">-P97*C47/100</f>
        <v>729369.36</v>
      </c>
      <c r="R107" s="82" t="n">
        <f aca="false">-Q97*C47/100</f>
        <v>729369.36</v>
      </c>
      <c r="S107" s="82" t="n">
        <f aca="false">-R97*C47/100</f>
        <v>729369.36</v>
      </c>
      <c r="T107" s="82" t="n">
        <f aca="false">-S97*C47/100</f>
        <v>729369.36</v>
      </c>
      <c r="U107" s="82" t="n">
        <f aca="false">-T97*C47/100</f>
        <v>729369.36</v>
      </c>
      <c r="V107" s="82" t="n">
        <f aca="false">-U97*C47/100</f>
        <v>729369.36</v>
      </c>
      <c r="W107" s="82" t="n">
        <f aca="false">-V97*C47/100</f>
        <v>729369.36</v>
      </c>
      <c r="X107" s="82"/>
    </row>
    <row r="108" customFormat="false" ht="15" hidden="false" customHeight="true" outlineLevel="0" collapsed="false">
      <c r="B108" s="83" t="s">
        <v>54</v>
      </c>
      <c r="C108" s="84"/>
      <c r="D108" s="84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 t="n">
        <f aca="false">-D106/C48</f>
        <v>-0</v>
      </c>
      <c r="U108" s="85" t="n">
        <f aca="false">-D106/C48</f>
        <v>-0</v>
      </c>
      <c r="V108" s="85" t="n">
        <f aca="false">-D106/C48</f>
        <v>-0</v>
      </c>
      <c r="W108" s="85" t="n">
        <f aca="false">-D106/C48</f>
        <v>-0</v>
      </c>
      <c r="X108" s="85"/>
    </row>
    <row r="109" customFormat="false" ht="15" hidden="false" customHeight="true" outlineLevel="0" collapsed="false"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</row>
    <row r="110" customFormat="false" ht="15" hidden="false" customHeight="true" outlineLevel="0" collapsed="false"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</row>
    <row r="111" customFormat="false" ht="15" hidden="false" customHeight="true" outlineLevel="0" collapsed="false">
      <c r="B111" s="73" t="s">
        <v>55</v>
      </c>
      <c r="C111" s="74" t="n">
        <v>0</v>
      </c>
      <c r="D111" s="74" t="n">
        <f aca="false">SUM(D99:D108)</f>
        <v>-880186.4</v>
      </c>
      <c r="E111" s="74" t="n">
        <f aca="false">SUM(E99:E108)</f>
        <v>-88018.64</v>
      </c>
      <c r="F111" s="74" t="n">
        <f aca="false">SUM(F99:F108)</f>
        <v>-88018.64</v>
      </c>
      <c r="G111" s="74" t="n">
        <f aca="false">SUM(G99:G108)</f>
        <v>-88018.64</v>
      </c>
      <c r="H111" s="74" t="n">
        <f aca="false">SUM(H99:H108)</f>
        <v>-88018.64</v>
      </c>
      <c r="I111" s="74" t="n">
        <f aca="false">SUM(I99:I108)</f>
        <v>-88018.64</v>
      </c>
      <c r="J111" s="74" t="n">
        <f aca="false">SUM(J99:J108)</f>
        <v>-88018.64</v>
      </c>
      <c r="K111" s="74" t="n">
        <f aca="false">SUM(K99:K108)</f>
        <v>-88018.64</v>
      </c>
      <c r="L111" s="74" t="n">
        <f aca="false">SUM(L99:L108)</f>
        <v>-88018.64</v>
      </c>
      <c r="M111" s="74" t="n">
        <f aca="false">SUM(M99:M108)</f>
        <v>-88018.64</v>
      </c>
      <c r="N111" s="74" t="n">
        <f aca="false">SUM(N99:N108)</f>
        <v>-18242.64</v>
      </c>
      <c r="O111" s="74" t="n">
        <f aca="false">SUM(O99:O108)</f>
        <v>-81041.04</v>
      </c>
      <c r="P111" s="74" t="n">
        <f aca="false">SUM(P99:P108)</f>
        <v>-81041.04</v>
      </c>
      <c r="Q111" s="74" t="n">
        <f aca="false">SUM(Q99:Q108)</f>
        <v>-81041.04</v>
      </c>
      <c r="R111" s="74" t="n">
        <f aca="false">SUM(R99:R108)</f>
        <v>-81041.04</v>
      </c>
      <c r="S111" s="74" t="n">
        <f aca="false">SUM(S99:S108)</f>
        <v>-81041.04</v>
      </c>
      <c r="T111" s="74" t="n">
        <f aca="false">SUM(T99:T108)</f>
        <v>-81041.04</v>
      </c>
      <c r="U111" s="74" t="n">
        <f aca="false">SUM(U99:U108)</f>
        <v>-81041.04</v>
      </c>
      <c r="V111" s="74" t="n">
        <f aca="false">SUM(V99:V108)</f>
        <v>-81041.04</v>
      </c>
      <c r="W111" s="74" t="n">
        <f aca="false">SUM(W99:W108)</f>
        <v>-81041.04</v>
      </c>
      <c r="X111" s="74"/>
    </row>
    <row r="112" customFormat="false" ht="15" hidden="false" customHeight="true" outlineLevel="0" collapsed="false">
      <c r="B112" s="73" t="s">
        <v>56</v>
      </c>
      <c r="C112" s="74" t="n">
        <v>0</v>
      </c>
      <c r="D112" s="74" t="n">
        <v>0</v>
      </c>
      <c r="E112" s="74" t="n">
        <f aca="false">D113</f>
        <v>-880186.4</v>
      </c>
      <c r="F112" s="74" t="n">
        <f aca="false">E113</f>
        <v>-968205.04</v>
      </c>
      <c r="G112" s="74" t="n">
        <f aca="false">F113</f>
        <v>-1056223.68</v>
      </c>
      <c r="H112" s="74" t="n">
        <f aca="false">G113</f>
        <v>-1144242.32</v>
      </c>
      <c r="I112" s="74" t="n">
        <f aca="false">H113</f>
        <v>-1232260.96</v>
      </c>
      <c r="J112" s="74" t="n">
        <f aca="false">I113</f>
        <v>-1320279.6</v>
      </c>
      <c r="K112" s="74" t="n">
        <f aca="false">J113</f>
        <v>-1408298.24</v>
      </c>
      <c r="L112" s="74" t="n">
        <f aca="false">K113</f>
        <v>-1496316.88</v>
      </c>
      <c r="M112" s="74" t="n">
        <f aca="false">L113</f>
        <v>-1584335.52</v>
      </c>
      <c r="N112" s="74" t="n">
        <f aca="false">M113</f>
        <v>-1672354.16</v>
      </c>
      <c r="O112" s="74" t="n">
        <f aca="false">N113</f>
        <v>-1690596.8</v>
      </c>
      <c r="P112" s="74" t="n">
        <f aca="false">O113</f>
        <v>-1771637.84</v>
      </c>
      <c r="Q112" s="74" t="n">
        <f aca="false">P113</f>
        <v>-1852678.88</v>
      </c>
      <c r="R112" s="74" t="n">
        <f aca="false">Q113</f>
        <v>-1933719.92</v>
      </c>
      <c r="S112" s="74" t="n">
        <f aca="false">R113</f>
        <v>-2014760.96</v>
      </c>
      <c r="T112" s="74" t="n">
        <f aca="false">S113</f>
        <v>-2095802</v>
      </c>
      <c r="U112" s="74" t="n">
        <f aca="false">T113</f>
        <v>-2176843.04</v>
      </c>
      <c r="V112" s="74" t="n">
        <f aca="false">U113</f>
        <v>-2257884.08</v>
      </c>
      <c r="W112" s="74" t="n">
        <f aca="false">V113</f>
        <v>-2338925.12</v>
      </c>
      <c r="X112" s="74"/>
    </row>
    <row r="113" customFormat="false" ht="15" hidden="false" customHeight="true" outlineLevel="0" collapsed="false">
      <c r="B113" s="73" t="s">
        <v>57</v>
      </c>
      <c r="C113" s="74" t="n">
        <v>0</v>
      </c>
      <c r="D113" s="74" t="n">
        <f aca="false">D111+D112</f>
        <v>-880186.4</v>
      </c>
      <c r="E113" s="74" t="n">
        <f aca="false">E111+E112</f>
        <v>-968205.04</v>
      </c>
      <c r="F113" s="74" t="n">
        <f aca="false">F111+F112</f>
        <v>-1056223.68</v>
      </c>
      <c r="G113" s="74" t="n">
        <f aca="false">G111+G112</f>
        <v>-1144242.32</v>
      </c>
      <c r="H113" s="74" t="n">
        <f aca="false">H111+H112</f>
        <v>-1232260.96</v>
      </c>
      <c r="I113" s="74" t="n">
        <f aca="false">I111+I112</f>
        <v>-1320279.6</v>
      </c>
      <c r="J113" s="74" t="n">
        <f aca="false">J111+J112</f>
        <v>-1408298.24</v>
      </c>
      <c r="K113" s="74" t="n">
        <f aca="false">K111+K112</f>
        <v>-1496316.88</v>
      </c>
      <c r="L113" s="74" t="n">
        <f aca="false">L111+L112</f>
        <v>-1584335.52</v>
      </c>
      <c r="M113" s="74" t="n">
        <f aca="false">M111+M112</f>
        <v>-1672354.16</v>
      </c>
      <c r="N113" s="74" t="n">
        <f aca="false">N111+N112</f>
        <v>-1690596.8</v>
      </c>
      <c r="O113" s="74" t="n">
        <f aca="false">O111+O112</f>
        <v>-1771637.84</v>
      </c>
      <c r="P113" s="74" t="n">
        <f aca="false">P111+P112</f>
        <v>-1852678.88</v>
      </c>
      <c r="Q113" s="74" t="n">
        <f aca="false">Q111+Q112</f>
        <v>-1933719.92</v>
      </c>
      <c r="R113" s="74" t="n">
        <f aca="false">R111+R112</f>
        <v>-2014760.96</v>
      </c>
      <c r="S113" s="74" t="n">
        <f aca="false">S111+S112</f>
        <v>-2095802</v>
      </c>
      <c r="T113" s="74" t="n">
        <f aca="false">T111+T112</f>
        <v>-2176843.04</v>
      </c>
      <c r="U113" s="74" t="n">
        <f aca="false">U111+U112</f>
        <v>-2257884.08</v>
      </c>
      <c r="V113" s="74" t="n">
        <f aca="false">V111+V112</f>
        <v>-2338925.12</v>
      </c>
      <c r="W113" s="74" t="n">
        <f aca="false">W111+W112</f>
        <v>-2419966.16</v>
      </c>
      <c r="X113" s="74"/>
    </row>
    <row r="114" customFormat="false" ht="15" hidden="false" customHeight="true" outlineLevel="0" collapsed="false"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</row>
    <row r="115" customFormat="false" ht="15" hidden="false" customHeight="true" outlineLevel="0" collapsed="false">
      <c r="B115" s="73"/>
      <c r="C115" s="73"/>
      <c r="D115" s="73"/>
      <c r="E115" s="73"/>
      <c r="F115" s="77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</row>
    <row r="116" customFormat="false" ht="15" hidden="false" customHeight="true" outlineLevel="0" collapsed="false">
      <c r="B116" s="86" t="s">
        <v>58</v>
      </c>
      <c r="C116" s="87"/>
      <c r="D116" s="88" t="n">
        <f aca="false">-D106</f>
        <v>-0</v>
      </c>
      <c r="E116" s="76" t="n">
        <f aca="false">-E107-E108</f>
        <v>-792167.76</v>
      </c>
      <c r="F116" s="76" t="n">
        <f aca="false">-F107-F108</f>
        <v>-792167.76</v>
      </c>
      <c r="G116" s="76" t="n">
        <f aca="false">-G107-G108</f>
        <v>-792167.76</v>
      </c>
      <c r="H116" s="76" t="n">
        <f aca="false">-H107-H108</f>
        <v>-792167.76</v>
      </c>
      <c r="I116" s="76" t="n">
        <f aca="false">-I107-I108</f>
        <v>-792167.76</v>
      </c>
      <c r="J116" s="76" t="n">
        <f aca="false">-J107-J108</f>
        <v>-792167.76</v>
      </c>
      <c r="K116" s="76" t="n">
        <f aca="false">-K107-K108</f>
        <v>-792167.76</v>
      </c>
      <c r="L116" s="76" t="n">
        <f aca="false">-L107-L108</f>
        <v>-792167.76</v>
      </c>
      <c r="M116" s="76" t="n">
        <f aca="false">-M107-M108</f>
        <v>-792167.76</v>
      </c>
      <c r="N116" s="76" t="n">
        <f aca="false">-N107-N108</f>
        <v>-792167.76</v>
      </c>
      <c r="O116" s="76" t="n">
        <f aca="false">-O107-O108</f>
        <v>-729369.36</v>
      </c>
      <c r="P116" s="76" t="n">
        <f aca="false">-P107-P108</f>
        <v>-729369.36</v>
      </c>
      <c r="Q116" s="76" t="n">
        <f aca="false">-Q107-Q108</f>
        <v>-729369.36</v>
      </c>
      <c r="R116" s="76" t="n">
        <f aca="false">-R107-R108</f>
        <v>-729369.36</v>
      </c>
      <c r="S116" s="76" t="n">
        <f aca="false">-S107-S108</f>
        <v>-729369.36</v>
      </c>
      <c r="T116" s="76" t="n">
        <f aca="false">-T107-T108</f>
        <v>-729369.36</v>
      </c>
      <c r="U116" s="76" t="n">
        <f aca="false">-U107-U108</f>
        <v>-729369.36</v>
      </c>
      <c r="V116" s="76" t="n">
        <f aca="false">-V107-V108</f>
        <v>-729369.36</v>
      </c>
      <c r="W116" s="76" t="n">
        <f aca="false">-W107-W108</f>
        <v>-729369.36</v>
      </c>
      <c r="X116" s="76"/>
    </row>
    <row r="117" customFormat="false" ht="15" hidden="false" customHeight="true" outlineLevel="0" collapsed="false">
      <c r="B117" s="73" t="s">
        <v>59</v>
      </c>
      <c r="C117" s="89" t="e">
        <f aca="false">IRR(D116:W116)</f>
        <v>#N/A</v>
      </c>
      <c r="D117" s="77"/>
      <c r="E117" s="77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7"/>
    </row>
    <row r="118" customFormat="false" ht="15" hidden="false" customHeight="true" outlineLevel="0" collapsed="false">
      <c r="B118" s="86" t="s">
        <v>60</v>
      </c>
      <c r="C118" s="87"/>
      <c r="D118" s="88" t="n">
        <f aca="false">D97-D106</f>
        <v>-880186.4</v>
      </c>
      <c r="E118" s="76" t="n">
        <f aca="false">E97-E108</f>
        <v>-880186.4</v>
      </c>
      <c r="F118" s="76" t="n">
        <f aca="false">F97-F108</f>
        <v>-880186.4</v>
      </c>
      <c r="G118" s="76" t="n">
        <f aca="false">G97-G108</f>
        <v>-880186.4</v>
      </c>
      <c r="H118" s="76" t="n">
        <f aca="false">H97-H108</f>
        <v>-880186.4</v>
      </c>
      <c r="I118" s="76" t="n">
        <f aca="false">I97-I108</f>
        <v>-880186.4</v>
      </c>
      <c r="J118" s="76" t="n">
        <f aca="false">J97-J108</f>
        <v>-880186.4</v>
      </c>
      <c r="K118" s="76" t="n">
        <f aca="false">K97-K108</f>
        <v>-880186.4</v>
      </c>
      <c r="L118" s="76" t="n">
        <f aca="false">L97-L108</f>
        <v>-880186.4</v>
      </c>
      <c r="M118" s="76" t="n">
        <f aca="false">M97-M108</f>
        <v>-880186.4</v>
      </c>
      <c r="N118" s="76" t="n">
        <f aca="false">N97-N108</f>
        <v>-810410.4</v>
      </c>
      <c r="O118" s="76" t="n">
        <f aca="false">O97-O108</f>
        <v>-810410.4</v>
      </c>
      <c r="P118" s="76" t="n">
        <f aca="false">P97-P108</f>
        <v>-810410.4</v>
      </c>
      <c r="Q118" s="76" t="n">
        <f aca="false">Q97-Q108</f>
        <v>-810410.4</v>
      </c>
      <c r="R118" s="76" t="n">
        <f aca="false">R97-R108</f>
        <v>-810410.4</v>
      </c>
      <c r="S118" s="76" t="n">
        <f aca="false">S97-S108</f>
        <v>-810410.4</v>
      </c>
      <c r="T118" s="76" t="n">
        <f aca="false">T97-T108</f>
        <v>-810410.4</v>
      </c>
      <c r="U118" s="76" t="n">
        <f aca="false">U97-U108</f>
        <v>-810410.4</v>
      </c>
      <c r="V118" s="76" t="n">
        <f aca="false">V97-V108</f>
        <v>-810410.4</v>
      </c>
      <c r="W118" s="76" t="n">
        <f aca="false">W97-W108</f>
        <v>-810410.4</v>
      </c>
      <c r="X118" s="76"/>
    </row>
    <row r="119" customFormat="false" ht="15" hidden="false" customHeight="true" outlineLevel="0" collapsed="false">
      <c r="B119" s="86" t="s">
        <v>61</v>
      </c>
      <c r="C119" s="89" t="e">
        <f aca="false">IRR(D118:W118)</f>
        <v>#N/A</v>
      </c>
      <c r="D119" s="77"/>
      <c r="E119" s="77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7"/>
    </row>
    <row r="120" customFormat="false" ht="15" hidden="false" customHeight="true" outlineLevel="0" collapsed="false"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</row>
    <row r="121" customFormat="false" ht="15" hidden="false" customHeight="true" outlineLevel="0" collapsed="false">
      <c r="B121" s="73" t="s">
        <v>62</v>
      </c>
      <c r="C121" s="74" t="n">
        <v>0</v>
      </c>
      <c r="D121" s="74" t="n">
        <f aca="false">D104</f>
        <v>0</v>
      </c>
      <c r="E121" s="74" t="n">
        <f aca="false">D121+E105</f>
        <v>0</v>
      </c>
      <c r="F121" s="74" t="n">
        <f aca="false">E121+F105</f>
        <v>0</v>
      </c>
      <c r="G121" s="74" t="n">
        <f aca="false">F121+G105</f>
        <v>0</v>
      </c>
      <c r="H121" s="74" t="n">
        <f aca="false">G121+H105</f>
        <v>0</v>
      </c>
      <c r="I121" s="74" t="n">
        <f aca="false">H121+I105</f>
        <v>0</v>
      </c>
      <c r="J121" s="74" t="n">
        <f aca="false">I121+J105</f>
        <v>0</v>
      </c>
      <c r="K121" s="74" t="n">
        <f aca="false">J121+K105</f>
        <v>0</v>
      </c>
      <c r="L121" s="74" t="n">
        <f aca="false">K121+L105</f>
        <v>0</v>
      </c>
      <c r="M121" s="74" t="n">
        <f aca="false">L121+M105</f>
        <v>0</v>
      </c>
      <c r="N121" s="74" t="n">
        <f aca="false">M121+N105</f>
        <v>0</v>
      </c>
      <c r="O121" s="74" t="n">
        <f aca="false">N121+O105</f>
        <v>0</v>
      </c>
      <c r="P121" s="74" t="n">
        <f aca="false">O121+P105</f>
        <v>0</v>
      </c>
      <c r="Q121" s="74" t="n">
        <f aca="false">P121+Q105</f>
        <v>0</v>
      </c>
      <c r="R121" s="74" t="n">
        <f aca="false">Q121+R105</f>
        <v>0</v>
      </c>
      <c r="S121" s="74" t="n">
        <f aca="false">R121+S105</f>
        <v>0</v>
      </c>
      <c r="T121" s="74" t="n">
        <f aca="false">S121+T105</f>
        <v>0</v>
      </c>
      <c r="U121" s="74" t="n">
        <f aca="false">T121+U105</f>
        <v>0</v>
      </c>
      <c r="V121" s="74" t="n">
        <f aca="false">U121+V105</f>
        <v>0</v>
      </c>
      <c r="W121" s="74" t="n">
        <f aca="false">V121+W105</f>
        <v>0</v>
      </c>
      <c r="X121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24.56"/>
    <col collapsed="false" customWidth="true" hidden="false" outlineLevel="0" max="3" min="3" style="0" width="9.1"/>
    <col collapsed="false" customWidth="true" hidden="false" outlineLevel="0" max="5" min="5" style="0" width="45.49"/>
    <col collapsed="false" customWidth="true" hidden="false" outlineLevel="0" max="6" min="6" style="0" width="9.1"/>
    <col collapsed="false" customWidth="true" hidden="false" outlineLevel="0" max="13" min="13" style="0" width="45.49"/>
    <col collapsed="false" customWidth="true" hidden="false" outlineLevel="0" max="14" min="14" style="0" width="9.1"/>
    <col collapsed="false" customWidth="true" hidden="false" outlineLevel="0" max="28" min="28" style="0" width="10.01"/>
    <col collapsed="false" customWidth="true" hidden="false" outlineLevel="0" max="35" min="35" style="0" width="29.63"/>
    <col collapsed="false" customWidth="true" hidden="false" outlineLevel="0" max="36" min="36" style="0" width="8.32"/>
  </cols>
  <sheetData>
    <row r="1" customFormat="false" ht="22.5" hidden="false" customHeight="true" outlineLevel="0" collapsed="false">
      <c r="A1" s="90" t="s">
        <v>63</v>
      </c>
      <c r="B1" s="90"/>
      <c r="C1" s="90"/>
      <c r="D1" s="90"/>
      <c r="E1" s="91" t="s">
        <v>64</v>
      </c>
      <c r="O1" s="92" t="n">
        <f aca="false">1-C11</f>
        <v>0.99</v>
      </c>
      <c r="P1" s="92" t="n">
        <f aca="false">O1-$C12</f>
        <v>0.986</v>
      </c>
      <c r="Q1" s="92" t="n">
        <f aca="false">P1-$C12</f>
        <v>0.982</v>
      </c>
      <c r="R1" s="92" t="n">
        <f aca="false">Q1-$C12</f>
        <v>0.978</v>
      </c>
      <c r="S1" s="92" t="n">
        <f aca="false">R1-$C12</f>
        <v>0.974</v>
      </c>
      <c r="T1" s="92" t="n">
        <f aca="false">S1-$C12</f>
        <v>0.97</v>
      </c>
      <c r="U1" s="92" t="n">
        <f aca="false">T1-$C12</f>
        <v>0.966</v>
      </c>
      <c r="V1" s="92" t="n">
        <f aca="false">U1-$C12</f>
        <v>0.962</v>
      </c>
      <c r="W1" s="92" t="n">
        <f aca="false">V1-$C12</f>
        <v>0.958</v>
      </c>
      <c r="X1" s="92" t="n">
        <f aca="false">W1-$C12</f>
        <v>0.954</v>
      </c>
      <c r="Y1" s="92" t="n">
        <f aca="false">X1-$C12</f>
        <v>0.95</v>
      </c>
      <c r="Z1" s="92" t="n">
        <f aca="false">Y1-$C12</f>
        <v>0.946</v>
      </c>
      <c r="AA1" s="92" t="n">
        <f aca="false">Z1-$C12</f>
        <v>0.942</v>
      </c>
      <c r="AB1" s="92" t="n">
        <f aca="false">AA1-$C12</f>
        <v>0.938</v>
      </c>
      <c r="AC1" s="92" t="n">
        <f aca="false">AB1-$C12</f>
        <v>0.934</v>
      </c>
      <c r="AD1" s="92" t="n">
        <f aca="false">AC1-$C12</f>
        <v>0.93</v>
      </c>
      <c r="AE1" s="92" t="n">
        <f aca="false">AD1-$C12</f>
        <v>0.926</v>
      </c>
      <c r="AF1" s="92" t="n">
        <f aca="false">AE1-$C12</f>
        <v>0.922</v>
      </c>
      <c r="AG1" s="92" t="n">
        <f aca="false">AF1-$C12</f>
        <v>0.918</v>
      </c>
      <c r="AH1" s="92" t="n">
        <f aca="false">AG1-$C12</f>
        <v>0.914</v>
      </c>
    </row>
    <row r="2" customFormat="false" ht="21.75" hidden="false" customHeight="true" outlineLevel="0" collapsed="false">
      <c r="A2" s="93" t="s">
        <v>65</v>
      </c>
      <c r="B2" s="94" t="s">
        <v>2</v>
      </c>
      <c r="C2" s="93" t="s">
        <v>2</v>
      </c>
      <c r="D2" s="95" t="s">
        <v>26</v>
      </c>
      <c r="E2" s="96" t="s">
        <v>66</v>
      </c>
    </row>
    <row r="3" customFormat="false" ht="21.75" hidden="false" customHeight="true" outlineLevel="0" collapsed="false">
      <c r="A3" s="97" t="s">
        <v>67</v>
      </c>
      <c r="B3" s="98" t="n">
        <v>20</v>
      </c>
      <c r="C3" s="97" t="n">
        <v>20</v>
      </c>
      <c r="D3" s="99" t="s">
        <v>26</v>
      </c>
      <c r="E3" s="96" t="s">
        <v>68</v>
      </c>
    </row>
    <row r="4" customFormat="false" ht="21.75" hidden="false" customHeight="true" outlineLevel="0" collapsed="false">
      <c r="A4" s="97" t="s">
        <v>69</v>
      </c>
      <c r="B4" s="98" t="n">
        <v>436.1</v>
      </c>
      <c r="C4" s="97" t="n">
        <v>436.1</v>
      </c>
      <c r="D4" s="99" t="s">
        <v>26</v>
      </c>
      <c r="E4" s="96" t="s">
        <v>70</v>
      </c>
      <c r="M4" s="100" t="s">
        <v>71</v>
      </c>
    </row>
    <row r="5" customFormat="false" ht="22.5" hidden="false" customHeight="true" outlineLevel="0" collapsed="false">
      <c r="A5" s="97" t="s">
        <v>72</v>
      </c>
      <c r="B5" s="98" t="n">
        <v>2020</v>
      </c>
      <c r="C5" s="97" t="n">
        <v>2020</v>
      </c>
      <c r="D5" s="99" t="n">
        <f aca="false">B5+B3-1</f>
        <v>2039</v>
      </c>
      <c r="E5" s="96" t="n">
        <v>2039</v>
      </c>
      <c r="M5" s="100" t="s">
        <v>73</v>
      </c>
    </row>
    <row r="6" customFormat="false" ht="20.25" hidden="false" customHeight="true" outlineLevel="0" collapsed="false">
      <c r="A6" s="101"/>
      <c r="B6" s="101"/>
      <c r="C6" s="101"/>
      <c r="D6" s="101"/>
      <c r="E6" s="102"/>
      <c r="M6" s="100" t="s">
        <v>74</v>
      </c>
    </row>
    <row r="7" customFormat="false" ht="22.5" hidden="false" customHeight="true" outlineLevel="0" collapsed="false">
      <c r="A7" s="90" t="s">
        <v>75</v>
      </c>
      <c r="B7" s="90"/>
      <c r="C7" s="90"/>
      <c r="D7" s="90"/>
      <c r="E7" s="102"/>
      <c r="M7" s="100" t="s">
        <v>76</v>
      </c>
    </row>
    <row r="8" customFormat="false" ht="22.5" hidden="false" customHeight="true" outlineLevel="0" collapsed="false">
      <c r="A8" s="103" t="s">
        <v>77</v>
      </c>
      <c r="B8" s="103"/>
      <c r="C8" s="103"/>
      <c r="D8" s="103"/>
      <c r="E8" s="102"/>
      <c r="M8" s="100" t="s">
        <v>78</v>
      </c>
    </row>
    <row r="9" customFormat="false" ht="22.5" hidden="false" customHeight="true" outlineLevel="0" collapsed="false">
      <c r="A9" s="104" t="s">
        <v>79</v>
      </c>
      <c r="B9" s="105" t="s">
        <v>80</v>
      </c>
      <c r="C9" s="105" t="s">
        <v>81</v>
      </c>
      <c r="D9" s="106" t="s">
        <v>82</v>
      </c>
      <c r="E9" s="91" t="s">
        <v>64</v>
      </c>
      <c r="M9" s="100" t="s">
        <v>83</v>
      </c>
    </row>
    <row r="10" customFormat="false" ht="30" hidden="false" customHeight="true" outlineLevel="0" collapsed="false">
      <c r="A10" s="107" t="s">
        <v>84</v>
      </c>
      <c r="B10" s="93" t="s">
        <v>85</v>
      </c>
      <c r="C10" s="108" t="n">
        <v>547002</v>
      </c>
      <c r="D10" s="109" t="n">
        <v>547002</v>
      </c>
      <c r="E10" s="96" t="n">
        <v>20</v>
      </c>
      <c r="M10" s="100" t="s">
        <v>86</v>
      </c>
    </row>
    <row r="11" customFormat="false" ht="30" hidden="false" customHeight="true" outlineLevel="0" collapsed="false">
      <c r="A11" s="107"/>
      <c r="B11" s="97" t="s">
        <v>87</v>
      </c>
      <c r="C11" s="110" t="n">
        <v>0.01</v>
      </c>
      <c r="D11" s="109"/>
      <c r="E11" s="96" t="s">
        <v>88</v>
      </c>
    </row>
    <row r="12" customFormat="false" ht="30" hidden="false" customHeight="true" outlineLevel="0" collapsed="false">
      <c r="A12" s="107"/>
      <c r="B12" s="97" t="s">
        <v>89</v>
      </c>
      <c r="C12" s="111" t="n">
        <v>0.004</v>
      </c>
      <c r="D12" s="109"/>
      <c r="E12" s="96" t="s">
        <v>90</v>
      </c>
    </row>
    <row r="13" customFormat="false" ht="22.5" hidden="false" customHeight="true" outlineLevel="0" collapsed="false">
      <c r="A13" s="107"/>
      <c r="B13" s="112" t="s">
        <v>91</v>
      </c>
      <c r="C13" s="113" t="n">
        <v>4</v>
      </c>
      <c r="D13" s="109"/>
      <c r="E13" s="96" t="s">
        <v>92</v>
      </c>
    </row>
    <row r="14" customFormat="false" ht="22.5" hidden="false" customHeight="true" outlineLevel="0" collapsed="false">
      <c r="A14" s="114" t="s">
        <v>93</v>
      </c>
      <c r="B14" s="114"/>
      <c r="C14" s="114"/>
      <c r="D14" s="114"/>
      <c r="E14" s="102"/>
    </row>
    <row r="15" customFormat="false" ht="22.5" hidden="false" customHeight="true" outlineLevel="0" collapsed="false">
      <c r="A15" s="104" t="s">
        <v>79</v>
      </c>
      <c r="B15" s="105" t="s">
        <v>80</v>
      </c>
      <c r="C15" s="105" t="s">
        <v>81</v>
      </c>
      <c r="D15" s="106" t="s">
        <v>94</v>
      </c>
      <c r="E15" s="91" t="s">
        <v>64</v>
      </c>
    </row>
    <row r="16" customFormat="false" ht="21.75" hidden="false" customHeight="true" outlineLevel="0" collapsed="false">
      <c r="A16" s="93" t="s">
        <v>95</v>
      </c>
      <c r="B16" s="93" t="s">
        <v>96</v>
      </c>
      <c r="C16" s="115" t="n">
        <v>35000</v>
      </c>
      <c r="D16" s="95" t="n">
        <v>33000</v>
      </c>
      <c r="E16" s="96" t="n">
        <v>20</v>
      </c>
    </row>
    <row r="17" customFormat="false" ht="21.75" hidden="false" customHeight="true" outlineLevel="0" collapsed="false">
      <c r="A17" s="93"/>
      <c r="B17" s="97" t="s">
        <v>97</v>
      </c>
      <c r="C17" s="98" t="n">
        <v>0.3</v>
      </c>
      <c r="D17" s="95"/>
      <c r="E17" s="96" t="s">
        <v>98</v>
      </c>
    </row>
    <row r="18" customFormat="false" ht="21.75" hidden="false" customHeight="true" outlineLevel="0" collapsed="false">
      <c r="A18" s="93"/>
      <c r="B18" s="97" t="s">
        <v>99</v>
      </c>
      <c r="C18" s="116" t="n">
        <v>2000</v>
      </c>
      <c r="D18" s="95"/>
      <c r="E18" s="96" t="s">
        <v>100</v>
      </c>
    </row>
    <row r="19" customFormat="false" ht="54" hidden="false" customHeight="true" outlineLevel="0" collapsed="false">
      <c r="A19" s="97" t="s">
        <v>101</v>
      </c>
      <c r="B19" s="117" t="s">
        <v>102</v>
      </c>
      <c r="C19" s="98" t="n">
        <v>1</v>
      </c>
      <c r="D19" s="95" t="n">
        <v>1</v>
      </c>
      <c r="E19" s="96" t="n">
        <v>0</v>
      </c>
    </row>
    <row r="20" customFormat="false" ht="20.25" hidden="false" customHeight="true" outlineLevel="0" collapsed="false">
      <c r="A20" s="97"/>
      <c r="B20" s="118" t="s">
        <v>103</v>
      </c>
      <c r="C20" s="116" t="n">
        <v>290201</v>
      </c>
      <c r="D20" s="95" t="n">
        <v>290201</v>
      </c>
      <c r="E20" s="96" t="n">
        <v>20</v>
      </c>
    </row>
    <row r="21" customFormat="false" ht="30" hidden="false" customHeight="true" outlineLevel="0" collapsed="false">
      <c r="A21" s="97"/>
      <c r="B21" s="97" t="s">
        <v>104</v>
      </c>
      <c r="C21" s="98"/>
      <c r="D21" s="99" t="n">
        <v>0</v>
      </c>
      <c r="E21" s="96" t="n">
        <v>0</v>
      </c>
    </row>
    <row r="22" customFormat="false" ht="30" hidden="false" customHeight="true" outlineLevel="0" collapsed="false">
      <c r="A22" s="97" t="s">
        <v>105</v>
      </c>
      <c r="B22" s="97" t="s">
        <v>106</v>
      </c>
      <c r="C22" s="116" t="n">
        <v>400</v>
      </c>
      <c r="D22" s="99" t="n">
        <v>400</v>
      </c>
      <c r="E22" s="96" t="n">
        <v>20</v>
      </c>
    </row>
    <row r="23" customFormat="false" ht="30" hidden="false" customHeight="true" outlineLevel="0" collapsed="false">
      <c r="A23" s="97" t="s">
        <v>107</v>
      </c>
      <c r="B23" s="97" t="s">
        <v>108</v>
      </c>
      <c r="C23" s="98" t="n">
        <v>0.003</v>
      </c>
      <c r="D23" s="99" t="n">
        <v>0.003</v>
      </c>
      <c r="E23" s="96" t="n">
        <v>20</v>
      </c>
    </row>
    <row r="24" customFormat="false" ht="30" hidden="false" customHeight="true" outlineLevel="0" collapsed="false">
      <c r="A24" s="97" t="s">
        <v>109</v>
      </c>
      <c r="B24" s="97" t="s">
        <v>110</v>
      </c>
      <c r="C24" s="116" t="n">
        <v>1000</v>
      </c>
      <c r="D24" s="119" t="n">
        <v>1000</v>
      </c>
      <c r="E24" s="96" t="n">
        <v>10</v>
      </c>
    </row>
    <row r="25" customFormat="false" ht="30" hidden="false" customHeight="true" outlineLevel="0" collapsed="false">
      <c r="A25" s="97" t="s">
        <v>111</v>
      </c>
      <c r="B25" s="97" t="s">
        <v>112</v>
      </c>
      <c r="C25" s="111" t="n">
        <v>0.0256</v>
      </c>
      <c r="D25" s="99" t="n">
        <v>0.0256</v>
      </c>
      <c r="E25" s="96" t="n">
        <v>0</v>
      </c>
    </row>
    <row r="26" customFormat="false" ht="30" hidden="false" customHeight="true" outlineLevel="0" collapsed="false">
      <c r="A26" s="97" t="s">
        <v>14</v>
      </c>
      <c r="B26" s="97" t="s">
        <v>113</v>
      </c>
      <c r="C26" s="98" t="n">
        <v>0.2</v>
      </c>
      <c r="D26" s="99" t="n">
        <v>0.2</v>
      </c>
      <c r="E26" s="96" t="n">
        <v>0</v>
      </c>
    </row>
    <row r="27" customFormat="false" ht="20.25" hidden="false" customHeight="true" outlineLevel="0" collapsed="false">
      <c r="A27" s="101"/>
      <c r="B27" s="101"/>
      <c r="C27" s="101"/>
      <c r="D27" s="101"/>
      <c r="E27" s="102"/>
    </row>
    <row r="28" customFormat="false" ht="20.25" hidden="false" customHeight="true" outlineLevel="0" collapsed="false">
      <c r="A28" s="101"/>
      <c r="B28" s="101"/>
      <c r="C28" s="101"/>
      <c r="D28" s="101"/>
      <c r="E28" s="102"/>
    </row>
    <row r="29" customFormat="false" ht="22.5" hidden="false" customHeight="true" outlineLevel="0" collapsed="false">
      <c r="A29" s="90" t="s">
        <v>114</v>
      </c>
      <c r="B29" s="90"/>
      <c r="C29" s="90"/>
      <c r="D29" s="101"/>
      <c r="E29" s="102"/>
    </row>
    <row r="30" customFormat="false" ht="22.5" hidden="false" customHeight="true" outlineLevel="0" collapsed="false">
      <c r="A30" s="104" t="s">
        <v>115</v>
      </c>
      <c r="B30" s="105" t="s">
        <v>80</v>
      </c>
      <c r="C30" s="120" t="s">
        <v>81</v>
      </c>
      <c r="D30" s="101"/>
      <c r="E30" s="91" t="s">
        <v>64</v>
      </c>
    </row>
    <row r="31" customFormat="false" ht="30" hidden="false" customHeight="true" outlineLevel="0" collapsed="false">
      <c r="A31" s="93" t="s">
        <v>116</v>
      </c>
      <c r="B31" s="93" t="s">
        <v>117</v>
      </c>
      <c r="C31" s="121" t="n">
        <v>0.8</v>
      </c>
      <c r="D31" s="101" t="n">
        <v>0.8</v>
      </c>
      <c r="E31" s="96" t="s">
        <v>118</v>
      </c>
    </row>
    <row r="32" customFormat="false" ht="18.75" hidden="false" customHeight="true" outlineLevel="0" collapsed="false">
      <c r="A32" s="93" t="s">
        <v>119</v>
      </c>
      <c r="B32" s="93" t="s">
        <v>120</v>
      </c>
      <c r="C32" s="121" t="n">
        <v>15</v>
      </c>
      <c r="D32" s="101" t="n">
        <v>15</v>
      </c>
      <c r="E32" s="96" t="s">
        <v>121</v>
      </c>
    </row>
    <row r="33" customFormat="false" ht="18.75" hidden="false" customHeight="true" outlineLevel="0" collapsed="false">
      <c r="A33" s="97" t="s">
        <v>53</v>
      </c>
      <c r="B33" s="97" t="s">
        <v>122</v>
      </c>
      <c r="C33" s="98" t="n">
        <v>0.9</v>
      </c>
      <c r="D33" s="101" t="n">
        <v>0.9</v>
      </c>
      <c r="E33" s="96" t="s">
        <v>123</v>
      </c>
    </row>
    <row r="34" customFormat="false" ht="30" hidden="false" customHeight="true" outlineLevel="0" collapsed="false">
      <c r="A34" s="97" t="s">
        <v>54</v>
      </c>
      <c r="B34" s="97" t="s">
        <v>120</v>
      </c>
      <c r="C34" s="98" t="n">
        <v>4</v>
      </c>
      <c r="D34" s="101" t="n">
        <v>4</v>
      </c>
      <c r="E34" s="96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00" t="n">
        <v>2020</v>
      </c>
      <c r="E37" s="100" t="n">
        <v>2021</v>
      </c>
      <c r="F37" s="100" t="n">
        <v>2022</v>
      </c>
      <c r="G37" s="100" t="n">
        <v>2023</v>
      </c>
      <c r="H37" s="100" t="n">
        <v>2024</v>
      </c>
      <c r="I37" s="100" t="n">
        <v>2025</v>
      </c>
      <c r="J37" s="100" t="n">
        <v>2026</v>
      </c>
      <c r="K37" s="100" t="n">
        <v>2027</v>
      </c>
      <c r="L37" s="100" t="n">
        <v>2028</v>
      </c>
      <c r="M37" s="100" t="n">
        <v>2029</v>
      </c>
      <c r="N37" s="100" t="n">
        <v>2030</v>
      </c>
      <c r="O37" s="100" t="n">
        <v>2031</v>
      </c>
      <c r="P37" s="100" t="n">
        <v>2032</v>
      </c>
      <c r="Q37" s="100" t="n">
        <v>2033</v>
      </c>
      <c r="R37" s="100" t="n">
        <v>2034</v>
      </c>
      <c r="S37" s="100" t="n">
        <v>2035</v>
      </c>
      <c r="T37" s="100" t="n">
        <v>2036</v>
      </c>
      <c r="U37" s="100" t="n">
        <v>2037</v>
      </c>
      <c r="V37" s="100" t="n">
        <v>2038</v>
      </c>
      <c r="W37" s="100" t="n">
        <v>2039</v>
      </c>
    </row>
    <row r="45" customFormat="false" ht="15.75" hidden="false" customHeight="true" outlineLevel="0" collapsed="false">
      <c r="D45" s="100" t="n">
        <v>-290201</v>
      </c>
      <c r="E45" s="100" t="n">
        <v>-290201</v>
      </c>
      <c r="F45" s="100" t="n">
        <v>-290201</v>
      </c>
      <c r="G45" s="100" t="n">
        <v>-290201</v>
      </c>
      <c r="H45" s="100" t="n">
        <v>-290201</v>
      </c>
      <c r="I45" s="100" t="n">
        <v>-290201</v>
      </c>
      <c r="J45" s="100" t="n">
        <v>-290201</v>
      </c>
      <c r="K45" s="100" t="n">
        <v>-290201</v>
      </c>
      <c r="L45" s="100" t="n">
        <v>-290201</v>
      </c>
      <c r="M45" s="100" t="n">
        <v>-290201</v>
      </c>
      <c r="N45" s="100" t="n">
        <v>-290201</v>
      </c>
      <c r="O45" s="100" t="n">
        <v>-290201</v>
      </c>
      <c r="P45" s="100" t="n">
        <v>-290201</v>
      </c>
      <c r="Q45" s="100" t="n">
        <v>-290201</v>
      </c>
      <c r="R45" s="100" t="n">
        <v>-290201</v>
      </c>
      <c r="S45" s="100" t="n">
        <v>-290201</v>
      </c>
      <c r="T45" s="100" t="n">
        <v>-290201</v>
      </c>
      <c r="U45" s="100" t="n">
        <v>-290201</v>
      </c>
      <c r="V45" s="100" t="n">
        <v>-290201</v>
      </c>
      <c r="W45" s="100" t="n">
        <v>-290201</v>
      </c>
    </row>
    <row r="48" customFormat="false" ht="15.75" hidden="false" customHeight="true" outlineLevel="0" collapsed="false">
      <c r="D48" s="100" t="n">
        <v>-174440</v>
      </c>
      <c r="E48" s="100" t="n">
        <v>-174440</v>
      </c>
      <c r="F48" s="100" t="n">
        <v>-174440</v>
      </c>
      <c r="G48" s="100" t="n">
        <v>-174440</v>
      </c>
      <c r="H48" s="100" t="n">
        <v>-174440</v>
      </c>
      <c r="I48" s="100" t="n">
        <v>-174440</v>
      </c>
      <c r="J48" s="100" t="n">
        <v>-174440</v>
      </c>
      <c r="K48" s="100" t="n">
        <v>-174440</v>
      </c>
      <c r="L48" s="100" t="n">
        <v>-174440</v>
      </c>
      <c r="M48" s="100" t="n">
        <v>-174440</v>
      </c>
      <c r="N48" s="100" t="n">
        <v>-174440</v>
      </c>
      <c r="O48" s="100" t="n">
        <v>-174440</v>
      </c>
      <c r="P48" s="100" t="n">
        <v>-174440</v>
      </c>
      <c r="Q48" s="100" t="n">
        <v>-174440</v>
      </c>
      <c r="R48" s="100" t="n">
        <v>-174440</v>
      </c>
      <c r="S48" s="100" t="n">
        <v>-174440</v>
      </c>
      <c r="T48" s="100" t="n">
        <v>-174440</v>
      </c>
      <c r="U48" s="100" t="n">
        <v>-174440</v>
      </c>
      <c r="V48" s="100" t="n">
        <v>-174440</v>
      </c>
      <c r="W48" s="100" t="n">
        <v>-174440</v>
      </c>
    </row>
    <row r="49" customFormat="false" ht="15.75" hidden="false" customHeight="true" outlineLevel="0" collapsed="false">
      <c r="D49" s="100" t="n">
        <v>-43173.9</v>
      </c>
      <c r="E49" s="100" t="n">
        <v>-43173.9</v>
      </c>
      <c r="F49" s="100" t="n">
        <v>-43173.9</v>
      </c>
      <c r="G49" s="100" t="n">
        <v>-43173.9</v>
      </c>
      <c r="H49" s="100" t="n">
        <v>-43173.9</v>
      </c>
      <c r="I49" s="100" t="n">
        <v>-43173.9</v>
      </c>
      <c r="J49" s="100" t="n">
        <v>-43173.9</v>
      </c>
      <c r="K49" s="100" t="n">
        <v>-43173.9</v>
      </c>
      <c r="L49" s="100" t="n">
        <v>-43173.9</v>
      </c>
      <c r="M49" s="100" t="n">
        <v>-43173.9</v>
      </c>
      <c r="N49" s="100" t="n">
        <v>-43173.9</v>
      </c>
      <c r="O49" s="100" t="n">
        <v>-43173.9</v>
      </c>
      <c r="P49" s="100" t="n">
        <v>-43173.9</v>
      </c>
      <c r="Q49" s="100" t="n">
        <v>-43173.9</v>
      </c>
      <c r="R49" s="100" t="n">
        <v>-43173.9</v>
      </c>
      <c r="S49" s="100" t="n">
        <v>-43173.9</v>
      </c>
      <c r="T49" s="100" t="n">
        <v>-43173.9</v>
      </c>
      <c r="U49" s="100" t="n">
        <v>-43173.9</v>
      </c>
      <c r="V49" s="100" t="n">
        <v>-43173.9</v>
      </c>
      <c r="W49" s="100" t="n">
        <v>-43173.9</v>
      </c>
    </row>
    <row r="50" customFormat="false" ht="15.75" hidden="false" customHeight="true" outlineLevel="0" collapsed="false">
      <c r="D50" s="100" t="n">
        <v>-43610</v>
      </c>
      <c r="E50" s="100" t="n">
        <v>-43610</v>
      </c>
      <c r="F50" s="100" t="n">
        <v>-43610</v>
      </c>
      <c r="G50" s="100" t="n">
        <v>-43610</v>
      </c>
      <c r="H50" s="100" t="n">
        <v>-43610</v>
      </c>
      <c r="I50" s="100" t="n">
        <v>-43610</v>
      </c>
      <c r="J50" s="100" t="n">
        <v>-43610</v>
      </c>
      <c r="K50" s="100" t="n">
        <v>-43610</v>
      </c>
      <c r="L50" s="100" t="n">
        <v>-43610</v>
      </c>
      <c r="M50" s="100" t="n">
        <v>-43610</v>
      </c>
      <c r="N50" s="100" t="n">
        <v>0</v>
      </c>
      <c r="O50" s="100" t="n">
        <v>0</v>
      </c>
      <c r="P50" s="100" t="n">
        <v>0</v>
      </c>
      <c r="Q50" s="100" t="n">
        <v>0</v>
      </c>
      <c r="R50" s="100" t="n">
        <v>0</v>
      </c>
      <c r="S50" s="100" t="n">
        <v>0</v>
      </c>
      <c r="T50" s="100" t="n">
        <v>0</v>
      </c>
      <c r="U50" s="100" t="n">
        <v>0</v>
      </c>
      <c r="V50" s="100" t="n">
        <v>0</v>
      </c>
      <c r="W50" s="100" t="n">
        <v>0</v>
      </c>
    </row>
    <row r="54" customFormat="false" ht="15" hidden="false" customHeight="false" outlineLevel="0" collapsed="false">
      <c r="D54" s="0" t="n">
        <f aca="false">D77</f>
        <v>0</v>
      </c>
      <c r="E54" s="0" t="n">
        <f aca="false">E77</f>
        <v>0</v>
      </c>
      <c r="F54" s="0" t="n">
        <f aca="false">F77</f>
        <v>0</v>
      </c>
      <c r="G54" s="0" t="n">
        <f aca="false">G77</f>
        <v>0</v>
      </c>
      <c r="H54" s="0" t="n">
        <f aca="false">H77</f>
        <v>0</v>
      </c>
      <c r="I54" s="0" t="n">
        <f aca="false">I77</f>
        <v>0</v>
      </c>
      <c r="J54" s="0" t="n">
        <f aca="false">J77</f>
        <v>0</v>
      </c>
      <c r="K54" s="0" t="n">
        <f aca="false">K77</f>
        <v>0</v>
      </c>
      <c r="L54" s="0" t="n">
        <f aca="false">L77</f>
        <v>0</v>
      </c>
      <c r="M54" s="0" t="n">
        <f aca="false">M77</f>
        <v>0</v>
      </c>
      <c r="N54" s="0" t="n">
        <f aca="false">N77</f>
        <v>0</v>
      </c>
      <c r="O54" s="0" t="n">
        <f aca="false">O77</f>
        <v>0</v>
      </c>
      <c r="P54" s="0" t="n">
        <f aca="false">P77</f>
        <v>0</v>
      </c>
      <c r="Q54" s="0" t="n">
        <f aca="false">Q77</f>
        <v>0</v>
      </c>
      <c r="R54" s="0" t="n">
        <f aca="false">R77</f>
        <v>0</v>
      </c>
      <c r="S54" s="0" t="n">
        <f aca="false">S77</f>
        <v>0</v>
      </c>
      <c r="T54" s="0" t="n">
        <f aca="false">T77</f>
        <v>0</v>
      </c>
      <c r="U54" s="0" t="n">
        <f aca="false">U77</f>
        <v>0</v>
      </c>
      <c r="V54" s="0" t="n">
        <f aca="false">V77</f>
        <v>0</v>
      </c>
      <c r="W54" s="0" t="n">
        <f aca="false">W77</f>
        <v>0</v>
      </c>
    </row>
    <row r="70" customFormat="false" ht="15" hidden="false" customHeight="false" outlineLevel="0" collapsed="false"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24.56"/>
    <col collapsed="false" customWidth="true" hidden="false" outlineLevel="0" max="3" min="3" style="0" width="9.1"/>
    <col collapsed="false" customWidth="true" hidden="false" outlineLevel="0" max="5" min="5" style="0" width="45.49"/>
    <col collapsed="false" customWidth="true" hidden="false" outlineLevel="0" max="6" min="6" style="0" width="17.29"/>
    <col collapsed="false" customWidth="true" hidden="false" outlineLevel="0" max="13" min="13" style="0" width="45.49"/>
    <col collapsed="false" customWidth="true" hidden="false" outlineLevel="0" max="14" min="14" style="0" width="17.29"/>
    <col collapsed="false" customWidth="true" hidden="false" outlineLevel="0" max="20" min="20" style="0" width="9.1"/>
    <col collapsed="false" customWidth="true" hidden="false" outlineLevel="0" max="28" min="28" style="0" width="10.01"/>
    <col collapsed="false" customWidth="true" hidden="false" outlineLevel="0" max="35" min="35" style="0" width="29.63"/>
    <col collapsed="false" customWidth="true" hidden="false" outlineLevel="0" max="36" min="36" style="0" width="8.32"/>
  </cols>
  <sheetData>
    <row r="1" customFormat="false" ht="22.5" hidden="false" customHeight="true" outlineLevel="0" collapsed="false">
      <c r="A1" s="90" t="s">
        <v>63</v>
      </c>
      <c r="B1" s="90"/>
      <c r="C1" s="90"/>
      <c r="D1" s="90"/>
      <c r="E1" s="91" t="s">
        <v>64</v>
      </c>
      <c r="O1" s="92" t="n">
        <f aca="false">1-C11</f>
        <v>0.99</v>
      </c>
      <c r="P1" s="92" t="n">
        <f aca="false">O1-$C12</f>
        <v>0.986</v>
      </c>
      <c r="Q1" s="92" t="n">
        <f aca="false">P1-$C12</f>
        <v>0.982</v>
      </c>
      <c r="R1" s="92" t="n">
        <f aca="false">Q1-$C12</f>
        <v>0.978</v>
      </c>
      <c r="S1" s="92" t="n">
        <f aca="false">R1-$C12</f>
        <v>0.974</v>
      </c>
      <c r="T1" s="92" t="n">
        <f aca="false">S1-$C12</f>
        <v>0.97</v>
      </c>
      <c r="U1" s="92" t="n">
        <f aca="false">T1-$C12</f>
        <v>0.966</v>
      </c>
      <c r="V1" s="92" t="n">
        <f aca="false">U1-$C12</f>
        <v>0.962</v>
      </c>
      <c r="W1" s="92" t="n">
        <f aca="false">V1-$C12</f>
        <v>0.958</v>
      </c>
      <c r="X1" s="92" t="n">
        <f aca="false">W1-$C12</f>
        <v>0.954</v>
      </c>
      <c r="Y1" s="92" t="n">
        <f aca="false">X1-$C12</f>
        <v>0.95</v>
      </c>
      <c r="Z1" s="92" t="n">
        <f aca="false">Y1-$C12</f>
        <v>0.946</v>
      </c>
      <c r="AA1" s="92" t="n">
        <f aca="false">Z1-$C12</f>
        <v>0.942</v>
      </c>
      <c r="AB1" s="92" t="n">
        <f aca="false">AA1-$C12</f>
        <v>0.938</v>
      </c>
      <c r="AC1" s="92" t="n">
        <f aca="false">AB1-$C12</f>
        <v>0.934</v>
      </c>
      <c r="AD1" s="92" t="n">
        <f aca="false">AC1-$C12</f>
        <v>0.93</v>
      </c>
      <c r="AE1" s="92" t="n">
        <f aca="false">AD1-$C12</f>
        <v>0.926</v>
      </c>
      <c r="AF1" s="92" t="n">
        <f aca="false">AE1-$C12</f>
        <v>0.922</v>
      </c>
      <c r="AG1" s="92" t="n">
        <f aca="false">AF1-$C12</f>
        <v>0.918</v>
      </c>
      <c r="AH1" s="92" t="n">
        <f aca="false">AG1-$C12</f>
        <v>0.914</v>
      </c>
    </row>
    <row r="2" customFormat="false" ht="21.75" hidden="false" customHeight="true" outlineLevel="0" collapsed="false">
      <c r="A2" s="93" t="s">
        <v>65</v>
      </c>
      <c r="B2" s="94" t="s">
        <v>2</v>
      </c>
      <c r="C2" s="93" t="s">
        <v>2</v>
      </c>
      <c r="D2" s="95" t="s">
        <v>26</v>
      </c>
      <c r="E2" s="96" t="s">
        <v>66</v>
      </c>
    </row>
    <row r="3" customFormat="false" ht="21.75" hidden="false" customHeight="true" outlineLevel="0" collapsed="false">
      <c r="A3" s="97" t="s">
        <v>67</v>
      </c>
      <c r="B3" s="98" t="n">
        <v>20</v>
      </c>
      <c r="C3" s="97" t="n">
        <v>20</v>
      </c>
      <c r="D3" s="99" t="s">
        <v>26</v>
      </c>
      <c r="E3" s="96" t="s">
        <v>68</v>
      </c>
    </row>
    <row r="4" customFormat="false" ht="21.75" hidden="false" customHeight="true" outlineLevel="0" collapsed="false">
      <c r="A4" s="97" t="s">
        <v>69</v>
      </c>
      <c r="B4" s="98" t="n">
        <v>436.1</v>
      </c>
      <c r="C4" s="97" t="n">
        <v>436.1</v>
      </c>
      <c r="D4" s="99" t="s">
        <v>26</v>
      </c>
      <c r="E4" s="96" t="s">
        <v>70</v>
      </c>
      <c r="M4" s="100" t="s">
        <v>125</v>
      </c>
    </row>
    <row r="5" customFormat="false" ht="22.5" hidden="false" customHeight="true" outlineLevel="0" collapsed="false">
      <c r="A5" s="97" t="s">
        <v>72</v>
      </c>
      <c r="B5" s="98" t="n">
        <v>2020</v>
      </c>
      <c r="C5" s="97" t="n">
        <v>2020</v>
      </c>
      <c r="D5" s="99" t="n">
        <f aca="false">B5+B3-1</f>
        <v>2039</v>
      </c>
      <c r="E5" s="96" t="n">
        <v>2039</v>
      </c>
      <c r="M5" s="100" t="s">
        <v>126</v>
      </c>
    </row>
    <row r="6" customFormat="false" ht="20.25" hidden="false" customHeight="true" outlineLevel="0" collapsed="false">
      <c r="A6" s="101"/>
      <c r="B6" s="101"/>
      <c r="C6" s="101"/>
      <c r="D6" s="101"/>
      <c r="E6" s="102"/>
      <c r="M6" s="100" t="s">
        <v>127</v>
      </c>
    </row>
    <row r="7" customFormat="false" ht="22.5" hidden="false" customHeight="true" outlineLevel="0" collapsed="false">
      <c r="A7" s="90" t="s">
        <v>75</v>
      </c>
      <c r="B7" s="90"/>
      <c r="C7" s="90"/>
      <c r="D7" s="90"/>
      <c r="E7" s="102"/>
      <c r="M7" s="100" t="s">
        <v>128</v>
      </c>
    </row>
    <row r="8" customFormat="false" ht="22.5" hidden="false" customHeight="true" outlineLevel="0" collapsed="false">
      <c r="A8" s="103" t="s">
        <v>77</v>
      </c>
      <c r="B8" s="103"/>
      <c r="C8" s="103"/>
      <c r="D8" s="103"/>
      <c r="E8" s="102"/>
      <c r="M8" s="100" t="s">
        <v>129</v>
      </c>
    </row>
    <row r="9" customFormat="false" ht="22.5" hidden="false" customHeight="true" outlineLevel="0" collapsed="false">
      <c r="A9" s="104" t="s">
        <v>79</v>
      </c>
      <c r="B9" s="105" t="s">
        <v>80</v>
      </c>
      <c r="C9" s="105" t="s">
        <v>81</v>
      </c>
      <c r="D9" s="106" t="s">
        <v>82</v>
      </c>
      <c r="E9" s="91" t="s">
        <v>64</v>
      </c>
      <c r="M9" s="100" t="s">
        <v>83</v>
      </c>
    </row>
    <row r="10" customFormat="false" ht="30" hidden="false" customHeight="true" outlineLevel="0" collapsed="false">
      <c r="A10" s="107" t="s">
        <v>84</v>
      </c>
      <c r="B10" s="93" t="s">
        <v>85</v>
      </c>
      <c r="C10" s="108" t="n">
        <v>547002</v>
      </c>
      <c r="D10" s="109" t="n">
        <v>547002</v>
      </c>
      <c r="E10" s="96" t="n">
        <v>20</v>
      </c>
      <c r="M10" s="100" t="s">
        <v>130</v>
      </c>
    </row>
    <row r="11" customFormat="false" ht="30" hidden="false" customHeight="true" outlineLevel="0" collapsed="false">
      <c r="A11" s="107"/>
      <c r="B11" s="97" t="s">
        <v>87</v>
      </c>
      <c r="C11" s="110" t="n">
        <v>0.01</v>
      </c>
      <c r="D11" s="109"/>
      <c r="E11" s="96" t="s">
        <v>88</v>
      </c>
    </row>
    <row r="12" customFormat="false" ht="30" hidden="false" customHeight="true" outlineLevel="0" collapsed="false">
      <c r="A12" s="107"/>
      <c r="B12" s="97" t="s">
        <v>89</v>
      </c>
      <c r="C12" s="111" t="n">
        <v>0.004</v>
      </c>
      <c r="D12" s="109"/>
      <c r="E12" s="96" t="s">
        <v>90</v>
      </c>
    </row>
    <row r="13" customFormat="false" ht="22.5" hidden="false" customHeight="true" outlineLevel="0" collapsed="false">
      <c r="A13" s="107"/>
      <c r="B13" s="112" t="s">
        <v>91</v>
      </c>
      <c r="C13" s="113" t="n">
        <v>4</v>
      </c>
      <c r="D13" s="109"/>
      <c r="E13" s="96" t="s">
        <v>92</v>
      </c>
    </row>
    <row r="14" customFormat="false" ht="22.5" hidden="false" customHeight="true" outlineLevel="0" collapsed="false">
      <c r="A14" s="114" t="s">
        <v>93</v>
      </c>
      <c r="B14" s="114"/>
      <c r="C14" s="114"/>
      <c r="D14" s="114"/>
      <c r="E14" s="102"/>
    </row>
    <row r="15" customFormat="false" ht="22.5" hidden="false" customHeight="true" outlineLevel="0" collapsed="false">
      <c r="A15" s="104" t="s">
        <v>79</v>
      </c>
      <c r="B15" s="105" t="s">
        <v>80</v>
      </c>
      <c r="C15" s="105" t="s">
        <v>81</v>
      </c>
      <c r="D15" s="106" t="s">
        <v>94</v>
      </c>
      <c r="E15" s="91" t="s">
        <v>64</v>
      </c>
    </row>
    <row r="16" customFormat="false" ht="21.75" hidden="false" customHeight="true" outlineLevel="0" collapsed="false">
      <c r="A16" s="93" t="s">
        <v>95</v>
      </c>
      <c r="B16" s="93" t="s">
        <v>96</v>
      </c>
      <c r="C16" s="115" t="n">
        <v>35000</v>
      </c>
      <c r="D16" s="95" t="n">
        <v>31000</v>
      </c>
      <c r="E16" s="96" t="n">
        <v>20</v>
      </c>
    </row>
    <row r="17" customFormat="false" ht="21.75" hidden="false" customHeight="true" outlineLevel="0" collapsed="false">
      <c r="A17" s="93"/>
      <c r="B17" s="97" t="s">
        <v>97</v>
      </c>
      <c r="C17" s="98" t="n">
        <v>0.3</v>
      </c>
      <c r="D17" s="95"/>
      <c r="E17" s="96" t="s">
        <v>98</v>
      </c>
    </row>
    <row r="18" customFormat="false" ht="21.75" hidden="false" customHeight="true" outlineLevel="0" collapsed="false">
      <c r="A18" s="93"/>
      <c r="B18" s="97" t="s">
        <v>99</v>
      </c>
      <c r="C18" s="116" t="n">
        <v>2000</v>
      </c>
      <c r="D18" s="95"/>
      <c r="E18" s="96" t="s">
        <v>100</v>
      </c>
    </row>
    <row r="19" customFormat="false" ht="54" hidden="false" customHeight="true" outlineLevel="0" collapsed="false">
      <c r="A19" s="97" t="s">
        <v>101</v>
      </c>
      <c r="B19" s="117" t="s">
        <v>102</v>
      </c>
      <c r="C19" s="98" t="n">
        <v>1</v>
      </c>
      <c r="D19" s="95" t="n">
        <v>1</v>
      </c>
      <c r="E19" s="96" t="n">
        <v>0</v>
      </c>
    </row>
    <row r="20" customFormat="false" ht="20.25" hidden="false" customHeight="true" outlineLevel="0" collapsed="false">
      <c r="A20" s="97"/>
      <c r="B20" s="118" t="s">
        <v>103</v>
      </c>
      <c r="C20" s="116" t="n">
        <v>290201</v>
      </c>
      <c r="D20" s="95" t="n">
        <v>290201</v>
      </c>
      <c r="E20" s="96" t="n">
        <v>20</v>
      </c>
    </row>
    <row r="21" customFormat="false" ht="30" hidden="false" customHeight="true" outlineLevel="0" collapsed="false">
      <c r="A21" s="97"/>
      <c r="B21" s="97" t="s">
        <v>104</v>
      </c>
      <c r="C21" s="98"/>
      <c r="D21" s="99" t="n">
        <v>0</v>
      </c>
      <c r="E21" s="96" t="n">
        <v>0</v>
      </c>
    </row>
    <row r="22" customFormat="false" ht="30" hidden="false" customHeight="true" outlineLevel="0" collapsed="false">
      <c r="A22" s="97" t="s">
        <v>105</v>
      </c>
      <c r="B22" s="97" t="s">
        <v>106</v>
      </c>
      <c r="C22" s="116" t="n">
        <v>400</v>
      </c>
      <c r="D22" s="99" t="n">
        <v>400</v>
      </c>
      <c r="E22" s="96" t="n">
        <v>20</v>
      </c>
    </row>
    <row r="23" customFormat="false" ht="30" hidden="false" customHeight="true" outlineLevel="0" collapsed="false">
      <c r="A23" s="97" t="s">
        <v>107</v>
      </c>
      <c r="B23" s="97" t="s">
        <v>108</v>
      </c>
      <c r="C23" s="98" t="n">
        <v>0.003</v>
      </c>
      <c r="D23" s="99" t="n">
        <v>0.003</v>
      </c>
      <c r="E23" s="96" t="n">
        <v>20</v>
      </c>
    </row>
    <row r="24" customFormat="false" ht="30" hidden="false" customHeight="true" outlineLevel="0" collapsed="false">
      <c r="A24" s="97" t="s">
        <v>109</v>
      </c>
      <c r="B24" s="97" t="s">
        <v>110</v>
      </c>
      <c r="C24" s="116" t="n">
        <v>1000</v>
      </c>
      <c r="D24" s="119" t="n">
        <v>1000</v>
      </c>
      <c r="E24" s="96" t="n">
        <v>10</v>
      </c>
    </row>
    <row r="25" customFormat="false" ht="30" hidden="false" customHeight="true" outlineLevel="0" collapsed="false">
      <c r="A25" s="97" t="s">
        <v>111</v>
      </c>
      <c r="B25" s="97" t="s">
        <v>112</v>
      </c>
      <c r="C25" s="111" t="n">
        <v>0.0256</v>
      </c>
      <c r="D25" s="99" t="n">
        <v>0.0256</v>
      </c>
      <c r="E25" s="96" t="n">
        <v>0</v>
      </c>
    </row>
    <row r="26" customFormat="false" ht="30" hidden="false" customHeight="true" outlineLevel="0" collapsed="false">
      <c r="A26" s="97" t="s">
        <v>14</v>
      </c>
      <c r="B26" s="97" t="s">
        <v>113</v>
      </c>
      <c r="C26" s="98" t="n">
        <v>0.2</v>
      </c>
      <c r="D26" s="99" t="n">
        <v>0.2</v>
      </c>
      <c r="E26" s="96" t="n">
        <v>0</v>
      </c>
    </row>
    <row r="27" customFormat="false" ht="20.25" hidden="false" customHeight="true" outlineLevel="0" collapsed="false">
      <c r="A27" s="101"/>
      <c r="B27" s="101"/>
      <c r="C27" s="101"/>
      <c r="D27" s="101"/>
      <c r="E27" s="102"/>
    </row>
    <row r="28" customFormat="false" ht="20.25" hidden="false" customHeight="true" outlineLevel="0" collapsed="false">
      <c r="A28" s="101"/>
      <c r="B28" s="101"/>
      <c r="C28" s="101"/>
      <c r="D28" s="101"/>
      <c r="E28" s="102"/>
    </row>
    <row r="29" customFormat="false" ht="22.5" hidden="false" customHeight="true" outlineLevel="0" collapsed="false">
      <c r="A29" s="90" t="s">
        <v>114</v>
      </c>
      <c r="B29" s="90"/>
      <c r="C29" s="90"/>
      <c r="D29" s="101"/>
      <c r="E29" s="102"/>
    </row>
    <row r="30" customFormat="false" ht="22.5" hidden="false" customHeight="true" outlineLevel="0" collapsed="false">
      <c r="A30" s="104" t="s">
        <v>115</v>
      </c>
      <c r="B30" s="105" t="s">
        <v>80</v>
      </c>
      <c r="C30" s="120" t="s">
        <v>81</v>
      </c>
      <c r="D30" s="101"/>
      <c r="E30" s="91" t="s">
        <v>64</v>
      </c>
    </row>
    <row r="31" customFormat="false" ht="30" hidden="false" customHeight="true" outlineLevel="0" collapsed="false">
      <c r="A31" s="93" t="s">
        <v>116</v>
      </c>
      <c r="B31" s="93" t="s">
        <v>117</v>
      </c>
      <c r="C31" s="121" t="n">
        <v>0.8</v>
      </c>
      <c r="D31" s="101" t="n">
        <v>0.8</v>
      </c>
      <c r="E31" s="96" t="s">
        <v>118</v>
      </c>
    </row>
    <row r="32" customFormat="false" ht="18.75" hidden="false" customHeight="true" outlineLevel="0" collapsed="false">
      <c r="A32" s="93" t="s">
        <v>119</v>
      </c>
      <c r="B32" s="93" t="s">
        <v>120</v>
      </c>
      <c r="C32" s="121" t="n">
        <v>15</v>
      </c>
      <c r="D32" s="101" t="n">
        <v>15</v>
      </c>
      <c r="E32" s="96" t="s">
        <v>121</v>
      </c>
    </row>
    <row r="33" customFormat="false" ht="18.75" hidden="false" customHeight="true" outlineLevel="0" collapsed="false">
      <c r="A33" s="97" t="s">
        <v>53</v>
      </c>
      <c r="B33" s="97" t="s">
        <v>122</v>
      </c>
      <c r="C33" s="98" t="n">
        <v>0.9</v>
      </c>
      <c r="D33" s="101" t="n">
        <v>0.9</v>
      </c>
      <c r="E33" s="96" t="s">
        <v>123</v>
      </c>
    </row>
    <row r="34" customFormat="false" ht="30" hidden="false" customHeight="true" outlineLevel="0" collapsed="false">
      <c r="A34" s="97" t="s">
        <v>54</v>
      </c>
      <c r="B34" s="97" t="s">
        <v>120</v>
      </c>
      <c r="C34" s="98" t="n">
        <v>4</v>
      </c>
      <c r="D34" s="101" t="n">
        <v>4</v>
      </c>
      <c r="E34" s="96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00" t="n">
        <v>2020</v>
      </c>
      <c r="E37" s="100" t="n">
        <v>2021</v>
      </c>
      <c r="F37" s="100" t="n">
        <v>2022</v>
      </c>
      <c r="G37" s="100" t="n">
        <v>2023</v>
      </c>
      <c r="H37" s="100" t="n">
        <v>2024</v>
      </c>
      <c r="I37" s="100" t="n">
        <v>2025</v>
      </c>
      <c r="J37" s="100" t="n">
        <v>2026</v>
      </c>
      <c r="K37" s="100" t="n">
        <v>2027</v>
      </c>
      <c r="L37" s="100" t="n">
        <v>2028</v>
      </c>
      <c r="M37" s="100" t="n">
        <v>2029</v>
      </c>
      <c r="N37" s="100" t="n">
        <v>2030</v>
      </c>
      <c r="O37" s="100" t="n">
        <v>2031</v>
      </c>
      <c r="P37" s="100" t="n">
        <v>2032</v>
      </c>
      <c r="Q37" s="100" t="n">
        <v>2033</v>
      </c>
      <c r="R37" s="100" t="n">
        <v>2034</v>
      </c>
      <c r="S37" s="100" t="n">
        <v>2035</v>
      </c>
      <c r="T37" s="100" t="n">
        <v>2036</v>
      </c>
      <c r="U37" s="100" t="n">
        <v>2037</v>
      </c>
      <c r="V37" s="100" t="n">
        <v>2038</v>
      </c>
      <c r="W37" s="100" t="n">
        <v>2039</v>
      </c>
    </row>
    <row r="45" customFormat="false" ht="15.75" hidden="false" customHeight="true" outlineLevel="0" collapsed="false">
      <c r="D45" s="100" t="n">
        <v>-290201</v>
      </c>
      <c r="E45" s="100" t="n">
        <v>-290201</v>
      </c>
      <c r="F45" s="100" t="n">
        <v>-290201</v>
      </c>
      <c r="G45" s="100" t="n">
        <v>-290201</v>
      </c>
      <c r="H45" s="100" t="n">
        <v>-290201</v>
      </c>
      <c r="I45" s="100" t="n">
        <v>-290201</v>
      </c>
      <c r="J45" s="100" t="n">
        <v>-290201</v>
      </c>
      <c r="K45" s="100" t="n">
        <v>-290201</v>
      </c>
      <c r="L45" s="100" t="n">
        <v>-290201</v>
      </c>
      <c r="M45" s="100" t="n">
        <v>-290201</v>
      </c>
      <c r="N45" s="100" t="n">
        <v>-290201</v>
      </c>
      <c r="O45" s="100" t="n">
        <v>-290201</v>
      </c>
      <c r="P45" s="100" t="n">
        <v>-290201</v>
      </c>
      <c r="Q45" s="100" t="n">
        <v>-290201</v>
      </c>
      <c r="R45" s="100" t="n">
        <v>-290201</v>
      </c>
      <c r="S45" s="100" t="n">
        <v>-290201</v>
      </c>
      <c r="T45" s="100" t="n">
        <v>-290201</v>
      </c>
      <c r="U45" s="100" t="n">
        <v>-290201</v>
      </c>
      <c r="V45" s="100" t="n">
        <v>-290201</v>
      </c>
      <c r="W45" s="100" t="n">
        <v>-290201</v>
      </c>
    </row>
    <row r="48" customFormat="false" ht="15.75" hidden="false" customHeight="true" outlineLevel="0" collapsed="false">
      <c r="D48" s="100" t="n">
        <v>-174440</v>
      </c>
      <c r="E48" s="100" t="n">
        <v>-174440</v>
      </c>
      <c r="F48" s="100" t="n">
        <v>-174440</v>
      </c>
      <c r="G48" s="100" t="n">
        <v>-174440</v>
      </c>
      <c r="H48" s="100" t="n">
        <v>-174440</v>
      </c>
      <c r="I48" s="100" t="n">
        <v>-174440</v>
      </c>
      <c r="J48" s="100" t="n">
        <v>-174440</v>
      </c>
      <c r="K48" s="100" t="n">
        <v>-174440</v>
      </c>
      <c r="L48" s="100" t="n">
        <v>-174440</v>
      </c>
      <c r="M48" s="100" t="n">
        <v>-174440</v>
      </c>
      <c r="N48" s="100" t="n">
        <v>-174440</v>
      </c>
      <c r="O48" s="100" t="n">
        <v>-174440</v>
      </c>
      <c r="P48" s="100" t="n">
        <v>-174440</v>
      </c>
      <c r="Q48" s="100" t="n">
        <v>-174440</v>
      </c>
      <c r="R48" s="100" t="n">
        <v>-174440</v>
      </c>
      <c r="S48" s="100" t="n">
        <v>-174440</v>
      </c>
      <c r="T48" s="100" t="n">
        <v>-174440</v>
      </c>
      <c r="U48" s="100" t="n">
        <v>-174440</v>
      </c>
      <c r="V48" s="100" t="n">
        <v>-174440</v>
      </c>
      <c r="W48" s="100" t="n">
        <v>-174440</v>
      </c>
    </row>
    <row r="49" customFormat="false" ht="15.75" hidden="false" customHeight="true" outlineLevel="0" collapsed="false">
      <c r="D49" s="100" t="n">
        <v>-40557.3</v>
      </c>
      <c r="E49" s="100" t="n">
        <v>-40557.3</v>
      </c>
      <c r="F49" s="100" t="n">
        <v>-40557.3</v>
      </c>
      <c r="G49" s="100" t="n">
        <v>-40557.3</v>
      </c>
      <c r="H49" s="100" t="n">
        <v>-40557.3</v>
      </c>
      <c r="I49" s="100" t="n">
        <v>-40557.3</v>
      </c>
      <c r="J49" s="100" t="n">
        <v>-40557.3</v>
      </c>
      <c r="K49" s="100" t="n">
        <v>-40557.3</v>
      </c>
      <c r="L49" s="100" t="n">
        <v>-40557.3</v>
      </c>
      <c r="M49" s="100" t="n">
        <v>-40557.3</v>
      </c>
      <c r="N49" s="100" t="n">
        <v>-40557.3</v>
      </c>
      <c r="O49" s="100" t="n">
        <v>-40557.3</v>
      </c>
      <c r="P49" s="100" t="n">
        <v>-40557.3</v>
      </c>
      <c r="Q49" s="100" t="n">
        <v>-40557.3</v>
      </c>
      <c r="R49" s="100" t="n">
        <v>-40557.3</v>
      </c>
      <c r="S49" s="100" t="n">
        <v>-40557.3</v>
      </c>
      <c r="T49" s="100" t="n">
        <v>-40557.3</v>
      </c>
      <c r="U49" s="100" t="n">
        <v>-40557.3</v>
      </c>
      <c r="V49" s="100" t="n">
        <v>-40557.3</v>
      </c>
      <c r="W49" s="100" t="n">
        <v>-40557.3</v>
      </c>
    </row>
    <row r="50" customFormat="false" ht="15.75" hidden="false" customHeight="true" outlineLevel="0" collapsed="false">
      <c r="D50" s="100" t="n">
        <v>-43610</v>
      </c>
      <c r="E50" s="100" t="n">
        <v>-43610</v>
      </c>
      <c r="F50" s="100" t="n">
        <v>-43610</v>
      </c>
      <c r="G50" s="100" t="n">
        <v>-43610</v>
      </c>
      <c r="H50" s="100" t="n">
        <v>-43610</v>
      </c>
      <c r="I50" s="100" t="n">
        <v>-43610</v>
      </c>
      <c r="J50" s="100" t="n">
        <v>-43610</v>
      </c>
      <c r="K50" s="100" t="n">
        <v>-43610</v>
      </c>
      <c r="L50" s="100" t="n">
        <v>-43610</v>
      </c>
      <c r="M50" s="100" t="n">
        <v>-43610</v>
      </c>
      <c r="N50" s="100" t="n">
        <v>0</v>
      </c>
      <c r="O50" s="100" t="n">
        <v>0</v>
      </c>
      <c r="P50" s="100" t="n">
        <v>0</v>
      </c>
      <c r="Q50" s="100" t="n">
        <v>0</v>
      </c>
      <c r="R50" s="100" t="n">
        <v>0</v>
      </c>
      <c r="S50" s="100" t="n">
        <v>0</v>
      </c>
      <c r="T50" s="100" t="n">
        <v>0</v>
      </c>
      <c r="U50" s="100" t="n">
        <v>0</v>
      </c>
      <c r="V50" s="100" t="n">
        <v>0</v>
      </c>
      <c r="W50" s="100" t="n">
        <v>0</v>
      </c>
    </row>
    <row r="54" customFormat="false" ht="15" hidden="false" customHeight="false" outlineLevel="0" collapsed="false">
      <c r="D54" s="0" t="n">
        <f aca="false">D77</f>
        <v>0</v>
      </c>
      <c r="E54" s="0" t="n">
        <f aca="false">E77</f>
        <v>0</v>
      </c>
      <c r="F54" s="0" t="n">
        <f aca="false">F77</f>
        <v>0</v>
      </c>
      <c r="G54" s="0" t="n">
        <f aca="false">G77</f>
        <v>0</v>
      </c>
      <c r="H54" s="0" t="n">
        <f aca="false">H77</f>
        <v>0</v>
      </c>
      <c r="I54" s="0" t="n">
        <f aca="false">I77</f>
        <v>0</v>
      </c>
      <c r="J54" s="0" t="n">
        <f aca="false">J77</f>
        <v>0</v>
      </c>
      <c r="K54" s="0" t="n">
        <f aca="false">K77</f>
        <v>0</v>
      </c>
      <c r="L54" s="0" t="n">
        <f aca="false">L77</f>
        <v>0</v>
      </c>
      <c r="M54" s="0" t="n">
        <f aca="false">M77</f>
        <v>0</v>
      </c>
      <c r="N54" s="0" t="n">
        <f aca="false">N77</f>
        <v>0</v>
      </c>
      <c r="O54" s="0" t="n">
        <f aca="false">O77</f>
        <v>0</v>
      </c>
      <c r="P54" s="0" t="n">
        <f aca="false">P77</f>
        <v>0</v>
      </c>
      <c r="Q54" s="0" t="n">
        <f aca="false">Q77</f>
        <v>0</v>
      </c>
      <c r="R54" s="0" t="n">
        <f aca="false">R77</f>
        <v>0</v>
      </c>
      <c r="S54" s="0" t="n">
        <f aca="false">S77</f>
        <v>0</v>
      </c>
      <c r="T54" s="0" t="n">
        <f aca="false">T77</f>
        <v>0</v>
      </c>
      <c r="U54" s="0" t="n">
        <f aca="false">U77</f>
        <v>0</v>
      </c>
      <c r="V54" s="0" t="n">
        <f aca="false">V77</f>
        <v>0</v>
      </c>
      <c r="W54" s="0" t="n">
        <f aca="false">W77</f>
        <v>0</v>
      </c>
    </row>
    <row r="70" customFormat="false" ht="15" hidden="false" customHeight="false" outlineLevel="0" collapsed="false"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2026-04-13T15:33:42Z</dcterms:created>
  <dc:creator>openpyxl</dc:creator>
  <dc:description/>
  <dc:language>zh-TW</dc:language>
  <cp:lastModifiedBy/>
  <dcterms:modified xsi:type="dcterms:W3CDTF">2026-04-13T15:33:46Z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