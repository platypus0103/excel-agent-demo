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滾算紀錄1" sheetId="3" state="visible" r:id="rId5"/>
    <sheet name="滾算紀錄2" sheetId="4" state="visible" r:id="rId6"/>
    <sheet name="滾算紀錄3" sheetId="5" state="visible" r:id="rId7"/>
    <sheet name="滾算紀錄4" sheetId="6" state="visible" r:id="rId8"/>
    <sheet name="滾算紀錄5" sheetId="7" state="visible" r:id="rId9"/>
    <sheet name="滾算紀錄6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<sst xmlns="http://schemas.openxmlformats.org/spreadsheetml/2006/main" count="1201" uniqueCount="140">
  <si>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</si>
  <si>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</si>
  <si>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</si>
  <si>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</si>
  <si>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</si>
  <si>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</si>
  <si>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</si>
  <si>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</si>
  <si>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</si>
  <si>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</si>
  <si>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</si>
  <si>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</si>
  <si>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</si>
  <si>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</si>
  <si>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</si>
  <si>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</si>
  <si>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</si>
  <si>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</si>
  <si>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</si>
  <si>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</si>
  <si>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</si>
  <si>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</si>
  <si>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</si>
  <si>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</si>
  <si>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</si>
  <si>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</si>
  <si>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</si>
  <si>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</si>
  <si>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</si>
  <si>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</si>
  <si>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</si>
  <si>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</si>
  <si>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</si>
  <si>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</si>
  <si>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</si>
  <si>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</si>
  <si>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</si>
  <si>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</si>
  <si>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</si>
  <si>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</si>
  <si>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</si>
  <si>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</si>
  <si>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</si>
  <si>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</si>
  <si>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</si>
  <si>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</si>
  <si>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</si>
  <si>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</si>
  <si>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</si>
  <si>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</si>
  <si>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</si>
  <si>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</si>
  <si>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</si>
  <si>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</si>
  <si>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</si>
  <si>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</si>
  <si>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</si>
  <si>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</si>
  <si>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</si>
  <si>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</si>
  <si>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</si>
  <si>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</si>
  <si>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</si>
  <si>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</si>
  <si>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</si>
  <si>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</si>
  <si>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</si>
  <si>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</si>
  <si>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</si>
  <si>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</si>
  <si>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</si>
  <si>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</si>
  <si>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</si>
  <si>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</si>
  <si>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</si>
  <si>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</si>
  <si>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</si>
  <si>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</si>
  <si>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</si>
  <si>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</si>
  <si>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</si>
  <si>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</si>
  <si>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</si>
  <si>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</si>
  <si>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</si>
  <si>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</si>
  <si>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</si>
  <si>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</si>
  <si>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</si>
  <si>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</si>
  <si>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</si>
  <si>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</si>
  <si>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自訂模式，自動或手動配置步幅，邊界值 20000 元</t>
  </si>
  <si>
    <t xml:space="preserve">第1次滾算，減少 3420 元 - 自訂模式，自動或手動配置步幅</t>
  </si>
  <si>
    <t xml:space="preserve">第2次滾算，減少 2686 元 - 自訂模式，自動或手動配置步幅</t>
  </si>
  <si>
    <t xml:space="preserve">第3次滾算，減少 2746 元 - 自訂模式，自動或手動配置步幅</t>
  </si>
  <si>
    <t xml:space="preserve">第4次滾算，減少 2874 元 - 自訂模式，自動或手動配置步幅</t>
  </si>
  <si>
    <t xml:space="preserve">第5次滾算，減少 3274 元 - 自訂模式，自動或手動配置步幅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</si>
  <si>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</si>
  <si>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滾算紀錄編號: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</si>
  <si>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</si>
  <si>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</si>
  <si>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</si>
  <si>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</si>
  <si>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</si>
  <si>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</si>
  <si>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自訂模式，自動或手動配置步幅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</si>
  <si>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</si>
  <si>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</si>
  <si>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</si>
  <si>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</si>
  <si>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</si>
  <si>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</si>
  <si>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</si>
  <si>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</si>
  <si>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滾算紀錄編號: 2</t>
  </si>
  <si>
    <t xml:space="preserve">第1次滾算摘要</t>
  </si>
  <si>
    <t xml:space="preserve">價金: 31580</t>
  </si>
  <si>
    <t xml:space="preserve">專案IRR: 2.56</t>
  </si>
  <si>
    <t xml:space="preserve">權益法IRR: 3.92</t>
  </si>
  <si>
    <t xml:space="preserve">滾算紀錄編號: 3</t>
  </si>
  <si>
    <t xml:space="preserve">第2次滾算摘要</t>
  </si>
  <si>
    <t xml:space="preserve">價金: 28894</t>
  </si>
  <si>
    <t xml:space="preserve">專案IRR: 3.36</t>
  </si>
  <si>
    <t xml:space="preserve">權益法IRR: 6.48</t>
  </si>
  <si>
    <t xml:space="preserve">滾算紀錄編號: 4</t>
  </si>
  <si>
    <t xml:space="preserve">第3次滾算摘要</t>
  </si>
  <si>
    <t xml:space="preserve">價金: 26148</t>
  </si>
  <si>
    <t xml:space="preserve">專案IRR: 4.3</t>
  </si>
  <si>
    <t xml:space="preserve">權益法IRR: 9.76</t>
  </si>
  <si>
    <t xml:space="preserve">滾算紀錄編號: 5</t>
  </si>
  <si>
    <t xml:space="preserve">第4次滾算摘要</t>
  </si>
  <si>
    <t xml:space="preserve">價金: 23274</t>
  </si>
  <si>
    <t xml:space="preserve">專案IRR: 5.45</t>
  </si>
  <si>
    <t xml:space="preserve">權益法IRR: 14.28</t>
  </si>
  <si>
    <t xml:space="preserve">滾算紀錄編號: 6</t>
  </si>
  <si>
    <t xml:space="preserve">第5次滾算摘要</t>
  </si>
  <si>
    <t xml:space="preserve">價金: 20000</t>
  </si>
  <si>
    <t xml:space="preserve">專案IRR: 7.05</t>
  </si>
  <si>
    <t xml:space="preserve">權益法IRR: 21.86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</si>
</sst>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31580</v>
      </c>
      <c r="C3" s="109" t="n">
        <v>0.0256</v>
      </c>
      <c r="D3" s="109" t="n">
        <v>0.0371</v>
      </c>
      <c r="E3" s="109" t="n">
        <v>0.0392</v>
      </c>
      <c r="F3" s="109" t="n">
        <v>0.3</v>
      </c>
      <c r="G3" s="0" t="n">
        <v>5902177.4</v>
      </c>
      <c r="H3" s="0" t="n">
        <v>13534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28894</v>
      </c>
      <c r="C4" s="109" t="n">
        <v>0.0336</v>
      </c>
      <c r="D4" s="109" t="n">
        <v>0.0592</v>
      </c>
      <c r="E4" s="109" t="n">
        <v>0.0648</v>
      </c>
      <c r="F4" s="109" t="n">
        <v>0.3</v>
      </c>
      <c r="G4" s="0" t="n">
        <v>5400226.3</v>
      </c>
      <c r="H4" s="0" t="n">
        <v>12383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26148</v>
      </c>
      <c r="C5" s="109" t="n">
        <v>0.043</v>
      </c>
      <c r="D5" s="109" t="n">
        <v>0.0853</v>
      </c>
      <c r="E5" s="109" t="n">
        <v>0.0976</v>
      </c>
      <c r="F5" s="109" t="n">
        <v>0.3</v>
      </c>
      <c r="G5" s="0" t="n">
        <v>4886936.6</v>
      </c>
      <c r="H5" s="0" t="n">
        <v>11206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23274</v>
      </c>
      <c r="C6" s="109" t="n">
        <v>0.0545</v>
      </c>
      <c r="D6" s="109" t="n">
        <v>0.1182</v>
      </c>
      <c r="E6" s="109" t="n">
        <v>0.1428</v>
      </c>
      <c r="F6" s="109" t="n">
        <v>0.3</v>
      </c>
      <c r="G6" s="0" t="n">
        <v>4350097.5</v>
      </c>
      <c r="H6" s="0" t="n">
        <v>9975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20000</v>
      </c>
      <c r="C7" s="109" t="n">
        <v>0.0705</v>
      </c>
      <c r="D7" s="109" t="n">
        <v>0.1665</v>
      </c>
      <c r="E7" s="109" t="n">
        <v>0.2186</v>
      </c>
      <c r="F7" s="109" t="n">
        <v>0.3</v>
      </c>
      <c r="G7" s="0" t="n">
        <v>3737813.1</v>
      </c>
      <c r="H7" s="0" t="n">
        <v>8571</v>
      </c>
      <c r="I7" s="0" t="n">
        <v>3000</v>
      </c>
      <c r="J7" s="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41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99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100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101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102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103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106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118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119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31580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-20982640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-41316.114</v>
      </c>
      <c r="E49" s="170" t="n">
        <v>-41316.114</v>
      </c>
      <c r="F49" s="170" t="n">
        <v>-41316.114</v>
      </c>
      <c r="G49" s="170" t="n">
        <v>-41316.114</v>
      </c>
      <c r="H49" s="170" t="n">
        <v>-41316.114</v>
      </c>
      <c r="I49" s="170" t="n">
        <v>-41316.114</v>
      </c>
      <c r="J49" s="170" t="n">
        <v>-41316.114</v>
      </c>
      <c r="K49" s="170" t="n">
        <v>-41316.114</v>
      </c>
      <c r="L49" s="170" t="n">
        <v>-41316.114</v>
      </c>
      <c r="M49" s="170" t="n">
        <v>-41316.114</v>
      </c>
      <c r="N49" s="170" t="n">
        <v>-41316.114</v>
      </c>
      <c r="O49" s="170" t="n">
        <v>-41316.114</v>
      </c>
      <c r="P49" s="170" t="n">
        <v>-41316.114</v>
      </c>
      <c r="Q49" s="170" t="n">
        <v>-41316.114</v>
      </c>
      <c r="R49" s="170" t="n">
        <v>-41316.114</v>
      </c>
      <c r="S49" s="170" t="n">
        <v>-41316.114</v>
      </c>
      <c r="T49" s="170" t="n">
        <v>-41316.114</v>
      </c>
      <c r="U49" s="170" t="n">
        <v>-41316.114</v>
      </c>
      <c r="V49" s="170" t="n">
        <v>-41316.114</v>
      </c>
      <c r="W49" s="170" t="n">
        <v>-41316.114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-140680.2996192</v>
      </c>
      <c r="E54" s="170" t="n">
        <f aca="false">-(E64+E67+E68+E71+E72+E73+E74)*0.2</f>
        <v>-81014.3221548799</v>
      </c>
      <c r="F54" s="170" t="n">
        <f aca="false">-(F64+F67+F68+F71+F72+F73+F74)*0.2</f>
        <v>-79388.54469056</v>
      </c>
      <c r="G54" s="170" t="n">
        <f aca="false">-(G64+G67+G68+G71+G72+G73+G74)*0.2</f>
        <v>-77762.76722624</v>
      </c>
      <c r="H54" s="170" t="n">
        <f aca="false">-(H64+H67+H68+H71+H72+H73+H74)*0.2</f>
        <v>-76136.9897619199</v>
      </c>
      <c r="I54" s="170" t="n">
        <f aca="false">-(I64+I67+I68+I71+I72+I73+I74)*0.2</f>
        <v>-74511.2122975999</v>
      </c>
      <c r="J54" s="170" t="n">
        <f aca="false">-(J64+J67+J68+J71+J72+J73+J74)*0.2</f>
        <v>-72885.43483328</v>
      </c>
      <c r="K54" s="170" t="n">
        <f aca="false">-(K64+K67+K68+K71+K72+K73+K74)*0.2</f>
        <v>-71259.6573689599</v>
      </c>
      <c r="L54" s="170" t="n">
        <f aca="false">-(L64+L67+L68+L71+L72+L73+L74)*0.2</f>
        <v>-69633.8799046399</v>
      </c>
      <c r="M54" s="170" t="n">
        <f aca="false">-(M64+M67+M68+M71+M72+M73+M74)*0.2</f>
        <v>-68008.1024403199</v>
      </c>
      <c r="N54" s="170" t="n">
        <f aca="false">-(N64+N67+N68+N71+N72+N73+N74)*0.2</f>
        <v>-75104.3249759999</v>
      </c>
      <c r="O54" s="170" t="n">
        <f aca="false">-(O64+O67+O68+O71+O72+O73+O74)*0.2</f>
        <v>-73478.5475116799</v>
      </c>
      <c r="P54" s="170" t="n">
        <f aca="false">-(P64+P67+P68+P71+P72+P73+P74)*0.2</f>
        <v>-71852.7700473599</v>
      </c>
      <c r="Q54" s="170" t="n">
        <f aca="false">-(Q64+Q67+Q68+Q71+Q72+Q73+Q74)*0.2</f>
        <v>-70226.9925830399</v>
      </c>
      <c r="R54" s="170" t="n">
        <f aca="false">-(R64+R67+R68+R71+R72+R73+R74)*0.2</f>
        <v>-68601.2151187199</v>
      </c>
      <c r="S54" s="170" t="n">
        <f aca="false">-(S64+S67+S68+S71+S72+S73+S74)*0.2</f>
        <v>-66975.4376543999</v>
      </c>
      <c r="T54" s="170" t="n">
        <f aca="false">-(T64+T67+T68+T71+T72+T73+T74)*0.2</f>
        <v>-65349.6601900799</v>
      </c>
      <c r="U54" s="170" t="n">
        <f aca="false">-(U64+U67+U68+U71+U72+U73+U74)*0.2</f>
        <v>-63723.8827257599</v>
      </c>
      <c r="V54" s="170" t="n">
        <f aca="false">-(V64+V67+V68+V71+V72+V73+V74)*0.2</f>
        <v>-62098.1052614399</v>
      </c>
      <c r="W54" s="170" t="n">
        <f aca="false">-(W64+W67+W68+W71+W72+W73+W74)*0.2</f>
        <v>-60472.3277971199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-20982640</v>
      </c>
      <c r="D55" s="175" t="n">
        <f aca="false">SUM(D41:D54)</f>
        <v>1611853.1984768</v>
      </c>
      <c r="E55" s="175" t="n">
        <f aca="false">SUM(E41:E54)</f>
        <v>1373189.28861952</v>
      </c>
      <c r="F55" s="175" t="n">
        <f aca="false">SUM(F41:F54)</f>
        <v>1366686.17876224</v>
      </c>
      <c r="G55" s="175" t="n">
        <f aca="false">SUM(G41:G54)</f>
        <v>1360183.06890496</v>
      </c>
      <c r="H55" s="175" t="n">
        <f aca="false">SUM(H41:H54)</f>
        <v>1353679.95904768</v>
      </c>
      <c r="I55" s="175" t="n">
        <f aca="false">SUM(I41:I54)</f>
        <v>1347176.8491904</v>
      </c>
      <c r="J55" s="175" t="n">
        <f aca="false">SUM(J41:J54)</f>
        <v>1340673.73933312</v>
      </c>
      <c r="K55" s="175" t="n">
        <f aca="false">SUM(K41:K54)</f>
        <v>1334170.62947584</v>
      </c>
      <c r="L55" s="175" t="n">
        <f aca="false">SUM(L41:L54)</f>
        <v>1327667.51961856</v>
      </c>
      <c r="M55" s="175" t="n">
        <f aca="false">SUM(M41:M54)</f>
        <v>1321164.40976128</v>
      </c>
      <c r="N55" s="175" t="n">
        <f aca="false">SUM(N41:N54)</f>
        <v>1349549.299904</v>
      </c>
      <c r="O55" s="175" t="n">
        <f aca="false">SUM(O41:O54)</f>
        <v>1343046.19004672</v>
      </c>
      <c r="P55" s="175" t="n">
        <f aca="false">SUM(P41:P54)</f>
        <v>1336543.08018944</v>
      </c>
      <c r="Q55" s="175" t="n">
        <f aca="false">SUM(Q41:Q54)</f>
        <v>1330039.97033216</v>
      </c>
      <c r="R55" s="175" t="n">
        <f aca="false">SUM(R41:R54)</f>
        <v>1323536.86047488</v>
      </c>
      <c r="S55" s="175" t="n">
        <f aca="false">SUM(S41:S54)</f>
        <v>1317033.7506176</v>
      </c>
      <c r="T55" s="175" t="n">
        <f aca="false">SUM(T41:T54)</f>
        <v>1310530.64076032</v>
      </c>
      <c r="U55" s="175" t="n">
        <f aca="false">SUM(U41:U54)</f>
        <v>1304027.53090304</v>
      </c>
      <c r="V55" s="175" t="n">
        <f aca="false">SUM(V41:V54)</f>
        <v>1297524.42104576</v>
      </c>
      <c r="W55" s="175" t="n">
        <f aca="false">SUM(W41:W54)</f>
        <v>1291021.31118848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-19370786.8015232</v>
      </c>
      <c r="E56" s="180" t="n">
        <f aca="false">D56+E55</f>
        <v>-17997597.5129037</v>
      </c>
      <c r="F56" s="180" t="n">
        <f aca="false">E56+F55</f>
        <v>-16630911.3341414</v>
      </c>
      <c r="G56" s="180" t="n">
        <f aca="false">F56+G55</f>
        <v>-15270728.2652365</v>
      </c>
      <c r="H56" s="180" t="n">
        <f aca="false">G56+H55</f>
        <v>-13917048.3061888</v>
      </c>
      <c r="I56" s="180" t="n">
        <f aca="false">H56+I55</f>
        <v>-12569871.4569984</v>
      </c>
      <c r="J56" s="180" t="n">
        <f aca="false">I56+J55</f>
        <v>-11229197.7176653</v>
      </c>
      <c r="K56" s="180" t="n">
        <f aca="false">J56+K55</f>
        <v>-9895027.08818945</v>
      </c>
      <c r="L56" s="180" t="n">
        <f aca="false">K56+L55</f>
        <v>-8567359.56857089</v>
      </c>
      <c r="M56" s="180" t="n">
        <f aca="false">L56+M55</f>
        <v>-7246195.15880961</v>
      </c>
      <c r="N56" s="180" t="n">
        <f aca="false">M56+N55</f>
        <v>-5896645.85890561</v>
      </c>
      <c r="O56" s="180" t="n">
        <f aca="false">N56+O55</f>
        <v>-4553599.66885889</v>
      </c>
      <c r="P56" s="180" t="n">
        <f aca="false">O56+P55</f>
        <v>-3217056.58866945</v>
      </c>
      <c r="Q56" s="180" t="n">
        <f aca="false">P56+Q55</f>
        <v>-1887016.61833729</v>
      </c>
      <c r="R56" s="180" t="n">
        <f aca="false">Q56+R55</f>
        <v>-563479.75786241</v>
      </c>
      <c r="S56" s="180" t="n">
        <f aca="false">R56+S55</f>
        <v>753553.99275519</v>
      </c>
      <c r="T56" s="180" t="n">
        <f aca="false">S56+T55</f>
        <v>2064084.63351551</v>
      </c>
      <c r="U56" s="180" t="n">
        <f aca="false">T56+U55</f>
        <v>3368112.16441855</v>
      </c>
      <c r="V56" s="180" t="n">
        <f aca="false">U56+V55</f>
        <v>4665636.58546431</v>
      </c>
      <c r="W56" s="180" t="n">
        <f aca="false">V56+W55</f>
        <v>5956657.89665279</v>
      </c>
      <c r="X56" s="180" t="n">
        <f aca="false">W56+X55</f>
        <v>5956657.89665279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0.0255674548912307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-1049132</v>
      </c>
      <c r="E67" s="191" t="n">
        <f aca="false">$C$44/$E$16</f>
        <v>-1049132</v>
      </c>
      <c r="F67" s="191" t="n">
        <f aca="false">$C$44/$E$16</f>
        <v>-1049132</v>
      </c>
      <c r="G67" s="191" t="n">
        <f aca="false">$C$44/$E$16</f>
        <v>-1049132</v>
      </c>
      <c r="H67" s="191" t="n">
        <f aca="false">$C$44/$E$16</f>
        <v>-1049132</v>
      </c>
      <c r="I67" s="191" t="n">
        <f aca="false">$C$44/$E$16</f>
        <v>-1049132</v>
      </c>
      <c r="J67" s="191" t="n">
        <f aca="false">$C$44/$E$16</f>
        <v>-1049132</v>
      </c>
      <c r="K67" s="191" t="n">
        <f aca="false">$C$44/$E$16</f>
        <v>-1049132</v>
      </c>
      <c r="L67" s="191" t="n">
        <f aca="false">$C$44/$E$16</f>
        <v>-1049132</v>
      </c>
      <c r="M67" s="191" t="n">
        <f aca="false">$C$44/$E$16</f>
        <v>-1049132</v>
      </c>
      <c r="N67" s="191" t="n">
        <f aca="false">$C$44/$E$16</f>
        <v>-1049132</v>
      </c>
      <c r="O67" s="191" t="n">
        <f aca="false">$C$44/$E$16</f>
        <v>-1049132</v>
      </c>
      <c r="P67" s="191" t="n">
        <f aca="false">$C$44/$E$16</f>
        <v>-1049132</v>
      </c>
      <c r="Q67" s="191" t="n">
        <f aca="false">$C$44/$E$16</f>
        <v>-1049132</v>
      </c>
      <c r="R67" s="191" t="n">
        <f aca="false">$C$44/$E$16</f>
        <v>-1049132</v>
      </c>
      <c r="S67" s="191" t="n">
        <f aca="false">$C$44/$E$16</f>
        <v>-1049132</v>
      </c>
      <c r="T67" s="191" t="n">
        <f aca="false">$C$44/$E$16</f>
        <v>-1049132</v>
      </c>
      <c r="U67" s="191" t="n">
        <f aca="false">$C$44/$E$16</f>
        <v>-1049132</v>
      </c>
      <c r="V67" s="191" t="n">
        <f aca="false">$C$44/$E$16</f>
        <v>-1049132</v>
      </c>
      <c r="W67" s="191" t="n">
        <f aca="false">$C$44/$E$16</f>
        <v>-1049132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-429640.53664</v>
      </c>
      <c r="E70" s="170" t="n">
        <f aca="false">-E109*$D25</f>
        <v>-400997.834197333</v>
      </c>
      <c r="F70" s="170" t="n">
        <f aca="false">-F109*$D25</f>
        <v>-372355.131754667</v>
      </c>
      <c r="G70" s="170" t="n">
        <f aca="false">-G109*$D25</f>
        <v>-343712.429312</v>
      </c>
      <c r="H70" s="170" t="n">
        <f aca="false">-H109*$D25</f>
        <v>-315069.726869334</v>
      </c>
      <c r="I70" s="170" t="n">
        <f aca="false">-I109*$D25</f>
        <v>-286427.024426667</v>
      </c>
      <c r="J70" s="170" t="n">
        <f aca="false">-J109*$D25</f>
        <v>-257784.321984</v>
      </c>
      <c r="K70" s="170" t="n">
        <f aca="false">-K109*$D25</f>
        <v>-229141.619541334</v>
      </c>
      <c r="L70" s="170" t="n">
        <f aca="false">-L109*$D25</f>
        <v>-200498.917098667</v>
      </c>
      <c r="M70" s="170" t="n">
        <f aca="false">-M109*$D25</f>
        <v>-171856.214656</v>
      </c>
      <c r="N70" s="170" t="n">
        <f aca="false">-N109*$D25</f>
        <v>-143213.512213334</v>
      </c>
      <c r="O70" s="170" t="n">
        <f aca="false">-O109*$D25</f>
        <v>-114570.809770667</v>
      </c>
      <c r="P70" s="170" t="n">
        <f aca="false">-P109*$D25</f>
        <v>-85928.1073280003</v>
      </c>
      <c r="Q70" s="170" t="n">
        <f aca="false">-Q109*$D25</f>
        <v>-57285.4048853336</v>
      </c>
      <c r="R70" s="170" t="n">
        <f aca="false">-R109*$D25</f>
        <v>-28642.7024426669</v>
      </c>
      <c r="S70" s="170" t="n">
        <f aca="false">-S109*$D25</f>
        <v>-2.74127814918757E-010</v>
      </c>
      <c r="T70" s="170" t="n">
        <f aca="false">-T109*$D25</f>
        <v>-2.74127814918757E-010</v>
      </c>
      <c r="U70" s="170" t="n">
        <f aca="false">-U109*$D25</f>
        <v>-2.74127814918757E-010</v>
      </c>
      <c r="V70" s="170" t="n">
        <f aca="false">-V109*$D25</f>
        <v>-2.74127814918757E-010</v>
      </c>
      <c r="W70" s="170" t="n">
        <f aca="false">-W109*$D25</f>
        <v>-2.74127814918757E-010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-41316.114</v>
      </c>
      <c r="E72" s="170" t="n">
        <f aca="false">E49</f>
        <v>-41316.114</v>
      </c>
      <c r="F72" s="170" t="n">
        <f aca="false">F49</f>
        <v>-41316.114</v>
      </c>
      <c r="G72" s="170" t="n">
        <f aca="false">G49</f>
        <v>-41316.114</v>
      </c>
      <c r="H72" s="170" t="n">
        <f aca="false">H49</f>
        <v>-41316.114</v>
      </c>
      <c r="I72" s="170" t="n">
        <f aca="false">I49</f>
        <v>-41316.114</v>
      </c>
      <c r="J72" s="170" t="n">
        <f aca="false">J49</f>
        <v>-41316.114</v>
      </c>
      <c r="K72" s="170" t="n">
        <f aca="false">K49</f>
        <v>-41316.114</v>
      </c>
      <c r="L72" s="170" t="n">
        <f aca="false">L49</f>
        <v>-41316.114</v>
      </c>
      <c r="M72" s="170" t="n">
        <f aca="false">M49</f>
        <v>-41316.114</v>
      </c>
      <c r="N72" s="170" t="n">
        <f aca="false">N49</f>
        <v>-41316.114</v>
      </c>
      <c r="O72" s="170" t="n">
        <f aca="false">O49</f>
        <v>-41316.114</v>
      </c>
      <c r="P72" s="170" t="n">
        <f aca="false">P49</f>
        <v>-41316.114</v>
      </c>
      <c r="Q72" s="170" t="n">
        <f aca="false">Q49</f>
        <v>-41316.114</v>
      </c>
      <c r="R72" s="170" t="n">
        <f aca="false">R49</f>
        <v>-41316.114</v>
      </c>
      <c r="S72" s="170" t="n">
        <f aca="false">S49</f>
        <v>-41316.114</v>
      </c>
      <c r="T72" s="170" t="n">
        <f aca="false">T49</f>
        <v>-41316.114</v>
      </c>
      <c r="U72" s="170" t="n">
        <f aca="false">U49</f>
        <v>-41316.114</v>
      </c>
      <c r="V72" s="170" t="n">
        <f aca="false">V49</f>
        <v>-41316.114</v>
      </c>
      <c r="W72" s="170" t="n">
        <f aca="false">W49</f>
        <v>-41316.114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273760.961455999</v>
      </c>
      <c r="E76" s="175" t="n">
        <f aca="false">SUM(E64:E75)</f>
        <v>4073.77657706611</v>
      </c>
      <c r="F76" s="175" t="n">
        <f aca="false">SUM(F64:F75)</f>
        <v>24587.591698133</v>
      </c>
      <c r="G76" s="175" t="n">
        <f aca="false">SUM(G64:G75)</f>
        <v>45101.4068191997</v>
      </c>
      <c r="H76" s="175" t="n">
        <f aca="false">SUM(H64:H75)</f>
        <v>65615.2219402661</v>
      </c>
      <c r="I76" s="175" t="n">
        <f aca="false">SUM(I64:I75)</f>
        <v>86129.0370613327</v>
      </c>
      <c r="J76" s="175" t="n">
        <f aca="false">SUM(J64:J75)</f>
        <v>106642.8521824</v>
      </c>
      <c r="K76" s="175" t="n">
        <f aca="false">SUM(K64:K75)</f>
        <v>127156.667303466</v>
      </c>
      <c r="L76" s="175" t="n">
        <f aca="false">SUM(L64:L75)</f>
        <v>147670.482424533</v>
      </c>
      <c r="M76" s="175" t="n">
        <f aca="false">SUM(M64:M75)</f>
        <v>168184.297545599</v>
      </c>
      <c r="N76" s="175" t="n">
        <f aca="false">SUM(N64:N75)</f>
        <v>232308.112666666</v>
      </c>
      <c r="O76" s="175" t="n">
        <f aca="false">SUM(O64:O75)</f>
        <v>252821.927787733</v>
      </c>
      <c r="P76" s="175" t="n">
        <f aca="false">SUM(P64:P75)</f>
        <v>273335.742908799</v>
      </c>
      <c r="Q76" s="175" t="n">
        <f aca="false">SUM(Q64:Q75)</f>
        <v>293849.558029866</v>
      </c>
      <c r="R76" s="175" t="n">
        <f aca="false">SUM(R64:R75)</f>
        <v>314363.373150933</v>
      </c>
      <c r="S76" s="175" t="n">
        <f aca="false">SUM(S64:S75)</f>
        <v>334877.188271999</v>
      </c>
      <c r="T76" s="175" t="n">
        <f aca="false">SUM(T64:T75)</f>
        <v>326748.300950399</v>
      </c>
      <c r="U76" s="175" t="n">
        <f aca="false">SUM(U64:U75)</f>
        <v>318619.413628799</v>
      </c>
      <c r="V76" s="175" t="n">
        <f aca="false">SUM(V64:V75)</f>
        <v>310490.526307199</v>
      </c>
      <c r="W76" s="175" t="n">
        <f aca="false">SUM(W64:W75)</f>
        <v>302361.638985599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-54752.1922911999</v>
      </c>
      <c r="E77" s="170" t="n">
        <f aca="false">-E76*0.2</f>
        <v>-814.755315413221</v>
      </c>
      <c r="F77" s="170" t="n">
        <f aca="false">-F76*0.2</f>
        <v>-4917.5183396266</v>
      </c>
      <c r="G77" s="170" t="n">
        <f aca="false">-G76*0.2</f>
        <v>-9020.28136383994</v>
      </c>
      <c r="H77" s="170" t="n">
        <f aca="false">-H76*0.2</f>
        <v>-13123.0443880532</v>
      </c>
      <c r="I77" s="170" t="n">
        <f aca="false">-I76*0.2</f>
        <v>-17225.8074122665</v>
      </c>
      <c r="J77" s="170" t="n">
        <f aca="false">-J76*0.2</f>
        <v>-21328.5704364799</v>
      </c>
      <c r="K77" s="170" t="n">
        <f aca="false">-K76*0.2</f>
        <v>-25431.3334606932</v>
      </c>
      <c r="L77" s="170" t="n">
        <f aca="false">-L76*0.2</f>
        <v>-29534.0964849066</v>
      </c>
      <c r="M77" s="170" t="n">
        <f aca="false">-M76*0.2</f>
        <v>-33636.8595091199</v>
      </c>
      <c r="N77" s="170" t="n">
        <f aca="false">-N76*0.2</f>
        <v>-46461.6225333332</v>
      </c>
      <c r="O77" s="170" t="n">
        <f aca="false">-O76*0.2</f>
        <v>-50564.3855575466</v>
      </c>
      <c r="P77" s="170" t="n">
        <f aca="false">-P76*0.2</f>
        <v>-54667.1485817599</v>
      </c>
      <c r="Q77" s="170" t="n">
        <f aca="false">-Q76*0.2</f>
        <v>-58769.9116059732</v>
      </c>
      <c r="R77" s="170" t="n">
        <f aca="false">-R76*0.2</f>
        <v>-62872.6746301866</v>
      </c>
      <c r="S77" s="170" t="n">
        <f aca="false">-S76*0.2</f>
        <v>-66975.4376543999</v>
      </c>
      <c r="T77" s="170" t="n">
        <f aca="false">-T76*0.2</f>
        <v>-65349.6601900798</v>
      </c>
      <c r="U77" s="170" t="n">
        <f aca="false">-U76*0.2</f>
        <v>-63723.8827257599</v>
      </c>
      <c r="V77" s="170" t="n">
        <f aca="false">-V76*0.2</f>
        <v>-62098.1052614398</v>
      </c>
      <c r="W77" s="170" t="n">
        <f aca="false">-W76*0.2</f>
        <v>-60472.3277971199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219008.7691648</v>
      </c>
      <c r="E78" s="170" t="n">
        <f aca="false">SUM(E76:E77)</f>
        <v>3259.02126165289</v>
      </c>
      <c r="F78" s="170" t="n">
        <f aca="false">SUM(F76:F77)</f>
        <v>19670.0733585064</v>
      </c>
      <c r="G78" s="170" t="n">
        <f aca="false">SUM(G76:G77)</f>
        <v>36081.1254553597</v>
      </c>
      <c r="H78" s="170" t="n">
        <f aca="false">SUM(H76:H77)</f>
        <v>52492.1775522129</v>
      </c>
      <c r="I78" s="170" t="n">
        <f aca="false">SUM(I76:I77)</f>
        <v>68903.2296490662</v>
      </c>
      <c r="J78" s="170" t="n">
        <f aca="false">SUM(J76:J77)</f>
        <v>85314.2817459197</v>
      </c>
      <c r="K78" s="170" t="n">
        <f aca="false">SUM(K76:K77)</f>
        <v>101725.333842773</v>
      </c>
      <c r="L78" s="170" t="n">
        <f aca="false">SUM(L76:L77)</f>
        <v>118136.385939626</v>
      </c>
      <c r="M78" s="170" t="n">
        <f aca="false">SUM(M76:M77)</f>
        <v>134547.43803648</v>
      </c>
      <c r="N78" s="170" t="n">
        <f aca="false">SUM(N76:N77)</f>
        <v>185846.490133333</v>
      </c>
      <c r="O78" s="170" t="n">
        <f aca="false">SUM(O76:O77)</f>
        <v>202257.542230186</v>
      </c>
      <c r="P78" s="170" t="n">
        <f aca="false">SUM(P76:P77)</f>
        <v>218668.59432704</v>
      </c>
      <c r="Q78" s="170" t="n">
        <f aca="false">SUM(Q76:Q77)</f>
        <v>235079.646423893</v>
      </c>
      <c r="R78" s="170" t="n">
        <f aca="false">SUM(R76:R77)</f>
        <v>251490.698520746</v>
      </c>
      <c r="S78" s="170" t="n">
        <f aca="false">SUM(S76:S77)</f>
        <v>267901.750617599</v>
      </c>
      <c r="T78" s="170" t="n">
        <f aca="false">SUM(T76:T77)</f>
        <v>261398.640760319</v>
      </c>
      <c r="U78" s="170" t="n">
        <f aca="false">SUM(U76:U77)</f>
        <v>254895.53090304</v>
      </c>
      <c r="V78" s="170" t="n">
        <f aca="false">SUM(V76:V77)</f>
        <v>248392.421045759</v>
      </c>
      <c r="W78" s="170" t="n">
        <f aca="false">SUM(W76:W77)</f>
        <v>241889.31118848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219008.7691648</v>
      </c>
      <c r="E85" s="206" t="n">
        <f aca="false">E78</f>
        <v>3259.02126165289</v>
      </c>
      <c r="F85" s="206" t="n">
        <f aca="false">F78</f>
        <v>19670.0733585064</v>
      </c>
      <c r="G85" s="206" t="n">
        <f aca="false">G78</f>
        <v>36081.1254553597</v>
      </c>
      <c r="H85" s="206" t="n">
        <f aca="false">H78</f>
        <v>52492.1775522129</v>
      </c>
      <c r="I85" s="206" t="n">
        <f aca="false">I78</f>
        <v>68903.2296490662</v>
      </c>
      <c r="J85" s="206" t="n">
        <f aca="false">J78</f>
        <v>85314.2817459197</v>
      </c>
      <c r="K85" s="206" t="n">
        <f aca="false">K78</f>
        <v>101725.333842773</v>
      </c>
      <c r="L85" s="206" t="n">
        <f aca="false">L78</f>
        <v>118136.385939626</v>
      </c>
      <c r="M85" s="206" t="n">
        <f aca="false">M78</f>
        <v>134547.43803648</v>
      </c>
      <c r="N85" s="206" t="n">
        <f aca="false">N78</f>
        <v>185846.490133333</v>
      </c>
      <c r="O85" s="206" t="n">
        <f aca="false">O78</f>
        <v>202257.542230186</v>
      </c>
      <c r="P85" s="206" t="n">
        <f aca="false">P78</f>
        <v>218668.59432704</v>
      </c>
      <c r="Q85" s="206" t="n">
        <f aca="false">Q78</f>
        <v>235079.646423893</v>
      </c>
      <c r="R85" s="206" t="n">
        <f aca="false">R78</f>
        <v>251490.698520746</v>
      </c>
      <c r="S85" s="206" t="n">
        <f aca="false">S78</f>
        <v>267901.750617599</v>
      </c>
      <c r="T85" s="206" t="n">
        <f aca="false">T78</f>
        <v>261398.640760319</v>
      </c>
      <c r="U85" s="206" t="n">
        <f aca="false">U78</f>
        <v>254895.53090304</v>
      </c>
      <c r="V85" s="206" t="n">
        <f aca="false">V78</f>
        <v>248392.421045759</v>
      </c>
      <c r="W85" s="206" t="n">
        <f aca="false">W78</f>
        <v>241889.31118848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1049132</v>
      </c>
      <c r="E86" s="207" t="n">
        <f aca="false">-E67</f>
        <v>1049132</v>
      </c>
      <c r="F86" s="207" t="n">
        <f aca="false">-F67</f>
        <v>1049132</v>
      </c>
      <c r="G86" s="207" t="n">
        <f aca="false">-G67</f>
        <v>1049132</v>
      </c>
      <c r="H86" s="207" t="n">
        <f aca="false">-H67</f>
        <v>1049132</v>
      </c>
      <c r="I86" s="207" t="n">
        <f aca="false">-I67</f>
        <v>1049132</v>
      </c>
      <c r="J86" s="207" t="n">
        <f aca="false">-J67</f>
        <v>1049132</v>
      </c>
      <c r="K86" s="207" t="n">
        <f aca="false">-K67</f>
        <v>1049132</v>
      </c>
      <c r="L86" s="207" t="n">
        <f aca="false">-L67</f>
        <v>1049132</v>
      </c>
      <c r="M86" s="207" t="n">
        <f aca="false">-M67</f>
        <v>1049132</v>
      </c>
      <c r="N86" s="207" t="n">
        <f aca="false">-N67</f>
        <v>1049132</v>
      </c>
      <c r="O86" s="207" t="n">
        <f aca="false">-O67</f>
        <v>1049132</v>
      </c>
      <c r="P86" s="207" t="n">
        <f aca="false">-P67</f>
        <v>1049132</v>
      </c>
      <c r="Q86" s="207" t="n">
        <f aca="false">-Q67</f>
        <v>1049132</v>
      </c>
      <c r="R86" s="207" t="n">
        <f aca="false">-R67</f>
        <v>1049132</v>
      </c>
      <c r="S86" s="207" t="n">
        <f aca="false">-S67</f>
        <v>1049132</v>
      </c>
      <c r="T86" s="207" t="n">
        <f aca="false">-T67</f>
        <v>1049132</v>
      </c>
      <c r="U86" s="207" t="n">
        <f aca="false">-U67</f>
        <v>1049132</v>
      </c>
      <c r="V86" s="207" t="n">
        <f aca="false">-V67</f>
        <v>1049132</v>
      </c>
      <c r="W86" s="207" t="n">
        <f aca="false">-W67</f>
        <v>1049132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1268140.7691648</v>
      </c>
      <c r="E87" s="209" t="n">
        <f aca="false">SUM(E85:E86)</f>
        <v>1052391.02126165</v>
      </c>
      <c r="F87" s="209" t="n">
        <f aca="false">SUM(F85:F86)</f>
        <v>1068802.07335851</v>
      </c>
      <c r="G87" s="209" t="n">
        <f aca="false">SUM(G85:G86)</f>
        <v>1085213.12545536</v>
      </c>
      <c r="H87" s="209" t="n">
        <f aca="false">SUM(H85:H86)</f>
        <v>1101624.17755221</v>
      </c>
      <c r="I87" s="209" t="n">
        <f aca="false">SUM(I85:I86)</f>
        <v>1118035.22964907</v>
      </c>
      <c r="J87" s="209" t="n">
        <f aca="false">SUM(J85:J86)</f>
        <v>1134446.28174592</v>
      </c>
      <c r="K87" s="209" t="n">
        <f aca="false">SUM(K85:K86)</f>
        <v>1150857.33384277</v>
      </c>
      <c r="L87" s="209" t="n">
        <f aca="false">SUM(L85:L86)</f>
        <v>1167268.38593963</v>
      </c>
      <c r="M87" s="209" t="n">
        <f aca="false">SUM(M85:M86)</f>
        <v>1183679.43803648</v>
      </c>
      <c r="N87" s="209" t="n">
        <f aca="false">SUM(N85:N86)</f>
        <v>1234978.49013333</v>
      </c>
      <c r="O87" s="209" t="n">
        <f aca="false">SUM(O85:O86)</f>
        <v>1251389.54223019</v>
      </c>
      <c r="P87" s="209" t="n">
        <f aca="false">SUM(P85:P86)</f>
        <v>1267800.59432704</v>
      </c>
      <c r="Q87" s="209" t="n">
        <f aca="false">SUM(Q85:Q86)</f>
        <v>1284211.64642389</v>
      </c>
      <c r="R87" s="209" t="n">
        <f aca="false">SUM(R85:R86)</f>
        <v>1300622.69852075</v>
      </c>
      <c r="S87" s="209" t="n">
        <f aca="false">SUM(S85:S86)</f>
        <v>1317033.7506176</v>
      </c>
      <c r="T87" s="209" t="n">
        <f aca="false">SUM(T85:T86)</f>
        <v>1310530.64076032</v>
      </c>
      <c r="U87" s="209" t="n">
        <f aca="false">SUM(U85:U86)</f>
        <v>1304027.53090304</v>
      </c>
      <c r="V87" s="209" t="n">
        <f aca="false">SUM(V85:V86)</f>
        <v>1297524.42104576</v>
      </c>
      <c r="W87" s="209" t="n">
        <f aca="false">SUM(W85:W86)</f>
        <v>1291021.31118848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-20982640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16786112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-1119074.13333333</v>
      </c>
      <c r="F93" s="215" t="n">
        <v>-1119074.13333333</v>
      </c>
      <c r="G93" s="215" t="n">
        <v>-1119074.13333333</v>
      </c>
      <c r="H93" s="215" t="n">
        <v>-1119074.13333333</v>
      </c>
      <c r="I93" s="215" t="n">
        <v>-1119074.13333333</v>
      </c>
      <c r="J93" s="215" t="n">
        <v>-1119074.13333333</v>
      </c>
      <c r="K93" s="215" t="n">
        <v>-1119074.13333333</v>
      </c>
      <c r="L93" s="215" t="n">
        <v>-1119074.13333333</v>
      </c>
      <c r="M93" s="215" t="n">
        <v>-1119074.13333333</v>
      </c>
      <c r="N93" s="215" t="n">
        <v>-1119074.13333333</v>
      </c>
      <c r="O93" s="215" t="n">
        <v>-1119074.13333333</v>
      </c>
      <c r="P93" s="215" t="n">
        <v>-1119074.13333333</v>
      </c>
      <c r="Q93" s="215" t="n">
        <v>-1119074.13333333</v>
      </c>
      <c r="R93" s="215" t="n">
        <v>-1119074.13333333</v>
      </c>
      <c r="S93" s="215" t="n">
        <v>-1119074.13333333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4196528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-197107.89224832</v>
      </c>
      <c r="F95" s="216" t="n">
        <f aca="false">-E85*$D$33</f>
        <v>-2933.1191354876</v>
      </c>
      <c r="G95" s="216" t="n">
        <f aca="false">-F85*$D$33</f>
        <v>-17703.0660226557</v>
      </c>
      <c r="H95" s="216" t="n">
        <f aca="false">-G85*$D$33</f>
        <v>-32473.0129098238</v>
      </c>
      <c r="I95" s="216" t="n">
        <f aca="false">-H85*$D$33</f>
        <v>-47242.9597969916</v>
      </c>
      <c r="J95" s="216" t="n">
        <f aca="false">-I85*$D$33</f>
        <v>-62012.9066841596</v>
      </c>
      <c r="K95" s="216" t="n">
        <f aca="false">-J85*$D$33</f>
        <v>-76782.8535713278</v>
      </c>
      <c r="L95" s="216" t="n">
        <f aca="false">-K85*$D$33</f>
        <v>-91552.8004584956</v>
      </c>
      <c r="M95" s="216" t="n">
        <f aca="false">-L85*$D$33</f>
        <v>-106322.747345664</v>
      </c>
      <c r="N95" s="216" t="n">
        <f aca="false">-M85*$D$33</f>
        <v>-121092.694232832</v>
      </c>
      <c r="O95" s="216" t="n">
        <f aca="false">-N85*$D$33</f>
        <v>-167261.84112</v>
      </c>
      <c r="P95" s="216" t="n">
        <f aca="false">-O85*$D$33</f>
        <v>-182031.788007168</v>
      </c>
      <c r="Q95" s="216" t="n">
        <f aca="false">-P85*$D$33</f>
        <v>-196801.734894336</v>
      </c>
      <c r="R95" s="216" t="n">
        <f aca="false">-Q85*$D$33</f>
        <v>-211571.681781504</v>
      </c>
      <c r="S95" s="216" t="n">
        <f aca="false">-R85*$D$33</f>
        <v>-226341.628668672</v>
      </c>
      <c r="T95" s="216" t="n">
        <f aca="false">-S85*$D$33</f>
        <v>-241111.57555584</v>
      </c>
      <c r="U95" s="216" t="n">
        <f aca="false">-T85*$D$33</f>
        <v>-235258.776684287</v>
      </c>
      <c r="V95" s="216" t="n">
        <f aca="false">-U85*$D$33</f>
        <v>-229405.977812736</v>
      </c>
      <c r="W95" s="216" t="n">
        <f aca="false">-V85*$D$33</f>
        <v>-223553.178941183</v>
      </c>
      <c r="X95" s="216" t="n">
        <f aca="false">-W85*$D$33</f>
        <v>-217700.380069632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-1049132</v>
      </c>
      <c r="U96" s="219" t="n">
        <v>-1049132</v>
      </c>
      <c r="V96" s="219" t="n">
        <v>-1049132</v>
      </c>
      <c r="W96" s="219" t="n">
        <v>-1049132</v>
      </c>
      <c r="X96" s="220" t="n">
        <f aca="false">-W101-X95</f>
        <v>-320695.846215687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1268140.7691648</v>
      </c>
      <c r="E99" s="206" t="n">
        <f aca="false">SUM(E87:E96)</f>
        <v>-263791.00432</v>
      </c>
      <c r="F99" s="206" t="n">
        <f aca="false">SUM(F87:F96)</f>
        <v>-53205.179110314</v>
      </c>
      <c r="G99" s="206" t="n">
        <f aca="false">SUM(G87:G96)</f>
        <v>-51564.0739006289</v>
      </c>
      <c r="H99" s="206" t="n">
        <f aca="false">SUM(H87:H96)</f>
        <v>-49922.9686909436</v>
      </c>
      <c r="I99" s="206" t="n">
        <f aca="false">SUM(I87:I96)</f>
        <v>-48281.8634812582</v>
      </c>
      <c r="J99" s="206" t="n">
        <f aca="false">SUM(J87:J96)</f>
        <v>-46640.7582715727</v>
      </c>
      <c r="K99" s="206" t="n">
        <f aca="false">SUM(K87:K96)</f>
        <v>-44999.6530618878</v>
      </c>
      <c r="L99" s="206" t="n">
        <f aca="false">SUM(L87:L96)</f>
        <v>-43358.5478522021</v>
      </c>
      <c r="M99" s="206" t="n">
        <f aca="false">SUM(M87:M96)</f>
        <v>-41717.4426425169</v>
      </c>
      <c r="N99" s="206" t="n">
        <f aca="false">SUM(N87:N96)</f>
        <v>-5188.33743283163</v>
      </c>
      <c r="O99" s="206" t="n">
        <f aca="false">SUM(O87:O96)</f>
        <v>-34946.4322231461</v>
      </c>
      <c r="P99" s="206" t="n">
        <f aca="false">SUM(P87:P96)</f>
        <v>-33305.3270134609</v>
      </c>
      <c r="Q99" s="206" t="n">
        <f aca="false">SUM(Q87:Q96)</f>
        <v>-31664.2218037756</v>
      </c>
      <c r="R99" s="206" t="n">
        <f aca="false">SUM(R87:R96)</f>
        <v>-30023.1165940903</v>
      </c>
      <c r="S99" s="206" t="n">
        <f aca="false">SUM(S87:S96)</f>
        <v>-28382.0113844051</v>
      </c>
      <c r="T99" s="206" t="n">
        <f aca="false">SUM(T87:T96)</f>
        <v>20287.06520448</v>
      </c>
      <c r="U99" s="206" t="n">
        <f aca="false">SUM(U87:U96)</f>
        <v>19636.7542187523</v>
      </c>
      <c r="V99" s="206" t="n">
        <f aca="false">SUM(V87:V96)</f>
        <v>18986.4432330239</v>
      </c>
      <c r="W99" s="206" t="n">
        <f aca="false">SUM(W87:W96)</f>
        <v>18336.1322472962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1268140.7691648</v>
      </c>
      <c r="F100" s="206" t="n">
        <f aca="false">E101</f>
        <v>1004349.7648448</v>
      </c>
      <c r="G100" s="206" t="n">
        <f aca="false">F101</f>
        <v>951144.585734486</v>
      </c>
      <c r="H100" s="206" t="n">
        <f aca="false">G101</f>
        <v>899580.511833857</v>
      </c>
      <c r="I100" s="206" t="n">
        <f aca="false">H101</f>
        <v>849657.543142914</v>
      </c>
      <c r="J100" s="206" t="n">
        <f aca="false">I101</f>
        <v>801375.679661656</v>
      </c>
      <c r="K100" s="206" t="n">
        <f aca="false">J101</f>
        <v>754734.921390083</v>
      </c>
      <c r="L100" s="206" t="n">
        <f aca="false">K101</f>
        <v>709735.268328195</v>
      </c>
      <c r="M100" s="206" t="n">
        <f aca="false">L101</f>
        <v>666376.720475993</v>
      </c>
      <c r="N100" s="206" t="n">
        <f aca="false">M101</f>
        <v>624659.277833476</v>
      </c>
      <c r="O100" s="206" t="n">
        <f aca="false">N101</f>
        <v>619470.940400644</v>
      </c>
      <c r="P100" s="206" t="n">
        <f aca="false">O101</f>
        <v>584524.508177498</v>
      </c>
      <c r="Q100" s="206" t="n">
        <f aca="false">P101</f>
        <v>551219.181164037</v>
      </c>
      <c r="R100" s="206" t="n">
        <f aca="false">Q101</f>
        <v>519554.959360262</v>
      </c>
      <c r="S100" s="206" t="n">
        <f aca="false">R101</f>
        <v>489531.842766172</v>
      </c>
      <c r="T100" s="206" t="n">
        <f aca="false">S101</f>
        <v>461149.831381767</v>
      </c>
      <c r="U100" s="206" t="n">
        <f aca="false">T101</f>
        <v>481436.896586246</v>
      </c>
      <c r="V100" s="206" t="n">
        <f aca="false">U101</f>
        <v>501073.650804999</v>
      </c>
      <c r="W100" s="206" t="n">
        <f aca="false">V101</f>
        <v>520060.094038023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1268140.7691648</v>
      </c>
      <c r="E101" s="206" t="n">
        <f aca="false">E99+E100</f>
        <v>1004349.7648448</v>
      </c>
      <c r="F101" s="206" t="n">
        <f aca="false">F99+F100</f>
        <v>951144.585734486</v>
      </c>
      <c r="G101" s="206" t="n">
        <f aca="false">G99+G100</f>
        <v>899580.511833857</v>
      </c>
      <c r="H101" s="206" t="n">
        <f aca="false">H99+H100</f>
        <v>849657.543142914</v>
      </c>
      <c r="I101" s="206" t="n">
        <f aca="false">I99+I100</f>
        <v>801375.679661656</v>
      </c>
      <c r="J101" s="206" t="n">
        <f aca="false">J99+J100</f>
        <v>754734.921390083</v>
      </c>
      <c r="K101" s="206" t="n">
        <f aca="false">K99+K100</f>
        <v>709735.268328195</v>
      </c>
      <c r="L101" s="206" t="n">
        <f aca="false">L99+L100</f>
        <v>666376.720475993</v>
      </c>
      <c r="M101" s="206" t="n">
        <f aca="false">M99+M100</f>
        <v>624659.277833476</v>
      </c>
      <c r="N101" s="206" t="n">
        <f aca="false">N99+N100</f>
        <v>619470.940400644</v>
      </c>
      <c r="O101" s="206" t="n">
        <f aca="false">O99+O100</f>
        <v>584524.508177498</v>
      </c>
      <c r="P101" s="206" t="n">
        <f aca="false">P99+P100</f>
        <v>551219.181164037</v>
      </c>
      <c r="Q101" s="206" t="n">
        <f aca="false">Q99+Q100</f>
        <v>519554.959360262</v>
      </c>
      <c r="R101" s="206" t="n">
        <f aca="false">R99+R100</f>
        <v>489531.842766172</v>
      </c>
      <c r="S101" s="206" t="n">
        <f aca="false">S99+S100</f>
        <v>461149.831381767</v>
      </c>
      <c r="T101" s="206" t="n">
        <f aca="false">T99+T100</f>
        <v>481436.896586246</v>
      </c>
      <c r="U101" s="206" t="n">
        <f aca="false">U99+U100</f>
        <v>501073.650804999</v>
      </c>
      <c r="V101" s="206" t="n">
        <f aca="false">V99+V100</f>
        <v>520060.094038023</v>
      </c>
      <c r="W101" s="206" t="n">
        <f aca="false">W99+W100</f>
        <v>538396.226285319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-4196528</v>
      </c>
      <c r="E104" s="209" t="n">
        <f aca="false">-E95-E96</f>
        <v>197107.89224832</v>
      </c>
      <c r="F104" s="209" t="n">
        <f aca="false">-F95-F96</f>
        <v>2933.1191354876</v>
      </c>
      <c r="G104" s="209" t="n">
        <f aca="false">-G95-G96</f>
        <v>17703.0660226557</v>
      </c>
      <c r="H104" s="209" t="n">
        <f aca="false">-H95-H96</f>
        <v>32473.0129098238</v>
      </c>
      <c r="I104" s="209" t="n">
        <f aca="false">-I95-I96</f>
        <v>47242.9597969916</v>
      </c>
      <c r="J104" s="209" t="n">
        <f aca="false">-J95-J96</f>
        <v>62012.9066841596</v>
      </c>
      <c r="K104" s="209" t="n">
        <f aca="false">-K95-K96</f>
        <v>76782.8535713278</v>
      </c>
      <c r="L104" s="209" t="n">
        <f aca="false">-L95-L96</f>
        <v>91552.8004584956</v>
      </c>
      <c r="M104" s="209" t="n">
        <f aca="false">-M95-M96</f>
        <v>106322.747345664</v>
      </c>
      <c r="N104" s="209" t="n">
        <f aca="false">-N95-N96</f>
        <v>121092.694232832</v>
      </c>
      <c r="O104" s="209" t="n">
        <f aca="false">-O95-O96</f>
        <v>167261.84112</v>
      </c>
      <c r="P104" s="209" t="n">
        <f aca="false">-P95-P96</f>
        <v>182031.788007168</v>
      </c>
      <c r="Q104" s="209" t="n">
        <f aca="false">-Q95-Q96</f>
        <v>196801.734894336</v>
      </c>
      <c r="R104" s="209" t="n">
        <f aca="false">-R95-R96</f>
        <v>211571.681781504</v>
      </c>
      <c r="S104" s="209" t="n">
        <f aca="false">-S95-S96</f>
        <v>226341.628668672</v>
      </c>
      <c r="T104" s="209" t="n">
        <f aca="false">-T95-T96</f>
        <v>1290243.57555584</v>
      </c>
      <c r="U104" s="209" t="n">
        <f aca="false">-U95-U96</f>
        <v>1284390.77668429</v>
      </c>
      <c r="V104" s="209" t="n">
        <f aca="false">-V95-V96</f>
        <v>1278537.97781274</v>
      </c>
      <c r="W104" s="209" t="n">
        <f aca="false">-W95-W96</f>
        <v>1272685.17894118</v>
      </c>
      <c r="X104" s="209" t="n">
        <f aca="false">-X95-X96</f>
        <v>538396.226285319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0.0371091439049055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-3977519.2308352</v>
      </c>
      <c r="E106" s="209" t="n">
        <f aca="false">E85</f>
        <v>3259.02126165289</v>
      </c>
      <c r="F106" s="209" t="n">
        <f aca="false">F85-F96</f>
        <v>19670.0733585064</v>
      </c>
      <c r="G106" s="209" t="n">
        <f aca="false">G85-G96</f>
        <v>36081.1254553597</v>
      </c>
      <c r="H106" s="209" t="n">
        <f aca="false">H85-H96</f>
        <v>52492.1775522129</v>
      </c>
      <c r="I106" s="209" t="n">
        <f aca="false">I85-I96</f>
        <v>68903.2296490662</v>
      </c>
      <c r="J106" s="209" t="n">
        <f aca="false">J85-J96</f>
        <v>85314.2817459197</v>
      </c>
      <c r="K106" s="209" t="n">
        <f aca="false">K85-K96</f>
        <v>101725.333842773</v>
      </c>
      <c r="L106" s="209" t="n">
        <f aca="false">L85-L96</f>
        <v>118136.385939626</v>
      </c>
      <c r="M106" s="209" t="n">
        <f aca="false">M85-M96</f>
        <v>134547.43803648</v>
      </c>
      <c r="N106" s="209" t="n">
        <f aca="false">N85-N96</f>
        <v>185846.490133333</v>
      </c>
      <c r="O106" s="209" t="n">
        <f aca="false">O85-O96</f>
        <v>202257.542230186</v>
      </c>
      <c r="P106" s="209" t="n">
        <f aca="false">P85-P96</f>
        <v>218668.59432704</v>
      </c>
      <c r="Q106" s="209" t="n">
        <f aca="false">Q85-Q96</f>
        <v>235079.646423893</v>
      </c>
      <c r="R106" s="209" t="n">
        <f aca="false">R85-R96</f>
        <v>251490.698520746</v>
      </c>
      <c r="S106" s="209" t="n">
        <f aca="false">S85-S96</f>
        <v>267901.750617599</v>
      </c>
      <c r="T106" s="209" t="n">
        <f aca="false">T85-T96</f>
        <v>1310530.64076032</v>
      </c>
      <c r="U106" s="209" t="n">
        <f aca="false">U85-U96</f>
        <v>1304027.53090304</v>
      </c>
      <c r="V106" s="209" t="n">
        <f aca="false">V85-V96</f>
        <v>1297524.42104576</v>
      </c>
      <c r="W106" s="209" t="n">
        <f aca="false">W85-W96</f>
        <v>1291021.31118848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0.039199367891046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16786112</v>
      </c>
      <c r="E109" s="206" t="n">
        <f aca="false">D109+E93</f>
        <v>15667037.8666667</v>
      </c>
      <c r="F109" s="206" t="n">
        <f aca="false">E109+F93</f>
        <v>14547963.7333333</v>
      </c>
      <c r="G109" s="206" t="n">
        <f aca="false">F109+G93</f>
        <v>13428889.6</v>
      </c>
      <c r="H109" s="206" t="n">
        <f aca="false">G109+H93</f>
        <v>12309815.4666667</v>
      </c>
      <c r="I109" s="206" t="n">
        <f aca="false">H109+I93</f>
        <v>11190741.3333333</v>
      </c>
      <c r="J109" s="206" t="n">
        <f aca="false">I109+J93</f>
        <v>10071667.2</v>
      </c>
      <c r="K109" s="206" t="n">
        <f aca="false">J109+K93</f>
        <v>8952593.06666667</v>
      </c>
      <c r="L109" s="206" t="n">
        <f aca="false">K109+L93</f>
        <v>7833518.93333334</v>
      </c>
      <c r="M109" s="206" t="n">
        <f aca="false">L109+M93</f>
        <v>6714444.80000001</v>
      </c>
      <c r="N109" s="206" t="n">
        <f aca="false">M109+N93</f>
        <v>5595370.66666668</v>
      </c>
      <c r="O109" s="206" t="n">
        <f aca="false">N109+O93</f>
        <v>4476296.53333334</v>
      </c>
      <c r="P109" s="206" t="n">
        <f aca="false">O109+P93</f>
        <v>3357222.40000001</v>
      </c>
      <c r="Q109" s="206" t="n">
        <f aca="false">P109+Q93</f>
        <v>2238148.26666668</v>
      </c>
      <c r="R109" s="206" t="n">
        <f aca="false">Q109+R93</f>
        <v>1119074.13333334</v>
      </c>
      <c r="S109" s="206" t="n">
        <f aca="false">R109+S93</f>
        <v>1.0710209608078E-008</v>
      </c>
      <c r="T109" s="206" t="n">
        <f aca="false">S109+T93</f>
        <v>1.0710209608078E-008</v>
      </c>
      <c r="U109" s="206" t="n">
        <f aca="false">T109+U93</f>
        <v>1.0710209608078E-008</v>
      </c>
      <c r="V109" s="206" t="n">
        <f aca="false">U109+V93</f>
        <v>1.0710209608078E-008</v>
      </c>
      <c r="W109" s="206" t="n">
        <f aca="false">V109+W93</f>
        <v>1.0710209608078E-008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28894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-19309262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-37802.0202</v>
      </c>
      <c r="E49" s="170" t="n">
        <v>-37802.0202</v>
      </c>
      <c r="F49" s="170" t="n">
        <v>-37802.0202</v>
      </c>
      <c r="G49" s="170" t="n">
        <v>-37802.0202</v>
      </c>
      <c r="H49" s="170" t="n">
        <v>-37802.0202</v>
      </c>
      <c r="I49" s="170" t="n">
        <v>-37802.0202</v>
      </c>
      <c r="J49" s="170" t="n">
        <v>-37802.0202</v>
      </c>
      <c r="K49" s="170" t="n">
        <v>-37802.0202</v>
      </c>
      <c r="L49" s="170" t="n">
        <v>-37802.0202</v>
      </c>
      <c r="M49" s="170" t="n">
        <v>-37802.0202</v>
      </c>
      <c r="N49" s="170" t="n">
        <v>-37802.0202</v>
      </c>
      <c r="O49" s="170" t="n">
        <v>-37802.0202</v>
      </c>
      <c r="P49" s="170" t="n">
        <v>-37802.0202</v>
      </c>
      <c r="Q49" s="170" t="n">
        <v>-37802.0202</v>
      </c>
      <c r="R49" s="170" t="n">
        <v>-37802.0202</v>
      </c>
      <c r="S49" s="170" t="n">
        <v>-37802.0202</v>
      </c>
      <c r="T49" s="170" t="n">
        <v>-37802.0202</v>
      </c>
      <c r="U49" s="170" t="n">
        <v>-37802.0202</v>
      </c>
      <c r="V49" s="170" t="n">
        <v>-37802.0202</v>
      </c>
      <c r="W49" s="170" t="n">
        <v>-37802.0202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-158116.8983792</v>
      </c>
      <c r="E54" s="170" t="n">
        <f aca="false">-(E64+E67+E68+E71+E72+E73+E74)*0.2</f>
        <v>-98450.9209148799</v>
      </c>
      <c r="F54" s="170" t="n">
        <f aca="false">-(F64+F67+F68+F71+F72+F73+F74)*0.2</f>
        <v>-96825.14345056</v>
      </c>
      <c r="G54" s="170" t="n">
        <f aca="false">-(G64+G67+G68+G71+G72+G73+G74)*0.2</f>
        <v>-95199.36598624</v>
      </c>
      <c r="H54" s="170" t="n">
        <f aca="false">-(H64+H67+H68+H71+H72+H73+H74)*0.2</f>
        <v>-93573.5885219199</v>
      </c>
      <c r="I54" s="170" t="n">
        <f aca="false">-(I64+I67+I68+I71+I72+I73+I74)*0.2</f>
        <v>-91947.8110575999</v>
      </c>
      <c r="J54" s="170" t="n">
        <f aca="false">-(J64+J67+J68+J71+J72+J73+J74)*0.2</f>
        <v>-90322.03359328</v>
      </c>
      <c r="K54" s="170" t="n">
        <f aca="false">-(K64+K67+K68+K71+K72+K73+K74)*0.2</f>
        <v>-88696.2561289599</v>
      </c>
      <c r="L54" s="170" t="n">
        <f aca="false">-(L64+L67+L68+L71+L72+L73+L74)*0.2</f>
        <v>-87070.4786646399</v>
      </c>
      <c r="M54" s="170" t="n">
        <f aca="false">-(M64+M67+M68+M71+M72+M73+M74)*0.2</f>
        <v>-85444.7012003199</v>
      </c>
      <c r="N54" s="170" t="n">
        <f aca="false">-(N64+N67+N68+N71+N72+N73+N74)*0.2</f>
        <v>-92540.9237359999</v>
      </c>
      <c r="O54" s="170" t="n">
        <f aca="false">-(O64+O67+O68+O71+O72+O73+O74)*0.2</f>
        <v>-90915.1462716799</v>
      </c>
      <c r="P54" s="170" t="n">
        <f aca="false">-(P64+P67+P68+P71+P72+P73+P74)*0.2</f>
        <v>-89289.3688073599</v>
      </c>
      <c r="Q54" s="170" t="n">
        <f aca="false">-(Q64+Q67+Q68+Q71+Q72+Q73+Q74)*0.2</f>
        <v>-87663.5913430399</v>
      </c>
      <c r="R54" s="170" t="n">
        <f aca="false">-(R64+R67+R68+R71+R72+R73+R74)*0.2</f>
        <v>-86037.8138787199</v>
      </c>
      <c r="S54" s="170" t="n">
        <f aca="false">-(S64+S67+S68+S71+S72+S73+S74)*0.2</f>
        <v>-84412.0364143999</v>
      </c>
      <c r="T54" s="170" t="n">
        <f aca="false">-(T64+T67+T68+T71+T72+T73+T74)*0.2</f>
        <v>-82786.2589500799</v>
      </c>
      <c r="U54" s="170" t="n">
        <f aca="false">-(U64+U67+U68+U71+U72+U73+U74)*0.2</f>
        <v>-81160.4814857599</v>
      </c>
      <c r="V54" s="170" t="n">
        <f aca="false">-(V64+V67+V68+V71+V72+V73+V74)*0.2</f>
        <v>-79534.7040214399</v>
      </c>
      <c r="W54" s="170" t="n">
        <f aca="false">-(W64+W67+W68+W71+W72+W73+W74)*0.2</f>
        <v>-77908.9265571199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-19309262</v>
      </c>
      <c r="D55" s="175" t="n">
        <f aca="false">SUM(D41:D54)</f>
        <v>1597930.6935168</v>
      </c>
      <c r="E55" s="175" t="n">
        <f aca="false">SUM(E41:E54)</f>
        <v>1359266.78365952</v>
      </c>
      <c r="F55" s="175" t="n">
        <f aca="false">SUM(F41:F54)</f>
        <v>1352763.67380224</v>
      </c>
      <c r="G55" s="175" t="n">
        <f aca="false">SUM(G41:G54)</f>
        <v>1346260.56394496</v>
      </c>
      <c r="H55" s="175" t="n">
        <f aca="false">SUM(H41:H54)</f>
        <v>1339757.45408768</v>
      </c>
      <c r="I55" s="175" t="n">
        <f aca="false">SUM(I41:I54)</f>
        <v>1333254.3442304</v>
      </c>
      <c r="J55" s="175" t="n">
        <f aca="false">SUM(J41:J54)</f>
        <v>1326751.23437312</v>
      </c>
      <c r="K55" s="175" t="n">
        <f aca="false">SUM(K41:K54)</f>
        <v>1320248.12451584</v>
      </c>
      <c r="L55" s="175" t="n">
        <f aca="false">SUM(L41:L54)</f>
        <v>1313745.01465856</v>
      </c>
      <c r="M55" s="175" t="n">
        <f aca="false">SUM(M41:M54)</f>
        <v>1307241.90480128</v>
      </c>
      <c r="N55" s="175" t="n">
        <f aca="false">SUM(N41:N54)</f>
        <v>1335626.794944</v>
      </c>
      <c r="O55" s="175" t="n">
        <f aca="false">SUM(O41:O54)</f>
        <v>1329123.68508672</v>
      </c>
      <c r="P55" s="175" t="n">
        <f aca="false">SUM(P41:P54)</f>
        <v>1322620.57522944</v>
      </c>
      <c r="Q55" s="175" t="n">
        <f aca="false">SUM(Q41:Q54)</f>
        <v>1316117.46537216</v>
      </c>
      <c r="R55" s="175" t="n">
        <f aca="false">SUM(R41:R54)</f>
        <v>1309614.35551488</v>
      </c>
      <c r="S55" s="175" t="n">
        <f aca="false">SUM(S41:S54)</f>
        <v>1303111.2456576</v>
      </c>
      <c r="T55" s="175" t="n">
        <f aca="false">SUM(T41:T54)</f>
        <v>1296608.13580032</v>
      </c>
      <c r="U55" s="175" t="n">
        <f aca="false">SUM(U41:U54)</f>
        <v>1290105.02594304</v>
      </c>
      <c r="V55" s="175" t="n">
        <f aca="false">SUM(V41:V54)</f>
        <v>1283601.91608576</v>
      </c>
      <c r="W55" s="175" t="n">
        <f aca="false">SUM(W41:W54)</f>
        <v>1277098.80622848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-17711331.3064832</v>
      </c>
      <c r="E56" s="180" t="n">
        <f aca="false">D56+E55</f>
        <v>-16352064.5228237</v>
      </c>
      <c r="F56" s="180" t="n">
        <f aca="false">E56+F55</f>
        <v>-14999300.8490214</v>
      </c>
      <c r="G56" s="180" t="n">
        <f aca="false">F56+G55</f>
        <v>-13653040.2850765</v>
      </c>
      <c r="H56" s="180" t="n">
        <f aca="false">G56+H55</f>
        <v>-12313282.8309888</v>
      </c>
      <c r="I56" s="180" t="n">
        <f aca="false">H56+I55</f>
        <v>-10980028.4867584</v>
      </c>
      <c r="J56" s="180" t="n">
        <f aca="false">I56+J55</f>
        <v>-9653277.25238529</v>
      </c>
      <c r="K56" s="180" t="n">
        <f aca="false">J56+K55</f>
        <v>-8333029.12786945</v>
      </c>
      <c r="L56" s="180" t="n">
        <f aca="false">K56+L55</f>
        <v>-7019284.11321089</v>
      </c>
      <c r="M56" s="180" t="n">
        <f aca="false">L56+M55</f>
        <v>-5712042.20840961</v>
      </c>
      <c r="N56" s="180" t="n">
        <f aca="false">M56+N55</f>
        <v>-4376415.4134656</v>
      </c>
      <c r="O56" s="180" t="n">
        <f aca="false">N56+O55</f>
        <v>-3047291.72837888</v>
      </c>
      <c r="P56" s="180" t="n">
        <f aca="false">O56+P55</f>
        <v>-1724671.15314944</v>
      </c>
      <c r="Q56" s="180" t="n">
        <f aca="false">P56+Q55</f>
        <v>-408553.687777284</v>
      </c>
      <c r="R56" s="180" t="n">
        <f aca="false">Q56+R55</f>
        <v>901060.667737596</v>
      </c>
      <c r="S56" s="180" t="n">
        <f aca="false">R56+S55</f>
        <v>2204171.9133952</v>
      </c>
      <c r="T56" s="180" t="n">
        <f aca="false">S56+T55</f>
        <v>3500780.04919552</v>
      </c>
      <c r="U56" s="180" t="n">
        <f aca="false">T56+U55</f>
        <v>4790885.07513856</v>
      </c>
      <c r="V56" s="180" t="n">
        <f aca="false">U56+V55</f>
        <v>6074486.99122432</v>
      </c>
      <c r="W56" s="180" t="n">
        <f aca="false">V56+W55</f>
        <v>7351585.7974528</v>
      </c>
      <c r="X56" s="180" t="n">
        <f aca="false">W56+X55</f>
        <v>7351585.7974528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0.0335840962782908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-965463.1</v>
      </c>
      <c r="E67" s="191" t="n">
        <f aca="false">$C$44/$E$16</f>
        <v>-965463.1</v>
      </c>
      <c r="F67" s="191" t="n">
        <f aca="false">$C$44/$E$16</f>
        <v>-965463.1</v>
      </c>
      <c r="G67" s="191" t="n">
        <f aca="false">$C$44/$E$16</f>
        <v>-965463.1</v>
      </c>
      <c r="H67" s="191" t="n">
        <f aca="false">$C$44/$E$16</f>
        <v>-965463.1</v>
      </c>
      <c r="I67" s="191" t="n">
        <f aca="false">$C$44/$E$16</f>
        <v>-965463.1</v>
      </c>
      <c r="J67" s="191" t="n">
        <f aca="false">$C$44/$E$16</f>
        <v>-965463.1</v>
      </c>
      <c r="K67" s="191" t="n">
        <f aca="false">$C$44/$E$16</f>
        <v>-965463.1</v>
      </c>
      <c r="L67" s="191" t="n">
        <f aca="false">$C$44/$E$16</f>
        <v>-965463.1</v>
      </c>
      <c r="M67" s="191" t="n">
        <f aca="false">$C$44/$E$16</f>
        <v>-965463.1</v>
      </c>
      <c r="N67" s="191" t="n">
        <f aca="false">$C$44/$E$16</f>
        <v>-965463.1</v>
      </c>
      <c r="O67" s="191" t="n">
        <f aca="false">$C$44/$E$16</f>
        <v>-965463.1</v>
      </c>
      <c r="P67" s="191" t="n">
        <f aca="false">$C$44/$E$16</f>
        <v>-965463.1</v>
      </c>
      <c r="Q67" s="191" t="n">
        <f aca="false">$C$44/$E$16</f>
        <v>-965463.1</v>
      </c>
      <c r="R67" s="191" t="n">
        <f aca="false">$C$44/$E$16</f>
        <v>-965463.1</v>
      </c>
      <c r="S67" s="191" t="n">
        <f aca="false">$C$44/$E$16</f>
        <v>-965463.1</v>
      </c>
      <c r="T67" s="191" t="n">
        <f aca="false">$C$44/$E$16</f>
        <v>-965463.1</v>
      </c>
      <c r="U67" s="191" t="n">
        <f aca="false">$C$44/$E$16</f>
        <v>-965463.1</v>
      </c>
      <c r="V67" s="191" t="n">
        <f aca="false">$C$44/$E$16</f>
        <v>-965463.1</v>
      </c>
      <c r="W67" s="191" t="n">
        <f aca="false">$C$44/$E$16</f>
        <v>-965463.1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-395376.448712</v>
      </c>
      <c r="E70" s="170" t="n">
        <f aca="false">-E109*$D25</f>
        <v>-369018.018797867</v>
      </c>
      <c r="F70" s="170" t="n">
        <f aca="false">-F109*$D25</f>
        <v>-342659.588883733</v>
      </c>
      <c r="G70" s="170" t="n">
        <f aca="false">-G109*$D25</f>
        <v>-316301.1589696</v>
      </c>
      <c r="H70" s="170" t="n">
        <f aca="false">-H109*$D25</f>
        <v>-289942.729055467</v>
      </c>
      <c r="I70" s="170" t="n">
        <f aca="false">-I109*$D25</f>
        <v>-263584.299141333</v>
      </c>
      <c r="J70" s="170" t="n">
        <f aca="false">-J109*$D25</f>
        <v>-237225.8692272</v>
      </c>
      <c r="K70" s="170" t="n">
        <f aca="false">-K109*$D25</f>
        <v>-210867.439313067</v>
      </c>
      <c r="L70" s="170" t="n">
        <f aca="false">-L109*$D25</f>
        <v>-184509.009398933</v>
      </c>
      <c r="M70" s="170" t="n">
        <f aca="false">-M109*$D25</f>
        <v>-158150.5794848</v>
      </c>
      <c r="N70" s="170" t="n">
        <f aca="false">-N109*$D25</f>
        <v>-131792.149570667</v>
      </c>
      <c r="O70" s="170" t="n">
        <f aca="false">-O109*$D25</f>
        <v>-105433.719656533</v>
      </c>
      <c r="P70" s="170" t="n">
        <f aca="false">-P109*$D25</f>
        <v>-79075.2897424001</v>
      </c>
      <c r="Q70" s="170" t="n">
        <f aca="false">-Q109*$D25</f>
        <v>-52716.8598282667</v>
      </c>
      <c r="R70" s="170" t="n">
        <f aca="false">-R109*$D25</f>
        <v>-26358.4299141334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-37802.0202</v>
      </c>
      <c r="E72" s="170" t="n">
        <f aca="false">E49</f>
        <v>-37802.0202</v>
      </c>
      <c r="F72" s="170" t="n">
        <f aca="false">F49</f>
        <v>-37802.0202</v>
      </c>
      <c r="G72" s="170" t="n">
        <f aca="false">G49</f>
        <v>-37802.0202</v>
      </c>
      <c r="H72" s="170" t="n">
        <f aca="false">H49</f>
        <v>-37802.0202</v>
      </c>
      <c r="I72" s="170" t="n">
        <f aca="false">I49</f>
        <v>-37802.0202</v>
      </c>
      <c r="J72" s="170" t="n">
        <f aca="false">J49</f>
        <v>-37802.0202</v>
      </c>
      <c r="K72" s="170" t="n">
        <f aca="false">K49</f>
        <v>-37802.0202</v>
      </c>
      <c r="L72" s="170" t="n">
        <f aca="false">L49</f>
        <v>-37802.0202</v>
      </c>
      <c r="M72" s="170" t="n">
        <f aca="false">M49</f>
        <v>-37802.0202</v>
      </c>
      <c r="N72" s="170" t="n">
        <f aca="false">N49</f>
        <v>-37802.0202</v>
      </c>
      <c r="O72" s="170" t="n">
        <f aca="false">O49</f>
        <v>-37802.0202</v>
      </c>
      <c r="P72" s="170" t="n">
        <f aca="false">P49</f>
        <v>-37802.0202</v>
      </c>
      <c r="Q72" s="170" t="n">
        <f aca="false">Q49</f>
        <v>-37802.0202</v>
      </c>
      <c r="R72" s="170" t="n">
        <f aca="false">R49</f>
        <v>-37802.0202</v>
      </c>
      <c r="S72" s="170" t="n">
        <f aca="false">S49</f>
        <v>-37802.0202</v>
      </c>
      <c r="T72" s="170" t="n">
        <f aca="false">T49</f>
        <v>-37802.0202</v>
      </c>
      <c r="U72" s="170" t="n">
        <f aca="false">U49</f>
        <v>-37802.0202</v>
      </c>
      <c r="V72" s="170" t="n">
        <f aca="false">V49</f>
        <v>-37802.0202</v>
      </c>
      <c r="W72" s="170" t="n">
        <f aca="false">W49</f>
        <v>-37802.0202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395208.043184</v>
      </c>
      <c r="E76" s="175" t="n">
        <f aca="false">SUM(E64:E75)</f>
        <v>123236.585776533</v>
      </c>
      <c r="F76" s="175" t="n">
        <f aca="false">SUM(F64:F75)</f>
        <v>141466.128369066</v>
      </c>
      <c r="G76" s="175" t="n">
        <f aca="false">SUM(G64:G75)</f>
        <v>159695.6709616</v>
      </c>
      <c r="H76" s="175" t="n">
        <f aca="false">SUM(H64:H75)</f>
        <v>177925.213554133</v>
      </c>
      <c r="I76" s="175" t="n">
        <f aca="false">SUM(I64:I75)</f>
        <v>196154.756146666</v>
      </c>
      <c r="J76" s="175" t="n">
        <f aca="false">SUM(J64:J75)</f>
        <v>214384.2987392</v>
      </c>
      <c r="K76" s="175" t="n">
        <f aca="false">SUM(K64:K75)</f>
        <v>232613.841331733</v>
      </c>
      <c r="L76" s="175" t="n">
        <f aca="false">SUM(L64:L75)</f>
        <v>250843.383924266</v>
      </c>
      <c r="M76" s="175" t="n">
        <f aca="false">SUM(M64:M75)</f>
        <v>269072.9265168</v>
      </c>
      <c r="N76" s="175" t="n">
        <f aca="false">SUM(N64:N75)</f>
        <v>330912.469109333</v>
      </c>
      <c r="O76" s="175" t="n">
        <f aca="false">SUM(O64:O75)</f>
        <v>349142.011701866</v>
      </c>
      <c r="P76" s="175" t="n">
        <f aca="false">SUM(P64:P75)</f>
        <v>367371.5542944</v>
      </c>
      <c r="Q76" s="175" t="n">
        <f aca="false">SUM(Q64:Q75)</f>
        <v>385601.096886933</v>
      </c>
      <c r="R76" s="175" t="n">
        <f aca="false">SUM(R64:R75)</f>
        <v>403830.639479466</v>
      </c>
      <c r="S76" s="175" t="n">
        <f aca="false">SUM(S64:S75)</f>
        <v>422060.182072</v>
      </c>
      <c r="T76" s="175" t="n">
        <f aca="false">SUM(T64:T75)</f>
        <v>413931.294750399</v>
      </c>
      <c r="U76" s="175" t="n">
        <f aca="false">SUM(U64:U75)</f>
        <v>405802.4074288</v>
      </c>
      <c r="V76" s="175" t="n">
        <f aca="false">SUM(V64:V75)</f>
        <v>397673.520107199</v>
      </c>
      <c r="W76" s="175" t="n">
        <f aca="false">SUM(W64:W75)</f>
        <v>389544.6327856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-79041.6086367999</v>
      </c>
      <c r="E77" s="170" t="n">
        <f aca="false">-E76*0.2</f>
        <v>-24647.3171553066</v>
      </c>
      <c r="F77" s="170" t="n">
        <f aca="false">-F76*0.2</f>
        <v>-28293.2256738133</v>
      </c>
      <c r="G77" s="170" t="n">
        <f aca="false">-G76*0.2</f>
        <v>-31939.1341923199</v>
      </c>
      <c r="H77" s="170" t="n">
        <f aca="false">-H76*0.2</f>
        <v>-35585.0427108266</v>
      </c>
      <c r="I77" s="170" t="n">
        <f aca="false">-I76*0.2</f>
        <v>-39230.9512293332</v>
      </c>
      <c r="J77" s="170" t="n">
        <f aca="false">-J76*0.2</f>
        <v>-42876.85974784</v>
      </c>
      <c r="K77" s="170" t="n">
        <f aca="false">-K76*0.2</f>
        <v>-46522.7682663466</v>
      </c>
      <c r="L77" s="170" t="n">
        <f aca="false">-L76*0.2</f>
        <v>-50168.6767848533</v>
      </c>
      <c r="M77" s="170" t="n">
        <f aca="false">-M76*0.2</f>
        <v>-53814.5853033599</v>
      </c>
      <c r="N77" s="170" t="n">
        <f aca="false">-N76*0.2</f>
        <v>-66182.4938218666</v>
      </c>
      <c r="O77" s="170" t="n">
        <f aca="false">-O76*0.2</f>
        <v>-69828.4023403732</v>
      </c>
      <c r="P77" s="170" t="n">
        <f aca="false">-P76*0.2</f>
        <v>-73474.3108588799</v>
      </c>
      <c r="Q77" s="170" t="n">
        <f aca="false">-Q76*0.2</f>
        <v>-77120.2193773866</v>
      </c>
      <c r="R77" s="170" t="n">
        <f aca="false">-R76*0.2</f>
        <v>-80766.1278958933</v>
      </c>
      <c r="S77" s="170" t="n">
        <f aca="false">-S76*0.2</f>
        <v>-84412.0364143999</v>
      </c>
      <c r="T77" s="170" t="n">
        <f aca="false">-T76*0.2</f>
        <v>-82786.2589500799</v>
      </c>
      <c r="U77" s="170" t="n">
        <f aca="false">-U76*0.2</f>
        <v>-81160.4814857599</v>
      </c>
      <c r="V77" s="170" t="n">
        <f aca="false">-V76*0.2</f>
        <v>-79534.7040214399</v>
      </c>
      <c r="W77" s="170" t="n">
        <f aca="false">-W76*0.2</f>
        <v>-77908.9265571199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316166.4345472</v>
      </c>
      <c r="E78" s="170" t="n">
        <f aca="false">SUM(E76:E77)</f>
        <v>98589.2686212262</v>
      </c>
      <c r="F78" s="170" t="n">
        <f aca="false">SUM(F76:F77)</f>
        <v>113172.902695253</v>
      </c>
      <c r="G78" s="170" t="n">
        <f aca="false">SUM(G76:G77)</f>
        <v>127756.53676928</v>
      </c>
      <c r="H78" s="170" t="n">
        <f aca="false">SUM(H76:H77)</f>
        <v>142340.170843306</v>
      </c>
      <c r="I78" s="170" t="n">
        <f aca="false">SUM(I76:I77)</f>
        <v>156923.804917333</v>
      </c>
      <c r="J78" s="170" t="n">
        <f aca="false">SUM(J76:J77)</f>
        <v>171507.43899136</v>
      </c>
      <c r="K78" s="170" t="n">
        <f aca="false">SUM(K76:K77)</f>
        <v>186091.073065386</v>
      </c>
      <c r="L78" s="170" t="n">
        <f aca="false">SUM(L76:L77)</f>
        <v>200674.707139413</v>
      </c>
      <c r="M78" s="170" t="n">
        <f aca="false">SUM(M76:M77)</f>
        <v>215258.34121344</v>
      </c>
      <c r="N78" s="170" t="n">
        <f aca="false">SUM(N76:N77)</f>
        <v>264729.975287466</v>
      </c>
      <c r="O78" s="170" t="n">
        <f aca="false">SUM(O76:O77)</f>
        <v>279313.609361493</v>
      </c>
      <c r="P78" s="170" t="n">
        <f aca="false">SUM(P76:P77)</f>
        <v>293897.24343552</v>
      </c>
      <c r="Q78" s="170" t="n">
        <f aca="false">SUM(Q76:Q77)</f>
        <v>308480.877509546</v>
      </c>
      <c r="R78" s="170" t="n">
        <f aca="false">SUM(R76:R77)</f>
        <v>323064.511583573</v>
      </c>
      <c r="S78" s="170" t="n">
        <f aca="false">SUM(S76:S77)</f>
        <v>337648.1456576</v>
      </c>
      <c r="T78" s="170" t="n">
        <f aca="false">SUM(T76:T77)</f>
        <v>331145.03580032</v>
      </c>
      <c r="U78" s="170" t="n">
        <f aca="false">SUM(U76:U77)</f>
        <v>324641.92594304</v>
      </c>
      <c r="V78" s="170" t="n">
        <f aca="false">SUM(V76:V77)</f>
        <v>318138.81608576</v>
      </c>
      <c r="W78" s="170" t="n">
        <f aca="false">SUM(W76:W77)</f>
        <v>311635.70622848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316166.4345472</v>
      </c>
      <c r="E85" s="206" t="n">
        <f aca="false">E78</f>
        <v>98589.2686212262</v>
      </c>
      <c r="F85" s="206" t="n">
        <f aca="false">F78</f>
        <v>113172.902695253</v>
      </c>
      <c r="G85" s="206" t="n">
        <f aca="false">G78</f>
        <v>127756.53676928</v>
      </c>
      <c r="H85" s="206" t="n">
        <f aca="false">H78</f>
        <v>142340.170843306</v>
      </c>
      <c r="I85" s="206" t="n">
        <f aca="false">I78</f>
        <v>156923.804917333</v>
      </c>
      <c r="J85" s="206" t="n">
        <f aca="false">J78</f>
        <v>171507.43899136</v>
      </c>
      <c r="K85" s="206" t="n">
        <f aca="false">K78</f>
        <v>186091.073065386</v>
      </c>
      <c r="L85" s="206" t="n">
        <f aca="false">L78</f>
        <v>200674.707139413</v>
      </c>
      <c r="M85" s="206" t="n">
        <f aca="false">M78</f>
        <v>215258.34121344</v>
      </c>
      <c r="N85" s="206" t="n">
        <f aca="false">N78</f>
        <v>264729.975287466</v>
      </c>
      <c r="O85" s="206" t="n">
        <f aca="false">O78</f>
        <v>279313.609361493</v>
      </c>
      <c r="P85" s="206" t="n">
        <f aca="false">P78</f>
        <v>293897.24343552</v>
      </c>
      <c r="Q85" s="206" t="n">
        <f aca="false">Q78</f>
        <v>308480.877509546</v>
      </c>
      <c r="R85" s="206" t="n">
        <f aca="false">R78</f>
        <v>323064.511583573</v>
      </c>
      <c r="S85" s="206" t="n">
        <f aca="false">S78</f>
        <v>337648.1456576</v>
      </c>
      <c r="T85" s="206" t="n">
        <f aca="false">T78</f>
        <v>331145.03580032</v>
      </c>
      <c r="U85" s="206" t="n">
        <f aca="false">U78</f>
        <v>324641.92594304</v>
      </c>
      <c r="V85" s="206" t="n">
        <f aca="false">V78</f>
        <v>318138.81608576</v>
      </c>
      <c r="W85" s="206" t="n">
        <f aca="false">W78</f>
        <v>311635.70622848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965463.1</v>
      </c>
      <c r="E86" s="207" t="n">
        <f aca="false">-E67</f>
        <v>965463.1</v>
      </c>
      <c r="F86" s="207" t="n">
        <f aca="false">-F67</f>
        <v>965463.1</v>
      </c>
      <c r="G86" s="207" t="n">
        <f aca="false">-G67</f>
        <v>965463.1</v>
      </c>
      <c r="H86" s="207" t="n">
        <f aca="false">-H67</f>
        <v>965463.1</v>
      </c>
      <c r="I86" s="207" t="n">
        <f aca="false">-I67</f>
        <v>965463.1</v>
      </c>
      <c r="J86" s="207" t="n">
        <f aca="false">-J67</f>
        <v>965463.1</v>
      </c>
      <c r="K86" s="207" t="n">
        <f aca="false">-K67</f>
        <v>965463.1</v>
      </c>
      <c r="L86" s="207" t="n">
        <f aca="false">-L67</f>
        <v>965463.1</v>
      </c>
      <c r="M86" s="207" t="n">
        <f aca="false">-M67</f>
        <v>965463.1</v>
      </c>
      <c r="N86" s="207" t="n">
        <f aca="false">-N67</f>
        <v>965463.1</v>
      </c>
      <c r="O86" s="207" t="n">
        <f aca="false">-O67</f>
        <v>965463.1</v>
      </c>
      <c r="P86" s="207" t="n">
        <f aca="false">-P67</f>
        <v>965463.1</v>
      </c>
      <c r="Q86" s="207" t="n">
        <f aca="false">-Q67</f>
        <v>965463.1</v>
      </c>
      <c r="R86" s="207" t="n">
        <f aca="false">-R67</f>
        <v>965463.1</v>
      </c>
      <c r="S86" s="207" t="n">
        <f aca="false">-S67</f>
        <v>965463.1</v>
      </c>
      <c r="T86" s="207" t="n">
        <f aca="false">-T67</f>
        <v>965463.1</v>
      </c>
      <c r="U86" s="207" t="n">
        <f aca="false">-U67</f>
        <v>965463.1</v>
      </c>
      <c r="V86" s="207" t="n">
        <f aca="false">-V67</f>
        <v>965463.1</v>
      </c>
      <c r="W86" s="207" t="n">
        <f aca="false">-W67</f>
        <v>965463.1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1281629.5345472</v>
      </c>
      <c r="E87" s="209" t="n">
        <f aca="false">SUM(E85:E86)</f>
        <v>1064052.36862123</v>
      </c>
      <c r="F87" s="209" t="n">
        <f aca="false">SUM(F85:F86)</f>
        <v>1078636.00269525</v>
      </c>
      <c r="G87" s="209" t="n">
        <f aca="false">SUM(G85:G86)</f>
        <v>1093219.63676928</v>
      </c>
      <c r="H87" s="209" t="n">
        <f aca="false">SUM(H85:H86)</f>
        <v>1107803.27084331</v>
      </c>
      <c r="I87" s="209" t="n">
        <f aca="false">SUM(I85:I86)</f>
        <v>1122386.90491733</v>
      </c>
      <c r="J87" s="209" t="n">
        <f aca="false">SUM(J85:J86)</f>
        <v>1136970.53899136</v>
      </c>
      <c r="K87" s="209" t="n">
        <f aca="false">SUM(K85:K86)</f>
        <v>1151554.17306539</v>
      </c>
      <c r="L87" s="209" t="n">
        <f aca="false">SUM(L85:L86)</f>
        <v>1166137.80713941</v>
      </c>
      <c r="M87" s="209" t="n">
        <f aca="false">SUM(M85:M86)</f>
        <v>1180721.44121344</v>
      </c>
      <c r="N87" s="209" t="n">
        <f aca="false">SUM(N85:N86)</f>
        <v>1230193.07528747</v>
      </c>
      <c r="O87" s="209" t="n">
        <f aca="false">SUM(O85:O86)</f>
        <v>1244776.70936149</v>
      </c>
      <c r="P87" s="209" t="n">
        <f aca="false">SUM(P85:P86)</f>
        <v>1259360.34343552</v>
      </c>
      <c r="Q87" s="209" t="n">
        <f aca="false">SUM(Q85:Q86)</f>
        <v>1273943.97750955</v>
      </c>
      <c r="R87" s="209" t="n">
        <f aca="false">SUM(R85:R86)</f>
        <v>1288527.61158357</v>
      </c>
      <c r="S87" s="209" t="n">
        <f aca="false">SUM(S85:S86)</f>
        <v>1303111.2456576</v>
      </c>
      <c r="T87" s="209" t="n">
        <f aca="false">SUM(T85:T86)</f>
        <v>1296608.13580032</v>
      </c>
      <c r="U87" s="209" t="n">
        <f aca="false">SUM(U85:U86)</f>
        <v>1290105.02594304</v>
      </c>
      <c r="V87" s="209" t="n">
        <f aca="false">SUM(V85:V86)</f>
        <v>1283601.91608576</v>
      </c>
      <c r="W87" s="209" t="n">
        <f aca="false">SUM(W85:W86)</f>
        <v>1277098.80622848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-19309262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15447409.6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-1029827.30666667</v>
      </c>
      <c r="F93" s="215" t="n">
        <v>-1029827.30666667</v>
      </c>
      <c r="G93" s="215" t="n">
        <v>-1029827.30666667</v>
      </c>
      <c r="H93" s="215" t="n">
        <v>-1029827.30666667</v>
      </c>
      <c r="I93" s="215" t="n">
        <v>-1029827.30666667</v>
      </c>
      <c r="J93" s="215" t="n">
        <v>-1029827.30666667</v>
      </c>
      <c r="K93" s="215" t="n">
        <v>-1029827.30666667</v>
      </c>
      <c r="L93" s="215" t="n">
        <v>-1029827.30666667</v>
      </c>
      <c r="M93" s="215" t="n">
        <v>-1029827.30666667</v>
      </c>
      <c r="N93" s="215" t="n">
        <v>-1029827.30666667</v>
      </c>
      <c r="O93" s="215" t="n">
        <v>-1029827.30666667</v>
      </c>
      <c r="P93" s="215" t="n">
        <v>-1029827.30666667</v>
      </c>
      <c r="Q93" s="215" t="n">
        <v>-1029827.30666667</v>
      </c>
      <c r="R93" s="215" t="n">
        <v>-1029827.30666667</v>
      </c>
      <c r="S93" s="215" t="n">
        <v>-1029827.30666667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3861852.4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-284549.79109248</v>
      </c>
      <c r="F95" s="216" t="n">
        <f aca="false">-E85*$D$33</f>
        <v>-88730.3417591036</v>
      </c>
      <c r="G95" s="216" t="n">
        <f aca="false">-F85*$D$33</f>
        <v>-101855.612425728</v>
      </c>
      <c r="H95" s="216" t="n">
        <f aca="false">-G85*$D$33</f>
        <v>-114980.883092352</v>
      </c>
      <c r="I95" s="216" t="n">
        <f aca="false">-H85*$D$33</f>
        <v>-128106.153758976</v>
      </c>
      <c r="J95" s="216" t="n">
        <f aca="false">-I85*$D$33</f>
        <v>-141231.4244256</v>
      </c>
      <c r="K95" s="216" t="n">
        <f aca="false">-J85*$D$33</f>
        <v>-154356.695092224</v>
      </c>
      <c r="L95" s="216" t="n">
        <f aca="false">-K85*$D$33</f>
        <v>-167481.965758848</v>
      </c>
      <c r="M95" s="216" t="n">
        <f aca="false">-L85*$D$33</f>
        <v>-180607.236425472</v>
      </c>
      <c r="N95" s="216" t="n">
        <f aca="false">-M85*$D$33</f>
        <v>-193732.507092096</v>
      </c>
      <c r="O95" s="216" t="n">
        <f aca="false">-N85*$D$33</f>
        <v>-238256.97775872</v>
      </c>
      <c r="P95" s="216" t="n">
        <f aca="false">-O85*$D$33</f>
        <v>-251382.248425344</v>
      </c>
      <c r="Q95" s="216" t="n">
        <f aca="false">-P85*$D$33</f>
        <v>-264507.519091968</v>
      </c>
      <c r="R95" s="216" t="n">
        <f aca="false">-Q85*$D$33</f>
        <v>-277632.789758592</v>
      </c>
      <c r="S95" s="216" t="n">
        <f aca="false">-R85*$D$33</f>
        <v>-290758.060425216</v>
      </c>
      <c r="T95" s="216" t="n">
        <f aca="false">-S85*$D$33</f>
        <v>-303883.33109184</v>
      </c>
      <c r="U95" s="216" t="n">
        <f aca="false">-T85*$D$33</f>
        <v>-298030.532220288</v>
      </c>
      <c r="V95" s="216" t="n">
        <f aca="false">-U85*$D$33</f>
        <v>-292177.733348736</v>
      </c>
      <c r="W95" s="216" t="n">
        <f aca="false">-V85*$D$33</f>
        <v>-286324.934477184</v>
      </c>
      <c r="X95" s="216" t="n">
        <f aca="false">-W85*$D$33</f>
        <v>-280472.135605632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-965463.1</v>
      </c>
      <c r="U96" s="219" t="n">
        <v>-965463.1</v>
      </c>
      <c r="V96" s="219" t="n">
        <v>-965463.1</v>
      </c>
      <c r="W96" s="219" t="n">
        <v>-965463.1</v>
      </c>
      <c r="X96" s="220" t="n">
        <f aca="false">-W101-X95</f>
        <v>-482117.652569598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1281629.5345472</v>
      </c>
      <c r="E99" s="206" t="n">
        <f aca="false">SUM(E87:E96)</f>
        <v>-250324.72913792</v>
      </c>
      <c r="F99" s="206" t="n">
        <f aca="false">SUM(F87:F96)</f>
        <v>-39921.6457305173</v>
      </c>
      <c r="G99" s="206" t="n">
        <f aca="false">SUM(G87:G96)</f>
        <v>-38463.2823231147</v>
      </c>
      <c r="H99" s="206" t="n">
        <f aca="false">SUM(H87:H96)</f>
        <v>-37004.9189157122</v>
      </c>
      <c r="I99" s="206" t="n">
        <f aca="false">SUM(I87:I96)</f>
        <v>-35546.5555083096</v>
      </c>
      <c r="J99" s="206" t="n">
        <f aca="false">SUM(J87:J96)</f>
        <v>-34088.1921009066</v>
      </c>
      <c r="K99" s="206" t="n">
        <f aca="false">SUM(K87:K96)</f>
        <v>-32629.8286935044</v>
      </c>
      <c r="L99" s="206" t="n">
        <f aca="false">SUM(L87:L96)</f>
        <v>-31171.4652861015</v>
      </c>
      <c r="M99" s="206" t="n">
        <f aca="false">SUM(M87:M96)</f>
        <v>-29713.1018786987</v>
      </c>
      <c r="N99" s="206" t="n">
        <f aca="false">SUM(N87:N96)</f>
        <v>6633.26152870373</v>
      </c>
      <c r="O99" s="206" t="n">
        <f aca="false">SUM(O87:O96)</f>
        <v>-23307.5750638935</v>
      </c>
      <c r="P99" s="206" t="n">
        <f aca="false">SUM(P87:P96)</f>
        <v>-21849.2116564908</v>
      </c>
      <c r="Q99" s="206" t="n">
        <f aca="false">SUM(Q87:Q96)</f>
        <v>-20390.8482490881</v>
      </c>
      <c r="R99" s="206" t="n">
        <f aca="false">SUM(R87:R96)</f>
        <v>-18932.4848416855</v>
      </c>
      <c r="S99" s="206" t="n">
        <f aca="false">SUM(S87:S96)</f>
        <v>-17474.1214342827</v>
      </c>
      <c r="T99" s="206" t="n">
        <f aca="false">SUM(T87:T96)</f>
        <v>27261.7047084799</v>
      </c>
      <c r="U99" s="206" t="n">
        <f aca="false">SUM(U87:U96)</f>
        <v>26611.3937227523</v>
      </c>
      <c r="V99" s="206" t="n">
        <f aca="false">SUM(V87:V96)</f>
        <v>25961.0827370239</v>
      </c>
      <c r="W99" s="206" t="n">
        <f aca="false">SUM(W87:W96)</f>
        <v>25310.7717512962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1281629.5345472</v>
      </c>
      <c r="F100" s="206" t="n">
        <f aca="false">E101</f>
        <v>1031304.80540928</v>
      </c>
      <c r="G100" s="206" t="n">
        <f aca="false">F101</f>
        <v>991383.159678762</v>
      </c>
      <c r="H100" s="206" t="n">
        <f aca="false">G101</f>
        <v>952919.877355647</v>
      </c>
      <c r="I100" s="206" t="n">
        <f aca="false">H101</f>
        <v>915914.958439935</v>
      </c>
      <c r="J100" s="206" t="n">
        <f aca="false">I101</f>
        <v>880368.402931625</v>
      </c>
      <c r="K100" s="206" t="n">
        <f aca="false">J101</f>
        <v>846280.210830718</v>
      </c>
      <c r="L100" s="206" t="n">
        <f aca="false">K101</f>
        <v>813650.382137214</v>
      </c>
      <c r="M100" s="206" t="n">
        <f aca="false">L101</f>
        <v>782478.916851113</v>
      </c>
      <c r="N100" s="206" t="n">
        <f aca="false">M101</f>
        <v>752765.814972414</v>
      </c>
      <c r="O100" s="206" t="n">
        <f aca="false">N101</f>
        <v>759399.076501118</v>
      </c>
      <c r="P100" s="206" t="n">
        <f aca="false">O101</f>
        <v>736091.501437224</v>
      </c>
      <c r="Q100" s="206" t="n">
        <f aca="false">P101</f>
        <v>714242.289780733</v>
      </c>
      <c r="R100" s="206" t="n">
        <f aca="false">Q101</f>
        <v>693851.441531645</v>
      </c>
      <c r="S100" s="206" t="n">
        <f aca="false">R101</f>
        <v>674918.95668996</v>
      </c>
      <c r="T100" s="206" t="n">
        <f aca="false">S101</f>
        <v>657444.835255677</v>
      </c>
      <c r="U100" s="206" t="n">
        <f aca="false">T101</f>
        <v>684706.539964157</v>
      </c>
      <c r="V100" s="206" t="n">
        <f aca="false">U101</f>
        <v>711317.933686909</v>
      </c>
      <c r="W100" s="206" t="n">
        <f aca="false">V101</f>
        <v>737279.016423933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1281629.5345472</v>
      </c>
      <c r="E101" s="206" t="n">
        <f aca="false">E99+E100</f>
        <v>1031304.80540928</v>
      </c>
      <c r="F101" s="206" t="n">
        <f aca="false">F99+F100</f>
        <v>991383.159678762</v>
      </c>
      <c r="G101" s="206" t="n">
        <f aca="false">G99+G100</f>
        <v>952919.877355647</v>
      </c>
      <c r="H101" s="206" t="n">
        <f aca="false">H99+H100</f>
        <v>915914.958439935</v>
      </c>
      <c r="I101" s="206" t="n">
        <f aca="false">I99+I100</f>
        <v>880368.402931625</v>
      </c>
      <c r="J101" s="206" t="n">
        <f aca="false">J99+J100</f>
        <v>846280.210830718</v>
      </c>
      <c r="K101" s="206" t="n">
        <f aca="false">K99+K100</f>
        <v>813650.382137214</v>
      </c>
      <c r="L101" s="206" t="n">
        <f aca="false">L99+L100</f>
        <v>782478.916851113</v>
      </c>
      <c r="M101" s="206" t="n">
        <f aca="false">M99+M100</f>
        <v>752765.814972414</v>
      </c>
      <c r="N101" s="206" t="n">
        <f aca="false">N99+N100</f>
        <v>759399.076501118</v>
      </c>
      <c r="O101" s="206" t="n">
        <f aca="false">O99+O100</f>
        <v>736091.501437224</v>
      </c>
      <c r="P101" s="206" t="n">
        <f aca="false">P99+P100</f>
        <v>714242.289780733</v>
      </c>
      <c r="Q101" s="206" t="n">
        <f aca="false">Q99+Q100</f>
        <v>693851.441531645</v>
      </c>
      <c r="R101" s="206" t="n">
        <f aca="false">R99+R100</f>
        <v>674918.95668996</v>
      </c>
      <c r="S101" s="206" t="n">
        <f aca="false">S99+S100</f>
        <v>657444.835255677</v>
      </c>
      <c r="T101" s="206" t="n">
        <f aca="false">T99+T100</f>
        <v>684706.539964157</v>
      </c>
      <c r="U101" s="206" t="n">
        <f aca="false">U99+U100</f>
        <v>711317.933686909</v>
      </c>
      <c r="V101" s="206" t="n">
        <f aca="false">V99+V100</f>
        <v>737279.016423933</v>
      </c>
      <c r="W101" s="206" t="n">
        <f aca="false">W99+W100</f>
        <v>762589.788175229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-3861852.4</v>
      </c>
      <c r="E104" s="209" t="n">
        <f aca="false">-E95-E96</f>
        <v>284549.79109248</v>
      </c>
      <c r="F104" s="209" t="n">
        <f aca="false">-F95-F96</f>
        <v>88730.3417591036</v>
      </c>
      <c r="G104" s="209" t="n">
        <f aca="false">-G95-G96</f>
        <v>101855.612425728</v>
      </c>
      <c r="H104" s="209" t="n">
        <f aca="false">-H95-H96</f>
        <v>114980.883092352</v>
      </c>
      <c r="I104" s="209" t="n">
        <f aca="false">-I95-I96</f>
        <v>128106.153758976</v>
      </c>
      <c r="J104" s="209" t="n">
        <f aca="false">-J95-J96</f>
        <v>141231.4244256</v>
      </c>
      <c r="K104" s="209" t="n">
        <f aca="false">-K95-K96</f>
        <v>154356.695092224</v>
      </c>
      <c r="L104" s="209" t="n">
        <f aca="false">-L95-L96</f>
        <v>167481.965758848</v>
      </c>
      <c r="M104" s="209" t="n">
        <f aca="false">-M95-M96</f>
        <v>180607.236425472</v>
      </c>
      <c r="N104" s="209" t="n">
        <f aca="false">-N95-N96</f>
        <v>193732.507092096</v>
      </c>
      <c r="O104" s="209" t="n">
        <f aca="false">-O95-O96</f>
        <v>238256.97775872</v>
      </c>
      <c r="P104" s="209" t="n">
        <f aca="false">-P95-P96</f>
        <v>251382.248425344</v>
      </c>
      <c r="Q104" s="209" t="n">
        <f aca="false">-Q95-Q96</f>
        <v>264507.519091968</v>
      </c>
      <c r="R104" s="209" t="n">
        <f aca="false">-R95-R96</f>
        <v>277632.789758592</v>
      </c>
      <c r="S104" s="209" t="n">
        <f aca="false">-S95-S96</f>
        <v>290758.060425216</v>
      </c>
      <c r="T104" s="209" t="n">
        <f aca="false">-T95-T96</f>
        <v>1269346.43109184</v>
      </c>
      <c r="U104" s="209" t="n">
        <f aca="false">-U95-U96</f>
        <v>1263493.63222029</v>
      </c>
      <c r="V104" s="209" t="n">
        <f aca="false">-V95-V96</f>
        <v>1257640.83334874</v>
      </c>
      <c r="W104" s="209" t="n">
        <f aca="false">-W95-W96</f>
        <v>1251788.03447718</v>
      </c>
      <c r="X104" s="209" t="n">
        <f aca="false">-X95-X96</f>
        <v>762589.788175229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0.0591590080851598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-3545685.9654528</v>
      </c>
      <c r="E106" s="209" t="n">
        <f aca="false">E85</f>
        <v>98589.2686212262</v>
      </c>
      <c r="F106" s="209" t="n">
        <f aca="false">F85-F96</f>
        <v>113172.902695253</v>
      </c>
      <c r="G106" s="209" t="n">
        <f aca="false">G85-G96</f>
        <v>127756.53676928</v>
      </c>
      <c r="H106" s="209" t="n">
        <f aca="false">H85-H96</f>
        <v>142340.170843306</v>
      </c>
      <c r="I106" s="209" t="n">
        <f aca="false">I85-I96</f>
        <v>156923.804917333</v>
      </c>
      <c r="J106" s="209" t="n">
        <f aca="false">J85-J96</f>
        <v>171507.43899136</v>
      </c>
      <c r="K106" s="209" t="n">
        <f aca="false">K85-K96</f>
        <v>186091.073065386</v>
      </c>
      <c r="L106" s="209" t="n">
        <f aca="false">L85-L96</f>
        <v>200674.707139413</v>
      </c>
      <c r="M106" s="209" t="n">
        <f aca="false">M85-M96</f>
        <v>215258.34121344</v>
      </c>
      <c r="N106" s="209" t="n">
        <f aca="false">N85-N96</f>
        <v>264729.975287466</v>
      </c>
      <c r="O106" s="209" t="n">
        <f aca="false">O85-O96</f>
        <v>279313.609361493</v>
      </c>
      <c r="P106" s="209" t="n">
        <f aca="false">P85-P96</f>
        <v>293897.24343552</v>
      </c>
      <c r="Q106" s="209" t="n">
        <f aca="false">Q85-Q96</f>
        <v>308480.877509546</v>
      </c>
      <c r="R106" s="209" t="n">
        <f aca="false">R85-R96</f>
        <v>323064.511583573</v>
      </c>
      <c r="S106" s="209" t="n">
        <f aca="false">S85-S96</f>
        <v>337648.1456576</v>
      </c>
      <c r="T106" s="209" t="n">
        <f aca="false">T85-T96</f>
        <v>1296608.13580032</v>
      </c>
      <c r="U106" s="209" t="n">
        <f aca="false">U85-U96</f>
        <v>1290105.02594304</v>
      </c>
      <c r="V106" s="209" t="n">
        <f aca="false">V85-V96</f>
        <v>1283601.91608576</v>
      </c>
      <c r="W106" s="209" t="n">
        <f aca="false">W85-W96</f>
        <v>1277098.80622848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0.0648357025381919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15447409.6</v>
      </c>
      <c r="E109" s="206" t="n">
        <f aca="false">D109+E93</f>
        <v>14417582.2933333</v>
      </c>
      <c r="F109" s="206" t="n">
        <f aca="false">E109+F93</f>
        <v>13387754.9866667</v>
      </c>
      <c r="G109" s="206" t="n">
        <f aca="false">F109+G93</f>
        <v>12357927.68</v>
      </c>
      <c r="H109" s="206" t="n">
        <f aca="false">G109+H93</f>
        <v>11328100.3733333</v>
      </c>
      <c r="I109" s="206" t="n">
        <f aca="false">H109+I93</f>
        <v>10298273.0666667</v>
      </c>
      <c r="J109" s="206" t="n">
        <f aca="false">I109+J93</f>
        <v>9268445.76</v>
      </c>
      <c r="K109" s="206" t="n">
        <f aca="false">J109+K93</f>
        <v>8238618.45333334</v>
      </c>
      <c r="L109" s="206" t="n">
        <f aca="false">K109+L93</f>
        <v>7208791.14666667</v>
      </c>
      <c r="M109" s="206" t="n">
        <f aca="false">L109+M93</f>
        <v>6178963.84</v>
      </c>
      <c r="N109" s="206" t="n">
        <f aca="false">M109+N93</f>
        <v>5149136.53333334</v>
      </c>
      <c r="O109" s="206" t="n">
        <f aca="false">N109+O93</f>
        <v>4119309.22666667</v>
      </c>
      <c r="P109" s="206" t="n">
        <f aca="false">O109+P93</f>
        <v>3089481.92</v>
      </c>
      <c r="Q109" s="206" t="n">
        <f aca="false">P109+Q93</f>
        <v>2059654.61333334</v>
      </c>
      <c r="R109" s="206" t="n">
        <f aca="false">Q109+R93</f>
        <v>1029827.30666667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26148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-17598504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-34209.4284</v>
      </c>
      <c r="E49" s="170" t="n">
        <v>-34209.4284</v>
      </c>
      <c r="F49" s="170" t="n">
        <v>-34209.4284</v>
      </c>
      <c r="G49" s="170" t="n">
        <v>-34209.4284</v>
      </c>
      <c r="H49" s="170" t="n">
        <v>-34209.4284</v>
      </c>
      <c r="I49" s="170" t="n">
        <v>-34209.4284</v>
      </c>
      <c r="J49" s="170" t="n">
        <v>-34209.4284</v>
      </c>
      <c r="K49" s="170" t="n">
        <v>-34209.4284</v>
      </c>
      <c r="L49" s="170" t="n">
        <v>-34209.4284</v>
      </c>
      <c r="M49" s="170" t="n">
        <v>-34209.4284</v>
      </c>
      <c r="N49" s="170" t="n">
        <v>-34209.4284</v>
      </c>
      <c r="O49" s="170" t="n">
        <v>-34209.4284</v>
      </c>
      <c r="P49" s="170" t="n">
        <v>-34209.4284</v>
      </c>
      <c r="Q49" s="170" t="n">
        <v>-34209.4284</v>
      </c>
      <c r="R49" s="170" t="n">
        <v>-34209.4284</v>
      </c>
      <c r="S49" s="170" t="n">
        <v>-34209.4284</v>
      </c>
      <c r="T49" s="170" t="n">
        <v>-34209.4284</v>
      </c>
      <c r="U49" s="170" t="n">
        <v>-34209.4284</v>
      </c>
      <c r="V49" s="170" t="n">
        <v>-34209.4284</v>
      </c>
      <c r="W49" s="170" t="n">
        <v>-34209.4284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-175942.9967392</v>
      </c>
      <c r="E54" s="170" t="n">
        <f aca="false">-(E64+E67+E68+E71+E72+E73+E74)*0.2</f>
        <v>-116277.01927488</v>
      </c>
      <c r="F54" s="170" t="n">
        <f aca="false">-(F64+F67+F68+F71+F72+F73+F74)*0.2</f>
        <v>-114651.24181056</v>
      </c>
      <c r="G54" s="170" t="n">
        <f aca="false">-(G64+G67+G68+G71+G72+G73+G74)*0.2</f>
        <v>-113025.46434624</v>
      </c>
      <c r="H54" s="170" t="n">
        <f aca="false">-(H64+H67+H68+H71+H72+H73+H74)*0.2</f>
        <v>-111399.68688192</v>
      </c>
      <c r="I54" s="170" t="n">
        <f aca="false">-(I64+I67+I68+I71+I72+I73+I74)*0.2</f>
        <v>-109773.9094176</v>
      </c>
      <c r="J54" s="170" t="n">
        <f aca="false">-(J64+J67+J68+J71+J72+J73+J74)*0.2</f>
        <v>-108148.13195328</v>
      </c>
      <c r="K54" s="170" t="n">
        <f aca="false">-(K64+K67+K68+K71+K72+K73+K74)*0.2</f>
        <v>-106522.35448896</v>
      </c>
      <c r="L54" s="170" t="n">
        <f aca="false">-(L64+L67+L68+L71+L72+L73+L74)*0.2</f>
        <v>-104896.57702464</v>
      </c>
      <c r="M54" s="170" t="n">
        <f aca="false">-(M64+M67+M68+M71+M72+M73+M74)*0.2</f>
        <v>-103270.79956032</v>
      </c>
      <c r="N54" s="170" t="n">
        <f aca="false">-(N64+N67+N68+N71+N72+N73+N74)*0.2</f>
        <v>-110367.022096</v>
      </c>
      <c r="O54" s="170" t="n">
        <f aca="false">-(O64+O67+O68+O71+O72+O73+O74)*0.2</f>
        <v>-108741.24463168</v>
      </c>
      <c r="P54" s="170" t="n">
        <f aca="false">-(P64+P67+P68+P71+P72+P73+P74)*0.2</f>
        <v>-107115.46716736</v>
      </c>
      <c r="Q54" s="170" t="n">
        <f aca="false">-(Q64+Q67+Q68+Q71+Q72+Q73+Q74)*0.2</f>
        <v>-105489.68970304</v>
      </c>
      <c r="R54" s="170" t="n">
        <f aca="false">-(R64+R67+R68+R71+R72+R73+R74)*0.2</f>
        <v>-103863.91223872</v>
      </c>
      <c r="S54" s="170" t="n">
        <f aca="false">-(S64+S67+S68+S71+S72+S73+S74)*0.2</f>
        <v>-102238.1347744</v>
      </c>
      <c r="T54" s="170" t="n">
        <f aca="false">-(T64+T67+T68+T71+T72+T73+T74)*0.2</f>
        <v>-100612.35731008</v>
      </c>
      <c r="U54" s="170" t="n">
        <f aca="false">-(U64+U67+U68+U71+U72+U73+U74)*0.2</f>
        <v>-98986.57984576</v>
      </c>
      <c r="V54" s="170" t="n">
        <f aca="false">-(V64+V67+V68+V71+V72+V73+V74)*0.2</f>
        <v>-97360.8023814399</v>
      </c>
      <c r="W54" s="170" t="n">
        <f aca="false">-(W64+W67+W68+W71+W72+W73+W74)*0.2</f>
        <v>-95735.02491712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-17598504</v>
      </c>
      <c r="D55" s="175" t="n">
        <f aca="false">SUM(D41:D54)</f>
        <v>1583697.1869568</v>
      </c>
      <c r="E55" s="175" t="n">
        <f aca="false">SUM(E41:E54)</f>
        <v>1345033.27709952</v>
      </c>
      <c r="F55" s="175" t="n">
        <f aca="false">SUM(F41:F54)</f>
        <v>1338530.16724224</v>
      </c>
      <c r="G55" s="175" t="n">
        <f aca="false">SUM(G41:G54)</f>
        <v>1332027.05738496</v>
      </c>
      <c r="H55" s="175" t="n">
        <f aca="false">SUM(H41:H54)</f>
        <v>1325523.94752768</v>
      </c>
      <c r="I55" s="175" t="n">
        <f aca="false">SUM(I41:I54)</f>
        <v>1319020.8376704</v>
      </c>
      <c r="J55" s="175" t="n">
        <f aca="false">SUM(J41:J54)</f>
        <v>1312517.72781312</v>
      </c>
      <c r="K55" s="175" t="n">
        <f aca="false">SUM(K41:K54)</f>
        <v>1306014.61795584</v>
      </c>
      <c r="L55" s="175" t="n">
        <f aca="false">SUM(L41:L54)</f>
        <v>1299511.50809856</v>
      </c>
      <c r="M55" s="175" t="n">
        <f aca="false">SUM(M41:M54)</f>
        <v>1293008.39824128</v>
      </c>
      <c r="N55" s="175" t="n">
        <f aca="false">SUM(N41:N54)</f>
        <v>1321393.288384</v>
      </c>
      <c r="O55" s="175" t="n">
        <f aca="false">SUM(O41:O54)</f>
        <v>1314890.17852672</v>
      </c>
      <c r="P55" s="175" t="n">
        <f aca="false">SUM(P41:P54)</f>
        <v>1308387.06866944</v>
      </c>
      <c r="Q55" s="175" t="n">
        <f aca="false">SUM(Q41:Q54)</f>
        <v>1301883.95881216</v>
      </c>
      <c r="R55" s="175" t="n">
        <f aca="false">SUM(R41:R54)</f>
        <v>1295380.84895488</v>
      </c>
      <c r="S55" s="175" t="n">
        <f aca="false">SUM(S41:S54)</f>
        <v>1288877.7390976</v>
      </c>
      <c r="T55" s="175" t="n">
        <f aca="false">SUM(T41:T54)</f>
        <v>1282374.62924032</v>
      </c>
      <c r="U55" s="175" t="n">
        <f aca="false">SUM(U41:U54)</f>
        <v>1275871.51938304</v>
      </c>
      <c r="V55" s="175" t="n">
        <f aca="false">SUM(V41:V54)</f>
        <v>1269368.40952576</v>
      </c>
      <c r="W55" s="175" t="n">
        <f aca="false">SUM(W41:W54)</f>
        <v>1262865.29966848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-16014806.8130432</v>
      </c>
      <c r="E56" s="180" t="n">
        <f aca="false">D56+E55</f>
        <v>-14669773.5359437</v>
      </c>
      <c r="F56" s="180" t="n">
        <f aca="false">E56+F55</f>
        <v>-13331243.3687014</v>
      </c>
      <c r="G56" s="180" t="n">
        <f aca="false">F56+G55</f>
        <v>-11999216.3113165</v>
      </c>
      <c r="H56" s="180" t="n">
        <f aca="false">G56+H55</f>
        <v>-10673692.3637888</v>
      </c>
      <c r="I56" s="180" t="n">
        <f aca="false">H56+I55</f>
        <v>-9354671.5261184</v>
      </c>
      <c r="J56" s="180" t="n">
        <f aca="false">I56+J55</f>
        <v>-8042153.79830528</v>
      </c>
      <c r="K56" s="180" t="n">
        <f aca="false">J56+K55</f>
        <v>-6736139.18034944</v>
      </c>
      <c r="L56" s="180" t="n">
        <f aca="false">K56+L55</f>
        <v>-5436627.67225088</v>
      </c>
      <c r="M56" s="180" t="n">
        <f aca="false">L56+M55</f>
        <v>-4143619.2740096</v>
      </c>
      <c r="N56" s="180" t="n">
        <f aca="false">M56+N55</f>
        <v>-2822225.9856256</v>
      </c>
      <c r="O56" s="180" t="n">
        <f aca="false">N56+O55</f>
        <v>-1507335.80709888</v>
      </c>
      <c r="P56" s="180" t="n">
        <f aca="false">O56+P55</f>
        <v>-198948.738429443</v>
      </c>
      <c r="Q56" s="180" t="n">
        <f aca="false">P56+Q55</f>
        <v>1102935.22038272</v>
      </c>
      <c r="R56" s="180" t="n">
        <f aca="false">Q56+R55</f>
        <v>2398316.0693376</v>
      </c>
      <c r="S56" s="180" t="n">
        <f aca="false">R56+S55</f>
        <v>3687193.8084352</v>
      </c>
      <c r="T56" s="180" t="n">
        <f aca="false">S56+T55</f>
        <v>4969568.43767552</v>
      </c>
      <c r="U56" s="180" t="n">
        <f aca="false">T56+U55</f>
        <v>6245439.95705856</v>
      </c>
      <c r="V56" s="180" t="n">
        <f aca="false">U56+V55</f>
        <v>7514808.36658432</v>
      </c>
      <c r="W56" s="180" t="n">
        <f aca="false">V56+W55</f>
        <v>8777673.6662528</v>
      </c>
      <c r="X56" s="180" t="n">
        <f aca="false">W56+X55</f>
        <v>8777673.6662528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0.042985514963832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-879925.2</v>
      </c>
      <c r="E67" s="191" t="n">
        <f aca="false">$C$44/$E$16</f>
        <v>-879925.2</v>
      </c>
      <c r="F67" s="191" t="n">
        <f aca="false">$C$44/$E$16</f>
        <v>-879925.2</v>
      </c>
      <c r="G67" s="191" t="n">
        <f aca="false">$C$44/$E$16</f>
        <v>-879925.2</v>
      </c>
      <c r="H67" s="191" t="n">
        <f aca="false">$C$44/$E$16</f>
        <v>-879925.2</v>
      </c>
      <c r="I67" s="191" t="n">
        <f aca="false">$C$44/$E$16</f>
        <v>-879925.2</v>
      </c>
      <c r="J67" s="191" t="n">
        <f aca="false">$C$44/$E$16</f>
        <v>-879925.2</v>
      </c>
      <c r="K67" s="191" t="n">
        <f aca="false">$C$44/$E$16</f>
        <v>-879925.2</v>
      </c>
      <c r="L67" s="191" t="n">
        <f aca="false">$C$44/$E$16</f>
        <v>-879925.2</v>
      </c>
      <c r="M67" s="191" t="n">
        <f aca="false">$C$44/$E$16</f>
        <v>-879925.2</v>
      </c>
      <c r="N67" s="191" t="n">
        <f aca="false">$C$44/$E$16</f>
        <v>-879925.2</v>
      </c>
      <c r="O67" s="191" t="n">
        <f aca="false">$C$44/$E$16</f>
        <v>-879925.2</v>
      </c>
      <c r="P67" s="191" t="n">
        <f aca="false">$C$44/$E$16</f>
        <v>-879925.2</v>
      </c>
      <c r="Q67" s="191" t="n">
        <f aca="false">$C$44/$E$16</f>
        <v>-879925.2</v>
      </c>
      <c r="R67" s="191" t="n">
        <f aca="false">$C$44/$E$16</f>
        <v>-879925.2</v>
      </c>
      <c r="S67" s="191" t="n">
        <f aca="false">$C$44/$E$16</f>
        <v>-879925.2</v>
      </c>
      <c r="T67" s="191" t="n">
        <f aca="false">$C$44/$E$16</f>
        <v>-879925.2</v>
      </c>
      <c r="U67" s="191" t="n">
        <f aca="false">$C$44/$E$16</f>
        <v>-879925.2</v>
      </c>
      <c r="V67" s="191" t="n">
        <f aca="false">$C$44/$E$16</f>
        <v>-879925.2</v>
      </c>
      <c r="W67" s="191" t="n">
        <f aca="false">$C$44/$E$16</f>
        <v>-879925.2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-360346.967904</v>
      </c>
      <c r="E70" s="170" t="n">
        <f aca="false">-E109*$D25</f>
        <v>-336323.8367104</v>
      </c>
      <c r="F70" s="170" t="n">
        <f aca="false">-F109*$D25</f>
        <v>-312300.7055168</v>
      </c>
      <c r="G70" s="170" t="n">
        <f aca="false">-G109*$D25</f>
        <v>-288277.5743232</v>
      </c>
      <c r="H70" s="170" t="n">
        <f aca="false">-H109*$D25</f>
        <v>-264254.4431296</v>
      </c>
      <c r="I70" s="170" t="n">
        <f aca="false">-I109*$D25</f>
        <v>-240231.311936</v>
      </c>
      <c r="J70" s="170" t="n">
        <f aca="false">-J109*$D25</f>
        <v>-216208.1807424</v>
      </c>
      <c r="K70" s="170" t="n">
        <f aca="false">-K109*$D25</f>
        <v>-192185.0495488</v>
      </c>
      <c r="L70" s="170" t="n">
        <f aca="false">-L109*$D25</f>
        <v>-168161.9183552</v>
      </c>
      <c r="M70" s="170" t="n">
        <f aca="false">-M109*$D25</f>
        <v>-144138.7871616</v>
      </c>
      <c r="N70" s="170" t="n">
        <f aca="false">-N109*$D25</f>
        <v>-120115.655968</v>
      </c>
      <c r="O70" s="170" t="n">
        <f aca="false">-O109*$D25</f>
        <v>-96092.5247744</v>
      </c>
      <c r="P70" s="170" t="n">
        <f aca="false">-P109*$D25</f>
        <v>-72069.3935808</v>
      </c>
      <c r="Q70" s="170" t="n">
        <f aca="false">-Q109*$D25</f>
        <v>-48046.2623872</v>
      </c>
      <c r="R70" s="170" t="n">
        <f aca="false">-R109*$D25</f>
        <v>-24023.1311936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-34209.4284</v>
      </c>
      <c r="E72" s="170" t="n">
        <f aca="false">E49</f>
        <v>-34209.4284</v>
      </c>
      <c r="F72" s="170" t="n">
        <f aca="false">F49</f>
        <v>-34209.4284</v>
      </c>
      <c r="G72" s="170" t="n">
        <f aca="false">G49</f>
        <v>-34209.4284</v>
      </c>
      <c r="H72" s="170" t="n">
        <f aca="false">H49</f>
        <v>-34209.4284</v>
      </c>
      <c r="I72" s="170" t="n">
        <f aca="false">I49</f>
        <v>-34209.4284</v>
      </c>
      <c r="J72" s="170" t="n">
        <f aca="false">J49</f>
        <v>-34209.4284</v>
      </c>
      <c r="K72" s="170" t="n">
        <f aca="false">K49</f>
        <v>-34209.4284</v>
      </c>
      <c r="L72" s="170" t="n">
        <f aca="false">L49</f>
        <v>-34209.4284</v>
      </c>
      <c r="M72" s="170" t="n">
        <f aca="false">M49</f>
        <v>-34209.4284</v>
      </c>
      <c r="N72" s="170" t="n">
        <f aca="false">N49</f>
        <v>-34209.4284</v>
      </c>
      <c r="O72" s="170" t="n">
        <f aca="false">O49</f>
        <v>-34209.4284</v>
      </c>
      <c r="P72" s="170" t="n">
        <f aca="false">P49</f>
        <v>-34209.4284</v>
      </c>
      <c r="Q72" s="170" t="n">
        <f aca="false">Q49</f>
        <v>-34209.4284</v>
      </c>
      <c r="R72" s="170" t="n">
        <f aca="false">R49</f>
        <v>-34209.4284</v>
      </c>
      <c r="S72" s="170" t="n">
        <f aca="false">S49</f>
        <v>-34209.4284</v>
      </c>
      <c r="T72" s="170" t="n">
        <f aca="false">T49</f>
        <v>-34209.4284</v>
      </c>
      <c r="U72" s="170" t="n">
        <f aca="false">U49</f>
        <v>-34209.4284</v>
      </c>
      <c r="V72" s="170" t="n">
        <f aca="false">V49</f>
        <v>-34209.4284</v>
      </c>
      <c r="W72" s="170" t="n">
        <f aca="false">W49</f>
        <v>-34209.4284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519368.015792</v>
      </c>
      <c r="E76" s="175" t="n">
        <f aca="false">SUM(E64:E75)</f>
        <v>245061.259664</v>
      </c>
      <c r="F76" s="175" t="n">
        <f aca="false">SUM(F64:F75)</f>
        <v>260955.503536</v>
      </c>
      <c r="G76" s="175" t="n">
        <f aca="false">SUM(G64:G75)</f>
        <v>276849.747408</v>
      </c>
      <c r="H76" s="175" t="n">
        <f aca="false">SUM(H64:H75)</f>
        <v>292743.99128</v>
      </c>
      <c r="I76" s="175" t="n">
        <f aca="false">SUM(I64:I75)</f>
        <v>308638.235152</v>
      </c>
      <c r="J76" s="175" t="n">
        <f aca="false">SUM(J64:J75)</f>
        <v>324532.479024</v>
      </c>
      <c r="K76" s="175" t="n">
        <f aca="false">SUM(K64:K75)</f>
        <v>340426.722896</v>
      </c>
      <c r="L76" s="175" t="n">
        <f aca="false">SUM(L64:L75)</f>
        <v>356320.966768</v>
      </c>
      <c r="M76" s="175" t="n">
        <f aca="false">SUM(M64:M75)</f>
        <v>372215.21064</v>
      </c>
      <c r="N76" s="175" t="n">
        <f aca="false">SUM(N64:N75)</f>
        <v>431719.454512</v>
      </c>
      <c r="O76" s="175" t="n">
        <f aca="false">SUM(O64:O75)</f>
        <v>447613.698384</v>
      </c>
      <c r="P76" s="175" t="n">
        <f aca="false">SUM(P64:P75)</f>
        <v>463507.942256</v>
      </c>
      <c r="Q76" s="175" t="n">
        <f aca="false">SUM(Q64:Q75)</f>
        <v>479402.186128</v>
      </c>
      <c r="R76" s="175" t="n">
        <f aca="false">SUM(R64:R75)</f>
        <v>495296.43</v>
      </c>
      <c r="S76" s="175" t="n">
        <f aca="false">SUM(S64:S75)</f>
        <v>511190.673872</v>
      </c>
      <c r="T76" s="175" t="n">
        <f aca="false">SUM(T64:T75)</f>
        <v>503061.7865504</v>
      </c>
      <c r="U76" s="175" t="n">
        <f aca="false">SUM(U64:U75)</f>
        <v>494932.8992288</v>
      </c>
      <c r="V76" s="175" t="n">
        <f aca="false">SUM(V64:V75)</f>
        <v>486804.0119072</v>
      </c>
      <c r="W76" s="175" t="n">
        <f aca="false">SUM(W64:W75)</f>
        <v>478675.1245856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-103873.6031584</v>
      </c>
      <c r="E77" s="170" t="n">
        <f aca="false">-E76*0.2</f>
        <v>-49012.2519327999</v>
      </c>
      <c r="F77" s="170" t="n">
        <f aca="false">-F76*0.2</f>
        <v>-52191.1007072</v>
      </c>
      <c r="G77" s="170" t="n">
        <f aca="false">-G76*0.2</f>
        <v>-55369.9494816</v>
      </c>
      <c r="H77" s="170" t="n">
        <f aca="false">-H76*0.2</f>
        <v>-58548.7982559999</v>
      </c>
      <c r="I77" s="170" t="n">
        <f aca="false">-I76*0.2</f>
        <v>-61727.6470303999</v>
      </c>
      <c r="J77" s="170" t="n">
        <f aca="false">-J76*0.2</f>
        <v>-64906.4958048</v>
      </c>
      <c r="K77" s="170" t="n">
        <f aca="false">-K76*0.2</f>
        <v>-68085.3445791999</v>
      </c>
      <c r="L77" s="170" t="n">
        <f aca="false">-L76*0.2</f>
        <v>-71264.1933535999</v>
      </c>
      <c r="M77" s="170" t="n">
        <f aca="false">-M76*0.2</f>
        <v>-74443.0421279999</v>
      </c>
      <c r="N77" s="170" t="n">
        <f aca="false">-N76*0.2</f>
        <v>-86343.8909024</v>
      </c>
      <c r="O77" s="170" t="n">
        <f aca="false">-O76*0.2</f>
        <v>-89522.7396768</v>
      </c>
      <c r="P77" s="170" t="n">
        <f aca="false">-P76*0.2</f>
        <v>-92701.5884512</v>
      </c>
      <c r="Q77" s="170" t="n">
        <f aca="false">-Q76*0.2</f>
        <v>-95880.4372256</v>
      </c>
      <c r="R77" s="170" t="n">
        <f aca="false">-R76*0.2</f>
        <v>-99059.286</v>
      </c>
      <c r="S77" s="170" t="n">
        <f aca="false">-S76*0.2</f>
        <v>-102238.1347744</v>
      </c>
      <c r="T77" s="170" t="n">
        <f aca="false">-T76*0.2</f>
        <v>-100612.35731008</v>
      </c>
      <c r="U77" s="170" t="n">
        <f aca="false">-U76*0.2</f>
        <v>-98986.57984576</v>
      </c>
      <c r="V77" s="170" t="n">
        <f aca="false">-V76*0.2</f>
        <v>-97360.8023814399</v>
      </c>
      <c r="W77" s="170" t="n">
        <f aca="false">-W76*0.2</f>
        <v>-95735.02491712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415494.4126336</v>
      </c>
      <c r="E78" s="170" t="n">
        <f aca="false">SUM(E76:E77)</f>
        <v>196049.0077312</v>
      </c>
      <c r="F78" s="170" t="n">
        <f aca="false">SUM(F76:F77)</f>
        <v>208764.4028288</v>
      </c>
      <c r="G78" s="170" t="n">
        <f aca="false">SUM(G76:G77)</f>
        <v>221479.7979264</v>
      </c>
      <c r="H78" s="170" t="n">
        <f aca="false">SUM(H76:H77)</f>
        <v>234195.193024</v>
      </c>
      <c r="I78" s="170" t="n">
        <f aca="false">SUM(I76:I77)</f>
        <v>246910.5881216</v>
      </c>
      <c r="J78" s="170" t="n">
        <f aca="false">SUM(J76:J77)</f>
        <v>259625.9832192</v>
      </c>
      <c r="K78" s="170" t="n">
        <f aca="false">SUM(K76:K77)</f>
        <v>272341.3783168</v>
      </c>
      <c r="L78" s="170" t="n">
        <f aca="false">SUM(L76:L77)</f>
        <v>285056.7734144</v>
      </c>
      <c r="M78" s="170" t="n">
        <f aca="false">SUM(M76:M77)</f>
        <v>297772.168512</v>
      </c>
      <c r="N78" s="170" t="n">
        <f aca="false">SUM(N76:N77)</f>
        <v>345375.5636096</v>
      </c>
      <c r="O78" s="170" t="n">
        <f aca="false">SUM(O76:O77)</f>
        <v>358090.9587072</v>
      </c>
      <c r="P78" s="170" t="n">
        <f aca="false">SUM(P76:P77)</f>
        <v>370806.3538048</v>
      </c>
      <c r="Q78" s="170" t="n">
        <f aca="false">SUM(Q76:Q77)</f>
        <v>383521.7489024</v>
      </c>
      <c r="R78" s="170" t="n">
        <f aca="false">SUM(R76:R77)</f>
        <v>396237.144</v>
      </c>
      <c r="S78" s="170" t="n">
        <f aca="false">SUM(S76:S77)</f>
        <v>408952.5390976</v>
      </c>
      <c r="T78" s="170" t="n">
        <f aca="false">SUM(T76:T77)</f>
        <v>402449.42924032</v>
      </c>
      <c r="U78" s="170" t="n">
        <f aca="false">SUM(U76:U77)</f>
        <v>395946.31938304</v>
      </c>
      <c r="V78" s="170" t="n">
        <f aca="false">SUM(V76:V77)</f>
        <v>389443.20952576</v>
      </c>
      <c r="W78" s="170" t="n">
        <f aca="false">SUM(W76:W77)</f>
        <v>382940.09966848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415494.4126336</v>
      </c>
      <c r="E85" s="206" t="n">
        <f aca="false">E78</f>
        <v>196049.0077312</v>
      </c>
      <c r="F85" s="206" t="n">
        <f aca="false">F78</f>
        <v>208764.4028288</v>
      </c>
      <c r="G85" s="206" t="n">
        <f aca="false">G78</f>
        <v>221479.7979264</v>
      </c>
      <c r="H85" s="206" t="n">
        <f aca="false">H78</f>
        <v>234195.193024</v>
      </c>
      <c r="I85" s="206" t="n">
        <f aca="false">I78</f>
        <v>246910.5881216</v>
      </c>
      <c r="J85" s="206" t="n">
        <f aca="false">J78</f>
        <v>259625.9832192</v>
      </c>
      <c r="K85" s="206" t="n">
        <f aca="false">K78</f>
        <v>272341.3783168</v>
      </c>
      <c r="L85" s="206" t="n">
        <f aca="false">L78</f>
        <v>285056.7734144</v>
      </c>
      <c r="M85" s="206" t="n">
        <f aca="false">M78</f>
        <v>297772.168512</v>
      </c>
      <c r="N85" s="206" t="n">
        <f aca="false">N78</f>
        <v>345375.5636096</v>
      </c>
      <c r="O85" s="206" t="n">
        <f aca="false">O78</f>
        <v>358090.9587072</v>
      </c>
      <c r="P85" s="206" t="n">
        <f aca="false">P78</f>
        <v>370806.3538048</v>
      </c>
      <c r="Q85" s="206" t="n">
        <f aca="false">Q78</f>
        <v>383521.7489024</v>
      </c>
      <c r="R85" s="206" t="n">
        <f aca="false">R78</f>
        <v>396237.144</v>
      </c>
      <c r="S85" s="206" t="n">
        <f aca="false">S78</f>
        <v>408952.5390976</v>
      </c>
      <c r="T85" s="206" t="n">
        <f aca="false">T78</f>
        <v>402449.42924032</v>
      </c>
      <c r="U85" s="206" t="n">
        <f aca="false">U78</f>
        <v>395946.31938304</v>
      </c>
      <c r="V85" s="206" t="n">
        <f aca="false">V78</f>
        <v>389443.20952576</v>
      </c>
      <c r="W85" s="206" t="n">
        <f aca="false">W78</f>
        <v>382940.09966848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879925.2</v>
      </c>
      <c r="E86" s="207" t="n">
        <f aca="false">-E67</f>
        <v>879925.2</v>
      </c>
      <c r="F86" s="207" t="n">
        <f aca="false">-F67</f>
        <v>879925.2</v>
      </c>
      <c r="G86" s="207" t="n">
        <f aca="false">-G67</f>
        <v>879925.2</v>
      </c>
      <c r="H86" s="207" t="n">
        <f aca="false">-H67</f>
        <v>879925.2</v>
      </c>
      <c r="I86" s="207" t="n">
        <f aca="false">-I67</f>
        <v>879925.2</v>
      </c>
      <c r="J86" s="207" t="n">
        <f aca="false">-J67</f>
        <v>879925.2</v>
      </c>
      <c r="K86" s="207" t="n">
        <f aca="false">-K67</f>
        <v>879925.2</v>
      </c>
      <c r="L86" s="207" t="n">
        <f aca="false">-L67</f>
        <v>879925.2</v>
      </c>
      <c r="M86" s="207" t="n">
        <f aca="false">-M67</f>
        <v>879925.2</v>
      </c>
      <c r="N86" s="207" t="n">
        <f aca="false">-N67</f>
        <v>879925.2</v>
      </c>
      <c r="O86" s="207" t="n">
        <f aca="false">-O67</f>
        <v>879925.2</v>
      </c>
      <c r="P86" s="207" t="n">
        <f aca="false">-P67</f>
        <v>879925.2</v>
      </c>
      <c r="Q86" s="207" t="n">
        <f aca="false">-Q67</f>
        <v>879925.2</v>
      </c>
      <c r="R86" s="207" t="n">
        <f aca="false">-R67</f>
        <v>879925.2</v>
      </c>
      <c r="S86" s="207" t="n">
        <f aca="false">-S67</f>
        <v>879925.2</v>
      </c>
      <c r="T86" s="207" t="n">
        <f aca="false">-T67</f>
        <v>879925.2</v>
      </c>
      <c r="U86" s="207" t="n">
        <f aca="false">-U67</f>
        <v>879925.2</v>
      </c>
      <c r="V86" s="207" t="n">
        <f aca="false">-V67</f>
        <v>879925.2</v>
      </c>
      <c r="W86" s="207" t="n">
        <f aca="false">-W67</f>
        <v>879925.2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1295419.6126336</v>
      </c>
      <c r="E87" s="209" t="n">
        <f aca="false">SUM(E85:E86)</f>
        <v>1075974.2077312</v>
      </c>
      <c r="F87" s="209" t="n">
        <f aca="false">SUM(F85:F86)</f>
        <v>1088689.6028288</v>
      </c>
      <c r="G87" s="209" t="n">
        <f aca="false">SUM(G85:G86)</f>
        <v>1101404.9979264</v>
      </c>
      <c r="H87" s="209" t="n">
        <f aca="false">SUM(H85:H86)</f>
        <v>1114120.393024</v>
      </c>
      <c r="I87" s="209" t="n">
        <f aca="false">SUM(I85:I86)</f>
        <v>1126835.7881216</v>
      </c>
      <c r="J87" s="209" t="n">
        <f aca="false">SUM(J85:J86)</f>
        <v>1139551.1832192</v>
      </c>
      <c r="K87" s="209" t="n">
        <f aca="false">SUM(K85:K86)</f>
        <v>1152266.5783168</v>
      </c>
      <c r="L87" s="209" t="n">
        <f aca="false">SUM(L85:L86)</f>
        <v>1164981.9734144</v>
      </c>
      <c r="M87" s="209" t="n">
        <f aca="false">SUM(M85:M86)</f>
        <v>1177697.368512</v>
      </c>
      <c r="N87" s="209" t="n">
        <f aca="false">SUM(N85:N86)</f>
        <v>1225300.7636096</v>
      </c>
      <c r="O87" s="209" t="n">
        <f aca="false">SUM(O85:O86)</f>
        <v>1238016.1587072</v>
      </c>
      <c r="P87" s="209" t="n">
        <f aca="false">SUM(P85:P86)</f>
        <v>1250731.5538048</v>
      </c>
      <c r="Q87" s="209" t="n">
        <f aca="false">SUM(Q85:Q86)</f>
        <v>1263446.9489024</v>
      </c>
      <c r="R87" s="209" t="n">
        <f aca="false">SUM(R85:R86)</f>
        <v>1276162.344</v>
      </c>
      <c r="S87" s="209" t="n">
        <f aca="false">SUM(S85:S86)</f>
        <v>1288877.7390976</v>
      </c>
      <c r="T87" s="209" t="n">
        <f aca="false">SUM(T85:T86)</f>
        <v>1282374.62924032</v>
      </c>
      <c r="U87" s="209" t="n">
        <f aca="false">SUM(U85:U86)</f>
        <v>1275871.51938304</v>
      </c>
      <c r="V87" s="209" t="n">
        <f aca="false">SUM(V85:V86)</f>
        <v>1269368.40952576</v>
      </c>
      <c r="W87" s="209" t="n">
        <f aca="false">SUM(W85:W86)</f>
        <v>1262865.29966848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-17598504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14078803.2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-938586.88</v>
      </c>
      <c r="F93" s="215" t="n">
        <v>-938586.88</v>
      </c>
      <c r="G93" s="215" t="n">
        <v>-938586.88</v>
      </c>
      <c r="H93" s="215" t="n">
        <v>-938586.88</v>
      </c>
      <c r="I93" s="215" t="n">
        <v>-938586.88</v>
      </c>
      <c r="J93" s="215" t="n">
        <v>-938586.88</v>
      </c>
      <c r="K93" s="215" t="n">
        <v>-938586.88</v>
      </c>
      <c r="L93" s="215" t="n">
        <v>-938586.88</v>
      </c>
      <c r="M93" s="215" t="n">
        <v>-938586.88</v>
      </c>
      <c r="N93" s="215" t="n">
        <v>-938586.88</v>
      </c>
      <c r="O93" s="215" t="n">
        <v>-938586.88</v>
      </c>
      <c r="P93" s="215" t="n">
        <v>-938586.88</v>
      </c>
      <c r="Q93" s="215" t="n">
        <v>-938586.88</v>
      </c>
      <c r="R93" s="215" t="n">
        <v>-938586.88</v>
      </c>
      <c r="S93" s="215" t="n">
        <v>-938586.88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3519700.8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-373944.97137024</v>
      </c>
      <c r="F95" s="216" t="n">
        <f aca="false">-E85*$D$33</f>
        <v>-176444.10695808</v>
      </c>
      <c r="G95" s="216" t="n">
        <f aca="false">-F85*$D$33</f>
        <v>-187887.96254592</v>
      </c>
      <c r="H95" s="216" t="n">
        <f aca="false">-G85*$D$33</f>
        <v>-199331.81813376</v>
      </c>
      <c r="I95" s="216" t="n">
        <f aca="false">-H85*$D$33</f>
        <v>-210775.6737216</v>
      </c>
      <c r="J95" s="216" t="n">
        <f aca="false">-I85*$D$33</f>
        <v>-222219.52930944</v>
      </c>
      <c r="K95" s="216" t="n">
        <f aca="false">-J85*$D$33</f>
        <v>-233663.38489728</v>
      </c>
      <c r="L95" s="216" t="n">
        <f aca="false">-K85*$D$33</f>
        <v>-245107.24048512</v>
      </c>
      <c r="M95" s="216" t="n">
        <f aca="false">-L85*$D$33</f>
        <v>-256551.09607296</v>
      </c>
      <c r="N95" s="216" t="n">
        <f aca="false">-M85*$D$33</f>
        <v>-267994.9516608</v>
      </c>
      <c r="O95" s="216" t="n">
        <f aca="false">-N85*$D$33</f>
        <v>-310838.00724864</v>
      </c>
      <c r="P95" s="216" t="n">
        <f aca="false">-O85*$D$33</f>
        <v>-322281.86283648</v>
      </c>
      <c r="Q95" s="216" t="n">
        <f aca="false">-P85*$D$33</f>
        <v>-333725.71842432</v>
      </c>
      <c r="R95" s="216" t="n">
        <f aca="false">-Q85*$D$33</f>
        <v>-345169.57401216</v>
      </c>
      <c r="S95" s="216" t="n">
        <f aca="false">-R85*$D$33</f>
        <v>-356613.4296</v>
      </c>
      <c r="T95" s="216" t="n">
        <f aca="false">-S85*$D$33</f>
        <v>-368057.28518784</v>
      </c>
      <c r="U95" s="216" t="n">
        <f aca="false">-T85*$D$33</f>
        <v>-362204.486316288</v>
      </c>
      <c r="V95" s="216" t="n">
        <f aca="false">-U85*$D$33</f>
        <v>-356351.687444736</v>
      </c>
      <c r="W95" s="216" t="n">
        <f aca="false">-V85*$D$33</f>
        <v>-350498.888573184</v>
      </c>
      <c r="X95" s="216" t="n">
        <f aca="false">-W85*$D$33</f>
        <v>-344646.089701632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-879925.2</v>
      </c>
      <c r="U96" s="219" t="n">
        <v>-879925.2</v>
      </c>
      <c r="V96" s="219" t="n">
        <v>-879925.2</v>
      </c>
      <c r="W96" s="219" t="n">
        <v>-879925.2</v>
      </c>
      <c r="X96" s="220" t="n">
        <f aca="false">-W101-X95</f>
        <v>-647145.307166722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1295419.6126336</v>
      </c>
      <c r="E99" s="206" t="n">
        <f aca="false">SUM(E87:E96)</f>
        <v>-236557.64363904</v>
      </c>
      <c r="F99" s="206" t="n">
        <f aca="false">SUM(F87:F96)</f>
        <v>-26341.3841292797</v>
      </c>
      <c r="G99" s="206" t="n">
        <f aca="false">SUM(G87:G96)</f>
        <v>-25069.8446195198</v>
      </c>
      <c r="H99" s="206" t="n">
        <f aca="false">SUM(H87:H96)</f>
        <v>-23798.30510976</v>
      </c>
      <c r="I99" s="206" t="n">
        <f aca="false">SUM(I87:I96)</f>
        <v>-22526.7655999998</v>
      </c>
      <c r="J99" s="206" t="n">
        <f aca="false">SUM(J87:J96)</f>
        <v>-21255.2260902396</v>
      </c>
      <c r="K99" s="206" t="n">
        <f aca="false">SUM(K87:K96)</f>
        <v>-19983.6865804801</v>
      </c>
      <c r="L99" s="206" t="n">
        <f aca="false">SUM(L87:L96)</f>
        <v>-18712.1470707199</v>
      </c>
      <c r="M99" s="206" t="n">
        <f aca="false">SUM(M87:M96)</f>
        <v>-17440.6075609599</v>
      </c>
      <c r="N99" s="206" t="n">
        <f aca="false">SUM(N87:N96)</f>
        <v>18718.9319488002</v>
      </c>
      <c r="O99" s="206" t="n">
        <f aca="false">SUM(O87:O96)</f>
        <v>-11408.7285414397</v>
      </c>
      <c r="P99" s="206" t="n">
        <f aca="false">SUM(P87:P96)</f>
        <v>-10137.1890316799</v>
      </c>
      <c r="Q99" s="206" t="n">
        <f aca="false">SUM(Q87:Q96)</f>
        <v>-8865.64952191984</v>
      </c>
      <c r="R99" s="206" t="n">
        <f aca="false">SUM(R87:R96)</f>
        <v>-7594.1100121598</v>
      </c>
      <c r="S99" s="206" t="n">
        <f aca="false">SUM(S87:S96)</f>
        <v>-6322.57050239993</v>
      </c>
      <c r="T99" s="206" t="n">
        <f aca="false">SUM(T87:T96)</f>
        <v>34392.1440524801</v>
      </c>
      <c r="U99" s="206" t="n">
        <f aca="false">SUM(U87:U96)</f>
        <v>33741.8330667524</v>
      </c>
      <c r="V99" s="206" t="n">
        <f aca="false">SUM(V87:V96)</f>
        <v>33091.522081024</v>
      </c>
      <c r="W99" s="206" t="n">
        <f aca="false">SUM(W87:W96)</f>
        <v>32441.2110952963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1295419.6126336</v>
      </c>
      <c r="F100" s="206" t="n">
        <f aca="false">E101</f>
        <v>1058861.96899456</v>
      </c>
      <c r="G100" s="206" t="n">
        <f aca="false">F101</f>
        <v>1032520.58486528</v>
      </c>
      <c r="H100" s="206" t="n">
        <f aca="false">G101</f>
        <v>1007450.74024576</v>
      </c>
      <c r="I100" s="206" t="n">
        <f aca="false">H101</f>
        <v>983652.435136</v>
      </c>
      <c r="J100" s="206" t="n">
        <f aca="false">I101</f>
        <v>961125.669536</v>
      </c>
      <c r="K100" s="206" t="n">
        <f aca="false">J101</f>
        <v>939870.44344576</v>
      </c>
      <c r="L100" s="206" t="n">
        <f aca="false">K101</f>
        <v>919886.75686528</v>
      </c>
      <c r="M100" s="206" t="n">
        <f aca="false">L101</f>
        <v>901174.60979456</v>
      </c>
      <c r="N100" s="206" t="n">
        <f aca="false">M101</f>
        <v>883734.002233601</v>
      </c>
      <c r="O100" s="206" t="n">
        <f aca="false">N101</f>
        <v>902452.934182401</v>
      </c>
      <c r="P100" s="206" t="n">
        <f aca="false">O101</f>
        <v>891044.205640961</v>
      </c>
      <c r="Q100" s="206" t="n">
        <f aca="false">P101</f>
        <v>880907.016609281</v>
      </c>
      <c r="R100" s="206" t="n">
        <f aca="false">Q101</f>
        <v>872041.367087361</v>
      </c>
      <c r="S100" s="206" t="n">
        <f aca="false">R101</f>
        <v>864447.257075201</v>
      </c>
      <c r="T100" s="206" t="n">
        <f aca="false">S101</f>
        <v>858124.686572801</v>
      </c>
      <c r="U100" s="206" t="n">
        <f aca="false">T101</f>
        <v>892516.830625282</v>
      </c>
      <c r="V100" s="206" t="n">
        <f aca="false">U101</f>
        <v>926258.663692034</v>
      </c>
      <c r="W100" s="206" t="n">
        <f aca="false">V101</f>
        <v>959350.185773058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1295419.6126336</v>
      </c>
      <c r="E101" s="206" t="n">
        <f aca="false">E99+E100</f>
        <v>1058861.96899456</v>
      </c>
      <c r="F101" s="206" t="n">
        <f aca="false">F99+F100</f>
        <v>1032520.58486528</v>
      </c>
      <c r="G101" s="206" t="n">
        <f aca="false">G99+G100</f>
        <v>1007450.74024576</v>
      </c>
      <c r="H101" s="206" t="n">
        <f aca="false">H99+H100</f>
        <v>983652.435136</v>
      </c>
      <c r="I101" s="206" t="n">
        <f aca="false">I99+I100</f>
        <v>961125.669536</v>
      </c>
      <c r="J101" s="206" t="n">
        <f aca="false">J99+J100</f>
        <v>939870.44344576</v>
      </c>
      <c r="K101" s="206" t="n">
        <f aca="false">K99+K100</f>
        <v>919886.75686528</v>
      </c>
      <c r="L101" s="206" t="n">
        <f aca="false">L99+L100</f>
        <v>901174.60979456</v>
      </c>
      <c r="M101" s="206" t="n">
        <f aca="false">M99+M100</f>
        <v>883734.002233601</v>
      </c>
      <c r="N101" s="206" t="n">
        <f aca="false">N99+N100</f>
        <v>902452.934182401</v>
      </c>
      <c r="O101" s="206" t="n">
        <f aca="false">O99+O100</f>
        <v>891044.205640961</v>
      </c>
      <c r="P101" s="206" t="n">
        <f aca="false">P99+P100</f>
        <v>880907.016609281</v>
      </c>
      <c r="Q101" s="206" t="n">
        <f aca="false">Q99+Q100</f>
        <v>872041.367087361</v>
      </c>
      <c r="R101" s="206" t="n">
        <f aca="false">R99+R100</f>
        <v>864447.257075201</v>
      </c>
      <c r="S101" s="206" t="n">
        <f aca="false">S99+S100</f>
        <v>858124.686572801</v>
      </c>
      <c r="T101" s="206" t="n">
        <f aca="false">T99+T100</f>
        <v>892516.830625282</v>
      </c>
      <c r="U101" s="206" t="n">
        <f aca="false">U99+U100</f>
        <v>926258.663692034</v>
      </c>
      <c r="V101" s="206" t="n">
        <f aca="false">V99+V100</f>
        <v>959350.185773058</v>
      </c>
      <c r="W101" s="206" t="n">
        <f aca="false">W99+W100</f>
        <v>991791.396868354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-3519700.8</v>
      </c>
      <c r="E104" s="209" t="n">
        <f aca="false">-E95-E96</f>
        <v>373944.97137024</v>
      </c>
      <c r="F104" s="209" t="n">
        <f aca="false">-F95-F96</f>
        <v>176444.10695808</v>
      </c>
      <c r="G104" s="209" t="n">
        <f aca="false">-G95-G96</f>
        <v>187887.96254592</v>
      </c>
      <c r="H104" s="209" t="n">
        <f aca="false">-H95-H96</f>
        <v>199331.81813376</v>
      </c>
      <c r="I104" s="209" t="n">
        <f aca="false">-I95-I96</f>
        <v>210775.6737216</v>
      </c>
      <c r="J104" s="209" t="n">
        <f aca="false">-J95-J96</f>
        <v>222219.52930944</v>
      </c>
      <c r="K104" s="209" t="n">
        <f aca="false">-K95-K96</f>
        <v>233663.38489728</v>
      </c>
      <c r="L104" s="209" t="n">
        <f aca="false">-L95-L96</f>
        <v>245107.24048512</v>
      </c>
      <c r="M104" s="209" t="n">
        <f aca="false">-M95-M96</f>
        <v>256551.09607296</v>
      </c>
      <c r="N104" s="209" t="n">
        <f aca="false">-N95-N96</f>
        <v>267994.9516608</v>
      </c>
      <c r="O104" s="209" t="n">
        <f aca="false">-O95-O96</f>
        <v>310838.00724864</v>
      </c>
      <c r="P104" s="209" t="n">
        <f aca="false">-P95-P96</f>
        <v>322281.86283648</v>
      </c>
      <c r="Q104" s="209" t="n">
        <f aca="false">-Q95-Q96</f>
        <v>333725.71842432</v>
      </c>
      <c r="R104" s="209" t="n">
        <f aca="false">-R95-R96</f>
        <v>345169.57401216</v>
      </c>
      <c r="S104" s="209" t="n">
        <f aca="false">-S95-S96</f>
        <v>356613.4296</v>
      </c>
      <c r="T104" s="209" t="n">
        <f aca="false">-T95-T96</f>
        <v>1247982.48518784</v>
      </c>
      <c r="U104" s="209" t="n">
        <f aca="false">-U95-U96</f>
        <v>1242129.68631629</v>
      </c>
      <c r="V104" s="209" t="n">
        <f aca="false">-V95-V96</f>
        <v>1236276.88744474</v>
      </c>
      <c r="W104" s="209" t="n">
        <f aca="false">-W95-W96</f>
        <v>1230424.08857318</v>
      </c>
      <c r="X104" s="209" t="n">
        <f aca="false">-X95-X96</f>
        <v>991791.396868354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0.0852846340952221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-3104206.3873664</v>
      </c>
      <c r="E106" s="209" t="n">
        <f aca="false">E85</f>
        <v>196049.0077312</v>
      </c>
      <c r="F106" s="209" t="n">
        <f aca="false">F85-F96</f>
        <v>208764.4028288</v>
      </c>
      <c r="G106" s="209" t="n">
        <f aca="false">G85-G96</f>
        <v>221479.7979264</v>
      </c>
      <c r="H106" s="209" t="n">
        <f aca="false">H85-H96</f>
        <v>234195.193024</v>
      </c>
      <c r="I106" s="209" t="n">
        <f aca="false">I85-I96</f>
        <v>246910.5881216</v>
      </c>
      <c r="J106" s="209" t="n">
        <f aca="false">J85-J96</f>
        <v>259625.9832192</v>
      </c>
      <c r="K106" s="209" t="n">
        <f aca="false">K85-K96</f>
        <v>272341.3783168</v>
      </c>
      <c r="L106" s="209" t="n">
        <f aca="false">L85-L96</f>
        <v>285056.7734144</v>
      </c>
      <c r="M106" s="209" t="n">
        <f aca="false">M85-M96</f>
        <v>297772.168512</v>
      </c>
      <c r="N106" s="209" t="n">
        <f aca="false">N85-N96</f>
        <v>345375.5636096</v>
      </c>
      <c r="O106" s="209" t="n">
        <f aca="false">O85-O96</f>
        <v>358090.9587072</v>
      </c>
      <c r="P106" s="209" t="n">
        <f aca="false">P85-P96</f>
        <v>370806.3538048</v>
      </c>
      <c r="Q106" s="209" t="n">
        <f aca="false">Q85-Q96</f>
        <v>383521.7489024</v>
      </c>
      <c r="R106" s="209" t="n">
        <f aca="false">R85-R96</f>
        <v>396237.144</v>
      </c>
      <c r="S106" s="209" t="n">
        <f aca="false">S85-S96</f>
        <v>408952.5390976</v>
      </c>
      <c r="T106" s="209" t="n">
        <f aca="false">T85-T96</f>
        <v>1282374.62924032</v>
      </c>
      <c r="U106" s="209" t="n">
        <f aca="false">U85-U96</f>
        <v>1275871.51938304</v>
      </c>
      <c r="V106" s="209" t="n">
        <f aca="false">V85-V96</f>
        <v>1269368.40952576</v>
      </c>
      <c r="W106" s="209" t="n">
        <f aca="false">W85-W96</f>
        <v>1262865.29966848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0.0975571720055905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14078803.2</v>
      </c>
      <c r="E109" s="206" t="n">
        <f aca="false">D109+E93</f>
        <v>13140216.32</v>
      </c>
      <c r="F109" s="206" t="n">
        <f aca="false">E109+F93</f>
        <v>12201629.44</v>
      </c>
      <c r="G109" s="206" t="n">
        <f aca="false">F109+G93</f>
        <v>11263042.56</v>
      </c>
      <c r="H109" s="206" t="n">
        <f aca="false">G109+H93</f>
        <v>10324455.68</v>
      </c>
      <c r="I109" s="206" t="n">
        <f aca="false">H109+I93</f>
        <v>9385868.8</v>
      </c>
      <c r="J109" s="206" t="n">
        <f aca="false">I109+J93</f>
        <v>8447281.92</v>
      </c>
      <c r="K109" s="206" t="n">
        <f aca="false">J109+K93</f>
        <v>7508695.04</v>
      </c>
      <c r="L109" s="206" t="n">
        <f aca="false">K109+L93</f>
        <v>6570108.16</v>
      </c>
      <c r="M109" s="206" t="n">
        <f aca="false">L109+M93</f>
        <v>5631521.28</v>
      </c>
      <c r="N109" s="206" t="n">
        <f aca="false">M109+N93</f>
        <v>4692934.4</v>
      </c>
      <c r="O109" s="206" t="n">
        <f aca="false">N109+O93</f>
        <v>3754347.52</v>
      </c>
      <c r="P109" s="206" t="n">
        <f aca="false">O109+P93</f>
        <v>2815760.64</v>
      </c>
      <c r="Q109" s="206" t="n">
        <f aca="false">P109+Q93</f>
        <v>1877173.76</v>
      </c>
      <c r="R109" s="206" t="n">
        <f aca="false">Q109+R93</f>
        <v>938586.879999999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130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131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132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133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134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23274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-15808002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-30449.3742</v>
      </c>
      <c r="E49" s="170" t="n">
        <v>-30449.3742</v>
      </c>
      <c r="F49" s="170" t="n">
        <v>-30449.3742</v>
      </c>
      <c r="G49" s="170" t="n">
        <v>-30449.3742</v>
      </c>
      <c r="H49" s="170" t="n">
        <v>-30449.3742</v>
      </c>
      <c r="I49" s="170" t="n">
        <v>-30449.3742</v>
      </c>
      <c r="J49" s="170" t="n">
        <v>-30449.3742</v>
      </c>
      <c r="K49" s="170" t="n">
        <v>-30449.3742</v>
      </c>
      <c r="L49" s="170" t="n">
        <v>-30449.3742</v>
      </c>
      <c r="M49" s="170" t="n">
        <v>-30449.3742</v>
      </c>
      <c r="N49" s="170" t="n">
        <v>-30449.3742</v>
      </c>
      <c r="O49" s="170" t="n">
        <v>-30449.3742</v>
      </c>
      <c r="P49" s="170" t="n">
        <v>-30449.3742</v>
      </c>
      <c r="Q49" s="170" t="n">
        <v>-30449.3742</v>
      </c>
      <c r="R49" s="170" t="n">
        <v>-30449.3742</v>
      </c>
      <c r="S49" s="170" t="n">
        <v>-30449.3742</v>
      </c>
      <c r="T49" s="170" t="n">
        <v>-30449.3742</v>
      </c>
      <c r="U49" s="170" t="n">
        <v>-30449.3742</v>
      </c>
      <c r="V49" s="170" t="n">
        <v>-30449.3742</v>
      </c>
      <c r="W49" s="170" t="n">
        <v>-30449.3742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-194600.0275792</v>
      </c>
      <c r="E54" s="170" t="n">
        <f aca="false">-(E64+E67+E68+E71+E72+E73+E74)*0.2</f>
        <v>-134934.05011488</v>
      </c>
      <c r="F54" s="170" t="n">
        <f aca="false">-(F64+F67+F68+F71+F72+F73+F74)*0.2</f>
        <v>-133308.27265056</v>
      </c>
      <c r="G54" s="170" t="n">
        <f aca="false">-(G64+G67+G68+G71+G72+G73+G74)*0.2</f>
        <v>-131682.49518624</v>
      </c>
      <c r="H54" s="170" t="n">
        <f aca="false">-(H64+H67+H68+H71+H72+H73+H74)*0.2</f>
        <v>-130056.71772192</v>
      </c>
      <c r="I54" s="170" t="n">
        <f aca="false">-(I64+I67+I68+I71+I72+I73+I74)*0.2</f>
        <v>-128430.9402576</v>
      </c>
      <c r="J54" s="170" t="n">
        <f aca="false">-(J64+J67+J68+J71+J72+J73+J74)*0.2</f>
        <v>-126805.16279328</v>
      </c>
      <c r="K54" s="170" t="n">
        <f aca="false">-(K64+K67+K68+K71+K72+K73+K74)*0.2</f>
        <v>-125179.38532896</v>
      </c>
      <c r="L54" s="170" t="n">
        <f aca="false">-(L64+L67+L68+L71+L72+L73+L74)*0.2</f>
        <v>-123553.60786464</v>
      </c>
      <c r="M54" s="170" t="n">
        <f aca="false">-(M64+M67+M68+M71+M72+M73+M74)*0.2</f>
        <v>-121927.83040032</v>
      </c>
      <c r="N54" s="170" t="n">
        <f aca="false">-(N64+N67+N68+N71+N72+N73+N74)*0.2</f>
        <v>-129024.052936</v>
      </c>
      <c r="O54" s="170" t="n">
        <f aca="false">-(O64+O67+O68+O71+O72+O73+O74)*0.2</f>
        <v>-127398.27547168</v>
      </c>
      <c r="P54" s="170" t="n">
        <f aca="false">-(P64+P67+P68+P71+P72+P73+P74)*0.2</f>
        <v>-125772.49800736</v>
      </c>
      <c r="Q54" s="170" t="n">
        <f aca="false">-(Q64+Q67+Q68+Q71+Q72+Q73+Q74)*0.2</f>
        <v>-124146.72054304</v>
      </c>
      <c r="R54" s="170" t="n">
        <f aca="false">-(R64+R67+R68+R71+R72+R73+R74)*0.2</f>
        <v>-122520.94307872</v>
      </c>
      <c r="S54" s="170" t="n">
        <f aca="false">-(S64+S67+S68+S71+S72+S73+S74)*0.2</f>
        <v>-120895.1656144</v>
      </c>
      <c r="T54" s="170" t="n">
        <f aca="false">-(T64+T67+T68+T71+T72+T73+T74)*0.2</f>
        <v>-119269.38815008</v>
      </c>
      <c r="U54" s="170" t="n">
        <f aca="false">-(U64+U67+U68+U71+U72+U73+U74)*0.2</f>
        <v>-117643.61068576</v>
      </c>
      <c r="V54" s="170" t="n">
        <f aca="false">-(V64+V67+V68+V71+V72+V73+V74)*0.2</f>
        <v>-116017.83322144</v>
      </c>
      <c r="W54" s="170" t="n">
        <f aca="false">-(W64+W67+W68+W71+W72+W73+W74)*0.2</f>
        <v>-114392.05575712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-15808002</v>
      </c>
      <c r="D55" s="175" t="n">
        <f aca="false">SUM(D41:D54)</f>
        <v>1568800.2103168</v>
      </c>
      <c r="E55" s="175" t="n">
        <f aca="false">SUM(E41:E54)</f>
        <v>1330136.30045952</v>
      </c>
      <c r="F55" s="175" t="n">
        <f aca="false">SUM(F41:F54)</f>
        <v>1323633.19060224</v>
      </c>
      <c r="G55" s="175" t="n">
        <f aca="false">SUM(G41:G54)</f>
        <v>1317130.08074496</v>
      </c>
      <c r="H55" s="175" t="n">
        <f aca="false">SUM(H41:H54)</f>
        <v>1310626.97088768</v>
      </c>
      <c r="I55" s="175" t="n">
        <f aca="false">SUM(I41:I54)</f>
        <v>1304123.8610304</v>
      </c>
      <c r="J55" s="175" t="n">
        <f aca="false">SUM(J41:J54)</f>
        <v>1297620.75117312</v>
      </c>
      <c r="K55" s="175" t="n">
        <f aca="false">SUM(K41:K54)</f>
        <v>1291117.64131584</v>
      </c>
      <c r="L55" s="175" t="n">
        <f aca="false">SUM(L41:L54)</f>
        <v>1284614.53145856</v>
      </c>
      <c r="M55" s="175" t="n">
        <f aca="false">SUM(M41:M54)</f>
        <v>1278111.42160128</v>
      </c>
      <c r="N55" s="175" t="n">
        <f aca="false">SUM(N41:N54)</f>
        <v>1306496.311744</v>
      </c>
      <c r="O55" s="175" t="n">
        <f aca="false">SUM(O41:O54)</f>
        <v>1299993.20188672</v>
      </c>
      <c r="P55" s="175" t="n">
        <f aca="false">SUM(P41:P54)</f>
        <v>1293490.09202944</v>
      </c>
      <c r="Q55" s="175" t="n">
        <f aca="false">SUM(Q41:Q54)</f>
        <v>1286986.98217216</v>
      </c>
      <c r="R55" s="175" t="n">
        <f aca="false">SUM(R41:R54)</f>
        <v>1280483.87231488</v>
      </c>
      <c r="S55" s="175" t="n">
        <f aca="false">SUM(S41:S54)</f>
        <v>1273980.7624576</v>
      </c>
      <c r="T55" s="175" t="n">
        <f aca="false">SUM(T41:T54)</f>
        <v>1267477.65260032</v>
      </c>
      <c r="U55" s="175" t="n">
        <f aca="false">SUM(U41:U54)</f>
        <v>1260974.54274304</v>
      </c>
      <c r="V55" s="175" t="n">
        <f aca="false">SUM(V41:V54)</f>
        <v>1254471.43288576</v>
      </c>
      <c r="W55" s="175" t="n">
        <f aca="false">SUM(W41:W54)</f>
        <v>1247968.32302848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-14239201.7896832</v>
      </c>
      <c r="E56" s="180" t="n">
        <f aca="false">D56+E55</f>
        <v>-12909065.4892237</v>
      </c>
      <c r="F56" s="180" t="n">
        <f aca="false">E56+F55</f>
        <v>-11585432.2986214</v>
      </c>
      <c r="G56" s="180" t="n">
        <f aca="false">F56+G55</f>
        <v>-10268302.2178765</v>
      </c>
      <c r="H56" s="180" t="n">
        <f aca="false">G56+H55</f>
        <v>-8957675.2469888</v>
      </c>
      <c r="I56" s="180" t="n">
        <f aca="false">H56+I55</f>
        <v>-7653551.3859584</v>
      </c>
      <c r="J56" s="180" t="n">
        <f aca="false">I56+J55</f>
        <v>-6355930.63478528</v>
      </c>
      <c r="K56" s="180" t="n">
        <f aca="false">J56+K55</f>
        <v>-5064812.99346944</v>
      </c>
      <c r="L56" s="180" t="n">
        <f aca="false">K56+L55</f>
        <v>-3780198.46201088</v>
      </c>
      <c r="M56" s="180" t="n">
        <f aca="false">L56+M55</f>
        <v>-2502087.0404096</v>
      </c>
      <c r="N56" s="180" t="n">
        <f aca="false">M56+N55</f>
        <v>-1195590.7286656</v>
      </c>
      <c r="O56" s="180" t="n">
        <f aca="false">N56+O55</f>
        <v>104402.473221117</v>
      </c>
      <c r="P56" s="180" t="n">
        <f aca="false">O56+P55</f>
        <v>1397892.56525056</v>
      </c>
      <c r="Q56" s="180" t="n">
        <f aca="false">P56+Q55</f>
        <v>2684879.54742272</v>
      </c>
      <c r="R56" s="180" t="n">
        <f aca="false">Q56+R55</f>
        <v>3965363.4197376</v>
      </c>
      <c r="S56" s="180" t="n">
        <f aca="false">R56+S55</f>
        <v>5239344.1821952</v>
      </c>
      <c r="T56" s="180" t="n">
        <f aca="false">S56+T55</f>
        <v>6506821.83479552</v>
      </c>
      <c r="U56" s="180" t="n">
        <f aca="false">T56+U55</f>
        <v>7767796.37753856</v>
      </c>
      <c r="V56" s="180" t="n">
        <f aca="false">U56+V55</f>
        <v>9022267.81042432</v>
      </c>
      <c r="W56" s="180" t="n">
        <f aca="false">V56+W55</f>
        <v>10270236.1334528</v>
      </c>
      <c r="X56" s="180" t="n">
        <f aca="false">W56+X55</f>
        <v>10270236.1334528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0.054506623449011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-790400.1</v>
      </c>
      <c r="E67" s="191" t="n">
        <f aca="false">$C$44/$E$16</f>
        <v>-790400.1</v>
      </c>
      <c r="F67" s="191" t="n">
        <f aca="false">$C$44/$E$16</f>
        <v>-790400.1</v>
      </c>
      <c r="G67" s="191" t="n">
        <f aca="false">$C$44/$E$16</f>
        <v>-790400.1</v>
      </c>
      <c r="H67" s="191" t="n">
        <f aca="false">$C$44/$E$16</f>
        <v>-790400.1</v>
      </c>
      <c r="I67" s="191" t="n">
        <f aca="false">$C$44/$E$16</f>
        <v>-790400.1</v>
      </c>
      <c r="J67" s="191" t="n">
        <f aca="false">$C$44/$E$16</f>
        <v>-790400.1</v>
      </c>
      <c r="K67" s="191" t="n">
        <f aca="false">$C$44/$E$16</f>
        <v>-790400.1</v>
      </c>
      <c r="L67" s="191" t="n">
        <f aca="false">$C$44/$E$16</f>
        <v>-790400.1</v>
      </c>
      <c r="M67" s="191" t="n">
        <f aca="false">$C$44/$E$16</f>
        <v>-790400.1</v>
      </c>
      <c r="N67" s="191" t="n">
        <f aca="false">$C$44/$E$16</f>
        <v>-790400.1</v>
      </c>
      <c r="O67" s="191" t="n">
        <f aca="false">$C$44/$E$16</f>
        <v>-790400.1</v>
      </c>
      <c r="P67" s="191" t="n">
        <f aca="false">$C$44/$E$16</f>
        <v>-790400.1</v>
      </c>
      <c r="Q67" s="191" t="n">
        <f aca="false">$C$44/$E$16</f>
        <v>-790400.1</v>
      </c>
      <c r="R67" s="191" t="n">
        <f aca="false">$C$44/$E$16</f>
        <v>-790400.1</v>
      </c>
      <c r="S67" s="191" t="n">
        <f aca="false">$C$44/$E$16</f>
        <v>-790400.1</v>
      </c>
      <c r="T67" s="191" t="n">
        <f aca="false">$C$44/$E$16</f>
        <v>-790400.1</v>
      </c>
      <c r="U67" s="191" t="n">
        <f aca="false">$C$44/$E$16</f>
        <v>-790400.1</v>
      </c>
      <c r="V67" s="191" t="n">
        <f aca="false">$C$44/$E$16</f>
        <v>-790400.1</v>
      </c>
      <c r="W67" s="191" t="n">
        <f aca="false">$C$44/$E$16</f>
        <v>-790400.1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-323684.648952</v>
      </c>
      <c r="E70" s="170" t="n">
        <f aca="false">-E109*$D25</f>
        <v>-302105.6723552</v>
      </c>
      <c r="F70" s="170" t="n">
        <f aca="false">-F109*$D25</f>
        <v>-280526.6957584</v>
      </c>
      <c r="G70" s="170" t="n">
        <f aca="false">-G109*$D25</f>
        <v>-258947.7191616</v>
      </c>
      <c r="H70" s="170" t="n">
        <f aca="false">-H109*$D25</f>
        <v>-237368.7425648</v>
      </c>
      <c r="I70" s="170" t="n">
        <f aca="false">-I109*$D25</f>
        <v>-215789.765968</v>
      </c>
      <c r="J70" s="170" t="n">
        <f aca="false">-J109*$D25</f>
        <v>-194210.7893712</v>
      </c>
      <c r="K70" s="170" t="n">
        <f aca="false">-K109*$D25</f>
        <v>-172631.8127744</v>
      </c>
      <c r="L70" s="170" t="n">
        <f aca="false">-L109*$D25</f>
        <v>-151052.8361776</v>
      </c>
      <c r="M70" s="170" t="n">
        <f aca="false">-M109*$D25</f>
        <v>-129473.8595808</v>
      </c>
      <c r="N70" s="170" t="n">
        <f aca="false">-N109*$D25</f>
        <v>-107894.882984</v>
      </c>
      <c r="O70" s="170" t="n">
        <f aca="false">-O109*$D25</f>
        <v>-86315.9063872002</v>
      </c>
      <c r="P70" s="170" t="n">
        <f aca="false">-P109*$D25</f>
        <v>-64736.9297904002</v>
      </c>
      <c r="Q70" s="170" t="n">
        <f aca="false">-Q109*$D25</f>
        <v>-43157.9531936002</v>
      </c>
      <c r="R70" s="170" t="n">
        <f aca="false">-R109*$D25</f>
        <v>-21578.9765968002</v>
      </c>
      <c r="S70" s="170" t="n">
        <f aca="false">-S109*$D25</f>
        <v>-1.78779009729624E-010</v>
      </c>
      <c r="T70" s="170" t="n">
        <f aca="false">-T109*$D25</f>
        <v>-1.78779009729624E-010</v>
      </c>
      <c r="U70" s="170" t="n">
        <f aca="false">-U109*$D25</f>
        <v>-1.78779009729624E-010</v>
      </c>
      <c r="V70" s="170" t="n">
        <f aca="false">-V109*$D25</f>
        <v>-1.78779009729624E-010</v>
      </c>
      <c r="W70" s="170" t="n">
        <f aca="false">-W109*$D25</f>
        <v>-1.78779009729624E-010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-30449.3742</v>
      </c>
      <c r="E72" s="170" t="n">
        <f aca="false">E49</f>
        <v>-30449.3742</v>
      </c>
      <c r="F72" s="170" t="n">
        <f aca="false">F49</f>
        <v>-30449.3742</v>
      </c>
      <c r="G72" s="170" t="n">
        <f aca="false">G49</f>
        <v>-30449.3742</v>
      </c>
      <c r="H72" s="170" t="n">
        <f aca="false">H49</f>
        <v>-30449.3742</v>
      </c>
      <c r="I72" s="170" t="n">
        <f aca="false">I49</f>
        <v>-30449.3742</v>
      </c>
      <c r="J72" s="170" t="n">
        <f aca="false">J49</f>
        <v>-30449.3742</v>
      </c>
      <c r="K72" s="170" t="n">
        <f aca="false">K49</f>
        <v>-30449.3742</v>
      </c>
      <c r="L72" s="170" t="n">
        <f aca="false">L49</f>
        <v>-30449.3742</v>
      </c>
      <c r="M72" s="170" t="n">
        <f aca="false">M49</f>
        <v>-30449.3742</v>
      </c>
      <c r="N72" s="170" t="n">
        <f aca="false">N49</f>
        <v>-30449.3742</v>
      </c>
      <c r="O72" s="170" t="n">
        <f aca="false">O49</f>
        <v>-30449.3742</v>
      </c>
      <c r="P72" s="170" t="n">
        <f aca="false">P49</f>
        <v>-30449.3742</v>
      </c>
      <c r="Q72" s="170" t="n">
        <f aca="false">Q49</f>
        <v>-30449.3742</v>
      </c>
      <c r="R72" s="170" t="n">
        <f aca="false">R49</f>
        <v>-30449.3742</v>
      </c>
      <c r="S72" s="170" t="n">
        <f aca="false">S49</f>
        <v>-30449.3742</v>
      </c>
      <c r="T72" s="170" t="n">
        <f aca="false">T49</f>
        <v>-30449.3742</v>
      </c>
      <c r="U72" s="170" t="n">
        <f aca="false">U49</f>
        <v>-30449.3742</v>
      </c>
      <c r="V72" s="170" t="n">
        <f aca="false">V49</f>
        <v>-30449.3742</v>
      </c>
      <c r="W72" s="170" t="n">
        <f aca="false">W49</f>
        <v>-30449.3742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649315.488944</v>
      </c>
      <c r="E76" s="175" t="n">
        <f aca="false">SUM(E64:E75)</f>
        <v>372564.5782192</v>
      </c>
      <c r="F76" s="175" t="n">
        <f aca="false">SUM(F64:F75)</f>
        <v>386014.6674944</v>
      </c>
      <c r="G76" s="175" t="n">
        <f aca="false">SUM(G64:G75)</f>
        <v>399464.7567696</v>
      </c>
      <c r="H76" s="175" t="n">
        <f aca="false">SUM(H64:H75)</f>
        <v>412914.8460448</v>
      </c>
      <c r="I76" s="175" t="n">
        <f aca="false">SUM(I64:I75)</f>
        <v>426364.93532</v>
      </c>
      <c r="J76" s="175" t="n">
        <f aca="false">SUM(J64:J75)</f>
        <v>439815.0245952</v>
      </c>
      <c r="K76" s="175" t="n">
        <f aca="false">SUM(K64:K75)</f>
        <v>453265.1138704</v>
      </c>
      <c r="L76" s="175" t="n">
        <f aca="false">SUM(L64:L75)</f>
        <v>466715.2031456</v>
      </c>
      <c r="M76" s="175" t="n">
        <f aca="false">SUM(M64:M75)</f>
        <v>480165.2924208</v>
      </c>
      <c r="N76" s="175" t="n">
        <f aca="false">SUM(N64:N75)</f>
        <v>537225.381696</v>
      </c>
      <c r="O76" s="175" t="n">
        <f aca="false">SUM(O64:O75)</f>
        <v>550675.4709712</v>
      </c>
      <c r="P76" s="175" t="n">
        <f aca="false">SUM(P64:P75)</f>
        <v>564125.5602464</v>
      </c>
      <c r="Q76" s="175" t="n">
        <f aca="false">SUM(Q64:Q75)</f>
        <v>577575.6495216</v>
      </c>
      <c r="R76" s="175" t="n">
        <f aca="false">SUM(R64:R75)</f>
        <v>591025.7387968</v>
      </c>
      <c r="S76" s="175" t="n">
        <f aca="false">SUM(S64:S75)</f>
        <v>604475.828072</v>
      </c>
      <c r="T76" s="175" t="n">
        <f aca="false">SUM(T64:T75)</f>
        <v>596346.9407504</v>
      </c>
      <c r="U76" s="175" t="n">
        <f aca="false">SUM(U64:U75)</f>
        <v>588218.0534288</v>
      </c>
      <c r="V76" s="175" t="n">
        <f aca="false">SUM(V64:V75)</f>
        <v>580089.1661072</v>
      </c>
      <c r="W76" s="175" t="n">
        <f aca="false">SUM(W64:W75)</f>
        <v>571960.2787856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-129863.0977888</v>
      </c>
      <c r="E77" s="170" t="n">
        <f aca="false">-E76*0.2</f>
        <v>-74512.91564384</v>
      </c>
      <c r="F77" s="170" t="n">
        <f aca="false">-F76*0.2</f>
        <v>-77202.93349888</v>
      </c>
      <c r="G77" s="170" t="n">
        <f aca="false">-G76*0.2</f>
        <v>-79892.95135392</v>
      </c>
      <c r="H77" s="170" t="n">
        <f aca="false">-H76*0.2</f>
        <v>-82582.96920896</v>
      </c>
      <c r="I77" s="170" t="n">
        <f aca="false">-I76*0.2</f>
        <v>-85272.9870639999</v>
      </c>
      <c r="J77" s="170" t="n">
        <f aca="false">-J76*0.2</f>
        <v>-87963.00491904</v>
      </c>
      <c r="K77" s="170" t="n">
        <f aca="false">-K76*0.2</f>
        <v>-90653.02277408</v>
      </c>
      <c r="L77" s="170" t="n">
        <f aca="false">-L76*0.2</f>
        <v>-93343.04062912</v>
      </c>
      <c r="M77" s="170" t="n">
        <f aca="false">-M76*0.2</f>
        <v>-96033.05848416</v>
      </c>
      <c r="N77" s="170" t="n">
        <f aca="false">-N76*0.2</f>
        <v>-107445.0763392</v>
      </c>
      <c r="O77" s="170" t="n">
        <f aca="false">-O76*0.2</f>
        <v>-110135.09419424</v>
      </c>
      <c r="P77" s="170" t="n">
        <f aca="false">-P76*0.2</f>
        <v>-112825.11204928</v>
      </c>
      <c r="Q77" s="170" t="n">
        <f aca="false">-Q76*0.2</f>
        <v>-115515.12990432</v>
      </c>
      <c r="R77" s="170" t="n">
        <f aca="false">-R76*0.2</f>
        <v>-118205.14775936</v>
      </c>
      <c r="S77" s="170" t="n">
        <f aca="false">-S76*0.2</f>
        <v>-120895.1656144</v>
      </c>
      <c r="T77" s="170" t="n">
        <f aca="false">-T76*0.2</f>
        <v>-119269.38815008</v>
      </c>
      <c r="U77" s="170" t="n">
        <f aca="false">-U76*0.2</f>
        <v>-117643.61068576</v>
      </c>
      <c r="V77" s="170" t="n">
        <f aca="false">-V76*0.2</f>
        <v>-116017.83322144</v>
      </c>
      <c r="W77" s="170" t="n">
        <f aca="false">-W76*0.2</f>
        <v>-114392.05575712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519452.3911552</v>
      </c>
      <c r="E78" s="170" t="n">
        <f aca="false">SUM(E76:E77)</f>
        <v>298051.66257536</v>
      </c>
      <c r="F78" s="170" t="n">
        <f aca="false">SUM(F76:F77)</f>
        <v>308811.73399552</v>
      </c>
      <c r="G78" s="170" t="n">
        <f aca="false">SUM(G76:G77)</f>
        <v>319571.80541568</v>
      </c>
      <c r="H78" s="170" t="n">
        <f aca="false">SUM(H76:H77)</f>
        <v>330331.87683584</v>
      </c>
      <c r="I78" s="170" t="n">
        <f aca="false">SUM(I76:I77)</f>
        <v>341091.948256</v>
      </c>
      <c r="J78" s="170" t="n">
        <f aca="false">SUM(J76:J77)</f>
        <v>351852.01967616</v>
      </c>
      <c r="K78" s="170" t="n">
        <f aca="false">SUM(K76:K77)</f>
        <v>362612.09109632</v>
      </c>
      <c r="L78" s="170" t="n">
        <f aca="false">SUM(L76:L77)</f>
        <v>373372.16251648</v>
      </c>
      <c r="M78" s="170" t="n">
        <f aca="false">SUM(M76:M77)</f>
        <v>384132.23393664</v>
      </c>
      <c r="N78" s="170" t="n">
        <f aca="false">SUM(N76:N77)</f>
        <v>429780.3053568</v>
      </c>
      <c r="O78" s="170" t="n">
        <f aca="false">SUM(O76:O77)</f>
        <v>440540.37677696</v>
      </c>
      <c r="P78" s="170" t="n">
        <f aca="false">SUM(P76:P77)</f>
        <v>451300.44819712</v>
      </c>
      <c r="Q78" s="170" t="n">
        <f aca="false">SUM(Q76:Q77)</f>
        <v>462060.51961728</v>
      </c>
      <c r="R78" s="170" t="n">
        <f aca="false">SUM(R76:R77)</f>
        <v>472820.59103744</v>
      </c>
      <c r="S78" s="170" t="n">
        <f aca="false">SUM(S76:S77)</f>
        <v>483580.6624576</v>
      </c>
      <c r="T78" s="170" t="n">
        <f aca="false">SUM(T76:T77)</f>
        <v>477077.55260032</v>
      </c>
      <c r="U78" s="170" t="n">
        <f aca="false">SUM(U76:U77)</f>
        <v>470574.44274304</v>
      </c>
      <c r="V78" s="170" t="n">
        <f aca="false">SUM(V76:V77)</f>
        <v>464071.33288576</v>
      </c>
      <c r="W78" s="170" t="n">
        <f aca="false">SUM(W76:W77)</f>
        <v>457568.22302848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519452.3911552</v>
      </c>
      <c r="E85" s="206" t="n">
        <f aca="false">E78</f>
        <v>298051.66257536</v>
      </c>
      <c r="F85" s="206" t="n">
        <f aca="false">F78</f>
        <v>308811.73399552</v>
      </c>
      <c r="G85" s="206" t="n">
        <f aca="false">G78</f>
        <v>319571.80541568</v>
      </c>
      <c r="H85" s="206" t="n">
        <f aca="false">H78</f>
        <v>330331.87683584</v>
      </c>
      <c r="I85" s="206" t="n">
        <f aca="false">I78</f>
        <v>341091.948256</v>
      </c>
      <c r="J85" s="206" t="n">
        <f aca="false">J78</f>
        <v>351852.01967616</v>
      </c>
      <c r="K85" s="206" t="n">
        <f aca="false">K78</f>
        <v>362612.09109632</v>
      </c>
      <c r="L85" s="206" t="n">
        <f aca="false">L78</f>
        <v>373372.16251648</v>
      </c>
      <c r="M85" s="206" t="n">
        <f aca="false">M78</f>
        <v>384132.23393664</v>
      </c>
      <c r="N85" s="206" t="n">
        <f aca="false">N78</f>
        <v>429780.3053568</v>
      </c>
      <c r="O85" s="206" t="n">
        <f aca="false">O78</f>
        <v>440540.37677696</v>
      </c>
      <c r="P85" s="206" t="n">
        <f aca="false">P78</f>
        <v>451300.44819712</v>
      </c>
      <c r="Q85" s="206" t="n">
        <f aca="false">Q78</f>
        <v>462060.51961728</v>
      </c>
      <c r="R85" s="206" t="n">
        <f aca="false">R78</f>
        <v>472820.59103744</v>
      </c>
      <c r="S85" s="206" t="n">
        <f aca="false">S78</f>
        <v>483580.6624576</v>
      </c>
      <c r="T85" s="206" t="n">
        <f aca="false">T78</f>
        <v>477077.55260032</v>
      </c>
      <c r="U85" s="206" t="n">
        <f aca="false">U78</f>
        <v>470574.44274304</v>
      </c>
      <c r="V85" s="206" t="n">
        <f aca="false">V78</f>
        <v>464071.33288576</v>
      </c>
      <c r="W85" s="206" t="n">
        <f aca="false">W78</f>
        <v>457568.22302848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790400.1</v>
      </c>
      <c r="E86" s="207" t="n">
        <f aca="false">-E67</f>
        <v>790400.1</v>
      </c>
      <c r="F86" s="207" t="n">
        <f aca="false">-F67</f>
        <v>790400.1</v>
      </c>
      <c r="G86" s="207" t="n">
        <f aca="false">-G67</f>
        <v>790400.1</v>
      </c>
      <c r="H86" s="207" t="n">
        <f aca="false">-H67</f>
        <v>790400.1</v>
      </c>
      <c r="I86" s="207" t="n">
        <f aca="false">-I67</f>
        <v>790400.1</v>
      </c>
      <c r="J86" s="207" t="n">
        <f aca="false">-J67</f>
        <v>790400.1</v>
      </c>
      <c r="K86" s="207" t="n">
        <f aca="false">-K67</f>
        <v>790400.1</v>
      </c>
      <c r="L86" s="207" t="n">
        <f aca="false">-L67</f>
        <v>790400.1</v>
      </c>
      <c r="M86" s="207" t="n">
        <f aca="false">-M67</f>
        <v>790400.1</v>
      </c>
      <c r="N86" s="207" t="n">
        <f aca="false">-N67</f>
        <v>790400.1</v>
      </c>
      <c r="O86" s="207" t="n">
        <f aca="false">-O67</f>
        <v>790400.1</v>
      </c>
      <c r="P86" s="207" t="n">
        <f aca="false">-P67</f>
        <v>790400.1</v>
      </c>
      <c r="Q86" s="207" t="n">
        <f aca="false">-Q67</f>
        <v>790400.1</v>
      </c>
      <c r="R86" s="207" t="n">
        <f aca="false">-R67</f>
        <v>790400.1</v>
      </c>
      <c r="S86" s="207" t="n">
        <f aca="false">-S67</f>
        <v>790400.1</v>
      </c>
      <c r="T86" s="207" t="n">
        <f aca="false">-T67</f>
        <v>790400.1</v>
      </c>
      <c r="U86" s="207" t="n">
        <f aca="false">-U67</f>
        <v>790400.1</v>
      </c>
      <c r="V86" s="207" t="n">
        <f aca="false">-V67</f>
        <v>790400.1</v>
      </c>
      <c r="W86" s="207" t="n">
        <f aca="false">-W67</f>
        <v>790400.1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1309852.4911552</v>
      </c>
      <c r="E87" s="209" t="n">
        <f aca="false">SUM(E85:E86)</f>
        <v>1088451.76257536</v>
      </c>
      <c r="F87" s="209" t="n">
        <f aca="false">SUM(F85:F86)</f>
        <v>1099211.83399552</v>
      </c>
      <c r="G87" s="209" t="n">
        <f aca="false">SUM(G85:G86)</f>
        <v>1109971.90541568</v>
      </c>
      <c r="H87" s="209" t="n">
        <f aca="false">SUM(H85:H86)</f>
        <v>1120731.97683584</v>
      </c>
      <c r="I87" s="209" t="n">
        <f aca="false">SUM(I85:I86)</f>
        <v>1131492.048256</v>
      </c>
      <c r="J87" s="209" t="n">
        <f aca="false">SUM(J85:J86)</f>
        <v>1142252.11967616</v>
      </c>
      <c r="K87" s="209" t="n">
        <f aca="false">SUM(K85:K86)</f>
        <v>1153012.19109632</v>
      </c>
      <c r="L87" s="209" t="n">
        <f aca="false">SUM(L85:L86)</f>
        <v>1163772.26251648</v>
      </c>
      <c r="M87" s="209" t="n">
        <f aca="false">SUM(M85:M86)</f>
        <v>1174532.33393664</v>
      </c>
      <c r="N87" s="209" t="n">
        <f aca="false">SUM(N85:N86)</f>
        <v>1220180.4053568</v>
      </c>
      <c r="O87" s="209" t="n">
        <f aca="false">SUM(O85:O86)</f>
        <v>1230940.47677696</v>
      </c>
      <c r="P87" s="209" t="n">
        <f aca="false">SUM(P85:P86)</f>
        <v>1241700.54819712</v>
      </c>
      <c r="Q87" s="209" t="n">
        <f aca="false">SUM(Q85:Q86)</f>
        <v>1252460.61961728</v>
      </c>
      <c r="R87" s="209" t="n">
        <f aca="false">SUM(R85:R86)</f>
        <v>1263220.69103744</v>
      </c>
      <c r="S87" s="209" t="n">
        <f aca="false">SUM(S85:S86)</f>
        <v>1273980.7624576</v>
      </c>
      <c r="T87" s="209" t="n">
        <f aca="false">SUM(T85:T86)</f>
        <v>1267477.65260032</v>
      </c>
      <c r="U87" s="209" t="n">
        <f aca="false">SUM(U85:U86)</f>
        <v>1260974.54274304</v>
      </c>
      <c r="V87" s="209" t="n">
        <f aca="false">SUM(V85:V86)</f>
        <v>1254471.43288576</v>
      </c>
      <c r="W87" s="209" t="n">
        <f aca="false">SUM(W85:W86)</f>
        <v>1247968.32302848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-15808002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12646401.6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-843093.44</v>
      </c>
      <c r="F93" s="215" t="n">
        <v>-843093.44</v>
      </c>
      <c r="G93" s="215" t="n">
        <v>-843093.44</v>
      </c>
      <c r="H93" s="215" t="n">
        <v>-843093.44</v>
      </c>
      <c r="I93" s="215" t="n">
        <v>-843093.44</v>
      </c>
      <c r="J93" s="215" t="n">
        <v>-843093.44</v>
      </c>
      <c r="K93" s="215" t="n">
        <v>-843093.44</v>
      </c>
      <c r="L93" s="215" t="n">
        <v>-843093.44</v>
      </c>
      <c r="M93" s="215" t="n">
        <v>-843093.44</v>
      </c>
      <c r="N93" s="215" t="n">
        <v>-843093.44</v>
      </c>
      <c r="O93" s="215" t="n">
        <v>-843093.44</v>
      </c>
      <c r="P93" s="215" t="n">
        <v>-843093.44</v>
      </c>
      <c r="Q93" s="215" t="n">
        <v>-843093.44</v>
      </c>
      <c r="R93" s="215" t="n">
        <v>-843093.44</v>
      </c>
      <c r="S93" s="215" t="n">
        <v>-843093.44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3161600.4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-467507.15203968</v>
      </c>
      <c r="F95" s="216" t="n">
        <f aca="false">-E85*$D$33</f>
        <v>-268246.496317824</v>
      </c>
      <c r="G95" s="216" t="n">
        <f aca="false">-F85*$D$33</f>
        <v>-277930.560595968</v>
      </c>
      <c r="H95" s="216" t="n">
        <f aca="false">-G85*$D$33</f>
        <v>-287614.624874112</v>
      </c>
      <c r="I95" s="216" t="n">
        <f aca="false">-H85*$D$33</f>
        <v>-297298.689152256</v>
      </c>
      <c r="J95" s="216" t="n">
        <f aca="false">-I85*$D$33</f>
        <v>-306982.7534304</v>
      </c>
      <c r="K95" s="216" t="n">
        <f aca="false">-J85*$D$33</f>
        <v>-316666.817708544</v>
      </c>
      <c r="L95" s="216" t="n">
        <f aca="false">-K85*$D$33</f>
        <v>-326350.881986688</v>
      </c>
      <c r="M95" s="216" t="n">
        <f aca="false">-L85*$D$33</f>
        <v>-336034.946264832</v>
      </c>
      <c r="N95" s="216" t="n">
        <f aca="false">-M85*$D$33</f>
        <v>-345719.010542976</v>
      </c>
      <c r="O95" s="216" t="n">
        <f aca="false">-N85*$D$33</f>
        <v>-386802.27482112</v>
      </c>
      <c r="P95" s="216" t="n">
        <f aca="false">-O85*$D$33</f>
        <v>-396486.339099264</v>
      </c>
      <c r="Q95" s="216" t="n">
        <f aca="false">-P85*$D$33</f>
        <v>-406170.403377408</v>
      </c>
      <c r="R95" s="216" t="n">
        <f aca="false">-Q85*$D$33</f>
        <v>-415854.467655552</v>
      </c>
      <c r="S95" s="216" t="n">
        <f aca="false">-R85*$D$33</f>
        <v>-425538.531933696</v>
      </c>
      <c r="T95" s="216" t="n">
        <f aca="false">-S85*$D$33</f>
        <v>-435222.59621184</v>
      </c>
      <c r="U95" s="216" t="n">
        <f aca="false">-T85*$D$33</f>
        <v>-429369.797340288</v>
      </c>
      <c r="V95" s="216" t="n">
        <f aca="false">-U85*$D$33</f>
        <v>-423516.998468736</v>
      </c>
      <c r="W95" s="216" t="n">
        <f aca="false">-V85*$D$33</f>
        <v>-417664.199597184</v>
      </c>
      <c r="X95" s="216" t="n">
        <f aca="false">-W85*$D$33</f>
        <v>-411811.400725632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-790400.1</v>
      </c>
      <c r="U96" s="219" t="n">
        <v>-790400.1</v>
      </c>
      <c r="V96" s="219" t="n">
        <v>-790400.1</v>
      </c>
      <c r="W96" s="219" t="n">
        <v>-790400.1</v>
      </c>
      <c r="X96" s="220" t="n">
        <f aca="false">-W101-X95</f>
        <v>-819865.438016001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1309852.4911552</v>
      </c>
      <c r="E99" s="206" t="n">
        <f aca="false">SUM(E87:E96)</f>
        <v>-222148.82946432</v>
      </c>
      <c r="F99" s="206" t="n">
        <f aca="false">SUM(F87:F96)</f>
        <v>-12128.1023223039</v>
      </c>
      <c r="G99" s="206" t="n">
        <f aca="false">SUM(G87:G96)</f>
        <v>-11052.0951802878</v>
      </c>
      <c r="H99" s="206" t="n">
        <f aca="false">SUM(H87:H96)</f>
        <v>-9976.08803827228</v>
      </c>
      <c r="I99" s="206" t="n">
        <f aca="false">SUM(I87:I96)</f>
        <v>-8900.08089625591</v>
      </c>
      <c r="J99" s="206" t="n">
        <f aca="false">SUM(J87:J96)</f>
        <v>-7824.07375423983</v>
      </c>
      <c r="K99" s="206" t="n">
        <f aca="false">SUM(K87:K96)</f>
        <v>-6748.0666122241</v>
      </c>
      <c r="L99" s="206" t="n">
        <f aca="false">SUM(L87:L96)</f>
        <v>-5672.05947020807</v>
      </c>
      <c r="M99" s="206" t="n">
        <f aca="false">SUM(M87:M96)</f>
        <v>-4596.05232819187</v>
      </c>
      <c r="N99" s="206" t="n">
        <f aca="false">SUM(N87:N96)</f>
        <v>31367.954813824</v>
      </c>
      <c r="O99" s="206" t="n">
        <f aca="false">SUM(O87:O96)</f>
        <v>1044.76195584005</v>
      </c>
      <c r="P99" s="206" t="n">
        <f aca="false">SUM(P87:P96)</f>
        <v>2120.76909785601</v>
      </c>
      <c r="Q99" s="206" t="n">
        <f aca="false">SUM(Q87:Q96)</f>
        <v>3196.7762398721</v>
      </c>
      <c r="R99" s="206" t="n">
        <f aca="false">SUM(R87:R96)</f>
        <v>4272.78338188794</v>
      </c>
      <c r="S99" s="206" t="n">
        <f aca="false">SUM(S87:S96)</f>
        <v>5348.79052390409</v>
      </c>
      <c r="T99" s="206" t="n">
        <f aca="false">SUM(T87:T96)</f>
        <v>41854.9563884798</v>
      </c>
      <c r="U99" s="206" t="n">
        <f aca="false">SUM(U87:U96)</f>
        <v>41204.6454027522</v>
      </c>
      <c r="V99" s="206" t="n">
        <f aca="false">SUM(V87:V96)</f>
        <v>40554.3344170237</v>
      </c>
      <c r="W99" s="206" t="n">
        <f aca="false">SUM(W87:W96)</f>
        <v>39904.0234312961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1309852.4911552</v>
      </c>
      <c r="F100" s="206" t="n">
        <f aca="false">E101</f>
        <v>1087703.66169088</v>
      </c>
      <c r="G100" s="206" t="n">
        <f aca="false">F101</f>
        <v>1075575.55936858</v>
      </c>
      <c r="H100" s="206" t="n">
        <f aca="false">G101</f>
        <v>1064523.46418829</v>
      </c>
      <c r="I100" s="206" t="n">
        <f aca="false">H101</f>
        <v>1054547.37615002</v>
      </c>
      <c r="J100" s="206" t="n">
        <f aca="false">I101</f>
        <v>1045647.29525376</v>
      </c>
      <c r="K100" s="206" t="n">
        <f aca="false">J101</f>
        <v>1037823.22149952</v>
      </c>
      <c r="L100" s="206" t="n">
        <f aca="false">K101</f>
        <v>1031075.1548873</v>
      </c>
      <c r="M100" s="206" t="n">
        <f aca="false">L101</f>
        <v>1025403.09541709</v>
      </c>
      <c r="N100" s="206" t="n">
        <f aca="false">M101</f>
        <v>1020807.0430889</v>
      </c>
      <c r="O100" s="206" t="n">
        <f aca="false">N101</f>
        <v>1052174.99790272</v>
      </c>
      <c r="P100" s="206" t="n">
        <f aca="false">O101</f>
        <v>1053219.75985856</v>
      </c>
      <c r="Q100" s="206" t="n">
        <f aca="false">P101</f>
        <v>1055340.52895642</v>
      </c>
      <c r="R100" s="206" t="n">
        <f aca="false">Q101</f>
        <v>1058537.30519629</v>
      </c>
      <c r="S100" s="206" t="n">
        <f aca="false">R101</f>
        <v>1062810.08857818</v>
      </c>
      <c r="T100" s="206" t="n">
        <f aca="false">S101</f>
        <v>1068158.87910208</v>
      </c>
      <c r="U100" s="206" t="n">
        <f aca="false">T101</f>
        <v>1110013.83549056</v>
      </c>
      <c r="V100" s="206" t="n">
        <f aca="false">U101</f>
        <v>1151218.48089331</v>
      </c>
      <c r="W100" s="206" t="n">
        <f aca="false">V101</f>
        <v>1191772.81531034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1309852.4911552</v>
      </c>
      <c r="E101" s="206" t="n">
        <f aca="false">E99+E100</f>
        <v>1087703.66169088</v>
      </c>
      <c r="F101" s="206" t="n">
        <f aca="false">F99+F100</f>
        <v>1075575.55936858</v>
      </c>
      <c r="G101" s="206" t="n">
        <f aca="false">G99+G100</f>
        <v>1064523.46418829</v>
      </c>
      <c r="H101" s="206" t="n">
        <f aca="false">H99+H100</f>
        <v>1054547.37615002</v>
      </c>
      <c r="I101" s="206" t="n">
        <f aca="false">I99+I100</f>
        <v>1045647.29525376</v>
      </c>
      <c r="J101" s="206" t="n">
        <f aca="false">J99+J100</f>
        <v>1037823.22149952</v>
      </c>
      <c r="K101" s="206" t="n">
        <f aca="false">K99+K100</f>
        <v>1031075.1548873</v>
      </c>
      <c r="L101" s="206" t="n">
        <f aca="false">L99+L100</f>
        <v>1025403.09541709</v>
      </c>
      <c r="M101" s="206" t="n">
        <f aca="false">M99+M100</f>
        <v>1020807.0430889</v>
      </c>
      <c r="N101" s="206" t="n">
        <f aca="false">N99+N100</f>
        <v>1052174.99790272</v>
      </c>
      <c r="O101" s="206" t="n">
        <f aca="false">O99+O100</f>
        <v>1053219.75985856</v>
      </c>
      <c r="P101" s="206" t="n">
        <f aca="false">P99+P100</f>
        <v>1055340.52895642</v>
      </c>
      <c r="Q101" s="206" t="n">
        <f aca="false">Q99+Q100</f>
        <v>1058537.30519629</v>
      </c>
      <c r="R101" s="206" t="n">
        <f aca="false">R99+R100</f>
        <v>1062810.08857818</v>
      </c>
      <c r="S101" s="206" t="n">
        <f aca="false">S99+S100</f>
        <v>1068158.87910208</v>
      </c>
      <c r="T101" s="206" t="n">
        <f aca="false">T99+T100</f>
        <v>1110013.83549056</v>
      </c>
      <c r="U101" s="206" t="n">
        <f aca="false">U99+U100</f>
        <v>1151218.48089331</v>
      </c>
      <c r="V101" s="206" t="n">
        <f aca="false">V99+V100</f>
        <v>1191772.81531034</v>
      </c>
      <c r="W101" s="206" t="n">
        <f aca="false">W99+W100</f>
        <v>1231676.83874163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-3161600.4</v>
      </c>
      <c r="E104" s="209" t="n">
        <f aca="false">-E95-E96</f>
        <v>467507.15203968</v>
      </c>
      <c r="F104" s="209" t="n">
        <f aca="false">-F95-F96</f>
        <v>268246.496317824</v>
      </c>
      <c r="G104" s="209" t="n">
        <f aca="false">-G95-G96</f>
        <v>277930.560595968</v>
      </c>
      <c r="H104" s="209" t="n">
        <f aca="false">-H95-H96</f>
        <v>287614.624874112</v>
      </c>
      <c r="I104" s="209" t="n">
        <f aca="false">-I95-I96</f>
        <v>297298.689152256</v>
      </c>
      <c r="J104" s="209" t="n">
        <f aca="false">-J95-J96</f>
        <v>306982.7534304</v>
      </c>
      <c r="K104" s="209" t="n">
        <f aca="false">-K95-K96</f>
        <v>316666.817708544</v>
      </c>
      <c r="L104" s="209" t="n">
        <f aca="false">-L95-L96</f>
        <v>326350.881986688</v>
      </c>
      <c r="M104" s="209" t="n">
        <f aca="false">-M95-M96</f>
        <v>336034.946264832</v>
      </c>
      <c r="N104" s="209" t="n">
        <f aca="false">-N95-N96</f>
        <v>345719.010542976</v>
      </c>
      <c r="O104" s="209" t="n">
        <f aca="false">-O95-O96</f>
        <v>386802.27482112</v>
      </c>
      <c r="P104" s="209" t="n">
        <f aca="false">-P95-P96</f>
        <v>396486.339099264</v>
      </c>
      <c r="Q104" s="209" t="n">
        <f aca="false">-Q95-Q96</f>
        <v>406170.403377408</v>
      </c>
      <c r="R104" s="209" t="n">
        <f aca="false">-R95-R96</f>
        <v>415854.467655552</v>
      </c>
      <c r="S104" s="209" t="n">
        <f aca="false">-S95-S96</f>
        <v>425538.531933696</v>
      </c>
      <c r="T104" s="209" t="n">
        <f aca="false">-T95-T96</f>
        <v>1225622.69621184</v>
      </c>
      <c r="U104" s="209" t="n">
        <f aca="false">-U95-U96</f>
        <v>1219769.89734029</v>
      </c>
      <c r="V104" s="209" t="n">
        <f aca="false">-V95-V96</f>
        <v>1213917.09846874</v>
      </c>
      <c r="W104" s="209" t="n">
        <f aca="false">-W95-W96</f>
        <v>1208064.29959718</v>
      </c>
      <c r="X104" s="209" t="n">
        <f aca="false">-X95-X96</f>
        <v>1231676.83874163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0.118224719774106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-2642148.0088448</v>
      </c>
      <c r="E106" s="209" t="n">
        <f aca="false">E85</f>
        <v>298051.66257536</v>
      </c>
      <c r="F106" s="209" t="n">
        <f aca="false">F85-F96</f>
        <v>308811.73399552</v>
      </c>
      <c r="G106" s="209" t="n">
        <f aca="false">G85-G96</f>
        <v>319571.80541568</v>
      </c>
      <c r="H106" s="209" t="n">
        <f aca="false">H85-H96</f>
        <v>330331.87683584</v>
      </c>
      <c r="I106" s="209" t="n">
        <f aca="false">I85-I96</f>
        <v>341091.948256</v>
      </c>
      <c r="J106" s="209" t="n">
        <f aca="false">J85-J96</f>
        <v>351852.01967616</v>
      </c>
      <c r="K106" s="209" t="n">
        <f aca="false">K85-K96</f>
        <v>362612.09109632</v>
      </c>
      <c r="L106" s="209" t="n">
        <f aca="false">L85-L96</f>
        <v>373372.16251648</v>
      </c>
      <c r="M106" s="209" t="n">
        <f aca="false">M85-M96</f>
        <v>384132.23393664</v>
      </c>
      <c r="N106" s="209" t="n">
        <f aca="false">N85-N96</f>
        <v>429780.3053568</v>
      </c>
      <c r="O106" s="209" t="n">
        <f aca="false">O85-O96</f>
        <v>440540.37677696</v>
      </c>
      <c r="P106" s="209" t="n">
        <f aca="false">P85-P96</f>
        <v>451300.44819712</v>
      </c>
      <c r="Q106" s="209" t="n">
        <f aca="false">Q85-Q96</f>
        <v>462060.51961728</v>
      </c>
      <c r="R106" s="209" t="n">
        <f aca="false">R85-R96</f>
        <v>472820.59103744</v>
      </c>
      <c r="S106" s="209" t="n">
        <f aca="false">S85-S96</f>
        <v>483580.6624576</v>
      </c>
      <c r="T106" s="209" t="n">
        <f aca="false">T85-T96</f>
        <v>1267477.65260032</v>
      </c>
      <c r="U106" s="209" t="n">
        <f aca="false">U85-U96</f>
        <v>1260974.54274304</v>
      </c>
      <c r="V106" s="209" t="n">
        <f aca="false">V85-V96</f>
        <v>1254471.43288576</v>
      </c>
      <c r="W106" s="209" t="n">
        <f aca="false">W85-W96</f>
        <v>1247968.32302848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0.142796820588386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12646401.6</v>
      </c>
      <c r="E109" s="206" t="n">
        <f aca="false">D109+E93</f>
        <v>11803308.16</v>
      </c>
      <c r="F109" s="206" t="n">
        <f aca="false">E109+F93</f>
        <v>10960214.72</v>
      </c>
      <c r="G109" s="206" t="n">
        <f aca="false">F109+G93</f>
        <v>10117121.28</v>
      </c>
      <c r="H109" s="206" t="n">
        <f aca="false">G109+H93</f>
        <v>9274027.84</v>
      </c>
      <c r="I109" s="206" t="n">
        <f aca="false">H109+I93</f>
        <v>8430934.4</v>
      </c>
      <c r="J109" s="206" t="n">
        <f aca="false">I109+J93</f>
        <v>7587840.96000001</v>
      </c>
      <c r="K109" s="206" t="n">
        <f aca="false">J109+K93</f>
        <v>6744747.52000001</v>
      </c>
      <c r="L109" s="206" t="n">
        <f aca="false">K109+L93</f>
        <v>5901654.08000001</v>
      </c>
      <c r="M109" s="206" t="n">
        <f aca="false">L109+M93</f>
        <v>5058560.64000001</v>
      </c>
      <c r="N109" s="206" t="n">
        <f aca="false">M109+N93</f>
        <v>4215467.20000001</v>
      </c>
      <c r="O109" s="206" t="n">
        <f aca="false">N109+O93</f>
        <v>3372373.76000001</v>
      </c>
      <c r="P109" s="206" t="n">
        <f aca="false">O109+P93</f>
        <v>2529280.32000001</v>
      </c>
      <c r="Q109" s="206" t="n">
        <f aca="false">P109+Q93</f>
        <v>1686186.88000001</v>
      </c>
      <c r="R109" s="206" t="n">
        <f aca="false">Q109+R93</f>
        <v>843093.440000007</v>
      </c>
      <c r="S109" s="206" t="n">
        <f aca="false">R109+S93</f>
        <v>6.98491930961609E-009</v>
      </c>
      <c r="T109" s="206" t="n">
        <f aca="false">S109+T93</f>
        <v>6.98491930961609E-009</v>
      </c>
      <c r="U109" s="206" t="n">
        <f aca="false">T109+U93</f>
        <v>6.98491930961609E-009</v>
      </c>
      <c r="V109" s="206" t="n">
        <f aca="false">U109+V93</f>
        <v>6.98491930961609E-009</v>
      </c>
      <c r="W109" s="206" t="n">
        <f aca="false">V109+W93</f>
        <v>6.98491930961609E-009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98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135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136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137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138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139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104</v>
      </c>
    </row>
    <row r="10" customFormat="false" ht="21.75" hidden="false" customHeight="true" outlineLevel="0" collapsed="false">
      <c r="B10" s="129" t="s">
        <v>14</v>
      </c>
      <c r="C10" s="115" t="s">
        <v>105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107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108</v>
      </c>
      <c r="C16" s="114" t="s">
        <v>22</v>
      </c>
      <c r="D16" s="115" t="n">
        <v>20000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109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110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111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112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-13768300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-26166</v>
      </c>
      <c r="E49" s="170" t="n">
        <v>-26166</v>
      </c>
      <c r="F49" s="170" t="n">
        <v>-26166</v>
      </c>
      <c r="G49" s="170" t="n">
        <v>-26166</v>
      </c>
      <c r="H49" s="170" t="n">
        <v>-26166</v>
      </c>
      <c r="I49" s="170" t="n">
        <v>-26166</v>
      </c>
      <c r="J49" s="170" t="n">
        <v>-26166</v>
      </c>
      <c r="K49" s="170" t="n">
        <v>-26166</v>
      </c>
      <c r="L49" s="170" t="n">
        <v>-26166</v>
      </c>
      <c r="M49" s="170" t="n">
        <v>-26166</v>
      </c>
      <c r="N49" s="170" t="n">
        <v>-26166</v>
      </c>
      <c r="O49" s="170" t="n">
        <v>-26166</v>
      </c>
      <c r="P49" s="170" t="n">
        <v>-26166</v>
      </c>
      <c r="Q49" s="170" t="n">
        <v>-26166</v>
      </c>
      <c r="R49" s="170" t="n">
        <v>-26166</v>
      </c>
      <c r="S49" s="170" t="n">
        <v>-26166</v>
      </c>
      <c r="T49" s="170" t="n">
        <v>-26166</v>
      </c>
      <c r="U49" s="170" t="n">
        <v>-26166</v>
      </c>
      <c r="V49" s="170" t="n">
        <v>-26166</v>
      </c>
      <c r="W49" s="170" t="n">
        <v>-26166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-215853.7224192</v>
      </c>
      <c r="E54" s="170" t="n">
        <f aca="false">-(E64+E67+E68+E71+E72+E73+E74)*0.2</f>
        <v>-156187.74495488</v>
      </c>
      <c r="F54" s="170" t="n">
        <f aca="false">-(F64+F67+F68+F71+F72+F73+F74)*0.2</f>
        <v>-154561.96749056</v>
      </c>
      <c r="G54" s="170" t="n">
        <f aca="false">-(G64+G67+G68+G71+G72+G73+G74)*0.2</f>
        <v>-152936.19002624</v>
      </c>
      <c r="H54" s="170" t="n">
        <f aca="false">-(H64+H67+H68+H71+H72+H73+H74)*0.2</f>
        <v>-151310.41256192</v>
      </c>
      <c r="I54" s="170" t="n">
        <f aca="false">-(I64+I67+I68+I71+I72+I73+I74)*0.2</f>
        <v>-149684.6350976</v>
      </c>
      <c r="J54" s="170" t="n">
        <f aca="false">-(J64+J67+J68+J71+J72+J73+J74)*0.2</f>
        <v>-148058.85763328</v>
      </c>
      <c r="K54" s="170" t="n">
        <f aca="false">-(K64+K67+K68+K71+K72+K73+K74)*0.2</f>
        <v>-146433.08016896</v>
      </c>
      <c r="L54" s="170" t="n">
        <f aca="false">-(L64+L67+L68+L71+L72+L73+L74)*0.2</f>
        <v>-144807.30270464</v>
      </c>
      <c r="M54" s="170" t="n">
        <f aca="false">-(M64+M67+M68+M71+M72+M73+M74)*0.2</f>
        <v>-143181.52524032</v>
      </c>
      <c r="N54" s="170" t="n">
        <f aca="false">-(N64+N67+N68+N71+N72+N73+N74)*0.2</f>
        <v>-150277.747776</v>
      </c>
      <c r="O54" s="170" t="n">
        <f aca="false">-(O64+O67+O68+O71+O72+O73+O74)*0.2</f>
        <v>-148651.97031168</v>
      </c>
      <c r="P54" s="170" t="n">
        <f aca="false">-(P64+P67+P68+P71+P72+P73+P74)*0.2</f>
        <v>-147026.19284736</v>
      </c>
      <c r="Q54" s="170" t="n">
        <f aca="false">-(Q64+Q67+Q68+Q71+Q72+Q73+Q74)*0.2</f>
        <v>-145400.41538304</v>
      </c>
      <c r="R54" s="170" t="n">
        <f aca="false">-(R64+R67+R68+R71+R72+R73+R74)*0.2</f>
        <v>-143774.63791872</v>
      </c>
      <c r="S54" s="170" t="n">
        <f aca="false">-(S64+S67+S68+S71+S72+S73+S74)*0.2</f>
        <v>-142148.8604544</v>
      </c>
      <c r="T54" s="170" t="n">
        <f aca="false">-(T64+T67+T68+T71+T72+T73+T74)*0.2</f>
        <v>-140523.08299008</v>
      </c>
      <c r="U54" s="170" t="n">
        <f aca="false">-(U64+U67+U68+U71+U72+U73+U74)*0.2</f>
        <v>-138897.30552576</v>
      </c>
      <c r="V54" s="170" t="n">
        <f aca="false">-(V64+V67+V68+V71+V72+V73+V74)*0.2</f>
        <v>-137271.52806144</v>
      </c>
      <c r="W54" s="170" t="n">
        <f aca="false">-(W64+W67+W68+W71+W72+W73+W74)*0.2</f>
        <v>-135645.75059712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-13768300</v>
      </c>
      <c r="D55" s="175" t="n">
        <f aca="false">SUM(D41:D54)</f>
        <v>1551829.8896768</v>
      </c>
      <c r="E55" s="175" t="n">
        <f aca="false">SUM(E41:E54)</f>
        <v>1313165.97981952</v>
      </c>
      <c r="F55" s="175" t="n">
        <f aca="false">SUM(F41:F54)</f>
        <v>1306662.86996224</v>
      </c>
      <c r="G55" s="175" t="n">
        <f aca="false">SUM(G41:G54)</f>
        <v>1300159.76010496</v>
      </c>
      <c r="H55" s="175" t="n">
        <f aca="false">SUM(H41:H54)</f>
        <v>1293656.65024768</v>
      </c>
      <c r="I55" s="175" t="n">
        <f aca="false">SUM(I41:I54)</f>
        <v>1287153.5403904</v>
      </c>
      <c r="J55" s="175" t="n">
        <f aca="false">SUM(J41:J54)</f>
        <v>1280650.43053312</v>
      </c>
      <c r="K55" s="175" t="n">
        <f aca="false">SUM(K41:K54)</f>
        <v>1274147.32067584</v>
      </c>
      <c r="L55" s="175" t="n">
        <f aca="false">SUM(L41:L54)</f>
        <v>1267644.21081856</v>
      </c>
      <c r="M55" s="175" t="n">
        <f aca="false">SUM(M41:M54)</f>
        <v>1261141.10096128</v>
      </c>
      <c r="N55" s="175" t="n">
        <f aca="false">SUM(N41:N54)</f>
        <v>1289525.991104</v>
      </c>
      <c r="O55" s="175" t="n">
        <f aca="false">SUM(O41:O54)</f>
        <v>1283022.88124672</v>
      </c>
      <c r="P55" s="175" t="n">
        <f aca="false">SUM(P41:P54)</f>
        <v>1276519.77138944</v>
      </c>
      <c r="Q55" s="175" t="n">
        <f aca="false">SUM(Q41:Q54)</f>
        <v>1270016.66153216</v>
      </c>
      <c r="R55" s="175" t="n">
        <f aca="false">SUM(R41:R54)</f>
        <v>1263513.55167488</v>
      </c>
      <c r="S55" s="175" t="n">
        <f aca="false">SUM(S41:S54)</f>
        <v>1257010.4418176</v>
      </c>
      <c r="T55" s="175" t="n">
        <f aca="false">SUM(T41:T54)</f>
        <v>1250507.33196032</v>
      </c>
      <c r="U55" s="175" t="n">
        <f aca="false">SUM(U41:U54)</f>
        <v>1244004.22210304</v>
      </c>
      <c r="V55" s="175" t="n">
        <f aca="false">SUM(V41:V54)</f>
        <v>1237501.11224576</v>
      </c>
      <c r="W55" s="175" t="n">
        <f aca="false">SUM(W41:W54)</f>
        <v>1230998.00238848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-12216470.1103232</v>
      </c>
      <c r="E56" s="180" t="n">
        <f aca="false">D56+E55</f>
        <v>-10903304.1305037</v>
      </c>
      <c r="F56" s="180" t="n">
        <f aca="false">E56+F55</f>
        <v>-9596641.26054144</v>
      </c>
      <c r="G56" s="180" t="n">
        <f aca="false">F56+G55</f>
        <v>-8296481.50043648</v>
      </c>
      <c r="H56" s="180" t="n">
        <f aca="false">G56+H55</f>
        <v>-7002824.8501888</v>
      </c>
      <c r="I56" s="180" t="n">
        <f aca="false">H56+I55</f>
        <v>-5715671.3097984</v>
      </c>
      <c r="J56" s="180" t="n">
        <f aca="false">I56+J55</f>
        <v>-4435020.87926528</v>
      </c>
      <c r="K56" s="180" t="n">
        <f aca="false">J56+K55</f>
        <v>-3160873.55858944</v>
      </c>
      <c r="L56" s="180" t="n">
        <f aca="false">K56+L55</f>
        <v>-1893229.34777088</v>
      </c>
      <c r="M56" s="180" t="n">
        <f aca="false">L56+M55</f>
        <v>-632088.246809603</v>
      </c>
      <c r="N56" s="180" t="n">
        <f aca="false">M56+N55</f>
        <v>657437.744294397</v>
      </c>
      <c r="O56" s="180" t="n">
        <f aca="false">N56+O55</f>
        <v>1940460.62554112</v>
      </c>
      <c r="P56" s="180" t="n">
        <f aca="false">O56+P55</f>
        <v>3216980.39693056</v>
      </c>
      <c r="Q56" s="180" t="n">
        <f aca="false">P56+Q55</f>
        <v>4486997.05846272</v>
      </c>
      <c r="R56" s="180" t="n">
        <f aca="false">Q56+R55</f>
        <v>5750510.6101376</v>
      </c>
      <c r="S56" s="180" t="n">
        <f aca="false">R56+S55</f>
        <v>7007521.0519552</v>
      </c>
      <c r="T56" s="180" t="n">
        <f aca="false">S56+T55</f>
        <v>8258028.38391552</v>
      </c>
      <c r="U56" s="180" t="n">
        <f aca="false">T56+U55</f>
        <v>9502032.60601856</v>
      </c>
      <c r="V56" s="180" t="n">
        <f aca="false">U56+V55</f>
        <v>10739533.7182643</v>
      </c>
      <c r="W56" s="180" t="n">
        <f aca="false">V56+W55</f>
        <v>11970531.7206528</v>
      </c>
      <c r="X56" s="180" t="n">
        <f aca="false">W56+X55</f>
        <v>11970531.7206528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0.0704767015790127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113</v>
      </c>
      <c r="C67" s="160"/>
      <c r="D67" s="191" t="n">
        <f aca="false">$C$44/$E$16</f>
        <v>-688415</v>
      </c>
      <c r="E67" s="191" t="n">
        <f aca="false">$C$44/$E$16</f>
        <v>-688415</v>
      </c>
      <c r="F67" s="191" t="n">
        <f aca="false">$C$44/$E$16</f>
        <v>-688415</v>
      </c>
      <c r="G67" s="191" t="n">
        <f aca="false">$C$44/$E$16</f>
        <v>-688415</v>
      </c>
      <c r="H67" s="191" t="n">
        <f aca="false">$C$44/$E$16</f>
        <v>-688415</v>
      </c>
      <c r="I67" s="191" t="n">
        <f aca="false">$C$44/$E$16</f>
        <v>-688415</v>
      </c>
      <c r="J67" s="191" t="n">
        <f aca="false">$C$44/$E$16</f>
        <v>-688415</v>
      </c>
      <c r="K67" s="191" t="n">
        <f aca="false">$C$44/$E$16</f>
        <v>-688415</v>
      </c>
      <c r="L67" s="191" t="n">
        <f aca="false">$C$44/$E$16</f>
        <v>-688415</v>
      </c>
      <c r="M67" s="191" t="n">
        <f aca="false">$C$44/$E$16</f>
        <v>-688415</v>
      </c>
      <c r="N67" s="191" t="n">
        <f aca="false">$C$44/$E$16</f>
        <v>-688415</v>
      </c>
      <c r="O67" s="191" t="n">
        <f aca="false">$C$44/$E$16</f>
        <v>-688415</v>
      </c>
      <c r="P67" s="191" t="n">
        <f aca="false">$C$44/$E$16</f>
        <v>-688415</v>
      </c>
      <c r="Q67" s="191" t="n">
        <f aca="false">$C$44/$E$16</f>
        <v>-688415</v>
      </c>
      <c r="R67" s="191" t="n">
        <f aca="false">$C$44/$E$16</f>
        <v>-688415</v>
      </c>
      <c r="S67" s="191" t="n">
        <f aca="false">$C$44/$E$16</f>
        <v>-688415</v>
      </c>
      <c r="T67" s="191" t="n">
        <f aca="false">$C$44/$E$16</f>
        <v>-688415</v>
      </c>
      <c r="U67" s="191" t="n">
        <f aca="false">$C$44/$E$16</f>
        <v>-688415</v>
      </c>
      <c r="V67" s="191" t="n">
        <f aca="false">$C$44/$E$16</f>
        <v>-688415</v>
      </c>
      <c r="W67" s="191" t="n">
        <f aca="false">$C$44/$E$16</f>
        <v>-688415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-281919.7108</v>
      </c>
      <c r="E70" s="170" t="n">
        <f aca="false">-E109*$D25</f>
        <v>-263125.063413333</v>
      </c>
      <c r="F70" s="170" t="n">
        <f aca="false">-F109*$D25</f>
        <v>-244330.416026667</v>
      </c>
      <c r="G70" s="170" t="n">
        <f aca="false">-G109*$D25</f>
        <v>-225535.76864</v>
      </c>
      <c r="H70" s="170" t="n">
        <f aca="false">-H109*$D25</f>
        <v>-206741.121253333</v>
      </c>
      <c r="I70" s="170" t="n">
        <f aca="false">-I109*$D25</f>
        <v>-187946.473866667</v>
      </c>
      <c r="J70" s="170" t="n">
        <f aca="false">-J109*$D25</f>
        <v>-169151.82648</v>
      </c>
      <c r="K70" s="170" t="n">
        <f aca="false">-K109*$D25</f>
        <v>-150357.179093333</v>
      </c>
      <c r="L70" s="170" t="n">
        <f aca="false">-L109*$D25</f>
        <v>-131562.531706667</v>
      </c>
      <c r="M70" s="170" t="n">
        <f aca="false">-M109*$D25</f>
        <v>-112767.88432</v>
      </c>
      <c r="N70" s="170" t="n">
        <f aca="false">-N109*$D25</f>
        <v>-93973.2369333334</v>
      </c>
      <c r="O70" s="170" t="n">
        <f aca="false">-O109*$D25</f>
        <v>-75178.5895466667</v>
      </c>
      <c r="P70" s="170" t="n">
        <f aca="false">-P109*$D25</f>
        <v>-56383.94216</v>
      </c>
      <c r="Q70" s="170" t="n">
        <f aca="false">-Q109*$D25</f>
        <v>-37589.2947733334</v>
      </c>
      <c r="R70" s="170" t="n">
        <f aca="false">-R109*$D25</f>
        <v>-18794.6473866667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-26166</v>
      </c>
      <c r="E72" s="170" t="n">
        <f aca="false">E49</f>
        <v>-26166</v>
      </c>
      <c r="F72" s="170" t="n">
        <f aca="false">F49</f>
        <v>-26166</v>
      </c>
      <c r="G72" s="170" t="n">
        <f aca="false">G49</f>
        <v>-26166</v>
      </c>
      <c r="H72" s="170" t="n">
        <f aca="false">H49</f>
        <v>-26166</v>
      </c>
      <c r="I72" s="170" t="n">
        <f aca="false">I49</f>
        <v>-26166</v>
      </c>
      <c r="J72" s="170" t="n">
        <f aca="false">J49</f>
        <v>-26166</v>
      </c>
      <c r="K72" s="170" t="n">
        <f aca="false">K49</f>
        <v>-26166</v>
      </c>
      <c r="L72" s="170" t="n">
        <f aca="false">L49</f>
        <v>-26166</v>
      </c>
      <c r="M72" s="170" t="n">
        <f aca="false">M49</f>
        <v>-26166</v>
      </c>
      <c r="N72" s="170" t="n">
        <f aca="false">N49</f>
        <v>-26166</v>
      </c>
      <c r="O72" s="170" t="n">
        <f aca="false">O49</f>
        <v>-26166</v>
      </c>
      <c r="P72" s="170" t="n">
        <f aca="false">P49</f>
        <v>-26166</v>
      </c>
      <c r="Q72" s="170" t="n">
        <f aca="false">Q49</f>
        <v>-26166</v>
      </c>
      <c r="R72" s="170" t="n">
        <f aca="false">R49</f>
        <v>-26166</v>
      </c>
      <c r="S72" s="170" t="n">
        <f aca="false">S49</f>
        <v>-26166</v>
      </c>
      <c r="T72" s="170" t="n">
        <f aca="false">T49</f>
        <v>-26166</v>
      </c>
      <c r="U72" s="170" t="n">
        <f aca="false">U49</f>
        <v>-26166</v>
      </c>
      <c r="V72" s="170" t="n">
        <f aca="false">V49</f>
        <v>-26166</v>
      </c>
      <c r="W72" s="170" t="n">
        <f aca="false">W49</f>
        <v>-26166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114</v>
      </c>
      <c r="C76" s="194"/>
      <c r="D76" s="175" t="n">
        <f aca="false">SUM(D64:D75)</f>
        <v>797348.901296</v>
      </c>
      <c r="E76" s="175" t="n">
        <f aca="false">SUM(E64:E75)</f>
        <v>517813.661361066</v>
      </c>
      <c r="F76" s="175" t="n">
        <f aca="false">SUM(F64:F75)</f>
        <v>528479.421426133</v>
      </c>
      <c r="G76" s="175" t="n">
        <f aca="false">SUM(G64:G75)</f>
        <v>539145.1814912</v>
      </c>
      <c r="H76" s="175" t="n">
        <f aca="false">SUM(H64:H75)</f>
        <v>549810.941556266</v>
      </c>
      <c r="I76" s="175" t="n">
        <f aca="false">SUM(I64:I75)</f>
        <v>560476.701621333</v>
      </c>
      <c r="J76" s="175" t="n">
        <f aca="false">SUM(J64:J75)</f>
        <v>571142.4616864</v>
      </c>
      <c r="K76" s="175" t="n">
        <f aca="false">SUM(K64:K75)</f>
        <v>581808.221751466</v>
      </c>
      <c r="L76" s="175" t="n">
        <f aca="false">SUM(L64:L75)</f>
        <v>592473.981816533</v>
      </c>
      <c r="M76" s="175" t="n">
        <f aca="false">SUM(M64:M75)</f>
        <v>603139.7418816</v>
      </c>
      <c r="N76" s="175" t="n">
        <f aca="false">SUM(N64:N75)</f>
        <v>657415.501946666</v>
      </c>
      <c r="O76" s="175" t="n">
        <f aca="false">SUM(O64:O75)</f>
        <v>668081.262011733</v>
      </c>
      <c r="P76" s="175" t="n">
        <f aca="false">SUM(P64:P75)</f>
        <v>678747.0220768</v>
      </c>
      <c r="Q76" s="175" t="n">
        <f aca="false">SUM(Q64:Q75)</f>
        <v>689412.782141866</v>
      </c>
      <c r="R76" s="175" t="n">
        <f aca="false">SUM(R64:R75)</f>
        <v>700078.542206933</v>
      </c>
      <c r="S76" s="175" t="n">
        <f aca="false">SUM(S64:S75)</f>
        <v>710744.302272</v>
      </c>
      <c r="T76" s="175" t="n">
        <f aca="false">SUM(T64:T75)</f>
        <v>702615.4149504</v>
      </c>
      <c r="U76" s="175" t="n">
        <f aca="false">SUM(U64:U75)</f>
        <v>694486.5276288</v>
      </c>
      <c r="V76" s="175" t="n">
        <f aca="false">SUM(V64:V75)</f>
        <v>686357.6403072</v>
      </c>
      <c r="W76" s="175" t="n">
        <f aca="false">SUM(W64:W75)</f>
        <v>678228.7529856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-159469.7802592</v>
      </c>
      <c r="E77" s="170" t="n">
        <f aca="false">-E76*0.2</f>
        <v>-103562.732272213</v>
      </c>
      <c r="F77" s="170" t="n">
        <f aca="false">-F76*0.2</f>
        <v>-105695.884285227</v>
      </c>
      <c r="G77" s="170" t="n">
        <f aca="false">-G76*0.2</f>
        <v>-107829.03629824</v>
      </c>
      <c r="H77" s="170" t="n">
        <f aca="false">-H76*0.2</f>
        <v>-109962.188311253</v>
      </c>
      <c r="I77" s="170" t="n">
        <f aca="false">-I76*0.2</f>
        <v>-112095.340324267</v>
      </c>
      <c r="J77" s="170" t="n">
        <f aca="false">-J76*0.2</f>
        <v>-114228.49233728</v>
      </c>
      <c r="K77" s="170" t="n">
        <f aca="false">-K76*0.2</f>
        <v>-116361.644350293</v>
      </c>
      <c r="L77" s="170" t="n">
        <f aca="false">-L76*0.2</f>
        <v>-118494.796363307</v>
      </c>
      <c r="M77" s="170" t="n">
        <f aca="false">-M76*0.2</f>
        <v>-120627.94837632</v>
      </c>
      <c r="N77" s="170" t="n">
        <f aca="false">-N76*0.2</f>
        <v>-131483.100389333</v>
      </c>
      <c r="O77" s="170" t="n">
        <f aca="false">-O76*0.2</f>
        <v>-133616.252402347</v>
      </c>
      <c r="P77" s="170" t="n">
        <f aca="false">-P76*0.2</f>
        <v>-135749.40441536</v>
      </c>
      <c r="Q77" s="170" t="n">
        <f aca="false">-Q76*0.2</f>
        <v>-137882.556428373</v>
      </c>
      <c r="R77" s="170" t="n">
        <f aca="false">-R76*0.2</f>
        <v>-140015.708441387</v>
      </c>
      <c r="S77" s="170" t="n">
        <f aca="false">-S76*0.2</f>
        <v>-142148.8604544</v>
      </c>
      <c r="T77" s="170" t="n">
        <f aca="false">-T76*0.2</f>
        <v>-140523.08299008</v>
      </c>
      <c r="U77" s="170" t="n">
        <f aca="false">-U76*0.2</f>
        <v>-138897.30552576</v>
      </c>
      <c r="V77" s="170" t="n">
        <f aca="false">-V76*0.2</f>
        <v>-137271.52806144</v>
      </c>
      <c r="W77" s="170" t="n">
        <f aca="false">-W76*0.2</f>
        <v>-135645.75059712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637879.1210368</v>
      </c>
      <c r="E78" s="170" t="n">
        <f aca="false">SUM(E76:E77)</f>
        <v>414250.929088853</v>
      </c>
      <c r="F78" s="170" t="n">
        <f aca="false">SUM(F76:F77)</f>
        <v>422783.537140907</v>
      </c>
      <c r="G78" s="170" t="n">
        <f aca="false">SUM(G76:G77)</f>
        <v>431316.14519296</v>
      </c>
      <c r="H78" s="170" t="n">
        <f aca="false">SUM(H76:H77)</f>
        <v>439848.753245013</v>
      </c>
      <c r="I78" s="170" t="n">
        <f aca="false">SUM(I76:I77)</f>
        <v>448381.361297066</v>
      </c>
      <c r="J78" s="170" t="n">
        <f aca="false">SUM(J76:J77)</f>
        <v>456913.96934912</v>
      </c>
      <c r="K78" s="170" t="n">
        <f aca="false">SUM(K76:K77)</f>
        <v>465446.577401173</v>
      </c>
      <c r="L78" s="170" t="n">
        <f aca="false">SUM(L76:L77)</f>
        <v>473979.185453226</v>
      </c>
      <c r="M78" s="170" t="n">
        <f aca="false">SUM(M76:M77)</f>
        <v>482511.79350528</v>
      </c>
      <c r="N78" s="170" t="n">
        <f aca="false">SUM(N76:N77)</f>
        <v>525932.401557333</v>
      </c>
      <c r="O78" s="170" t="n">
        <f aca="false">SUM(O76:O77)</f>
        <v>534465.009609386</v>
      </c>
      <c r="P78" s="170" t="n">
        <f aca="false">SUM(P76:P77)</f>
        <v>542997.61766144</v>
      </c>
      <c r="Q78" s="170" t="n">
        <f aca="false">SUM(Q76:Q77)</f>
        <v>551530.225713493</v>
      </c>
      <c r="R78" s="170" t="n">
        <f aca="false">SUM(R76:R77)</f>
        <v>560062.833765546</v>
      </c>
      <c r="S78" s="170" t="n">
        <f aca="false">SUM(S76:S77)</f>
        <v>568595.4418176</v>
      </c>
      <c r="T78" s="170" t="n">
        <f aca="false">SUM(T76:T77)</f>
        <v>562092.33196032</v>
      </c>
      <c r="U78" s="170" t="n">
        <f aca="false">SUM(U76:U77)</f>
        <v>555589.22210304</v>
      </c>
      <c r="V78" s="170" t="n">
        <f aca="false">SUM(V76:V77)</f>
        <v>549086.11224576</v>
      </c>
      <c r="W78" s="170" t="n">
        <f aca="false">SUM(W76:W77)</f>
        <v>542583.00238848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637879.1210368</v>
      </c>
      <c r="E85" s="206" t="n">
        <f aca="false">E78</f>
        <v>414250.929088853</v>
      </c>
      <c r="F85" s="206" t="n">
        <f aca="false">F78</f>
        <v>422783.537140907</v>
      </c>
      <c r="G85" s="206" t="n">
        <f aca="false">G78</f>
        <v>431316.14519296</v>
      </c>
      <c r="H85" s="206" t="n">
        <f aca="false">H78</f>
        <v>439848.753245013</v>
      </c>
      <c r="I85" s="206" t="n">
        <f aca="false">I78</f>
        <v>448381.361297066</v>
      </c>
      <c r="J85" s="206" t="n">
        <f aca="false">J78</f>
        <v>456913.96934912</v>
      </c>
      <c r="K85" s="206" t="n">
        <f aca="false">K78</f>
        <v>465446.577401173</v>
      </c>
      <c r="L85" s="206" t="n">
        <f aca="false">L78</f>
        <v>473979.185453226</v>
      </c>
      <c r="M85" s="206" t="n">
        <f aca="false">M78</f>
        <v>482511.79350528</v>
      </c>
      <c r="N85" s="206" t="n">
        <f aca="false">N78</f>
        <v>525932.401557333</v>
      </c>
      <c r="O85" s="206" t="n">
        <f aca="false">O78</f>
        <v>534465.009609386</v>
      </c>
      <c r="P85" s="206" t="n">
        <f aca="false">P78</f>
        <v>542997.61766144</v>
      </c>
      <c r="Q85" s="206" t="n">
        <f aca="false">Q78</f>
        <v>551530.225713493</v>
      </c>
      <c r="R85" s="206" t="n">
        <f aca="false">R78</f>
        <v>560062.833765546</v>
      </c>
      <c r="S85" s="206" t="n">
        <f aca="false">S78</f>
        <v>568595.4418176</v>
      </c>
      <c r="T85" s="206" t="n">
        <f aca="false">T78</f>
        <v>562092.33196032</v>
      </c>
      <c r="U85" s="206" t="n">
        <f aca="false">U78</f>
        <v>555589.22210304</v>
      </c>
      <c r="V85" s="206" t="n">
        <f aca="false">V78</f>
        <v>549086.11224576</v>
      </c>
      <c r="W85" s="206" t="n">
        <f aca="false">W78</f>
        <v>542583.00238848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688415</v>
      </c>
      <c r="E86" s="207" t="n">
        <f aca="false">-E67</f>
        <v>688415</v>
      </c>
      <c r="F86" s="207" t="n">
        <f aca="false">-F67</f>
        <v>688415</v>
      </c>
      <c r="G86" s="207" t="n">
        <f aca="false">-G67</f>
        <v>688415</v>
      </c>
      <c r="H86" s="207" t="n">
        <f aca="false">-H67</f>
        <v>688415</v>
      </c>
      <c r="I86" s="207" t="n">
        <f aca="false">-I67</f>
        <v>688415</v>
      </c>
      <c r="J86" s="207" t="n">
        <f aca="false">-J67</f>
        <v>688415</v>
      </c>
      <c r="K86" s="207" t="n">
        <f aca="false">-K67</f>
        <v>688415</v>
      </c>
      <c r="L86" s="207" t="n">
        <f aca="false">-L67</f>
        <v>688415</v>
      </c>
      <c r="M86" s="207" t="n">
        <f aca="false">-M67</f>
        <v>688415</v>
      </c>
      <c r="N86" s="207" t="n">
        <f aca="false">-N67</f>
        <v>688415</v>
      </c>
      <c r="O86" s="207" t="n">
        <f aca="false">-O67</f>
        <v>688415</v>
      </c>
      <c r="P86" s="207" t="n">
        <f aca="false">-P67</f>
        <v>688415</v>
      </c>
      <c r="Q86" s="207" t="n">
        <f aca="false">-Q67</f>
        <v>688415</v>
      </c>
      <c r="R86" s="207" t="n">
        <f aca="false">-R67</f>
        <v>688415</v>
      </c>
      <c r="S86" s="207" t="n">
        <f aca="false">-S67</f>
        <v>688415</v>
      </c>
      <c r="T86" s="207" t="n">
        <f aca="false">-T67</f>
        <v>688415</v>
      </c>
      <c r="U86" s="207" t="n">
        <f aca="false">-U67</f>
        <v>688415</v>
      </c>
      <c r="V86" s="207" t="n">
        <f aca="false">-V67</f>
        <v>688415</v>
      </c>
      <c r="W86" s="207" t="n">
        <f aca="false">-W67</f>
        <v>688415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1326294.1210368</v>
      </c>
      <c r="E87" s="209" t="n">
        <f aca="false">SUM(E85:E86)</f>
        <v>1102665.92908885</v>
      </c>
      <c r="F87" s="209" t="n">
        <f aca="false">SUM(F85:F86)</f>
        <v>1111198.53714091</v>
      </c>
      <c r="G87" s="209" t="n">
        <f aca="false">SUM(G85:G86)</f>
        <v>1119731.14519296</v>
      </c>
      <c r="H87" s="209" t="n">
        <f aca="false">SUM(H85:H86)</f>
        <v>1128263.75324501</v>
      </c>
      <c r="I87" s="209" t="n">
        <f aca="false">SUM(I85:I86)</f>
        <v>1136796.36129707</v>
      </c>
      <c r="J87" s="209" t="n">
        <f aca="false">SUM(J85:J86)</f>
        <v>1145328.96934912</v>
      </c>
      <c r="K87" s="209" t="n">
        <f aca="false">SUM(K85:K86)</f>
        <v>1153861.57740117</v>
      </c>
      <c r="L87" s="209" t="n">
        <f aca="false">SUM(L85:L86)</f>
        <v>1162394.18545323</v>
      </c>
      <c r="M87" s="209" t="n">
        <f aca="false">SUM(M85:M86)</f>
        <v>1170926.79350528</v>
      </c>
      <c r="N87" s="209" t="n">
        <f aca="false">SUM(N85:N86)</f>
        <v>1214347.40155733</v>
      </c>
      <c r="O87" s="209" t="n">
        <f aca="false">SUM(O85:O86)</f>
        <v>1222880.00960939</v>
      </c>
      <c r="P87" s="209" t="n">
        <f aca="false">SUM(P85:P86)</f>
        <v>1231412.61766144</v>
      </c>
      <c r="Q87" s="209" t="n">
        <f aca="false">SUM(Q85:Q86)</f>
        <v>1239945.22571349</v>
      </c>
      <c r="R87" s="209" t="n">
        <f aca="false">SUM(R85:R86)</f>
        <v>1248477.83376555</v>
      </c>
      <c r="S87" s="209" t="n">
        <f aca="false">SUM(S85:S86)</f>
        <v>1257010.4418176</v>
      </c>
      <c r="T87" s="209" t="n">
        <f aca="false">SUM(T85:T86)</f>
        <v>1250507.33196032</v>
      </c>
      <c r="U87" s="209" t="n">
        <f aca="false">SUM(U85:U86)</f>
        <v>1244004.22210304</v>
      </c>
      <c r="V87" s="209" t="n">
        <f aca="false">SUM(V85:V86)</f>
        <v>1237501.11224576</v>
      </c>
      <c r="W87" s="209" t="n">
        <f aca="false">SUM(W85:W86)</f>
        <v>1230998.00238848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-13768300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11014640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-734309.333333333</v>
      </c>
      <c r="F93" s="215" t="n">
        <v>-734309.333333333</v>
      </c>
      <c r="G93" s="215" t="n">
        <v>-734309.333333333</v>
      </c>
      <c r="H93" s="215" t="n">
        <v>-734309.333333333</v>
      </c>
      <c r="I93" s="215" t="n">
        <v>-734309.333333333</v>
      </c>
      <c r="J93" s="215" t="n">
        <v>-734309.333333333</v>
      </c>
      <c r="K93" s="215" t="n">
        <v>-734309.333333333</v>
      </c>
      <c r="L93" s="215" t="n">
        <v>-734309.333333333</v>
      </c>
      <c r="M93" s="215" t="n">
        <v>-734309.333333333</v>
      </c>
      <c r="N93" s="215" t="n">
        <v>-734309.333333333</v>
      </c>
      <c r="O93" s="215" t="n">
        <v>-734309.333333333</v>
      </c>
      <c r="P93" s="215" t="n">
        <v>-734309.333333333</v>
      </c>
      <c r="Q93" s="215" t="n">
        <v>-734309.333333333</v>
      </c>
      <c r="R93" s="215" t="n">
        <v>-734309.333333333</v>
      </c>
      <c r="S93" s="215" t="n">
        <v>-734309.333333333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2753660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-574091.20893312</v>
      </c>
      <c r="F95" s="216" t="n">
        <f aca="false">-E85*$D$33</f>
        <v>-372825.836179968</v>
      </c>
      <c r="G95" s="216" t="n">
        <f aca="false">-F85*$D$33</f>
        <v>-380505.183426816</v>
      </c>
      <c r="H95" s="216" t="n">
        <f aca="false">-G85*$D$33</f>
        <v>-388184.530673664</v>
      </c>
      <c r="I95" s="216" t="n">
        <f aca="false">-H85*$D$33</f>
        <v>-395863.877920512</v>
      </c>
      <c r="J95" s="216" t="n">
        <f aca="false">-I85*$D$33</f>
        <v>-403543.22516736</v>
      </c>
      <c r="K95" s="216" t="n">
        <f aca="false">-J85*$D$33</f>
        <v>-411222.572414208</v>
      </c>
      <c r="L95" s="216" t="n">
        <f aca="false">-K85*$D$33</f>
        <v>-418901.919661056</v>
      </c>
      <c r="M95" s="216" t="n">
        <f aca="false">-L85*$D$33</f>
        <v>-426581.266907904</v>
      </c>
      <c r="N95" s="216" t="n">
        <f aca="false">-M85*$D$33</f>
        <v>-434260.614154752</v>
      </c>
      <c r="O95" s="216" t="n">
        <f aca="false">-N85*$D$33</f>
        <v>-473339.1614016</v>
      </c>
      <c r="P95" s="216" t="n">
        <f aca="false">-O85*$D$33</f>
        <v>-481018.508648448</v>
      </c>
      <c r="Q95" s="216" t="n">
        <f aca="false">-P85*$D$33</f>
        <v>-488697.855895296</v>
      </c>
      <c r="R95" s="216" t="n">
        <f aca="false">-Q85*$D$33</f>
        <v>-496377.203142144</v>
      </c>
      <c r="S95" s="216" t="n">
        <f aca="false">-R85*$D$33</f>
        <v>-504056.550388992</v>
      </c>
      <c r="T95" s="216" t="n">
        <f aca="false">-S85*$D$33</f>
        <v>-511735.89763584</v>
      </c>
      <c r="U95" s="216" t="n">
        <f aca="false">-T85*$D$33</f>
        <v>-505883.098764288</v>
      </c>
      <c r="V95" s="216" t="n">
        <f aca="false">-U85*$D$33</f>
        <v>-500030.299892736</v>
      </c>
      <c r="W95" s="216" t="n">
        <f aca="false">-V85*$D$33</f>
        <v>-494177.501021184</v>
      </c>
      <c r="X95" s="216" t="n">
        <f aca="false">-W85*$D$33</f>
        <v>-488324.702149632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-688415</v>
      </c>
      <c r="U96" s="219" t="n">
        <v>-688415</v>
      </c>
      <c r="V96" s="219" t="n">
        <v>-688415</v>
      </c>
      <c r="W96" s="219" t="n">
        <v>-688415</v>
      </c>
      <c r="X96" s="220" t="n">
        <f aca="false">-W101-X95</f>
        <v>-1016624.55715328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1326294.1210368</v>
      </c>
      <c r="E99" s="206" t="n">
        <f aca="false">SUM(E87:E96)</f>
        <v>-205734.6131776</v>
      </c>
      <c r="F99" s="206" t="n">
        <f aca="false">SUM(F87:F96)</f>
        <v>4063.36762760568</v>
      </c>
      <c r="G99" s="206" t="n">
        <f aca="false">SUM(G87:G96)</f>
        <v>4916.62843281071</v>
      </c>
      <c r="H99" s="206" t="n">
        <f aca="false">SUM(H87:H96)</f>
        <v>5769.88923801575</v>
      </c>
      <c r="I99" s="206" t="n">
        <f aca="false">SUM(I87:I96)</f>
        <v>6623.15004322148</v>
      </c>
      <c r="J99" s="206" t="n">
        <f aca="false">SUM(J87:J96)</f>
        <v>7476.41084842687</v>
      </c>
      <c r="K99" s="206" t="n">
        <f aca="false">SUM(K87:K96)</f>
        <v>8329.67165363196</v>
      </c>
      <c r="L99" s="206" t="n">
        <f aca="false">SUM(L87:L96)</f>
        <v>9182.93245883734</v>
      </c>
      <c r="M99" s="206" t="n">
        <f aca="false">SUM(M87:M96)</f>
        <v>10036.1932640426</v>
      </c>
      <c r="N99" s="206" t="n">
        <f aca="false">SUM(N87:N96)</f>
        <v>45777.4540692482</v>
      </c>
      <c r="O99" s="206" t="n">
        <f aca="false">SUM(O87:O96)</f>
        <v>15231.5148744534</v>
      </c>
      <c r="P99" s="206" t="n">
        <f aca="false">SUM(P87:P96)</f>
        <v>16084.7756796586</v>
      </c>
      <c r="Q99" s="206" t="n">
        <f aca="false">SUM(Q87:Q96)</f>
        <v>16938.0364848641</v>
      </c>
      <c r="R99" s="206" t="n">
        <f aca="false">SUM(R87:R96)</f>
        <v>17791.2972900694</v>
      </c>
      <c r="S99" s="206" t="n">
        <f aca="false">SUM(S87:S96)</f>
        <v>18644.5580952746</v>
      </c>
      <c r="T99" s="206" t="n">
        <f aca="false">SUM(T87:T96)</f>
        <v>50356.4343244799</v>
      </c>
      <c r="U99" s="206" t="n">
        <f aca="false">SUM(U87:U96)</f>
        <v>49706.1233387522</v>
      </c>
      <c r="V99" s="206" t="n">
        <f aca="false">SUM(V87:V96)</f>
        <v>49055.812353024</v>
      </c>
      <c r="W99" s="206" t="n">
        <f aca="false">SUM(W87:W96)</f>
        <v>48405.5013672963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1326294.1210368</v>
      </c>
      <c r="F100" s="206" t="n">
        <f aca="false">E101</f>
        <v>1120559.5078592</v>
      </c>
      <c r="G100" s="206" t="n">
        <f aca="false">F101</f>
        <v>1124622.87548681</v>
      </c>
      <c r="H100" s="206" t="n">
        <f aca="false">G101</f>
        <v>1129539.50391962</v>
      </c>
      <c r="I100" s="206" t="n">
        <f aca="false">H101</f>
        <v>1135309.39315763</v>
      </c>
      <c r="J100" s="206" t="n">
        <f aca="false">I101</f>
        <v>1141932.54320085</v>
      </c>
      <c r="K100" s="206" t="n">
        <f aca="false">J101</f>
        <v>1149408.95404928</v>
      </c>
      <c r="L100" s="206" t="n">
        <f aca="false">K101</f>
        <v>1157738.62570291</v>
      </c>
      <c r="M100" s="206" t="n">
        <f aca="false">L101</f>
        <v>1166921.55816175</v>
      </c>
      <c r="N100" s="206" t="n">
        <f aca="false">M101</f>
        <v>1176957.75142579</v>
      </c>
      <c r="O100" s="206" t="n">
        <f aca="false">N101</f>
        <v>1222735.20549504</v>
      </c>
      <c r="P100" s="206" t="n">
        <f aca="false">O101</f>
        <v>1237966.72036949</v>
      </c>
      <c r="Q100" s="206" t="n">
        <f aca="false">P101</f>
        <v>1254051.49604915</v>
      </c>
      <c r="R100" s="206" t="n">
        <f aca="false">Q101</f>
        <v>1270989.53253402</v>
      </c>
      <c r="S100" s="206" t="n">
        <f aca="false">R101</f>
        <v>1288780.82982409</v>
      </c>
      <c r="T100" s="206" t="n">
        <f aca="false">S101</f>
        <v>1307425.38791936</v>
      </c>
      <c r="U100" s="206" t="n">
        <f aca="false">T101</f>
        <v>1357781.82224384</v>
      </c>
      <c r="V100" s="206" t="n">
        <f aca="false">U101</f>
        <v>1407487.94558259</v>
      </c>
      <c r="W100" s="206" t="n">
        <f aca="false">V101</f>
        <v>1456543.75793562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1326294.1210368</v>
      </c>
      <c r="E101" s="206" t="n">
        <f aca="false">E99+E100</f>
        <v>1120559.5078592</v>
      </c>
      <c r="F101" s="206" t="n">
        <f aca="false">F99+F100</f>
        <v>1124622.87548681</v>
      </c>
      <c r="G101" s="206" t="n">
        <f aca="false">G99+G100</f>
        <v>1129539.50391962</v>
      </c>
      <c r="H101" s="206" t="n">
        <f aca="false">H99+H100</f>
        <v>1135309.39315763</v>
      </c>
      <c r="I101" s="206" t="n">
        <f aca="false">I99+I100</f>
        <v>1141932.54320085</v>
      </c>
      <c r="J101" s="206" t="n">
        <f aca="false">J99+J100</f>
        <v>1149408.95404928</v>
      </c>
      <c r="K101" s="206" t="n">
        <f aca="false">K99+K100</f>
        <v>1157738.62570291</v>
      </c>
      <c r="L101" s="206" t="n">
        <f aca="false">L99+L100</f>
        <v>1166921.55816175</v>
      </c>
      <c r="M101" s="206" t="n">
        <f aca="false">M99+M100</f>
        <v>1176957.75142579</v>
      </c>
      <c r="N101" s="206" t="n">
        <f aca="false">N99+N100</f>
        <v>1222735.20549504</v>
      </c>
      <c r="O101" s="206" t="n">
        <f aca="false">O99+O100</f>
        <v>1237966.72036949</v>
      </c>
      <c r="P101" s="206" t="n">
        <f aca="false">P99+P100</f>
        <v>1254051.49604915</v>
      </c>
      <c r="Q101" s="206" t="n">
        <f aca="false">Q99+Q100</f>
        <v>1270989.53253402</v>
      </c>
      <c r="R101" s="206" t="n">
        <f aca="false">R99+R100</f>
        <v>1288780.82982409</v>
      </c>
      <c r="S101" s="206" t="n">
        <f aca="false">S99+S100</f>
        <v>1307425.38791936</v>
      </c>
      <c r="T101" s="206" t="n">
        <f aca="false">T99+T100</f>
        <v>1357781.82224384</v>
      </c>
      <c r="U101" s="206" t="n">
        <f aca="false">U99+U100</f>
        <v>1407487.94558259</v>
      </c>
      <c r="V101" s="206" t="n">
        <f aca="false">V99+V100</f>
        <v>1456543.75793562</v>
      </c>
      <c r="W101" s="206" t="n">
        <f aca="false">W99+W100</f>
        <v>1504949.25930291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-2753660</v>
      </c>
      <c r="E104" s="209" t="n">
        <f aca="false">-E95-E96</f>
        <v>574091.20893312</v>
      </c>
      <c r="F104" s="209" t="n">
        <f aca="false">-F95-F96</f>
        <v>372825.836179968</v>
      </c>
      <c r="G104" s="209" t="n">
        <f aca="false">-G95-G96</f>
        <v>380505.183426816</v>
      </c>
      <c r="H104" s="209" t="n">
        <f aca="false">-H95-H96</f>
        <v>388184.530673664</v>
      </c>
      <c r="I104" s="209" t="n">
        <f aca="false">-I95-I96</f>
        <v>395863.877920512</v>
      </c>
      <c r="J104" s="209" t="n">
        <f aca="false">-J95-J96</f>
        <v>403543.22516736</v>
      </c>
      <c r="K104" s="209" t="n">
        <f aca="false">-K95-K96</f>
        <v>411222.572414208</v>
      </c>
      <c r="L104" s="209" t="n">
        <f aca="false">-L95-L96</f>
        <v>418901.919661056</v>
      </c>
      <c r="M104" s="209" t="n">
        <f aca="false">-M95-M96</f>
        <v>426581.266907904</v>
      </c>
      <c r="N104" s="209" t="n">
        <f aca="false">-N95-N96</f>
        <v>434260.614154752</v>
      </c>
      <c r="O104" s="209" t="n">
        <f aca="false">-O95-O96</f>
        <v>473339.1614016</v>
      </c>
      <c r="P104" s="209" t="n">
        <f aca="false">-P95-P96</f>
        <v>481018.508648448</v>
      </c>
      <c r="Q104" s="209" t="n">
        <f aca="false">-Q95-Q96</f>
        <v>488697.855895296</v>
      </c>
      <c r="R104" s="209" t="n">
        <f aca="false">-R95-R96</f>
        <v>496377.203142144</v>
      </c>
      <c r="S104" s="209" t="n">
        <f aca="false">-S95-S96</f>
        <v>504056.550388992</v>
      </c>
      <c r="T104" s="209" t="n">
        <f aca="false">-T95-T96</f>
        <v>1200150.89763584</v>
      </c>
      <c r="U104" s="209" t="n">
        <f aca="false">-U95-U96</f>
        <v>1194298.09876429</v>
      </c>
      <c r="V104" s="209" t="n">
        <f aca="false">-V95-V96</f>
        <v>1188445.29989274</v>
      </c>
      <c r="W104" s="209" t="n">
        <f aca="false">-W95-W96</f>
        <v>1182592.50102118</v>
      </c>
      <c r="X104" s="209" t="n">
        <f aca="false">-X95-X96</f>
        <v>1504949.25930291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0.166471144824646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-2115780.8789632</v>
      </c>
      <c r="E106" s="209" t="n">
        <f aca="false">E85</f>
        <v>414250.929088853</v>
      </c>
      <c r="F106" s="209" t="n">
        <f aca="false">F85-F96</f>
        <v>422783.537140907</v>
      </c>
      <c r="G106" s="209" t="n">
        <f aca="false">G85-G96</f>
        <v>431316.14519296</v>
      </c>
      <c r="H106" s="209" t="n">
        <f aca="false">H85-H96</f>
        <v>439848.753245013</v>
      </c>
      <c r="I106" s="209" t="n">
        <f aca="false">I85-I96</f>
        <v>448381.361297066</v>
      </c>
      <c r="J106" s="209" t="n">
        <f aca="false">J85-J96</f>
        <v>456913.96934912</v>
      </c>
      <c r="K106" s="209" t="n">
        <f aca="false">K85-K96</f>
        <v>465446.577401173</v>
      </c>
      <c r="L106" s="209" t="n">
        <f aca="false">L85-L96</f>
        <v>473979.185453226</v>
      </c>
      <c r="M106" s="209" t="n">
        <f aca="false">M85-M96</f>
        <v>482511.79350528</v>
      </c>
      <c r="N106" s="209" t="n">
        <f aca="false">N85-N96</f>
        <v>525932.401557333</v>
      </c>
      <c r="O106" s="209" t="n">
        <f aca="false">O85-O96</f>
        <v>534465.009609386</v>
      </c>
      <c r="P106" s="209" t="n">
        <f aca="false">P85-P96</f>
        <v>542997.61766144</v>
      </c>
      <c r="Q106" s="209" t="n">
        <f aca="false">Q85-Q96</f>
        <v>551530.225713493</v>
      </c>
      <c r="R106" s="209" t="n">
        <f aca="false">R85-R96</f>
        <v>560062.833765546</v>
      </c>
      <c r="S106" s="209" t="n">
        <f aca="false">S85-S96</f>
        <v>568595.4418176</v>
      </c>
      <c r="T106" s="209" t="n">
        <f aca="false">T85-T96</f>
        <v>1250507.33196032</v>
      </c>
      <c r="U106" s="209" t="n">
        <f aca="false">U85-U96</f>
        <v>1244004.22210304</v>
      </c>
      <c r="V106" s="209" t="n">
        <f aca="false">V85-V96</f>
        <v>1237501.11224576</v>
      </c>
      <c r="W106" s="209" t="n">
        <f aca="false">W85-W96</f>
        <v>1230998.00238848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0.218555242305599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11014640</v>
      </c>
      <c r="E109" s="206" t="n">
        <f aca="false">D109+E93</f>
        <v>10280330.6666667</v>
      </c>
      <c r="F109" s="206" t="n">
        <f aca="false">E109+F93</f>
        <v>9546021.33333333</v>
      </c>
      <c r="G109" s="206" t="n">
        <f aca="false">F109+G93</f>
        <v>8811712</v>
      </c>
      <c r="H109" s="206" t="n">
        <f aca="false">G109+H93</f>
        <v>8077402.66666667</v>
      </c>
      <c r="I109" s="206" t="n">
        <f aca="false">H109+I93</f>
        <v>7343093.33333333</v>
      </c>
      <c r="J109" s="206" t="n">
        <f aca="false">I109+J93</f>
        <v>6608784</v>
      </c>
      <c r="K109" s="206" t="n">
        <f aca="false">J109+K93</f>
        <v>5874474.66666667</v>
      </c>
      <c r="L109" s="206" t="n">
        <f aca="false">K109+L93</f>
        <v>5140165.33333334</v>
      </c>
      <c r="M109" s="206" t="n">
        <f aca="false">L109+M93</f>
        <v>4405856</v>
      </c>
      <c r="N109" s="206" t="n">
        <f aca="false">M109+N93</f>
        <v>3671546.66666667</v>
      </c>
      <c r="O109" s="206" t="n">
        <f aca="false">N109+O93</f>
        <v>2937237.33333334</v>
      </c>
      <c r="P109" s="206" t="n">
        <f aca="false">O109+P93</f>
        <v>2202928</v>
      </c>
      <c r="Q109" s="206" t="n">
        <f aca="false">P109+Q93</f>
        <v>1468618.66666667</v>
      </c>
      <c r="R109" s="206" t="n">
        <f aca="false">Q109+R93</f>
        <v>734309.333333335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2026-03-19T06:14:04Z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