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滾算紀錄單(總紀錄)" sheetId="2" state="visible" r:id="rId4"/>
    <sheet name="滾算紀錄1" sheetId="3" state="visible" r:id="rId5"/>
    <sheet name="滾算紀錄2" sheetId="4" state="visible" r:id="rId6"/>
    <sheet name="滾算紀錄3" sheetId="5" state="visible" r:id="rId7"/>
    <sheet name="滾算紀錄4" sheetId="6" state="visible" r:id="rId8"/>
    <sheet name="滾算紀錄5" sheetId="7" state="visible" r:id="rId9"/>
    <sheet name="滾算紀錄6" sheetId="8" state="visible" r:id="rId10"/>
    <sheet name="滾算紀錄7" sheetId="9" state="visible" r:id="rId11"/>
    <sheet name="滾算紀錄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<sst xmlns="http://schemas.openxmlformats.org/spreadsheetml/2006/main" count="1554" uniqueCount="157">
  <si>
    <t xml:space="preserve">電站基本資料</t>
  </si>
  <si>
    <t xml:space="preserve">電站名稱</t>
  </si>
  <si>
    <r>
      <rPr>
        <sz val="12"/>
        <color theme="1"/>
        <rFont val="新細明體"/>
        <family val="2"/>
        <charset val="1"/>
      </rPr>
      <t xml:space="preserve">淡江大學</t>
    </r>
    <r>
      <rPr>
        <sz val="12"/>
        <color theme="1"/>
        <rFont val="Calibri"/>
        <family val="2"/>
        <charset val="136"/>
      </rPr>
      <t xml:space="preserve">-</t>
    </r>
    <r>
      <rPr>
        <sz val="12"/>
        <color theme="1"/>
        <rFont val="新細明體"/>
        <family val="2"/>
        <charset val="1"/>
      </rPr>
      <t xml:space="preserve">財務模擬案場</t>
    </r>
  </si>
  <si>
    <t xml:space="preserve">-</t>
  </si>
  <si>
    <t xml:space="preserve">電站壽命</t>
  </si>
  <si>
    <t xml:space="preserve">建置量(kWp)</t>
  </si>
  <si>
    <t xml:space="preserve">起始年度</t>
  </si>
  <si>
    <t xml:space="preserve">結束年度</t>
  </si>
  <si>
    <t xml:space="preserve">綜合損益表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</si>
  <si>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</si>
  <si>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</si>
  <si>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</si>
  <si>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</si>
  <si>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</si>
  <si>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</si>
  <si>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</si>
  <si>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t xml:space="preserve">首年衰退率</t>
  </si>
  <si>
    <t xml:space="preserve">次年衰退率</t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</si>
  <si>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</t>
    </r>
  </si>
  <si>
    <t xml:space="preserve">支出</t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</si>
  <si>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</si>
  <si>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</si>
  <si>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t xml:space="preserve">每kWp設備成本</t>
  </si>
  <si>
    <t xml:space="preserve">信邦利潤率</t>
  </si>
  <si>
    <t xml:space="preserve">開發費</t>
  </si>
  <si>
    <t xml:space="preserve">租金費用</t>
  </si>
  <si>
    <t xml:space="preserve">租金計算方式
(1=固定攤提/2=電費抽成)</t>
  </si>
  <si>
    <t xml:space="preserve">【方式1參數】租金總額</t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</si>
  <si>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36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</si>
  <si>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</si>
  <si>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</si>
  <si>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t xml:space="preserve">保險費用</t>
  </si>
  <si>
    <t xml:space="preserve">占整體設備費用比例</t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</si>
  <si>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</si>
  <si>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</si>
  <si>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t xml:space="preserve">利息費用</t>
  </si>
  <si>
    <t xml:space="preserve">銀行利率</t>
  </si>
  <si>
    <t xml:space="preserve">所得稅</t>
  </si>
  <si>
    <t xml:space="preserve">所得稅率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</si>
  <si>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</si>
  <si>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</si>
  <si>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</si>
  <si>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</si>
  <si>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貸款還款</t>
  </si>
  <si>
    <t xml:space="preserve">攤還期數</t>
  </si>
  <si>
    <t xml:space="preserve">現金股利</t>
  </si>
  <si>
    <t xml:space="preserve">股利比率</t>
  </si>
  <si>
    <t xml:space="preserve">年底減資</t>
  </si>
  <si>
    <t xml:space="preserve">年份</t>
  </si>
  <si>
    <t xml:space="preserve">手動計算值</t>
  </si>
  <si>
    <t xml:space="preserve">償還年限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</si>
  <si>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</si>
  <si>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</si>
  <si>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</si>
  <si>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</si>
  <si>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</si>
  <si>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</si>
  <si>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</si>
  <si>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</si>
  <si>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</si>
  <si>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</si>
  <si>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</si>
  <si>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</si>
  <si>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</si>
  <si>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</si>
  <si>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</si>
  <si>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</si>
  <si>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</si>
  <si>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</si>
  <si>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Discounted cash flow</t>
  </si>
  <si>
    <t xml:space="preserve">Minus : Depreciation</t>
  </si>
  <si>
    <t xml:space="preserve">Plus : Principle payment</t>
  </si>
  <si>
    <t xml:space="preserve">Profit</t>
  </si>
  <si>
    <t xml:space="preserve">EPS</t>
  </si>
  <si>
    <t xml:space="preserve">回收年限評估</t>
  </si>
  <si>
    <t xml:space="preserve">預估可建置量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</si>
  <si>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</si>
  <si>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</si>
  <si>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</si>
  <si>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</si>
  <si>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</si>
  <si>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</si>
  <si>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</si>
  <si>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</si>
  <si>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</si>
  <si>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</si>
  <si>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</si>
  <si>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</si>
  <si>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</si>
  <si>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</si>
  <si>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</si>
  <si>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編號</t>
  </si>
  <si>
    <t xml:space="preserve">價金每KW</t>
  </si>
  <si>
    <t xml:space="preserve">專案法IRR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</si>
  <si>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</si>
  <si>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</si>
  <si>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</si>
  <si>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</si>
  <si>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</si>
  <si>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</si>
  <si>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</si>
  <si>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</si>
  <si>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</si>
  <si>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</si>
  <si>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</si>
  <si>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r>
      <rPr>
        <sz val="12"/>
        <color rgb="FF000000"/>
        <rFont val="新細明體"/>
        <family val="2"/>
        <charset val="1"/>
      </rPr>
      <t xml:space="preserve">淡江大學</t>
    </r>
    <r>
      <rPr>
        <sz val="12"/>
        <color rgb="FF000000"/>
        <rFont val="Calibri"/>
        <family val="2"/>
        <charset val="1"/>
      </rPr>
      <t xml:space="preserve">-</t>
    </r>
    <r>
      <rPr>
        <sz val="12"/>
        <color rgb="FF000000"/>
        <rFont val="新細明體"/>
        <family val="2"/>
        <charset val="1"/>
      </rPr>
      <t xml:space="preserve">財務模擬案場</t>
    </r>
  </si>
  <si>
    <t xml:space="preserve">滾算紀錄編號: 1</t>
  </si>
  <si>
    <t xml:space="preserve">初始價金摘要</t>
  </si>
  <si>
    <t xml:space="preserve">價金: 35000</t>
  </si>
  <si>
    <t xml:space="preserve">專案IRR: -0.29</t>
  </si>
  <si>
    <t xml:space="preserve">權益法IRR: -3.64</t>
  </si>
  <si>
    <t xml:space="preserve">利潤率: 30.00%</t>
  </si>
  <si>
    <r>
      <rPr>
        <sz val="12"/>
        <color rgb="FF000000"/>
        <rFont val="新細明體"/>
        <family val="2"/>
        <charset val="1"/>
      </rPr>
      <t xml:space="preserve">年度</t>
    </r>
    <r>
      <rPr>
        <sz val="12"/>
        <color rgb="FF000000"/>
        <rFont val="Calibri"/>
        <family val="2"/>
        <charset val="1"/>
      </rPr>
      <t xml:space="preserve">AC</t>
    </r>
    <r>
      <rPr>
        <sz val="12"/>
        <color rgb="FF000000"/>
        <rFont val="新細明體"/>
        <family val="2"/>
        <charset val="1"/>
      </rPr>
      <t xml:space="preserve">併網總發電量</t>
    </r>
  </si>
  <si>
    <t xml:space="preserve">初始價金 - 現金模式，每次減少 2000 元</t>
  </si>
  <si>
    <r>
      <rPr>
        <sz val="12"/>
        <color rgb="FF000000"/>
        <rFont val="新細明體"/>
        <family val="2"/>
        <charset val="1"/>
      </rPr>
      <t xml:space="preserve">躉售費率</t>
    </r>
    <r>
      <rPr>
        <sz val="12"/>
        <color rgb="FF000000"/>
        <rFont val="Calibri"/>
        <family val="2"/>
        <charset val="1"/>
      </rPr>
      <t xml:space="preserve">(FIT)</t>
    </r>
  </si>
  <si>
    <r>
      <rPr>
        <sz val="12"/>
        <color rgb="FF000000"/>
        <rFont val="新細明體"/>
        <family val="2"/>
        <charset val="1"/>
      </rPr>
      <t xml:space="preserve">設備費用</t>
    </r>
    <r>
      <rPr>
        <sz val="12"/>
        <color rgb="FF000000"/>
        <rFont val="Calibri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價金</t>
    </r>
    <r>
      <rPr>
        <sz val="12"/>
        <color rgb="FF000000"/>
        <rFont val="Calibri"/>
        <family val="2"/>
        <charset val="1"/>
      </rPr>
      <t xml:space="preserve">)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</si>
  <si>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參數】租金總額</t>
    </r>
  </si>
  <si>
    <r>
      <rPr>
        <sz val="12"/>
        <color rgb="FF000000"/>
        <rFont val="新細明體"/>
        <family val="2"/>
        <charset val="1"/>
      </rPr>
      <t xml:space="preserve">【方式</t>
    </r>
    <r>
      <rPr>
        <sz val="12"/>
        <color rgb="FF000000"/>
        <rFont val="Calibri"/>
        <family val="2"/>
        <charset val="1"/>
      </rPr>
      <t xml:space="preserve">2</t>
    </r>
    <r>
      <rPr>
        <sz val="12"/>
        <color rgb="FF000000"/>
        <rFont val="新細明體"/>
        <family val="2"/>
        <charset val="1"/>
      </rPr>
      <t xml:space="preserve">參數】抽成比率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</si>
  <si>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運維成本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</si>
  <si>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模組回收成本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</si>
  <si>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</si>
  <si>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</si>
  <si>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滾算紀錄編號: 2</t>
  </si>
  <si>
    <t xml:space="preserve">第1次滾算摘要</t>
  </si>
  <si>
    <t xml:space="preserve">價金: 33000</t>
  </si>
  <si>
    <t xml:space="preserve">專案IRR: 0.15</t>
  </si>
  <si>
    <t xml:space="preserve">權益法IRR: -2.42</t>
  </si>
  <si>
    <t xml:space="preserve">滾算紀錄編號: 3</t>
  </si>
  <si>
    <t xml:space="preserve">第2次滾算摘要</t>
  </si>
  <si>
    <t xml:space="preserve">價金: 31000</t>
  </si>
  <si>
    <t xml:space="preserve">專案IRR: 0.63</t>
  </si>
  <si>
    <t xml:space="preserve">權益法IRR: -1.06</t>
  </si>
  <si>
    <t xml:space="preserve">滾算紀錄編號: 4</t>
  </si>
  <si>
    <t xml:space="preserve">第3次滾算摘要</t>
  </si>
  <si>
    <t xml:space="preserve">價金: 29000</t>
  </si>
  <si>
    <t xml:space="preserve">專案IRR: 1.16</t>
  </si>
  <si>
    <t xml:space="preserve">權益法IRR: 0.49</t>
  </si>
  <si>
    <t xml:space="preserve">滾算紀錄編號: 5</t>
  </si>
  <si>
    <t xml:space="preserve">第4次滾算摘要</t>
  </si>
  <si>
    <t xml:space="preserve">價金: 27000</t>
  </si>
  <si>
    <t xml:space="preserve">專案IRR: 1.73</t>
  </si>
  <si>
    <t xml:space="preserve">權益法IRR: 2.27</t>
  </si>
  <si>
    <t xml:space="preserve">滾算紀錄編號: 6</t>
  </si>
  <si>
    <t xml:space="preserve">第5次滾算摘要</t>
  </si>
  <si>
    <t xml:space="preserve">價金: 25000</t>
  </si>
  <si>
    <t xml:space="preserve">專案IRR: 2.38</t>
  </si>
  <si>
    <t xml:space="preserve">權益法IRR: 4.36</t>
  </si>
  <si>
    <t xml:space="preserve">滾算紀錄編號: 7</t>
  </si>
  <si>
    <t xml:space="preserve">第6次滾算摘要</t>
  </si>
  <si>
    <t xml:space="preserve">價金: 23000</t>
  </si>
  <si>
    <t xml:space="preserve">專案IRR: 3.1</t>
  </si>
  <si>
    <t xml:space="preserve">權益法IRR: 6.89</t>
  </si>
  <si>
    <t xml:space="preserve">滾算紀錄編號: 8</t>
  </si>
  <si>
    <t xml:space="preserve">第7次滾算摘要</t>
  </si>
  <si>
    <t xml:space="preserve">價金: 21000</t>
  </si>
  <si>
    <t xml:space="preserve">專案IRR: 3.91</t>
  </si>
  <si>
    <t xml:space="preserve">權益法IRR: 10.03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</si>
</sst>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.00"/>
    <numFmt numFmtId="166" formatCode="#,##0"/>
    <numFmt numFmtId="167" formatCode="0%"/>
    <numFmt numFmtId="168" formatCode="0.00%"/>
    <numFmt numFmtId="169" formatCode="#,##0.000"/>
    <numFmt numFmtId="170" formatCode="#,##0.00%"/>
    <numFmt numFmtId="171" formatCode="0.00_);[RED]\(0.00\)"/>
    <numFmt numFmtId="172" formatCode="0_);[RED]\(0\)"/>
    <numFmt numFmtId="173" formatCode="\$#,##0.00_);[RED]&quot;($&quot;#,##0.00\)"/>
    <numFmt numFmtId="174" formatCode="\$#,##0_);[RED]&quot;($&quot;#,##0\)"/>
    <numFmt numFmtId="175" formatCode="0.00000%"/>
    <numFmt numFmtId="176" formatCode="_-\$* #,##0_-;&quot;-$&quot;* #,##0_-;_-\$* \-??_-;_-@_-"/>
    <numFmt numFmtId="177" formatCode="0.0000%"/>
    <numFmt numFmtId="178" formatCode="0.000%"/>
  </numFmts>
  <fonts count="39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"/>
    </font>
    <font>
      <sz val="12"/>
      <color theme="1"/>
      <name val="Calibri"/>
      <family val="2"/>
      <charset val="136"/>
    </font>
    <font>
      <sz val="12"/>
      <color theme="1"/>
      <name val="Calibri"/>
      <family val="2"/>
      <charset val="1"/>
    </font>
    <font>
      <b val="true"/>
      <sz val="12"/>
      <color theme="0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rgb="FF993366"/>
      <name val="Arial"/>
      <family val="2"/>
      <charset val="1"/>
    </font>
    <font>
      <b val="true"/>
      <sz val="12"/>
      <color rgb="FF993366"/>
      <name val="新細明體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theme="1"/>
      <name val="細明體"/>
      <family val="2"/>
      <charset val="1"/>
    </font>
    <font>
      <sz val="12"/>
      <color rgb="FF000000"/>
      <name val="微軟正黑體"/>
      <family val="2"/>
      <charset val="1"/>
    </font>
    <font>
      <sz val="10"/>
      <color rgb="FF000000"/>
      <name val="新細明體"/>
      <family val="2"/>
      <charset val="1"/>
    </font>
    <font>
      <b val="true"/>
      <sz val="12"/>
      <color rgb="FFFFFFFF"/>
      <name val="微軟正黑體"/>
      <family val="2"/>
      <charset val="1"/>
    </font>
    <font>
      <sz val="11"/>
      <color theme="0" tint="-0.15"/>
      <name val="新細明體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FFFFFF"/>
      <name val="新細明體"/>
      <family val="2"/>
      <charset val="1"/>
    </font>
    <font>
      <sz val="11"/>
      <color theme="1"/>
      <name val="Calibri"/>
      <family val="2"/>
      <charset val="1"/>
    </font>
    <font>
      <sz val="12"/>
      <name val="Arial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新細明體"/>
      <family val="1"/>
      <charset val="136"/>
    </font>
    <font>
      <b val="true"/>
      <sz val="11"/>
      <color theme="1"/>
      <name val="新細明體"/>
      <family val="1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7999"/>
        <bgColor rgb="FFDCE6F2"/>
      </patternFill>
    </fill>
    <fill>
      <patternFill patternType="solid">
        <fgColor theme="5" tint="0.3999"/>
        <bgColor rgb="FFD99694"/>
      </patternFill>
    </fill>
    <fill>
      <patternFill patternType="solid">
        <fgColor rgb="FF376092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D9D9D9"/>
      </patternFill>
    </fill>
    <fill>
      <patternFill patternType="solid">
        <fgColor rgb="FF9BC2E6"/>
        <bgColor rgb="FFC6C6C6"/>
      </patternFill>
    </fill>
    <fill>
      <patternFill patternType="solid">
        <fgColor rgb="FFDCE6F2"/>
        <bgColor rgb="FFDEEBF7"/>
      </patternFill>
    </fill>
    <fill>
      <patternFill patternType="solid">
        <fgColor rgb="FFD99694"/>
        <bgColor rgb="FFF4B183"/>
      </patternFill>
    </fill>
  </fills>
  <borders count="4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thin">
        <color rgb="FFC6C6C6"/>
      </right>
      <top style="medium"/>
      <bottom style="medium"/>
      <diagonal/>
    </border>
    <border diagonalUp="false" diagonalDown="false">
      <left/>
      <right style="thin">
        <color rgb="FFC6C6C6"/>
      </right>
      <top style="medium"/>
      <bottom style="medium"/>
      <diagonal/>
    </border>
    <border diagonalUp="false" diagonalDown="false">
      <left style="thin"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1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0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7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8" fillId="1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8" fillId="0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8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8" fillId="1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8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8" fillId="0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8" fillId="0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8" fillId="8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8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3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8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32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3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3" fillId="2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14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15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32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8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36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7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3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3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7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8" fillId="1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8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8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8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8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8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8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8" fillId="0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8" fillId="0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8" fillId="8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8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8" fontId="28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EEBF7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BC2E6"/>
      <rgbColor rgb="FFF4B183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7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J17" activeCellId="0" sqref="J17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2" width="38"/>
    <col collapsed="false" customWidth="true" hidden="false" outlineLevel="0" max="22" min="3" style="2" width="50"/>
    <col collapsed="false" customWidth="true" hidden="false" outlineLevel="0" max="35" min="23" style="0" width="8"/>
  </cols>
  <sheetData>
    <row r="1" customFormat="false" ht="22.5" hidden="false" customHeight="true" outlineLevel="0" collapsed="false">
      <c r="A1" s="3" t="s">
        <v>0</v>
      </c>
      <c r="B1" s="3"/>
      <c r="C1" s="3"/>
      <c r="D1" s="3"/>
    </row>
    <row r="2" customFormat="false" ht="21.75" hidden="false" customHeight="true" outlineLevel="0" collapsed="false">
      <c r="A2" s="4" t="s">
        <v>1</v>
      </c>
      <c r="B2" s="5" t="s">
        <v>2</v>
      </c>
      <c r="C2" s="6" t="s">
        <v>3</v>
      </c>
      <c r="D2" s="6" t="s">
        <v>3</v>
      </c>
    </row>
    <row r="3" customFormat="false" ht="21.75" hidden="false" customHeight="true" outlineLevel="0" collapsed="false">
      <c r="A3" s="7" t="s">
        <v>4</v>
      </c>
      <c r="B3" s="8" t="n">
        <v>20</v>
      </c>
      <c r="C3" s="9" t="s">
        <v>3</v>
      </c>
      <c r="D3" s="9" t="s">
        <v>3</v>
      </c>
    </row>
    <row r="4" customFormat="false" ht="21.75" hidden="false" customHeight="true" outlineLevel="0" collapsed="false">
      <c r="A4" s="7" t="s">
        <v>5</v>
      </c>
      <c r="B4" s="8" t="n">
        <v>436.1</v>
      </c>
      <c r="C4" s="9" t="s">
        <v>3</v>
      </c>
      <c r="D4" s="9" t="s">
        <v>3</v>
      </c>
    </row>
    <row r="5" customFormat="false" ht="22.5" hidden="false" customHeight="true" outlineLevel="0" collapsed="false">
      <c r="A5" s="10" t="s">
        <v>6</v>
      </c>
      <c r="B5" s="10" t="n">
        <v>2020</v>
      </c>
      <c r="C5" s="10" t="s">
        <v>7</v>
      </c>
      <c r="D5" s="10" t="n">
        <v>2039</v>
      </c>
    </row>
    <row r="6" customFormat="false" ht="20.25" hidden="false" customHeight="true" outlineLevel="0" collapsed="false">
      <c r="A6" s="11"/>
      <c r="B6" s="11"/>
      <c r="C6" s="11"/>
      <c r="D6" s="11"/>
    </row>
    <row r="7" customFormat="false" ht="22.5" hidden="false" customHeight="true" outlineLevel="0" collapsed="false">
      <c r="A7" s="12" t="s">
        <v>8</v>
      </c>
      <c r="B7" s="12"/>
      <c r="C7" s="12"/>
      <c r="D7" s="12"/>
    </row>
    <row r="8" customFormat="false" ht="22.5" hidden="false" customHeight="true" outlineLevel="0" collapsed="false">
      <c r="A8" s="13" t="s">
        <v>9</v>
      </c>
      <c r="B8" s="13"/>
      <c r="C8" s="13"/>
      <c r="D8" s="13"/>
    </row>
    <row r="9" customFormat="false" ht="22.5" hidden="false" customHeight="true" outlineLevel="0" collapsed="false">
      <c r="A9" s="14" t="s">
        <v>10</v>
      </c>
      <c r="B9" s="15" t="s">
        <v>11</v>
      </c>
      <c r="C9" s="15" t="s">
        <v>12</v>
      </c>
      <c r="D9" s="16" t="s">
        <v>13</v>
      </c>
    </row>
    <row r="10" customFormat="false" ht="21.75" hidden="false" customHeight="true" outlineLevel="0" collapsed="false">
      <c r="A10" s="17" t="s">
        <v>14</v>
      </c>
      <c r="B10" s="18" t="s">
        <v>15</v>
      </c>
      <c r="C10" s="18" t="n">
        <v>547002</v>
      </c>
      <c r="D10" s="17" t="n">
        <v>20</v>
      </c>
    </row>
    <row r="11" customFormat="false" ht="21.75" hidden="false" customHeight="true" outlineLevel="0" collapsed="false">
      <c r="A11" s="17"/>
      <c r="B11" s="10" t="s">
        <v>16</v>
      </c>
      <c r="C11" s="19" t="n">
        <v>0.01</v>
      </c>
      <c r="D11" s="17"/>
    </row>
    <row r="12" customFormat="false" ht="21.75" hidden="false" customHeight="true" outlineLevel="0" collapsed="false">
      <c r="A12" s="17"/>
      <c r="B12" s="10" t="s">
        <v>17</v>
      </c>
      <c r="C12" s="20" t="n">
        <v>0.004</v>
      </c>
      <c r="D12" s="17"/>
    </row>
    <row r="13" customFormat="false" ht="22.5" hidden="false" customHeight="true" outlineLevel="0" collapsed="false">
      <c r="A13" s="17"/>
      <c r="B13" s="21" t="s">
        <v>18</v>
      </c>
      <c r="C13" s="21" t="n">
        <v>3.7152</v>
      </c>
      <c r="D13" s="17"/>
    </row>
    <row r="14" customFormat="false" ht="22.5" hidden="false" customHeight="true" outlineLevel="0" collapsed="false">
      <c r="A14" s="22" t="s">
        <v>19</v>
      </c>
      <c r="B14" s="22"/>
      <c r="C14" s="22"/>
      <c r="D14" s="22"/>
    </row>
    <row r="15" customFormat="false" ht="22.5" hidden="false" customHeight="true" outlineLevel="0" collapsed="false">
      <c r="A15" s="14" t="s">
        <v>10</v>
      </c>
      <c r="B15" s="15" t="s">
        <v>11</v>
      </c>
      <c r="C15" s="15" t="s">
        <v>12</v>
      </c>
      <c r="D15" s="23" t="s">
        <v>20</v>
      </c>
    </row>
    <row r="16" customFormat="false" ht="21.75" hidden="false" customHeight="true" outlineLevel="0" collapsed="false">
      <c r="A16" s="18" t="s">
        <v>21</v>
      </c>
      <c r="B16" s="24" t="s">
        <v>22</v>
      </c>
      <c r="C16" s="18" t="n">
        <v>35000</v>
      </c>
      <c r="D16" s="6" t="n">
        <v>20</v>
      </c>
    </row>
    <row r="17" customFormat="false" ht="21.75" hidden="false" customHeight="true" outlineLevel="0" collapsed="false">
      <c r="A17" s="18"/>
      <c r="B17" s="10" t="s">
        <v>23</v>
      </c>
      <c r="C17" s="8" t="n">
        <v>0.3</v>
      </c>
      <c r="D17" s="6"/>
    </row>
    <row r="18" customFormat="false" ht="21.75" hidden="false" customHeight="true" outlineLevel="0" collapsed="false">
      <c r="A18" s="18"/>
      <c r="B18" s="10" t="s">
        <v>24</v>
      </c>
      <c r="C18" s="8" t="n">
        <v>3000</v>
      </c>
      <c r="D18" s="6"/>
    </row>
    <row r="19" customFormat="false" ht="54" hidden="false" customHeight="true" outlineLevel="0" collapsed="false">
      <c r="A19" s="10" t="s">
        <v>25</v>
      </c>
      <c r="B19" s="25" t="s">
        <v>26</v>
      </c>
      <c r="C19" s="8" t="n">
        <v>2</v>
      </c>
      <c r="D19" s="6" t="s">
        <v>3</v>
      </c>
    </row>
    <row r="20" customFormat="false" ht="20.25" hidden="false" customHeight="true" outlineLevel="0" collapsed="false">
      <c r="A20" s="10"/>
      <c r="B20" s="26" t="s">
        <v>27</v>
      </c>
      <c r="C20" s="8"/>
      <c r="D20" s="6" t="n">
        <v>20</v>
      </c>
    </row>
    <row r="21" customFormat="false" ht="21.75" hidden="false" customHeight="true" outlineLevel="0" collapsed="false">
      <c r="A21" s="10"/>
      <c r="B21" s="10" t="s">
        <v>28</v>
      </c>
      <c r="C21" s="8" t="n">
        <v>0.3</v>
      </c>
      <c r="D21" s="9" t="s">
        <v>3</v>
      </c>
    </row>
    <row r="22" customFormat="false" ht="21.75" hidden="false" customHeight="true" outlineLevel="0" collapsed="false">
      <c r="A22" s="10" t="s">
        <v>29</v>
      </c>
      <c r="B22" s="10" t="s">
        <v>30</v>
      </c>
      <c r="C22" s="8" t="n">
        <v>400</v>
      </c>
      <c r="D22" s="9" t="n">
        <v>20</v>
      </c>
    </row>
    <row r="23" customFormat="false" ht="21.75" hidden="false" customHeight="true" outlineLevel="0" collapsed="false">
      <c r="A23" s="10" t="s">
        <v>31</v>
      </c>
      <c r="B23" s="27" t="s">
        <v>32</v>
      </c>
      <c r="C23" s="8" t="n">
        <v>0.003</v>
      </c>
      <c r="D23" s="9" t="n">
        <v>20</v>
      </c>
    </row>
    <row r="24" customFormat="false" ht="21.75" hidden="false" customHeight="true" outlineLevel="0" collapsed="false">
      <c r="A24" s="10" t="s">
        <v>33</v>
      </c>
      <c r="B24" s="10" t="s">
        <v>34</v>
      </c>
      <c r="C24" s="8" t="n">
        <v>1000</v>
      </c>
      <c r="D24" s="9" t="n">
        <v>10</v>
      </c>
    </row>
    <row r="25" customFormat="false" ht="21.75" hidden="false" customHeight="true" outlineLevel="0" collapsed="false">
      <c r="A25" s="10" t="s">
        <v>35</v>
      </c>
      <c r="B25" s="10" t="s">
        <v>36</v>
      </c>
      <c r="C25" s="28" t="n">
        <v>0.025595</v>
      </c>
      <c r="D25" s="9" t="s">
        <v>3</v>
      </c>
    </row>
    <row r="26" customFormat="false" ht="22.5" hidden="false" customHeight="true" outlineLevel="0" collapsed="false">
      <c r="A26" s="10" t="s">
        <v>37</v>
      </c>
      <c r="B26" s="10" t="s">
        <v>38</v>
      </c>
      <c r="C26" s="8" t="n">
        <v>0.2</v>
      </c>
      <c r="D26" s="9" t="s">
        <v>3</v>
      </c>
    </row>
    <row r="27" customFormat="false" ht="20.25" hidden="false" customHeight="true" outlineLevel="0" collapsed="false">
      <c r="A27" s="11"/>
      <c r="B27" s="11"/>
      <c r="C27" s="11"/>
      <c r="D27" s="11"/>
    </row>
    <row r="28" customFormat="false" ht="20.25" hidden="false" customHeight="true" outlineLevel="0" collapsed="false">
      <c r="A28" s="11"/>
      <c r="B28" s="11"/>
      <c r="C28" s="11"/>
      <c r="D28" s="11"/>
    </row>
    <row r="29" customFormat="false" ht="22.5" hidden="false" customHeight="true" outlineLevel="0" collapsed="false">
      <c r="A29" s="12" t="s">
        <v>39</v>
      </c>
      <c r="B29" s="12"/>
      <c r="C29" s="12"/>
      <c r="D29" s="11"/>
    </row>
    <row r="30" customFormat="false" ht="22.5" hidden="false" customHeight="true" outlineLevel="0" collapsed="false">
      <c r="A30" s="14" t="s">
        <v>40</v>
      </c>
      <c r="B30" s="29" t="s">
        <v>11</v>
      </c>
      <c r="C30" s="30" t="s">
        <v>12</v>
      </c>
      <c r="D30" s="11"/>
    </row>
    <row r="31" customFormat="false" ht="18.75" hidden="false" customHeight="true" outlineLevel="0" collapsed="false">
      <c r="A31" s="24" t="s">
        <v>41</v>
      </c>
      <c r="B31" s="4" t="s">
        <v>42</v>
      </c>
      <c r="C31" s="31" t="n">
        <v>0.8</v>
      </c>
      <c r="D31" s="11"/>
    </row>
    <row r="32" customFormat="false" ht="18.75" hidden="false" customHeight="true" outlineLevel="0" collapsed="false">
      <c r="A32" s="18" t="s">
        <v>43</v>
      </c>
      <c r="B32" s="5" t="s">
        <v>44</v>
      </c>
      <c r="C32" s="5" t="n">
        <v>15</v>
      </c>
      <c r="D32" s="11"/>
    </row>
    <row r="33" customFormat="false" ht="18.75" hidden="false" customHeight="true" outlineLevel="0" collapsed="false">
      <c r="A33" s="10" t="s">
        <v>45</v>
      </c>
      <c r="B33" s="32" t="s">
        <v>46</v>
      </c>
      <c r="C33" s="32" t="n">
        <v>0.9</v>
      </c>
      <c r="D33" s="11"/>
    </row>
    <row r="34" customFormat="false" ht="18.75" hidden="false" customHeight="true" outlineLevel="0" collapsed="false">
      <c r="A34" s="10" t="s">
        <v>47</v>
      </c>
      <c r="B34" s="32" t="s">
        <v>44</v>
      </c>
      <c r="C34" s="32" t="n">
        <v>4</v>
      </c>
      <c r="D34" s="1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A37" s="33"/>
      <c r="B37" s="34" t="s">
        <v>48</v>
      </c>
      <c r="C37" s="34" t="n">
        <v>2020</v>
      </c>
      <c r="D37" s="34" t="n">
        <v>2021</v>
      </c>
      <c r="E37" s="34" t="n">
        <v>2022</v>
      </c>
      <c r="F37" s="34" t="n">
        <v>2023</v>
      </c>
      <c r="G37" s="34" t="n">
        <v>2024</v>
      </c>
      <c r="H37" s="34" t="n">
        <v>2025</v>
      </c>
      <c r="I37" s="34" t="n">
        <v>2026</v>
      </c>
      <c r="J37" s="34" t="n">
        <v>2027</v>
      </c>
      <c r="K37" s="34" t="n">
        <v>2028</v>
      </c>
      <c r="L37" s="34" t="n">
        <v>2029</v>
      </c>
      <c r="M37" s="34" t="n">
        <v>2030</v>
      </c>
      <c r="N37" s="34" t="n">
        <v>2031</v>
      </c>
      <c r="O37" s="34" t="n">
        <v>2032</v>
      </c>
      <c r="P37" s="34" t="n">
        <v>2033</v>
      </c>
      <c r="Q37" s="34" t="n">
        <v>2034</v>
      </c>
      <c r="R37" s="34" t="n">
        <v>2035</v>
      </c>
      <c r="S37" s="34" t="n">
        <v>2036</v>
      </c>
      <c r="T37" s="34" t="n">
        <v>2037</v>
      </c>
      <c r="U37" s="34" t="n">
        <v>2038</v>
      </c>
      <c r="V37" s="34" t="n">
        <v>2039</v>
      </c>
      <c r="W37" s="35"/>
    </row>
    <row r="38" customFormat="false" ht="18.75" hidden="false" customHeight="true" outlineLevel="0" collapsed="false">
      <c r="A38" s="36" t="n">
        <v>0</v>
      </c>
      <c r="B38" s="37"/>
      <c r="C38" s="38"/>
      <c r="D38" s="38"/>
      <c r="E38" s="39" t="s">
        <v>49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1" t="s">
        <v>50</v>
      </c>
      <c r="T38" s="40"/>
      <c r="U38" s="40"/>
      <c r="V38" s="40"/>
      <c r="W38" s="42"/>
    </row>
    <row r="39" customFormat="false" ht="18.75" hidden="false" customHeight="true" outlineLevel="0" collapsed="false">
      <c r="A39" s="43" t="s">
        <v>51</v>
      </c>
      <c r="B39" s="44" t="n">
        <v>0</v>
      </c>
      <c r="C39" s="45" t="n">
        <v>1</v>
      </c>
      <c r="D39" s="45" t="n">
        <v>2</v>
      </c>
      <c r="E39" s="45" t="n">
        <v>3</v>
      </c>
      <c r="F39" s="45" t="n">
        <v>4</v>
      </c>
      <c r="G39" s="45" t="n">
        <v>5</v>
      </c>
      <c r="H39" s="45" t="n">
        <v>6</v>
      </c>
      <c r="I39" s="45" t="n">
        <v>7</v>
      </c>
      <c r="J39" s="45" t="n">
        <v>8</v>
      </c>
      <c r="K39" s="45" t="n">
        <v>9</v>
      </c>
      <c r="L39" s="45" t="n">
        <v>10</v>
      </c>
      <c r="M39" s="45" t="n">
        <v>11</v>
      </c>
      <c r="N39" s="45" t="n">
        <v>12</v>
      </c>
      <c r="O39" s="45" t="n">
        <v>13</v>
      </c>
      <c r="P39" s="45" t="n">
        <v>14</v>
      </c>
      <c r="Q39" s="45" t="n">
        <v>15</v>
      </c>
      <c r="R39" s="45" t="n">
        <v>16</v>
      </c>
      <c r="S39" s="46" t="n">
        <v>17</v>
      </c>
      <c r="T39" s="45" t="n">
        <v>18</v>
      </c>
      <c r="U39" s="45" t="n">
        <v>19</v>
      </c>
      <c r="V39" s="45" t="n">
        <v>20</v>
      </c>
      <c r="W39" s="47"/>
    </row>
    <row r="40" customFormat="false" ht="18.75" hidden="false" customHeight="true" outlineLevel="0" collapsed="false">
      <c r="A40" s="48" t="s">
        <v>52</v>
      </c>
      <c r="B40" s="44" t="n">
        <v>0</v>
      </c>
      <c r="C40" s="45" t="e">
        <f aca="false">#REF!</f>
        <v>#REF!</v>
      </c>
      <c r="D40" s="45" t="e">
        <f aca="false">#REF!</f>
        <v>#REF!</v>
      </c>
      <c r="E40" s="45" t="e">
        <f aca="false">#REF!</f>
        <v>#REF!</v>
      </c>
      <c r="F40" s="45" t="e">
        <f aca="false">#REF!</f>
        <v>#REF!</v>
      </c>
      <c r="G40" s="45" t="e">
        <f aca="false">#REF!</f>
        <v>#REF!</v>
      </c>
      <c r="H40" s="45" t="e">
        <f aca="false">#REF!</f>
        <v>#REF!</v>
      </c>
      <c r="I40" s="45" t="e">
        <f aca="false">#REF!</f>
        <v>#REF!</v>
      </c>
      <c r="J40" s="45" t="e">
        <f aca="false">#REF!</f>
        <v>#REF!</v>
      </c>
      <c r="K40" s="45" t="e">
        <f aca="false">#REF!</f>
        <v>#REF!</v>
      </c>
      <c r="L40" s="45" t="e">
        <f aca="false">#REF!</f>
        <v>#REF!</v>
      </c>
      <c r="M40" s="45" t="e">
        <f aca="false">#REF!</f>
        <v>#REF!</v>
      </c>
      <c r="N40" s="45" t="e">
        <f aca="false">#REF!</f>
        <v>#REF!</v>
      </c>
      <c r="O40" s="45" t="e">
        <f aca="false">#REF!</f>
        <v>#REF!</v>
      </c>
      <c r="P40" s="45" t="e">
        <f aca="false">#REF!</f>
        <v>#REF!</v>
      </c>
      <c r="Q40" s="45" t="e">
        <f aca="false">#REF!</f>
        <v>#REF!</v>
      </c>
      <c r="R40" s="45" t="e">
        <f aca="false">#REF!</f>
        <v>#REF!</v>
      </c>
      <c r="S40" s="45" t="e">
        <f aca="false">#REF!</f>
        <v>#REF!</v>
      </c>
      <c r="T40" s="45" t="e">
        <f aca="false">#REF!</f>
        <v>#REF!</v>
      </c>
      <c r="U40" s="45" t="e">
        <f aca="false">#REF!</f>
        <v>#REF!</v>
      </c>
      <c r="V40" s="45" t="e">
        <f aca="false">#REF!</f>
        <v>#REF!</v>
      </c>
      <c r="W40" s="49"/>
    </row>
    <row r="41" customFormat="false" ht="18.75" hidden="false" customHeight="true" outlineLevel="0" collapsed="false">
      <c r="A41" s="50" t="s">
        <v>53</v>
      </c>
      <c r="B41" s="51" t="s">
        <v>3</v>
      </c>
      <c r="C41" s="52" t="e">
        <f aca="false">#REF!</f>
        <v>#REF!</v>
      </c>
      <c r="D41" s="52" t="e">
        <f aca="false">#REF!</f>
        <v>#REF!</v>
      </c>
      <c r="E41" s="52" t="e">
        <f aca="false">#REF!</f>
        <v>#REF!</v>
      </c>
      <c r="F41" s="52" t="e">
        <f aca="false">#REF!</f>
        <v>#REF!</v>
      </c>
      <c r="G41" s="52" t="e">
        <f aca="false">#REF!</f>
        <v>#REF!</v>
      </c>
      <c r="H41" s="52" t="e">
        <f aca="false">#REF!</f>
        <v>#REF!</v>
      </c>
      <c r="I41" s="52" t="e">
        <f aca="false">#REF!</f>
        <v>#REF!</v>
      </c>
      <c r="J41" s="52" t="e">
        <f aca="false">#REF!</f>
        <v>#REF!</v>
      </c>
      <c r="K41" s="52" t="e">
        <f aca="false">#REF!</f>
        <v>#REF!</v>
      </c>
      <c r="L41" s="52" t="e">
        <f aca="false">#REF!</f>
        <v>#REF!</v>
      </c>
      <c r="M41" s="52" t="e">
        <f aca="false">#REF!</f>
        <v>#REF!</v>
      </c>
      <c r="N41" s="52" t="e">
        <f aca="false">#REF!</f>
        <v>#REF!</v>
      </c>
      <c r="O41" s="52" t="e">
        <f aca="false">#REF!</f>
        <v>#REF!</v>
      </c>
      <c r="P41" s="52" t="e">
        <f aca="false">#REF!</f>
        <v>#REF!</v>
      </c>
      <c r="Q41" s="52" t="e">
        <f aca="false">#REF!</f>
        <v>#REF!</v>
      </c>
      <c r="R41" s="52" t="e">
        <f aca="false">#REF!</f>
        <v>#REF!</v>
      </c>
      <c r="S41" s="52" t="e">
        <f aca="false">#REF!</f>
        <v>#REF!</v>
      </c>
      <c r="T41" s="52" t="e">
        <f aca="false">#REF!</f>
        <v>#REF!</v>
      </c>
      <c r="U41" s="52" t="e">
        <f aca="false">#REF!</f>
        <v>#REF!</v>
      </c>
      <c r="V41" s="52" t="e">
        <f aca="false">#REF!</f>
        <v>#REF!</v>
      </c>
      <c r="W41" s="53"/>
    </row>
    <row r="42" customFormat="false" ht="18.75" hidden="false" customHeight="true" outlineLevel="0" collapsed="false">
      <c r="A42" s="54" t="s">
        <v>54</v>
      </c>
      <c r="B42" s="44" t="s">
        <v>3</v>
      </c>
      <c r="C42" s="45"/>
      <c r="D42" s="45"/>
      <c r="E42" s="45" t="n">
        <v>0</v>
      </c>
      <c r="F42" s="45" t="s">
        <v>3</v>
      </c>
      <c r="G42" s="45" t="s">
        <v>3</v>
      </c>
      <c r="H42" s="45" t="s">
        <v>3</v>
      </c>
      <c r="I42" s="45" t="s">
        <v>3</v>
      </c>
      <c r="J42" s="45" t="s">
        <v>3</v>
      </c>
      <c r="K42" s="45" t="s">
        <v>3</v>
      </c>
      <c r="L42" s="45" t="s">
        <v>3</v>
      </c>
      <c r="M42" s="45" t="s">
        <v>3</v>
      </c>
      <c r="N42" s="45" t="s">
        <v>3</v>
      </c>
      <c r="O42" s="45" t="s">
        <v>3</v>
      </c>
      <c r="P42" s="45" t="s">
        <v>3</v>
      </c>
      <c r="Q42" s="45" t="s">
        <v>3</v>
      </c>
      <c r="R42" s="45" t="s">
        <v>3</v>
      </c>
      <c r="S42" s="45" t="s">
        <v>3</v>
      </c>
      <c r="T42" s="45" t="s">
        <v>3</v>
      </c>
      <c r="U42" s="45" t="s">
        <v>3</v>
      </c>
      <c r="V42" s="45" t="s">
        <v>3</v>
      </c>
      <c r="W42" s="55"/>
    </row>
    <row r="43" customFormat="false" ht="18.75" hidden="false" customHeight="true" outlineLevel="0" collapsed="false">
      <c r="A43" s="56" t="s">
        <v>55</v>
      </c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9"/>
    </row>
    <row r="44" customFormat="false" ht="18.75" hidden="false" customHeight="true" outlineLevel="0" collapsed="false">
      <c r="A44" s="60" t="s">
        <v>56</v>
      </c>
      <c r="B44" s="44" t="e">
        <f aca="false">-#REF!</f>
        <v>#REF!</v>
      </c>
      <c r="C44" s="61"/>
      <c r="D44" s="45"/>
      <c r="E44" s="45" t="s">
        <v>3</v>
      </c>
      <c r="F44" s="45" t="s">
        <v>3</v>
      </c>
      <c r="G44" s="45" t="s">
        <v>3</v>
      </c>
      <c r="H44" s="45" t="s">
        <v>3</v>
      </c>
      <c r="I44" s="45" t="s">
        <v>3</v>
      </c>
      <c r="J44" s="45" t="s">
        <v>3</v>
      </c>
      <c r="K44" s="45" t="s">
        <v>3</v>
      </c>
      <c r="L44" s="45" t="s">
        <v>3</v>
      </c>
      <c r="M44" s="45" t="s">
        <v>3</v>
      </c>
      <c r="N44" s="45" t="s">
        <v>3</v>
      </c>
      <c r="O44" s="45" t="s">
        <v>3</v>
      </c>
      <c r="P44" s="45" t="s">
        <v>3</v>
      </c>
      <c r="Q44" s="45" t="s">
        <v>3</v>
      </c>
      <c r="R44" s="45" t="s">
        <v>3</v>
      </c>
      <c r="S44" s="45" t="s">
        <v>3</v>
      </c>
      <c r="T44" s="45" t="s">
        <v>3</v>
      </c>
      <c r="U44" s="45" t="s">
        <v>3</v>
      </c>
      <c r="V44" s="45" t="s">
        <v>3</v>
      </c>
      <c r="W44" s="55"/>
    </row>
    <row r="45" customFormat="false" ht="18.75" hidden="false" customHeight="true" outlineLevel="0" collapsed="false">
      <c r="A45" s="60" t="s">
        <v>57</v>
      </c>
      <c r="B45" s="44" t="s">
        <v>3</v>
      </c>
      <c r="C45" s="45" t="e">
        <f aca="false">-#REF!</f>
        <v>#REF!</v>
      </c>
      <c r="D45" s="45" t="e">
        <f aca="false">-#REF!</f>
        <v>#REF!</v>
      </c>
      <c r="E45" s="45" t="e">
        <f aca="false">-#REF!</f>
        <v>#REF!</v>
      </c>
      <c r="F45" s="45" t="e">
        <f aca="false">-#REF!</f>
        <v>#REF!</v>
      </c>
      <c r="G45" s="45" t="e">
        <f aca="false">-#REF!</f>
        <v>#REF!</v>
      </c>
      <c r="H45" s="45" t="e">
        <f aca="false">-#REF!</f>
        <v>#REF!</v>
      </c>
      <c r="I45" s="45" t="e">
        <f aca="false">-#REF!</f>
        <v>#REF!</v>
      </c>
      <c r="J45" s="45" t="e">
        <f aca="false">-#REF!</f>
        <v>#REF!</v>
      </c>
      <c r="K45" s="45" t="e">
        <f aca="false">-#REF!</f>
        <v>#REF!</v>
      </c>
      <c r="L45" s="45" t="e">
        <f aca="false">-#REF!</f>
        <v>#REF!</v>
      </c>
      <c r="M45" s="45" t="e">
        <f aca="false">-#REF!</f>
        <v>#REF!</v>
      </c>
      <c r="N45" s="45" t="e">
        <f aca="false">-#REF!</f>
        <v>#REF!</v>
      </c>
      <c r="O45" s="45" t="e">
        <f aca="false">-#REF!</f>
        <v>#REF!</v>
      </c>
      <c r="P45" s="45" t="e">
        <f aca="false">-#REF!</f>
        <v>#REF!</v>
      </c>
      <c r="Q45" s="45" t="e">
        <f aca="false">-#REF!</f>
        <v>#REF!</v>
      </c>
      <c r="R45" s="45" t="e">
        <f aca="false">-#REF!</f>
        <v>#REF!</v>
      </c>
      <c r="S45" s="45" t="e">
        <f aca="false">-#REF!</f>
        <v>#REF!</v>
      </c>
      <c r="T45" s="45" t="e">
        <f aca="false">-#REF!</f>
        <v>#REF!</v>
      </c>
      <c r="U45" s="45" t="e">
        <f aca="false">-#REF!</f>
        <v>#REF!</v>
      </c>
      <c r="V45" s="45" t="e">
        <f aca="false">-#REF!</f>
        <v>#REF!</v>
      </c>
      <c r="W45" s="55"/>
    </row>
    <row r="46" customFormat="false" ht="18.75" hidden="false" customHeight="true" outlineLevel="0" collapsed="false">
      <c r="A46" s="60" t="s">
        <v>58</v>
      </c>
      <c r="B46" s="44" t="n">
        <v>0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 t="n">
        <v>0</v>
      </c>
      <c r="V46" s="45" t="n">
        <v>0</v>
      </c>
      <c r="W46" s="55"/>
    </row>
    <row r="47" customFormat="false" ht="18.75" hidden="false" customHeight="true" outlineLevel="0" collapsed="false">
      <c r="A47" s="60" t="s">
        <v>59</v>
      </c>
      <c r="B47" s="44" t="s">
        <v>3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55"/>
    </row>
    <row r="48" customFormat="false" ht="18.75" hidden="false" customHeight="true" outlineLevel="0" collapsed="false">
      <c r="A48" s="60" t="s">
        <v>60</v>
      </c>
      <c r="B48" s="44" t="s">
        <v>3</v>
      </c>
      <c r="C48" s="45" t="e">
        <f aca="false">-#REF!</f>
        <v>#REF!</v>
      </c>
      <c r="D48" s="45" t="e">
        <f aca="false">-#REF!</f>
        <v>#REF!</v>
      </c>
      <c r="E48" s="45" t="e">
        <f aca="false">-#REF!</f>
        <v>#REF!</v>
      </c>
      <c r="F48" s="45" t="e">
        <f aca="false">-#REF!</f>
        <v>#REF!</v>
      </c>
      <c r="G48" s="45" t="e">
        <f aca="false">-#REF!</f>
        <v>#REF!</v>
      </c>
      <c r="H48" s="45" t="e">
        <f aca="false">-#REF!</f>
        <v>#REF!</v>
      </c>
      <c r="I48" s="45" t="e">
        <f aca="false">-#REF!</f>
        <v>#REF!</v>
      </c>
      <c r="J48" s="45" t="e">
        <f aca="false">-#REF!</f>
        <v>#REF!</v>
      </c>
      <c r="K48" s="45" t="e">
        <f aca="false">-#REF!</f>
        <v>#REF!</v>
      </c>
      <c r="L48" s="45" t="e">
        <f aca="false">-#REF!</f>
        <v>#REF!</v>
      </c>
      <c r="M48" s="45" t="e">
        <f aca="false">-#REF!</f>
        <v>#REF!</v>
      </c>
      <c r="N48" s="45" t="e">
        <f aca="false">-#REF!</f>
        <v>#REF!</v>
      </c>
      <c r="O48" s="45" t="e">
        <f aca="false">-#REF!</f>
        <v>#REF!</v>
      </c>
      <c r="P48" s="45" t="e">
        <f aca="false">-#REF!</f>
        <v>#REF!</v>
      </c>
      <c r="Q48" s="45" t="e">
        <f aca="false">-#REF!</f>
        <v>#REF!</v>
      </c>
      <c r="R48" s="45" t="e">
        <f aca="false">-#REF!</f>
        <v>#REF!</v>
      </c>
      <c r="S48" s="45" t="e">
        <f aca="false">-#REF!</f>
        <v>#REF!</v>
      </c>
      <c r="T48" s="45" t="e">
        <f aca="false">-#REF!</f>
        <v>#REF!</v>
      </c>
      <c r="U48" s="45" t="e">
        <f aca="false">-#REF!</f>
        <v>#REF!</v>
      </c>
      <c r="V48" s="45" t="e">
        <f aca="false">-#REF!</f>
        <v>#REF!</v>
      </c>
      <c r="W48" s="55"/>
    </row>
    <row r="49" customFormat="false" ht="18.75" hidden="false" customHeight="true" outlineLevel="0" collapsed="false">
      <c r="A49" s="60" t="s">
        <v>61</v>
      </c>
      <c r="B49" s="44" t="s">
        <v>3</v>
      </c>
      <c r="C49" s="45" t="e">
        <f aca="false">-#REF!</f>
        <v>#REF!</v>
      </c>
      <c r="D49" s="45" t="e">
        <f aca="false">-#REF!</f>
        <v>#REF!</v>
      </c>
      <c r="E49" s="45" t="e">
        <f aca="false">-#REF!</f>
        <v>#REF!</v>
      </c>
      <c r="F49" s="45" t="e">
        <f aca="false">-#REF!</f>
        <v>#REF!</v>
      </c>
      <c r="G49" s="45" t="e">
        <f aca="false">-#REF!</f>
        <v>#REF!</v>
      </c>
      <c r="H49" s="45" t="e">
        <f aca="false">-#REF!</f>
        <v>#REF!</v>
      </c>
      <c r="I49" s="45" t="e">
        <f aca="false">-#REF!</f>
        <v>#REF!</v>
      </c>
      <c r="J49" s="45" t="e">
        <f aca="false">-#REF!</f>
        <v>#REF!</v>
      </c>
      <c r="K49" s="45" t="e">
        <f aca="false">-#REF!</f>
        <v>#REF!</v>
      </c>
      <c r="L49" s="45" t="e">
        <f aca="false">-#REF!</f>
        <v>#REF!</v>
      </c>
      <c r="M49" s="45" t="e">
        <f aca="false">-#REF!</f>
        <v>#REF!</v>
      </c>
      <c r="N49" s="45" t="e">
        <f aca="false">-#REF!</f>
        <v>#REF!</v>
      </c>
      <c r="O49" s="45" t="e">
        <f aca="false">-#REF!</f>
        <v>#REF!</v>
      </c>
      <c r="P49" s="45" t="e">
        <f aca="false">-#REF!</f>
        <v>#REF!</v>
      </c>
      <c r="Q49" s="45" t="e">
        <f aca="false">-#REF!</f>
        <v>#REF!</v>
      </c>
      <c r="R49" s="45" t="e">
        <f aca="false">-#REF!</f>
        <v>#REF!</v>
      </c>
      <c r="S49" s="45" t="e">
        <f aca="false">-#REF!</f>
        <v>#REF!</v>
      </c>
      <c r="T49" s="45" t="e">
        <f aca="false">-#REF!</f>
        <v>#REF!</v>
      </c>
      <c r="U49" s="45" t="e">
        <f aca="false">-#REF!</f>
        <v>#REF!</v>
      </c>
      <c r="V49" s="45" t="e">
        <f aca="false">-#REF!</f>
        <v>#REF!</v>
      </c>
      <c r="W49" s="55"/>
    </row>
    <row r="50" customFormat="false" ht="18.75" hidden="false" customHeight="true" outlineLevel="0" collapsed="false">
      <c r="A50" s="60" t="s">
        <v>62</v>
      </c>
      <c r="B50" s="44"/>
      <c r="C50" s="45" t="e">
        <f aca="false">-#REF!</f>
        <v>#REF!</v>
      </c>
      <c r="D50" s="45" t="e">
        <f aca="false">-#REF!</f>
        <v>#REF!</v>
      </c>
      <c r="E50" s="45" t="e">
        <f aca="false">-#REF!</f>
        <v>#REF!</v>
      </c>
      <c r="F50" s="45" t="e">
        <f aca="false">-#REF!</f>
        <v>#REF!</v>
      </c>
      <c r="G50" s="45" t="e">
        <f aca="false">-#REF!</f>
        <v>#REF!</v>
      </c>
      <c r="H50" s="45" t="e">
        <f aca="false">-#REF!</f>
        <v>#REF!</v>
      </c>
      <c r="I50" s="45" t="e">
        <f aca="false">-#REF!</f>
        <v>#REF!</v>
      </c>
      <c r="J50" s="45" t="e">
        <f aca="false">-#REF!</f>
        <v>#REF!</v>
      </c>
      <c r="K50" s="45" t="e">
        <f aca="false">-#REF!</f>
        <v>#REF!</v>
      </c>
      <c r="L50" s="45" t="e">
        <f aca="false">-#REF!</f>
        <v>#REF!</v>
      </c>
      <c r="M50" s="45" t="e">
        <f aca="false">-#REF!</f>
        <v>#REF!</v>
      </c>
      <c r="N50" s="45" t="e">
        <f aca="false">-#REF!</f>
        <v>#REF!</v>
      </c>
      <c r="O50" s="45" t="e">
        <f aca="false">-#REF!</f>
        <v>#REF!</v>
      </c>
      <c r="P50" s="45" t="e">
        <f aca="false">-#REF!</f>
        <v>#REF!</v>
      </c>
      <c r="Q50" s="45" t="e">
        <f aca="false">-#REF!</f>
        <v>#REF!</v>
      </c>
      <c r="R50" s="45" t="e">
        <f aca="false">-#REF!</f>
        <v>#REF!</v>
      </c>
      <c r="S50" s="45" t="e">
        <f aca="false">-#REF!</f>
        <v>#REF!</v>
      </c>
      <c r="T50" s="45" t="e">
        <f aca="false">-#REF!</f>
        <v>#REF!</v>
      </c>
      <c r="U50" s="45" t="e">
        <f aca="false">-#REF!</f>
        <v>#REF!</v>
      </c>
      <c r="V50" s="45" t="e">
        <f aca="false">-#REF!</f>
        <v>#REF!</v>
      </c>
      <c r="W50" s="55"/>
    </row>
    <row r="51" customFormat="false" ht="18.75" hidden="false" customHeight="true" outlineLevel="0" collapsed="false">
      <c r="A51" s="60" t="s">
        <v>63</v>
      </c>
      <c r="B51" s="62"/>
      <c r="C51" s="63"/>
      <c r="D51" s="64"/>
      <c r="E51" s="45" t="e">
        <f aca="false">-(E41*#REF!)</f>
        <v>#REF!</v>
      </c>
      <c r="F51" s="45" t="e">
        <f aca="false">-(F41*#REF!)</f>
        <v>#REF!</v>
      </c>
      <c r="G51" s="45" t="e">
        <f aca="false">-(G41*#REF!)</f>
        <v>#REF!</v>
      </c>
      <c r="H51" s="45" t="e">
        <f aca="false">-(H41*#REF!)</f>
        <v>#REF!</v>
      </c>
      <c r="I51" s="45" t="e">
        <f aca="false">-(I41*#REF!)</f>
        <v>#REF!</v>
      </c>
      <c r="J51" s="45" t="e">
        <f aca="false">-(J41*#REF!)</f>
        <v>#REF!</v>
      </c>
      <c r="K51" s="45" t="e">
        <f aca="false">-(K41*#REF!)</f>
        <v>#REF!</v>
      </c>
      <c r="L51" s="45" t="e">
        <f aca="false">-(L41*#REF!)</f>
        <v>#REF!</v>
      </c>
      <c r="M51" s="45" t="e">
        <f aca="false">-(M41*#REF!)</f>
        <v>#REF!</v>
      </c>
      <c r="N51" s="45" t="e">
        <f aca="false">-(N41*#REF!)</f>
        <v>#REF!</v>
      </c>
      <c r="O51" s="45" t="e">
        <f aca="false">-(O41*#REF!)</f>
        <v>#REF!</v>
      </c>
      <c r="P51" s="45" t="e">
        <f aca="false">-(P41*#REF!)</f>
        <v>#REF!</v>
      </c>
      <c r="Q51" s="45" t="e">
        <f aca="false">-(Q41*#REF!)</f>
        <v>#REF!</v>
      </c>
      <c r="R51" s="45" t="e">
        <f aca="false">-(R41*#REF!)</f>
        <v>#REF!</v>
      </c>
      <c r="S51" s="45" t="e">
        <f aca="false">-(S41*#REF!)</f>
        <v>#REF!</v>
      </c>
      <c r="T51" s="45" t="e">
        <f aca="false">-(T41*#REF!)</f>
        <v>#REF!</v>
      </c>
      <c r="U51" s="45" t="e">
        <f aca="false">-(U41*#REF!)</f>
        <v>#REF!</v>
      </c>
      <c r="V51" s="45" t="e">
        <f aca="false">-(V41*#REF!)</f>
        <v>#REF!</v>
      </c>
      <c r="W51" s="55"/>
    </row>
    <row r="52" customFormat="false" ht="18.75" hidden="false" customHeight="true" outlineLevel="0" collapsed="false">
      <c r="A52" s="60" t="s">
        <v>64</v>
      </c>
      <c r="B52" s="62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55"/>
    </row>
    <row r="53" customFormat="false" ht="18.75" hidden="false" customHeight="true" outlineLevel="0" collapsed="false">
      <c r="A53" s="65" t="s">
        <v>65</v>
      </c>
      <c r="B53" s="62"/>
      <c r="C53" s="66"/>
      <c r="D53" s="66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55"/>
    </row>
    <row r="54" customFormat="false" ht="18.75" hidden="false" customHeight="true" outlineLevel="0" collapsed="false">
      <c r="A54" s="65" t="s">
        <v>66</v>
      </c>
      <c r="B54" s="62"/>
      <c r="C54" s="45" t="e">
        <f aca="false">IF((#REF!+SUM(#REF!+#REF!+#REF!+#REF!+#REF!+#REF!))&gt;0,-(#REF!+SUM(#REF!+#REF!+#REF!+#REF!+#REF!+#REF!))*0.2,0)</f>
        <v>#REF!</v>
      </c>
      <c r="D54" s="45" t="e">
        <f aca="false">IF((#REF!+SUM(#REF!+#REF!+#REF!+#REF!+#REF!+#REF!))&gt;0,-(#REF!+SUM(#REF!+#REF!+#REF!+#REF!+#REF!+#REF!))*0.2,0)</f>
        <v>#REF!</v>
      </c>
      <c r="E54" s="45" t="e">
        <f aca="false">IF((#REF!+SUM(#REF!+#REF!+#REF!+#REF!+#REF!+#REF!))&gt;0,-(#REF!+SUM(#REF!+#REF!+#REF!+#REF!+#REF!+#REF!))*0.2,0)</f>
        <v>#REF!</v>
      </c>
      <c r="F54" s="45" t="e">
        <f aca="false">IF((#REF!+SUM(#REF!+#REF!+#REF!+#REF!+#REF!+#REF!))&gt;0,-(#REF!+SUM(#REF!+#REF!+#REF!+#REF!+#REF!+#REF!))*0.2,0)</f>
        <v>#REF!</v>
      </c>
      <c r="G54" s="45" t="e">
        <f aca="false">IF((#REF!+SUM(#REF!+#REF!+#REF!+#REF!+#REF!+#REF!))&gt;0,-(#REF!+SUM(#REF!+#REF!+#REF!+#REF!+#REF!+#REF!))*0.2,0)</f>
        <v>#REF!</v>
      </c>
      <c r="H54" s="45" t="e">
        <f aca="false">IF((#REF!+SUM(#REF!+#REF!+#REF!+#REF!+#REF!+#REF!))&gt;0,-(#REF!+SUM(#REF!+#REF!+#REF!+#REF!+#REF!+#REF!))*0.2,0)</f>
        <v>#REF!</v>
      </c>
      <c r="I54" s="45" t="e">
        <f aca="false">IF((#REF!+SUM(#REF!+#REF!+#REF!+#REF!+#REF!+#REF!))&gt;0,-(#REF!+SUM(#REF!+#REF!+#REF!+#REF!+#REF!+#REF!))*0.2,0)</f>
        <v>#REF!</v>
      </c>
      <c r="J54" s="45" t="e">
        <f aca="false">IF((#REF!+SUM(#REF!+#REF!+#REF!+#REF!+#REF!+#REF!))&gt;0,-(#REF!+SUM(#REF!+#REF!+#REF!+#REF!+#REF!+#REF!))*0.2,0)</f>
        <v>#REF!</v>
      </c>
      <c r="K54" s="45" t="e">
        <f aca="false">IF((#REF!+SUM(#REF!+#REF!+#REF!+#REF!+#REF!+#REF!))&gt;0,-(#REF!+SUM(#REF!+#REF!+#REF!+#REF!+#REF!+#REF!))*0.2,0)</f>
        <v>#REF!</v>
      </c>
      <c r="L54" s="45" t="e">
        <f aca="false">IF((#REF!+SUM(#REF!+#REF!+#REF!+#REF!+#REF!+#REF!))&gt;0,-(#REF!+SUM(#REF!+#REF!+#REF!+#REF!+#REF!+#REF!))*0.2,0)</f>
        <v>#REF!</v>
      </c>
      <c r="M54" s="45" t="e">
        <f aca="false">IF((#REF!+SUM(#REF!+#REF!+#REF!+#REF!+#REF!+#REF!))&gt;0,-(#REF!+SUM(#REF!+#REF!+#REF!+#REF!+#REF!+#REF!))*0.2,0)</f>
        <v>#REF!</v>
      </c>
      <c r="N54" s="45" t="e">
        <f aca="false">IF((#REF!+SUM(#REF!+#REF!+#REF!+#REF!+#REF!+#REF!))&gt;0,-(#REF!+SUM(#REF!+#REF!+#REF!+#REF!+#REF!+#REF!))*0.2,0)</f>
        <v>#REF!</v>
      </c>
      <c r="O54" s="45" t="e">
        <f aca="false">IF((#REF!+SUM(#REF!+#REF!+#REF!+#REF!+#REF!+#REF!))&gt;0,-(#REF!+SUM(#REF!+#REF!+#REF!+#REF!+#REF!+#REF!))*0.2,0)</f>
        <v>#REF!</v>
      </c>
      <c r="P54" s="45" t="e">
        <f aca="false">IF((#REF!+SUM(#REF!+#REF!+#REF!+#REF!+#REF!+#REF!))&gt;0,-(#REF!+SUM(#REF!+#REF!+#REF!+#REF!+#REF!+#REF!))*0.2,0)</f>
        <v>#REF!</v>
      </c>
      <c r="Q54" s="45" t="e">
        <f aca="false">IF((#REF!+SUM(#REF!+#REF!+#REF!+#REF!+#REF!+#REF!))&gt;0,-(#REF!+SUM(#REF!+#REF!+#REF!+#REF!+#REF!+#REF!))*0.2,0)</f>
        <v>#REF!</v>
      </c>
      <c r="R54" s="45" t="e">
        <f aca="false">IF((#REF!+SUM(#REF!+#REF!+#REF!+#REF!+#REF!+#REF!))&gt;0,-(#REF!+SUM(#REF!+#REF!+#REF!+#REF!+#REF!+#REF!))*0.2,0)</f>
        <v>#REF!</v>
      </c>
      <c r="S54" s="45" t="e">
        <f aca="false">IF((#REF!+SUM(#REF!+#REF!+#REF!+#REF!+#REF!+#REF!))&gt;0,-(#REF!+SUM(#REF!+#REF!+#REF!+#REF!+#REF!+#REF!))*0.2,0)</f>
        <v>#REF!</v>
      </c>
      <c r="T54" s="45" t="e">
        <f aca="false">IF((#REF!+SUM(#REF!+#REF!+#REF!+#REF!+#REF!+#REF!))&gt;0,-(#REF!+SUM(#REF!+#REF!+#REF!+#REF!+#REF!+#REF!))*0.2,0)</f>
        <v>#REF!</v>
      </c>
      <c r="U54" s="45" t="e">
        <f aca="false">IF((#REF!+SUM(#REF!+#REF!+#REF!+#REF!+#REF!+#REF!))&gt;0,-(#REF!+SUM(#REF!+#REF!+#REF!+#REF!+#REF!+#REF!))*0.2,0)</f>
        <v>#REF!</v>
      </c>
      <c r="V54" s="45" t="e">
        <f aca="false">IF((#REF!+SUM(#REF!+#REF!+#REF!+#REF!+#REF!+#REF!))&gt;0,-(#REF!+SUM(#REF!+#REF!+#REF!+#REF!+#REF!+#REF!))*0.2,0)</f>
        <v>#REF!</v>
      </c>
      <c r="W54" s="55"/>
    </row>
    <row r="55" customFormat="false" ht="18.75" hidden="false" customHeight="true" outlineLevel="0" collapsed="false">
      <c r="A55" s="67"/>
      <c r="B55" s="62"/>
      <c r="C55" s="64"/>
      <c r="D55" s="64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47"/>
    </row>
    <row r="56" customFormat="false" ht="18.75" hidden="false" customHeight="true" outlineLevel="0" collapsed="false">
      <c r="A56" s="68" t="s">
        <v>67</v>
      </c>
      <c r="B56" s="69" t="e">
        <f aca="false">B44</f>
        <v>#REF!</v>
      </c>
      <c r="C56" s="70" t="e">
        <f aca="false">SUM(C41:C54)</f>
        <v>#REF!</v>
      </c>
      <c r="D56" s="69" t="e">
        <f aca="false">SUM(D41:D54)</f>
        <v>#REF!</v>
      </c>
      <c r="E56" s="69" t="e">
        <f aca="false">SUM(E41:E54)</f>
        <v>#REF!</v>
      </c>
      <c r="F56" s="69" t="e">
        <f aca="false">SUM(F41:F54)</f>
        <v>#REF!</v>
      </c>
      <c r="G56" s="69" t="e">
        <f aca="false">SUM(G41:G54)</f>
        <v>#REF!</v>
      </c>
      <c r="H56" s="69" t="e">
        <f aca="false">SUM(H41:H54)</f>
        <v>#REF!</v>
      </c>
      <c r="I56" s="69" t="e">
        <f aca="false">SUM(I41:I54)</f>
        <v>#REF!</v>
      </c>
      <c r="J56" s="69" t="e">
        <f aca="false">SUM(J41:J54)</f>
        <v>#REF!</v>
      </c>
      <c r="K56" s="69" t="e">
        <f aca="false">SUM(K41:K54)</f>
        <v>#REF!</v>
      </c>
      <c r="L56" s="69" t="e">
        <f aca="false">SUM(L41:L54)</f>
        <v>#REF!</v>
      </c>
      <c r="M56" s="69" t="e">
        <f aca="false">SUM(M41:M54)</f>
        <v>#REF!</v>
      </c>
      <c r="N56" s="69" t="e">
        <f aca="false">SUM(N41:N54)</f>
        <v>#REF!</v>
      </c>
      <c r="O56" s="69" t="e">
        <f aca="false">SUM(O41:O54)</f>
        <v>#REF!</v>
      </c>
      <c r="P56" s="69" t="e">
        <f aca="false">SUM(P41:P54)</f>
        <v>#REF!</v>
      </c>
      <c r="Q56" s="69" t="e">
        <f aca="false">SUM(Q41:Q54)</f>
        <v>#REF!</v>
      </c>
      <c r="R56" s="69" t="e">
        <f aca="false">SUM(R41:R54)</f>
        <v>#REF!</v>
      </c>
      <c r="S56" s="69" t="e">
        <f aca="false">SUM(S41:S54)</f>
        <v>#REF!</v>
      </c>
      <c r="T56" s="69" t="e">
        <f aca="false">SUM(T41:T54)</f>
        <v>#REF!</v>
      </c>
      <c r="U56" s="69" t="e">
        <f aca="false">SUM(U41:U54)</f>
        <v>#REF!</v>
      </c>
      <c r="V56" s="69" t="e">
        <f aca="false">SUM(V41:V54)</f>
        <v>#REF!</v>
      </c>
      <c r="W56" s="71"/>
      <c r="X56" s="72"/>
      <c r="Y56" s="73"/>
      <c r="Z56" s="72"/>
      <c r="AA56" s="72"/>
      <c r="AB56" s="72"/>
      <c r="AC56" s="72"/>
      <c r="AD56" s="72"/>
      <c r="AE56" s="72"/>
      <c r="AF56" s="72"/>
      <c r="AG56" s="72"/>
      <c r="AH56" s="72"/>
      <c r="AI56" s="72"/>
    </row>
    <row r="57" customFormat="false" ht="18.75" hidden="false" customHeight="true" outlineLevel="0" collapsed="false">
      <c r="A57" s="74" t="s">
        <v>68</v>
      </c>
      <c r="B57" s="75"/>
      <c r="C57" s="76" t="e">
        <f aca="false">C56+B56</f>
        <v>#REF!</v>
      </c>
      <c r="D57" s="76" t="e">
        <f aca="false">D56+C57</f>
        <v>#REF!</v>
      </c>
      <c r="E57" s="76" t="e">
        <f aca="false">E56+D57</f>
        <v>#REF!</v>
      </c>
      <c r="F57" s="76" t="e">
        <f aca="false">F56+E57</f>
        <v>#REF!</v>
      </c>
      <c r="G57" s="76" t="e">
        <f aca="false">G56+F57</f>
        <v>#REF!</v>
      </c>
      <c r="H57" s="76" t="e">
        <f aca="false">H56+G57</f>
        <v>#REF!</v>
      </c>
      <c r="I57" s="76" t="e">
        <f aca="false">I56+H57</f>
        <v>#REF!</v>
      </c>
      <c r="J57" s="76" t="e">
        <f aca="false">J56+I57</f>
        <v>#REF!</v>
      </c>
      <c r="K57" s="76" t="e">
        <f aca="false">K56+J57</f>
        <v>#REF!</v>
      </c>
      <c r="L57" s="76" t="e">
        <f aca="false">L56+K57</f>
        <v>#REF!</v>
      </c>
      <c r="M57" s="76" t="e">
        <f aca="false">M56+L57</f>
        <v>#REF!</v>
      </c>
      <c r="N57" s="76" t="e">
        <f aca="false">N56+M57</f>
        <v>#REF!</v>
      </c>
      <c r="O57" s="76" t="e">
        <f aca="false">O56+N57</f>
        <v>#REF!</v>
      </c>
      <c r="P57" s="76" t="e">
        <f aca="false">P56+O57</f>
        <v>#REF!</v>
      </c>
      <c r="Q57" s="76" t="e">
        <f aca="false">Q56+P57</f>
        <v>#REF!</v>
      </c>
      <c r="R57" s="76" t="e">
        <f aca="false">R56+Q57</f>
        <v>#REF!</v>
      </c>
      <c r="S57" s="76" t="e">
        <f aca="false">S56+R57</f>
        <v>#REF!</v>
      </c>
      <c r="T57" s="76" t="e">
        <f aca="false">T56+S57</f>
        <v>#REF!</v>
      </c>
      <c r="U57" s="76" t="e">
        <f aca="false">U56+T57</f>
        <v>#REF!</v>
      </c>
      <c r="V57" s="76" t="e">
        <f aca="false">V56+U57</f>
        <v>#REF!</v>
      </c>
      <c r="W57" s="77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</row>
    <row r="58" customFormat="false" ht="18.75" hidden="true" customHeight="true" outlineLevel="0" collapsed="false">
      <c r="A58" s="78" t="s">
        <v>69</v>
      </c>
      <c r="B58" s="79" t="n">
        <v>-37721416.4</v>
      </c>
      <c r="C58" s="80"/>
      <c r="D58" s="80"/>
      <c r="E58" s="81" t="n">
        <v>4765724.10193463</v>
      </c>
      <c r="F58" s="81" t="n">
        <v>4715578.68712299</v>
      </c>
      <c r="G58" s="81" t="n">
        <v>4665433.27231135</v>
      </c>
      <c r="H58" s="81" t="n">
        <v>4615287.85749972</v>
      </c>
      <c r="I58" s="81" t="n">
        <v>4565142.44268808</v>
      </c>
      <c r="J58" s="81" t="n">
        <v>4517504.29861703</v>
      </c>
      <c r="K58" s="81" t="n">
        <v>4469866.15454598</v>
      </c>
      <c r="L58" s="81" t="n">
        <v>4422228.01047492</v>
      </c>
      <c r="M58" s="81" t="n">
        <v>4374589.86640387</v>
      </c>
      <c r="N58" s="81" t="n">
        <v>4326951.72233282</v>
      </c>
      <c r="O58" s="81" t="n">
        <v>4284954.93742807</v>
      </c>
      <c r="P58" s="81" t="n">
        <v>4242958.15252333</v>
      </c>
      <c r="Q58" s="81" t="n">
        <v>4200961.36761858</v>
      </c>
      <c r="R58" s="81" t="n">
        <v>4158964.58271384</v>
      </c>
      <c r="S58" s="81" t="n">
        <v>4116967.79780909</v>
      </c>
      <c r="T58" s="81" t="n">
        <v>4074971.01290435</v>
      </c>
      <c r="U58" s="81" t="n">
        <v>4032974.2279996</v>
      </c>
      <c r="V58" s="81" t="n">
        <v>3990977.44309486</v>
      </c>
      <c r="W58" s="8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</row>
    <row r="59" customFormat="false" ht="18.75" hidden="true" customHeight="true" outlineLevel="0" collapsed="false">
      <c r="A59" s="78" t="s">
        <v>70</v>
      </c>
      <c r="B59" s="83"/>
      <c r="C59" s="66"/>
      <c r="D59" s="66"/>
      <c r="E59" s="66" t="n">
        <v>1886070.82</v>
      </c>
      <c r="F59" s="66" t="n">
        <v>1886070.82</v>
      </c>
      <c r="G59" s="66" t="n">
        <v>1886070.82</v>
      </c>
      <c r="H59" s="66" t="n">
        <v>1886070.82</v>
      </c>
      <c r="I59" s="66" t="n">
        <v>1886070.82</v>
      </c>
      <c r="J59" s="66" t="n">
        <v>1886070.82</v>
      </c>
      <c r="K59" s="66" t="n">
        <v>1886070.82</v>
      </c>
      <c r="L59" s="66" t="n">
        <v>1886070.82</v>
      </c>
      <c r="M59" s="66" t="n">
        <v>1886070.82</v>
      </c>
      <c r="N59" s="66" t="n">
        <v>1886070.82</v>
      </c>
      <c r="O59" s="66" t="n">
        <v>1886070.82</v>
      </c>
      <c r="P59" s="66" t="n">
        <v>1886070.82</v>
      </c>
      <c r="Q59" s="66" t="n">
        <v>1886070.82</v>
      </c>
      <c r="R59" s="66" t="n">
        <v>1886070.82</v>
      </c>
      <c r="S59" s="66" t="n">
        <v>1886070.82</v>
      </c>
      <c r="T59" s="66" t="n">
        <v>1886070.82</v>
      </c>
      <c r="U59" s="66" t="n">
        <v>1886070.82</v>
      </c>
      <c r="V59" s="66" t="n">
        <v>1886070.82</v>
      </c>
      <c r="W59" s="55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</row>
    <row r="60" customFormat="false" ht="18.75" hidden="true" customHeight="true" outlineLevel="0" collapsed="false">
      <c r="A60" s="78" t="s">
        <v>71</v>
      </c>
      <c r="B60" s="83"/>
      <c r="C60" s="66"/>
      <c r="D60" s="66"/>
      <c r="E60" s="66" t="n">
        <v>0</v>
      </c>
      <c r="F60" s="66" t="n">
        <v>0</v>
      </c>
      <c r="G60" s="66" t="n">
        <v>0</v>
      </c>
      <c r="H60" s="66" t="n">
        <v>0</v>
      </c>
      <c r="I60" s="66" t="n">
        <v>0</v>
      </c>
      <c r="J60" s="66" t="n">
        <v>0</v>
      </c>
      <c r="K60" s="66" t="n">
        <v>0</v>
      </c>
      <c r="L60" s="66" t="n">
        <v>0</v>
      </c>
      <c r="M60" s="66" t="n">
        <v>0</v>
      </c>
      <c r="N60" s="66" t="n">
        <v>0</v>
      </c>
      <c r="O60" s="66" t="n">
        <v>0</v>
      </c>
      <c r="P60" s="66" t="n">
        <v>0</v>
      </c>
      <c r="Q60" s="66" t="n">
        <v>0</v>
      </c>
      <c r="R60" s="66" t="n">
        <v>0</v>
      </c>
      <c r="S60" s="66" t="n">
        <v>0</v>
      </c>
      <c r="T60" s="66" t="n">
        <v>0</v>
      </c>
      <c r="U60" s="66" t="n">
        <v>0</v>
      </c>
      <c r="V60" s="66" t="n">
        <v>0</v>
      </c>
      <c r="W60" s="55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</row>
    <row r="61" customFormat="false" ht="18.75" hidden="true" customHeight="true" outlineLevel="0" collapsed="false">
      <c r="A61" s="84" t="s">
        <v>72</v>
      </c>
      <c r="B61" s="85"/>
      <c r="C61" s="86"/>
      <c r="D61" s="86"/>
      <c r="E61" s="86" t="n">
        <v>2879653.28193463</v>
      </c>
      <c r="F61" s="86" t="n">
        <v>2829507.86712299</v>
      </c>
      <c r="G61" s="86" t="n">
        <v>2779362.45231135</v>
      </c>
      <c r="H61" s="86" t="n">
        <v>2729217.03749972</v>
      </c>
      <c r="I61" s="86" t="n">
        <v>2679071.62268808</v>
      </c>
      <c r="J61" s="86" t="n">
        <v>2631433.47861703</v>
      </c>
      <c r="K61" s="86" t="n">
        <v>2583795.33454598</v>
      </c>
      <c r="L61" s="86" t="n">
        <v>2536157.19047492</v>
      </c>
      <c r="M61" s="86" t="n">
        <v>2488519.04640387</v>
      </c>
      <c r="N61" s="86" t="n">
        <v>2440880.90233282</v>
      </c>
      <c r="O61" s="86" t="n">
        <v>2398884.11742807</v>
      </c>
      <c r="P61" s="86" t="n">
        <v>2356887.33252333</v>
      </c>
      <c r="Q61" s="86" t="n">
        <v>2314890.54761858</v>
      </c>
      <c r="R61" s="86" t="n">
        <v>2272893.76271384</v>
      </c>
      <c r="S61" s="86" t="n">
        <v>2230896.97780909</v>
      </c>
      <c r="T61" s="86" t="n">
        <v>2188900.19290435</v>
      </c>
      <c r="U61" s="86" t="n">
        <v>2146903.4079996</v>
      </c>
      <c r="V61" s="86" t="n">
        <v>2104906.62309486</v>
      </c>
      <c r="W61" s="87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</row>
    <row r="62" customFormat="false" ht="18.75" hidden="true" customHeight="true" outlineLevel="0" collapsed="false">
      <c r="A62" s="88" t="s">
        <v>73</v>
      </c>
      <c r="B62" s="89"/>
      <c r="C62" s="90"/>
      <c r="D62" s="90"/>
      <c r="E62" s="91" t="n">
        <v>0.763400093834924</v>
      </c>
      <c r="F62" s="91" t="n">
        <v>0.750106474560427</v>
      </c>
      <c r="G62" s="91" t="n">
        <v>0.736812855285931</v>
      </c>
      <c r="H62" s="91" t="n">
        <v>0.723519236011434</v>
      </c>
      <c r="I62" s="91" t="n">
        <v>0.710225616736937</v>
      </c>
      <c r="J62" s="91" t="n">
        <v>0.697596678426166</v>
      </c>
      <c r="K62" s="91" t="n">
        <v>0.684967740115394</v>
      </c>
      <c r="L62" s="91" t="n">
        <v>0.672338801804622</v>
      </c>
      <c r="M62" s="91" t="n">
        <v>0.65970986349385</v>
      </c>
      <c r="N62" s="91" t="n">
        <v>0.647080925183079</v>
      </c>
      <c r="O62" s="91" t="n">
        <v>0.635947519040687</v>
      </c>
      <c r="P62" s="91" t="n">
        <v>0.624814112898297</v>
      </c>
      <c r="Q62" s="91" t="n">
        <v>0.613680706755906</v>
      </c>
      <c r="R62" s="91" t="n">
        <v>0.602547300613515</v>
      </c>
      <c r="S62" s="91" t="n">
        <v>0.591413894471124</v>
      </c>
      <c r="T62" s="91" t="n">
        <v>0.580280488328733</v>
      </c>
      <c r="U62" s="91" t="n">
        <v>0.569147082186342</v>
      </c>
      <c r="V62" s="91" t="n">
        <v>0.558013676043951</v>
      </c>
      <c r="W62" s="9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</row>
    <row r="63" customFormat="false" ht="18.75" hidden="false" customHeight="true" outlineLevel="0" collapsed="false">
      <c r="A63" s="93" t="s">
        <v>74</v>
      </c>
      <c r="B63" s="75"/>
      <c r="C63" s="94" t="e">
        <f aca="false">IF((C57)&gt;0,"回收","未回收")</f>
        <v>#REF!</v>
      </c>
      <c r="D63" s="94" t="e">
        <f aca="false">IF((D57)&gt;0,"回收","未回收")</f>
        <v>#REF!</v>
      </c>
      <c r="E63" s="94" t="e">
        <f aca="false">IF((E57)&gt;0,"回收","未回收")</f>
        <v>#REF!</v>
      </c>
      <c r="F63" s="94" t="e">
        <f aca="false">IF((F57)&gt;0,"回收","未回收")</f>
        <v>#REF!</v>
      </c>
      <c r="G63" s="94" t="e">
        <f aca="false">IF((G57)&gt;0,"回收","未回收")</f>
        <v>#REF!</v>
      </c>
      <c r="H63" s="94" t="e">
        <f aca="false">IF((H57)&gt;0,"回收","未回收")</f>
        <v>#REF!</v>
      </c>
      <c r="I63" s="94" t="e">
        <f aca="false">IF((I57)&gt;0,"回收","未回收")</f>
        <v>#REF!</v>
      </c>
      <c r="J63" s="94" t="e">
        <f aca="false">IF((J57)&gt;0,"回收","未回收")</f>
        <v>#REF!</v>
      </c>
      <c r="K63" s="94" t="e">
        <f aca="false">IF((K57)&gt;0,"回收","未回收")</f>
        <v>#REF!</v>
      </c>
      <c r="L63" s="94" t="e">
        <f aca="false">IF((L57)&gt;0,"回收","未回收")</f>
        <v>#REF!</v>
      </c>
      <c r="M63" s="94" t="e">
        <f aca="false">IF((M57)&gt;0,"回收","未回收")</f>
        <v>#REF!</v>
      </c>
      <c r="N63" s="94" t="e">
        <f aca="false">IF((N57)&gt;0,"回收","未回收")</f>
        <v>#REF!</v>
      </c>
      <c r="O63" s="94" t="e">
        <f aca="false">IF((O57)&gt;0,"回收","未回收")</f>
        <v>#REF!</v>
      </c>
      <c r="P63" s="94" t="e">
        <f aca="false">IF((P57)&gt;0,"回收","未回收")</f>
        <v>#REF!</v>
      </c>
      <c r="Q63" s="94" t="e">
        <f aca="false">IF((Q57)&gt;0,"回收","未回收")</f>
        <v>#REF!</v>
      </c>
      <c r="R63" s="94" t="e">
        <f aca="false">IF((R57)&gt;0,"回收","未回收")</f>
        <v>#REF!</v>
      </c>
      <c r="S63" s="94" t="e">
        <f aca="false">IF((S57)&gt;0,"回收","未回收")</f>
        <v>#REF!</v>
      </c>
      <c r="T63" s="94" t="e">
        <f aca="false">IF((T57)&gt;0,"回收","未回收")</f>
        <v>#REF!</v>
      </c>
      <c r="U63" s="94" t="e">
        <f aca="false">IF((U57)&gt;0,"回收","未回收")</f>
        <v>#REF!</v>
      </c>
      <c r="V63" s="94" t="e">
        <f aca="false">IF((V57)&gt;0,"回收","未回收")</f>
        <v>#REF!</v>
      </c>
      <c r="W63" s="95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</row>
    <row r="64" customFormat="false" ht="18.75" hidden="false" customHeight="true" outlineLevel="0" collapsed="false">
      <c r="A64" s="33"/>
      <c r="B64" s="96"/>
      <c r="C64" s="96"/>
      <c r="D64" s="96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97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</row>
    <row r="65" customFormat="false" ht="18.75" hidden="false" customHeight="true" outlineLevel="0" collapsed="false">
      <c r="A65" s="33"/>
      <c r="B65" s="96"/>
      <c r="C65" s="96"/>
      <c r="D65" s="96"/>
      <c r="E65" s="64"/>
      <c r="F65" s="64"/>
      <c r="G65" s="64"/>
      <c r="H65" s="64"/>
      <c r="I65" s="64"/>
      <c r="J65" s="64"/>
      <c r="K65" s="64" t="s">
        <v>75</v>
      </c>
      <c r="L65" s="98" t="n">
        <v>0</v>
      </c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97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</row>
    <row r="66" customFormat="false" ht="18.75" hidden="false" customHeight="true" outlineLevel="0" collapsed="false">
      <c r="A66" s="33"/>
      <c r="B66" s="96"/>
      <c r="C66" s="96"/>
      <c r="D66" s="96"/>
      <c r="E66" s="64"/>
      <c r="F66" s="64"/>
      <c r="G66" s="64"/>
      <c r="H66" s="64"/>
      <c r="I66" s="64"/>
      <c r="J66" s="64"/>
      <c r="K66" s="64" t="s">
        <v>75</v>
      </c>
      <c r="L66" s="98" t="n">
        <v>0</v>
      </c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97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</row>
    <row r="67" customFormat="false" ht="18.75" hidden="false" customHeight="true" outlineLevel="0" collapsed="false">
      <c r="B67" s="99" t="s">
        <v>48</v>
      </c>
      <c r="C67" s="100" t="n">
        <v>2020</v>
      </c>
      <c r="D67" s="100" t="n">
        <v>2021</v>
      </c>
      <c r="E67" s="100" t="n">
        <v>2022</v>
      </c>
      <c r="F67" s="100" t="n">
        <v>2023</v>
      </c>
      <c r="G67" s="100" t="n">
        <v>2024</v>
      </c>
      <c r="H67" s="100" t="n">
        <v>2025</v>
      </c>
      <c r="I67" s="100" t="n">
        <v>2026</v>
      </c>
      <c r="J67" s="100" t="n">
        <v>2027</v>
      </c>
      <c r="K67" s="100" t="n">
        <v>2028</v>
      </c>
      <c r="L67" s="100" t="n">
        <v>2029</v>
      </c>
      <c r="M67" s="100" t="n">
        <v>2030</v>
      </c>
      <c r="N67" s="100" t="n">
        <v>2031</v>
      </c>
      <c r="O67" s="100" t="n">
        <v>2032</v>
      </c>
      <c r="P67" s="100" t="n">
        <v>2033</v>
      </c>
      <c r="Q67" s="100" t="n">
        <v>2034</v>
      </c>
      <c r="R67" s="100" t="n">
        <v>2035</v>
      </c>
      <c r="S67" s="100" t="n">
        <v>2036</v>
      </c>
      <c r="T67" s="100" t="n">
        <v>2037</v>
      </c>
      <c r="U67" s="100" t="n">
        <v>2038</v>
      </c>
      <c r="V67" s="100" t="n">
        <v>2039</v>
      </c>
      <c r="W67" s="72"/>
    </row>
    <row r="68" customFormat="false" ht="18.75" hidden="false" customHeight="true" outlineLevel="0" collapsed="false">
      <c r="W68" s="72"/>
    </row>
    <row r="69" customFormat="false" ht="18.75" hidden="false" customHeight="true" outlineLevel="0" collapsed="false">
      <c r="A69" s="101" t="s">
        <v>51</v>
      </c>
      <c r="B69" s="102" t="n">
        <v>0</v>
      </c>
      <c r="C69" s="102" t="n">
        <v>1</v>
      </c>
      <c r="D69" s="102" t="n">
        <v>2</v>
      </c>
      <c r="E69" s="102" t="n">
        <v>3</v>
      </c>
      <c r="F69" s="102" t="n">
        <v>4</v>
      </c>
      <c r="G69" s="102" t="n">
        <v>5</v>
      </c>
      <c r="H69" s="102" t="n">
        <v>6</v>
      </c>
      <c r="I69" s="102" t="n">
        <v>7</v>
      </c>
      <c r="J69" s="102" t="n">
        <v>8</v>
      </c>
      <c r="K69" s="102" t="n">
        <v>9</v>
      </c>
      <c r="L69" s="102" t="n">
        <v>10</v>
      </c>
      <c r="M69" s="102" t="n">
        <v>11</v>
      </c>
      <c r="N69" s="102" t="n">
        <v>12</v>
      </c>
      <c r="O69" s="102" t="n">
        <v>13</v>
      </c>
      <c r="P69" s="102" t="n">
        <v>14</v>
      </c>
      <c r="Q69" s="102" t="n">
        <v>15</v>
      </c>
      <c r="R69" s="102" t="n">
        <v>16</v>
      </c>
      <c r="S69" s="102" t="n">
        <v>17</v>
      </c>
      <c r="T69" s="102" t="n">
        <v>18</v>
      </c>
      <c r="U69" s="102" t="n">
        <v>19</v>
      </c>
      <c r="V69" s="102" t="n">
        <v>20</v>
      </c>
      <c r="W69" s="103"/>
    </row>
    <row r="70" customFormat="false" ht="18.75" hidden="false" customHeight="true" outlineLevel="0" collapsed="false">
      <c r="A70" s="104" t="s">
        <v>76</v>
      </c>
      <c r="B70" s="105"/>
      <c r="C70" s="105" t="e">
        <f aca="false">#REF!</f>
        <v>#REF!</v>
      </c>
      <c r="D70" s="105" t="e">
        <f aca="false">#REF!</f>
        <v>#REF!</v>
      </c>
      <c r="E70" s="105" t="e">
        <f aca="false">#REF!</f>
        <v>#REF!</v>
      </c>
      <c r="F70" s="105" t="e">
        <f aca="false">#REF!</f>
        <v>#REF!</v>
      </c>
      <c r="G70" s="105" t="e">
        <f aca="false">#REF!</f>
        <v>#REF!</v>
      </c>
      <c r="H70" s="105" t="e">
        <f aca="false">#REF!</f>
        <v>#REF!</v>
      </c>
      <c r="I70" s="105" t="e">
        <f aca="false">#REF!</f>
        <v>#REF!</v>
      </c>
      <c r="J70" s="105" t="e">
        <f aca="false">#REF!</f>
        <v>#REF!</v>
      </c>
      <c r="K70" s="105" t="e">
        <f aca="false">#REF!</f>
        <v>#REF!</v>
      </c>
      <c r="L70" s="105" t="e">
        <f aca="false">#REF!</f>
        <v>#REF!</v>
      </c>
      <c r="M70" s="105" t="e">
        <f aca="false">#REF!</f>
        <v>#REF!</v>
      </c>
      <c r="N70" s="105" t="e">
        <f aca="false">#REF!</f>
        <v>#REF!</v>
      </c>
      <c r="O70" s="105" t="e">
        <f aca="false">#REF!</f>
        <v>#REF!</v>
      </c>
      <c r="P70" s="105" t="e">
        <f aca="false">#REF!</f>
        <v>#REF!</v>
      </c>
      <c r="Q70" s="105" t="e">
        <f aca="false">#REF!</f>
        <v>#REF!</v>
      </c>
      <c r="R70" s="105" t="e">
        <f aca="false">#REF!</f>
        <v>#REF!</v>
      </c>
      <c r="S70" s="105" t="e">
        <f aca="false">#REF!</f>
        <v>#REF!</v>
      </c>
      <c r="T70" s="105" t="e">
        <f aca="false">#REF!</f>
        <v>#REF!</v>
      </c>
      <c r="U70" s="105" t="e">
        <f aca="false">#REF!</f>
        <v>#REF!</v>
      </c>
      <c r="V70" s="105" t="e">
        <f aca="false">#REF!</f>
        <v>#REF!</v>
      </c>
      <c r="W70" s="81"/>
    </row>
    <row r="71" customFormat="false" ht="18.75" hidden="false" customHeight="true" outlineLevel="0" collapsed="false">
      <c r="A71" s="104" t="s">
        <v>77</v>
      </c>
      <c r="B71" s="105"/>
      <c r="C71" s="106" t="e">
        <f aca="false">-#REF!</f>
        <v>#REF!</v>
      </c>
      <c r="D71" s="106" t="e">
        <f aca="false">-#REF!</f>
        <v>#REF!</v>
      </c>
      <c r="E71" s="106" t="e">
        <f aca="false">-#REF!</f>
        <v>#REF!</v>
      </c>
      <c r="F71" s="106" t="e">
        <f aca="false">-#REF!</f>
        <v>#REF!</v>
      </c>
      <c r="G71" s="106" t="e">
        <f aca="false">-#REF!</f>
        <v>#REF!</v>
      </c>
      <c r="H71" s="106" t="e">
        <f aca="false">-#REF!</f>
        <v>#REF!</v>
      </c>
      <c r="I71" s="106" t="e">
        <f aca="false">-#REF!</f>
        <v>#REF!</v>
      </c>
      <c r="J71" s="106" t="e">
        <f aca="false">-#REF!</f>
        <v>#REF!</v>
      </c>
      <c r="K71" s="106" t="e">
        <f aca="false">-#REF!</f>
        <v>#REF!</v>
      </c>
      <c r="L71" s="106" t="e">
        <f aca="false">-#REF!</f>
        <v>#REF!</v>
      </c>
      <c r="M71" s="106" t="e">
        <f aca="false">-#REF!</f>
        <v>#REF!</v>
      </c>
      <c r="N71" s="106" t="e">
        <f aca="false">-#REF!</f>
        <v>#REF!</v>
      </c>
      <c r="O71" s="106" t="e">
        <f aca="false">-#REF!</f>
        <v>#REF!</v>
      </c>
      <c r="P71" s="106" t="e">
        <f aca="false">-#REF!</f>
        <v>#REF!</v>
      </c>
      <c r="Q71" s="106" t="e">
        <f aca="false">-#REF!</f>
        <v>#REF!</v>
      </c>
      <c r="R71" s="106" t="e">
        <f aca="false">-#REF!</f>
        <v>#REF!</v>
      </c>
      <c r="S71" s="106" t="e">
        <f aca="false">-#REF!</f>
        <v>#REF!</v>
      </c>
      <c r="T71" s="106" t="e">
        <f aca="false">-#REF!</f>
        <v>#REF!</v>
      </c>
      <c r="U71" s="106" t="e">
        <f aca="false">-#REF!</f>
        <v>#REF!</v>
      </c>
      <c r="V71" s="106" t="e">
        <f aca="false">-#REF!</f>
        <v>#REF!</v>
      </c>
      <c r="W71" s="81"/>
    </row>
    <row r="72" customFormat="false" ht="18.75" hidden="false" customHeight="true" outlineLevel="0" collapsed="false">
      <c r="A72" s="104" t="s">
        <v>78</v>
      </c>
      <c r="B72" s="105"/>
      <c r="C72" s="107" t="e">
        <f aca="false">SUM(C70:C71)</f>
        <v>#REF!</v>
      </c>
      <c r="D72" s="107" t="e">
        <f aca="false">SUM(D70:D71)</f>
        <v>#REF!</v>
      </c>
      <c r="E72" s="107" t="e">
        <f aca="false">SUM(E70:E71)</f>
        <v>#REF!</v>
      </c>
      <c r="F72" s="107" t="e">
        <f aca="false">SUM(F70:F71)</f>
        <v>#REF!</v>
      </c>
      <c r="G72" s="107" t="e">
        <f aca="false">SUM(G70:G71)</f>
        <v>#REF!</v>
      </c>
      <c r="H72" s="107" t="e">
        <f aca="false">SUM(H70:H71)</f>
        <v>#REF!</v>
      </c>
      <c r="I72" s="107" t="e">
        <f aca="false">SUM(I70:I71)</f>
        <v>#REF!</v>
      </c>
      <c r="J72" s="107" t="e">
        <f aca="false">SUM(J70:J71)</f>
        <v>#REF!</v>
      </c>
      <c r="K72" s="107" t="e">
        <f aca="false">SUM(K70:K71)</f>
        <v>#REF!</v>
      </c>
      <c r="L72" s="107" t="e">
        <f aca="false">SUM(L70:L71)</f>
        <v>#REF!</v>
      </c>
      <c r="M72" s="107" t="e">
        <f aca="false">SUM(M70:M71)</f>
        <v>#REF!</v>
      </c>
      <c r="N72" s="107" t="e">
        <f aca="false">SUM(N70:N71)</f>
        <v>#REF!</v>
      </c>
      <c r="O72" s="107" t="e">
        <f aca="false">SUM(O70:O71)</f>
        <v>#REF!</v>
      </c>
      <c r="P72" s="107" t="e">
        <f aca="false">SUM(P70:P71)</f>
        <v>#REF!</v>
      </c>
      <c r="Q72" s="107" t="e">
        <f aca="false">SUM(Q70:Q71)</f>
        <v>#REF!</v>
      </c>
      <c r="R72" s="107" t="e">
        <f aca="false">SUM(R70:R71)</f>
        <v>#REF!</v>
      </c>
      <c r="S72" s="107" t="e">
        <f aca="false">SUM(S70:S71)</f>
        <v>#REF!</v>
      </c>
      <c r="T72" s="107" t="e">
        <f aca="false">SUM(T70:T71)</f>
        <v>#REF!</v>
      </c>
      <c r="U72" s="107" t="e">
        <f aca="false">SUM(U70:U71)</f>
        <v>#REF!</v>
      </c>
      <c r="V72" s="107" t="e">
        <f aca="false">SUM(V70:V71)</f>
        <v>#REF!</v>
      </c>
      <c r="W72" s="73"/>
    </row>
    <row r="73" customFormat="false" ht="18.75" hidden="false" customHeight="true" outlineLevel="0" collapsed="false">
      <c r="A73" s="104"/>
      <c r="B73" s="105"/>
      <c r="C73" s="105"/>
      <c r="D73" s="105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72"/>
    </row>
    <row r="74" customFormat="false" ht="18.75" hidden="false" customHeight="true" outlineLevel="0" collapsed="false">
      <c r="A74" s="109" t="s">
        <v>79</v>
      </c>
      <c r="B74" s="110"/>
      <c r="C74" s="111" t="e">
        <f aca="false">B44</f>
        <v>#REF!</v>
      </c>
      <c r="D74" s="110" t="n">
        <v>0</v>
      </c>
      <c r="E74" s="110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81"/>
    </row>
    <row r="75" customFormat="false" ht="18.75" hidden="false" customHeight="true" outlineLevel="0" collapsed="false">
      <c r="A75" s="104"/>
      <c r="B75" s="105"/>
      <c r="C75" s="105"/>
      <c r="D75" s="105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72"/>
    </row>
    <row r="76" customFormat="false" ht="18.75" hidden="false" customHeight="true" outlineLevel="0" collapsed="false">
      <c r="A76" s="104"/>
      <c r="B76" s="105"/>
      <c r="C76" s="105"/>
      <c r="D76" s="105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72"/>
    </row>
    <row r="77" customFormat="false" ht="18.75" hidden="false" customHeight="true" outlineLevel="0" collapsed="false">
      <c r="A77" s="109" t="s">
        <v>80</v>
      </c>
      <c r="B77" s="110"/>
      <c r="C77" s="111" t="e">
        <f aca="false">#REF!*0.8</f>
        <v>#REF!</v>
      </c>
      <c r="D77" s="110"/>
      <c r="E77" s="110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72"/>
    </row>
    <row r="78" customFormat="false" ht="18.75" hidden="false" customHeight="true" outlineLevel="0" collapsed="false">
      <c r="A78" s="104" t="s">
        <v>81</v>
      </c>
      <c r="B78" s="105"/>
      <c r="C78" s="105"/>
      <c r="D78" s="105" t="e">
        <f aca="false">-#REF!</f>
        <v>#REF!</v>
      </c>
      <c r="E78" s="105" t="e">
        <f aca="false">-#REF!</f>
        <v>#REF!</v>
      </c>
      <c r="F78" s="105" t="e">
        <f aca="false">-#REF!</f>
        <v>#REF!</v>
      </c>
      <c r="G78" s="105" t="e">
        <f aca="false">-#REF!</f>
        <v>#REF!</v>
      </c>
      <c r="H78" s="105" t="e">
        <f aca="false">-#REF!</f>
        <v>#REF!</v>
      </c>
      <c r="I78" s="105" t="e">
        <f aca="false">-#REF!</f>
        <v>#REF!</v>
      </c>
      <c r="J78" s="105" t="e">
        <f aca="false">-#REF!</f>
        <v>#REF!</v>
      </c>
      <c r="K78" s="105" t="e">
        <f aca="false">-#REF!</f>
        <v>#REF!</v>
      </c>
      <c r="L78" s="105" t="e">
        <f aca="false">-#REF!</f>
        <v>#REF!</v>
      </c>
      <c r="M78" s="105" t="e">
        <f aca="false">-#REF!</f>
        <v>#REF!</v>
      </c>
      <c r="N78" s="105" t="e">
        <f aca="false">-#REF!</f>
        <v>#REF!</v>
      </c>
      <c r="O78" s="105" t="e">
        <f aca="false">-#REF!</f>
        <v>#REF!</v>
      </c>
      <c r="P78" s="105" t="e">
        <f aca="false">-#REF!</f>
        <v>#REF!</v>
      </c>
      <c r="Q78" s="105" t="e">
        <f aca="false">-#REF!</f>
        <v>#REF!</v>
      </c>
      <c r="R78" s="105" t="e">
        <f aca="false">-#REF!</f>
        <v>#REF!</v>
      </c>
      <c r="S78" s="108"/>
      <c r="T78" s="108"/>
      <c r="U78" s="108"/>
      <c r="V78" s="108"/>
      <c r="W78" s="81"/>
    </row>
    <row r="79" customFormat="false" ht="18.75" hidden="false" customHeight="true" outlineLevel="0" collapsed="false">
      <c r="A79" s="104" t="s">
        <v>82</v>
      </c>
      <c r="B79" s="108"/>
      <c r="C79" s="105" t="e">
        <f aca="false">#REF!*0.2</f>
        <v>#REF!</v>
      </c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73"/>
    </row>
    <row r="80" customFormat="false" ht="18.75" hidden="false" customHeight="true" outlineLevel="0" collapsed="false">
      <c r="A80" s="104" t="s">
        <v>45</v>
      </c>
      <c r="B80" s="108"/>
      <c r="C80" s="108"/>
      <c r="D80" s="112" t="e">
        <f aca="false">-C70*0.9</f>
        <v>#REF!</v>
      </c>
      <c r="E80" s="105" t="e">
        <f aca="false">-D70*0.9</f>
        <v>#REF!</v>
      </c>
      <c r="F80" s="105" t="e">
        <f aca="false">-E70*0.9</f>
        <v>#REF!</v>
      </c>
      <c r="G80" s="105" t="e">
        <f aca="false">-F70*0.9</f>
        <v>#REF!</v>
      </c>
      <c r="H80" s="105" t="e">
        <f aca="false">-G70*0.9</f>
        <v>#REF!</v>
      </c>
      <c r="I80" s="105" t="e">
        <f aca="false">-H70*0.9</f>
        <v>#REF!</v>
      </c>
      <c r="J80" s="105" t="e">
        <f aca="false">-I70*0.9</f>
        <v>#REF!</v>
      </c>
      <c r="K80" s="105" t="e">
        <f aca="false">-J70*0.9</f>
        <v>#REF!</v>
      </c>
      <c r="L80" s="105" t="e">
        <f aca="false">-K70*0.9</f>
        <v>#REF!</v>
      </c>
      <c r="M80" s="105" t="e">
        <f aca="false">-L70*0.9</f>
        <v>#REF!</v>
      </c>
      <c r="N80" s="105" t="e">
        <f aca="false">-M70*0.9</f>
        <v>#REF!</v>
      </c>
      <c r="O80" s="105" t="e">
        <f aca="false">-N70*0.9</f>
        <v>#REF!</v>
      </c>
      <c r="P80" s="105" t="e">
        <f aca="false">-O70*0.9</f>
        <v>#REF!</v>
      </c>
      <c r="Q80" s="105" t="e">
        <f aca="false">-P70*0.9</f>
        <v>#REF!</v>
      </c>
      <c r="R80" s="105" t="e">
        <f aca="false">-Q70*0.9</f>
        <v>#REF!</v>
      </c>
      <c r="S80" s="105" t="e">
        <f aca="false">-R70*0.9</f>
        <v>#REF!</v>
      </c>
      <c r="T80" s="105" t="e">
        <f aca="false">-S70*0.9</f>
        <v>#REF!</v>
      </c>
      <c r="U80" s="108"/>
      <c r="V80" s="105" t="e">
        <f aca="false">-U70*0.9</f>
        <v>#REF!</v>
      </c>
      <c r="W80" s="73"/>
    </row>
    <row r="81" customFormat="false" ht="18.75" hidden="false" customHeight="true" outlineLevel="0" collapsed="false">
      <c r="A81" s="113" t="s">
        <v>47</v>
      </c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5" t="e">
        <f aca="false">-$C$79/4</f>
        <v>#REF!</v>
      </c>
      <c r="R81" s="115" t="e">
        <f aca="false">-$C$79/4</f>
        <v>#REF!</v>
      </c>
      <c r="S81" s="115" t="e">
        <f aca="false">-$C$79/4</f>
        <v>#REF!</v>
      </c>
      <c r="T81" s="115" t="e">
        <f aca="false">-$C$79/4</f>
        <v>#REF!</v>
      </c>
      <c r="U81" s="114"/>
      <c r="V81" s="114"/>
      <c r="W81" s="73"/>
    </row>
    <row r="82" customFormat="false" ht="18.75" hidden="false" customHeight="true" outlineLevel="0" collapsed="false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73"/>
    </row>
    <row r="83" customFormat="false" ht="18.75" hidden="false" customHeight="true" outlineLevel="0" collapsed="false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73"/>
    </row>
    <row r="84" customFormat="false" ht="18.75" hidden="false" customHeight="true" outlineLevel="0" collapsed="false">
      <c r="A84" s="104" t="s">
        <v>83</v>
      </c>
      <c r="B84" s="108" t="n">
        <f aca="false">SUM(B74:B83)</f>
        <v>0</v>
      </c>
      <c r="C84" s="107" t="e">
        <f aca="false">SUM(C72:C83)</f>
        <v>#REF!</v>
      </c>
      <c r="D84" s="107" t="e">
        <f aca="false">SUM(D72:D83)</f>
        <v>#REF!</v>
      </c>
      <c r="E84" s="107" t="e">
        <f aca="false">SUM(E72:E83)</f>
        <v>#REF!</v>
      </c>
      <c r="F84" s="107" t="e">
        <f aca="false">SUM(F72:F83)</f>
        <v>#REF!</v>
      </c>
      <c r="G84" s="107" t="e">
        <f aca="false">SUM(G72:G83)</f>
        <v>#REF!</v>
      </c>
      <c r="H84" s="107" t="e">
        <f aca="false">SUM(H72:H83)</f>
        <v>#REF!</v>
      </c>
      <c r="I84" s="107" t="e">
        <f aca="false">SUM(I72:I83)</f>
        <v>#REF!</v>
      </c>
      <c r="J84" s="107" t="e">
        <f aca="false">SUM(J72:J83)</f>
        <v>#REF!</v>
      </c>
      <c r="K84" s="107" t="e">
        <f aca="false">SUM(K72:K83)</f>
        <v>#REF!</v>
      </c>
      <c r="L84" s="107" t="e">
        <f aca="false">SUM(L72:L83)</f>
        <v>#REF!</v>
      </c>
      <c r="M84" s="107" t="e">
        <f aca="false">SUM(M72:M83)</f>
        <v>#REF!</v>
      </c>
      <c r="N84" s="107" t="e">
        <f aca="false">SUM(N72:N83)</f>
        <v>#REF!</v>
      </c>
      <c r="O84" s="107" t="e">
        <f aca="false">SUM(O72:O83)</f>
        <v>#REF!</v>
      </c>
      <c r="P84" s="107" t="e">
        <f aca="false">SUM(P72:P83)</f>
        <v>#REF!</v>
      </c>
      <c r="Q84" s="107" t="e">
        <f aca="false">SUM(Q72:Q83)</f>
        <v>#REF!</v>
      </c>
      <c r="R84" s="107" t="e">
        <f aca="false">SUM(R72:R83)</f>
        <v>#REF!</v>
      </c>
      <c r="S84" s="107" t="e">
        <f aca="false">SUM(S72:S83)</f>
        <v>#REF!</v>
      </c>
      <c r="T84" s="107" t="e">
        <f aca="false">SUM(T72:T83)</f>
        <v>#REF!</v>
      </c>
      <c r="U84" s="107" t="e">
        <f aca="false">SUM(U72:U83)</f>
        <v>#REF!</v>
      </c>
      <c r="V84" s="107" t="e">
        <f aca="false">SUM(V72:V83)</f>
        <v>#REF!</v>
      </c>
      <c r="W84" s="73"/>
    </row>
    <row r="85" customFormat="false" ht="18.75" hidden="false" customHeight="true" outlineLevel="0" collapsed="false">
      <c r="A85" s="104" t="s">
        <v>84</v>
      </c>
      <c r="B85" s="108" t="n">
        <v>0</v>
      </c>
      <c r="C85" s="108" t="n">
        <f aca="false">B86</f>
        <v>0</v>
      </c>
      <c r="D85" s="105" t="e">
        <f aca="false">C86</f>
        <v>#REF!</v>
      </c>
      <c r="E85" s="105" t="e">
        <f aca="false">D86</f>
        <v>#REF!</v>
      </c>
      <c r="F85" s="105" t="e">
        <f aca="false">E86</f>
        <v>#REF!</v>
      </c>
      <c r="G85" s="105" t="e">
        <f aca="false">F86</f>
        <v>#REF!</v>
      </c>
      <c r="H85" s="105" t="e">
        <f aca="false">G86</f>
        <v>#REF!</v>
      </c>
      <c r="I85" s="105" t="e">
        <f aca="false">H86</f>
        <v>#REF!</v>
      </c>
      <c r="J85" s="105" t="e">
        <f aca="false">I86</f>
        <v>#REF!</v>
      </c>
      <c r="K85" s="105" t="e">
        <f aca="false">J86</f>
        <v>#REF!</v>
      </c>
      <c r="L85" s="105" t="e">
        <f aca="false">K86</f>
        <v>#REF!</v>
      </c>
      <c r="M85" s="105" t="e">
        <f aca="false">L86</f>
        <v>#REF!</v>
      </c>
      <c r="N85" s="105" t="e">
        <f aca="false">M86</f>
        <v>#REF!</v>
      </c>
      <c r="O85" s="105" t="e">
        <f aca="false">N86</f>
        <v>#REF!</v>
      </c>
      <c r="P85" s="105" t="e">
        <f aca="false">O86</f>
        <v>#REF!</v>
      </c>
      <c r="Q85" s="105" t="e">
        <f aca="false">P86</f>
        <v>#REF!</v>
      </c>
      <c r="R85" s="105" t="e">
        <f aca="false">Q86</f>
        <v>#REF!</v>
      </c>
      <c r="S85" s="105" t="e">
        <f aca="false">R86</f>
        <v>#REF!</v>
      </c>
      <c r="T85" s="105" t="e">
        <f aca="false">S86</f>
        <v>#REF!</v>
      </c>
      <c r="U85" s="108"/>
      <c r="V85" s="108"/>
      <c r="W85" s="72"/>
    </row>
    <row r="86" customFormat="false" ht="18.75" hidden="false" customHeight="true" outlineLevel="0" collapsed="false">
      <c r="A86" s="104" t="s">
        <v>85</v>
      </c>
      <c r="B86" s="108" t="n">
        <f aca="false">B84</f>
        <v>0</v>
      </c>
      <c r="C86" s="105" t="e">
        <f aca="false">C84+C85</f>
        <v>#REF!</v>
      </c>
      <c r="D86" s="105" t="e">
        <f aca="false">D84+D85</f>
        <v>#REF!</v>
      </c>
      <c r="E86" s="105" t="e">
        <f aca="false">E84+E85</f>
        <v>#REF!</v>
      </c>
      <c r="F86" s="105" t="e">
        <f aca="false">F84+F85</f>
        <v>#REF!</v>
      </c>
      <c r="G86" s="105" t="e">
        <f aca="false">G84+G85</f>
        <v>#REF!</v>
      </c>
      <c r="H86" s="105" t="e">
        <f aca="false">H84+H85</f>
        <v>#REF!</v>
      </c>
      <c r="I86" s="105" t="e">
        <f aca="false">I84+I85</f>
        <v>#REF!</v>
      </c>
      <c r="J86" s="105" t="e">
        <f aca="false">J84+J85</f>
        <v>#REF!</v>
      </c>
      <c r="K86" s="105" t="e">
        <f aca="false">K84+K85</f>
        <v>#REF!</v>
      </c>
      <c r="L86" s="105" t="e">
        <f aca="false">L84+L85</f>
        <v>#REF!</v>
      </c>
      <c r="M86" s="105" t="e">
        <f aca="false">M84+M85</f>
        <v>#REF!</v>
      </c>
      <c r="N86" s="105" t="e">
        <f aca="false">N84+N85</f>
        <v>#REF!</v>
      </c>
      <c r="O86" s="105" t="e">
        <f aca="false">O84+O85</f>
        <v>#REF!</v>
      </c>
      <c r="P86" s="105" t="e">
        <f aca="false">P84+P85</f>
        <v>#REF!</v>
      </c>
      <c r="Q86" s="105" t="e">
        <f aca="false">Q84+Q85</f>
        <v>#REF!</v>
      </c>
      <c r="R86" s="105" t="e">
        <f aca="false">R84+R85</f>
        <v>#REF!</v>
      </c>
      <c r="S86" s="105" t="e">
        <f aca="false">S84+S85</f>
        <v>#REF!</v>
      </c>
      <c r="T86" s="105" t="e">
        <f aca="false">T84+T85</f>
        <v>#REF!</v>
      </c>
      <c r="U86" s="108"/>
      <c r="V86" s="108"/>
      <c r="W86" s="72"/>
    </row>
    <row r="87" customFormat="false" ht="18.75" hidden="false" customHeight="true" outlineLevel="0" collapsed="false">
      <c r="A87" s="104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16"/>
    </row>
    <row r="88" customFormat="false" ht="18.75" hidden="false" customHeight="true" outlineLevel="0" collapsed="false">
      <c r="A88" s="104"/>
      <c r="B88" s="105"/>
      <c r="C88" s="105"/>
      <c r="D88" s="105"/>
      <c r="E88" s="108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16"/>
    </row>
    <row r="89" customFormat="false" ht="18.75" hidden="false" customHeight="true" outlineLevel="0" collapsed="false">
      <c r="A89" s="117" t="s">
        <v>86</v>
      </c>
      <c r="B89" s="118"/>
      <c r="C89" s="119" t="e">
        <f aca="false">-C79</f>
        <v>#REF!</v>
      </c>
      <c r="D89" s="107" t="e">
        <f aca="false">-D80-D81</f>
        <v>#REF!</v>
      </c>
      <c r="E89" s="107" t="e">
        <f aca="false">-E80-E81</f>
        <v>#REF!</v>
      </c>
      <c r="F89" s="107" t="e">
        <f aca="false">-F80-F81</f>
        <v>#REF!</v>
      </c>
      <c r="G89" s="107" t="e">
        <f aca="false">-G80-G81</f>
        <v>#REF!</v>
      </c>
      <c r="H89" s="107" t="e">
        <f aca="false">-H80-H81</f>
        <v>#REF!</v>
      </c>
      <c r="I89" s="107" t="e">
        <f aca="false">-I80-I81</f>
        <v>#REF!</v>
      </c>
      <c r="J89" s="107" t="e">
        <f aca="false">-J80-J81</f>
        <v>#REF!</v>
      </c>
      <c r="K89" s="107" t="e">
        <f aca="false">-K80-K81</f>
        <v>#REF!</v>
      </c>
      <c r="L89" s="107" t="e">
        <f aca="false">-L80-L81</f>
        <v>#REF!</v>
      </c>
      <c r="M89" s="107" t="e">
        <f aca="false">-M80-M81</f>
        <v>#REF!</v>
      </c>
      <c r="N89" s="107" t="e">
        <f aca="false">-N80-N81</f>
        <v>#REF!</v>
      </c>
      <c r="O89" s="107" t="e">
        <f aca="false">-O80-O81</f>
        <v>#REF!</v>
      </c>
      <c r="P89" s="107" t="e">
        <f aca="false">-P80-P81</f>
        <v>#REF!</v>
      </c>
      <c r="Q89" s="107" t="e">
        <f aca="false">-Q80-Q81</f>
        <v>#REF!</v>
      </c>
      <c r="R89" s="107" t="e">
        <f aca="false">-R80-R81</f>
        <v>#REF!</v>
      </c>
      <c r="S89" s="107" t="e">
        <f aca="false">-S80-S81</f>
        <v>#REF!</v>
      </c>
      <c r="T89" s="107" t="e">
        <f aca="false">-T80-T81</f>
        <v>#REF!</v>
      </c>
      <c r="U89" s="118" t="n">
        <f aca="false">-U80-U81</f>
        <v>-0</v>
      </c>
      <c r="V89" s="107" t="e">
        <f aca="false">-V80-V81</f>
        <v>#REF!</v>
      </c>
      <c r="W89" s="73"/>
    </row>
    <row r="90" customFormat="false" ht="18.75" hidden="false" customHeight="true" outlineLevel="0" collapsed="false">
      <c r="A90" s="104" t="s">
        <v>87</v>
      </c>
      <c r="B90" s="120" t="e">
        <f aca="false">IRR(C89:V89)</f>
        <v>#REF!</v>
      </c>
      <c r="C90" s="121"/>
      <c r="D90" s="121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16"/>
    </row>
    <row r="91" customFormat="false" ht="18.75" hidden="false" customHeight="true" outlineLevel="0" collapsed="false">
      <c r="A91" s="117" t="s">
        <v>88</v>
      </c>
      <c r="B91" s="118"/>
      <c r="C91" s="119" t="e">
        <f aca="false">#REF!-C79</f>
        <v>#REF!</v>
      </c>
      <c r="D91" s="107" t="e">
        <f aca="false">#REF!</f>
        <v>#REF!</v>
      </c>
      <c r="E91" s="107" t="e">
        <f aca="false">#REF!-E81</f>
        <v>#REF!</v>
      </c>
      <c r="F91" s="107" t="e">
        <f aca="false">#REF!-F81</f>
        <v>#REF!</v>
      </c>
      <c r="G91" s="107" t="e">
        <f aca="false">#REF!-G81</f>
        <v>#REF!</v>
      </c>
      <c r="H91" s="107" t="e">
        <f aca="false">#REF!-H81</f>
        <v>#REF!</v>
      </c>
      <c r="I91" s="107" t="e">
        <f aca="false">#REF!-I81</f>
        <v>#REF!</v>
      </c>
      <c r="J91" s="107" t="e">
        <f aca="false">#REF!-J81</f>
        <v>#REF!</v>
      </c>
      <c r="K91" s="107" t="e">
        <f aca="false">#REF!-K81</f>
        <v>#REF!</v>
      </c>
      <c r="L91" s="107" t="e">
        <f aca="false">#REF!-L81</f>
        <v>#REF!</v>
      </c>
      <c r="M91" s="107" t="e">
        <f aca="false">#REF!-M81</f>
        <v>#REF!</v>
      </c>
      <c r="N91" s="107" t="e">
        <f aca="false">#REF!-N81</f>
        <v>#REF!</v>
      </c>
      <c r="O91" s="107" t="e">
        <f aca="false">#REF!-O81</f>
        <v>#REF!</v>
      </c>
      <c r="P91" s="107" t="e">
        <f aca="false">#REF!-P81</f>
        <v>#REF!</v>
      </c>
      <c r="Q91" s="107" t="e">
        <f aca="false">#REF!-Q81</f>
        <v>#REF!</v>
      </c>
      <c r="R91" s="107" t="e">
        <f aca="false">#REF!-R81</f>
        <v>#REF!</v>
      </c>
      <c r="S91" s="107" t="e">
        <f aca="false">#REF!-S81</f>
        <v>#REF!</v>
      </c>
      <c r="T91" s="107" t="e">
        <f aca="false">#REF!-T81</f>
        <v>#REF!</v>
      </c>
      <c r="U91" s="107" t="e">
        <f aca="false">#REF!-U81</f>
        <v>#REF!</v>
      </c>
      <c r="V91" s="107" t="e">
        <f aca="false">#REF!-V81</f>
        <v>#REF!</v>
      </c>
      <c r="W91" s="81"/>
    </row>
    <row r="92" customFormat="false" ht="18.75" hidden="false" customHeight="true" outlineLevel="0" collapsed="false">
      <c r="A92" s="117" t="s">
        <v>89</v>
      </c>
      <c r="B92" s="120" t="e">
        <f aca="false">IRR(C91:V91)</f>
        <v>#REF!</v>
      </c>
      <c r="C92" s="121"/>
      <c r="D92" s="121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16"/>
    </row>
    <row r="93" customFormat="false" ht="18.75" hidden="false" customHeight="true" outlineLevel="0" collapsed="false">
      <c r="A93" s="104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16"/>
    </row>
    <row r="94" customFormat="false" ht="18.75" hidden="false" customHeight="true" outlineLevel="0" collapsed="false">
      <c r="A94" s="104" t="s">
        <v>90</v>
      </c>
      <c r="B94" s="108" t="n">
        <v>0</v>
      </c>
      <c r="C94" s="105" t="e">
        <f aca="false">C77</f>
        <v>#REF!</v>
      </c>
      <c r="D94" s="105" t="e">
        <f aca="false">C94+D77+D78</f>
        <v>#REF!</v>
      </c>
      <c r="E94" s="105" t="e">
        <f aca="false">D94+E77+E78</f>
        <v>#REF!</v>
      </c>
      <c r="F94" s="105" t="e">
        <f aca="false">E94+F77+F78</f>
        <v>#REF!</v>
      </c>
      <c r="G94" s="105" t="e">
        <f aca="false">F94+G77+G78</f>
        <v>#REF!</v>
      </c>
      <c r="H94" s="105" t="e">
        <f aca="false">G94+H77+H78</f>
        <v>#REF!</v>
      </c>
      <c r="I94" s="105" t="e">
        <f aca="false">H94+I77+I78</f>
        <v>#REF!</v>
      </c>
      <c r="J94" s="105" t="e">
        <f aca="false">I94+J77+J78</f>
        <v>#REF!</v>
      </c>
      <c r="K94" s="105" t="e">
        <f aca="false">J94+K77+K78</f>
        <v>#REF!</v>
      </c>
      <c r="L94" s="105" t="e">
        <f aca="false">K94+L77+L78</f>
        <v>#REF!</v>
      </c>
      <c r="M94" s="105" t="e">
        <f aca="false">L94+M77+M78</f>
        <v>#REF!</v>
      </c>
      <c r="N94" s="105" t="e">
        <f aca="false">M94+N77+N78</f>
        <v>#REF!</v>
      </c>
      <c r="O94" s="105" t="e">
        <f aca="false">N94+O77+O78</f>
        <v>#REF!</v>
      </c>
      <c r="P94" s="105" t="e">
        <f aca="false">O94+P77+P78</f>
        <v>#REF!</v>
      </c>
      <c r="Q94" s="105" t="e">
        <f aca="false">P94+Q77+Q78</f>
        <v>#REF!</v>
      </c>
      <c r="R94" s="105" t="e">
        <f aca="false">Q94+R77+R78</f>
        <v>#REF!</v>
      </c>
      <c r="S94" s="108"/>
      <c r="T94" s="108"/>
      <c r="U94" s="108"/>
      <c r="V94" s="108"/>
      <c r="W94" s="108"/>
    </row>
    <row r="95" customFormat="false" ht="18.75" hidden="false" customHeight="true" outlineLevel="0" collapsed="false"/>
    <row r="96" customFormat="false" ht="18.75" hidden="false" customHeight="true" outlineLevel="0" collapsed="false">
      <c r="A96" s="122"/>
    </row>
    <row r="97" customFormat="false" ht="18.75" hidden="false" customHeight="true" outlineLevel="0" collapsed="false">
      <c r="F97" s="73"/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2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91</v>
      </c>
      <c r="B1" s="0" t="s">
        <v>92</v>
      </c>
      <c r="C1" s="0" t="s">
        <v>93</v>
      </c>
      <c r="D1" s="0" t="s">
        <v>87</v>
      </c>
      <c r="E1" s="0" t="s">
        <v>89</v>
      </c>
      <c r="F1" s="0" t="s">
        <v>23</v>
      </c>
      <c r="G1" s="0" t="s">
        <v>94</v>
      </c>
      <c r="H1" s="0" t="s">
        <v>95</v>
      </c>
      <c r="I1" s="0" t="s">
        <v>24</v>
      </c>
      <c r="J1" s="0" t="s">
        <v>96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123" t="n">
        <v>-0.0029</v>
      </c>
      <c r="D2" s="123" t="n">
        <v>-0.0399</v>
      </c>
      <c r="E2" s="123" t="n">
        <v>-0.0364</v>
      </c>
      <c r="F2" s="123" t="n">
        <v>0.3</v>
      </c>
      <c r="G2" s="0" t="n">
        <v>6541500</v>
      </c>
      <c r="H2" s="0" t="n">
        <v>15000</v>
      </c>
      <c r="I2" s="0" t="n">
        <v>3000</v>
      </c>
      <c r="J2" s="0" t="s">
        <v>97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123" t="n">
        <v>0.0015</v>
      </c>
      <c r="D3" s="123" t="n">
        <v>-0.0257</v>
      </c>
      <c r="E3" s="123" t="n">
        <v>-0.0242</v>
      </c>
      <c r="F3" s="123" t="n">
        <v>0.3</v>
      </c>
      <c r="G3" s="0" t="n">
        <v>6167762.3</v>
      </c>
      <c r="H3" s="0" t="n">
        <v>14143</v>
      </c>
      <c r="I3" s="0" t="n">
        <v>3000</v>
      </c>
      <c r="J3" s="0" t="s">
        <v>98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123" t="n">
        <v>0.0063</v>
      </c>
      <c r="D4" s="123" t="n">
        <v>-0.0109</v>
      </c>
      <c r="E4" s="123" t="n">
        <v>-0.0106</v>
      </c>
      <c r="F4" s="123" t="n">
        <v>0.3</v>
      </c>
      <c r="G4" s="0" t="n">
        <v>5794024.6</v>
      </c>
      <c r="H4" s="0" t="n">
        <v>13286</v>
      </c>
      <c r="I4" s="0" t="n">
        <v>3000</v>
      </c>
      <c r="J4" s="0" t="s">
        <v>99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123" t="n">
        <v>0.0116</v>
      </c>
      <c r="D5" s="123" t="n">
        <v>0.0049</v>
      </c>
      <c r="E5" s="123" t="n">
        <v>0.0049</v>
      </c>
      <c r="F5" s="123" t="n">
        <v>0.3</v>
      </c>
      <c r="G5" s="0" t="n">
        <v>5420286.9</v>
      </c>
      <c r="H5" s="0" t="n">
        <v>12429</v>
      </c>
      <c r="I5" s="0" t="n">
        <v>3000</v>
      </c>
      <c r="J5" s="0" t="s">
        <v>100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123" t="n">
        <v>0.0173</v>
      </c>
      <c r="D6" s="123" t="n">
        <v>0.022</v>
      </c>
      <c r="E6" s="123" t="n">
        <v>0.0227</v>
      </c>
      <c r="F6" s="123" t="n">
        <v>0.3</v>
      </c>
      <c r="G6" s="0" t="n">
        <v>5046113.1</v>
      </c>
      <c r="H6" s="0" t="n">
        <v>11571</v>
      </c>
      <c r="I6" s="0" t="n">
        <v>3000</v>
      </c>
      <c r="J6" s="0" t="s">
        <v>101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123" t="n">
        <v>0.0238</v>
      </c>
      <c r="D7" s="123" t="n">
        <v>0.0409</v>
      </c>
      <c r="E7" s="123" t="n">
        <v>0.0436</v>
      </c>
      <c r="F7" s="123" t="n">
        <v>0.3</v>
      </c>
      <c r="G7" s="0" t="n">
        <v>4672375.4</v>
      </c>
      <c r="H7" s="0" t="n">
        <v>10714</v>
      </c>
      <c r="I7" s="0" t="n">
        <v>3000</v>
      </c>
      <c r="J7" s="0" t="s">
        <v>102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123" t="n">
        <v>0.031</v>
      </c>
      <c r="D8" s="123" t="n">
        <v>0.0621</v>
      </c>
      <c r="E8" s="123" t="n">
        <v>0.0689</v>
      </c>
      <c r="F8" s="123" t="n">
        <v>0.3</v>
      </c>
      <c r="G8" s="0" t="n">
        <v>4298637.7</v>
      </c>
      <c r="H8" s="0" t="n">
        <v>9857</v>
      </c>
      <c r="I8" s="0" t="n">
        <v>3000</v>
      </c>
      <c r="J8" s="0" t="s">
        <v>103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123" t="n">
        <v>0.0391</v>
      </c>
      <c r="D9" s="123" t="n">
        <v>0.0866</v>
      </c>
      <c r="E9" s="123" t="n">
        <v>0.1003</v>
      </c>
      <c r="F9" s="123" t="n">
        <v>0.3</v>
      </c>
      <c r="G9" s="0" t="n">
        <v>3924900</v>
      </c>
      <c r="H9" s="0" t="n">
        <v>9000</v>
      </c>
      <c r="I9" s="0" t="n">
        <v>3000</v>
      </c>
      <c r="J9" s="0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24" t="s">
        <v>0</v>
      </c>
      <c r="C1" s="125"/>
      <c r="D1" s="125"/>
      <c r="E1" s="126"/>
      <c r="P1" s="127" t="n">
        <f aca="false">1-D11</f>
        <v>0.99</v>
      </c>
      <c r="Q1" s="127" t="n">
        <f aca="false">P1-$D12</f>
        <v>0.986</v>
      </c>
      <c r="R1" s="127" t="n">
        <f aca="false">Q1-$D12</f>
        <v>0.982</v>
      </c>
      <c r="S1" s="127" t="n">
        <f aca="false">R1-$D12</f>
        <v>0.978</v>
      </c>
      <c r="T1" s="127" t="n">
        <f aca="false">S1-$D12</f>
        <v>0.974</v>
      </c>
      <c r="U1" s="127" t="n">
        <f aca="false">T1-$D12</f>
        <v>0.97</v>
      </c>
      <c r="V1" s="127" t="n">
        <f aca="false">U1-$D12</f>
        <v>0.966</v>
      </c>
      <c r="W1" s="127" t="n">
        <f aca="false">V1-$D12</f>
        <v>0.962</v>
      </c>
      <c r="X1" s="127" t="n">
        <f aca="false">W1-$D12</f>
        <v>0.958</v>
      </c>
      <c r="Y1" s="127" t="n">
        <f aca="false">X1-$D12</f>
        <v>0.954</v>
      </c>
      <c r="Z1" s="127" t="n">
        <f aca="false">Y1-$D12</f>
        <v>0.95</v>
      </c>
      <c r="AA1" s="127" t="n">
        <f aca="false">Z1-$D12</f>
        <v>0.946</v>
      </c>
      <c r="AB1" s="127" t="n">
        <f aca="false">AA1-$D12</f>
        <v>0.942</v>
      </c>
      <c r="AC1" s="127" t="n">
        <f aca="false">AB1-$D12</f>
        <v>0.938</v>
      </c>
      <c r="AD1" s="127" t="n">
        <f aca="false">AC1-$D12</f>
        <v>0.934</v>
      </c>
      <c r="AE1" s="127" t="n">
        <f aca="false">AD1-$D12</f>
        <v>0.93</v>
      </c>
      <c r="AF1" s="127" t="n">
        <f aca="false">AE1-$D12</f>
        <v>0.926</v>
      </c>
      <c r="AG1" s="127" t="n">
        <f aca="false">AF1-$D12</f>
        <v>0.922</v>
      </c>
      <c r="AH1" s="127" t="n">
        <f aca="false">AG1-$D12</f>
        <v>0.918</v>
      </c>
      <c r="AI1" s="127" t="n">
        <f aca="false">AH1-$D12</f>
        <v>0.914</v>
      </c>
    </row>
    <row r="2" customFormat="false" ht="21.75" hidden="false" customHeight="true" outlineLevel="0" collapsed="false">
      <c r="B2" s="128" t="s">
        <v>1</v>
      </c>
      <c r="C2" s="129" t="s">
        <v>105</v>
      </c>
      <c r="D2" s="130" t="s">
        <v>3</v>
      </c>
      <c r="E2" s="130" t="s">
        <v>3</v>
      </c>
    </row>
    <row r="3" customFormat="false" ht="21.75" hidden="false" customHeight="true" outlineLevel="0" collapsed="false">
      <c r="B3" s="131" t="s">
        <v>4</v>
      </c>
      <c r="C3" s="132" t="n">
        <v>20</v>
      </c>
      <c r="D3" s="133" t="s">
        <v>3</v>
      </c>
      <c r="E3" s="133" t="s">
        <v>3</v>
      </c>
    </row>
    <row r="4" customFormat="false" ht="21.75" hidden="false" customHeight="true" outlineLevel="0" collapsed="false">
      <c r="B4" s="131" t="s">
        <v>5</v>
      </c>
      <c r="C4" s="132" t="n">
        <v>436.1</v>
      </c>
      <c r="D4" s="133" t="s">
        <v>3</v>
      </c>
      <c r="E4" s="133" t="s">
        <v>3</v>
      </c>
      <c r="M4" s="0" t="s">
        <v>106</v>
      </c>
    </row>
    <row r="5" customFormat="false" ht="22.5" hidden="false" customHeight="true" outlineLevel="0" collapsed="false">
      <c r="B5" s="134" t="s">
        <v>6</v>
      </c>
      <c r="C5" s="134" t="n">
        <v>2020</v>
      </c>
      <c r="D5" s="134" t="s">
        <v>7</v>
      </c>
      <c r="E5" s="134" t="n">
        <v>2039</v>
      </c>
      <c r="M5" s="0" t="s">
        <v>107</v>
      </c>
    </row>
    <row r="6" customFormat="false" ht="20.25" hidden="false" customHeight="true" outlineLevel="0" collapsed="false">
      <c r="B6" s="135"/>
      <c r="C6" s="135"/>
      <c r="D6" s="135"/>
      <c r="E6" s="135"/>
      <c r="M6" s="0" t="s">
        <v>108</v>
      </c>
    </row>
    <row r="7" customFormat="false" ht="22.5" hidden="false" customHeight="true" outlineLevel="0" collapsed="false">
      <c r="B7" s="136" t="s">
        <v>8</v>
      </c>
      <c r="C7" s="125"/>
      <c r="D7" s="125"/>
      <c r="E7" s="126"/>
      <c r="M7" s="0" t="s">
        <v>109</v>
      </c>
    </row>
    <row r="8" customFormat="false" ht="22.5" hidden="false" customHeight="true" outlineLevel="0" collapsed="false">
      <c r="B8" s="137" t="s">
        <v>9</v>
      </c>
      <c r="C8" s="138"/>
      <c r="D8" s="138"/>
      <c r="E8" s="139"/>
      <c r="M8" s="0" t="s">
        <v>110</v>
      </c>
    </row>
    <row r="9" customFormat="false" ht="22.5" hidden="false" customHeight="true" outlineLevel="0" collapsed="false">
      <c r="B9" s="140" t="s">
        <v>10</v>
      </c>
      <c r="C9" s="141" t="s">
        <v>11</v>
      </c>
      <c r="D9" s="141" t="s">
        <v>12</v>
      </c>
      <c r="E9" s="142" t="s">
        <v>13</v>
      </c>
      <c r="M9" s="0" t="s">
        <v>111</v>
      </c>
    </row>
    <row r="10" customFormat="false" ht="21.75" hidden="false" customHeight="true" outlineLevel="0" collapsed="false">
      <c r="B10" s="143" t="s">
        <v>14</v>
      </c>
      <c r="C10" s="129" t="s">
        <v>112</v>
      </c>
      <c r="D10" s="129" t="n">
        <v>547002</v>
      </c>
      <c r="E10" s="143" t="n">
        <v>20</v>
      </c>
      <c r="M10" s="0" t="s">
        <v>113</v>
      </c>
    </row>
    <row r="11" customFormat="false" ht="21.75" hidden="false" customHeight="true" outlineLevel="0" collapsed="false">
      <c r="B11" s="144"/>
      <c r="C11" s="134" t="s">
        <v>16</v>
      </c>
      <c r="D11" s="134" t="n">
        <v>0.01</v>
      </c>
      <c r="E11" s="144"/>
    </row>
    <row r="12" customFormat="false" ht="21.75" hidden="false" customHeight="true" outlineLevel="0" collapsed="false">
      <c r="B12" s="144"/>
      <c r="C12" s="134" t="s">
        <v>17</v>
      </c>
      <c r="D12" s="134" t="n">
        <v>0.004</v>
      </c>
      <c r="E12" s="144"/>
    </row>
    <row r="13" customFormat="false" ht="22.5" hidden="false" customHeight="true" outlineLevel="0" collapsed="false">
      <c r="B13" s="144"/>
      <c r="C13" s="145" t="s">
        <v>114</v>
      </c>
      <c r="D13" s="145" t="n">
        <v>3.7152</v>
      </c>
      <c r="E13" s="144"/>
    </row>
    <row r="14" customFormat="false" ht="22.5" hidden="false" customHeight="true" outlineLevel="0" collapsed="false">
      <c r="B14" s="146" t="s">
        <v>19</v>
      </c>
      <c r="C14" s="125"/>
      <c r="D14" s="125"/>
      <c r="E14" s="126"/>
    </row>
    <row r="15" customFormat="false" ht="22.5" hidden="false" customHeight="true" outlineLevel="0" collapsed="false">
      <c r="B15" s="140" t="s">
        <v>10</v>
      </c>
      <c r="C15" s="141" t="s">
        <v>11</v>
      </c>
      <c r="D15" s="141" t="s">
        <v>12</v>
      </c>
      <c r="E15" s="147" t="s">
        <v>20</v>
      </c>
    </row>
    <row r="16" customFormat="false" ht="21.75" hidden="false" customHeight="true" outlineLevel="0" collapsed="false">
      <c r="B16" s="148" t="s">
        <v>115</v>
      </c>
      <c r="C16" s="128" t="s">
        <v>22</v>
      </c>
      <c r="D16" s="129" t="n">
        <v>35000</v>
      </c>
      <c r="E16" s="149" t="n">
        <v>20</v>
      </c>
    </row>
    <row r="17" customFormat="false" ht="21.75" hidden="false" customHeight="true" outlineLevel="0" collapsed="false">
      <c r="B17" s="144"/>
      <c r="C17" s="134" t="s">
        <v>23</v>
      </c>
      <c r="D17" s="134" t="n">
        <v>0.3</v>
      </c>
      <c r="E17" s="144"/>
    </row>
    <row r="18" customFormat="false" ht="21.75" hidden="false" customHeight="true" outlineLevel="0" collapsed="false">
      <c r="B18" s="150"/>
      <c r="C18" s="134" t="s">
        <v>24</v>
      </c>
      <c r="D18" s="134" t="n">
        <v>3000</v>
      </c>
      <c r="E18" s="150"/>
    </row>
    <row r="19" customFormat="false" ht="54" hidden="false" customHeight="true" outlineLevel="0" collapsed="false">
      <c r="B19" s="151" t="s">
        <v>25</v>
      </c>
      <c r="C19" s="152" t="s">
        <v>26</v>
      </c>
      <c r="D19" s="134" t="n">
        <v>2</v>
      </c>
      <c r="E19" s="130" t="n">
        <v>0</v>
      </c>
    </row>
    <row r="20" customFormat="false" ht="20.25" hidden="false" customHeight="true" outlineLevel="0" collapsed="false">
      <c r="B20" s="144"/>
      <c r="C20" s="153" t="s">
        <v>116</v>
      </c>
      <c r="D20" s="134" t="n">
        <v>0</v>
      </c>
      <c r="E20" s="130" t="n">
        <v>20</v>
      </c>
    </row>
    <row r="21" customFormat="false" ht="21.75" hidden="false" customHeight="true" outlineLevel="0" collapsed="false">
      <c r="B21" s="150"/>
      <c r="C21" s="134" t="s">
        <v>117</v>
      </c>
      <c r="D21" s="134" t="n">
        <v>0.3</v>
      </c>
      <c r="E21" s="133" t="n">
        <v>0</v>
      </c>
    </row>
    <row r="22" customFormat="false" ht="21.75" hidden="false" customHeight="true" outlineLevel="0" collapsed="false">
      <c r="B22" s="134" t="s">
        <v>29</v>
      </c>
      <c r="C22" s="134" t="s">
        <v>118</v>
      </c>
      <c r="D22" s="134" t="n">
        <v>400</v>
      </c>
      <c r="E22" s="133" t="n">
        <v>20</v>
      </c>
    </row>
    <row r="23" customFormat="false" ht="21.75" hidden="false" customHeight="true" outlineLevel="0" collapsed="false">
      <c r="B23" s="134" t="s">
        <v>31</v>
      </c>
      <c r="C23" s="131" t="s">
        <v>32</v>
      </c>
      <c r="D23" s="134" t="n">
        <v>0.003</v>
      </c>
      <c r="E23" s="133" t="n">
        <v>20</v>
      </c>
    </row>
    <row r="24" customFormat="false" ht="21.75" hidden="false" customHeight="true" outlineLevel="0" collapsed="false">
      <c r="B24" s="134" t="s">
        <v>33</v>
      </c>
      <c r="C24" s="134" t="s">
        <v>119</v>
      </c>
      <c r="D24" s="134" t="n">
        <v>1000</v>
      </c>
      <c r="E24" s="133" t="n">
        <v>10</v>
      </c>
    </row>
    <row r="25" customFormat="false" ht="21.75" hidden="false" customHeight="true" outlineLevel="0" collapsed="false">
      <c r="B25" s="134" t="s">
        <v>35</v>
      </c>
      <c r="C25" s="134" t="s">
        <v>36</v>
      </c>
      <c r="D25" s="134" t="n">
        <v>0.025595</v>
      </c>
      <c r="E25" s="133" t="n">
        <v>0</v>
      </c>
    </row>
    <row r="26" customFormat="false" ht="22.5" hidden="false" customHeight="true" outlineLevel="0" collapsed="false">
      <c r="B26" s="134" t="s">
        <v>37</v>
      </c>
      <c r="C26" s="134" t="s">
        <v>38</v>
      </c>
      <c r="D26" s="134" t="n">
        <v>0.2</v>
      </c>
      <c r="E26" s="133" t="n">
        <v>0</v>
      </c>
    </row>
    <row r="27" customFormat="false" ht="20.25" hidden="false" customHeight="true" outlineLevel="0" collapsed="false">
      <c r="B27" s="135"/>
      <c r="C27" s="135"/>
      <c r="D27" s="135"/>
      <c r="E27" s="135"/>
    </row>
    <row r="28" customFormat="false" ht="20.25" hidden="false" customHeight="true" outlineLevel="0" collapsed="false">
      <c r="B28" s="135"/>
      <c r="C28" s="135"/>
      <c r="D28" s="135"/>
      <c r="E28" s="135"/>
    </row>
    <row r="29" customFormat="false" ht="22.5" hidden="false" customHeight="true" outlineLevel="0" collapsed="false">
      <c r="B29" s="136" t="s">
        <v>39</v>
      </c>
      <c r="C29" s="125"/>
      <c r="D29" s="126"/>
      <c r="E29" s="135"/>
    </row>
    <row r="30" customFormat="false" ht="22.5" hidden="false" customHeight="true" outlineLevel="0" collapsed="false">
      <c r="B30" s="140" t="s">
        <v>40</v>
      </c>
      <c r="C30" s="141" t="s">
        <v>11</v>
      </c>
      <c r="D30" s="147" t="s">
        <v>12</v>
      </c>
      <c r="E30" s="135"/>
    </row>
    <row r="31" customFormat="false" ht="18.75" hidden="false" customHeight="true" outlineLevel="0" collapsed="false">
      <c r="B31" s="128" t="s">
        <v>41</v>
      </c>
      <c r="C31" s="128" t="s">
        <v>42</v>
      </c>
      <c r="D31" s="129" t="n">
        <v>0.8</v>
      </c>
      <c r="E31" s="135"/>
    </row>
    <row r="32" customFormat="false" ht="18.75" hidden="false" customHeight="true" outlineLevel="0" collapsed="false">
      <c r="B32" s="129" t="s">
        <v>43</v>
      </c>
      <c r="C32" s="129" t="s">
        <v>44</v>
      </c>
      <c r="D32" s="129" t="n">
        <v>15</v>
      </c>
      <c r="E32" s="135"/>
    </row>
    <row r="33" customFormat="false" ht="18.75" hidden="false" customHeight="true" outlineLevel="0" collapsed="false">
      <c r="B33" s="134" t="s">
        <v>45</v>
      </c>
      <c r="C33" s="134" t="s">
        <v>46</v>
      </c>
      <c r="D33" s="134" t="n">
        <v>0.9</v>
      </c>
      <c r="E33" s="135"/>
    </row>
    <row r="34" customFormat="false" ht="18.75" hidden="false" customHeight="true" outlineLevel="0" collapsed="false">
      <c r="B34" s="134" t="s">
        <v>47</v>
      </c>
      <c r="C34" s="134" t="s">
        <v>44</v>
      </c>
      <c r="D34" s="134" t="n">
        <v>4</v>
      </c>
      <c r="E34" s="135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97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54" t="n">
        <v>0</v>
      </c>
      <c r="C38" s="155"/>
      <c r="D38" s="156"/>
      <c r="E38" s="156"/>
      <c r="F38" s="157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9"/>
      <c r="U38" s="158"/>
      <c r="V38" s="158"/>
      <c r="W38" s="158"/>
      <c r="X38" s="160"/>
    </row>
    <row r="39" customFormat="false" ht="18.75" hidden="false" customHeight="true" outlineLevel="0" collapsed="false">
      <c r="B39" s="161" t="s">
        <v>51</v>
      </c>
      <c r="C39" s="162" t="n">
        <v>0</v>
      </c>
      <c r="D39" s="163" t="n">
        <v>1</v>
      </c>
      <c r="E39" s="163" t="n">
        <v>2</v>
      </c>
      <c r="F39" s="163" t="n">
        <v>3</v>
      </c>
      <c r="G39" s="163" t="n">
        <v>4</v>
      </c>
      <c r="H39" s="163" t="n">
        <v>5</v>
      </c>
      <c r="I39" s="163" t="n">
        <v>6</v>
      </c>
      <c r="J39" s="163" t="n">
        <v>7</v>
      </c>
      <c r="K39" s="163" t="n">
        <v>8</v>
      </c>
      <c r="L39" s="163" t="n">
        <v>9</v>
      </c>
      <c r="M39" s="163" t="n">
        <v>10</v>
      </c>
      <c r="N39" s="163" t="n">
        <v>11</v>
      </c>
      <c r="O39" s="163" t="n">
        <v>12</v>
      </c>
      <c r="P39" s="163" t="n">
        <v>13</v>
      </c>
      <c r="Q39" s="163" t="n">
        <v>14</v>
      </c>
      <c r="R39" s="163" t="n">
        <v>15</v>
      </c>
      <c r="S39" s="163" t="n">
        <v>16</v>
      </c>
      <c r="T39" s="164" t="n">
        <v>17</v>
      </c>
      <c r="U39" s="163" t="n">
        <v>18</v>
      </c>
      <c r="V39" s="163" t="n">
        <v>19</v>
      </c>
      <c r="W39" s="163" t="n">
        <v>20</v>
      </c>
      <c r="X39" s="47"/>
    </row>
    <row r="40" customFormat="false" ht="18.75" hidden="false" customHeight="true" outlineLevel="0" collapsed="false">
      <c r="B40" s="165" t="s">
        <v>52</v>
      </c>
      <c r="C40" s="166" t="n">
        <v>0</v>
      </c>
      <c r="D40" s="167" t="n">
        <f aca="false">$D$10*P1</f>
        <v>541531.98</v>
      </c>
      <c r="E40" s="167" t="n">
        <f aca="false">$D$10*Q1</f>
        <v>539343.972</v>
      </c>
      <c r="F40" s="167" t="n">
        <f aca="false">$D$10*R1</f>
        <v>537155.964</v>
      </c>
      <c r="G40" s="167" t="n">
        <f aca="false">$D$10*S1</f>
        <v>534967.956</v>
      </c>
      <c r="H40" s="167" t="n">
        <f aca="false">$D$10*T1</f>
        <v>532779.948</v>
      </c>
      <c r="I40" s="167" t="n">
        <f aca="false">$D$10*U1</f>
        <v>530591.94</v>
      </c>
      <c r="J40" s="167" t="n">
        <f aca="false">$D$10*V1</f>
        <v>528403.932</v>
      </c>
      <c r="K40" s="167" t="n">
        <f aca="false">$D$10*W1</f>
        <v>526215.924</v>
      </c>
      <c r="L40" s="167" t="n">
        <f aca="false">$D$10*X1</f>
        <v>524027.916</v>
      </c>
      <c r="M40" s="167" t="n">
        <f aca="false">$D$10*Y1</f>
        <v>521839.908</v>
      </c>
      <c r="N40" s="167" t="n">
        <f aca="false">$D$10*Z1</f>
        <v>519651.9</v>
      </c>
      <c r="O40" s="167" t="n">
        <f aca="false">$D$10*AA1</f>
        <v>517463.892</v>
      </c>
      <c r="P40" s="167" t="n">
        <f aca="false">$D$10*AB1</f>
        <v>515275.884</v>
      </c>
      <c r="Q40" s="167" t="n">
        <f aca="false">$D$10*AC1</f>
        <v>513087.876</v>
      </c>
      <c r="R40" s="167" t="n">
        <f aca="false">$D$10*AD1</f>
        <v>510899.868</v>
      </c>
      <c r="S40" s="167" t="n">
        <f aca="false">$D$10*AE1</f>
        <v>508711.86</v>
      </c>
      <c r="T40" s="167" t="n">
        <f aca="false">$D$10*AF1</f>
        <v>506523.852</v>
      </c>
      <c r="U40" s="167" t="n">
        <f aca="false">$D$10*AG1</f>
        <v>504335.844</v>
      </c>
      <c r="V40" s="167" t="n">
        <f aca="false">$D$10*AH1</f>
        <v>502147.836</v>
      </c>
      <c r="W40" s="167" t="n">
        <f aca="false">$D$10*AI1</f>
        <v>499959.828</v>
      </c>
      <c r="X40" s="168"/>
    </row>
    <row r="41" customFormat="false" ht="18.75" hidden="false" customHeight="true" outlineLevel="0" collapsed="false">
      <c r="B41" s="169" t="s">
        <v>53</v>
      </c>
      <c r="C41" s="170" t="s">
        <v>3</v>
      </c>
      <c r="D41" s="171" t="n">
        <f aca="false">D40*$D$13</f>
        <v>2011899.612096</v>
      </c>
      <c r="E41" s="171" t="n">
        <f aca="false">E40*$D$13</f>
        <v>2003770.7247744</v>
      </c>
      <c r="F41" s="171" t="n">
        <f aca="false">F40*$D$13</f>
        <v>1995641.8374528</v>
      </c>
      <c r="G41" s="171" t="n">
        <f aca="false">G40*$D$13</f>
        <v>1987512.9501312</v>
      </c>
      <c r="H41" s="171" t="n">
        <f aca="false">H40*$D$13</f>
        <v>1979384.0628096</v>
      </c>
      <c r="I41" s="171" t="n">
        <f aca="false">I40*$D$13</f>
        <v>1971255.175488</v>
      </c>
      <c r="J41" s="171" t="n">
        <f aca="false">J40*$D$13</f>
        <v>1963126.2881664</v>
      </c>
      <c r="K41" s="171" t="n">
        <f aca="false">K40*$D$13</f>
        <v>1954997.4008448</v>
      </c>
      <c r="L41" s="171" t="n">
        <f aca="false">L40*$D$13</f>
        <v>1946868.5135232</v>
      </c>
      <c r="M41" s="171" t="n">
        <f aca="false">M40*$D$13</f>
        <v>1938739.6262016</v>
      </c>
      <c r="N41" s="171" t="n">
        <f aca="false">N40*$D$13</f>
        <v>1930610.73888</v>
      </c>
      <c r="O41" s="171" t="n">
        <f aca="false">O40*$D$13</f>
        <v>1922481.8515584</v>
      </c>
      <c r="P41" s="171" t="n">
        <f aca="false">P40*$D$13</f>
        <v>1914352.9642368</v>
      </c>
      <c r="Q41" s="171" t="n">
        <f aca="false">Q40*$D$13</f>
        <v>1906224.0769152</v>
      </c>
      <c r="R41" s="171" t="n">
        <f aca="false">R40*$D$13</f>
        <v>1898095.1895936</v>
      </c>
      <c r="S41" s="171" t="n">
        <f aca="false">S40*$D$13</f>
        <v>1889966.302272</v>
      </c>
      <c r="T41" s="171" t="n">
        <f aca="false">T40*$D$13</f>
        <v>1881837.4149504</v>
      </c>
      <c r="U41" s="171" t="n">
        <f aca="false">U40*$D$13</f>
        <v>1873708.5276288</v>
      </c>
      <c r="V41" s="171" t="n">
        <f aca="false">V40*$D$13</f>
        <v>1865579.6403072</v>
      </c>
      <c r="W41" s="171" t="n">
        <f aca="false">W40*$D$13</f>
        <v>1857450.7529856</v>
      </c>
      <c r="X41" s="172"/>
    </row>
    <row r="42" customFormat="false" ht="18.75" hidden="false" customHeight="true" outlineLevel="0" collapsed="false">
      <c r="B42" s="173" t="s">
        <v>54</v>
      </c>
      <c r="C42" s="174" t="s">
        <v>3</v>
      </c>
      <c r="D42" s="175"/>
      <c r="E42" s="175"/>
      <c r="F42" s="175"/>
      <c r="G42" s="176" t="s">
        <v>3</v>
      </c>
      <c r="H42" s="176" t="s">
        <v>3</v>
      </c>
      <c r="I42" s="176" t="s">
        <v>3</v>
      </c>
      <c r="J42" s="176" t="s">
        <v>3</v>
      </c>
      <c r="K42" s="176" t="s">
        <v>3</v>
      </c>
      <c r="L42" s="176" t="s">
        <v>3</v>
      </c>
      <c r="M42" s="176" t="s">
        <v>3</v>
      </c>
      <c r="N42" s="176" t="s">
        <v>3</v>
      </c>
      <c r="O42" s="176" t="s">
        <v>3</v>
      </c>
      <c r="P42" s="176" t="s">
        <v>3</v>
      </c>
      <c r="Q42" s="176" t="s">
        <v>3</v>
      </c>
      <c r="R42" s="176" t="s">
        <v>3</v>
      </c>
      <c r="S42" s="176" t="s">
        <v>3</v>
      </c>
      <c r="T42" s="176" t="s">
        <v>3</v>
      </c>
      <c r="U42" s="176" t="s">
        <v>3</v>
      </c>
      <c r="V42" s="176" t="s">
        <v>3</v>
      </c>
      <c r="W42" s="176" t="s">
        <v>3</v>
      </c>
      <c r="X42" s="177"/>
    </row>
    <row r="43" customFormat="false" ht="18.75" hidden="false" customHeight="true" outlineLevel="0" collapsed="false">
      <c r="B43" s="178" t="s">
        <v>55</v>
      </c>
      <c r="C43" s="179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customFormat="false" ht="18.75" hidden="false" customHeight="true" outlineLevel="0" collapsed="false">
      <c r="B44" s="182" t="s">
        <v>56</v>
      </c>
      <c r="C44" s="183" t="n">
        <f aca="false">-(D16/(1-D17)+D18)*C4</f>
        <v>-23113300</v>
      </c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 customFormat="false" ht="18.75" hidden="false" customHeight="true" outlineLevel="0" collapsed="false">
      <c r="B45" s="182" t="s">
        <v>57</v>
      </c>
      <c r="C45" s="174" t="s">
        <v>3</v>
      </c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</row>
    <row r="46" customFormat="false" ht="18.75" hidden="false" customHeight="true" outlineLevel="0" collapsed="false">
      <c r="B46" s="182" t="s">
        <v>58</v>
      </c>
      <c r="C46" s="17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 customFormat="false" ht="18.75" hidden="false" customHeight="true" outlineLevel="0" collapsed="false">
      <c r="B47" s="182" t="s">
        <v>59</v>
      </c>
      <c r="C47" s="174" t="s">
        <v>3</v>
      </c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 customFormat="false" ht="18.75" hidden="false" customHeight="true" outlineLevel="0" collapsed="false">
      <c r="B48" s="182" t="s">
        <v>60</v>
      </c>
      <c r="C48" s="174" t="s">
        <v>3</v>
      </c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</row>
    <row r="49" customFormat="false" ht="18.75" hidden="false" customHeight="true" outlineLevel="0" collapsed="false">
      <c r="B49" s="182" t="s">
        <v>61</v>
      </c>
      <c r="C49" s="174" t="s">
        <v>3</v>
      </c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</row>
    <row r="50" customFormat="false" ht="18.75" hidden="false" customHeight="true" outlineLevel="0" collapsed="false">
      <c r="B50" s="182" t="s">
        <v>62</v>
      </c>
      <c r="C50" s="17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</row>
    <row r="51" customFormat="false" ht="18.75" hidden="false" customHeight="true" outlineLevel="0" collapsed="false">
      <c r="B51" s="182" t="s">
        <v>63</v>
      </c>
      <c r="C51" s="185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 customFormat="false" ht="18.75" hidden="false" customHeight="true" outlineLevel="0" collapsed="false">
      <c r="B52" s="182" t="s">
        <v>64</v>
      </c>
      <c r="C52" s="185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 customFormat="false" ht="18.75" hidden="false" customHeight="true" outlineLevel="0" collapsed="false">
      <c r="B53" s="186" t="s">
        <v>65</v>
      </c>
      <c r="C53" s="185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 customFormat="false" ht="18.75" hidden="false" customHeight="true" outlineLevel="0" collapsed="false">
      <c r="B54" s="186" t="s">
        <v>66</v>
      </c>
      <c r="C54" s="185"/>
      <c r="D54" s="184" t="n">
        <f aca="false">-(D64+D67+D68+D71+D72+D73+D74)*0.2</f>
        <v>-171246.9224192</v>
      </c>
      <c r="E54" s="184" t="n">
        <f aca="false">-(E64+E67+E68+E71+E72+E73+E74)*0.2</f>
        <v>-169621.14495488</v>
      </c>
      <c r="F54" s="184" t="n">
        <f aca="false">-(F64+F67+F68+F71+F72+F73+F74)*0.2</f>
        <v>-167995.36749056</v>
      </c>
      <c r="G54" s="184" t="n">
        <f aca="false">-(G64+G67+G68+G71+G72+G73+G74)*0.2</f>
        <v>-166369.59002624</v>
      </c>
      <c r="H54" s="184" t="n">
        <f aca="false">-(H64+H67+H68+H71+H72+H73+H74)*0.2</f>
        <v>-164743.81256192</v>
      </c>
      <c r="I54" s="184" t="n">
        <f aca="false">-(I64+I67+I68+I71+I72+I73+I74)*0.2</f>
        <v>-163118.0350976</v>
      </c>
      <c r="J54" s="184" t="n">
        <f aca="false">-(J64+J67+J68+J71+J72+J73+J74)*0.2</f>
        <v>-161492.25763328</v>
      </c>
      <c r="K54" s="184" t="n">
        <f aca="false">-(K64+K67+K68+K71+K72+K73+K74)*0.2</f>
        <v>-159866.48016896</v>
      </c>
      <c r="L54" s="184" t="n">
        <f aca="false">-(L64+L67+L68+L71+L72+L73+L74)*0.2</f>
        <v>-158240.70270464</v>
      </c>
      <c r="M54" s="184" t="n">
        <f aca="false">-(M64+M67+M68+M71+M72+M73+M74)*0.2</f>
        <v>-156614.92524032</v>
      </c>
      <c r="N54" s="184" t="n">
        <f aca="false">-(N64+N67+N68+N71+N72+N73+N74)*0.2</f>
        <v>-154989.147776</v>
      </c>
      <c r="O54" s="184" t="n">
        <f aca="false">-(O64+O67+O68+O71+O72+O73+O74)*0.2</f>
        <v>-153363.37031168</v>
      </c>
      <c r="P54" s="184" t="n">
        <f aca="false">-(P64+P67+P68+P71+P72+P73+P74)*0.2</f>
        <v>-151737.59284736</v>
      </c>
      <c r="Q54" s="184" t="n">
        <f aca="false">-(Q64+Q67+Q68+Q71+Q72+Q73+Q74)*0.2</f>
        <v>-150111.81538304</v>
      </c>
      <c r="R54" s="184" t="n">
        <f aca="false">-(R64+R67+R68+R71+R72+R73+R74)*0.2</f>
        <v>-148486.03791872</v>
      </c>
      <c r="S54" s="184" t="n">
        <f aca="false">-(S64+S67+S68+S71+S72+S73+S74)*0.2</f>
        <v>-146860.2604544</v>
      </c>
      <c r="T54" s="184" t="n">
        <f aca="false">-(T64+T67+T68+T71+T72+T73+T74)*0.2</f>
        <v>-145234.48299008</v>
      </c>
      <c r="U54" s="184" t="n">
        <f aca="false">-(U64+U67+U68+U71+U72+U73+U74)*0.2</f>
        <v>-143608.70552576</v>
      </c>
      <c r="V54" s="184" t="n">
        <f aca="false">-(V64+V67+V68+V71+V72+V73+V74)*0.2</f>
        <v>-141982.92806144</v>
      </c>
      <c r="W54" s="184" t="n">
        <f aca="false">-(W64+W67+W68+W71+W72+W73+W74)*0.2</f>
        <v>-140357.15059712</v>
      </c>
      <c r="X54" s="175"/>
    </row>
    <row r="55" customFormat="false" ht="18.75" hidden="false" customHeight="true" outlineLevel="0" collapsed="false">
      <c r="B55" s="187" t="s">
        <v>67</v>
      </c>
      <c r="C55" s="188" t="n">
        <f aca="false">C44</f>
        <v>-23113300</v>
      </c>
      <c r="D55" s="189" t="n">
        <f aca="false">SUM(D41:D54)</f>
        <v>1840652.6896768</v>
      </c>
      <c r="E55" s="189" t="n">
        <f aca="false">SUM(E41:E54)</f>
        <v>1834149.57981952</v>
      </c>
      <c r="F55" s="189" t="n">
        <f aca="false">SUM(F41:F54)</f>
        <v>1827646.46996224</v>
      </c>
      <c r="G55" s="189" t="n">
        <f aca="false">SUM(G41:G54)</f>
        <v>1821143.36010496</v>
      </c>
      <c r="H55" s="189" t="n">
        <f aca="false">SUM(H41:H54)</f>
        <v>1814640.25024768</v>
      </c>
      <c r="I55" s="189" t="n">
        <f aca="false">SUM(I41:I54)</f>
        <v>1808137.1403904</v>
      </c>
      <c r="J55" s="189" t="n">
        <f aca="false">SUM(J41:J54)</f>
        <v>1801634.03053312</v>
      </c>
      <c r="K55" s="189" t="n">
        <f aca="false">SUM(K41:K54)</f>
        <v>1795130.92067584</v>
      </c>
      <c r="L55" s="189" t="n">
        <f aca="false">SUM(L41:L54)</f>
        <v>1788627.81081856</v>
      </c>
      <c r="M55" s="189" t="n">
        <f aca="false">SUM(M41:M54)</f>
        <v>1782124.70096128</v>
      </c>
      <c r="N55" s="189" t="n">
        <f aca="false">SUM(N41:N54)</f>
        <v>1775621.591104</v>
      </c>
      <c r="O55" s="189" t="n">
        <f aca="false">SUM(O41:O54)</f>
        <v>1769118.48124672</v>
      </c>
      <c r="P55" s="189" t="n">
        <f aca="false">SUM(P41:P54)</f>
        <v>1762615.37138944</v>
      </c>
      <c r="Q55" s="189" t="n">
        <f aca="false">SUM(Q41:Q54)</f>
        <v>1756112.26153216</v>
      </c>
      <c r="R55" s="189" t="n">
        <f aca="false">SUM(R41:R54)</f>
        <v>1749609.15167488</v>
      </c>
      <c r="S55" s="189" t="n">
        <f aca="false">SUM(S41:S54)</f>
        <v>1743106.0418176</v>
      </c>
      <c r="T55" s="189" t="n">
        <f aca="false">SUM(T41:T54)</f>
        <v>1736602.93196032</v>
      </c>
      <c r="U55" s="189" t="n">
        <f aca="false">SUM(U41:U54)</f>
        <v>1730099.82210304</v>
      </c>
      <c r="V55" s="189" t="n">
        <f aca="false">SUM(V41:V54)</f>
        <v>1723596.71224576</v>
      </c>
      <c r="W55" s="189" t="n">
        <f aca="false">SUM(W41:W54)</f>
        <v>1717093.60238848</v>
      </c>
      <c r="X55" s="190"/>
      <c r="Y55" s="191"/>
      <c r="Z55" s="192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</row>
    <row r="56" customFormat="false" ht="18.75" hidden="false" customHeight="true" outlineLevel="0" collapsed="false">
      <c r="B56" s="193" t="s">
        <v>68</v>
      </c>
      <c r="D56" s="194" t="n">
        <f aca="false">C55+D55</f>
        <v>-21272647.3103232</v>
      </c>
      <c r="E56" s="194" t="n">
        <f aca="false">D56+E55</f>
        <v>-19438497.7305037</v>
      </c>
      <c r="F56" s="194" t="n">
        <f aca="false">E56+F55</f>
        <v>-17610851.2605414</v>
      </c>
      <c r="G56" s="194" t="n">
        <f aca="false">F56+G55</f>
        <v>-15789707.9004365</v>
      </c>
      <c r="H56" s="194" t="n">
        <f aca="false">G56+H55</f>
        <v>-13975067.6501888</v>
      </c>
      <c r="I56" s="194" t="n">
        <f aca="false">H56+I55</f>
        <v>-12166930.5097984</v>
      </c>
      <c r="J56" s="194" t="n">
        <f aca="false">I56+J55</f>
        <v>-10365296.4792653</v>
      </c>
      <c r="K56" s="194" t="n">
        <f aca="false">J56+K55</f>
        <v>-8570165.55858944</v>
      </c>
      <c r="L56" s="194" t="n">
        <f aca="false">K56+L55</f>
        <v>-6781537.74777088</v>
      </c>
      <c r="M56" s="194" t="n">
        <f aca="false">L56+M55</f>
        <v>-4999413.0468096</v>
      </c>
      <c r="N56" s="194" t="n">
        <f aca="false">M56+N55</f>
        <v>-3223791.4557056</v>
      </c>
      <c r="O56" s="194" t="n">
        <f aca="false">N56+O55</f>
        <v>-1454672.97445888</v>
      </c>
      <c r="P56" s="194" t="n">
        <f aca="false">O56+P55</f>
        <v>307942.396930556</v>
      </c>
      <c r="Q56" s="194" t="n">
        <f aca="false">P56+Q55</f>
        <v>2064054.65846272</v>
      </c>
      <c r="R56" s="194" t="n">
        <f aca="false">Q56+R55</f>
        <v>3813663.8101376</v>
      </c>
      <c r="S56" s="194" t="n">
        <f aca="false">R56+S55</f>
        <v>5556769.8519552</v>
      </c>
      <c r="T56" s="194" t="n">
        <f aca="false">S56+T55</f>
        <v>7293372.78391552</v>
      </c>
      <c r="U56" s="194" t="n">
        <f aca="false">T56+U55</f>
        <v>9023472.60601856</v>
      </c>
      <c r="V56" s="194" t="n">
        <f aca="false">U56+V55</f>
        <v>10747069.3182643</v>
      </c>
      <c r="W56" s="194" t="n">
        <f aca="false">V56+W55</f>
        <v>12464162.9206528</v>
      </c>
      <c r="X56" s="194" t="n">
        <f aca="false">W56+X55</f>
        <v>12464162.9206528</v>
      </c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</row>
    <row r="57" customFormat="false" ht="18.75" hidden="false" customHeight="true" outlineLevel="0" collapsed="false">
      <c r="B57" s="195" t="s">
        <v>74</v>
      </c>
      <c r="C57" s="196"/>
      <c r="D57" s="197" t="str">
        <f aca="false">IF((D56)&gt;0,"回收","未回收")</f>
        <v>未回收</v>
      </c>
      <c r="E57" s="198" t="str">
        <f aca="false">IF((E56)&gt;0,"回收","未回收")</f>
        <v>未回收</v>
      </c>
      <c r="F57" s="198" t="str">
        <f aca="false">IF((F56)&gt;0,"回收","未回收")</f>
        <v>未回收</v>
      </c>
      <c r="G57" s="198" t="str">
        <f aca="false">IF((G56)&gt;0,"回收","未回收")</f>
        <v>未回收</v>
      </c>
      <c r="H57" s="198" t="str">
        <f aca="false">IF((H56)&gt;0,"回收","未回收")</f>
        <v>未回收</v>
      </c>
      <c r="I57" s="198" t="str">
        <f aca="false">IF((I56)&gt;0,"回收","未回收")</f>
        <v>未回收</v>
      </c>
      <c r="J57" s="198" t="str">
        <f aca="false">IF((J56)&gt;0,"回收","未回收")</f>
        <v>未回收</v>
      </c>
      <c r="K57" s="198" t="str">
        <f aca="false">IF((K56)&gt;0,"回收","未回收")</f>
        <v>未回收</v>
      </c>
      <c r="L57" s="198" t="str">
        <f aca="false">IF((L56)&gt;0,"回收","未回收")</f>
        <v>未回收</v>
      </c>
      <c r="M57" s="198" t="str">
        <f aca="false">IF((M56)&gt;0,"回收","未回收")</f>
        <v>未回收</v>
      </c>
      <c r="N57" s="198" t="str">
        <f aca="false">IF((N56)&gt;0,"回收","未回收")</f>
        <v>未回收</v>
      </c>
      <c r="O57" s="198" t="str">
        <f aca="false">IF((O56)&gt;0,"回收","未回收")</f>
        <v>未回收</v>
      </c>
      <c r="P57" s="198" t="str">
        <f aca="false">IF((P56)&gt;0,"回收","未回收")</f>
        <v>回收</v>
      </c>
      <c r="Q57" s="198" t="str">
        <f aca="false">IF((Q56)&gt;0,"回收","未回收")</f>
        <v>回收</v>
      </c>
      <c r="R57" s="198" t="str">
        <f aca="false">IF((R56)&gt;0,"回收","未回收")</f>
        <v>回收</v>
      </c>
      <c r="S57" s="198" t="str">
        <f aca="false">IF((S56)&gt;0,"回收","未回收")</f>
        <v>回收</v>
      </c>
      <c r="T57" s="198" t="str">
        <f aca="false">IF((T56)&gt;0,"回收","未回收")</f>
        <v>回收</v>
      </c>
      <c r="U57" s="198" t="str">
        <f aca="false">IF((U56)&gt;0,"回收","未回收")</f>
        <v>回收</v>
      </c>
      <c r="V57" s="198" t="str">
        <f aca="false">IF((V56)&gt;0,"回收","未回收")</f>
        <v>回收</v>
      </c>
      <c r="W57" s="198" t="str">
        <f aca="false">IF((W56)&gt;0,"回收","未回收")</f>
        <v>回收</v>
      </c>
      <c r="X57" s="198" t="str">
        <f aca="false">IF((X56)&gt;0,"回收","未回收")</f>
        <v>回收</v>
      </c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</row>
    <row r="58" customFormat="false" ht="18.75" hidden="false" customHeight="true" outlineLevel="0" collapsed="false">
      <c r="B58" s="199" t="s">
        <v>93</v>
      </c>
      <c r="C58" s="200" t="n">
        <f aca="false">IRR(C55:W55)</f>
        <v>0.0457494355796396</v>
      </c>
      <c r="D58" s="201"/>
      <c r="E58" s="201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</row>
    <row r="59" customFormat="false" ht="18.75" hidden="false" customHeight="true" outlineLevel="0" collapsed="false">
      <c r="B59" s="202"/>
      <c r="C59" s="201"/>
      <c r="D59" s="201"/>
      <c r="E59" s="201"/>
      <c r="F59" s="202"/>
      <c r="G59" s="202"/>
      <c r="H59" s="202"/>
      <c r="I59" s="202"/>
      <c r="J59" s="202"/>
      <c r="K59" s="202"/>
      <c r="L59" s="202"/>
      <c r="M59" s="201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customFormat="false" ht="18.75" hidden="false" customHeight="true" outlineLevel="0" collapsed="false">
      <c r="B60" s="97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54" t="n">
        <v>0</v>
      </c>
      <c r="C61" s="155"/>
      <c r="D61" s="156"/>
      <c r="E61" s="156"/>
      <c r="F61" s="157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203" t="s">
        <v>50</v>
      </c>
      <c r="U61" s="158"/>
      <c r="V61" s="158"/>
      <c r="W61" s="158"/>
      <c r="X61" s="160"/>
    </row>
    <row r="62" customFormat="false" ht="18.75" hidden="false" customHeight="true" outlineLevel="0" collapsed="false">
      <c r="B62" s="161" t="s">
        <v>51</v>
      </c>
      <c r="C62" s="162" t="n">
        <v>0</v>
      </c>
      <c r="D62" s="163" t="n">
        <v>1</v>
      </c>
      <c r="E62" s="163" t="n">
        <v>2</v>
      </c>
      <c r="F62" s="163" t="n">
        <v>3</v>
      </c>
      <c r="G62" s="163" t="n">
        <v>4</v>
      </c>
      <c r="H62" s="163" t="n">
        <v>5</v>
      </c>
      <c r="I62" s="163" t="n">
        <v>6</v>
      </c>
      <c r="J62" s="163" t="n">
        <v>7</v>
      </c>
      <c r="K62" s="163" t="n">
        <v>8</v>
      </c>
      <c r="L62" s="163" t="n">
        <v>9</v>
      </c>
      <c r="M62" s="163" t="n">
        <v>10</v>
      </c>
      <c r="N62" s="163" t="n">
        <v>11</v>
      </c>
      <c r="O62" s="163" t="n">
        <v>12</v>
      </c>
      <c r="P62" s="163" t="n">
        <v>13</v>
      </c>
      <c r="Q62" s="163" t="n">
        <v>14</v>
      </c>
      <c r="R62" s="163" t="n">
        <v>15</v>
      </c>
      <c r="S62" s="163" t="n">
        <v>16</v>
      </c>
      <c r="T62" s="204" t="n">
        <v>17</v>
      </c>
      <c r="U62" s="163" t="n">
        <v>18</v>
      </c>
      <c r="V62" s="163" t="n">
        <v>19</v>
      </c>
      <c r="W62" s="163" t="n">
        <v>20</v>
      </c>
      <c r="X62" s="47"/>
    </row>
    <row r="63" customFormat="false" ht="18.75" hidden="false" customHeight="true" outlineLevel="0" collapsed="false">
      <c r="B63" s="165" t="s">
        <v>52</v>
      </c>
      <c r="C63" s="166" t="n">
        <v>0</v>
      </c>
      <c r="D63" s="167" t="n">
        <f aca="false">D40</f>
        <v>541531.98</v>
      </c>
      <c r="E63" s="167" t="n">
        <f aca="false">E40</f>
        <v>539343.972</v>
      </c>
      <c r="F63" s="167" t="n">
        <f aca="false">F40</f>
        <v>537155.964</v>
      </c>
      <c r="G63" s="167" t="n">
        <f aca="false">G40</f>
        <v>534967.956</v>
      </c>
      <c r="H63" s="167" t="n">
        <f aca="false">H40</f>
        <v>532779.948</v>
      </c>
      <c r="I63" s="167" t="n">
        <f aca="false">I40</f>
        <v>530591.94</v>
      </c>
      <c r="J63" s="167" t="n">
        <f aca="false">J40</f>
        <v>528403.932</v>
      </c>
      <c r="K63" s="167" t="n">
        <f aca="false">K40</f>
        <v>526215.924</v>
      </c>
      <c r="L63" s="167" t="n">
        <f aca="false">L40</f>
        <v>524027.916</v>
      </c>
      <c r="M63" s="167" t="n">
        <f aca="false">M40</f>
        <v>521839.908</v>
      </c>
      <c r="N63" s="167" t="n">
        <f aca="false">N40</f>
        <v>519651.9</v>
      </c>
      <c r="O63" s="167" t="n">
        <f aca="false">O40</f>
        <v>517463.892</v>
      </c>
      <c r="P63" s="167" t="n">
        <f aca="false">P40</f>
        <v>515275.884</v>
      </c>
      <c r="Q63" s="167" t="n">
        <f aca="false">Q40</f>
        <v>513087.876</v>
      </c>
      <c r="R63" s="167" t="n">
        <f aca="false">R40</f>
        <v>510899.868</v>
      </c>
      <c r="S63" s="167" t="n">
        <f aca="false">S40</f>
        <v>508711.86</v>
      </c>
      <c r="T63" s="167" t="n">
        <f aca="false">T40</f>
        <v>506523.852</v>
      </c>
      <c r="U63" s="167" t="n">
        <f aca="false">U40</f>
        <v>504335.844</v>
      </c>
      <c r="V63" s="167" t="n">
        <f aca="false">V40</f>
        <v>502147.836</v>
      </c>
      <c r="W63" s="167" t="n">
        <f aca="false">W40</f>
        <v>499959.828</v>
      </c>
      <c r="X63" s="168"/>
    </row>
    <row r="64" customFormat="false" ht="18.75" hidden="false" customHeight="true" outlineLevel="0" collapsed="false">
      <c r="B64" s="169" t="s">
        <v>53</v>
      </c>
      <c r="C64" s="170" t="s">
        <v>3</v>
      </c>
      <c r="D64" s="171" t="n">
        <f aca="false">D41</f>
        <v>2011899.612096</v>
      </c>
      <c r="E64" s="171" t="n">
        <f aca="false">E41</f>
        <v>2003770.7247744</v>
      </c>
      <c r="F64" s="171" t="n">
        <f aca="false">F41</f>
        <v>1995641.8374528</v>
      </c>
      <c r="G64" s="171" t="n">
        <f aca="false">G41</f>
        <v>1987512.9501312</v>
      </c>
      <c r="H64" s="171" t="n">
        <f aca="false">H41</f>
        <v>1979384.0628096</v>
      </c>
      <c r="I64" s="171" t="n">
        <f aca="false">I41</f>
        <v>1971255.175488</v>
      </c>
      <c r="J64" s="171" t="n">
        <f aca="false">J41</f>
        <v>1963126.2881664</v>
      </c>
      <c r="K64" s="171" t="n">
        <f aca="false">K41</f>
        <v>1954997.4008448</v>
      </c>
      <c r="L64" s="171" t="n">
        <f aca="false">L41</f>
        <v>1946868.5135232</v>
      </c>
      <c r="M64" s="171" t="n">
        <f aca="false">M41</f>
        <v>1938739.6262016</v>
      </c>
      <c r="N64" s="171" t="n">
        <f aca="false">N41</f>
        <v>1930610.73888</v>
      </c>
      <c r="O64" s="171" t="n">
        <f aca="false">O41</f>
        <v>1922481.8515584</v>
      </c>
      <c r="P64" s="171" t="n">
        <f aca="false">P41</f>
        <v>1914352.9642368</v>
      </c>
      <c r="Q64" s="171" t="n">
        <f aca="false">Q41</f>
        <v>1906224.0769152</v>
      </c>
      <c r="R64" s="171" t="n">
        <f aca="false">R41</f>
        <v>1898095.1895936</v>
      </c>
      <c r="S64" s="171" t="n">
        <f aca="false">S41</f>
        <v>1889966.302272</v>
      </c>
      <c r="T64" s="171" t="n">
        <f aca="false">T41</f>
        <v>1881837.4149504</v>
      </c>
      <c r="U64" s="171" t="n">
        <f aca="false">U41</f>
        <v>1873708.5276288</v>
      </c>
      <c r="V64" s="171" t="n">
        <f aca="false">V41</f>
        <v>1865579.6403072</v>
      </c>
      <c r="W64" s="171" t="n">
        <f aca="false">W41</f>
        <v>1857450.7529856</v>
      </c>
      <c r="X64" s="172"/>
    </row>
    <row r="65" customFormat="false" ht="18.75" hidden="false" customHeight="true" outlineLevel="0" collapsed="false">
      <c r="B65" s="173" t="s">
        <v>54</v>
      </c>
      <c r="C65" s="174" t="s">
        <v>3</v>
      </c>
      <c r="D65" s="175"/>
      <c r="E65" s="175"/>
      <c r="F65" s="175"/>
      <c r="G65" s="176" t="s">
        <v>3</v>
      </c>
      <c r="H65" s="176" t="s">
        <v>3</v>
      </c>
      <c r="I65" s="176" t="s">
        <v>3</v>
      </c>
      <c r="J65" s="176" t="s">
        <v>3</v>
      </c>
      <c r="K65" s="176" t="s">
        <v>3</v>
      </c>
      <c r="L65" s="176" t="s">
        <v>3</v>
      </c>
      <c r="M65" s="176" t="s">
        <v>3</v>
      </c>
      <c r="N65" s="176" t="s">
        <v>3</v>
      </c>
      <c r="O65" s="176" t="s">
        <v>3</v>
      </c>
      <c r="P65" s="176" t="s">
        <v>3</v>
      </c>
      <c r="Q65" s="176" t="s">
        <v>3</v>
      </c>
      <c r="R65" s="176" t="s">
        <v>3</v>
      </c>
      <c r="S65" s="176" t="s">
        <v>3</v>
      </c>
      <c r="T65" s="176" t="s">
        <v>3</v>
      </c>
      <c r="U65" s="176" t="s">
        <v>3</v>
      </c>
      <c r="V65" s="176" t="s">
        <v>3</v>
      </c>
      <c r="W65" s="176" t="s">
        <v>3</v>
      </c>
      <c r="X65" s="177"/>
    </row>
    <row r="66" customFormat="false" ht="18.75" hidden="false" customHeight="true" outlineLevel="0" collapsed="false">
      <c r="B66" s="178" t="s">
        <v>55</v>
      </c>
      <c r="C66" s="179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1"/>
    </row>
    <row r="67" customFormat="false" ht="18.75" hidden="false" customHeight="true" outlineLevel="0" collapsed="false">
      <c r="B67" s="182" t="s">
        <v>120</v>
      </c>
      <c r="C67" s="174"/>
      <c r="D67" s="205" t="n">
        <f aca="false">$C$44/$E$16</f>
        <v>-1155665</v>
      </c>
      <c r="E67" s="205" t="n">
        <f aca="false">$C$44/$E$16</f>
        <v>-1155665</v>
      </c>
      <c r="F67" s="205" t="n">
        <f aca="false">$C$44/$E$16</f>
        <v>-1155665</v>
      </c>
      <c r="G67" s="205" t="n">
        <f aca="false">$C$44/$E$16</f>
        <v>-1155665</v>
      </c>
      <c r="H67" s="205" t="n">
        <f aca="false">$C$44/$E$16</f>
        <v>-1155665</v>
      </c>
      <c r="I67" s="205" t="n">
        <f aca="false">$C$44/$E$16</f>
        <v>-1155665</v>
      </c>
      <c r="J67" s="205" t="n">
        <f aca="false">$C$44/$E$16</f>
        <v>-1155665</v>
      </c>
      <c r="K67" s="205" t="n">
        <f aca="false">$C$44/$E$16</f>
        <v>-1155665</v>
      </c>
      <c r="L67" s="205" t="n">
        <f aca="false">$C$44/$E$16</f>
        <v>-1155665</v>
      </c>
      <c r="M67" s="205" t="n">
        <f aca="false">$C$44/$E$16</f>
        <v>-1155665</v>
      </c>
      <c r="N67" s="205" t="n">
        <f aca="false">$C$44/$E$16</f>
        <v>-1155665</v>
      </c>
      <c r="O67" s="205" t="n">
        <f aca="false">$C$44/$E$16</f>
        <v>-1155665</v>
      </c>
      <c r="P67" s="205" t="n">
        <f aca="false">$C$44/$E$16</f>
        <v>-1155665</v>
      </c>
      <c r="Q67" s="205" t="n">
        <f aca="false">$C$44/$E$16</f>
        <v>-1155665</v>
      </c>
      <c r="R67" s="205" t="n">
        <f aca="false">$C$44/$E$16</f>
        <v>-1155665</v>
      </c>
      <c r="S67" s="205" t="n">
        <f aca="false">$C$44/$E$16</f>
        <v>-1155665</v>
      </c>
      <c r="T67" s="205" t="n">
        <f aca="false">$C$44/$E$16</f>
        <v>-1155665</v>
      </c>
      <c r="U67" s="205" t="n">
        <f aca="false">$C$44/$E$16</f>
        <v>-1155665</v>
      </c>
      <c r="V67" s="205" t="n">
        <f aca="false">$C$44/$E$16</f>
        <v>-1155665</v>
      </c>
      <c r="W67" s="205" t="n">
        <f aca="false">$C$44/$E$16</f>
        <v>-1155665</v>
      </c>
      <c r="X67" s="177"/>
    </row>
    <row r="68" customFormat="false" ht="18.75" hidden="false" customHeight="true" outlineLevel="0" collapsed="false">
      <c r="B68" s="182" t="s">
        <v>57</v>
      </c>
      <c r="C68" s="174" t="s">
        <v>3</v>
      </c>
      <c r="D68" s="184" t="n">
        <f aca="false">D45</f>
        <v>0</v>
      </c>
      <c r="E68" s="184" t="n">
        <f aca="false">E45</f>
        <v>0</v>
      </c>
      <c r="F68" s="184" t="n">
        <f aca="false">F45</f>
        <v>0</v>
      </c>
      <c r="G68" s="184" t="n">
        <f aca="false">G45</f>
        <v>0</v>
      </c>
      <c r="H68" s="184" t="n">
        <f aca="false">H45</f>
        <v>0</v>
      </c>
      <c r="I68" s="184" t="n">
        <f aca="false">I45</f>
        <v>0</v>
      </c>
      <c r="J68" s="184" t="n">
        <f aca="false">J45</f>
        <v>0</v>
      </c>
      <c r="K68" s="184" t="n">
        <f aca="false">K45</f>
        <v>0</v>
      </c>
      <c r="L68" s="184" t="n">
        <f aca="false">L45</f>
        <v>0</v>
      </c>
      <c r="M68" s="184" t="n">
        <f aca="false">M45</f>
        <v>0</v>
      </c>
      <c r="N68" s="184" t="n">
        <f aca="false">N45</f>
        <v>0</v>
      </c>
      <c r="O68" s="184" t="n">
        <f aca="false">O45</f>
        <v>0</v>
      </c>
      <c r="P68" s="184" t="n">
        <f aca="false">P45</f>
        <v>0</v>
      </c>
      <c r="Q68" s="184" t="n">
        <f aca="false">Q45</f>
        <v>0</v>
      </c>
      <c r="R68" s="184" t="n">
        <f aca="false">R45</f>
        <v>0</v>
      </c>
      <c r="S68" s="184" t="n">
        <f aca="false">S45</f>
        <v>0</v>
      </c>
      <c r="T68" s="184" t="n">
        <f aca="false">T45</f>
        <v>0</v>
      </c>
      <c r="U68" s="184" t="n">
        <f aca="false">U45</f>
        <v>0</v>
      </c>
      <c r="V68" s="184" t="n">
        <f aca="false">V45</f>
        <v>0</v>
      </c>
      <c r="W68" s="184" t="n">
        <f aca="false">W45</f>
        <v>0</v>
      </c>
      <c r="X68" s="177"/>
    </row>
    <row r="69" customFormat="false" ht="18.75" hidden="false" customHeight="true" outlineLevel="0" collapsed="false">
      <c r="B69" s="182" t="s">
        <v>58</v>
      </c>
      <c r="C69" s="174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7"/>
    </row>
    <row r="70" customFormat="false" ht="18.75" hidden="false" customHeight="true" outlineLevel="0" collapsed="false">
      <c r="B70" s="182" t="s">
        <v>59</v>
      </c>
      <c r="C70" s="174" t="s">
        <v>3</v>
      </c>
      <c r="D70" s="184" t="n">
        <f aca="false">-D109*$D25</f>
        <v>-473267.9308</v>
      </c>
      <c r="E70" s="184" t="n">
        <f aca="false">-E109*$D25</f>
        <v>-473267.9308</v>
      </c>
      <c r="F70" s="184" t="n">
        <f aca="false">-F109*$D25</f>
        <v>-473267.9308</v>
      </c>
      <c r="G70" s="184" t="n">
        <f aca="false">-G109*$D25</f>
        <v>-473267.9308</v>
      </c>
      <c r="H70" s="184" t="n">
        <f aca="false">-H109*$D25</f>
        <v>-473267.9308</v>
      </c>
      <c r="I70" s="184" t="n">
        <f aca="false">-I109*$D25</f>
        <v>-473267.9308</v>
      </c>
      <c r="J70" s="184" t="n">
        <f aca="false">-J109*$D25</f>
        <v>-473267.9308</v>
      </c>
      <c r="K70" s="184" t="n">
        <f aca="false">-K109*$D25</f>
        <v>-473267.9308</v>
      </c>
      <c r="L70" s="184" t="n">
        <f aca="false">-L109*$D25</f>
        <v>-473267.9308</v>
      </c>
      <c r="M70" s="184" t="n">
        <f aca="false">-M109*$D25</f>
        <v>-473267.9308</v>
      </c>
      <c r="N70" s="184" t="n">
        <f aca="false">-N109*$D25</f>
        <v>-473267.9308</v>
      </c>
      <c r="O70" s="184" t="n">
        <f aca="false">-O109*$D25</f>
        <v>-473267.9308</v>
      </c>
      <c r="P70" s="184" t="n">
        <f aca="false">-P109*$D25</f>
        <v>-473267.9308</v>
      </c>
      <c r="Q70" s="184" t="n">
        <f aca="false">-Q109*$D25</f>
        <v>-473267.9308</v>
      </c>
      <c r="R70" s="184" t="n">
        <f aca="false">-R109*$D25</f>
        <v>-473267.9308</v>
      </c>
      <c r="S70" s="184" t="n">
        <f aca="false">-S109*$D25</f>
        <v>-473267.9308</v>
      </c>
      <c r="T70" s="184" t="n">
        <f aca="false">-T109*$D25</f>
        <v>-473267.9308</v>
      </c>
      <c r="U70" s="184" t="n">
        <f aca="false">-U109*$D25</f>
        <v>-473267.9308</v>
      </c>
      <c r="V70" s="184" t="n">
        <f aca="false">-V109*$D25</f>
        <v>-473267.9308</v>
      </c>
      <c r="W70" s="184" t="n">
        <f aca="false">-W109*$D25</f>
        <v>-473267.9308</v>
      </c>
      <c r="X70" s="177"/>
    </row>
    <row r="71" customFormat="false" ht="18.75" hidden="false" customHeight="true" outlineLevel="0" collapsed="false">
      <c r="B71" s="182" t="s">
        <v>60</v>
      </c>
      <c r="C71" s="174" t="s">
        <v>3</v>
      </c>
      <c r="D71" s="184" t="n">
        <f aca="false">D48</f>
        <v>0</v>
      </c>
      <c r="E71" s="184" t="n">
        <f aca="false">E48</f>
        <v>0</v>
      </c>
      <c r="F71" s="184" t="n">
        <f aca="false">F48</f>
        <v>0</v>
      </c>
      <c r="G71" s="184" t="n">
        <f aca="false">G48</f>
        <v>0</v>
      </c>
      <c r="H71" s="184" t="n">
        <f aca="false">H48</f>
        <v>0</v>
      </c>
      <c r="I71" s="184" t="n">
        <f aca="false">I48</f>
        <v>0</v>
      </c>
      <c r="J71" s="184" t="n">
        <f aca="false">J48</f>
        <v>0</v>
      </c>
      <c r="K71" s="184" t="n">
        <f aca="false">K48</f>
        <v>0</v>
      </c>
      <c r="L71" s="184" t="n">
        <f aca="false">L48</f>
        <v>0</v>
      </c>
      <c r="M71" s="184" t="n">
        <f aca="false">M48</f>
        <v>0</v>
      </c>
      <c r="N71" s="184" t="n">
        <f aca="false">N48</f>
        <v>0</v>
      </c>
      <c r="O71" s="184" t="n">
        <f aca="false">O48</f>
        <v>0</v>
      </c>
      <c r="P71" s="184" t="n">
        <f aca="false">P48</f>
        <v>0</v>
      </c>
      <c r="Q71" s="184" t="n">
        <f aca="false">Q48</f>
        <v>0</v>
      </c>
      <c r="R71" s="184" t="n">
        <f aca="false">R48</f>
        <v>0</v>
      </c>
      <c r="S71" s="184" t="n">
        <f aca="false">S48</f>
        <v>0</v>
      </c>
      <c r="T71" s="184" t="n">
        <f aca="false">T48</f>
        <v>0</v>
      </c>
      <c r="U71" s="184" t="n">
        <f aca="false">U48</f>
        <v>0</v>
      </c>
      <c r="V71" s="184" t="n">
        <f aca="false">V48</f>
        <v>0</v>
      </c>
      <c r="W71" s="184" t="n">
        <f aca="false">W48</f>
        <v>0</v>
      </c>
      <c r="X71" s="177"/>
    </row>
    <row r="72" customFormat="false" ht="18.75" hidden="false" customHeight="true" outlineLevel="0" collapsed="false">
      <c r="B72" s="182" t="s">
        <v>61</v>
      </c>
      <c r="C72" s="174" t="s">
        <v>3</v>
      </c>
      <c r="D72" s="184" t="n">
        <f aca="false">D49</f>
        <v>0</v>
      </c>
      <c r="E72" s="184" t="n">
        <f aca="false">E49</f>
        <v>0</v>
      </c>
      <c r="F72" s="184" t="n">
        <f aca="false">F49</f>
        <v>0</v>
      </c>
      <c r="G72" s="184" t="n">
        <f aca="false">G49</f>
        <v>0</v>
      </c>
      <c r="H72" s="184" t="n">
        <f aca="false">H49</f>
        <v>0</v>
      </c>
      <c r="I72" s="184" t="n">
        <f aca="false">I49</f>
        <v>0</v>
      </c>
      <c r="J72" s="184" t="n">
        <f aca="false">J49</f>
        <v>0</v>
      </c>
      <c r="K72" s="184" t="n">
        <f aca="false">K49</f>
        <v>0</v>
      </c>
      <c r="L72" s="184" t="n">
        <f aca="false">L49</f>
        <v>0</v>
      </c>
      <c r="M72" s="184" t="n">
        <f aca="false">M49</f>
        <v>0</v>
      </c>
      <c r="N72" s="184" t="n">
        <f aca="false">N49</f>
        <v>0</v>
      </c>
      <c r="O72" s="184" t="n">
        <f aca="false">O49</f>
        <v>0</v>
      </c>
      <c r="P72" s="184" t="n">
        <f aca="false">P49</f>
        <v>0</v>
      </c>
      <c r="Q72" s="184" t="n">
        <f aca="false">Q49</f>
        <v>0</v>
      </c>
      <c r="R72" s="184" t="n">
        <f aca="false">R49</f>
        <v>0</v>
      </c>
      <c r="S72" s="184" t="n">
        <f aca="false">S49</f>
        <v>0</v>
      </c>
      <c r="T72" s="184" t="n">
        <f aca="false">T49</f>
        <v>0</v>
      </c>
      <c r="U72" s="184" t="n">
        <f aca="false">U49</f>
        <v>0</v>
      </c>
      <c r="V72" s="184" t="n">
        <f aca="false">V49</f>
        <v>0</v>
      </c>
      <c r="W72" s="184" t="n">
        <f aca="false">W49</f>
        <v>0</v>
      </c>
      <c r="X72" s="177"/>
    </row>
    <row r="73" customFormat="false" ht="18.75" hidden="false" customHeight="true" outlineLevel="0" collapsed="false">
      <c r="B73" s="182" t="s">
        <v>62</v>
      </c>
      <c r="C73" s="174"/>
      <c r="D73" s="184" t="n">
        <f aca="false">D50</f>
        <v>0</v>
      </c>
      <c r="E73" s="184" t="n">
        <f aca="false">E50</f>
        <v>0</v>
      </c>
      <c r="F73" s="184" t="n">
        <f aca="false">F50</f>
        <v>0</v>
      </c>
      <c r="G73" s="184" t="n">
        <f aca="false">G50</f>
        <v>0</v>
      </c>
      <c r="H73" s="184" t="n">
        <f aca="false">H50</f>
        <v>0</v>
      </c>
      <c r="I73" s="184" t="n">
        <f aca="false">I50</f>
        <v>0</v>
      </c>
      <c r="J73" s="184" t="n">
        <f aca="false">J50</f>
        <v>0</v>
      </c>
      <c r="K73" s="184" t="n">
        <f aca="false">K50</f>
        <v>0</v>
      </c>
      <c r="L73" s="184" t="n">
        <f aca="false">L50</f>
        <v>0</v>
      </c>
      <c r="M73" s="184" t="n">
        <f aca="false">M50</f>
        <v>0</v>
      </c>
      <c r="N73" s="184" t="n">
        <f aca="false">N50</f>
        <v>0</v>
      </c>
      <c r="O73" s="184" t="n">
        <f aca="false">O50</f>
        <v>0</v>
      </c>
      <c r="P73" s="184" t="n">
        <f aca="false">P50</f>
        <v>0</v>
      </c>
      <c r="Q73" s="184" t="n">
        <f aca="false">Q50</f>
        <v>0</v>
      </c>
      <c r="R73" s="184" t="n">
        <f aca="false">R50</f>
        <v>0</v>
      </c>
      <c r="S73" s="184" t="n">
        <f aca="false">S50</f>
        <v>0</v>
      </c>
      <c r="T73" s="184" t="n">
        <f aca="false">T50</f>
        <v>0</v>
      </c>
      <c r="U73" s="184" t="n">
        <f aca="false">U50</f>
        <v>0</v>
      </c>
      <c r="V73" s="184" t="n">
        <f aca="false">V50</f>
        <v>0</v>
      </c>
      <c r="W73" s="184" t="n">
        <f aca="false">W50</f>
        <v>0</v>
      </c>
      <c r="X73" s="177"/>
    </row>
    <row r="74" customFormat="false" ht="18.75" hidden="false" customHeight="true" outlineLevel="0" collapsed="false">
      <c r="B74" s="182" t="s">
        <v>63</v>
      </c>
      <c r="C74" s="185"/>
      <c r="D74" s="206"/>
      <c r="E74" s="207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7"/>
    </row>
    <row r="75" customFormat="false" ht="18.75" hidden="false" customHeight="true" outlineLevel="0" collapsed="false">
      <c r="B75" s="182" t="s">
        <v>64</v>
      </c>
      <c r="C75" s="18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7"/>
    </row>
    <row r="76" customFormat="false" ht="18.75" hidden="false" customHeight="true" outlineLevel="0" collapsed="false">
      <c r="B76" s="187" t="s">
        <v>121</v>
      </c>
      <c r="C76" s="208"/>
      <c r="D76" s="189" t="n">
        <f aca="false">SUM(D64:D75)</f>
        <v>382966.681296</v>
      </c>
      <c r="E76" s="189" t="n">
        <f aca="false">SUM(E64:E75)</f>
        <v>374837.7939744</v>
      </c>
      <c r="F76" s="189" t="n">
        <f aca="false">SUM(F64:F75)</f>
        <v>366708.9066528</v>
      </c>
      <c r="G76" s="189" t="n">
        <f aca="false">SUM(G64:G75)</f>
        <v>358580.0193312</v>
      </c>
      <c r="H76" s="189" t="n">
        <f aca="false">SUM(H64:H75)</f>
        <v>350451.1320096</v>
      </c>
      <c r="I76" s="189" t="n">
        <f aca="false">SUM(I64:I75)</f>
        <v>342322.244688</v>
      </c>
      <c r="J76" s="189" t="n">
        <f aca="false">SUM(J64:J75)</f>
        <v>334193.3573664</v>
      </c>
      <c r="K76" s="189" t="n">
        <f aca="false">SUM(K64:K75)</f>
        <v>326064.4700448</v>
      </c>
      <c r="L76" s="189" t="n">
        <f aca="false">SUM(L64:L75)</f>
        <v>317935.5827232</v>
      </c>
      <c r="M76" s="189" t="n">
        <f aca="false">SUM(M64:M75)</f>
        <v>309806.6954016</v>
      </c>
      <c r="N76" s="189" t="n">
        <f aca="false">SUM(N64:N75)</f>
        <v>301677.80808</v>
      </c>
      <c r="O76" s="189" t="n">
        <f aca="false">SUM(O64:O75)</f>
        <v>293548.9207584</v>
      </c>
      <c r="P76" s="189" t="n">
        <f aca="false">SUM(P64:P75)</f>
        <v>285420.0334368</v>
      </c>
      <c r="Q76" s="189" t="n">
        <f aca="false">SUM(Q64:Q75)</f>
        <v>277291.1461152</v>
      </c>
      <c r="R76" s="189" t="n">
        <f aca="false">SUM(R64:R75)</f>
        <v>269162.2587936</v>
      </c>
      <c r="S76" s="189" t="n">
        <f aca="false">SUM(S64:S75)</f>
        <v>261033.371472</v>
      </c>
      <c r="T76" s="189" t="n">
        <f aca="false">SUM(T64:T75)</f>
        <v>252904.4841504</v>
      </c>
      <c r="U76" s="189" t="n">
        <f aca="false">SUM(U64:U75)</f>
        <v>244775.5968288</v>
      </c>
      <c r="V76" s="189" t="n">
        <f aca="false">SUM(V64:V75)</f>
        <v>236646.7095072</v>
      </c>
      <c r="W76" s="189" t="n">
        <f aca="false">SUM(W64:W75)</f>
        <v>228517.8221856</v>
      </c>
      <c r="X76" s="189" t="n">
        <f aca="false">SUM(X64:X75)</f>
        <v>0</v>
      </c>
    </row>
    <row r="77" customFormat="false" ht="18.75" hidden="false" customHeight="true" outlineLevel="0" collapsed="false">
      <c r="B77" s="186" t="s">
        <v>66</v>
      </c>
      <c r="C77" s="185"/>
      <c r="D77" s="184" t="n">
        <f aca="false">-D76*0.2</f>
        <v>-76593.3362592</v>
      </c>
      <c r="E77" s="184" t="n">
        <f aca="false">-E76*0.2</f>
        <v>-74967.55879488</v>
      </c>
      <c r="F77" s="184" t="n">
        <f aca="false">-F76*0.2</f>
        <v>-73341.78133056</v>
      </c>
      <c r="G77" s="184" t="n">
        <f aca="false">-G76*0.2</f>
        <v>-71716.00386624</v>
      </c>
      <c r="H77" s="184" t="n">
        <f aca="false">-H76*0.2</f>
        <v>-70090.22640192</v>
      </c>
      <c r="I77" s="184" t="n">
        <f aca="false">-I76*0.2</f>
        <v>-68464.4489376</v>
      </c>
      <c r="J77" s="184" t="n">
        <f aca="false">-J76*0.2</f>
        <v>-66838.67147328</v>
      </c>
      <c r="K77" s="184" t="n">
        <f aca="false">-K76*0.2</f>
        <v>-65212.89400896</v>
      </c>
      <c r="L77" s="184" t="n">
        <f aca="false">-L76*0.2</f>
        <v>-63587.11654464</v>
      </c>
      <c r="M77" s="184" t="n">
        <f aca="false">-M76*0.2</f>
        <v>-61961.33908032</v>
      </c>
      <c r="N77" s="184" t="n">
        <f aca="false">-N76*0.2</f>
        <v>-60335.561616</v>
      </c>
      <c r="O77" s="184" t="n">
        <f aca="false">-O76*0.2</f>
        <v>-58709.78415168</v>
      </c>
      <c r="P77" s="184" t="n">
        <f aca="false">-P76*0.2</f>
        <v>-57084.00668736</v>
      </c>
      <c r="Q77" s="184" t="n">
        <f aca="false">-Q76*0.2</f>
        <v>-55458.22922304</v>
      </c>
      <c r="R77" s="184" t="n">
        <f aca="false">-R76*0.2</f>
        <v>-53832.45175872</v>
      </c>
      <c r="S77" s="184" t="n">
        <f aca="false">-S76*0.2</f>
        <v>-52206.6742944</v>
      </c>
      <c r="T77" s="184" t="n">
        <f aca="false">-T76*0.2</f>
        <v>-50580.8968300799</v>
      </c>
      <c r="U77" s="184" t="n">
        <f aca="false">-U76*0.2</f>
        <v>-48955.11936576</v>
      </c>
      <c r="V77" s="184" t="n">
        <f aca="false">-V76*0.2</f>
        <v>-47329.3419014399</v>
      </c>
      <c r="W77" s="184" t="n">
        <f aca="false">-W76*0.2</f>
        <v>-45703.56443712</v>
      </c>
      <c r="X77" s="184" t="n">
        <f aca="false">-X76*0.2</f>
        <v>-0</v>
      </c>
    </row>
    <row r="78" customFormat="false" ht="15" hidden="false" customHeight="false" outlineLevel="0" collapsed="false">
      <c r="B78" s="209" t="s">
        <v>76</v>
      </c>
      <c r="D78" s="184" t="n">
        <f aca="false">SUM(D76:D77)</f>
        <v>306373.3450368</v>
      </c>
      <c r="E78" s="184" t="n">
        <f aca="false">SUM(E76:E77)</f>
        <v>299870.23517952</v>
      </c>
      <c r="F78" s="184" t="n">
        <f aca="false">SUM(F76:F77)</f>
        <v>293367.12532224</v>
      </c>
      <c r="G78" s="184" t="n">
        <f aca="false">SUM(G76:G77)</f>
        <v>286864.01546496</v>
      </c>
      <c r="H78" s="184" t="n">
        <f aca="false">SUM(H76:H77)</f>
        <v>280360.90560768</v>
      </c>
      <c r="I78" s="184" t="n">
        <f aca="false">SUM(I76:I77)</f>
        <v>273857.7957504</v>
      </c>
      <c r="J78" s="184" t="n">
        <f aca="false">SUM(J76:J77)</f>
        <v>267354.68589312</v>
      </c>
      <c r="K78" s="184" t="n">
        <f aca="false">SUM(K76:K77)</f>
        <v>260851.57603584</v>
      </c>
      <c r="L78" s="184" t="n">
        <f aca="false">SUM(L76:L77)</f>
        <v>254348.46617856</v>
      </c>
      <c r="M78" s="184" t="n">
        <f aca="false">SUM(M76:M77)</f>
        <v>247845.35632128</v>
      </c>
      <c r="N78" s="184" t="n">
        <f aca="false">SUM(N76:N77)</f>
        <v>241342.246464</v>
      </c>
      <c r="O78" s="184" t="n">
        <f aca="false">SUM(O76:O77)</f>
        <v>234839.13660672</v>
      </c>
      <c r="P78" s="184" t="n">
        <f aca="false">SUM(P76:P77)</f>
        <v>228336.02674944</v>
      </c>
      <c r="Q78" s="184" t="n">
        <f aca="false">SUM(Q76:Q77)</f>
        <v>221832.91689216</v>
      </c>
      <c r="R78" s="184" t="n">
        <f aca="false">SUM(R76:R77)</f>
        <v>215329.80703488</v>
      </c>
      <c r="S78" s="184" t="n">
        <f aca="false">SUM(S76:S77)</f>
        <v>208826.6971776</v>
      </c>
      <c r="T78" s="184" t="n">
        <f aca="false">SUM(T76:T77)</f>
        <v>202323.58732032</v>
      </c>
      <c r="U78" s="184" t="n">
        <f aca="false">SUM(U76:U77)</f>
        <v>195820.47746304</v>
      </c>
      <c r="V78" s="184" t="n">
        <f aca="false">SUM(V76:V77)</f>
        <v>189317.36760576</v>
      </c>
      <c r="W78" s="184" t="n">
        <f aca="false">SUM(W76:W77)</f>
        <v>182814.25774848</v>
      </c>
      <c r="X78" s="184" t="n">
        <f aca="false">SUM(X76:X77)</f>
        <v>0</v>
      </c>
    </row>
    <row r="79" customFormat="false" ht="18.75" hidden="false" customHeight="true" outlineLevel="0" collapsed="false">
      <c r="B79" s="193" t="s">
        <v>68</v>
      </c>
      <c r="C79" s="196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1"/>
    </row>
    <row r="80" customFormat="false" ht="18.75" hidden="false" customHeight="true" outlineLevel="0" collapsed="false">
      <c r="B80" s="212" t="s">
        <v>74</v>
      </c>
      <c r="C80" s="213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5"/>
    </row>
    <row r="81" customFormat="false" ht="18.75" hidden="false" customHeight="true" outlineLevel="0" collapsed="false">
      <c r="B81" s="202"/>
      <c r="C81" s="201"/>
      <c r="D81" s="201"/>
      <c r="E81" s="201"/>
      <c r="F81" s="202"/>
      <c r="G81" s="202"/>
      <c r="H81" s="202"/>
      <c r="I81" s="202"/>
      <c r="J81" s="202"/>
      <c r="K81" s="202"/>
      <c r="L81" s="202"/>
      <c r="M81" s="201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</row>
    <row r="82" customFormat="false" ht="18.75" hidden="false" customHeight="true" outlineLevel="0" collapsed="false">
      <c r="C82" s="216" t="s">
        <v>48</v>
      </c>
      <c r="D82" s="217" t="n">
        <f aca="false">D37</f>
        <v>2020</v>
      </c>
      <c r="E82" s="217" t="n">
        <f aca="false">E37</f>
        <v>2021</v>
      </c>
      <c r="F82" s="217" t="n">
        <f aca="false">F37</f>
        <v>2022</v>
      </c>
      <c r="G82" s="217" t="n">
        <f aca="false">G37</f>
        <v>2023</v>
      </c>
      <c r="H82" s="217" t="n">
        <f aca="false">H37</f>
        <v>2024</v>
      </c>
      <c r="I82" s="217" t="n">
        <f aca="false">I37</f>
        <v>2025</v>
      </c>
      <c r="J82" s="217" t="n">
        <f aca="false">J37</f>
        <v>2026</v>
      </c>
      <c r="K82" s="217" t="n">
        <f aca="false">K37</f>
        <v>2027</v>
      </c>
      <c r="L82" s="217" t="n">
        <f aca="false">L37</f>
        <v>2028</v>
      </c>
      <c r="M82" s="217" t="n">
        <f aca="false">M37</f>
        <v>2029</v>
      </c>
      <c r="N82" s="217" t="n">
        <f aca="false">N37</f>
        <v>2030</v>
      </c>
      <c r="O82" s="217" t="n">
        <f aca="false">O37</f>
        <v>2031</v>
      </c>
      <c r="P82" s="217" t="n">
        <f aca="false">P37</f>
        <v>2032</v>
      </c>
      <c r="Q82" s="217" t="n">
        <f aca="false">Q37</f>
        <v>2033</v>
      </c>
      <c r="R82" s="217" t="n">
        <f aca="false">R37</f>
        <v>2034</v>
      </c>
      <c r="S82" s="217" t="n">
        <f aca="false">S37</f>
        <v>2035</v>
      </c>
      <c r="T82" s="217" t="n">
        <f aca="false">T37</f>
        <v>2036</v>
      </c>
      <c r="U82" s="217" t="n">
        <f aca="false">U37</f>
        <v>2037</v>
      </c>
      <c r="V82" s="217" t="n">
        <f aca="false">V37</f>
        <v>2038</v>
      </c>
      <c r="W82" s="217" t="n">
        <f aca="false">W37</f>
        <v>2039</v>
      </c>
      <c r="X82" s="72"/>
    </row>
    <row r="83" customFormat="false" ht="18.75" hidden="false" customHeight="true" outlineLevel="0" collapsed="false">
      <c r="X83" s="135"/>
    </row>
    <row r="84" customFormat="false" ht="18.75" hidden="false" customHeight="true" outlineLevel="0" collapsed="false">
      <c r="B84" s="218" t="s">
        <v>51</v>
      </c>
      <c r="C84" s="218" t="n">
        <v>0</v>
      </c>
      <c r="D84" s="218" t="n">
        <v>1</v>
      </c>
      <c r="E84" s="218" t="n">
        <v>2</v>
      </c>
      <c r="F84" s="218" t="n">
        <v>3</v>
      </c>
      <c r="G84" s="218" t="n">
        <v>4</v>
      </c>
      <c r="H84" s="218" t="n">
        <v>5</v>
      </c>
      <c r="I84" s="218" t="n">
        <v>6</v>
      </c>
      <c r="J84" s="218" t="n">
        <v>7</v>
      </c>
      <c r="K84" s="218" t="n">
        <v>8</v>
      </c>
      <c r="L84" s="218" t="n">
        <v>9</v>
      </c>
      <c r="M84" s="218" t="n">
        <v>10</v>
      </c>
      <c r="N84" s="218" t="n">
        <v>11</v>
      </c>
      <c r="O84" s="218" t="n">
        <v>12</v>
      </c>
      <c r="P84" s="218" t="n">
        <v>13</v>
      </c>
      <c r="Q84" s="218" t="n">
        <v>14</v>
      </c>
      <c r="R84" s="218" t="n">
        <v>15</v>
      </c>
      <c r="S84" s="218" t="n">
        <v>16</v>
      </c>
      <c r="T84" s="218" t="n">
        <v>17</v>
      </c>
      <c r="U84" s="218" t="n">
        <v>18</v>
      </c>
      <c r="V84" s="218" t="n">
        <v>19</v>
      </c>
      <c r="W84" s="218" t="n">
        <v>20</v>
      </c>
      <c r="X84" s="103"/>
    </row>
    <row r="85" customFormat="false" ht="18.75" hidden="false" customHeight="true" outlineLevel="0" collapsed="false">
      <c r="B85" s="219" t="s">
        <v>76</v>
      </c>
      <c r="C85" s="219"/>
      <c r="D85" s="220" t="n">
        <f aca="false">D78</f>
        <v>306373.3450368</v>
      </c>
      <c r="E85" s="220" t="n">
        <f aca="false">E78</f>
        <v>299870.23517952</v>
      </c>
      <c r="F85" s="220" t="n">
        <f aca="false">F78</f>
        <v>293367.12532224</v>
      </c>
      <c r="G85" s="220" t="n">
        <f aca="false">G78</f>
        <v>286864.01546496</v>
      </c>
      <c r="H85" s="220" t="n">
        <f aca="false">H78</f>
        <v>280360.90560768</v>
      </c>
      <c r="I85" s="220" t="n">
        <f aca="false">I78</f>
        <v>273857.7957504</v>
      </c>
      <c r="J85" s="220" t="n">
        <f aca="false">J78</f>
        <v>267354.68589312</v>
      </c>
      <c r="K85" s="220" t="n">
        <f aca="false">K78</f>
        <v>260851.57603584</v>
      </c>
      <c r="L85" s="220" t="n">
        <f aca="false">L78</f>
        <v>254348.46617856</v>
      </c>
      <c r="M85" s="220" t="n">
        <f aca="false">M78</f>
        <v>247845.35632128</v>
      </c>
      <c r="N85" s="220" t="n">
        <f aca="false">N78</f>
        <v>241342.246464</v>
      </c>
      <c r="O85" s="220" t="n">
        <f aca="false">O78</f>
        <v>234839.13660672</v>
      </c>
      <c r="P85" s="220" t="n">
        <f aca="false">P78</f>
        <v>228336.02674944</v>
      </c>
      <c r="Q85" s="220" t="n">
        <f aca="false">Q78</f>
        <v>221832.91689216</v>
      </c>
      <c r="R85" s="220" t="n">
        <f aca="false">R78</f>
        <v>215329.80703488</v>
      </c>
      <c r="S85" s="220" t="n">
        <f aca="false">S78</f>
        <v>208826.6971776</v>
      </c>
      <c r="T85" s="220" t="n">
        <f aca="false">T78</f>
        <v>202323.58732032</v>
      </c>
      <c r="U85" s="220" t="n">
        <f aca="false">U78</f>
        <v>195820.47746304</v>
      </c>
      <c r="V85" s="220" t="n">
        <f aca="false">V78</f>
        <v>189317.36760576</v>
      </c>
      <c r="W85" s="220" t="n">
        <f aca="false">W78</f>
        <v>182814.25774848</v>
      </c>
      <c r="X85" s="219"/>
      <c r="Y85" s="219"/>
    </row>
    <row r="86" customFormat="false" ht="15" hidden="false" customHeight="false" outlineLevel="0" collapsed="false">
      <c r="B86" s="219" t="s">
        <v>77</v>
      </c>
      <c r="C86" s="219"/>
      <c r="D86" s="221" t="n">
        <f aca="false">-D67</f>
        <v>1155665</v>
      </c>
      <c r="E86" s="221" t="n">
        <f aca="false">-E67</f>
        <v>1155665</v>
      </c>
      <c r="F86" s="221" t="n">
        <f aca="false">-F67</f>
        <v>1155665</v>
      </c>
      <c r="G86" s="221" t="n">
        <f aca="false">-G67</f>
        <v>1155665</v>
      </c>
      <c r="H86" s="221" t="n">
        <f aca="false">-H67</f>
        <v>1155665</v>
      </c>
      <c r="I86" s="221" t="n">
        <f aca="false">-I67</f>
        <v>1155665</v>
      </c>
      <c r="J86" s="221" t="n">
        <f aca="false">-J67</f>
        <v>1155665</v>
      </c>
      <c r="K86" s="221" t="n">
        <f aca="false">-K67</f>
        <v>1155665</v>
      </c>
      <c r="L86" s="221" t="n">
        <f aca="false">-L67</f>
        <v>1155665</v>
      </c>
      <c r="M86" s="221" t="n">
        <f aca="false">-M67</f>
        <v>1155665</v>
      </c>
      <c r="N86" s="221" t="n">
        <f aca="false">-N67</f>
        <v>1155665</v>
      </c>
      <c r="O86" s="221" t="n">
        <f aca="false">-O67</f>
        <v>1155665</v>
      </c>
      <c r="P86" s="221" t="n">
        <f aca="false">-P67</f>
        <v>1155665</v>
      </c>
      <c r="Q86" s="221" t="n">
        <f aca="false">-Q67</f>
        <v>1155665</v>
      </c>
      <c r="R86" s="221" t="n">
        <f aca="false">-R67</f>
        <v>1155665</v>
      </c>
      <c r="S86" s="221" t="n">
        <f aca="false">-S67</f>
        <v>1155665</v>
      </c>
      <c r="T86" s="221" t="n">
        <f aca="false">-T67</f>
        <v>1155665</v>
      </c>
      <c r="U86" s="221" t="n">
        <f aca="false">-U67</f>
        <v>1155665</v>
      </c>
      <c r="V86" s="221" t="n">
        <f aca="false">-V67</f>
        <v>1155665</v>
      </c>
      <c r="W86" s="221" t="n">
        <f aca="false">-W67</f>
        <v>1155665</v>
      </c>
      <c r="X86" s="222"/>
      <c r="Y86" s="222"/>
    </row>
    <row r="87" customFormat="false" ht="15" hidden="false" customHeight="false" outlineLevel="0" collapsed="false">
      <c r="B87" s="219" t="s">
        <v>78</v>
      </c>
      <c r="C87" s="219"/>
      <c r="D87" s="223" t="n">
        <f aca="false">SUM(D85:D86)</f>
        <v>1462038.3450368</v>
      </c>
      <c r="E87" s="223" t="n">
        <f aca="false">SUM(E85:E86)</f>
        <v>1455535.23517952</v>
      </c>
      <c r="F87" s="223" t="n">
        <f aca="false">SUM(F85:F86)</f>
        <v>1449032.12532224</v>
      </c>
      <c r="G87" s="223" t="n">
        <f aca="false">SUM(G85:G86)</f>
        <v>1442529.01546496</v>
      </c>
      <c r="H87" s="223" t="n">
        <f aca="false">SUM(H85:H86)</f>
        <v>1436025.90560768</v>
      </c>
      <c r="I87" s="223" t="n">
        <f aca="false">SUM(I85:I86)</f>
        <v>1429522.7957504</v>
      </c>
      <c r="J87" s="223" t="n">
        <f aca="false">SUM(J85:J86)</f>
        <v>1423019.68589312</v>
      </c>
      <c r="K87" s="223" t="n">
        <f aca="false">SUM(K85:K86)</f>
        <v>1416516.57603584</v>
      </c>
      <c r="L87" s="223" t="n">
        <f aca="false">SUM(L85:L86)</f>
        <v>1410013.46617856</v>
      </c>
      <c r="M87" s="223" t="n">
        <f aca="false">SUM(M85:M86)</f>
        <v>1403510.35632128</v>
      </c>
      <c r="N87" s="223" t="n">
        <f aca="false">SUM(N85:N86)</f>
        <v>1397007.246464</v>
      </c>
      <c r="O87" s="223" t="n">
        <f aca="false">SUM(O85:O86)</f>
        <v>1390504.13660672</v>
      </c>
      <c r="P87" s="223" t="n">
        <f aca="false">SUM(P85:P86)</f>
        <v>1384001.02674944</v>
      </c>
      <c r="Q87" s="223" t="n">
        <f aca="false">SUM(Q85:Q86)</f>
        <v>1377497.91689216</v>
      </c>
      <c r="R87" s="223" t="n">
        <f aca="false">SUM(R85:R86)</f>
        <v>1370994.80703488</v>
      </c>
      <c r="S87" s="223" t="n">
        <f aca="false">SUM(S85:S86)</f>
        <v>1364491.6971776</v>
      </c>
      <c r="T87" s="223" t="n">
        <f aca="false">SUM(T85:T86)</f>
        <v>1357988.58732032</v>
      </c>
      <c r="U87" s="223" t="n">
        <f aca="false">SUM(U85:U86)</f>
        <v>1351485.47746304</v>
      </c>
      <c r="V87" s="223" t="n">
        <f aca="false">SUM(V85:V86)</f>
        <v>1344982.36760576</v>
      </c>
      <c r="W87" s="223" t="n">
        <f aca="false">SUM(W85:W86)</f>
        <v>1338479.25774848</v>
      </c>
      <c r="X87" s="192"/>
    </row>
    <row r="88" customFormat="false" ht="15" hidden="false" customHeight="false" outlineLevel="0" collapsed="false">
      <c r="B88" s="219"/>
      <c r="C88" s="219"/>
      <c r="D88" s="219"/>
      <c r="E88" s="219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191"/>
    </row>
    <row r="89" customFormat="false" ht="17.15" hidden="false" customHeight="false" outlineLevel="0" collapsed="false">
      <c r="B89" s="225" t="s">
        <v>79</v>
      </c>
      <c r="C89" s="226"/>
      <c r="D89" s="227" t="n">
        <f aca="false">C44</f>
        <v>-23113300</v>
      </c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8"/>
    </row>
    <row r="90" customFormat="false" ht="15" hidden="false" customHeight="false" outlineLevel="0" collapsed="false">
      <c r="B90" s="219"/>
      <c r="C90" s="219"/>
      <c r="D90" s="219"/>
      <c r="E90" s="219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191"/>
    </row>
    <row r="91" customFormat="false" ht="15" hidden="false" customHeight="false" outlineLevel="0" collapsed="false">
      <c r="B91" s="219"/>
      <c r="C91" s="219"/>
      <c r="D91" s="219"/>
      <c r="E91" s="219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191"/>
    </row>
    <row r="92" customFormat="false" ht="17.15" hidden="false" customHeight="false" outlineLevel="0" collapsed="false">
      <c r="B92" s="225" t="s">
        <v>80</v>
      </c>
      <c r="C92" s="226"/>
      <c r="D92" s="227" t="n">
        <f aca="false">-D89*D31</f>
        <v>18490640</v>
      </c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191"/>
    </row>
    <row r="93" customFormat="false" ht="17.15" hidden="false" customHeight="false" outlineLevel="0" collapsed="false">
      <c r="B93" s="219" t="s">
        <v>81</v>
      </c>
      <c r="C93" s="21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8"/>
    </row>
    <row r="94" customFormat="false" ht="17.15" hidden="false" customHeight="false" outlineLevel="0" collapsed="false">
      <c r="B94" s="219" t="s">
        <v>82</v>
      </c>
      <c r="C94" s="224"/>
      <c r="D94" s="220" t="n">
        <f aca="false">-D89*(1-D31)</f>
        <v>4622660</v>
      </c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192"/>
    </row>
    <row r="95" customFormat="false" ht="15" hidden="false" customHeight="false" outlineLevel="0" collapsed="false">
      <c r="B95" s="219" t="s">
        <v>45</v>
      </c>
      <c r="C95" s="224"/>
      <c r="D95" s="224"/>
      <c r="E95" s="230" t="n">
        <f aca="false">-D85*$D$33</f>
        <v>-275736.01053312</v>
      </c>
      <c r="F95" s="230" t="n">
        <f aca="false">-E85*$D$33</f>
        <v>-269883.211661568</v>
      </c>
      <c r="G95" s="230" t="n">
        <f aca="false">-F85*$D$33</f>
        <v>-264030.412790016</v>
      </c>
      <c r="H95" s="230" t="n">
        <f aca="false">-G85*$D$33</f>
        <v>-258177.613918464</v>
      </c>
      <c r="I95" s="230" t="n">
        <f aca="false">-H85*$D$33</f>
        <v>-252324.815046912</v>
      </c>
      <c r="J95" s="230" t="n">
        <f aca="false">-I85*$D$33</f>
        <v>-246472.01617536</v>
      </c>
      <c r="K95" s="230" t="n">
        <f aca="false">-J85*$D$33</f>
        <v>-240619.217303808</v>
      </c>
      <c r="L95" s="230" t="n">
        <f aca="false">-K85*$D$33</f>
        <v>-234766.418432256</v>
      </c>
      <c r="M95" s="230" t="n">
        <f aca="false">-L85*$D$33</f>
        <v>-228913.619560704</v>
      </c>
      <c r="N95" s="230" t="n">
        <f aca="false">-M85*$D$33</f>
        <v>-223060.820689152</v>
      </c>
      <c r="O95" s="230" t="n">
        <f aca="false">-N85*$D$33</f>
        <v>-217208.0218176</v>
      </c>
      <c r="P95" s="230" t="n">
        <f aca="false">-O85*$D$33</f>
        <v>-211355.222946048</v>
      </c>
      <c r="Q95" s="230" t="n">
        <f aca="false">-P85*$D$33</f>
        <v>-205502.424074496</v>
      </c>
      <c r="R95" s="230" t="n">
        <f aca="false">-Q85*$D$33</f>
        <v>-199649.625202944</v>
      </c>
      <c r="S95" s="230" t="n">
        <f aca="false">-R85*$D$33</f>
        <v>-193796.826331392</v>
      </c>
      <c r="T95" s="230" t="n">
        <f aca="false">-S85*$D$33</f>
        <v>-187944.02745984</v>
      </c>
      <c r="U95" s="230" t="n">
        <f aca="false">-T85*$D$33</f>
        <v>-182091.228588288</v>
      </c>
      <c r="V95" s="230" t="n">
        <f aca="false">-U85*$D$33</f>
        <v>-176238.429716736</v>
      </c>
      <c r="W95" s="230" t="n">
        <f aca="false">-V85*$D$33</f>
        <v>-170385.630845184</v>
      </c>
      <c r="X95" s="230" t="n">
        <f aca="false">-W85*$D$33</f>
        <v>-164532.831973632</v>
      </c>
    </row>
    <row r="96" customFormat="false" ht="15" hidden="false" customHeight="false" outlineLevel="0" collapsed="false">
      <c r="B96" s="231" t="s">
        <v>47</v>
      </c>
      <c r="C96" s="232"/>
      <c r="D96" s="232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4" t="n">
        <f aca="false">-W101-X95</f>
        <v>-23602487.6027853</v>
      </c>
    </row>
    <row r="97" customFormat="false" ht="15" hidden="false" customHeight="false" outlineLevel="0" collapsed="false"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192"/>
    </row>
    <row r="98" customFormat="false" ht="15" hidden="false" customHeight="false" outlineLevel="0" collapsed="false"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192"/>
    </row>
    <row r="99" customFormat="false" ht="17.15" hidden="false" customHeight="false" outlineLevel="0" collapsed="false">
      <c r="B99" s="219" t="s">
        <v>83</v>
      </c>
      <c r="C99" s="220" t="n">
        <v>0</v>
      </c>
      <c r="D99" s="220" t="n">
        <f aca="false">SUM(D87:D96)</f>
        <v>1462038.3450368</v>
      </c>
      <c r="E99" s="220" t="n">
        <f aca="false">SUM(E87:E96)</f>
        <v>1179799.2246464</v>
      </c>
      <c r="F99" s="220" t="n">
        <f aca="false">SUM(F87:F96)</f>
        <v>1179148.91366067</v>
      </c>
      <c r="G99" s="220" t="n">
        <f aca="false">SUM(G87:G96)</f>
        <v>1178498.60267494</v>
      </c>
      <c r="H99" s="220" t="n">
        <f aca="false">SUM(H87:H96)</f>
        <v>1177848.29168922</v>
      </c>
      <c r="I99" s="220" t="n">
        <f aca="false">SUM(I87:I96)</f>
        <v>1177197.98070349</v>
      </c>
      <c r="J99" s="220" t="n">
        <f aca="false">SUM(J87:J96)</f>
        <v>1176547.66971776</v>
      </c>
      <c r="K99" s="220" t="n">
        <f aca="false">SUM(K87:K96)</f>
        <v>1175897.35873203</v>
      </c>
      <c r="L99" s="220" t="n">
        <f aca="false">SUM(L87:L96)</f>
        <v>1175247.0477463</v>
      </c>
      <c r="M99" s="220" t="n">
        <f aca="false">SUM(M87:M96)</f>
        <v>1174596.73676058</v>
      </c>
      <c r="N99" s="220" t="n">
        <f aca="false">SUM(N87:N96)</f>
        <v>1173946.42577485</v>
      </c>
      <c r="O99" s="220" t="n">
        <f aca="false">SUM(O87:O96)</f>
        <v>1173296.11478912</v>
      </c>
      <c r="P99" s="220" t="n">
        <f aca="false">SUM(P87:P96)</f>
        <v>1172645.80380339</v>
      </c>
      <c r="Q99" s="220" t="n">
        <f aca="false">SUM(Q87:Q96)</f>
        <v>1171995.49281766</v>
      </c>
      <c r="R99" s="220" t="n">
        <f aca="false">SUM(R87:R96)</f>
        <v>1171345.18183194</v>
      </c>
      <c r="S99" s="220" t="n">
        <f aca="false">SUM(S87:S96)</f>
        <v>1170694.87084621</v>
      </c>
      <c r="T99" s="220" t="n">
        <f aca="false">SUM(T87:T96)</f>
        <v>1170044.55986048</v>
      </c>
      <c r="U99" s="220" t="n">
        <f aca="false">SUM(U87:U96)</f>
        <v>1169394.24887475</v>
      </c>
      <c r="V99" s="220" t="n">
        <f aca="false">SUM(V87:V96)</f>
        <v>1168743.93788902</v>
      </c>
      <c r="W99" s="220" t="n">
        <f aca="false">SUM(W87:W96)</f>
        <v>1168093.6269033</v>
      </c>
      <c r="X99" s="192"/>
    </row>
    <row r="100" customFormat="false" ht="15" hidden="false" customHeight="false" outlineLevel="0" collapsed="false">
      <c r="B100" s="219" t="s">
        <v>84</v>
      </c>
      <c r="C100" s="220" t="n">
        <v>0</v>
      </c>
      <c r="D100" s="220" t="n">
        <f aca="false">C101</f>
        <v>0</v>
      </c>
      <c r="E100" s="220" t="n">
        <f aca="false">D101</f>
        <v>1462038.3450368</v>
      </c>
      <c r="F100" s="220" t="n">
        <f aca="false">E101</f>
        <v>2641837.5696832</v>
      </c>
      <c r="G100" s="220" t="n">
        <f aca="false">F101</f>
        <v>3820986.48334387</v>
      </c>
      <c r="H100" s="220" t="n">
        <f aca="false">G101</f>
        <v>4999485.08601882</v>
      </c>
      <c r="I100" s="220" t="n">
        <f aca="false">H101</f>
        <v>6177333.37770803</v>
      </c>
      <c r="J100" s="220" t="n">
        <f aca="false">I101</f>
        <v>7354531.35841152</v>
      </c>
      <c r="K100" s="220" t="n">
        <f aca="false">J101</f>
        <v>8531079.02812928</v>
      </c>
      <c r="L100" s="220" t="n">
        <f aca="false">K101</f>
        <v>9706976.38686131</v>
      </c>
      <c r="M100" s="220" t="n">
        <f aca="false">L101</f>
        <v>10882223.4346076</v>
      </c>
      <c r="N100" s="220" t="n">
        <f aca="false">M101</f>
        <v>12056820.1713682</v>
      </c>
      <c r="O100" s="220" t="n">
        <f aca="false">N101</f>
        <v>13230766.597143</v>
      </c>
      <c r="P100" s="220" t="n">
        <f aca="false">O101</f>
        <v>14404062.7119322</v>
      </c>
      <c r="Q100" s="220" t="n">
        <f aca="false">P101</f>
        <v>15576708.5157356</v>
      </c>
      <c r="R100" s="220" t="n">
        <f aca="false">Q101</f>
        <v>16748704.0085532</v>
      </c>
      <c r="S100" s="220" t="n">
        <f aca="false">R101</f>
        <v>17920049.1903852</v>
      </c>
      <c r="T100" s="220" t="n">
        <f aca="false">S101</f>
        <v>19090744.0612314</v>
      </c>
      <c r="U100" s="220" t="n">
        <f aca="false">T101</f>
        <v>20260788.6210918</v>
      </c>
      <c r="V100" s="220" t="n">
        <f aca="false">U101</f>
        <v>21430182.8699666</v>
      </c>
      <c r="W100" s="220" t="n">
        <f aca="false">V101</f>
        <v>22598926.8078556</v>
      </c>
      <c r="X100" s="191"/>
    </row>
    <row r="101" customFormat="false" ht="15" hidden="false" customHeight="false" outlineLevel="0" collapsed="false">
      <c r="B101" s="219" t="s">
        <v>85</v>
      </c>
      <c r="C101" s="220" t="n">
        <v>0</v>
      </c>
      <c r="D101" s="220" t="n">
        <f aca="false">D99+D100</f>
        <v>1462038.3450368</v>
      </c>
      <c r="E101" s="220" t="n">
        <f aca="false">E99+E100</f>
        <v>2641837.5696832</v>
      </c>
      <c r="F101" s="220" t="n">
        <f aca="false">F99+F100</f>
        <v>3820986.48334387</v>
      </c>
      <c r="G101" s="220" t="n">
        <f aca="false">G99+G100</f>
        <v>4999485.08601882</v>
      </c>
      <c r="H101" s="220" t="n">
        <f aca="false">H99+H100</f>
        <v>6177333.37770803</v>
      </c>
      <c r="I101" s="220" t="n">
        <f aca="false">I99+I100</f>
        <v>7354531.35841152</v>
      </c>
      <c r="J101" s="220" t="n">
        <f aca="false">J99+J100</f>
        <v>8531079.02812928</v>
      </c>
      <c r="K101" s="220" t="n">
        <f aca="false">K99+K100</f>
        <v>9706976.38686131</v>
      </c>
      <c r="L101" s="220" t="n">
        <f aca="false">L99+L100</f>
        <v>10882223.4346076</v>
      </c>
      <c r="M101" s="220" t="n">
        <f aca="false">M99+M100</f>
        <v>12056820.1713682</v>
      </c>
      <c r="N101" s="220" t="n">
        <f aca="false">N99+N100</f>
        <v>13230766.597143</v>
      </c>
      <c r="O101" s="220" t="n">
        <f aca="false">O99+O100</f>
        <v>14404062.7119322</v>
      </c>
      <c r="P101" s="220" t="n">
        <f aca="false">P99+P100</f>
        <v>15576708.5157356</v>
      </c>
      <c r="Q101" s="220" t="n">
        <f aca="false">Q99+Q100</f>
        <v>16748704.0085532</v>
      </c>
      <c r="R101" s="220" t="n">
        <f aca="false">R99+R100</f>
        <v>17920049.1903852</v>
      </c>
      <c r="S101" s="220" t="n">
        <f aca="false">S99+S100</f>
        <v>19090744.0612314</v>
      </c>
      <c r="T101" s="220" t="n">
        <f aca="false">T99+T100</f>
        <v>20260788.6210918</v>
      </c>
      <c r="U101" s="220" t="n">
        <f aca="false">U99+U100</f>
        <v>21430182.8699666</v>
      </c>
      <c r="V101" s="220" t="n">
        <f aca="false">V99+V100</f>
        <v>22598926.8078556</v>
      </c>
      <c r="W101" s="220" t="n">
        <f aca="false">W99+W100</f>
        <v>23767020.4347589</v>
      </c>
      <c r="X101" s="191"/>
    </row>
    <row r="102" customFormat="false" ht="15" hidden="false" customHeight="false" outlineLevel="0" collapsed="false"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</row>
    <row r="103" customFormat="false" ht="15" hidden="false" customHeight="false" outlineLevel="0" collapsed="false">
      <c r="B103" s="219"/>
      <c r="C103" s="219"/>
      <c r="D103" s="219"/>
      <c r="E103" s="219"/>
      <c r="F103" s="224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</row>
    <row r="104" customFormat="false" ht="15" hidden="false" customHeight="false" outlineLevel="0" collapsed="false">
      <c r="B104" s="235" t="s">
        <v>86</v>
      </c>
      <c r="C104" s="236"/>
      <c r="D104" s="237" t="n">
        <f aca="false">-D94</f>
        <v>-4622660</v>
      </c>
      <c r="E104" s="223" t="n">
        <f aca="false">-E95-E96</f>
        <v>275736.01053312</v>
      </c>
      <c r="F104" s="223" t="n">
        <f aca="false">-F95-F96</f>
        <v>269883.211661568</v>
      </c>
      <c r="G104" s="223" t="n">
        <f aca="false">-G95-G96</f>
        <v>264030.412790016</v>
      </c>
      <c r="H104" s="223" t="n">
        <f aca="false">-H95-H96</f>
        <v>258177.613918464</v>
      </c>
      <c r="I104" s="223" t="n">
        <f aca="false">-I95-I96</f>
        <v>252324.815046912</v>
      </c>
      <c r="J104" s="223" t="n">
        <f aca="false">-J95-J96</f>
        <v>246472.01617536</v>
      </c>
      <c r="K104" s="223" t="n">
        <f aca="false">-K95-K96</f>
        <v>240619.217303808</v>
      </c>
      <c r="L104" s="223" t="n">
        <f aca="false">-L95-L96</f>
        <v>234766.418432256</v>
      </c>
      <c r="M104" s="223" t="n">
        <f aca="false">-M95-M96</f>
        <v>228913.619560704</v>
      </c>
      <c r="N104" s="223" t="n">
        <f aca="false">-N95-N96</f>
        <v>223060.820689152</v>
      </c>
      <c r="O104" s="223" t="n">
        <f aca="false">-O95-O96</f>
        <v>217208.0218176</v>
      </c>
      <c r="P104" s="223" t="n">
        <f aca="false">-P95-P96</f>
        <v>211355.222946048</v>
      </c>
      <c r="Q104" s="223" t="n">
        <f aca="false">-Q95-Q96</f>
        <v>205502.424074496</v>
      </c>
      <c r="R104" s="223" t="n">
        <f aca="false">-R95-R96</f>
        <v>199649.625202944</v>
      </c>
      <c r="S104" s="223" t="n">
        <f aca="false">-S95-S96</f>
        <v>193796.826331392</v>
      </c>
      <c r="T104" s="223" t="n">
        <f aca="false">-T95-T96</f>
        <v>187944.02745984</v>
      </c>
      <c r="U104" s="223" t="n">
        <f aca="false">-U95-U96</f>
        <v>182091.228588288</v>
      </c>
      <c r="V104" s="223" t="n">
        <f aca="false">-V95-V96</f>
        <v>176238.429716736</v>
      </c>
      <c r="W104" s="223" t="n">
        <f aca="false">-W95-W96</f>
        <v>170385.630845184</v>
      </c>
      <c r="X104" s="223" t="n">
        <f aca="false">-X95-X96</f>
        <v>23767020.4347589</v>
      </c>
    </row>
    <row r="105" customFormat="false" ht="17.15" hidden="false" customHeight="false" outlineLevel="0" collapsed="false">
      <c r="B105" s="219" t="s">
        <v>87</v>
      </c>
      <c r="C105" s="238" t="n">
        <f aca="false">IRR(D104:X104)</f>
        <v>0.113356793028122</v>
      </c>
      <c r="D105" s="224"/>
      <c r="E105" s="224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</row>
    <row r="106" customFormat="false" ht="15" hidden="false" customHeight="false" outlineLevel="0" collapsed="false">
      <c r="B106" s="235" t="s">
        <v>88</v>
      </c>
      <c r="C106" s="236"/>
      <c r="D106" s="237" t="n">
        <f aca="false">D85-D94</f>
        <v>-4316286.6549632</v>
      </c>
      <c r="E106" s="223" t="n">
        <f aca="false">E85</f>
        <v>299870.23517952</v>
      </c>
      <c r="F106" s="223" t="n">
        <f aca="false">F85-F96</f>
        <v>293367.12532224</v>
      </c>
      <c r="G106" s="223" t="n">
        <f aca="false">G85-G96</f>
        <v>286864.01546496</v>
      </c>
      <c r="H106" s="223" t="n">
        <f aca="false">H85-H96</f>
        <v>280360.90560768</v>
      </c>
      <c r="I106" s="223" t="n">
        <f aca="false">I85-I96</f>
        <v>273857.7957504</v>
      </c>
      <c r="J106" s="223" t="n">
        <f aca="false">J85-J96</f>
        <v>267354.68589312</v>
      </c>
      <c r="K106" s="223" t="n">
        <f aca="false">K85-K96</f>
        <v>260851.57603584</v>
      </c>
      <c r="L106" s="223" t="n">
        <f aca="false">L85-L96</f>
        <v>254348.46617856</v>
      </c>
      <c r="M106" s="223" t="n">
        <f aca="false">M85-M96</f>
        <v>247845.35632128</v>
      </c>
      <c r="N106" s="223" t="n">
        <f aca="false">N85-N96</f>
        <v>241342.246464</v>
      </c>
      <c r="O106" s="223" t="n">
        <f aca="false">O85-O96</f>
        <v>234839.13660672</v>
      </c>
      <c r="P106" s="223" t="n">
        <f aca="false">P85-P96</f>
        <v>228336.02674944</v>
      </c>
      <c r="Q106" s="223" t="n">
        <f aca="false">Q85-Q96</f>
        <v>221832.91689216</v>
      </c>
      <c r="R106" s="223" t="n">
        <f aca="false">R85-R96</f>
        <v>215329.80703488</v>
      </c>
      <c r="S106" s="223" t="n">
        <f aca="false">S85-S96</f>
        <v>208826.6971776</v>
      </c>
      <c r="T106" s="223" t="n">
        <f aca="false">T85-T96</f>
        <v>202323.58732032</v>
      </c>
      <c r="U106" s="223" t="n">
        <f aca="false">U85-U96</f>
        <v>195820.47746304</v>
      </c>
      <c r="V106" s="223" t="n">
        <f aca="false">V85-V96</f>
        <v>189317.36760576</v>
      </c>
      <c r="W106" s="223" t="n">
        <f aca="false">W85-W96</f>
        <v>182814.25774848</v>
      </c>
      <c r="X106" s="228"/>
    </row>
    <row r="107" customFormat="false" ht="17.15" hidden="false" customHeight="false" outlineLevel="0" collapsed="false">
      <c r="B107" s="235" t="s">
        <v>89</v>
      </c>
      <c r="C107" s="239" t="n">
        <f aca="false">IRR(D106:W106)</f>
        <v>0.00667522000253615</v>
      </c>
      <c r="D107" s="224"/>
      <c r="E107" s="224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</row>
    <row r="108" customFormat="false" ht="15" hidden="false" customHeight="false" outlineLevel="0" collapsed="false"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</row>
    <row r="109" customFormat="false" ht="15" hidden="false" customHeight="false" outlineLevel="0" collapsed="false">
      <c r="B109" s="219" t="s">
        <v>90</v>
      </c>
      <c r="C109" s="220" t="n">
        <v>0</v>
      </c>
      <c r="D109" s="220" t="n">
        <f aca="false">D92</f>
        <v>18490640</v>
      </c>
      <c r="E109" s="220" t="n">
        <f aca="false">D109+E93</f>
        <v>18490640</v>
      </c>
      <c r="F109" s="220" t="n">
        <f aca="false">E109+F93</f>
        <v>18490640</v>
      </c>
      <c r="G109" s="220" t="n">
        <f aca="false">F109+G93</f>
        <v>18490640</v>
      </c>
      <c r="H109" s="220" t="n">
        <f aca="false">G109+H93</f>
        <v>18490640</v>
      </c>
      <c r="I109" s="220" t="n">
        <f aca="false">H109+I93</f>
        <v>18490640</v>
      </c>
      <c r="J109" s="220" t="n">
        <f aca="false">I109+J93</f>
        <v>18490640</v>
      </c>
      <c r="K109" s="220" t="n">
        <f aca="false">J109+K93</f>
        <v>18490640</v>
      </c>
      <c r="L109" s="220" t="n">
        <f aca="false">K109+L93</f>
        <v>18490640</v>
      </c>
      <c r="M109" s="220" t="n">
        <f aca="false">L109+M93</f>
        <v>18490640</v>
      </c>
      <c r="N109" s="220" t="n">
        <f aca="false">M109+N93</f>
        <v>18490640</v>
      </c>
      <c r="O109" s="220" t="n">
        <f aca="false">N109+O93</f>
        <v>18490640</v>
      </c>
      <c r="P109" s="220" t="n">
        <f aca="false">O109+P93</f>
        <v>18490640</v>
      </c>
      <c r="Q109" s="220" t="n">
        <f aca="false">P109+Q93</f>
        <v>18490640</v>
      </c>
      <c r="R109" s="220" t="n">
        <f aca="false">Q109+R93</f>
        <v>18490640</v>
      </c>
      <c r="S109" s="220" t="n">
        <f aca="false">R109+S93</f>
        <v>18490640</v>
      </c>
      <c r="T109" s="220" t="n">
        <f aca="false">S109+T93</f>
        <v>18490640</v>
      </c>
      <c r="U109" s="220" t="n">
        <f aca="false">T109+U93</f>
        <v>18490640</v>
      </c>
      <c r="V109" s="220" t="n">
        <f aca="false">U109+V93</f>
        <v>18490640</v>
      </c>
      <c r="W109" s="220" t="n">
        <f aca="false">V109+W93</f>
        <v>18490640</v>
      </c>
      <c r="X109" s="224"/>
    </row>
    <row r="111" customFormat="false" ht="15" hidden="false" customHeight="false" outlineLevel="0" collapsed="false">
      <c r="B111" s="240"/>
    </row>
    <row r="112" customFormat="false" ht="16.5" hidden="false" customHeight="true" outlineLevel="0" collapsed="false">
      <c r="G112" s="2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24" t="s">
        <v>0</v>
      </c>
      <c r="C1" s="125"/>
      <c r="D1" s="125"/>
      <c r="E1" s="126"/>
      <c r="P1" s="127" t="n">
        <f aca="false">1-D11</f>
        <v>0.99</v>
      </c>
      <c r="Q1" s="127" t="n">
        <f aca="false">P1-$D12</f>
        <v>0.986</v>
      </c>
      <c r="R1" s="127" t="n">
        <f aca="false">Q1-$D12</f>
        <v>0.982</v>
      </c>
      <c r="S1" s="127" t="n">
        <f aca="false">R1-$D12</f>
        <v>0.978</v>
      </c>
      <c r="T1" s="127" t="n">
        <f aca="false">S1-$D12</f>
        <v>0.974</v>
      </c>
      <c r="U1" s="127" t="n">
        <f aca="false">T1-$D12</f>
        <v>0.97</v>
      </c>
      <c r="V1" s="127" t="n">
        <f aca="false">U1-$D12</f>
        <v>0.966</v>
      </c>
      <c r="W1" s="127" t="n">
        <f aca="false">V1-$D12</f>
        <v>0.962</v>
      </c>
      <c r="X1" s="127" t="n">
        <f aca="false">W1-$D12</f>
        <v>0.958</v>
      </c>
      <c r="Y1" s="127" t="n">
        <f aca="false">X1-$D12</f>
        <v>0.954</v>
      </c>
      <c r="Z1" s="127" t="n">
        <f aca="false">Y1-$D12</f>
        <v>0.95</v>
      </c>
      <c r="AA1" s="127" t="n">
        <f aca="false">Z1-$D12</f>
        <v>0.946</v>
      </c>
      <c r="AB1" s="127" t="n">
        <f aca="false">AA1-$D12</f>
        <v>0.942</v>
      </c>
      <c r="AC1" s="127" t="n">
        <f aca="false">AB1-$D12</f>
        <v>0.938</v>
      </c>
      <c r="AD1" s="127" t="n">
        <f aca="false">AC1-$D12</f>
        <v>0.934</v>
      </c>
      <c r="AE1" s="127" t="n">
        <f aca="false">AD1-$D12</f>
        <v>0.93</v>
      </c>
      <c r="AF1" s="127" t="n">
        <f aca="false">AE1-$D12</f>
        <v>0.926</v>
      </c>
      <c r="AG1" s="127" t="n">
        <f aca="false">AF1-$D12</f>
        <v>0.922</v>
      </c>
      <c r="AH1" s="127" t="n">
        <f aca="false">AG1-$D12</f>
        <v>0.918</v>
      </c>
      <c r="AI1" s="127" t="n">
        <f aca="false">AH1-$D12</f>
        <v>0.914</v>
      </c>
    </row>
    <row r="2" customFormat="false" ht="21.75" hidden="false" customHeight="true" outlineLevel="0" collapsed="false">
      <c r="B2" s="128" t="s">
        <v>1</v>
      </c>
      <c r="C2" s="129" t="s">
        <v>105</v>
      </c>
      <c r="D2" s="130" t="s">
        <v>3</v>
      </c>
      <c r="E2" s="130" t="s">
        <v>3</v>
      </c>
    </row>
    <row r="3" customFormat="false" ht="21.75" hidden="false" customHeight="true" outlineLevel="0" collapsed="false">
      <c r="B3" s="131" t="s">
        <v>4</v>
      </c>
      <c r="C3" s="134" t="n">
        <v>20</v>
      </c>
      <c r="D3" s="133" t="s">
        <v>3</v>
      </c>
      <c r="E3" s="133" t="s">
        <v>3</v>
      </c>
    </row>
    <row r="4" customFormat="false" ht="21.75" hidden="false" customHeight="true" outlineLevel="0" collapsed="false">
      <c r="B4" s="131" t="s">
        <v>5</v>
      </c>
      <c r="C4" s="134" t="n">
        <v>436.1</v>
      </c>
      <c r="D4" s="133" t="s">
        <v>3</v>
      </c>
      <c r="E4" s="133" t="s">
        <v>3</v>
      </c>
      <c r="M4" s="0" t="s">
        <v>122</v>
      </c>
    </row>
    <row r="5" customFormat="false" ht="22.5" hidden="false" customHeight="true" outlineLevel="0" collapsed="false">
      <c r="B5" s="134" t="s">
        <v>6</v>
      </c>
      <c r="C5" s="134" t="n">
        <v>2020</v>
      </c>
      <c r="D5" s="134" t="s">
        <v>7</v>
      </c>
      <c r="E5" s="134" t="n">
        <v>2039</v>
      </c>
      <c r="M5" s="0" t="s">
        <v>123</v>
      </c>
    </row>
    <row r="6" customFormat="false" ht="20.25" hidden="false" customHeight="true" outlineLevel="0" collapsed="false">
      <c r="B6" s="135"/>
      <c r="C6" s="135"/>
      <c r="D6" s="135"/>
      <c r="E6" s="135"/>
      <c r="M6" s="0" t="s">
        <v>124</v>
      </c>
    </row>
    <row r="7" customFormat="false" ht="22.5" hidden="false" customHeight="true" outlineLevel="0" collapsed="false">
      <c r="B7" s="136" t="s">
        <v>8</v>
      </c>
      <c r="C7" s="125"/>
      <c r="D7" s="125"/>
      <c r="E7" s="126"/>
      <c r="M7" s="0" t="s">
        <v>125</v>
      </c>
    </row>
    <row r="8" customFormat="false" ht="22.5" hidden="false" customHeight="true" outlineLevel="0" collapsed="false">
      <c r="B8" s="137" t="s">
        <v>9</v>
      </c>
      <c r="C8" s="138"/>
      <c r="D8" s="138"/>
      <c r="E8" s="139"/>
      <c r="M8" s="0" t="s">
        <v>126</v>
      </c>
    </row>
    <row r="9" customFormat="false" ht="22.5" hidden="false" customHeight="true" outlineLevel="0" collapsed="false">
      <c r="B9" s="140" t="s">
        <v>10</v>
      </c>
      <c r="C9" s="141" t="s">
        <v>11</v>
      </c>
      <c r="D9" s="141" t="s">
        <v>12</v>
      </c>
      <c r="E9" s="142" t="s">
        <v>13</v>
      </c>
      <c r="M9" s="0" t="s">
        <v>111</v>
      </c>
    </row>
    <row r="10" customFormat="false" ht="21.75" hidden="false" customHeight="true" outlineLevel="0" collapsed="false">
      <c r="B10" s="143" t="s">
        <v>14</v>
      </c>
      <c r="C10" s="129" t="s">
        <v>112</v>
      </c>
      <c r="D10" s="129" t="n">
        <v>547002</v>
      </c>
      <c r="E10" s="143" t="n">
        <v>20</v>
      </c>
      <c r="M10" s="0" t="s">
        <v>98</v>
      </c>
    </row>
    <row r="11" customFormat="false" ht="21.75" hidden="false" customHeight="true" outlineLevel="0" collapsed="false">
      <c r="B11" s="144"/>
      <c r="C11" s="134" t="s">
        <v>16</v>
      </c>
      <c r="D11" s="134" t="n">
        <v>0.01</v>
      </c>
      <c r="E11" s="144"/>
    </row>
    <row r="12" customFormat="false" ht="21.75" hidden="false" customHeight="true" outlineLevel="0" collapsed="false">
      <c r="B12" s="144"/>
      <c r="C12" s="134" t="s">
        <v>17</v>
      </c>
      <c r="D12" s="134" t="n">
        <v>0.004</v>
      </c>
      <c r="E12" s="144"/>
    </row>
    <row r="13" customFormat="false" ht="22.5" hidden="false" customHeight="true" outlineLevel="0" collapsed="false">
      <c r="B13" s="144"/>
      <c r="C13" s="145" t="s">
        <v>114</v>
      </c>
      <c r="D13" s="145" t="n">
        <v>3.7152</v>
      </c>
      <c r="E13" s="144"/>
    </row>
    <row r="14" customFormat="false" ht="22.5" hidden="false" customHeight="true" outlineLevel="0" collapsed="false">
      <c r="B14" s="146" t="s">
        <v>19</v>
      </c>
      <c r="C14" s="125"/>
      <c r="D14" s="125"/>
      <c r="E14" s="126"/>
    </row>
    <row r="15" customFormat="false" ht="22.5" hidden="false" customHeight="true" outlineLevel="0" collapsed="false">
      <c r="B15" s="140" t="s">
        <v>10</v>
      </c>
      <c r="C15" s="141" t="s">
        <v>11</v>
      </c>
      <c r="D15" s="141" t="s">
        <v>12</v>
      </c>
      <c r="E15" s="147" t="s">
        <v>20</v>
      </c>
    </row>
    <row r="16" customFormat="false" ht="21.75" hidden="false" customHeight="true" outlineLevel="0" collapsed="false">
      <c r="B16" s="148" t="s">
        <v>115</v>
      </c>
      <c r="C16" s="128" t="s">
        <v>22</v>
      </c>
      <c r="D16" s="129" t="n">
        <v>33000</v>
      </c>
      <c r="E16" s="149" t="n">
        <v>20</v>
      </c>
    </row>
    <row r="17" customFormat="false" ht="21.75" hidden="false" customHeight="true" outlineLevel="0" collapsed="false">
      <c r="B17" s="144"/>
      <c r="C17" s="134" t="s">
        <v>23</v>
      </c>
      <c r="D17" s="134" t="n">
        <v>0.3</v>
      </c>
      <c r="E17" s="144"/>
    </row>
    <row r="18" customFormat="false" ht="21.75" hidden="false" customHeight="true" outlineLevel="0" collapsed="false">
      <c r="B18" s="150"/>
      <c r="C18" s="134" t="s">
        <v>24</v>
      </c>
      <c r="D18" s="134" t="n">
        <v>3000</v>
      </c>
      <c r="E18" s="150"/>
    </row>
    <row r="19" customFormat="false" ht="54" hidden="false" customHeight="true" outlineLevel="0" collapsed="false">
      <c r="B19" s="151" t="s">
        <v>25</v>
      </c>
      <c r="C19" s="152" t="s">
        <v>26</v>
      </c>
      <c r="D19" s="134" t="n">
        <v>2</v>
      </c>
      <c r="E19" s="130" t="n">
        <v>0</v>
      </c>
    </row>
    <row r="20" customFormat="false" ht="20.25" hidden="false" customHeight="true" outlineLevel="0" collapsed="false">
      <c r="B20" s="144"/>
      <c r="C20" s="153" t="s">
        <v>116</v>
      </c>
      <c r="D20" s="134" t="n">
        <v>0</v>
      </c>
      <c r="E20" s="130" t="n">
        <v>20</v>
      </c>
    </row>
    <row r="21" customFormat="false" ht="21.75" hidden="false" customHeight="true" outlineLevel="0" collapsed="false">
      <c r="B21" s="150"/>
      <c r="C21" s="134" t="s">
        <v>117</v>
      </c>
      <c r="D21" s="134" t="n">
        <v>0.3</v>
      </c>
      <c r="E21" s="133" t="n">
        <v>0</v>
      </c>
    </row>
    <row r="22" customFormat="false" ht="21.75" hidden="false" customHeight="true" outlineLevel="0" collapsed="false">
      <c r="B22" s="134" t="s">
        <v>29</v>
      </c>
      <c r="C22" s="134" t="s">
        <v>118</v>
      </c>
      <c r="D22" s="134" t="n">
        <v>400</v>
      </c>
      <c r="E22" s="133" t="n">
        <v>20</v>
      </c>
    </row>
    <row r="23" customFormat="false" ht="21.75" hidden="false" customHeight="true" outlineLevel="0" collapsed="false">
      <c r="B23" s="134" t="s">
        <v>31</v>
      </c>
      <c r="C23" s="131" t="s">
        <v>32</v>
      </c>
      <c r="D23" s="134" t="n">
        <v>0.003</v>
      </c>
      <c r="E23" s="133" t="n">
        <v>20</v>
      </c>
    </row>
    <row r="24" customFormat="false" ht="21.75" hidden="false" customHeight="true" outlineLevel="0" collapsed="false">
      <c r="B24" s="134" t="s">
        <v>33</v>
      </c>
      <c r="C24" s="134" t="s">
        <v>119</v>
      </c>
      <c r="D24" s="134" t="n">
        <v>1000</v>
      </c>
      <c r="E24" s="133" t="n">
        <v>10</v>
      </c>
    </row>
    <row r="25" customFormat="false" ht="21.75" hidden="false" customHeight="true" outlineLevel="0" collapsed="false">
      <c r="B25" s="134" t="s">
        <v>35</v>
      </c>
      <c r="C25" s="134" t="s">
        <v>36</v>
      </c>
      <c r="D25" s="134" t="n">
        <v>0.025595</v>
      </c>
      <c r="E25" s="133" t="n">
        <v>0</v>
      </c>
    </row>
    <row r="26" customFormat="false" ht="22.5" hidden="false" customHeight="true" outlineLevel="0" collapsed="false">
      <c r="B26" s="134" t="s">
        <v>37</v>
      </c>
      <c r="C26" s="134" t="s">
        <v>38</v>
      </c>
      <c r="D26" s="134" t="n">
        <v>0.2</v>
      </c>
      <c r="E26" s="133" t="n">
        <v>0</v>
      </c>
    </row>
    <row r="27" customFormat="false" ht="20.25" hidden="false" customHeight="true" outlineLevel="0" collapsed="false">
      <c r="B27" s="135"/>
      <c r="C27" s="135"/>
      <c r="D27" s="135"/>
      <c r="E27" s="135"/>
    </row>
    <row r="28" customFormat="false" ht="20.25" hidden="false" customHeight="true" outlineLevel="0" collapsed="false">
      <c r="B28" s="135"/>
      <c r="C28" s="135"/>
      <c r="D28" s="135"/>
      <c r="E28" s="135"/>
    </row>
    <row r="29" customFormat="false" ht="22.5" hidden="false" customHeight="true" outlineLevel="0" collapsed="false">
      <c r="B29" s="136" t="s">
        <v>39</v>
      </c>
      <c r="C29" s="125"/>
      <c r="D29" s="126"/>
      <c r="E29" s="135"/>
    </row>
    <row r="30" customFormat="false" ht="22.5" hidden="false" customHeight="true" outlineLevel="0" collapsed="false">
      <c r="B30" s="140" t="s">
        <v>40</v>
      </c>
      <c r="C30" s="141" t="s">
        <v>11</v>
      </c>
      <c r="D30" s="147" t="s">
        <v>12</v>
      </c>
      <c r="E30" s="135"/>
    </row>
    <row r="31" customFormat="false" ht="18.75" hidden="false" customHeight="true" outlineLevel="0" collapsed="false">
      <c r="B31" s="128" t="s">
        <v>41</v>
      </c>
      <c r="C31" s="128" t="s">
        <v>42</v>
      </c>
      <c r="D31" s="129" t="n">
        <v>0.8</v>
      </c>
      <c r="E31" s="135"/>
    </row>
    <row r="32" customFormat="false" ht="18.75" hidden="false" customHeight="true" outlineLevel="0" collapsed="false">
      <c r="B32" s="129" t="s">
        <v>43</v>
      </c>
      <c r="C32" s="129" t="s">
        <v>44</v>
      </c>
      <c r="D32" s="129" t="n">
        <v>15</v>
      </c>
      <c r="E32" s="135"/>
    </row>
    <row r="33" customFormat="false" ht="18.75" hidden="false" customHeight="true" outlineLevel="0" collapsed="false">
      <c r="B33" s="134" t="s">
        <v>45</v>
      </c>
      <c r="C33" s="134" t="s">
        <v>46</v>
      </c>
      <c r="D33" s="134" t="n">
        <v>0.9</v>
      </c>
      <c r="E33" s="135"/>
    </row>
    <row r="34" customFormat="false" ht="18.75" hidden="false" customHeight="true" outlineLevel="0" collapsed="false">
      <c r="B34" s="134" t="s">
        <v>47</v>
      </c>
      <c r="C34" s="134" t="s">
        <v>44</v>
      </c>
      <c r="D34" s="134" t="n">
        <v>4</v>
      </c>
      <c r="E34" s="135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97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54" t="n">
        <v>0</v>
      </c>
      <c r="C38" s="155"/>
      <c r="D38" s="156"/>
      <c r="E38" s="156"/>
      <c r="F38" s="157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9"/>
      <c r="U38" s="158"/>
      <c r="V38" s="158"/>
      <c r="W38" s="158"/>
      <c r="X38" s="160"/>
    </row>
    <row r="39" customFormat="false" ht="18.75" hidden="false" customHeight="true" outlineLevel="0" collapsed="false">
      <c r="B39" s="161" t="s">
        <v>51</v>
      </c>
      <c r="C39" s="162" t="n">
        <v>0</v>
      </c>
      <c r="D39" s="163" t="n">
        <v>1</v>
      </c>
      <c r="E39" s="163" t="n">
        <v>2</v>
      </c>
      <c r="F39" s="163" t="n">
        <v>3</v>
      </c>
      <c r="G39" s="163" t="n">
        <v>4</v>
      </c>
      <c r="H39" s="163" t="n">
        <v>5</v>
      </c>
      <c r="I39" s="163" t="n">
        <v>6</v>
      </c>
      <c r="J39" s="163" t="n">
        <v>7</v>
      </c>
      <c r="K39" s="163" t="n">
        <v>8</v>
      </c>
      <c r="L39" s="163" t="n">
        <v>9</v>
      </c>
      <c r="M39" s="163" t="n">
        <v>10</v>
      </c>
      <c r="N39" s="163" t="n">
        <v>11</v>
      </c>
      <c r="O39" s="163" t="n">
        <v>12</v>
      </c>
      <c r="P39" s="163" t="n">
        <v>13</v>
      </c>
      <c r="Q39" s="163" t="n">
        <v>14</v>
      </c>
      <c r="R39" s="163" t="n">
        <v>15</v>
      </c>
      <c r="S39" s="163" t="n">
        <v>16</v>
      </c>
      <c r="T39" s="164" t="n">
        <v>17</v>
      </c>
      <c r="U39" s="163" t="n">
        <v>18</v>
      </c>
      <c r="V39" s="163" t="n">
        <v>19</v>
      </c>
      <c r="W39" s="163" t="n">
        <v>20</v>
      </c>
      <c r="X39" s="47"/>
    </row>
    <row r="40" customFormat="false" ht="18.75" hidden="false" customHeight="true" outlineLevel="0" collapsed="false">
      <c r="B40" s="165" t="s">
        <v>52</v>
      </c>
      <c r="C40" s="166" t="n">
        <v>0</v>
      </c>
      <c r="D40" s="167" t="n">
        <f aca="false">$D$10*P1</f>
        <v>541531.98</v>
      </c>
      <c r="E40" s="167" t="n">
        <f aca="false">$D$10*Q1</f>
        <v>539343.972</v>
      </c>
      <c r="F40" s="167" t="n">
        <f aca="false">$D$10*R1</f>
        <v>537155.964</v>
      </c>
      <c r="G40" s="167" t="n">
        <f aca="false">$D$10*S1</f>
        <v>534967.956</v>
      </c>
      <c r="H40" s="167" t="n">
        <f aca="false">$D$10*T1</f>
        <v>532779.948</v>
      </c>
      <c r="I40" s="167" t="n">
        <f aca="false">$D$10*U1</f>
        <v>530591.94</v>
      </c>
      <c r="J40" s="167" t="n">
        <f aca="false">$D$10*V1</f>
        <v>528403.932</v>
      </c>
      <c r="K40" s="167" t="n">
        <f aca="false">$D$10*W1</f>
        <v>526215.924</v>
      </c>
      <c r="L40" s="167" t="n">
        <f aca="false">$D$10*X1</f>
        <v>524027.916</v>
      </c>
      <c r="M40" s="167" t="n">
        <f aca="false">$D$10*Y1</f>
        <v>521839.908</v>
      </c>
      <c r="N40" s="167" t="n">
        <f aca="false">$D$10*Z1</f>
        <v>519651.9</v>
      </c>
      <c r="O40" s="167" t="n">
        <f aca="false">$D$10*AA1</f>
        <v>517463.892</v>
      </c>
      <c r="P40" s="167" t="n">
        <f aca="false">$D$10*AB1</f>
        <v>515275.884</v>
      </c>
      <c r="Q40" s="167" t="n">
        <f aca="false">$D$10*AC1</f>
        <v>513087.876</v>
      </c>
      <c r="R40" s="167" t="n">
        <f aca="false">$D$10*AD1</f>
        <v>510899.868</v>
      </c>
      <c r="S40" s="167" t="n">
        <f aca="false">$D$10*AE1</f>
        <v>508711.86</v>
      </c>
      <c r="T40" s="167" t="n">
        <f aca="false">$D$10*AF1</f>
        <v>506523.852</v>
      </c>
      <c r="U40" s="167" t="n">
        <f aca="false">$D$10*AG1</f>
        <v>504335.844</v>
      </c>
      <c r="V40" s="167" t="n">
        <f aca="false">$D$10*AH1</f>
        <v>502147.836</v>
      </c>
      <c r="W40" s="167" t="n">
        <f aca="false">$D$10*AI1</f>
        <v>499959.828</v>
      </c>
      <c r="X40" s="168"/>
    </row>
    <row r="41" customFormat="false" ht="18.75" hidden="false" customHeight="true" outlineLevel="0" collapsed="false">
      <c r="B41" s="169" t="s">
        <v>53</v>
      </c>
      <c r="C41" s="170" t="s">
        <v>3</v>
      </c>
      <c r="D41" s="171" t="n">
        <f aca="false">D40*$D$13</f>
        <v>2011899.612096</v>
      </c>
      <c r="E41" s="171" t="n">
        <f aca="false">E40*$D$13</f>
        <v>2003770.7247744</v>
      </c>
      <c r="F41" s="171" t="n">
        <f aca="false">F40*$D$13</f>
        <v>1995641.8374528</v>
      </c>
      <c r="G41" s="171" t="n">
        <f aca="false">G40*$D$13</f>
        <v>1987512.9501312</v>
      </c>
      <c r="H41" s="171" t="n">
        <f aca="false">H40*$D$13</f>
        <v>1979384.0628096</v>
      </c>
      <c r="I41" s="171" t="n">
        <f aca="false">I40*$D$13</f>
        <v>1971255.175488</v>
      </c>
      <c r="J41" s="171" t="n">
        <f aca="false">J40*$D$13</f>
        <v>1963126.2881664</v>
      </c>
      <c r="K41" s="171" t="n">
        <f aca="false">K40*$D$13</f>
        <v>1954997.4008448</v>
      </c>
      <c r="L41" s="171" t="n">
        <f aca="false">L40*$D$13</f>
        <v>1946868.5135232</v>
      </c>
      <c r="M41" s="171" t="n">
        <f aca="false">M40*$D$13</f>
        <v>1938739.6262016</v>
      </c>
      <c r="N41" s="171" t="n">
        <f aca="false">N40*$D$13</f>
        <v>1930610.73888</v>
      </c>
      <c r="O41" s="171" t="n">
        <f aca="false">O40*$D$13</f>
        <v>1922481.8515584</v>
      </c>
      <c r="P41" s="171" t="n">
        <f aca="false">P40*$D$13</f>
        <v>1914352.9642368</v>
      </c>
      <c r="Q41" s="171" t="n">
        <f aca="false">Q40*$D$13</f>
        <v>1906224.0769152</v>
      </c>
      <c r="R41" s="171" t="n">
        <f aca="false">R40*$D$13</f>
        <v>1898095.1895936</v>
      </c>
      <c r="S41" s="171" t="n">
        <f aca="false">S40*$D$13</f>
        <v>1889966.302272</v>
      </c>
      <c r="T41" s="171" t="n">
        <f aca="false">T40*$D$13</f>
        <v>1881837.4149504</v>
      </c>
      <c r="U41" s="171" t="n">
        <f aca="false">U40*$D$13</f>
        <v>1873708.5276288</v>
      </c>
      <c r="V41" s="171" t="n">
        <f aca="false">V40*$D$13</f>
        <v>1865579.6403072</v>
      </c>
      <c r="W41" s="171" t="n">
        <f aca="false">W40*$D$13</f>
        <v>1857450.7529856</v>
      </c>
      <c r="X41" s="172"/>
    </row>
    <row r="42" customFormat="false" ht="18.75" hidden="false" customHeight="true" outlineLevel="0" collapsed="false">
      <c r="B42" s="173" t="s">
        <v>54</v>
      </c>
      <c r="C42" s="174" t="s">
        <v>3</v>
      </c>
      <c r="D42" s="175"/>
      <c r="E42" s="175"/>
      <c r="F42" s="175"/>
      <c r="G42" s="176" t="s">
        <v>3</v>
      </c>
      <c r="H42" s="176" t="s">
        <v>3</v>
      </c>
      <c r="I42" s="176" t="s">
        <v>3</v>
      </c>
      <c r="J42" s="176" t="s">
        <v>3</v>
      </c>
      <c r="K42" s="176" t="s">
        <v>3</v>
      </c>
      <c r="L42" s="176" t="s">
        <v>3</v>
      </c>
      <c r="M42" s="176" t="s">
        <v>3</v>
      </c>
      <c r="N42" s="176" t="s">
        <v>3</v>
      </c>
      <c r="O42" s="176" t="s">
        <v>3</v>
      </c>
      <c r="P42" s="176" t="s">
        <v>3</v>
      </c>
      <c r="Q42" s="176" t="s">
        <v>3</v>
      </c>
      <c r="R42" s="176" t="s">
        <v>3</v>
      </c>
      <c r="S42" s="176" t="s">
        <v>3</v>
      </c>
      <c r="T42" s="176" t="s">
        <v>3</v>
      </c>
      <c r="U42" s="176" t="s">
        <v>3</v>
      </c>
      <c r="V42" s="176" t="s">
        <v>3</v>
      </c>
      <c r="W42" s="176" t="s">
        <v>3</v>
      </c>
      <c r="X42" s="177"/>
    </row>
    <row r="43" customFormat="false" ht="18.75" hidden="false" customHeight="true" outlineLevel="0" collapsed="false">
      <c r="B43" s="178" t="s">
        <v>55</v>
      </c>
      <c r="C43" s="179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customFormat="false" ht="18.75" hidden="false" customHeight="true" outlineLevel="0" collapsed="false">
      <c r="B44" s="182" t="s">
        <v>56</v>
      </c>
      <c r="C44" s="183" t="n">
        <f aca="false">-(D16/(1-D17)+D18)*C4</f>
        <v>-21867300</v>
      </c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 customFormat="false" ht="18.75" hidden="false" customHeight="true" outlineLevel="0" collapsed="false">
      <c r="B45" s="182" t="s">
        <v>57</v>
      </c>
      <c r="C45" s="174" t="s">
        <v>3</v>
      </c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</row>
    <row r="46" customFormat="false" ht="18.75" hidden="false" customHeight="true" outlineLevel="0" collapsed="false">
      <c r="B46" s="182" t="s">
        <v>58</v>
      </c>
      <c r="C46" s="17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 customFormat="false" ht="18.75" hidden="false" customHeight="true" outlineLevel="0" collapsed="false">
      <c r="B47" s="182" t="s">
        <v>59</v>
      </c>
      <c r="C47" s="174" t="s">
        <v>3</v>
      </c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 customFormat="false" ht="18.75" hidden="false" customHeight="true" outlineLevel="0" collapsed="false">
      <c r="B48" s="182" t="s">
        <v>60</v>
      </c>
      <c r="C48" s="174" t="s">
        <v>3</v>
      </c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</row>
    <row r="49" customFormat="false" ht="18.75" hidden="false" customHeight="true" outlineLevel="0" collapsed="false">
      <c r="B49" s="182" t="s">
        <v>61</v>
      </c>
      <c r="C49" s="174" t="s">
        <v>3</v>
      </c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</row>
    <row r="50" customFormat="false" ht="18.75" hidden="false" customHeight="true" outlineLevel="0" collapsed="false">
      <c r="B50" s="182" t="s">
        <v>62</v>
      </c>
      <c r="C50" s="17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</row>
    <row r="51" customFormat="false" ht="18.75" hidden="false" customHeight="true" outlineLevel="0" collapsed="false">
      <c r="B51" s="182" t="s">
        <v>63</v>
      </c>
      <c r="C51" s="185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 customFormat="false" ht="18.75" hidden="false" customHeight="true" outlineLevel="0" collapsed="false">
      <c r="B52" s="182" t="s">
        <v>64</v>
      </c>
      <c r="C52" s="185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 customFormat="false" ht="18.75" hidden="false" customHeight="true" outlineLevel="0" collapsed="false">
      <c r="B53" s="186" t="s">
        <v>65</v>
      </c>
      <c r="C53" s="185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 customFormat="false" ht="18.75" hidden="false" customHeight="true" outlineLevel="0" collapsed="false">
      <c r="B54" s="186" t="s">
        <v>66</v>
      </c>
      <c r="C54" s="185"/>
      <c r="D54" s="184" t="n">
        <f aca="false">-(D64+D67+D68+D71+D72+D73+D74)*0.2</f>
        <v>-183706.9224192</v>
      </c>
      <c r="E54" s="184" t="n">
        <f aca="false">-(E64+E67+E68+E71+E72+E73+E74)*0.2</f>
        <v>-182081.14495488</v>
      </c>
      <c r="F54" s="184" t="n">
        <f aca="false">-(F64+F67+F68+F71+F72+F73+F74)*0.2</f>
        <v>-180455.36749056</v>
      </c>
      <c r="G54" s="184" t="n">
        <f aca="false">-(G64+G67+G68+G71+G72+G73+G74)*0.2</f>
        <v>-178829.59002624</v>
      </c>
      <c r="H54" s="184" t="n">
        <f aca="false">-(H64+H67+H68+H71+H72+H73+H74)*0.2</f>
        <v>-177203.81256192</v>
      </c>
      <c r="I54" s="184" t="n">
        <f aca="false">-(I64+I67+I68+I71+I72+I73+I74)*0.2</f>
        <v>-175578.0350976</v>
      </c>
      <c r="J54" s="184" t="n">
        <f aca="false">-(J64+J67+J68+J71+J72+J73+J74)*0.2</f>
        <v>-173952.25763328</v>
      </c>
      <c r="K54" s="184" t="n">
        <f aca="false">-(K64+K67+K68+K71+K72+K73+K74)*0.2</f>
        <v>-172326.48016896</v>
      </c>
      <c r="L54" s="184" t="n">
        <f aca="false">-(L64+L67+L68+L71+L72+L73+L74)*0.2</f>
        <v>-170700.70270464</v>
      </c>
      <c r="M54" s="184" t="n">
        <f aca="false">-(M64+M67+M68+M71+M72+M73+M74)*0.2</f>
        <v>-169074.92524032</v>
      </c>
      <c r="N54" s="184" t="n">
        <f aca="false">-(N64+N67+N68+N71+N72+N73+N74)*0.2</f>
        <v>-167449.147776</v>
      </c>
      <c r="O54" s="184" t="n">
        <f aca="false">-(O64+O67+O68+O71+O72+O73+O74)*0.2</f>
        <v>-165823.37031168</v>
      </c>
      <c r="P54" s="184" t="n">
        <f aca="false">-(P64+P67+P68+P71+P72+P73+P74)*0.2</f>
        <v>-164197.59284736</v>
      </c>
      <c r="Q54" s="184" t="n">
        <f aca="false">-(Q64+Q67+Q68+Q71+Q72+Q73+Q74)*0.2</f>
        <v>-162571.81538304</v>
      </c>
      <c r="R54" s="184" t="n">
        <f aca="false">-(R64+R67+R68+R71+R72+R73+R74)*0.2</f>
        <v>-160946.03791872</v>
      </c>
      <c r="S54" s="184" t="n">
        <f aca="false">-(S64+S67+S68+S71+S72+S73+S74)*0.2</f>
        <v>-159320.2604544</v>
      </c>
      <c r="T54" s="184" t="n">
        <f aca="false">-(T64+T67+T68+T71+T72+T73+T74)*0.2</f>
        <v>-157694.48299008</v>
      </c>
      <c r="U54" s="184" t="n">
        <f aca="false">-(U64+U67+U68+U71+U72+U73+U74)*0.2</f>
        <v>-156068.70552576</v>
      </c>
      <c r="V54" s="184" t="n">
        <f aca="false">-(V64+V67+V68+V71+V72+V73+V74)*0.2</f>
        <v>-154442.92806144</v>
      </c>
      <c r="W54" s="184" t="n">
        <f aca="false">-(W64+W67+W68+W71+W72+W73+W74)*0.2</f>
        <v>-152817.15059712</v>
      </c>
      <c r="X54" s="175"/>
    </row>
    <row r="55" customFormat="false" ht="18.75" hidden="false" customHeight="true" outlineLevel="0" collapsed="false">
      <c r="B55" s="187" t="s">
        <v>67</v>
      </c>
      <c r="C55" s="188" t="n">
        <f aca="false">C44</f>
        <v>-21867300</v>
      </c>
      <c r="D55" s="189" t="n">
        <f aca="false">SUM(D41:D54)</f>
        <v>1828192.6896768</v>
      </c>
      <c r="E55" s="189" t="n">
        <f aca="false">SUM(E41:E54)</f>
        <v>1821689.57981952</v>
      </c>
      <c r="F55" s="189" t="n">
        <f aca="false">SUM(F41:F54)</f>
        <v>1815186.46996224</v>
      </c>
      <c r="G55" s="189" t="n">
        <f aca="false">SUM(G41:G54)</f>
        <v>1808683.36010496</v>
      </c>
      <c r="H55" s="189" t="n">
        <f aca="false">SUM(H41:H54)</f>
        <v>1802180.25024768</v>
      </c>
      <c r="I55" s="189" t="n">
        <f aca="false">SUM(I41:I54)</f>
        <v>1795677.1403904</v>
      </c>
      <c r="J55" s="189" t="n">
        <f aca="false">SUM(J41:J54)</f>
        <v>1789174.03053312</v>
      </c>
      <c r="K55" s="189" t="n">
        <f aca="false">SUM(K41:K54)</f>
        <v>1782670.92067584</v>
      </c>
      <c r="L55" s="189" t="n">
        <f aca="false">SUM(L41:L54)</f>
        <v>1776167.81081856</v>
      </c>
      <c r="M55" s="189" t="n">
        <f aca="false">SUM(M41:M54)</f>
        <v>1769664.70096128</v>
      </c>
      <c r="N55" s="189" t="n">
        <f aca="false">SUM(N41:N54)</f>
        <v>1763161.591104</v>
      </c>
      <c r="O55" s="189" t="n">
        <f aca="false">SUM(O41:O54)</f>
        <v>1756658.48124672</v>
      </c>
      <c r="P55" s="189" t="n">
        <f aca="false">SUM(P41:P54)</f>
        <v>1750155.37138944</v>
      </c>
      <c r="Q55" s="189" t="n">
        <f aca="false">SUM(Q41:Q54)</f>
        <v>1743652.26153216</v>
      </c>
      <c r="R55" s="189" t="n">
        <f aca="false">SUM(R41:R54)</f>
        <v>1737149.15167488</v>
      </c>
      <c r="S55" s="189" t="n">
        <f aca="false">SUM(S41:S54)</f>
        <v>1730646.0418176</v>
      </c>
      <c r="T55" s="189" t="n">
        <f aca="false">SUM(T41:T54)</f>
        <v>1724142.93196032</v>
      </c>
      <c r="U55" s="189" t="n">
        <f aca="false">SUM(U41:U54)</f>
        <v>1717639.82210304</v>
      </c>
      <c r="V55" s="189" t="n">
        <f aca="false">SUM(V41:V54)</f>
        <v>1711136.71224576</v>
      </c>
      <c r="W55" s="189" t="n">
        <f aca="false">SUM(W41:W54)</f>
        <v>1704633.60238848</v>
      </c>
      <c r="X55" s="190"/>
      <c r="Y55" s="191"/>
      <c r="Z55" s="192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</row>
    <row r="56" customFormat="false" ht="18.75" hidden="false" customHeight="true" outlineLevel="0" collapsed="false">
      <c r="B56" s="193" t="s">
        <v>68</v>
      </c>
      <c r="D56" s="194" t="n">
        <f aca="false">C55+D55</f>
        <v>-20039107.3103232</v>
      </c>
      <c r="E56" s="194" t="n">
        <f aca="false">D56+E55</f>
        <v>-18217417.7305037</v>
      </c>
      <c r="F56" s="194" t="n">
        <f aca="false">E56+F55</f>
        <v>-16402231.2605414</v>
      </c>
      <c r="G56" s="194" t="n">
        <f aca="false">F56+G55</f>
        <v>-14593547.9004365</v>
      </c>
      <c r="H56" s="194" t="n">
        <f aca="false">G56+H55</f>
        <v>-12791367.6501888</v>
      </c>
      <c r="I56" s="194" t="n">
        <f aca="false">H56+I55</f>
        <v>-10995690.5097984</v>
      </c>
      <c r="J56" s="194" t="n">
        <f aca="false">I56+J55</f>
        <v>-9206516.47926529</v>
      </c>
      <c r="K56" s="194" t="n">
        <f aca="false">J56+K55</f>
        <v>-7423845.55858945</v>
      </c>
      <c r="L56" s="194" t="n">
        <f aca="false">K56+L55</f>
        <v>-5647677.74777089</v>
      </c>
      <c r="M56" s="194" t="n">
        <f aca="false">L56+M55</f>
        <v>-3878013.04680961</v>
      </c>
      <c r="N56" s="194" t="n">
        <f aca="false">M56+N55</f>
        <v>-2114851.45570561</v>
      </c>
      <c r="O56" s="194" t="n">
        <f aca="false">N56+O55</f>
        <v>-358192.974458888</v>
      </c>
      <c r="P56" s="194" t="n">
        <f aca="false">O56+P55</f>
        <v>1391962.39693055</v>
      </c>
      <c r="Q56" s="194" t="n">
        <f aca="false">P56+Q55</f>
        <v>3135614.65846271</v>
      </c>
      <c r="R56" s="194" t="n">
        <f aca="false">Q56+R55</f>
        <v>4872763.81013759</v>
      </c>
      <c r="S56" s="194" t="n">
        <f aca="false">R56+S55</f>
        <v>6603409.85195519</v>
      </c>
      <c r="T56" s="194" t="n">
        <f aca="false">S56+T55</f>
        <v>8327552.78391551</v>
      </c>
      <c r="U56" s="194" t="n">
        <f aca="false">T56+U55</f>
        <v>10045192.6060186</v>
      </c>
      <c r="V56" s="194" t="n">
        <f aca="false">U56+V55</f>
        <v>11756329.3182643</v>
      </c>
      <c r="W56" s="194" t="n">
        <f aca="false">V56+W55</f>
        <v>13460962.9206528</v>
      </c>
      <c r="X56" s="194" t="n">
        <f aca="false">W56+X55</f>
        <v>13460962.9206528</v>
      </c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</row>
    <row r="57" customFormat="false" ht="18.75" hidden="false" customHeight="true" outlineLevel="0" collapsed="false">
      <c r="B57" s="195" t="s">
        <v>74</v>
      </c>
      <c r="C57" s="196"/>
      <c r="D57" s="197" t="str">
        <f aca="false">IF((D56)&gt;0,"回收","未回收")</f>
        <v>未回收</v>
      </c>
      <c r="E57" s="198" t="str">
        <f aca="false">IF((E56)&gt;0,"回收","未回收")</f>
        <v>未回收</v>
      </c>
      <c r="F57" s="198" t="str">
        <f aca="false">IF((F56)&gt;0,"回收","未回收")</f>
        <v>未回收</v>
      </c>
      <c r="G57" s="198" t="str">
        <f aca="false">IF((G56)&gt;0,"回收","未回收")</f>
        <v>未回收</v>
      </c>
      <c r="H57" s="198" t="str">
        <f aca="false">IF((H56)&gt;0,"回收","未回收")</f>
        <v>未回收</v>
      </c>
      <c r="I57" s="198" t="str">
        <f aca="false">IF((I56)&gt;0,"回收","未回收")</f>
        <v>未回收</v>
      </c>
      <c r="J57" s="198" t="str">
        <f aca="false">IF((J56)&gt;0,"回收","未回收")</f>
        <v>未回收</v>
      </c>
      <c r="K57" s="198" t="str">
        <f aca="false">IF((K56)&gt;0,"回收","未回收")</f>
        <v>未回收</v>
      </c>
      <c r="L57" s="198" t="str">
        <f aca="false">IF((L56)&gt;0,"回收","未回收")</f>
        <v>未回收</v>
      </c>
      <c r="M57" s="198" t="str">
        <f aca="false">IF((M56)&gt;0,"回收","未回收")</f>
        <v>未回收</v>
      </c>
      <c r="N57" s="198" t="str">
        <f aca="false">IF((N56)&gt;0,"回收","未回收")</f>
        <v>未回收</v>
      </c>
      <c r="O57" s="198" t="str">
        <f aca="false">IF((O56)&gt;0,"回收","未回收")</f>
        <v>未回收</v>
      </c>
      <c r="P57" s="198" t="str">
        <f aca="false">IF((P56)&gt;0,"回收","未回收")</f>
        <v>回收</v>
      </c>
      <c r="Q57" s="198" t="str">
        <f aca="false">IF((Q56)&gt;0,"回收","未回收")</f>
        <v>回收</v>
      </c>
      <c r="R57" s="198" t="str">
        <f aca="false">IF((R56)&gt;0,"回收","未回收")</f>
        <v>回收</v>
      </c>
      <c r="S57" s="198" t="str">
        <f aca="false">IF((S56)&gt;0,"回收","未回收")</f>
        <v>回收</v>
      </c>
      <c r="T57" s="198" t="str">
        <f aca="false">IF((T56)&gt;0,"回收","未回收")</f>
        <v>回收</v>
      </c>
      <c r="U57" s="198" t="str">
        <f aca="false">IF((U56)&gt;0,"回收","未回收")</f>
        <v>回收</v>
      </c>
      <c r="V57" s="198" t="str">
        <f aca="false">IF((V56)&gt;0,"回收","未回收")</f>
        <v>回收</v>
      </c>
      <c r="W57" s="198" t="str">
        <f aca="false">IF((W56)&gt;0,"回收","未回收")</f>
        <v>回收</v>
      </c>
      <c r="X57" s="198" t="str">
        <f aca="false">IF((X56)&gt;0,"回收","未回收")</f>
        <v>回收</v>
      </c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</row>
    <row r="58" customFormat="false" ht="18.75" hidden="false" customHeight="true" outlineLevel="0" collapsed="false">
      <c r="B58" s="199" t="s">
        <v>93</v>
      </c>
      <c r="C58" s="200" t="n">
        <f aca="false">IRR(C55:W55)</f>
        <v>0.0515012277555096</v>
      </c>
      <c r="D58" s="201"/>
      <c r="E58" s="201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</row>
    <row r="59" customFormat="false" ht="18.75" hidden="false" customHeight="true" outlineLevel="0" collapsed="false">
      <c r="B59" s="202"/>
      <c r="C59" s="201"/>
      <c r="D59" s="201"/>
      <c r="E59" s="201"/>
      <c r="F59" s="202"/>
      <c r="G59" s="202"/>
      <c r="H59" s="202"/>
      <c r="I59" s="202"/>
      <c r="J59" s="202"/>
      <c r="K59" s="202"/>
      <c r="L59" s="202"/>
      <c r="M59" s="201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customFormat="false" ht="18.75" hidden="false" customHeight="true" outlineLevel="0" collapsed="false">
      <c r="B60" s="97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54" t="n">
        <v>0</v>
      </c>
      <c r="C61" s="155"/>
      <c r="D61" s="156"/>
      <c r="E61" s="156"/>
      <c r="F61" s="157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203" t="s">
        <v>50</v>
      </c>
      <c r="U61" s="158"/>
      <c r="V61" s="158"/>
      <c r="W61" s="158"/>
      <c r="X61" s="160"/>
    </row>
    <row r="62" customFormat="false" ht="18.75" hidden="false" customHeight="true" outlineLevel="0" collapsed="false">
      <c r="B62" s="161" t="s">
        <v>51</v>
      </c>
      <c r="C62" s="162" t="n">
        <v>0</v>
      </c>
      <c r="D62" s="163" t="n">
        <v>1</v>
      </c>
      <c r="E62" s="163" t="n">
        <v>2</v>
      </c>
      <c r="F62" s="163" t="n">
        <v>3</v>
      </c>
      <c r="G62" s="163" t="n">
        <v>4</v>
      </c>
      <c r="H62" s="163" t="n">
        <v>5</v>
      </c>
      <c r="I62" s="163" t="n">
        <v>6</v>
      </c>
      <c r="J62" s="163" t="n">
        <v>7</v>
      </c>
      <c r="K62" s="163" t="n">
        <v>8</v>
      </c>
      <c r="L62" s="163" t="n">
        <v>9</v>
      </c>
      <c r="M62" s="163" t="n">
        <v>10</v>
      </c>
      <c r="N62" s="163" t="n">
        <v>11</v>
      </c>
      <c r="O62" s="163" t="n">
        <v>12</v>
      </c>
      <c r="P62" s="163" t="n">
        <v>13</v>
      </c>
      <c r="Q62" s="163" t="n">
        <v>14</v>
      </c>
      <c r="R62" s="163" t="n">
        <v>15</v>
      </c>
      <c r="S62" s="163" t="n">
        <v>16</v>
      </c>
      <c r="T62" s="204" t="n">
        <v>17</v>
      </c>
      <c r="U62" s="163" t="n">
        <v>18</v>
      </c>
      <c r="V62" s="163" t="n">
        <v>19</v>
      </c>
      <c r="W62" s="163" t="n">
        <v>20</v>
      </c>
      <c r="X62" s="47"/>
    </row>
    <row r="63" customFormat="false" ht="18.75" hidden="false" customHeight="true" outlineLevel="0" collapsed="false">
      <c r="B63" s="165" t="s">
        <v>52</v>
      </c>
      <c r="C63" s="166" t="n">
        <v>0</v>
      </c>
      <c r="D63" s="167" t="n">
        <f aca="false">D40</f>
        <v>541531.98</v>
      </c>
      <c r="E63" s="167" t="n">
        <f aca="false">E40</f>
        <v>539343.972</v>
      </c>
      <c r="F63" s="167" t="n">
        <f aca="false">F40</f>
        <v>537155.964</v>
      </c>
      <c r="G63" s="167" t="n">
        <f aca="false">G40</f>
        <v>534967.956</v>
      </c>
      <c r="H63" s="167" t="n">
        <f aca="false">H40</f>
        <v>532779.948</v>
      </c>
      <c r="I63" s="167" t="n">
        <f aca="false">I40</f>
        <v>530591.94</v>
      </c>
      <c r="J63" s="167" t="n">
        <f aca="false">J40</f>
        <v>528403.932</v>
      </c>
      <c r="K63" s="167" t="n">
        <f aca="false">K40</f>
        <v>526215.924</v>
      </c>
      <c r="L63" s="167" t="n">
        <f aca="false">L40</f>
        <v>524027.916</v>
      </c>
      <c r="M63" s="167" t="n">
        <f aca="false">M40</f>
        <v>521839.908</v>
      </c>
      <c r="N63" s="167" t="n">
        <f aca="false">N40</f>
        <v>519651.9</v>
      </c>
      <c r="O63" s="167" t="n">
        <f aca="false">O40</f>
        <v>517463.892</v>
      </c>
      <c r="P63" s="167" t="n">
        <f aca="false">P40</f>
        <v>515275.884</v>
      </c>
      <c r="Q63" s="167" t="n">
        <f aca="false">Q40</f>
        <v>513087.876</v>
      </c>
      <c r="R63" s="167" t="n">
        <f aca="false">R40</f>
        <v>510899.868</v>
      </c>
      <c r="S63" s="167" t="n">
        <f aca="false">S40</f>
        <v>508711.86</v>
      </c>
      <c r="T63" s="167" t="n">
        <f aca="false">T40</f>
        <v>506523.852</v>
      </c>
      <c r="U63" s="167" t="n">
        <f aca="false">U40</f>
        <v>504335.844</v>
      </c>
      <c r="V63" s="167" t="n">
        <f aca="false">V40</f>
        <v>502147.836</v>
      </c>
      <c r="W63" s="167" t="n">
        <f aca="false">W40</f>
        <v>499959.828</v>
      </c>
      <c r="X63" s="168"/>
    </row>
    <row r="64" customFormat="false" ht="18.75" hidden="false" customHeight="true" outlineLevel="0" collapsed="false">
      <c r="B64" s="169" t="s">
        <v>53</v>
      </c>
      <c r="C64" s="170" t="s">
        <v>3</v>
      </c>
      <c r="D64" s="171" t="n">
        <f aca="false">D41</f>
        <v>2011899.612096</v>
      </c>
      <c r="E64" s="171" t="n">
        <f aca="false">E41</f>
        <v>2003770.7247744</v>
      </c>
      <c r="F64" s="171" t="n">
        <f aca="false">F41</f>
        <v>1995641.8374528</v>
      </c>
      <c r="G64" s="171" t="n">
        <f aca="false">G41</f>
        <v>1987512.9501312</v>
      </c>
      <c r="H64" s="171" t="n">
        <f aca="false">H41</f>
        <v>1979384.0628096</v>
      </c>
      <c r="I64" s="171" t="n">
        <f aca="false">I41</f>
        <v>1971255.175488</v>
      </c>
      <c r="J64" s="171" t="n">
        <f aca="false">J41</f>
        <v>1963126.2881664</v>
      </c>
      <c r="K64" s="171" t="n">
        <f aca="false">K41</f>
        <v>1954997.4008448</v>
      </c>
      <c r="L64" s="171" t="n">
        <f aca="false">L41</f>
        <v>1946868.5135232</v>
      </c>
      <c r="M64" s="171" t="n">
        <f aca="false">M41</f>
        <v>1938739.6262016</v>
      </c>
      <c r="N64" s="171" t="n">
        <f aca="false">N41</f>
        <v>1930610.73888</v>
      </c>
      <c r="O64" s="171" t="n">
        <f aca="false">O41</f>
        <v>1922481.8515584</v>
      </c>
      <c r="P64" s="171" t="n">
        <f aca="false">P41</f>
        <v>1914352.9642368</v>
      </c>
      <c r="Q64" s="171" t="n">
        <f aca="false">Q41</f>
        <v>1906224.0769152</v>
      </c>
      <c r="R64" s="171" t="n">
        <f aca="false">R41</f>
        <v>1898095.1895936</v>
      </c>
      <c r="S64" s="171" t="n">
        <f aca="false">S41</f>
        <v>1889966.302272</v>
      </c>
      <c r="T64" s="171" t="n">
        <f aca="false">T41</f>
        <v>1881837.4149504</v>
      </c>
      <c r="U64" s="171" t="n">
        <f aca="false">U41</f>
        <v>1873708.5276288</v>
      </c>
      <c r="V64" s="171" t="n">
        <f aca="false">V41</f>
        <v>1865579.6403072</v>
      </c>
      <c r="W64" s="171" t="n">
        <f aca="false">W41</f>
        <v>1857450.7529856</v>
      </c>
      <c r="X64" s="172"/>
    </row>
    <row r="65" customFormat="false" ht="18.75" hidden="false" customHeight="true" outlineLevel="0" collapsed="false">
      <c r="B65" s="173" t="s">
        <v>54</v>
      </c>
      <c r="C65" s="174" t="s">
        <v>3</v>
      </c>
      <c r="D65" s="175"/>
      <c r="E65" s="175"/>
      <c r="F65" s="175"/>
      <c r="G65" s="176" t="s">
        <v>3</v>
      </c>
      <c r="H65" s="176" t="s">
        <v>3</v>
      </c>
      <c r="I65" s="176" t="s">
        <v>3</v>
      </c>
      <c r="J65" s="176" t="s">
        <v>3</v>
      </c>
      <c r="K65" s="176" t="s">
        <v>3</v>
      </c>
      <c r="L65" s="176" t="s">
        <v>3</v>
      </c>
      <c r="M65" s="176" t="s">
        <v>3</v>
      </c>
      <c r="N65" s="176" t="s">
        <v>3</v>
      </c>
      <c r="O65" s="176" t="s">
        <v>3</v>
      </c>
      <c r="P65" s="176" t="s">
        <v>3</v>
      </c>
      <c r="Q65" s="176" t="s">
        <v>3</v>
      </c>
      <c r="R65" s="176" t="s">
        <v>3</v>
      </c>
      <c r="S65" s="176" t="s">
        <v>3</v>
      </c>
      <c r="T65" s="176" t="s">
        <v>3</v>
      </c>
      <c r="U65" s="176" t="s">
        <v>3</v>
      </c>
      <c r="V65" s="176" t="s">
        <v>3</v>
      </c>
      <c r="W65" s="176" t="s">
        <v>3</v>
      </c>
      <c r="X65" s="177"/>
    </row>
    <row r="66" customFormat="false" ht="18.75" hidden="false" customHeight="true" outlineLevel="0" collapsed="false">
      <c r="B66" s="178" t="s">
        <v>55</v>
      </c>
      <c r="C66" s="179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1"/>
    </row>
    <row r="67" customFormat="false" ht="18.75" hidden="false" customHeight="true" outlineLevel="0" collapsed="false">
      <c r="B67" s="182" t="s">
        <v>120</v>
      </c>
      <c r="C67" s="174"/>
      <c r="D67" s="205" t="n">
        <f aca="false">$C$44/$E$16</f>
        <v>-1093365</v>
      </c>
      <c r="E67" s="205" t="n">
        <f aca="false">$C$44/$E$16</f>
        <v>-1093365</v>
      </c>
      <c r="F67" s="205" t="n">
        <f aca="false">$C$44/$E$16</f>
        <v>-1093365</v>
      </c>
      <c r="G67" s="205" t="n">
        <f aca="false">$C$44/$E$16</f>
        <v>-1093365</v>
      </c>
      <c r="H67" s="205" t="n">
        <f aca="false">$C$44/$E$16</f>
        <v>-1093365</v>
      </c>
      <c r="I67" s="205" t="n">
        <f aca="false">$C$44/$E$16</f>
        <v>-1093365</v>
      </c>
      <c r="J67" s="205" t="n">
        <f aca="false">$C$44/$E$16</f>
        <v>-1093365</v>
      </c>
      <c r="K67" s="205" t="n">
        <f aca="false">$C$44/$E$16</f>
        <v>-1093365</v>
      </c>
      <c r="L67" s="205" t="n">
        <f aca="false">$C$44/$E$16</f>
        <v>-1093365</v>
      </c>
      <c r="M67" s="205" t="n">
        <f aca="false">$C$44/$E$16</f>
        <v>-1093365</v>
      </c>
      <c r="N67" s="205" t="n">
        <f aca="false">$C$44/$E$16</f>
        <v>-1093365</v>
      </c>
      <c r="O67" s="205" t="n">
        <f aca="false">$C$44/$E$16</f>
        <v>-1093365</v>
      </c>
      <c r="P67" s="205" t="n">
        <f aca="false">$C$44/$E$16</f>
        <v>-1093365</v>
      </c>
      <c r="Q67" s="205" t="n">
        <f aca="false">$C$44/$E$16</f>
        <v>-1093365</v>
      </c>
      <c r="R67" s="205" t="n">
        <f aca="false">$C$44/$E$16</f>
        <v>-1093365</v>
      </c>
      <c r="S67" s="205" t="n">
        <f aca="false">$C$44/$E$16</f>
        <v>-1093365</v>
      </c>
      <c r="T67" s="205" t="n">
        <f aca="false">$C$44/$E$16</f>
        <v>-1093365</v>
      </c>
      <c r="U67" s="205" t="n">
        <f aca="false">$C$44/$E$16</f>
        <v>-1093365</v>
      </c>
      <c r="V67" s="205" t="n">
        <f aca="false">$C$44/$E$16</f>
        <v>-1093365</v>
      </c>
      <c r="W67" s="205" t="n">
        <f aca="false">$C$44/$E$16</f>
        <v>-1093365</v>
      </c>
      <c r="X67" s="177"/>
    </row>
    <row r="68" customFormat="false" ht="18.75" hidden="false" customHeight="true" outlineLevel="0" collapsed="false">
      <c r="B68" s="182" t="s">
        <v>57</v>
      </c>
      <c r="C68" s="174" t="s">
        <v>3</v>
      </c>
      <c r="D68" s="184" t="n">
        <f aca="false">D45</f>
        <v>0</v>
      </c>
      <c r="E68" s="184" t="n">
        <f aca="false">E45</f>
        <v>0</v>
      </c>
      <c r="F68" s="184" t="n">
        <f aca="false">F45</f>
        <v>0</v>
      </c>
      <c r="G68" s="184" t="n">
        <f aca="false">G45</f>
        <v>0</v>
      </c>
      <c r="H68" s="184" t="n">
        <f aca="false">H45</f>
        <v>0</v>
      </c>
      <c r="I68" s="184" t="n">
        <f aca="false">I45</f>
        <v>0</v>
      </c>
      <c r="J68" s="184" t="n">
        <f aca="false">J45</f>
        <v>0</v>
      </c>
      <c r="K68" s="184" t="n">
        <f aca="false">K45</f>
        <v>0</v>
      </c>
      <c r="L68" s="184" t="n">
        <f aca="false">L45</f>
        <v>0</v>
      </c>
      <c r="M68" s="184" t="n">
        <f aca="false">M45</f>
        <v>0</v>
      </c>
      <c r="N68" s="184" t="n">
        <f aca="false">N45</f>
        <v>0</v>
      </c>
      <c r="O68" s="184" t="n">
        <f aca="false">O45</f>
        <v>0</v>
      </c>
      <c r="P68" s="184" t="n">
        <f aca="false">P45</f>
        <v>0</v>
      </c>
      <c r="Q68" s="184" t="n">
        <f aca="false">Q45</f>
        <v>0</v>
      </c>
      <c r="R68" s="184" t="n">
        <f aca="false">R45</f>
        <v>0</v>
      </c>
      <c r="S68" s="184" t="n">
        <f aca="false">S45</f>
        <v>0</v>
      </c>
      <c r="T68" s="184" t="n">
        <f aca="false">T45</f>
        <v>0</v>
      </c>
      <c r="U68" s="184" t="n">
        <f aca="false">U45</f>
        <v>0</v>
      </c>
      <c r="V68" s="184" t="n">
        <f aca="false">V45</f>
        <v>0</v>
      </c>
      <c r="W68" s="184" t="n">
        <f aca="false">W45</f>
        <v>0</v>
      </c>
      <c r="X68" s="177"/>
    </row>
    <row r="69" customFormat="false" ht="18.75" hidden="false" customHeight="true" outlineLevel="0" collapsed="false">
      <c r="B69" s="182" t="s">
        <v>58</v>
      </c>
      <c r="C69" s="174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7"/>
    </row>
    <row r="70" customFormat="false" ht="18.75" hidden="false" customHeight="true" outlineLevel="0" collapsed="false">
      <c r="B70" s="182" t="s">
        <v>59</v>
      </c>
      <c r="C70" s="174" t="s">
        <v>3</v>
      </c>
      <c r="D70" s="184" t="n">
        <f aca="false">-D109*$D25</f>
        <v>-447754.8348</v>
      </c>
      <c r="E70" s="184" t="n">
        <f aca="false">-E109*$D25</f>
        <v>-447754.8348</v>
      </c>
      <c r="F70" s="184" t="n">
        <f aca="false">-F109*$D25</f>
        <v>-447754.8348</v>
      </c>
      <c r="G70" s="184" t="n">
        <f aca="false">-G109*$D25</f>
        <v>-447754.8348</v>
      </c>
      <c r="H70" s="184" t="n">
        <f aca="false">-H109*$D25</f>
        <v>-447754.8348</v>
      </c>
      <c r="I70" s="184" t="n">
        <f aca="false">-I109*$D25</f>
        <v>-447754.8348</v>
      </c>
      <c r="J70" s="184" t="n">
        <f aca="false">-J109*$D25</f>
        <v>-447754.8348</v>
      </c>
      <c r="K70" s="184" t="n">
        <f aca="false">-K109*$D25</f>
        <v>-447754.8348</v>
      </c>
      <c r="L70" s="184" t="n">
        <f aca="false">-L109*$D25</f>
        <v>-447754.8348</v>
      </c>
      <c r="M70" s="184" t="n">
        <f aca="false">-M109*$D25</f>
        <v>-447754.8348</v>
      </c>
      <c r="N70" s="184" t="n">
        <f aca="false">-N109*$D25</f>
        <v>-447754.8348</v>
      </c>
      <c r="O70" s="184" t="n">
        <f aca="false">-O109*$D25</f>
        <v>-447754.8348</v>
      </c>
      <c r="P70" s="184" t="n">
        <f aca="false">-P109*$D25</f>
        <v>-447754.8348</v>
      </c>
      <c r="Q70" s="184" t="n">
        <f aca="false">-Q109*$D25</f>
        <v>-447754.8348</v>
      </c>
      <c r="R70" s="184" t="n">
        <f aca="false">-R109*$D25</f>
        <v>-447754.8348</v>
      </c>
      <c r="S70" s="184" t="n">
        <f aca="false">-S109*$D25</f>
        <v>-447754.8348</v>
      </c>
      <c r="T70" s="184" t="n">
        <f aca="false">-T109*$D25</f>
        <v>-447754.8348</v>
      </c>
      <c r="U70" s="184" t="n">
        <f aca="false">-U109*$D25</f>
        <v>-447754.8348</v>
      </c>
      <c r="V70" s="184" t="n">
        <f aca="false">-V109*$D25</f>
        <v>-447754.8348</v>
      </c>
      <c r="W70" s="184" t="n">
        <f aca="false">-W109*$D25</f>
        <v>-447754.8348</v>
      </c>
      <c r="X70" s="177"/>
    </row>
    <row r="71" customFormat="false" ht="18.75" hidden="false" customHeight="true" outlineLevel="0" collapsed="false">
      <c r="B71" s="182" t="s">
        <v>60</v>
      </c>
      <c r="C71" s="174" t="s">
        <v>3</v>
      </c>
      <c r="D71" s="184" t="n">
        <f aca="false">D48</f>
        <v>0</v>
      </c>
      <c r="E71" s="184" t="n">
        <f aca="false">E48</f>
        <v>0</v>
      </c>
      <c r="F71" s="184" t="n">
        <f aca="false">F48</f>
        <v>0</v>
      </c>
      <c r="G71" s="184" t="n">
        <f aca="false">G48</f>
        <v>0</v>
      </c>
      <c r="H71" s="184" t="n">
        <f aca="false">H48</f>
        <v>0</v>
      </c>
      <c r="I71" s="184" t="n">
        <f aca="false">I48</f>
        <v>0</v>
      </c>
      <c r="J71" s="184" t="n">
        <f aca="false">J48</f>
        <v>0</v>
      </c>
      <c r="K71" s="184" t="n">
        <f aca="false">K48</f>
        <v>0</v>
      </c>
      <c r="L71" s="184" t="n">
        <f aca="false">L48</f>
        <v>0</v>
      </c>
      <c r="M71" s="184" t="n">
        <f aca="false">M48</f>
        <v>0</v>
      </c>
      <c r="N71" s="184" t="n">
        <f aca="false">N48</f>
        <v>0</v>
      </c>
      <c r="O71" s="184" t="n">
        <f aca="false">O48</f>
        <v>0</v>
      </c>
      <c r="P71" s="184" t="n">
        <f aca="false">P48</f>
        <v>0</v>
      </c>
      <c r="Q71" s="184" t="n">
        <f aca="false">Q48</f>
        <v>0</v>
      </c>
      <c r="R71" s="184" t="n">
        <f aca="false">R48</f>
        <v>0</v>
      </c>
      <c r="S71" s="184" t="n">
        <f aca="false">S48</f>
        <v>0</v>
      </c>
      <c r="T71" s="184" t="n">
        <f aca="false">T48</f>
        <v>0</v>
      </c>
      <c r="U71" s="184" t="n">
        <f aca="false">U48</f>
        <v>0</v>
      </c>
      <c r="V71" s="184" t="n">
        <f aca="false">V48</f>
        <v>0</v>
      </c>
      <c r="W71" s="184" t="n">
        <f aca="false">W48</f>
        <v>0</v>
      </c>
      <c r="X71" s="177"/>
    </row>
    <row r="72" customFormat="false" ht="18.75" hidden="false" customHeight="true" outlineLevel="0" collapsed="false">
      <c r="B72" s="182" t="s">
        <v>61</v>
      </c>
      <c r="C72" s="174" t="s">
        <v>3</v>
      </c>
      <c r="D72" s="184" t="n">
        <f aca="false">D49</f>
        <v>0</v>
      </c>
      <c r="E72" s="184" t="n">
        <f aca="false">E49</f>
        <v>0</v>
      </c>
      <c r="F72" s="184" t="n">
        <f aca="false">F49</f>
        <v>0</v>
      </c>
      <c r="G72" s="184" t="n">
        <f aca="false">G49</f>
        <v>0</v>
      </c>
      <c r="H72" s="184" t="n">
        <f aca="false">H49</f>
        <v>0</v>
      </c>
      <c r="I72" s="184" t="n">
        <f aca="false">I49</f>
        <v>0</v>
      </c>
      <c r="J72" s="184" t="n">
        <f aca="false">J49</f>
        <v>0</v>
      </c>
      <c r="K72" s="184" t="n">
        <f aca="false">K49</f>
        <v>0</v>
      </c>
      <c r="L72" s="184" t="n">
        <f aca="false">L49</f>
        <v>0</v>
      </c>
      <c r="M72" s="184" t="n">
        <f aca="false">M49</f>
        <v>0</v>
      </c>
      <c r="N72" s="184" t="n">
        <f aca="false">N49</f>
        <v>0</v>
      </c>
      <c r="O72" s="184" t="n">
        <f aca="false">O49</f>
        <v>0</v>
      </c>
      <c r="P72" s="184" t="n">
        <f aca="false">P49</f>
        <v>0</v>
      </c>
      <c r="Q72" s="184" t="n">
        <f aca="false">Q49</f>
        <v>0</v>
      </c>
      <c r="R72" s="184" t="n">
        <f aca="false">R49</f>
        <v>0</v>
      </c>
      <c r="S72" s="184" t="n">
        <f aca="false">S49</f>
        <v>0</v>
      </c>
      <c r="T72" s="184" t="n">
        <f aca="false">T49</f>
        <v>0</v>
      </c>
      <c r="U72" s="184" t="n">
        <f aca="false">U49</f>
        <v>0</v>
      </c>
      <c r="V72" s="184" t="n">
        <f aca="false">V49</f>
        <v>0</v>
      </c>
      <c r="W72" s="184" t="n">
        <f aca="false">W49</f>
        <v>0</v>
      </c>
      <c r="X72" s="177"/>
    </row>
    <row r="73" customFormat="false" ht="18.75" hidden="false" customHeight="true" outlineLevel="0" collapsed="false">
      <c r="B73" s="182" t="s">
        <v>62</v>
      </c>
      <c r="C73" s="174"/>
      <c r="D73" s="184" t="n">
        <f aca="false">D50</f>
        <v>0</v>
      </c>
      <c r="E73" s="184" t="n">
        <f aca="false">E50</f>
        <v>0</v>
      </c>
      <c r="F73" s="184" t="n">
        <f aca="false">F50</f>
        <v>0</v>
      </c>
      <c r="G73" s="184" t="n">
        <f aca="false">G50</f>
        <v>0</v>
      </c>
      <c r="H73" s="184" t="n">
        <f aca="false">H50</f>
        <v>0</v>
      </c>
      <c r="I73" s="184" t="n">
        <f aca="false">I50</f>
        <v>0</v>
      </c>
      <c r="J73" s="184" t="n">
        <f aca="false">J50</f>
        <v>0</v>
      </c>
      <c r="K73" s="184" t="n">
        <f aca="false">K50</f>
        <v>0</v>
      </c>
      <c r="L73" s="184" t="n">
        <f aca="false">L50</f>
        <v>0</v>
      </c>
      <c r="M73" s="184" t="n">
        <f aca="false">M50</f>
        <v>0</v>
      </c>
      <c r="N73" s="184" t="n">
        <f aca="false">N50</f>
        <v>0</v>
      </c>
      <c r="O73" s="184" t="n">
        <f aca="false">O50</f>
        <v>0</v>
      </c>
      <c r="P73" s="184" t="n">
        <f aca="false">P50</f>
        <v>0</v>
      </c>
      <c r="Q73" s="184" t="n">
        <f aca="false">Q50</f>
        <v>0</v>
      </c>
      <c r="R73" s="184" t="n">
        <f aca="false">R50</f>
        <v>0</v>
      </c>
      <c r="S73" s="184" t="n">
        <f aca="false">S50</f>
        <v>0</v>
      </c>
      <c r="T73" s="184" t="n">
        <f aca="false">T50</f>
        <v>0</v>
      </c>
      <c r="U73" s="184" t="n">
        <f aca="false">U50</f>
        <v>0</v>
      </c>
      <c r="V73" s="184" t="n">
        <f aca="false">V50</f>
        <v>0</v>
      </c>
      <c r="W73" s="184" t="n">
        <f aca="false">W50</f>
        <v>0</v>
      </c>
      <c r="X73" s="177"/>
    </row>
    <row r="74" customFormat="false" ht="18.75" hidden="false" customHeight="true" outlineLevel="0" collapsed="false">
      <c r="B74" s="182" t="s">
        <v>63</v>
      </c>
      <c r="C74" s="185"/>
      <c r="D74" s="206"/>
      <c r="E74" s="207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7"/>
    </row>
    <row r="75" customFormat="false" ht="18.75" hidden="false" customHeight="true" outlineLevel="0" collapsed="false">
      <c r="B75" s="182" t="s">
        <v>64</v>
      </c>
      <c r="C75" s="18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7"/>
    </row>
    <row r="76" customFormat="false" ht="18.75" hidden="false" customHeight="true" outlineLevel="0" collapsed="false">
      <c r="B76" s="187" t="s">
        <v>121</v>
      </c>
      <c r="C76" s="208"/>
      <c r="D76" s="189" t="n">
        <f aca="false">SUM(D64:D75)</f>
        <v>470779.777295999</v>
      </c>
      <c r="E76" s="189" t="n">
        <f aca="false">SUM(E64:E75)</f>
        <v>462650.889974399</v>
      </c>
      <c r="F76" s="189" t="n">
        <f aca="false">SUM(F64:F75)</f>
        <v>454522.0026528</v>
      </c>
      <c r="G76" s="189" t="n">
        <f aca="false">SUM(G64:G75)</f>
        <v>446393.1153312</v>
      </c>
      <c r="H76" s="189" t="n">
        <f aca="false">SUM(H64:H75)</f>
        <v>438264.2280096</v>
      </c>
      <c r="I76" s="189" t="n">
        <f aca="false">SUM(I64:I75)</f>
        <v>430135.340688</v>
      </c>
      <c r="J76" s="189" t="n">
        <f aca="false">SUM(J64:J75)</f>
        <v>422006.4533664</v>
      </c>
      <c r="K76" s="189" t="n">
        <f aca="false">SUM(K64:K75)</f>
        <v>413877.5660448</v>
      </c>
      <c r="L76" s="189" t="n">
        <f aca="false">SUM(L64:L75)</f>
        <v>405748.6787232</v>
      </c>
      <c r="M76" s="189" t="n">
        <f aca="false">SUM(M64:M75)</f>
        <v>397619.7914016</v>
      </c>
      <c r="N76" s="189" t="n">
        <f aca="false">SUM(N64:N75)</f>
        <v>389490.90408</v>
      </c>
      <c r="O76" s="189" t="n">
        <f aca="false">SUM(O64:O75)</f>
        <v>381362.0167584</v>
      </c>
      <c r="P76" s="189" t="n">
        <f aca="false">SUM(P64:P75)</f>
        <v>373233.1294368</v>
      </c>
      <c r="Q76" s="189" t="n">
        <f aca="false">SUM(Q64:Q75)</f>
        <v>365104.2421152</v>
      </c>
      <c r="R76" s="189" t="n">
        <f aca="false">SUM(R64:R75)</f>
        <v>356975.3547936</v>
      </c>
      <c r="S76" s="189" t="n">
        <f aca="false">SUM(S64:S75)</f>
        <v>348846.467472</v>
      </c>
      <c r="T76" s="189" t="n">
        <f aca="false">SUM(T64:T75)</f>
        <v>340717.580150399</v>
      </c>
      <c r="U76" s="189" t="n">
        <f aca="false">SUM(U64:U75)</f>
        <v>332588.6928288</v>
      </c>
      <c r="V76" s="189" t="n">
        <f aca="false">SUM(V64:V75)</f>
        <v>324459.805507199</v>
      </c>
      <c r="W76" s="189" t="n">
        <f aca="false">SUM(W64:W75)</f>
        <v>316330.9181856</v>
      </c>
      <c r="X76" s="189" t="n">
        <f aca="false">SUM(X64:X75)</f>
        <v>0</v>
      </c>
    </row>
    <row r="77" customFormat="false" ht="18.75" hidden="false" customHeight="true" outlineLevel="0" collapsed="false">
      <c r="B77" s="186" t="s">
        <v>66</v>
      </c>
      <c r="C77" s="185"/>
      <c r="D77" s="184" t="n">
        <f aca="false">-D76*0.2</f>
        <v>-94155.9554591999</v>
      </c>
      <c r="E77" s="184" t="n">
        <f aca="false">-E76*0.2</f>
        <v>-92530.1779948799</v>
      </c>
      <c r="F77" s="184" t="n">
        <f aca="false">-F76*0.2</f>
        <v>-90904.4005305599</v>
      </c>
      <c r="G77" s="184" t="n">
        <f aca="false">-G76*0.2</f>
        <v>-89278.62306624</v>
      </c>
      <c r="H77" s="184" t="n">
        <f aca="false">-H76*0.2</f>
        <v>-87652.8456019199</v>
      </c>
      <c r="I77" s="184" t="n">
        <f aca="false">-I76*0.2</f>
        <v>-86027.0681375999</v>
      </c>
      <c r="J77" s="184" t="n">
        <f aca="false">-J76*0.2</f>
        <v>-84401.29067328</v>
      </c>
      <c r="K77" s="184" t="n">
        <f aca="false">-K76*0.2</f>
        <v>-82775.5132089599</v>
      </c>
      <c r="L77" s="184" t="n">
        <f aca="false">-L76*0.2</f>
        <v>-81149.7357446399</v>
      </c>
      <c r="M77" s="184" t="n">
        <f aca="false">-M76*0.2</f>
        <v>-79523.9582803199</v>
      </c>
      <c r="N77" s="184" t="n">
        <f aca="false">-N76*0.2</f>
        <v>-77898.1808159999</v>
      </c>
      <c r="O77" s="184" t="n">
        <f aca="false">-O76*0.2</f>
        <v>-76272.4033516799</v>
      </c>
      <c r="P77" s="184" t="n">
        <f aca="false">-P76*0.2</f>
        <v>-74646.6258873599</v>
      </c>
      <c r="Q77" s="184" t="n">
        <f aca="false">-Q76*0.2</f>
        <v>-73020.8484230399</v>
      </c>
      <c r="R77" s="184" t="n">
        <f aca="false">-R76*0.2</f>
        <v>-71395.0709587199</v>
      </c>
      <c r="S77" s="184" t="n">
        <f aca="false">-S76*0.2</f>
        <v>-69769.2934943999</v>
      </c>
      <c r="T77" s="184" t="n">
        <f aca="false">-T76*0.2</f>
        <v>-68143.5160300799</v>
      </c>
      <c r="U77" s="184" t="n">
        <f aca="false">-U76*0.2</f>
        <v>-66517.7385657599</v>
      </c>
      <c r="V77" s="184" t="n">
        <f aca="false">-V76*0.2</f>
        <v>-64891.9611014399</v>
      </c>
      <c r="W77" s="184" t="n">
        <f aca="false">-W76*0.2</f>
        <v>-63266.1836371199</v>
      </c>
      <c r="X77" s="184" t="n">
        <f aca="false">-X76*0.2</f>
        <v>-0</v>
      </c>
    </row>
    <row r="78" customFormat="false" ht="15" hidden="false" customHeight="false" outlineLevel="0" collapsed="false">
      <c r="B78" s="209" t="s">
        <v>76</v>
      </c>
      <c r="D78" s="184" t="n">
        <f aca="false">SUM(D76:D77)</f>
        <v>376623.8218368</v>
      </c>
      <c r="E78" s="184" t="n">
        <f aca="false">SUM(E76:E77)</f>
        <v>370120.71197952</v>
      </c>
      <c r="F78" s="184" t="n">
        <f aca="false">SUM(F76:F77)</f>
        <v>363617.60212224</v>
      </c>
      <c r="G78" s="184" t="n">
        <f aca="false">SUM(G76:G77)</f>
        <v>357114.49226496</v>
      </c>
      <c r="H78" s="184" t="n">
        <f aca="false">SUM(H76:H77)</f>
        <v>350611.38240768</v>
      </c>
      <c r="I78" s="184" t="n">
        <f aca="false">SUM(I76:I77)</f>
        <v>344108.2725504</v>
      </c>
      <c r="J78" s="184" t="n">
        <f aca="false">SUM(J76:J77)</f>
        <v>337605.16269312</v>
      </c>
      <c r="K78" s="184" t="n">
        <f aca="false">SUM(K76:K77)</f>
        <v>331102.05283584</v>
      </c>
      <c r="L78" s="184" t="n">
        <f aca="false">SUM(L76:L77)</f>
        <v>324598.94297856</v>
      </c>
      <c r="M78" s="184" t="n">
        <f aca="false">SUM(M76:M77)</f>
        <v>318095.83312128</v>
      </c>
      <c r="N78" s="184" t="n">
        <f aca="false">SUM(N76:N77)</f>
        <v>311592.723264</v>
      </c>
      <c r="O78" s="184" t="n">
        <f aca="false">SUM(O76:O77)</f>
        <v>305089.61340672</v>
      </c>
      <c r="P78" s="184" t="n">
        <f aca="false">SUM(P76:P77)</f>
        <v>298586.50354944</v>
      </c>
      <c r="Q78" s="184" t="n">
        <f aca="false">SUM(Q76:Q77)</f>
        <v>292083.39369216</v>
      </c>
      <c r="R78" s="184" t="n">
        <f aca="false">SUM(R76:R77)</f>
        <v>285580.28383488</v>
      </c>
      <c r="S78" s="184" t="n">
        <f aca="false">SUM(S76:S77)</f>
        <v>279077.1739776</v>
      </c>
      <c r="T78" s="184" t="n">
        <f aca="false">SUM(T76:T77)</f>
        <v>272574.06412032</v>
      </c>
      <c r="U78" s="184" t="n">
        <f aca="false">SUM(U76:U77)</f>
        <v>266070.95426304</v>
      </c>
      <c r="V78" s="184" t="n">
        <f aca="false">SUM(V76:V77)</f>
        <v>259567.84440576</v>
      </c>
      <c r="W78" s="184" t="n">
        <f aca="false">SUM(W76:W77)</f>
        <v>253064.73454848</v>
      </c>
      <c r="X78" s="184" t="n">
        <f aca="false">SUM(X76:X77)</f>
        <v>0</v>
      </c>
    </row>
    <row r="79" customFormat="false" ht="18.75" hidden="false" customHeight="true" outlineLevel="0" collapsed="false">
      <c r="B79" s="193" t="s">
        <v>68</v>
      </c>
      <c r="C79" s="196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1"/>
    </row>
    <row r="80" customFormat="false" ht="18.75" hidden="false" customHeight="true" outlineLevel="0" collapsed="false">
      <c r="B80" s="212" t="s">
        <v>74</v>
      </c>
      <c r="C80" s="213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5"/>
    </row>
    <row r="81" customFormat="false" ht="18.75" hidden="false" customHeight="true" outlineLevel="0" collapsed="false">
      <c r="B81" s="202"/>
      <c r="C81" s="201"/>
      <c r="D81" s="201"/>
      <c r="E81" s="201"/>
      <c r="F81" s="202"/>
      <c r="G81" s="202"/>
      <c r="H81" s="202"/>
      <c r="I81" s="202"/>
      <c r="J81" s="202"/>
      <c r="K81" s="202"/>
      <c r="L81" s="202"/>
      <c r="M81" s="201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</row>
    <row r="82" customFormat="false" ht="18.75" hidden="false" customHeight="true" outlineLevel="0" collapsed="false">
      <c r="C82" s="216" t="s">
        <v>48</v>
      </c>
      <c r="D82" s="217" t="n">
        <f aca="false">D37</f>
        <v>2020</v>
      </c>
      <c r="E82" s="217" t="n">
        <f aca="false">E37</f>
        <v>2021</v>
      </c>
      <c r="F82" s="217" t="n">
        <f aca="false">F37</f>
        <v>2022</v>
      </c>
      <c r="G82" s="217" t="n">
        <f aca="false">G37</f>
        <v>2023</v>
      </c>
      <c r="H82" s="217" t="n">
        <f aca="false">H37</f>
        <v>2024</v>
      </c>
      <c r="I82" s="217" t="n">
        <f aca="false">I37</f>
        <v>2025</v>
      </c>
      <c r="J82" s="217" t="n">
        <f aca="false">J37</f>
        <v>2026</v>
      </c>
      <c r="K82" s="217" t="n">
        <f aca="false">K37</f>
        <v>2027</v>
      </c>
      <c r="L82" s="217" t="n">
        <f aca="false">L37</f>
        <v>2028</v>
      </c>
      <c r="M82" s="217" t="n">
        <f aca="false">M37</f>
        <v>2029</v>
      </c>
      <c r="N82" s="217" t="n">
        <f aca="false">N37</f>
        <v>2030</v>
      </c>
      <c r="O82" s="217" t="n">
        <f aca="false">O37</f>
        <v>2031</v>
      </c>
      <c r="P82" s="217" t="n">
        <f aca="false">P37</f>
        <v>2032</v>
      </c>
      <c r="Q82" s="217" t="n">
        <f aca="false">Q37</f>
        <v>2033</v>
      </c>
      <c r="R82" s="217" t="n">
        <f aca="false">R37</f>
        <v>2034</v>
      </c>
      <c r="S82" s="217" t="n">
        <f aca="false">S37</f>
        <v>2035</v>
      </c>
      <c r="T82" s="217" t="n">
        <f aca="false">T37</f>
        <v>2036</v>
      </c>
      <c r="U82" s="217" t="n">
        <f aca="false">U37</f>
        <v>2037</v>
      </c>
      <c r="V82" s="217" t="n">
        <f aca="false">V37</f>
        <v>2038</v>
      </c>
      <c r="W82" s="217" t="n">
        <f aca="false">W37</f>
        <v>2039</v>
      </c>
      <c r="X82" s="72"/>
    </row>
    <row r="83" customFormat="false" ht="18.75" hidden="false" customHeight="true" outlineLevel="0" collapsed="false">
      <c r="X83" s="135"/>
    </row>
    <row r="84" customFormat="false" ht="18.75" hidden="false" customHeight="true" outlineLevel="0" collapsed="false">
      <c r="B84" s="218" t="s">
        <v>51</v>
      </c>
      <c r="C84" s="218" t="n">
        <v>0</v>
      </c>
      <c r="D84" s="218" t="n">
        <v>1</v>
      </c>
      <c r="E84" s="218" t="n">
        <v>2</v>
      </c>
      <c r="F84" s="218" t="n">
        <v>3</v>
      </c>
      <c r="G84" s="218" t="n">
        <v>4</v>
      </c>
      <c r="H84" s="218" t="n">
        <v>5</v>
      </c>
      <c r="I84" s="218" t="n">
        <v>6</v>
      </c>
      <c r="J84" s="218" t="n">
        <v>7</v>
      </c>
      <c r="K84" s="218" t="n">
        <v>8</v>
      </c>
      <c r="L84" s="218" t="n">
        <v>9</v>
      </c>
      <c r="M84" s="218" t="n">
        <v>10</v>
      </c>
      <c r="N84" s="218" t="n">
        <v>11</v>
      </c>
      <c r="O84" s="218" t="n">
        <v>12</v>
      </c>
      <c r="P84" s="218" t="n">
        <v>13</v>
      </c>
      <c r="Q84" s="218" t="n">
        <v>14</v>
      </c>
      <c r="R84" s="218" t="n">
        <v>15</v>
      </c>
      <c r="S84" s="218" t="n">
        <v>16</v>
      </c>
      <c r="T84" s="218" t="n">
        <v>17</v>
      </c>
      <c r="U84" s="218" t="n">
        <v>18</v>
      </c>
      <c r="V84" s="218" t="n">
        <v>19</v>
      </c>
      <c r="W84" s="218" t="n">
        <v>20</v>
      </c>
      <c r="X84" s="103"/>
    </row>
    <row r="85" customFormat="false" ht="18.75" hidden="false" customHeight="true" outlineLevel="0" collapsed="false">
      <c r="B85" s="219" t="s">
        <v>76</v>
      </c>
      <c r="C85" s="219"/>
      <c r="D85" s="220" t="n">
        <f aca="false">D78</f>
        <v>376623.8218368</v>
      </c>
      <c r="E85" s="220" t="n">
        <f aca="false">E78</f>
        <v>370120.71197952</v>
      </c>
      <c r="F85" s="220" t="n">
        <f aca="false">F78</f>
        <v>363617.60212224</v>
      </c>
      <c r="G85" s="220" t="n">
        <f aca="false">G78</f>
        <v>357114.49226496</v>
      </c>
      <c r="H85" s="220" t="n">
        <f aca="false">H78</f>
        <v>350611.38240768</v>
      </c>
      <c r="I85" s="220" t="n">
        <f aca="false">I78</f>
        <v>344108.2725504</v>
      </c>
      <c r="J85" s="220" t="n">
        <f aca="false">J78</f>
        <v>337605.16269312</v>
      </c>
      <c r="K85" s="220" t="n">
        <f aca="false">K78</f>
        <v>331102.05283584</v>
      </c>
      <c r="L85" s="220" t="n">
        <f aca="false">L78</f>
        <v>324598.94297856</v>
      </c>
      <c r="M85" s="220" t="n">
        <f aca="false">M78</f>
        <v>318095.83312128</v>
      </c>
      <c r="N85" s="220" t="n">
        <f aca="false">N78</f>
        <v>311592.723264</v>
      </c>
      <c r="O85" s="220" t="n">
        <f aca="false">O78</f>
        <v>305089.61340672</v>
      </c>
      <c r="P85" s="220" t="n">
        <f aca="false">P78</f>
        <v>298586.50354944</v>
      </c>
      <c r="Q85" s="220" t="n">
        <f aca="false">Q78</f>
        <v>292083.39369216</v>
      </c>
      <c r="R85" s="220" t="n">
        <f aca="false">R78</f>
        <v>285580.28383488</v>
      </c>
      <c r="S85" s="220" t="n">
        <f aca="false">S78</f>
        <v>279077.1739776</v>
      </c>
      <c r="T85" s="220" t="n">
        <f aca="false">T78</f>
        <v>272574.06412032</v>
      </c>
      <c r="U85" s="220" t="n">
        <f aca="false">U78</f>
        <v>266070.95426304</v>
      </c>
      <c r="V85" s="220" t="n">
        <f aca="false">V78</f>
        <v>259567.84440576</v>
      </c>
      <c r="W85" s="220" t="n">
        <f aca="false">W78</f>
        <v>253064.73454848</v>
      </c>
      <c r="X85" s="219"/>
      <c r="Y85" s="219"/>
    </row>
    <row r="86" customFormat="false" ht="15" hidden="false" customHeight="false" outlineLevel="0" collapsed="false">
      <c r="B86" s="219" t="s">
        <v>77</v>
      </c>
      <c r="C86" s="219"/>
      <c r="D86" s="221" t="n">
        <f aca="false">-D67</f>
        <v>1093365</v>
      </c>
      <c r="E86" s="221" t="n">
        <f aca="false">-E67</f>
        <v>1093365</v>
      </c>
      <c r="F86" s="221" t="n">
        <f aca="false">-F67</f>
        <v>1093365</v>
      </c>
      <c r="G86" s="221" t="n">
        <f aca="false">-G67</f>
        <v>1093365</v>
      </c>
      <c r="H86" s="221" t="n">
        <f aca="false">-H67</f>
        <v>1093365</v>
      </c>
      <c r="I86" s="221" t="n">
        <f aca="false">-I67</f>
        <v>1093365</v>
      </c>
      <c r="J86" s="221" t="n">
        <f aca="false">-J67</f>
        <v>1093365</v>
      </c>
      <c r="K86" s="221" t="n">
        <f aca="false">-K67</f>
        <v>1093365</v>
      </c>
      <c r="L86" s="221" t="n">
        <f aca="false">-L67</f>
        <v>1093365</v>
      </c>
      <c r="M86" s="221" t="n">
        <f aca="false">-M67</f>
        <v>1093365</v>
      </c>
      <c r="N86" s="221" t="n">
        <f aca="false">-N67</f>
        <v>1093365</v>
      </c>
      <c r="O86" s="221" t="n">
        <f aca="false">-O67</f>
        <v>1093365</v>
      </c>
      <c r="P86" s="221" t="n">
        <f aca="false">-P67</f>
        <v>1093365</v>
      </c>
      <c r="Q86" s="221" t="n">
        <f aca="false">-Q67</f>
        <v>1093365</v>
      </c>
      <c r="R86" s="221" t="n">
        <f aca="false">-R67</f>
        <v>1093365</v>
      </c>
      <c r="S86" s="221" t="n">
        <f aca="false">-S67</f>
        <v>1093365</v>
      </c>
      <c r="T86" s="221" t="n">
        <f aca="false">-T67</f>
        <v>1093365</v>
      </c>
      <c r="U86" s="221" t="n">
        <f aca="false">-U67</f>
        <v>1093365</v>
      </c>
      <c r="V86" s="221" t="n">
        <f aca="false">-V67</f>
        <v>1093365</v>
      </c>
      <c r="W86" s="221" t="n">
        <f aca="false">-W67</f>
        <v>1093365</v>
      </c>
      <c r="X86" s="222"/>
      <c r="Y86" s="222"/>
    </row>
    <row r="87" customFormat="false" ht="15" hidden="false" customHeight="false" outlineLevel="0" collapsed="false">
      <c r="B87" s="219" t="s">
        <v>78</v>
      </c>
      <c r="C87" s="219"/>
      <c r="D87" s="223" t="n">
        <f aca="false">SUM(D85:D86)</f>
        <v>1469988.8218368</v>
      </c>
      <c r="E87" s="223" t="n">
        <f aca="false">SUM(E85:E86)</f>
        <v>1463485.71197952</v>
      </c>
      <c r="F87" s="223" t="n">
        <f aca="false">SUM(F85:F86)</f>
        <v>1456982.60212224</v>
      </c>
      <c r="G87" s="223" t="n">
        <f aca="false">SUM(G85:G86)</f>
        <v>1450479.49226496</v>
      </c>
      <c r="H87" s="223" t="n">
        <f aca="false">SUM(H85:H86)</f>
        <v>1443976.38240768</v>
      </c>
      <c r="I87" s="223" t="n">
        <f aca="false">SUM(I85:I86)</f>
        <v>1437473.2725504</v>
      </c>
      <c r="J87" s="223" t="n">
        <f aca="false">SUM(J85:J86)</f>
        <v>1430970.16269312</v>
      </c>
      <c r="K87" s="223" t="n">
        <f aca="false">SUM(K85:K86)</f>
        <v>1424467.05283584</v>
      </c>
      <c r="L87" s="223" t="n">
        <f aca="false">SUM(L85:L86)</f>
        <v>1417963.94297856</v>
      </c>
      <c r="M87" s="223" t="n">
        <f aca="false">SUM(M85:M86)</f>
        <v>1411460.83312128</v>
      </c>
      <c r="N87" s="223" t="n">
        <f aca="false">SUM(N85:N86)</f>
        <v>1404957.723264</v>
      </c>
      <c r="O87" s="223" t="n">
        <f aca="false">SUM(O85:O86)</f>
        <v>1398454.61340672</v>
      </c>
      <c r="P87" s="223" t="n">
        <f aca="false">SUM(P85:P86)</f>
        <v>1391951.50354944</v>
      </c>
      <c r="Q87" s="223" t="n">
        <f aca="false">SUM(Q85:Q86)</f>
        <v>1385448.39369216</v>
      </c>
      <c r="R87" s="223" t="n">
        <f aca="false">SUM(R85:R86)</f>
        <v>1378945.28383488</v>
      </c>
      <c r="S87" s="223" t="n">
        <f aca="false">SUM(S85:S86)</f>
        <v>1372442.1739776</v>
      </c>
      <c r="T87" s="223" t="n">
        <f aca="false">SUM(T85:T86)</f>
        <v>1365939.06412032</v>
      </c>
      <c r="U87" s="223" t="n">
        <f aca="false">SUM(U85:U86)</f>
        <v>1359435.95426304</v>
      </c>
      <c r="V87" s="223" t="n">
        <f aca="false">SUM(V85:V86)</f>
        <v>1352932.84440576</v>
      </c>
      <c r="W87" s="223" t="n">
        <f aca="false">SUM(W85:W86)</f>
        <v>1346429.73454848</v>
      </c>
      <c r="X87" s="192"/>
    </row>
    <row r="88" customFormat="false" ht="15" hidden="false" customHeight="false" outlineLevel="0" collapsed="false">
      <c r="B88" s="219"/>
      <c r="C88" s="219"/>
      <c r="D88" s="219"/>
      <c r="E88" s="219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191"/>
    </row>
    <row r="89" customFormat="false" ht="17.15" hidden="false" customHeight="false" outlineLevel="0" collapsed="false">
      <c r="B89" s="225" t="s">
        <v>79</v>
      </c>
      <c r="C89" s="226"/>
      <c r="D89" s="227" t="n">
        <f aca="false">C44</f>
        <v>-21867300</v>
      </c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8"/>
    </row>
    <row r="90" customFormat="false" ht="15" hidden="false" customHeight="false" outlineLevel="0" collapsed="false">
      <c r="B90" s="219"/>
      <c r="C90" s="219"/>
      <c r="D90" s="219"/>
      <c r="E90" s="219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191"/>
    </row>
    <row r="91" customFormat="false" ht="15" hidden="false" customHeight="false" outlineLevel="0" collapsed="false">
      <c r="B91" s="219"/>
      <c r="C91" s="219"/>
      <c r="D91" s="219"/>
      <c r="E91" s="219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191"/>
    </row>
    <row r="92" customFormat="false" ht="17.15" hidden="false" customHeight="false" outlineLevel="0" collapsed="false">
      <c r="B92" s="225" t="s">
        <v>80</v>
      </c>
      <c r="C92" s="226"/>
      <c r="D92" s="227" t="n">
        <f aca="false">-D89*D31</f>
        <v>17493840</v>
      </c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191"/>
    </row>
    <row r="93" customFormat="false" ht="17.15" hidden="false" customHeight="false" outlineLevel="0" collapsed="false">
      <c r="B93" s="219" t="s">
        <v>81</v>
      </c>
      <c r="C93" s="21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8"/>
    </row>
    <row r="94" customFormat="false" ht="17.15" hidden="false" customHeight="false" outlineLevel="0" collapsed="false">
      <c r="B94" s="219" t="s">
        <v>82</v>
      </c>
      <c r="C94" s="224"/>
      <c r="D94" s="220" t="n">
        <f aca="false">-D89*(1-D31)</f>
        <v>4373460</v>
      </c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192"/>
    </row>
    <row r="95" customFormat="false" ht="15" hidden="false" customHeight="false" outlineLevel="0" collapsed="false">
      <c r="B95" s="219" t="s">
        <v>45</v>
      </c>
      <c r="C95" s="224"/>
      <c r="D95" s="224"/>
      <c r="E95" s="230" t="n">
        <f aca="false">-D85*$D$33</f>
        <v>-338961.43965312</v>
      </c>
      <c r="F95" s="230" t="n">
        <f aca="false">-E85*$D$33</f>
        <v>-333108.640781568</v>
      </c>
      <c r="G95" s="230" t="n">
        <f aca="false">-F85*$D$33</f>
        <v>-327255.841910016</v>
      </c>
      <c r="H95" s="230" t="n">
        <f aca="false">-G85*$D$33</f>
        <v>-321403.043038464</v>
      </c>
      <c r="I95" s="230" t="n">
        <f aca="false">-H85*$D$33</f>
        <v>-315550.244166912</v>
      </c>
      <c r="J95" s="230" t="n">
        <f aca="false">-I85*$D$33</f>
        <v>-309697.44529536</v>
      </c>
      <c r="K95" s="230" t="n">
        <f aca="false">-J85*$D$33</f>
        <v>-303844.646423808</v>
      </c>
      <c r="L95" s="230" t="n">
        <f aca="false">-K85*$D$33</f>
        <v>-297991.847552256</v>
      </c>
      <c r="M95" s="230" t="n">
        <f aca="false">-L85*$D$33</f>
        <v>-292139.048680704</v>
      </c>
      <c r="N95" s="230" t="n">
        <f aca="false">-M85*$D$33</f>
        <v>-286286.249809152</v>
      </c>
      <c r="O95" s="230" t="n">
        <f aca="false">-N85*$D$33</f>
        <v>-280433.4509376</v>
      </c>
      <c r="P95" s="230" t="n">
        <f aca="false">-O85*$D$33</f>
        <v>-274580.652066048</v>
      </c>
      <c r="Q95" s="230" t="n">
        <f aca="false">-P85*$D$33</f>
        <v>-268727.853194496</v>
      </c>
      <c r="R95" s="230" t="n">
        <f aca="false">-Q85*$D$33</f>
        <v>-262875.054322944</v>
      </c>
      <c r="S95" s="230" t="n">
        <f aca="false">-R85*$D$33</f>
        <v>-257022.255451392</v>
      </c>
      <c r="T95" s="230" t="n">
        <f aca="false">-S85*$D$33</f>
        <v>-251169.45657984</v>
      </c>
      <c r="U95" s="230" t="n">
        <f aca="false">-T85*$D$33</f>
        <v>-245316.657708288</v>
      </c>
      <c r="V95" s="230" t="n">
        <f aca="false">-U85*$D$33</f>
        <v>-239463.858836736</v>
      </c>
      <c r="W95" s="230" t="n">
        <f aca="false">-V85*$D$33</f>
        <v>-233611.059965184</v>
      </c>
      <c r="X95" s="230" t="n">
        <f aca="false">-W85*$D$33</f>
        <v>-227758.261093632</v>
      </c>
    </row>
    <row r="96" customFormat="false" ht="15" hidden="false" customHeight="false" outlineLevel="0" collapsed="false">
      <c r="B96" s="231" t="s">
        <v>47</v>
      </c>
      <c r="C96" s="232"/>
      <c r="D96" s="232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4" t="n">
        <f aca="false">-W101-X95</f>
        <v>-22496988.5563853</v>
      </c>
    </row>
    <row r="97" customFormat="false" ht="15" hidden="false" customHeight="false" outlineLevel="0" collapsed="false"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192"/>
    </row>
    <row r="98" customFormat="false" ht="15" hidden="false" customHeight="false" outlineLevel="0" collapsed="false"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192"/>
    </row>
    <row r="99" customFormat="false" ht="17.15" hidden="false" customHeight="false" outlineLevel="0" collapsed="false">
      <c r="B99" s="219" t="s">
        <v>83</v>
      </c>
      <c r="C99" s="220" t="n">
        <v>0</v>
      </c>
      <c r="D99" s="220" t="n">
        <f aca="false">SUM(D87:D96)</f>
        <v>1469988.8218368</v>
      </c>
      <c r="E99" s="220" t="n">
        <f aca="false">SUM(E87:E96)</f>
        <v>1124524.2723264</v>
      </c>
      <c r="F99" s="220" t="n">
        <f aca="false">SUM(F87:F96)</f>
        <v>1123873.96134067</v>
      </c>
      <c r="G99" s="220" t="n">
        <f aca="false">SUM(G87:G96)</f>
        <v>1123223.65035494</v>
      </c>
      <c r="H99" s="220" t="n">
        <f aca="false">SUM(H87:H96)</f>
        <v>1122573.33936922</v>
      </c>
      <c r="I99" s="220" t="n">
        <f aca="false">SUM(I87:I96)</f>
        <v>1121923.02838349</v>
      </c>
      <c r="J99" s="220" t="n">
        <f aca="false">SUM(J87:J96)</f>
        <v>1121272.71739776</v>
      </c>
      <c r="K99" s="220" t="n">
        <f aca="false">SUM(K87:K96)</f>
        <v>1120622.40641203</v>
      </c>
      <c r="L99" s="220" t="n">
        <f aca="false">SUM(L87:L96)</f>
        <v>1119972.0954263</v>
      </c>
      <c r="M99" s="220" t="n">
        <f aca="false">SUM(M87:M96)</f>
        <v>1119321.78444058</v>
      </c>
      <c r="N99" s="220" t="n">
        <f aca="false">SUM(N87:N96)</f>
        <v>1118671.47345485</v>
      </c>
      <c r="O99" s="220" t="n">
        <f aca="false">SUM(O87:O96)</f>
        <v>1118021.16246912</v>
      </c>
      <c r="P99" s="220" t="n">
        <f aca="false">SUM(P87:P96)</f>
        <v>1117370.85148339</v>
      </c>
      <c r="Q99" s="220" t="n">
        <f aca="false">SUM(Q87:Q96)</f>
        <v>1116720.54049766</v>
      </c>
      <c r="R99" s="220" t="n">
        <f aca="false">SUM(R87:R96)</f>
        <v>1116070.22951194</v>
      </c>
      <c r="S99" s="220" t="n">
        <f aca="false">SUM(S87:S96)</f>
        <v>1115419.91852621</v>
      </c>
      <c r="T99" s="220" t="n">
        <f aca="false">SUM(T87:T96)</f>
        <v>1114769.60754048</v>
      </c>
      <c r="U99" s="220" t="n">
        <f aca="false">SUM(U87:U96)</f>
        <v>1114119.29655475</v>
      </c>
      <c r="V99" s="220" t="n">
        <f aca="false">SUM(V87:V96)</f>
        <v>1113468.98556902</v>
      </c>
      <c r="W99" s="220" t="n">
        <f aca="false">SUM(W87:W96)</f>
        <v>1112818.6745833</v>
      </c>
      <c r="X99" s="192"/>
    </row>
    <row r="100" customFormat="false" ht="15" hidden="false" customHeight="false" outlineLevel="0" collapsed="false">
      <c r="B100" s="219" t="s">
        <v>84</v>
      </c>
      <c r="C100" s="220" t="n">
        <v>0</v>
      </c>
      <c r="D100" s="220" t="n">
        <f aca="false">C101</f>
        <v>0</v>
      </c>
      <c r="E100" s="220" t="n">
        <f aca="false">D101</f>
        <v>1469988.8218368</v>
      </c>
      <c r="F100" s="220" t="n">
        <f aca="false">E101</f>
        <v>2594513.0941632</v>
      </c>
      <c r="G100" s="220" t="n">
        <f aca="false">F101</f>
        <v>3718387.05550387</v>
      </c>
      <c r="H100" s="220" t="n">
        <f aca="false">G101</f>
        <v>4841610.70585882</v>
      </c>
      <c r="I100" s="220" t="n">
        <f aca="false">H101</f>
        <v>5964184.04522803</v>
      </c>
      <c r="J100" s="220" t="n">
        <f aca="false">I101</f>
        <v>7086107.07361152</v>
      </c>
      <c r="K100" s="220" t="n">
        <f aca="false">J101</f>
        <v>8207379.79100928</v>
      </c>
      <c r="L100" s="220" t="n">
        <f aca="false">K101</f>
        <v>9328002.19742131</v>
      </c>
      <c r="M100" s="220" t="n">
        <f aca="false">L101</f>
        <v>10447974.2928476</v>
      </c>
      <c r="N100" s="220" t="n">
        <f aca="false">M101</f>
        <v>11567296.0772882</v>
      </c>
      <c r="O100" s="220" t="n">
        <f aca="false">N101</f>
        <v>12685967.550743</v>
      </c>
      <c r="P100" s="220" t="n">
        <f aca="false">O101</f>
        <v>13803988.7132122</v>
      </c>
      <c r="Q100" s="220" t="n">
        <f aca="false">P101</f>
        <v>14921359.5646956</v>
      </c>
      <c r="R100" s="220" t="n">
        <f aca="false">Q101</f>
        <v>16038080.1051932</v>
      </c>
      <c r="S100" s="220" t="n">
        <f aca="false">R101</f>
        <v>17154150.3347052</v>
      </c>
      <c r="T100" s="220" t="n">
        <f aca="false">S101</f>
        <v>18269570.2532314</v>
      </c>
      <c r="U100" s="220" t="n">
        <f aca="false">T101</f>
        <v>19384339.8607718</v>
      </c>
      <c r="V100" s="220" t="n">
        <f aca="false">U101</f>
        <v>20498459.1573266</v>
      </c>
      <c r="W100" s="220" t="n">
        <f aca="false">V101</f>
        <v>21611928.1428956</v>
      </c>
      <c r="X100" s="191"/>
    </row>
    <row r="101" customFormat="false" ht="15" hidden="false" customHeight="false" outlineLevel="0" collapsed="false">
      <c r="B101" s="219" t="s">
        <v>85</v>
      </c>
      <c r="C101" s="220" t="n">
        <v>0</v>
      </c>
      <c r="D101" s="220" t="n">
        <f aca="false">D99+D100</f>
        <v>1469988.8218368</v>
      </c>
      <c r="E101" s="220" t="n">
        <f aca="false">E99+E100</f>
        <v>2594513.0941632</v>
      </c>
      <c r="F101" s="220" t="n">
        <f aca="false">F99+F100</f>
        <v>3718387.05550387</v>
      </c>
      <c r="G101" s="220" t="n">
        <f aca="false">G99+G100</f>
        <v>4841610.70585882</v>
      </c>
      <c r="H101" s="220" t="n">
        <f aca="false">H99+H100</f>
        <v>5964184.04522803</v>
      </c>
      <c r="I101" s="220" t="n">
        <f aca="false">I99+I100</f>
        <v>7086107.07361152</v>
      </c>
      <c r="J101" s="220" t="n">
        <f aca="false">J99+J100</f>
        <v>8207379.79100928</v>
      </c>
      <c r="K101" s="220" t="n">
        <f aca="false">K99+K100</f>
        <v>9328002.19742131</v>
      </c>
      <c r="L101" s="220" t="n">
        <f aca="false">L99+L100</f>
        <v>10447974.2928476</v>
      </c>
      <c r="M101" s="220" t="n">
        <f aca="false">M99+M100</f>
        <v>11567296.0772882</v>
      </c>
      <c r="N101" s="220" t="n">
        <f aca="false">N99+N100</f>
        <v>12685967.550743</v>
      </c>
      <c r="O101" s="220" t="n">
        <f aca="false">O99+O100</f>
        <v>13803988.7132122</v>
      </c>
      <c r="P101" s="220" t="n">
        <f aca="false">P99+P100</f>
        <v>14921359.5646956</v>
      </c>
      <c r="Q101" s="220" t="n">
        <f aca="false">Q99+Q100</f>
        <v>16038080.1051932</v>
      </c>
      <c r="R101" s="220" t="n">
        <f aca="false">R99+R100</f>
        <v>17154150.3347052</v>
      </c>
      <c r="S101" s="220" t="n">
        <f aca="false">S99+S100</f>
        <v>18269570.2532314</v>
      </c>
      <c r="T101" s="220" t="n">
        <f aca="false">T99+T100</f>
        <v>19384339.8607718</v>
      </c>
      <c r="U101" s="220" t="n">
        <f aca="false">U99+U100</f>
        <v>20498459.1573266</v>
      </c>
      <c r="V101" s="220" t="n">
        <f aca="false">V99+V100</f>
        <v>21611928.1428956</v>
      </c>
      <c r="W101" s="220" t="n">
        <f aca="false">W99+W100</f>
        <v>22724746.8174789</v>
      </c>
      <c r="X101" s="191"/>
    </row>
    <row r="102" customFormat="false" ht="15" hidden="false" customHeight="false" outlineLevel="0" collapsed="false"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</row>
    <row r="103" customFormat="false" ht="15" hidden="false" customHeight="false" outlineLevel="0" collapsed="false">
      <c r="B103" s="219"/>
      <c r="C103" s="219"/>
      <c r="D103" s="219"/>
      <c r="E103" s="219"/>
      <c r="F103" s="224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</row>
    <row r="104" customFormat="false" ht="15" hidden="false" customHeight="false" outlineLevel="0" collapsed="false">
      <c r="B104" s="235" t="s">
        <v>86</v>
      </c>
      <c r="C104" s="236"/>
      <c r="D104" s="237" t="n">
        <f aca="false">-D94</f>
        <v>-4373460</v>
      </c>
      <c r="E104" s="223" t="n">
        <f aca="false">-E95-E96</f>
        <v>338961.43965312</v>
      </c>
      <c r="F104" s="223" t="n">
        <f aca="false">-F95-F96</f>
        <v>333108.640781568</v>
      </c>
      <c r="G104" s="223" t="n">
        <f aca="false">-G95-G96</f>
        <v>327255.841910016</v>
      </c>
      <c r="H104" s="223" t="n">
        <f aca="false">-H95-H96</f>
        <v>321403.043038464</v>
      </c>
      <c r="I104" s="223" t="n">
        <f aca="false">-I95-I96</f>
        <v>315550.244166912</v>
      </c>
      <c r="J104" s="223" t="n">
        <f aca="false">-J95-J96</f>
        <v>309697.44529536</v>
      </c>
      <c r="K104" s="223" t="n">
        <f aca="false">-K95-K96</f>
        <v>303844.646423808</v>
      </c>
      <c r="L104" s="223" t="n">
        <f aca="false">-L95-L96</f>
        <v>297991.847552256</v>
      </c>
      <c r="M104" s="223" t="n">
        <f aca="false">-M95-M96</f>
        <v>292139.048680704</v>
      </c>
      <c r="N104" s="223" t="n">
        <f aca="false">-N95-N96</f>
        <v>286286.249809152</v>
      </c>
      <c r="O104" s="223" t="n">
        <f aca="false">-O95-O96</f>
        <v>280433.4509376</v>
      </c>
      <c r="P104" s="223" t="n">
        <f aca="false">-P95-P96</f>
        <v>274580.652066048</v>
      </c>
      <c r="Q104" s="223" t="n">
        <f aca="false">-Q95-Q96</f>
        <v>268727.853194496</v>
      </c>
      <c r="R104" s="223" t="n">
        <f aca="false">-R95-R96</f>
        <v>262875.054322944</v>
      </c>
      <c r="S104" s="223" t="n">
        <f aca="false">-S95-S96</f>
        <v>257022.255451392</v>
      </c>
      <c r="T104" s="223" t="n">
        <f aca="false">-T95-T96</f>
        <v>251169.45657984</v>
      </c>
      <c r="U104" s="223" t="n">
        <f aca="false">-U95-U96</f>
        <v>245316.657708288</v>
      </c>
      <c r="V104" s="223" t="n">
        <f aca="false">-V95-V96</f>
        <v>239463.858836736</v>
      </c>
      <c r="W104" s="223" t="n">
        <f aca="false">-W95-W96</f>
        <v>233611.059965184</v>
      </c>
      <c r="X104" s="223" t="n">
        <f aca="false">-X95-X96</f>
        <v>22724746.8174789</v>
      </c>
    </row>
    <row r="105" customFormat="false" ht="17.15" hidden="false" customHeight="false" outlineLevel="0" collapsed="false">
      <c r="B105" s="219" t="s">
        <v>87</v>
      </c>
      <c r="C105" s="238" t="n">
        <f aca="false">IRR(D104:X104)</f>
        <v>0.124295699127746</v>
      </c>
      <c r="D105" s="224"/>
      <c r="E105" s="224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</row>
    <row r="106" customFormat="false" ht="15" hidden="false" customHeight="false" outlineLevel="0" collapsed="false">
      <c r="B106" s="235" t="s">
        <v>88</v>
      </c>
      <c r="C106" s="236"/>
      <c r="D106" s="237" t="n">
        <f aca="false">D85-D94</f>
        <v>-3996836.1781632</v>
      </c>
      <c r="E106" s="223" t="n">
        <f aca="false">E85</f>
        <v>370120.71197952</v>
      </c>
      <c r="F106" s="223" t="n">
        <f aca="false">F85-F96</f>
        <v>363617.60212224</v>
      </c>
      <c r="G106" s="223" t="n">
        <f aca="false">G85-G96</f>
        <v>357114.49226496</v>
      </c>
      <c r="H106" s="223" t="n">
        <f aca="false">H85-H96</f>
        <v>350611.38240768</v>
      </c>
      <c r="I106" s="223" t="n">
        <f aca="false">I85-I96</f>
        <v>344108.2725504</v>
      </c>
      <c r="J106" s="223" t="n">
        <f aca="false">J85-J96</f>
        <v>337605.16269312</v>
      </c>
      <c r="K106" s="223" t="n">
        <f aca="false">K85-K96</f>
        <v>331102.05283584</v>
      </c>
      <c r="L106" s="223" t="n">
        <f aca="false">L85-L96</f>
        <v>324598.94297856</v>
      </c>
      <c r="M106" s="223" t="n">
        <f aca="false">M85-M96</f>
        <v>318095.83312128</v>
      </c>
      <c r="N106" s="223" t="n">
        <f aca="false">N85-N96</f>
        <v>311592.723264</v>
      </c>
      <c r="O106" s="223" t="n">
        <f aca="false">O85-O96</f>
        <v>305089.61340672</v>
      </c>
      <c r="P106" s="223" t="n">
        <f aca="false">P85-P96</f>
        <v>298586.50354944</v>
      </c>
      <c r="Q106" s="223" t="n">
        <f aca="false">Q85-Q96</f>
        <v>292083.39369216</v>
      </c>
      <c r="R106" s="223" t="n">
        <f aca="false">R85-R96</f>
        <v>285580.28383488</v>
      </c>
      <c r="S106" s="223" t="n">
        <f aca="false">S85-S96</f>
        <v>279077.1739776</v>
      </c>
      <c r="T106" s="223" t="n">
        <f aca="false">T85-T96</f>
        <v>272574.06412032</v>
      </c>
      <c r="U106" s="223" t="n">
        <f aca="false">U85-U96</f>
        <v>266070.95426304</v>
      </c>
      <c r="V106" s="223" t="n">
        <f aca="false">V85-V96</f>
        <v>259567.84440576</v>
      </c>
      <c r="W106" s="223" t="n">
        <f aca="false">W85-W96</f>
        <v>253064.73454848</v>
      </c>
      <c r="X106" s="228"/>
    </row>
    <row r="107" customFormat="false" ht="17.15" hidden="false" customHeight="false" outlineLevel="0" collapsed="false">
      <c r="B107" s="235" t="s">
        <v>89</v>
      </c>
      <c r="C107" s="239" t="n">
        <f aca="false">IRR(D106:W106)</f>
        <v>0.0460959270390262</v>
      </c>
      <c r="D107" s="224"/>
      <c r="E107" s="224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</row>
    <row r="108" customFormat="false" ht="15" hidden="false" customHeight="false" outlineLevel="0" collapsed="false"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</row>
    <row r="109" customFormat="false" ht="15" hidden="false" customHeight="false" outlineLevel="0" collapsed="false">
      <c r="B109" s="219" t="s">
        <v>90</v>
      </c>
      <c r="C109" s="220" t="n">
        <v>0</v>
      </c>
      <c r="D109" s="220" t="n">
        <f aca="false">D92</f>
        <v>17493840</v>
      </c>
      <c r="E109" s="220" t="n">
        <f aca="false">D109+E93</f>
        <v>17493840</v>
      </c>
      <c r="F109" s="220" t="n">
        <f aca="false">E109+F93</f>
        <v>17493840</v>
      </c>
      <c r="G109" s="220" t="n">
        <f aca="false">F109+G93</f>
        <v>17493840</v>
      </c>
      <c r="H109" s="220" t="n">
        <f aca="false">G109+H93</f>
        <v>17493840</v>
      </c>
      <c r="I109" s="220" t="n">
        <f aca="false">H109+I93</f>
        <v>17493840</v>
      </c>
      <c r="J109" s="220" t="n">
        <f aca="false">I109+J93</f>
        <v>17493840</v>
      </c>
      <c r="K109" s="220" t="n">
        <f aca="false">J109+K93</f>
        <v>17493840</v>
      </c>
      <c r="L109" s="220" t="n">
        <f aca="false">K109+L93</f>
        <v>17493840</v>
      </c>
      <c r="M109" s="220" t="n">
        <f aca="false">L109+M93</f>
        <v>17493840</v>
      </c>
      <c r="N109" s="220" t="n">
        <f aca="false">M109+N93</f>
        <v>17493840</v>
      </c>
      <c r="O109" s="220" t="n">
        <f aca="false">N109+O93</f>
        <v>17493840</v>
      </c>
      <c r="P109" s="220" t="n">
        <f aca="false">O109+P93</f>
        <v>17493840</v>
      </c>
      <c r="Q109" s="220" t="n">
        <f aca="false">P109+Q93</f>
        <v>17493840</v>
      </c>
      <c r="R109" s="220" t="n">
        <f aca="false">Q109+R93</f>
        <v>17493840</v>
      </c>
      <c r="S109" s="220" t="n">
        <f aca="false">R109+S93</f>
        <v>17493840</v>
      </c>
      <c r="T109" s="220" t="n">
        <f aca="false">S109+T93</f>
        <v>17493840</v>
      </c>
      <c r="U109" s="220" t="n">
        <f aca="false">T109+U93</f>
        <v>17493840</v>
      </c>
      <c r="V109" s="220" t="n">
        <f aca="false">U109+V93</f>
        <v>17493840</v>
      </c>
      <c r="W109" s="220" t="n">
        <f aca="false">V109+W93</f>
        <v>17493840</v>
      </c>
      <c r="X109" s="224"/>
    </row>
    <row r="111" customFormat="false" ht="15" hidden="false" customHeight="false" outlineLevel="0" collapsed="false">
      <c r="B111" s="240"/>
    </row>
    <row r="112" customFormat="false" ht="16.5" hidden="false" customHeight="true" outlineLevel="0" collapsed="false">
      <c r="G112" s="2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24" t="s">
        <v>0</v>
      </c>
      <c r="C1" s="125"/>
      <c r="D1" s="125"/>
      <c r="E1" s="126"/>
      <c r="P1" s="127" t="n">
        <f aca="false">1-D11</f>
        <v>0.99</v>
      </c>
      <c r="Q1" s="127" t="n">
        <f aca="false">P1-$D12</f>
        <v>0.986</v>
      </c>
      <c r="R1" s="127" t="n">
        <f aca="false">Q1-$D12</f>
        <v>0.982</v>
      </c>
      <c r="S1" s="127" t="n">
        <f aca="false">R1-$D12</f>
        <v>0.978</v>
      </c>
      <c r="T1" s="127" t="n">
        <f aca="false">S1-$D12</f>
        <v>0.974</v>
      </c>
      <c r="U1" s="127" t="n">
        <f aca="false">T1-$D12</f>
        <v>0.97</v>
      </c>
      <c r="V1" s="127" t="n">
        <f aca="false">U1-$D12</f>
        <v>0.966</v>
      </c>
      <c r="W1" s="127" t="n">
        <f aca="false">V1-$D12</f>
        <v>0.962</v>
      </c>
      <c r="X1" s="127" t="n">
        <f aca="false">W1-$D12</f>
        <v>0.958</v>
      </c>
      <c r="Y1" s="127" t="n">
        <f aca="false">X1-$D12</f>
        <v>0.954</v>
      </c>
      <c r="Z1" s="127" t="n">
        <f aca="false">Y1-$D12</f>
        <v>0.95</v>
      </c>
      <c r="AA1" s="127" t="n">
        <f aca="false">Z1-$D12</f>
        <v>0.946</v>
      </c>
      <c r="AB1" s="127" t="n">
        <f aca="false">AA1-$D12</f>
        <v>0.942</v>
      </c>
      <c r="AC1" s="127" t="n">
        <f aca="false">AB1-$D12</f>
        <v>0.938</v>
      </c>
      <c r="AD1" s="127" t="n">
        <f aca="false">AC1-$D12</f>
        <v>0.934</v>
      </c>
      <c r="AE1" s="127" t="n">
        <f aca="false">AD1-$D12</f>
        <v>0.93</v>
      </c>
      <c r="AF1" s="127" t="n">
        <f aca="false">AE1-$D12</f>
        <v>0.926</v>
      </c>
      <c r="AG1" s="127" t="n">
        <f aca="false">AF1-$D12</f>
        <v>0.922</v>
      </c>
      <c r="AH1" s="127" t="n">
        <f aca="false">AG1-$D12</f>
        <v>0.918</v>
      </c>
      <c r="AI1" s="127" t="n">
        <f aca="false">AH1-$D12</f>
        <v>0.914</v>
      </c>
    </row>
    <row r="2" customFormat="false" ht="21.75" hidden="false" customHeight="true" outlineLevel="0" collapsed="false">
      <c r="B2" s="128" t="s">
        <v>1</v>
      </c>
      <c r="C2" s="129" t="s">
        <v>105</v>
      </c>
      <c r="D2" s="130" t="s">
        <v>3</v>
      </c>
      <c r="E2" s="130" t="s">
        <v>3</v>
      </c>
    </row>
    <row r="3" customFormat="false" ht="21.75" hidden="false" customHeight="true" outlineLevel="0" collapsed="false">
      <c r="B3" s="131" t="s">
        <v>4</v>
      </c>
      <c r="C3" s="134" t="n">
        <v>20</v>
      </c>
      <c r="D3" s="133" t="s">
        <v>3</v>
      </c>
      <c r="E3" s="133" t="s">
        <v>3</v>
      </c>
    </row>
    <row r="4" customFormat="false" ht="21.75" hidden="false" customHeight="true" outlineLevel="0" collapsed="false">
      <c r="B4" s="131" t="s">
        <v>5</v>
      </c>
      <c r="C4" s="134" t="n">
        <v>436.1</v>
      </c>
      <c r="D4" s="133" t="s">
        <v>3</v>
      </c>
      <c r="E4" s="133" t="s">
        <v>3</v>
      </c>
      <c r="M4" s="0" t="s">
        <v>127</v>
      </c>
    </row>
    <row r="5" customFormat="false" ht="22.5" hidden="false" customHeight="true" outlineLevel="0" collapsed="false">
      <c r="B5" s="134" t="s">
        <v>6</v>
      </c>
      <c r="C5" s="134" t="n">
        <v>2020</v>
      </c>
      <c r="D5" s="134" t="s">
        <v>7</v>
      </c>
      <c r="E5" s="134" t="n">
        <v>2039</v>
      </c>
      <c r="M5" s="0" t="s">
        <v>128</v>
      </c>
    </row>
    <row r="6" customFormat="false" ht="20.25" hidden="false" customHeight="true" outlineLevel="0" collapsed="false">
      <c r="B6" s="135"/>
      <c r="C6" s="135"/>
      <c r="D6" s="135"/>
      <c r="E6" s="135"/>
      <c r="M6" s="0" t="s">
        <v>129</v>
      </c>
    </row>
    <row r="7" customFormat="false" ht="22.5" hidden="false" customHeight="true" outlineLevel="0" collapsed="false">
      <c r="B7" s="136" t="s">
        <v>8</v>
      </c>
      <c r="C7" s="125"/>
      <c r="D7" s="125"/>
      <c r="E7" s="126"/>
      <c r="M7" s="0" t="s">
        <v>130</v>
      </c>
    </row>
    <row r="8" customFormat="false" ht="22.5" hidden="false" customHeight="true" outlineLevel="0" collapsed="false">
      <c r="B8" s="137" t="s">
        <v>9</v>
      </c>
      <c r="C8" s="138"/>
      <c r="D8" s="138"/>
      <c r="E8" s="139"/>
      <c r="M8" s="0" t="s">
        <v>131</v>
      </c>
    </row>
    <row r="9" customFormat="false" ht="22.5" hidden="false" customHeight="true" outlineLevel="0" collapsed="false">
      <c r="B9" s="140" t="s">
        <v>10</v>
      </c>
      <c r="C9" s="141" t="s">
        <v>11</v>
      </c>
      <c r="D9" s="141" t="s">
        <v>12</v>
      </c>
      <c r="E9" s="142" t="s">
        <v>13</v>
      </c>
      <c r="M9" s="0" t="s">
        <v>111</v>
      </c>
    </row>
    <row r="10" customFormat="false" ht="21.75" hidden="false" customHeight="true" outlineLevel="0" collapsed="false">
      <c r="B10" s="143" t="s">
        <v>14</v>
      </c>
      <c r="C10" s="129" t="s">
        <v>112</v>
      </c>
      <c r="D10" s="129" t="n">
        <v>547002</v>
      </c>
      <c r="E10" s="143" t="n">
        <v>20</v>
      </c>
      <c r="M10" s="0" t="s">
        <v>99</v>
      </c>
    </row>
    <row r="11" customFormat="false" ht="21.75" hidden="false" customHeight="true" outlineLevel="0" collapsed="false">
      <c r="B11" s="144"/>
      <c r="C11" s="134" t="s">
        <v>16</v>
      </c>
      <c r="D11" s="134" t="n">
        <v>0.01</v>
      </c>
      <c r="E11" s="144"/>
    </row>
    <row r="12" customFormat="false" ht="21.75" hidden="false" customHeight="true" outlineLevel="0" collapsed="false">
      <c r="B12" s="144"/>
      <c r="C12" s="134" t="s">
        <v>17</v>
      </c>
      <c r="D12" s="134" t="n">
        <v>0.004</v>
      </c>
      <c r="E12" s="144"/>
    </row>
    <row r="13" customFormat="false" ht="22.5" hidden="false" customHeight="true" outlineLevel="0" collapsed="false">
      <c r="B13" s="144"/>
      <c r="C13" s="145" t="s">
        <v>114</v>
      </c>
      <c r="D13" s="145" t="n">
        <v>3.7152</v>
      </c>
      <c r="E13" s="144"/>
    </row>
    <row r="14" customFormat="false" ht="22.5" hidden="false" customHeight="true" outlineLevel="0" collapsed="false">
      <c r="B14" s="146" t="s">
        <v>19</v>
      </c>
      <c r="C14" s="125"/>
      <c r="D14" s="125"/>
      <c r="E14" s="126"/>
    </row>
    <row r="15" customFormat="false" ht="22.5" hidden="false" customHeight="true" outlineLevel="0" collapsed="false">
      <c r="B15" s="140" t="s">
        <v>10</v>
      </c>
      <c r="C15" s="141" t="s">
        <v>11</v>
      </c>
      <c r="D15" s="141" t="s">
        <v>12</v>
      </c>
      <c r="E15" s="147" t="s">
        <v>20</v>
      </c>
    </row>
    <row r="16" customFormat="false" ht="21.75" hidden="false" customHeight="true" outlineLevel="0" collapsed="false">
      <c r="B16" s="148" t="s">
        <v>115</v>
      </c>
      <c r="C16" s="128" t="s">
        <v>22</v>
      </c>
      <c r="D16" s="129" t="n">
        <v>31000</v>
      </c>
      <c r="E16" s="149" t="n">
        <v>20</v>
      </c>
    </row>
    <row r="17" customFormat="false" ht="21.75" hidden="false" customHeight="true" outlineLevel="0" collapsed="false">
      <c r="B17" s="144"/>
      <c r="C17" s="134" t="s">
        <v>23</v>
      </c>
      <c r="D17" s="134" t="n">
        <v>0.3</v>
      </c>
      <c r="E17" s="144"/>
    </row>
    <row r="18" customFormat="false" ht="21.75" hidden="false" customHeight="true" outlineLevel="0" collapsed="false">
      <c r="B18" s="150"/>
      <c r="C18" s="134" t="s">
        <v>24</v>
      </c>
      <c r="D18" s="134" t="n">
        <v>3000</v>
      </c>
      <c r="E18" s="150"/>
    </row>
    <row r="19" customFormat="false" ht="54" hidden="false" customHeight="true" outlineLevel="0" collapsed="false">
      <c r="B19" s="151" t="s">
        <v>25</v>
      </c>
      <c r="C19" s="152" t="s">
        <v>26</v>
      </c>
      <c r="D19" s="134" t="n">
        <v>2</v>
      </c>
      <c r="E19" s="130" t="n">
        <v>0</v>
      </c>
    </row>
    <row r="20" customFormat="false" ht="20.25" hidden="false" customHeight="true" outlineLevel="0" collapsed="false">
      <c r="B20" s="144"/>
      <c r="C20" s="153" t="s">
        <v>116</v>
      </c>
      <c r="D20" s="134" t="n">
        <v>0</v>
      </c>
      <c r="E20" s="130" t="n">
        <v>20</v>
      </c>
    </row>
    <row r="21" customFormat="false" ht="21.75" hidden="false" customHeight="true" outlineLevel="0" collapsed="false">
      <c r="B21" s="150"/>
      <c r="C21" s="134" t="s">
        <v>117</v>
      </c>
      <c r="D21" s="134" t="n">
        <v>0.3</v>
      </c>
      <c r="E21" s="133" t="n">
        <v>0</v>
      </c>
    </row>
    <row r="22" customFormat="false" ht="21.75" hidden="false" customHeight="true" outlineLevel="0" collapsed="false">
      <c r="B22" s="134" t="s">
        <v>29</v>
      </c>
      <c r="C22" s="134" t="s">
        <v>118</v>
      </c>
      <c r="D22" s="134" t="n">
        <v>400</v>
      </c>
      <c r="E22" s="133" t="n">
        <v>20</v>
      </c>
    </row>
    <row r="23" customFormat="false" ht="21.75" hidden="false" customHeight="true" outlineLevel="0" collapsed="false">
      <c r="B23" s="134" t="s">
        <v>31</v>
      </c>
      <c r="C23" s="131" t="s">
        <v>32</v>
      </c>
      <c r="D23" s="134" t="n">
        <v>0.003</v>
      </c>
      <c r="E23" s="133" t="n">
        <v>20</v>
      </c>
    </row>
    <row r="24" customFormat="false" ht="21.75" hidden="false" customHeight="true" outlineLevel="0" collapsed="false">
      <c r="B24" s="134" t="s">
        <v>33</v>
      </c>
      <c r="C24" s="134" t="s">
        <v>119</v>
      </c>
      <c r="D24" s="134" t="n">
        <v>1000</v>
      </c>
      <c r="E24" s="133" t="n">
        <v>10</v>
      </c>
    </row>
    <row r="25" customFormat="false" ht="21.75" hidden="false" customHeight="true" outlineLevel="0" collapsed="false">
      <c r="B25" s="134" t="s">
        <v>35</v>
      </c>
      <c r="C25" s="134" t="s">
        <v>36</v>
      </c>
      <c r="D25" s="134" t="n">
        <v>0.025595</v>
      </c>
      <c r="E25" s="133" t="n">
        <v>0</v>
      </c>
    </row>
    <row r="26" customFormat="false" ht="22.5" hidden="false" customHeight="true" outlineLevel="0" collapsed="false">
      <c r="B26" s="134" t="s">
        <v>37</v>
      </c>
      <c r="C26" s="134" t="s">
        <v>38</v>
      </c>
      <c r="D26" s="134" t="n">
        <v>0.2</v>
      </c>
      <c r="E26" s="133" t="n">
        <v>0</v>
      </c>
    </row>
    <row r="27" customFormat="false" ht="20.25" hidden="false" customHeight="true" outlineLevel="0" collapsed="false">
      <c r="B27" s="135"/>
      <c r="C27" s="135"/>
      <c r="D27" s="135"/>
      <c r="E27" s="135"/>
    </row>
    <row r="28" customFormat="false" ht="20.25" hidden="false" customHeight="true" outlineLevel="0" collapsed="false">
      <c r="B28" s="135"/>
      <c r="C28" s="135"/>
      <c r="D28" s="135"/>
      <c r="E28" s="135"/>
    </row>
    <row r="29" customFormat="false" ht="22.5" hidden="false" customHeight="true" outlineLevel="0" collapsed="false">
      <c r="B29" s="136" t="s">
        <v>39</v>
      </c>
      <c r="C29" s="125"/>
      <c r="D29" s="126"/>
      <c r="E29" s="135"/>
    </row>
    <row r="30" customFormat="false" ht="22.5" hidden="false" customHeight="true" outlineLevel="0" collapsed="false">
      <c r="B30" s="140" t="s">
        <v>40</v>
      </c>
      <c r="C30" s="141" t="s">
        <v>11</v>
      </c>
      <c r="D30" s="147" t="s">
        <v>12</v>
      </c>
      <c r="E30" s="135"/>
    </row>
    <row r="31" customFormat="false" ht="18.75" hidden="false" customHeight="true" outlineLevel="0" collapsed="false">
      <c r="B31" s="128" t="s">
        <v>41</v>
      </c>
      <c r="C31" s="128" t="s">
        <v>42</v>
      </c>
      <c r="D31" s="129" t="n">
        <v>0.8</v>
      </c>
      <c r="E31" s="135"/>
    </row>
    <row r="32" customFormat="false" ht="18.75" hidden="false" customHeight="true" outlineLevel="0" collapsed="false">
      <c r="B32" s="129" t="s">
        <v>43</v>
      </c>
      <c r="C32" s="129" t="s">
        <v>44</v>
      </c>
      <c r="D32" s="129" t="n">
        <v>15</v>
      </c>
      <c r="E32" s="135"/>
    </row>
    <row r="33" customFormat="false" ht="18.75" hidden="false" customHeight="true" outlineLevel="0" collapsed="false">
      <c r="B33" s="134" t="s">
        <v>45</v>
      </c>
      <c r="C33" s="134" t="s">
        <v>46</v>
      </c>
      <c r="D33" s="134" t="n">
        <v>0.9</v>
      </c>
      <c r="E33" s="135"/>
    </row>
    <row r="34" customFormat="false" ht="18.75" hidden="false" customHeight="true" outlineLevel="0" collapsed="false">
      <c r="B34" s="134" t="s">
        <v>47</v>
      </c>
      <c r="C34" s="134" t="s">
        <v>44</v>
      </c>
      <c r="D34" s="134" t="n">
        <v>4</v>
      </c>
      <c r="E34" s="135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97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54" t="n">
        <v>0</v>
      </c>
      <c r="C38" s="155"/>
      <c r="D38" s="156"/>
      <c r="E38" s="156"/>
      <c r="F38" s="157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9"/>
      <c r="U38" s="158"/>
      <c r="V38" s="158"/>
      <c r="W38" s="158"/>
      <c r="X38" s="160"/>
    </row>
    <row r="39" customFormat="false" ht="18.75" hidden="false" customHeight="true" outlineLevel="0" collapsed="false">
      <c r="B39" s="161" t="s">
        <v>51</v>
      </c>
      <c r="C39" s="162" t="n">
        <v>0</v>
      </c>
      <c r="D39" s="163" t="n">
        <v>1</v>
      </c>
      <c r="E39" s="163" t="n">
        <v>2</v>
      </c>
      <c r="F39" s="163" t="n">
        <v>3</v>
      </c>
      <c r="G39" s="163" t="n">
        <v>4</v>
      </c>
      <c r="H39" s="163" t="n">
        <v>5</v>
      </c>
      <c r="I39" s="163" t="n">
        <v>6</v>
      </c>
      <c r="J39" s="163" t="n">
        <v>7</v>
      </c>
      <c r="K39" s="163" t="n">
        <v>8</v>
      </c>
      <c r="L39" s="163" t="n">
        <v>9</v>
      </c>
      <c r="M39" s="163" t="n">
        <v>10</v>
      </c>
      <c r="N39" s="163" t="n">
        <v>11</v>
      </c>
      <c r="O39" s="163" t="n">
        <v>12</v>
      </c>
      <c r="P39" s="163" t="n">
        <v>13</v>
      </c>
      <c r="Q39" s="163" t="n">
        <v>14</v>
      </c>
      <c r="R39" s="163" t="n">
        <v>15</v>
      </c>
      <c r="S39" s="163" t="n">
        <v>16</v>
      </c>
      <c r="T39" s="164" t="n">
        <v>17</v>
      </c>
      <c r="U39" s="163" t="n">
        <v>18</v>
      </c>
      <c r="V39" s="163" t="n">
        <v>19</v>
      </c>
      <c r="W39" s="163" t="n">
        <v>20</v>
      </c>
      <c r="X39" s="47"/>
    </row>
    <row r="40" customFormat="false" ht="18.75" hidden="false" customHeight="true" outlineLevel="0" collapsed="false">
      <c r="B40" s="165" t="s">
        <v>52</v>
      </c>
      <c r="C40" s="166" t="n">
        <v>0</v>
      </c>
      <c r="D40" s="167" t="n">
        <f aca="false">$D$10*P1</f>
        <v>541531.98</v>
      </c>
      <c r="E40" s="167" t="n">
        <f aca="false">$D$10*Q1</f>
        <v>539343.972</v>
      </c>
      <c r="F40" s="167" t="n">
        <f aca="false">$D$10*R1</f>
        <v>537155.964</v>
      </c>
      <c r="G40" s="167" t="n">
        <f aca="false">$D$10*S1</f>
        <v>534967.956</v>
      </c>
      <c r="H40" s="167" t="n">
        <f aca="false">$D$10*T1</f>
        <v>532779.948</v>
      </c>
      <c r="I40" s="167" t="n">
        <f aca="false">$D$10*U1</f>
        <v>530591.94</v>
      </c>
      <c r="J40" s="167" t="n">
        <f aca="false">$D$10*V1</f>
        <v>528403.932</v>
      </c>
      <c r="K40" s="167" t="n">
        <f aca="false">$D$10*W1</f>
        <v>526215.924</v>
      </c>
      <c r="L40" s="167" t="n">
        <f aca="false">$D$10*X1</f>
        <v>524027.916</v>
      </c>
      <c r="M40" s="167" t="n">
        <f aca="false">$D$10*Y1</f>
        <v>521839.908</v>
      </c>
      <c r="N40" s="167" t="n">
        <f aca="false">$D$10*Z1</f>
        <v>519651.9</v>
      </c>
      <c r="O40" s="167" t="n">
        <f aca="false">$D$10*AA1</f>
        <v>517463.892</v>
      </c>
      <c r="P40" s="167" t="n">
        <f aca="false">$D$10*AB1</f>
        <v>515275.884</v>
      </c>
      <c r="Q40" s="167" t="n">
        <f aca="false">$D$10*AC1</f>
        <v>513087.876</v>
      </c>
      <c r="R40" s="167" t="n">
        <f aca="false">$D$10*AD1</f>
        <v>510899.868</v>
      </c>
      <c r="S40" s="167" t="n">
        <f aca="false">$D$10*AE1</f>
        <v>508711.86</v>
      </c>
      <c r="T40" s="167" t="n">
        <f aca="false">$D$10*AF1</f>
        <v>506523.852</v>
      </c>
      <c r="U40" s="167" t="n">
        <f aca="false">$D$10*AG1</f>
        <v>504335.844</v>
      </c>
      <c r="V40" s="167" t="n">
        <f aca="false">$D$10*AH1</f>
        <v>502147.836</v>
      </c>
      <c r="W40" s="167" t="n">
        <f aca="false">$D$10*AI1</f>
        <v>499959.828</v>
      </c>
      <c r="X40" s="168"/>
    </row>
    <row r="41" customFormat="false" ht="18.75" hidden="false" customHeight="true" outlineLevel="0" collapsed="false">
      <c r="B41" s="169" t="s">
        <v>53</v>
      </c>
      <c r="C41" s="170" t="s">
        <v>3</v>
      </c>
      <c r="D41" s="171" t="n">
        <f aca="false">D40*$D$13</f>
        <v>2011899.612096</v>
      </c>
      <c r="E41" s="171" t="n">
        <f aca="false">E40*$D$13</f>
        <v>2003770.7247744</v>
      </c>
      <c r="F41" s="171" t="n">
        <f aca="false">F40*$D$13</f>
        <v>1995641.8374528</v>
      </c>
      <c r="G41" s="171" t="n">
        <f aca="false">G40*$D$13</f>
        <v>1987512.9501312</v>
      </c>
      <c r="H41" s="171" t="n">
        <f aca="false">H40*$D$13</f>
        <v>1979384.0628096</v>
      </c>
      <c r="I41" s="171" t="n">
        <f aca="false">I40*$D$13</f>
        <v>1971255.175488</v>
      </c>
      <c r="J41" s="171" t="n">
        <f aca="false">J40*$D$13</f>
        <v>1963126.2881664</v>
      </c>
      <c r="K41" s="171" t="n">
        <f aca="false">K40*$D$13</f>
        <v>1954997.4008448</v>
      </c>
      <c r="L41" s="171" t="n">
        <f aca="false">L40*$D$13</f>
        <v>1946868.5135232</v>
      </c>
      <c r="M41" s="171" t="n">
        <f aca="false">M40*$D$13</f>
        <v>1938739.6262016</v>
      </c>
      <c r="N41" s="171" t="n">
        <f aca="false">N40*$D$13</f>
        <v>1930610.73888</v>
      </c>
      <c r="O41" s="171" t="n">
        <f aca="false">O40*$D$13</f>
        <v>1922481.8515584</v>
      </c>
      <c r="P41" s="171" t="n">
        <f aca="false">P40*$D$13</f>
        <v>1914352.9642368</v>
      </c>
      <c r="Q41" s="171" t="n">
        <f aca="false">Q40*$D$13</f>
        <v>1906224.0769152</v>
      </c>
      <c r="R41" s="171" t="n">
        <f aca="false">R40*$D$13</f>
        <v>1898095.1895936</v>
      </c>
      <c r="S41" s="171" t="n">
        <f aca="false">S40*$D$13</f>
        <v>1889966.302272</v>
      </c>
      <c r="T41" s="171" t="n">
        <f aca="false">T40*$D$13</f>
        <v>1881837.4149504</v>
      </c>
      <c r="U41" s="171" t="n">
        <f aca="false">U40*$D$13</f>
        <v>1873708.5276288</v>
      </c>
      <c r="V41" s="171" t="n">
        <f aca="false">V40*$D$13</f>
        <v>1865579.6403072</v>
      </c>
      <c r="W41" s="171" t="n">
        <f aca="false">W40*$D$13</f>
        <v>1857450.7529856</v>
      </c>
      <c r="X41" s="172"/>
    </row>
    <row r="42" customFormat="false" ht="18.75" hidden="false" customHeight="true" outlineLevel="0" collapsed="false">
      <c r="B42" s="173" t="s">
        <v>54</v>
      </c>
      <c r="C42" s="174" t="s">
        <v>3</v>
      </c>
      <c r="D42" s="175"/>
      <c r="E42" s="175"/>
      <c r="F42" s="175"/>
      <c r="G42" s="176" t="s">
        <v>3</v>
      </c>
      <c r="H42" s="176" t="s">
        <v>3</v>
      </c>
      <c r="I42" s="176" t="s">
        <v>3</v>
      </c>
      <c r="J42" s="176" t="s">
        <v>3</v>
      </c>
      <c r="K42" s="176" t="s">
        <v>3</v>
      </c>
      <c r="L42" s="176" t="s">
        <v>3</v>
      </c>
      <c r="M42" s="176" t="s">
        <v>3</v>
      </c>
      <c r="N42" s="176" t="s">
        <v>3</v>
      </c>
      <c r="O42" s="176" t="s">
        <v>3</v>
      </c>
      <c r="P42" s="176" t="s">
        <v>3</v>
      </c>
      <c r="Q42" s="176" t="s">
        <v>3</v>
      </c>
      <c r="R42" s="176" t="s">
        <v>3</v>
      </c>
      <c r="S42" s="176" t="s">
        <v>3</v>
      </c>
      <c r="T42" s="176" t="s">
        <v>3</v>
      </c>
      <c r="U42" s="176" t="s">
        <v>3</v>
      </c>
      <c r="V42" s="176" t="s">
        <v>3</v>
      </c>
      <c r="W42" s="176" t="s">
        <v>3</v>
      </c>
      <c r="X42" s="177"/>
    </row>
    <row r="43" customFormat="false" ht="18.75" hidden="false" customHeight="true" outlineLevel="0" collapsed="false">
      <c r="B43" s="178" t="s">
        <v>55</v>
      </c>
      <c r="C43" s="179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customFormat="false" ht="18.75" hidden="false" customHeight="true" outlineLevel="0" collapsed="false">
      <c r="B44" s="182" t="s">
        <v>56</v>
      </c>
      <c r="C44" s="183" t="n">
        <f aca="false">-(D16/(1-D17)+D18)*C4</f>
        <v>-20621300</v>
      </c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 customFormat="false" ht="18.75" hidden="false" customHeight="true" outlineLevel="0" collapsed="false">
      <c r="B45" s="182" t="s">
        <v>57</v>
      </c>
      <c r="C45" s="174" t="s">
        <v>3</v>
      </c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</row>
    <row r="46" customFormat="false" ht="18.75" hidden="false" customHeight="true" outlineLevel="0" collapsed="false">
      <c r="B46" s="182" t="s">
        <v>58</v>
      </c>
      <c r="C46" s="17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 customFormat="false" ht="18.75" hidden="false" customHeight="true" outlineLevel="0" collapsed="false">
      <c r="B47" s="182" t="s">
        <v>59</v>
      </c>
      <c r="C47" s="174" t="s">
        <v>3</v>
      </c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 customFormat="false" ht="18.75" hidden="false" customHeight="true" outlineLevel="0" collapsed="false">
      <c r="B48" s="182" t="s">
        <v>60</v>
      </c>
      <c r="C48" s="174" t="s">
        <v>3</v>
      </c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</row>
    <row r="49" customFormat="false" ht="18.75" hidden="false" customHeight="true" outlineLevel="0" collapsed="false">
      <c r="B49" s="182" t="s">
        <v>61</v>
      </c>
      <c r="C49" s="174" t="s">
        <v>3</v>
      </c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</row>
    <row r="50" customFormat="false" ht="18.75" hidden="false" customHeight="true" outlineLevel="0" collapsed="false">
      <c r="B50" s="182" t="s">
        <v>62</v>
      </c>
      <c r="C50" s="17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</row>
    <row r="51" customFormat="false" ht="18.75" hidden="false" customHeight="true" outlineLevel="0" collapsed="false">
      <c r="B51" s="182" t="s">
        <v>63</v>
      </c>
      <c r="C51" s="185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 customFormat="false" ht="18.75" hidden="false" customHeight="true" outlineLevel="0" collapsed="false">
      <c r="B52" s="182" t="s">
        <v>64</v>
      </c>
      <c r="C52" s="185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 customFormat="false" ht="18.75" hidden="false" customHeight="true" outlineLevel="0" collapsed="false">
      <c r="B53" s="186" t="s">
        <v>65</v>
      </c>
      <c r="C53" s="185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 customFormat="false" ht="18.75" hidden="false" customHeight="true" outlineLevel="0" collapsed="false">
      <c r="B54" s="186" t="s">
        <v>66</v>
      </c>
      <c r="C54" s="185"/>
      <c r="D54" s="184" t="n">
        <f aca="false">-(D64+D67+D68+D71+D72+D73+D74)*0.2</f>
        <v>-196166.9224192</v>
      </c>
      <c r="E54" s="184" t="n">
        <f aca="false">-(E64+E67+E68+E71+E72+E73+E74)*0.2</f>
        <v>-194541.14495488</v>
      </c>
      <c r="F54" s="184" t="n">
        <f aca="false">-(F64+F67+F68+F71+F72+F73+F74)*0.2</f>
        <v>-192915.36749056</v>
      </c>
      <c r="G54" s="184" t="n">
        <f aca="false">-(G64+G67+G68+G71+G72+G73+G74)*0.2</f>
        <v>-191289.59002624</v>
      </c>
      <c r="H54" s="184" t="n">
        <f aca="false">-(H64+H67+H68+H71+H72+H73+H74)*0.2</f>
        <v>-189663.81256192</v>
      </c>
      <c r="I54" s="184" t="n">
        <f aca="false">-(I64+I67+I68+I71+I72+I73+I74)*0.2</f>
        <v>-188038.0350976</v>
      </c>
      <c r="J54" s="184" t="n">
        <f aca="false">-(J64+J67+J68+J71+J72+J73+J74)*0.2</f>
        <v>-186412.25763328</v>
      </c>
      <c r="K54" s="184" t="n">
        <f aca="false">-(K64+K67+K68+K71+K72+K73+K74)*0.2</f>
        <v>-184786.48016896</v>
      </c>
      <c r="L54" s="184" t="n">
        <f aca="false">-(L64+L67+L68+L71+L72+L73+L74)*0.2</f>
        <v>-183160.70270464</v>
      </c>
      <c r="M54" s="184" t="n">
        <f aca="false">-(M64+M67+M68+M71+M72+M73+M74)*0.2</f>
        <v>-181534.92524032</v>
      </c>
      <c r="N54" s="184" t="n">
        <f aca="false">-(N64+N67+N68+N71+N72+N73+N74)*0.2</f>
        <v>-179909.147776</v>
      </c>
      <c r="O54" s="184" t="n">
        <f aca="false">-(O64+O67+O68+O71+O72+O73+O74)*0.2</f>
        <v>-178283.37031168</v>
      </c>
      <c r="P54" s="184" t="n">
        <f aca="false">-(P64+P67+P68+P71+P72+P73+P74)*0.2</f>
        <v>-176657.59284736</v>
      </c>
      <c r="Q54" s="184" t="n">
        <f aca="false">-(Q64+Q67+Q68+Q71+Q72+Q73+Q74)*0.2</f>
        <v>-175031.81538304</v>
      </c>
      <c r="R54" s="184" t="n">
        <f aca="false">-(R64+R67+R68+R71+R72+R73+R74)*0.2</f>
        <v>-173406.03791872</v>
      </c>
      <c r="S54" s="184" t="n">
        <f aca="false">-(S64+S67+S68+S71+S72+S73+S74)*0.2</f>
        <v>-171780.2604544</v>
      </c>
      <c r="T54" s="184" t="n">
        <f aca="false">-(T64+T67+T68+T71+T72+T73+T74)*0.2</f>
        <v>-170154.48299008</v>
      </c>
      <c r="U54" s="184" t="n">
        <f aca="false">-(U64+U67+U68+U71+U72+U73+U74)*0.2</f>
        <v>-168528.70552576</v>
      </c>
      <c r="V54" s="184" t="n">
        <f aca="false">-(V64+V67+V68+V71+V72+V73+V74)*0.2</f>
        <v>-166902.92806144</v>
      </c>
      <c r="W54" s="184" t="n">
        <f aca="false">-(W64+W67+W68+W71+W72+W73+W74)*0.2</f>
        <v>-165277.15059712</v>
      </c>
      <c r="X54" s="175"/>
    </row>
    <row r="55" customFormat="false" ht="18.75" hidden="false" customHeight="true" outlineLevel="0" collapsed="false">
      <c r="B55" s="187" t="s">
        <v>67</v>
      </c>
      <c r="C55" s="188" t="n">
        <f aca="false">C44</f>
        <v>-20621300</v>
      </c>
      <c r="D55" s="189" t="n">
        <f aca="false">SUM(D41:D54)</f>
        <v>1815732.6896768</v>
      </c>
      <c r="E55" s="189" t="n">
        <f aca="false">SUM(E41:E54)</f>
        <v>1809229.57981952</v>
      </c>
      <c r="F55" s="189" t="n">
        <f aca="false">SUM(F41:F54)</f>
        <v>1802726.46996224</v>
      </c>
      <c r="G55" s="189" t="n">
        <f aca="false">SUM(G41:G54)</f>
        <v>1796223.36010496</v>
      </c>
      <c r="H55" s="189" t="n">
        <f aca="false">SUM(H41:H54)</f>
        <v>1789720.25024768</v>
      </c>
      <c r="I55" s="189" t="n">
        <f aca="false">SUM(I41:I54)</f>
        <v>1783217.1403904</v>
      </c>
      <c r="J55" s="189" t="n">
        <f aca="false">SUM(J41:J54)</f>
        <v>1776714.03053312</v>
      </c>
      <c r="K55" s="189" t="n">
        <f aca="false">SUM(K41:K54)</f>
        <v>1770210.92067584</v>
      </c>
      <c r="L55" s="189" t="n">
        <f aca="false">SUM(L41:L54)</f>
        <v>1763707.81081856</v>
      </c>
      <c r="M55" s="189" t="n">
        <f aca="false">SUM(M41:M54)</f>
        <v>1757204.70096128</v>
      </c>
      <c r="N55" s="189" t="n">
        <f aca="false">SUM(N41:N54)</f>
        <v>1750701.591104</v>
      </c>
      <c r="O55" s="189" t="n">
        <f aca="false">SUM(O41:O54)</f>
        <v>1744198.48124672</v>
      </c>
      <c r="P55" s="189" t="n">
        <f aca="false">SUM(P41:P54)</f>
        <v>1737695.37138944</v>
      </c>
      <c r="Q55" s="189" t="n">
        <f aca="false">SUM(Q41:Q54)</f>
        <v>1731192.26153216</v>
      </c>
      <c r="R55" s="189" t="n">
        <f aca="false">SUM(R41:R54)</f>
        <v>1724689.15167488</v>
      </c>
      <c r="S55" s="189" t="n">
        <f aca="false">SUM(S41:S54)</f>
        <v>1718186.0418176</v>
      </c>
      <c r="T55" s="189" t="n">
        <f aca="false">SUM(T41:T54)</f>
        <v>1711682.93196032</v>
      </c>
      <c r="U55" s="189" t="n">
        <f aca="false">SUM(U41:U54)</f>
        <v>1705179.82210304</v>
      </c>
      <c r="V55" s="189" t="n">
        <f aca="false">SUM(V41:V54)</f>
        <v>1698676.71224576</v>
      </c>
      <c r="W55" s="189" t="n">
        <f aca="false">SUM(W41:W54)</f>
        <v>1692173.60238848</v>
      </c>
      <c r="X55" s="190"/>
      <c r="Y55" s="191"/>
      <c r="Z55" s="192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</row>
    <row r="56" customFormat="false" ht="18.75" hidden="false" customHeight="true" outlineLevel="0" collapsed="false">
      <c r="B56" s="193" t="s">
        <v>68</v>
      </c>
      <c r="D56" s="194" t="n">
        <f aca="false">C55+D55</f>
        <v>-18805567.3103232</v>
      </c>
      <c r="E56" s="194" t="n">
        <f aca="false">D56+E55</f>
        <v>-16996337.7305037</v>
      </c>
      <c r="F56" s="194" t="n">
        <f aca="false">E56+F55</f>
        <v>-15193611.2605414</v>
      </c>
      <c r="G56" s="194" t="n">
        <f aca="false">F56+G55</f>
        <v>-13397387.9004365</v>
      </c>
      <c r="H56" s="194" t="n">
        <f aca="false">G56+H55</f>
        <v>-11607667.6501888</v>
      </c>
      <c r="I56" s="194" t="n">
        <f aca="false">H56+I55</f>
        <v>-9824450.50979841</v>
      </c>
      <c r="J56" s="194" t="n">
        <f aca="false">I56+J55</f>
        <v>-8047736.47926529</v>
      </c>
      <c r="K56" s="194" t="n">
        <f aca="false">J56+K55</f>
        <v>-6277525.55858945</v>
      </c>
      <c r="L56" s="194" t="n">
        <f aca="false">K56+L55</f>
        <v>-4513817.74777089</v>
      </c>
      <c r="M56" s="194" t="n">
        <f aca="false">L56+M55</f>
        <v>-2756613.04680961</v>
      </c>
      <c r="N56" s="194" t="n">
        <f aca="false">M56+N55</f>
        <v>-1005911.45570561</v>
      </c>
      <c r="O56" s="194" t="n">
        <f aca="false">N56+O55</f>
        <v>738287.025541113</v>
      </c>
      <c r="P56" s="194" t="n">
        <f aca="false">O56+P55</f>
        <v>2475982.39693055</v>
      </c>
      <c r="Q56" s="194" t="n">
        <f aca="false">P56+Q55</f>
        <v>4207174.65846271</v>
      </c>
      <c r="R56" s="194" t="n">
        <f aca="false">Q56+R55</f>
        <v>5931863.81013759</v>
      </c>
      <c r="S56" s="194" t="n">
        <f aca="false">R56+S55</f>
        <v>7650049.85195519</v>
      </c>
      <c r="T56" s="194" t="n">
        <f aca="false">S56+T55</f>
        <v>9361732.78391551</v>
      </c>
      <c r="U56" s="194" t="n">
        <f aca="false">T56+U55</f>
        <v>11066912.6060186</v>
      </c>
      <c r="V56" s="194" t="n">
        <f aca="false">U56+V55</f>
        <v>12765589.3182643</v>
      </c>
      <c r="W56" s="194" t="n">
        <f aca="false">V56+W55</f>
        <v>14457762.9206528</v>
      </c>
      <c r="X56" s="194" t="n">
        <f aca="false">W56+X55</f>
        <v>14457762.9206528</v>
      </c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</row>
    <row r="57" customFormat="false" ht="18.75" hidden="false" customHeight="true" outlineLevel="0" collapsed="false">
      <c r="B57" s="195" t="s">
        <v>74</v>
      </c>
      <c r="C57" s="196"/>
      <c r="D57" s="197" t="str">
        <f aca="false">IF((D56)&gt;0,"回收","未回收")</f>
        <v>未回收</v>
      </c>
      <c r="E57" s="198" t="str">
        <f aca="false">IF((E56)&gt;0,"回收","未回收")</f>
        <v>未回收</v>
      </c>
      <c r="F57" s="198" t="str">
        <f aca="false">IF((F56)&gt;0,"回收","未回收")</f>
        <v>未回收</v>
      </c>
      <c r="G57" s="198" t="str">
        <f aca="false">IF((G56)&gt;0,"回收","未回收")</f>
        <v>未回收</v>
      </c>
      <c r="H57" s="198" t="str">
        <f aca="false">IF((H56)&gt;0,"回收","未回收")</f>
        <v>未回收</v>
      </c>
      <c r="I57" s="198" t="str">
        <f aca="false">IF((I56)&gt;0,"回收","未回收")</f>
        <v>未回收</v>
      </c>
      <c r="J57" s="198" t="str">
        <f aca="false">IF((J56)&gt;0,"回收","未回收")</f>
        <v>未回收</v>
      </c>
      <c r="K57" s="198" t="str">
        <f aca="false">IF((K56)&gt;0,"回收","未回收")</f>
        <v>未回收</v>
      </c>
      <c r="L57" s="198" t="str">
        <f aca="false">IF((L56)&gt;0,"回收","未回收")</f>
        <v>未回收</v>
      </c>
      <c r="M57" s="198" t="str">
        <f aca="false">IF((M56)&gt;0,"回收","未回收")</f>
        <v>未回收</v>
      </c>
      <c r="N57" s="198" t="str">
        <f aca="false">IF((N56)&gt;0,"回收","未回收")</f>
        <v>未回收</v>
      </c>
      <c r="O57" s="198" t="str">
        <f aca="false">IF((O56)&gt;0,"回收","未回收")</f>
        <v>回收</v>
      </c>
      <c r="P57" s="198" t="str">
        <f aca="false">IF((P56)&gt;0,"回收","未回收")</f>
        <v>回收</v>
      </c>
      <c r="Q57" s="198" t="str">
        <f aca="false">IF((Q56)&gt;0,"回收","未回收")</f>
        <v>回收</v>
      </c>
      <c r="R57" s="198" t="str">
        <f aca="false">IF((R56)&gt;0,"回收","未回收")</f>
        <v>回收</v>
      </c>
      <c r="S57" s="198" t="str">
        <f aca="false">IF((S56)&gt;0,"回收","未回收")</f>
        <v>回收</v>
      </c>
      <c r="T57" s="198" t="str">
        <f aca="false">IF((T56)&gt;0,"回收","未回收")</f>
        <v>回收</v>
      </c>
      <c r="U57" s="198" t="str">
        <f aca="false">IF((U56)&gt;0,"回收","未回收")</f>
        <v>回收</v>
      </c>
      <c r="V57" s="198" t="str">
        <f aca="false">IF((V56)&gt;0,"回收","未回收")</f>
        <v>回收</v>
      </c>
      <c r="W57" s="198" t="str">
        <f aca="false">IF((W56)&gt;0,"回收","未回收")</f>
        <v>回收</v>
      </c>
      <c r="X57" s="198" t="str">
        <f aca="false">IF((X56)&gt;0,"回收","未回收")</f>
        <v>回收</v>
      </c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</row>
    <row r="58" customFormat="false" ht="18.75" hidden="false" customHeight="true" outlineLevel="0" collapsed="false">
      <c r="B58" s="199" t="s">
        <v>93</v>
      </c>
      <c r="C58" s="200" t="n">
        <f aca="false">IRR(C55:W55)</f>
        <v>0.0577979858191501</v>
      </c>
      <c r="D58" s="201"/>
      <c r="E58" s="201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</row>
    <row r="59" customFormat="false" ht="18.75" hidden="false" customHeight="true" outlineLevel="0" collapsed="false">
      <c r="B59" s="202"/>
      <c r="C59" s="201"/>
      <c r="D59" s="201"/>
      <c r="E59" s="201"/>
      <c r="F59" s="202"/>
      <c r="G59" s="202"/>
      <c r="H59" s="202"/>
      <c r="I59" s="202"/>
      <c r="J59" s="202"/>
      <c r="K59" s="202"/>
      <c r="L59" s="202"/>
      <c r="M59" s="201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customFormat="false" ht="18.75" hidden="false" customHeight="true" outlineLevel="0" collapsed="false">
      <c r="B60" s="97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54" t="n">
        <v>0</v>
      </c>
      <c r="C61" s="155"/>
      <c r="D61" s="156"/>
      <c r="E61" s="156"/>
      <c r="F61" s="157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203" t="s">
        <v>50</v>
      </c>
      <c r="U61" s="158"/>
      <c r="V61" s="158"/>
      <c r="W61" s="158"/>
      <c r="X61" s="160"/>
    </row>
    <row r="62" customFormat="false" ht="18.75" hidden="false" customHeight="true" outlineLevel="0" collapsed="false">
      <c r="B62" s="161" t="s">
        <v>51</v>
      </c>
      <c r="C62" s="162" t="n">
        <v>0</v>
      </c>
      <c r="D62" s="163" t="n">
        <v>1</v>
      </c>
      <c r="E62" s="163" t="n">
        <v>2</v>
      </c>
      <c r="F62" s="163" t="n">
        <v>3</v>
      </c>
      <c r="G62" s="163" t="n">
        <v>4</v>
      </c>
      <c r="H62" s="163" t="n">
        <v>5</v>
      </c>
      <c r="I62" s="163" t="n">
        <v>6</v>
      </c>
      <c r="J62" s="163" t="n">
        <v>7</v>
      </c>
      <c r="K62" s="163" t="n">
        <v>8</v>
      </c>
      <c r="L62" s="163" t="n">
        <v>9</v>
      </c>
      <c r="M62" s="163" t="n">
        <v>10</v>
      </c>
      <c r="N62" s="163" t="n">
        <v>11</v>
      </c>
      <c r="O62" s="163" t="n">
        <v>12</v>
      </c>
      <c r="P62" s="163" t="n">
        <v>13</v>
      </c>
      <c r="Q62" s="163" t="n">
        <v>14</v>
      </c>
      <c r="R62" s="163" t="n">
        <v>15</v>
      </c>
      <c r="S62" s="163" t="n">
        <v>16</v>
      </c>
      <c r="T62" s="204" t="n">
        <v>17</v>
      </c>
      <c r="U62" s="163" t="n">
        <v>18</v>
      </c>
      <c r="V62" s="163" t="n">
        <v>19</v>
      </c>
      <c r="W62" s="163" t="n">
        <v>20</v>
      </c>
      <c r="X62" s="47"/>
    </row>
    <row r="63" customFormat="false" ht="18.75" hidden="false" customHeight="true" outlineLevel="0" collapsed="false">
      <c r="B63" s="165" t="s">
        <v>52</v>
      </c>
      <c r="C63" s="166" t="n">
        <v>0</v>
      </c>
      <c r="D63" s="167" t="n">
        <f aca="false">D40</f>
        <v>541531.98</v>
      </c>
      <c r="E63" s="167" t="n">
        <f aca="false">E40</f>
        <v>539343.972</v>
      </c>
      <c r="F63" s="167" t="n">
        <f aca="false">F40</f>
        <v>537155.964</v>
      </c>
      <c r="G63" s="167" t="n">
        <f aca="false">G40</f>
        <v>534967.956</v>
      </c>
      <c r="H63" s="167" t="n">
        <f aca="false">H40</f>
        <v>532779.948</v>
      </c>
      <c r="I63" s="167" t="n">
        <f aca="false">I40</f>
        <v>530591.94</v>
      </c>
      <c r="J63" s="167" t="n">
        <f aca="false">J40</f>
        <v>528403.932</v>
      </c>
      <c r="K63" s="167" t="n">
        <f aca="false">K40</f>
        <v>526215.924</v>
      </c>
      <c r="L63" s="167" t="n">
        <f aca="false">L40</f>
        <v>524027.916</v>
      </c>
      <c r="M63" s="167" t="n">
        <f aca="false">M40</f>
        <v>521839.908</v>
      </c>
      <c r="N63" s="167" t="n">
        <f aca="false">N40</f>
        <v>519651.9</v>
      </c>
      <c r="O63" s="167" t="n">
        <f aca="false">O40</f>
        <v>517463.892</v>
      </c>
      <c r="P63" s="167" t="n">
        <f aca="false">P40</f>
        <v>515275.884</v>
      </c>
      <c r="Q63" s="167" t="n">
        <f aca="false">Q40</f>
        <v>513087.876</v>
      </c>
      <c r="R63" s="167" t="n">
        <f aca="false">R40</f>
        <v>510899.868</v>
      </c>
      <c r="S63" s="167" t="n">
        <f aca="false">S40</f>
        <v>508711.86</v>
      </c>
      <c r="T63" s="167" t="n">
        <f aca="false">T40</f>
        <v>506523.852</v>
      </c>
      <c r="U63" s="167" t="n">
        <f aca="false">U40</f>
        <v>504335.844</v>
      </c>
      <c r="V63" s="167" t="n">
        <f aca="false">V40</f>
        <v>502147.836</v>
      </c>
      <c r="W63" s="167" t="n">
        <f aca="false">W40</f>
        <v>499959.828</v>
      </c>
      <c r="X63" s="168"/>
    </row>
    <row r="64" customFormat="false" ht="18.75" hidden="false" customHeight="true" outlineLevel="0" collapsed="false">
      <c r="B64" s="169" t="s">
        <v>53</v>
      </c>
      <c r="C64" s="170" t="s">
        <v>3</v>
      </c>
      <c r="D64" s="171" t="n">
        <f aca="false">D41</f>
        <v>2011899.612096</v>
      </c>
      <c r="E64" s="171" t="n">
        <f aca="false">E41</f>
        <v>2003770.7247744</v>
      </c>
      <c r="F64" s="171" t="n">
        <f aca="false">F41</f>
        <v>1995641.8374528</v>
      </c>
      <c r="G64" s="171" t="n">
        <f aca="false">G41</f>
        <v>1987512.9501312</v>
      </c>
      <c r="H64" s="171" t="n">
        <f aca="false">H41</f>
        <v>1979384.0628096</v>
      </c>
      <c r="I64" s="171" t="n">
        <f aca="false">I41</f>
        <v>1971255.175488</v>
      </c>
      <c r="J64" s="171" t="n">
        <f aca="false">J41</f>
        <v>1963126.2881664</v>
      </c>
      <c r="K64" s="171" t="n">
        <f aca="false">K41</f>
        <v>1954997.4008448</v>
      </c>
      <c r="L64" s="171" t="n">
        <f aca="false">L41</f>
        <v>1946868.5135232</v>
      </c>
      <c r="M64" s="171" t="n">
        <f aca="false">M41</f>
        <v>1938739.6262016</v>
      </c>
      <c r="N64" s="171" t="n">
        <f aca="false">N41</f>
        <v>1930610.73888</v>
      </c>
      <c r="O64" s="171" t="n">
        <f aca="false">O41</f>
        <v>1922481.8515584</v>
      </c>
      <c r="P64" s="171" t="n">
        <f aca="false">P41</f>
        <v>1914352.9642368</v>
      </c>
      <c r="Q64" s="171" t="n">
        <f aca="false">Q41</f>
        <v>1906224.0769152</v>
      </c>
      <c r="R64" s="171" t="n">
        <f aca="false">R41</f>
        <v>1898095.1895936</v>
      </c>
      <c r="S64" s="171" t="n">
        <f aca="false">S41</f>
        <v>1889966.302272</v>
      </c>
      <c r="T64" s="171" t="n">
        <f aca="false">T41</f>
        <v>1881837.4149504</v>
      </c>
      <c r="U64" s="171" t="n">
        <f aca="false">U41</f>
        <v>1873708.5276288</v>
      </c>
      <c r="V64" s="171" t="n">
        <f aca="false">V41</f>
        <v>1865579.6403072</v>
      </c>
      <c r="W64" s="171" t="n">
        <f aca="false">W41</f>
        <v>1857450.7529856</v>
      </c>
      <c r="X64" s="172"/>
    </row>
    <row r="65" customFormat="false" ht="18.75" hidden="false" customHeight="true" outlineLevel="0" collapsed="false">
      <c r="B65" s="173" t="s">
        <v>54</v>
      </c>
      <c r="C65" s="174" t="s">
        <v>3</v>
      </c>
      <c r="D65" s="175"/>
      <c r="E65" s="175"/>
      <c r="F65" s="175"/>
      <c r="G65" s="176" t="s">
        <v>3</v>
      </c>
      <c r="H65" s="176" t="s">
        <v>3</v>
      </c>
      <c r="I65" s="176" t="s">
        <v>3</v>
      </c>
      <c r="J65" s="176" t="s">
        <v>3</v>
      </c>
      <c r="K65" s="176" t="s">
        <v>3</v>
      </c>
      <c r="L65" s="176" t="s">
        <v>3</v>
      </c>
      <c r="M65" s="176" t="s">
        <v>3</v>
      </c>
      <c r="N65" s="176" t="s">
        <v>3</v>
      </c>
      <c r="O65" s="176" t="s">
        <v>3</v>
      </c>
      <c r="P65" s="176" t="s">
        <v>3</v>
      </c>
      <c r="Q65" s="176" t="s">
        <v>3</v>
      </c>
      <c r="R65" s="176" t="s">
        <v>3</v>
      </c>
      <c r="S65" s="176" t="s">
        <v>3</v>
      </c>
      <c r="T65" s="176" t="s">
        <v>3</v>
      </c>
      <c r="U65" s="176" t="s">
        <v>3</v>
      </c>
      <c r="V65" s="176" t="s">
        <v>3</v>
      </c>
      <c r="W65" s="176" t="s">
        <v>3</v>
      </c>
      <c r="X65" s="177"/>
    </row>
    <row r="66" customFormat="false" ht="18.75" hidden="false" customHeight="true" outlineLevel="0" collapsed="false">
      <c r="B66" s="178" t="s">
        <v>55</v>
      </c>
      <c r="C66" s="179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1"/>
    </row>
    <row r="67" customFormat="false" ht="18.75" hidden="false" customHeight="true" outlineLevel="0" collapsed="false">
      <c r="B67" s="182" t="s">
        <v>120</v>
      </c>
      <c r="C67" s="174"/>
      <c r="D67" s="205" t="n">
        <f aca="false">$C$44/$E$16</f>
        <v>-1031065</v>
      </c>
      <c r="E67" s="205" t="n">
        <f aca="false">$C$44/$E$16</f>
        <v>-1031065</v>
      </c>
      <c r="F67" s="205" t="n">
        <f aca="false">$C$44/$E$16</f>
        <v>-1031065</v>
      </c>
      <c r="G67" s="205" t="n">
        <f aca="false">$C$44/$E$16</f>
        <v>-1031065</v>
      </c>
      <c r="H67" s="205" t="n">
        <f aca="false">$C$44/$E$16</f>
        <v>-1031065</v>
      </c>
      <c r="I67" s="205" t="n">
        <f aca="false">$C$44/$E$16</f>
        <v>-1031065</v>
      </c>
      <c r="J67" s="205" t="n">
        <f aca="false">$C$44/$E$16</f>
        <v>-1031065</v>
      </c>
      <c r="K67" s="205" t="n">
        <f aca="false">$C$44/$E$16</f>
        <v>-1031065</v>
      </c>
      <c r="L67" s="205" t="n">
        <f aca="false">$C$44/$E$16</f>
        <v>-1031065</v>
      </c>
      <c r="M67" s="205" t="n">
        <f aca="false">$C$44/$E$16</f>
        <v>-1031065</v>
      </c>
      <c r="N67" s="205" t="n">
        <f aca="false">$C$44/$E$16</f>
        <v>-1031065</v>
      </c>
      <c r="O67" s="205" t="n">
        <f aca="false">$C$44/$E$16</f>
        <v>-1031065</v>
      </c>
      <c r="P67" s="205" t="n">
        <f aca="false">$C$44/$E$16</f>
        <v>-1031065</v>
      </c>
      <c r="Q67" s="205" t="n">
        <f aca="false">$C$44/$E$16</f>
        <v>-1031065</v>
      </c>
      <c r="R67" s="205" t="n">
        <f aca="false">$C$44/$E$16</f>
        <v>-1031065</v>
      </c>
      <c r="S67" s="205" t="n">
        <f aca="false">$C$44/$E$16</f>
        <v>-1031065</v>
      </c>
      <c r="T67" s="205" t="n">
        <f aca="false">$C$44/$E$16</f>
        <v>-1031065</v>
      </c>
      <c r="U67" s="205" t="n">
        <f aca="false">$C$44/$E$16</f>
        <v>-1031065</v>
      </c>
      <c r="V67" s="205" t="n">
        <f aca="false">$C$44/$E$16</f>
        <v>-1031065</v>
      </c>
      <c r="W67" s="205" t="n">
        <f aca="false">$C$44/$E$16</f>
        <v>-1031065</v>
      </c>
      <c r="X67" s="177"/>
    </row>
    <row r="68" customFormat="false" ht="18.75" hidden="false" customHeight="true" outlineLevel="0" collapsed="false">
      <c r="B68" s="182" t="s">
        <v>57</v>
      </c>
      <c r="C68" s="174" t="s">
        <v>3</v>
      </c>
      <c r="D68" s="184" t="n">
        <f aca="false">D45</f>
        <v>0</v>
      </c>
      <c r="E68" s="184" t="n">
        <f aca="false">E45</f>
        <v>0</v>
      </c>
      <c r="F68" s="184" t="n">
        <f aca="false">F45</f>
        <v>0</v>
      </c>
      <c r="G68" s="184" t="n">
        <f aca="false">G45</f>
        <v>0</v>
      </c>
      <c r="H68" s="184" t="n">
        <f aca="false">H45</f>
        <v>0</v>
      </c>
      <c r="I68" s="184" t="n">
        <f aca="false">I45</f>
        <v>0</v>
      </c>
      <c r="J68" s="184" t="n">
        <f aca="false">J45</f>
        <v>0</v>
      </c>
      <c r="K68" s="184" t="n">
        <f aca="false">K45</f>
        <v>0</v>
      </c>
      <c r="L68" s="184" t="n">
        <f aca="false">L45</f>
        <v>0</v>
      </c>
      <c r="M68" s="184" t="n">
        <f aca="false">M45</f>
        <v>0</v>
      </c>
      <c r="N68" s="184" t="n">
        <f aca="false">N45</f>
        <v>0</v>
      </c>
      <c r="O68" s="184" t="n">
        <f aca="false">O45</f>
        <v>0</v>
      </c>
      <c r="P68" s="184" t="n">
        <f aca="false">P45</f>
        <v>0</v>
      </c>
      <c r="Q68" s="184" t="n">
        <f aca="false">Q45</f>
        <v>0</v>
      </c>
      <c r="R68" s="184" t="n">
        <f aca="false">R45</f>
        <v>0</v>
      </c>
      <c r="S68" s="184" t="n">
        <f aca="false">S45</f>
        <v>0</v>
      </c>
      <c r="T68" s="184" t="n">
        <f aca="false">T45</f>
        <v>0</v>
      </c>
      <c r="U68" s="184" t="n">
        <f aca="false">U45</f>
        <v>0</v>
      </c>
      <c r="V68" s="184" t="n">
        <f aca="false">V45</f>
        <v>0</v>
      </c>
      <c r="W68" s="184" t="n">
        <f aca="false">W45</f>
        <v>0</v>
      </c>
      <c r="X68" s="177"/>
    </row>
    <row r="69" customFormat="false" ht="18.75" hidden="false" customHeight="true" outlineLevel="0" collapsed="false">
      <c r="B69" s="182" t="s">
        <v>58</v>
      </c>
      <c r="C69" s="174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7"/>
    </row>
    <row r="70" customFormat="false" ht="18.75" hidden="false" customHeight="true" outlineLevel="0" collapsed="false">
      <c r="B70" s="182" t="s">
        <v>59</v>
      </c>
      <c r="C70" s="174" t="s">
        <v>3</v>
      </c>
      <c r="D70" s="184" t="n">
        <f aca="false">-D109*$D25</f>
        <v>-422241.7388</v>
      </c>
      <c r="E70" s="184" t="n">
        <f aca="false">-E109*$D25</f>
        <v>-422241.7388</v>
      </c>
      <c r="F70" s="184" t="n">
        <f aca="false">-F109*$D25</f>
        <v>-422241.7388</v>
      </c>
      <c r="G70" s="184" t="n">
        <f aca="false">-G109*$D25</f>
        <v>-422241.7388</v>
      </c>
      <c r="H70" s="184" t="n">
        <f aca="false">-H109*$D25</f>
        <v>-422241.7388</v>
      </c>
      <c r="I70" s="184" t="n">
        <f aca="false">-I109*$D25</f>
        <v>-422241.7388</v>
      </c>
      <c r="J70" s="184" t="n">
        <f aca="false">-J109*$D25</f>
        <v>-422241.7388</v>
      </c>
      <c r="K70" s="184" t="n">
        <f aca="false">-K109*$D25</f>
        <v>-422241.7388</v>
      </c>
      <c r="L70" s="184" t="n">
        <f aca="false">-L109*$D25</f>
        <v>-422241.7388</v>
      </c>
      <c r="M70" s="184" t="n">
        <f aca="false">-M109*$D25</f>
        <v>-422241.7388</v>
      </c>
      <c r="N70" s="184" t="n">
        <f aca="false">-N109*$D25</f>
        <v>-422241.7388</v>
      </c>
      <c r="O70" s="184" t="n">
        <f aca="false">-O109*$D25</f>
        <v>-422241.7388</v>
      </c>
      <c r="P70" s="184" t="n">
        <f aca="false">-P109*$D25</f>
        <v>-422241.7388</v>
      </c>
      <c r="Q70" s="184" t="n">
        <f aca="false">-Q109*$D25</f>
        <v>-422241.7388</v>
      </c>
      <c r="R70" s="184" t="n">
        <f aca="false">-R109*$D25</f>
        <v>-422241.7388</v>
      </c>
      <c r="S70" s="184" t="n">
        <f aca="false">-S109*$D25</f>
        <v>-422241.7388</v>
      </c>
      <c r="T70" s="184" t="n">
        <f aca="false">-T109*$D25</f>
        <v>-422241.7388</v>
      </c>
      <c r="U70" s="184" t="n">
        <f aca="false">-U109*$D25</f>
        <v>-422241.7388</v>
      </c>
      <c r="V70" s="184" t="n">
        <f aca="false">-V109*$D25</f>
        <v>-422241.7388</v>
      </c>
      <c r="W70" s="184" t="n">
        <f aca="false">-W109*$D25</f>
        <v>-422241.7388</v>
      </c>
      <c r="X70" s="177"/>
    </row>
    <row r="71" customFormat="false" ht="18.75" hidden="false" customHeight="true" outlineLevel="0" collapsed="false">
      <c r="B71" s="182" t="s">
        <v>60</v>
      </c>
      <c r="C71" s="174" t="s">
        <v>3</v>
      </c>
      <c r="D71" s="184" t="n">
        <f aca="false">D48</f>
        <v>0</v>
      </c>
      <c r="E71" s="184" t="n">
        <f aca="false">E48</f>
        <v>0</v>
      </c>
      <c r="F71" s="184" t="n">
        <f aca="false">F48</f>
        <v>0</v>
      </c>
      <c r="G71" s="184" t="n">
        <f aca="false">G48</f>
        <v>0</v>
      </c>
      <c r="H71" s="184" t="n">
        <f aca="false">H48</f>
        <v>0</v>
      </c>
      <c r="I71" s="184" t="n">
        <f aca="false">I48</f>
        <v>0</v>
      </c>
      <c r="J71" s="184" t="n">
        <f aca="false">J48</f>
        <v>0</v>
      </c>
      <c r="K71" s="184" t="n">
        <f aca="false">K48</f>
        <v>0</v>
      </c>
      <c r="L71" s="184" t="n">
        <f aca="false">L48</f>
        <v>0</v>
      </c>
      <c r="M71" s="184" t="n">
        <f aca="false">M48</f>
        <v>0</v>
      </c>
      <c r="N71" s="184" t="n">
        <f aca="false">N48</f>
        <v>0</v>
      </c>
      <c r="O71" s="184" t="n">
        <f aca="false">O48</f>
        <v>0</v>
      </c>
      <c r="P71" s="184" t="n">
        <f aca="false">P48</f>
        <v>0</v>
      </c>
      <c r="Q71" s="184" t="n">
        <f aca="false">Q48</f>
        <v>0</v>
      </c>
      <c r="R71" s="184" t="n">
        <f aca="false">R48</f>
        <v>0</v>
      </c>
      <c r="S71" s="184" t="n">
        <f aca="false">S48</f>
        <v>0</v>
      </c>
      <c r="T71" s="184" t="n">
        <f aca="false">T48</f>
        <v>0</v>
      </c>
      <c r="U71" s="184" t="n">
        <f aca="false">U48</f>
        <v>0</v>
      </c>
      <c r="V71" s="184" t="n">
        <f aca="false">V48</f>
        <v>0</v>
      </c>
      <c r="W71" s="184" t="n">
        <f aca="false">W48</f>
        <v>0</v>
      </c>
      <c r="X71" s="177"/>
    </row>
    <row r="72" customFormat="false" ht="18.75" hidden="false" customHeight="true" outlineLevel="0" collapsed="false">
      <c r="B72" s="182" t="s">
        <v>61</v>
      </c>
      <c r="C72" s="174" t="s">
        <v>3</v>
      </c>
      <c r="D72" s="184" t="n">
        <f aca="false">D49</f>
        <v>0</v>
      </c>
      <c r="E72" s="184" t="n">
        <f aca="false">E49</f>
        <v>0</v>
      </c>
      <c r="F72" s="184" t="n">
        <f aca="false">F49</f>
        <v>0</v>
      </c>
      <c r="G72" s="184" t="n">
        <f aca="false">G49</f>
        <v>0</v>
      </c>
      <c r="H72" s="184" t="n">
        <f aca="false">H49</f>
        <v>0</v>
      </c>
      <c r="I72" s="184" t="n">
        <f aca="false">I49</f>
        <v>0</v>
      </c>
      <c r="J72" s="184" t="n">
        <f aca="false">J49</f>
        <v>0</v>
      </c>
      <c r="K72" s="184" t="n">
        <f aca="false">K49</f>
        <v>0</v>
      </c>
      <c r="L72" s="184" t="n">
        <f aca="false">L49</f>
        <v>0</v>
      </c>
      <c r="M72" s="184" t="n">
        <f aca="false">M49</f>
        <v>0</v>
      </c>
      <c r="N72" s="184" t="n">
        <f aca="false">N49</f>
        <v>0</v>
      </c>
      <c r="O72" s="184" t="n">
        <f aca="false">O49</f>
        <v>0</v>
      </c>
      <c r="P72" s="184" t="n">
        <f aca="false">P49</f>
        <v>0</v>
      </c>
      <c r="Q72" s="184" t="n">
        <f aca="false">Q49</f>
        <v>0</v>
      </c>
      <c r="R72" s="184" t="n">
        <f aca="false">R49</f>
        <v>0</v>
      </c>
      <c r="S72" s="184" t="n">
        <f aca="false">S49</f>
        <v>0</v>
      </c>
      <c r="T72" s="184" t="n">
        <f aca="false">T49</f>
        <v>0</v>
      </c>
      <c r="U72" s="184" t="n">
        <f aca="false">U49</f>
        <v>0</v>
      </c>
      <c r="V72" s="184" t="n">
        <f aca="false">V49</f>
        <v>0</v>
      </c>
      <c r="W72" s="184" t="n">
        <f aca="false">W49</f>
        <v>0</v>
      </c>
      <c r="X72" s="177"/>
    </row>
    <row r="73" customFormat="false" ht="18.75" hidden="false" customHeight="true" outlineLevel="0" collapsed="false">
      <c r="B73" s="182" t="s">
        <v>62</v>
      </c>
      <c r="C73" s="174"/>
      <c r="D73" s="184" t="n">
        <f aca="false">D50</f>
        <v>0</v>
      </c>
      <c r="E73" s="184" t="n">
        <f aca="false">E50</f>
        <v>0</v>
      </c>
      <c r="F73" s="184" t="n">
        <f aca="false">F50</f>
        <v>0</v>
      </c>
      <c r="G73" s="184" t="n">
        <f aca="false">G50</f>
        <v>0</v>
      </c>
      <c r="H73" s="184" t="n">
        <f aca="false">H50</f>
        <v>0</v>
      </c>
      <c r="I73" s="184" t="n">
        <f aca="false">I50</f>
        <v>0</v>
      </c>
      <c r="J73" s="184" t="n">
        <f aca="false">J50</f>
        <v>0</v>
      </c>
      <c r="K73" s="184" t="n">
        <f aca="false">K50</f>
        <v>0</v>
      </c>
      <c r="L73" s="184" t="n">
        <f aca="false">L50</f>
        <v>0</v>
      </c>
      <c r="M73" s="184" t="n">
        <f aca="false">M50</f>
        <v>0</v>
      </c>
      <c r="N73" s="184" t="n">
        <f aca="false">N50</f>
        <v>0</v>
      </c>
      <c r="O73" s="184" t="n">
        <f aca="false">O50</f>
        <v>0</v>
      </c>
      <c r="P73" s="184" t="n">
        <f aca="false">P50</f>
        <v>0</v>
      </c>
      <c r="Q73" s="184" t="n">
        <f aca="false">Q50</f>
        <v>0</v>
      </c>
      <c r="R73" s="184" t="n">
        <f aca="false">R50</f>
        <v>0</v>
      </c>
      <c r="S73" s="184" t="n">
        <f aca="false">S50</f>
        <v>0</v>
      </c>
      <c r="T73" s="184" t="n">
        <f aca="false">T50</f>
        <v>0</v>
      </c>
      <c r="U73" s="184" t="n">
        <f aca="false">U50</f>
        <v>0</v>
      </c>
      <c r="V73" s="184" t="n">
        <f aca="false">V50</f>
        <v>0</v>
      </c>
      <c r="W73" s="184" t="n">
        <f aca="false">W50</f>
        <v>0</v>
      </c>
      <c r="X73" s="177"/>
    </row>
    <row r="74" customFormat="false" ht="18.75" hidden="false" customHeight="true" outlineLevel="0" collapsed="false">
      <c r="B74" s="182" t="s">
        <v>63</v>
      </c>
      <c r="C74" s="185"/>
      <c r="D74" s="206"/>
      <c r="E74" s="207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7"/>
    </row>
    <row r="75" customFormat="false" ht="18.75" hidden="false" customHeight="true" outlineLevel="0" collapsed="false">
      <c r="B75" s="182" t="s">
        <v>64</v>
      </c>
      <c r="C75" s="18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7"/>
    </row>
    <row r="76" customFormat="false" ht="18.75" hidden="false" customHeight="true" outlineLevel="0" collapsed="false">
      <c r="B76" s="187" t="s">
        <v>121</v>
      </c>
      <c r="C76" s="208"/>
      <c r="D76" s="189" t="n">
        <f aca="false">SUM(D64:D75)</f>
        <v>558592.873295999</v>
      </c>
      <c r="E76" s="189" t="n">
        <f aca="false">SUM(E64:E75)</f>
        <v>550463.985974399</v>
      </c>
      <c r="F76" s="189" t="n">
        <f aca="false">SUM(F64:F75)</f>
        <v>542335.0986528</v>
      </c>
      <c r="G76" s="189" t="n">
        <f aca="false">SUM(G64:G75)</f>
        <v>534206.2113312</v>
      </c>
      <c r="H76" s="189" t="n">
        <f aca="false">SUM(H64:H75)</f>
        <v>526077.324009599</v>
      </c>
      <c r="I76" s="189" t="n">
        <f aca="false">SUM(I64:I75)</f>
        <v>517948.436687999</v>
      </c>
      <c r="J76" s="189" t="n">
        <f aca="false">SUM(J64:J75)</f>
        <v>509819.5493664</v>
      </c>
      <c r="K76" s="189" t="n">
        <f aca="false">SUM(K64:K75)</f>
        <v>501690.6620448</v>
      </c>
      <c r="L76" s="189" t="n">
        <f aca="false">SUM(L64:L75)</f>
        <v>493561.7747232</v>
      </c>
      <c r="M76" s="189" t="n">
        <f aca="false">SUM(M64:M75)</f>
        <v>485432.8874016</v>
      </c>
      <c r="N76" s="189" t="n">
        <f aca="false">SUM(N64:N75)</f>
        <v>477304.00008</v>
      </c>
      <c r="O76" s="189" t="n">
        <f aca="false">SUM(O64:O75)</f>
        <v>469175.1127584</v>
      </c>
      <c r="P76" s="189" t="n">
        <f aca="false">SUM(P64:P75)</f>
        <v>461046.2254368</v>
      </c>
      <c r="Q76" s="189" t="n">
        <f aca="false">SUM(Q64:Q75)</f>
        <v>452917.3381152</v>
      </c>
      <c r="R76" s="189" t="n">
        <f aca="false">SUM(R64:R75)</f>
        <v>444788.4507936</v>
      </c>
      <c r="S76" s="189" t="n">
        <f aca="false">SUM(S64:S75)</f>
        <v>436659.563472</v>
      </c>
      <c r="T76" s="189" t="n">
        <f aca="false">SUM(T64:T75)</f>
        <v>428530.676150399</v>
      </c>
      <c r="U76" s="189" t="n">
        <f aca="false">SUM(U64:U75)</f>
        <v>420401.7888288</v>
      </c>
      <c r="V76" s="189" t="n">
        <f aca="false">SUM(V64:V75)</f>
        <v>412272.901507199</v>
      </c>
      <c r="W76" s="189" t="n">
        <f aca="false">SUM(W64:W75)</f>
        <v>404144.0141856</v>
      </c>
      <c r="X76" s="189" t="n">
        <f aca="false">SUM(X64:X75)</f>
        <v>0</v>
      </c>
    </row>
    <row r="77" customFormat="false" ht="18.75" hidden="false" customHeight="true" outlineLevel="0" collapsed="false">
      <c r="B77" s="186" t="s">
        <v>66</v>
      </c>
      <c r="C77" s="185"/>
      <c r="D77" s="184" t="n">
        <f aca="false">-D76*0.2</f>
        <v>-111718.5746592</v>
      </c>
      <c r="E77" s="184" t="n">
        <f aca="false">-E76*0.2</f>
        <v>-110092.79719488</v>
      </c>
      <c r="F77" s="184" t="n">
        <f aca="false">-F76*0.2</f>
        <v>-108467.01973056</v>
      </c>
      <c r="G77" s="184" t="n">
        <f aca="false">-G76*0.2</f>
        <v>-106841.24226624</v>
      </c>
      <c r="H77" s="184" t="n">
        <f aca="false">-H76*0.2</f>
        <v>-105215.46480192</v>
      </c>
      <c r="I77" s="184" t="n">
        <f aca="false">-I76*0.2</f>
        <v>-103589.6873376</v>
      </c>
      <c r="J77" s="184" t="n">
        <f aca="false">-J76*0.2</f>
        <v>-101963.90987328</v>
      </c>
      <c r="K77" s="184" t="n">
        <f aca="false">-K76*0.2</f>
        <v>-100338.13240896</v>
      </c>
      <c r="L77" s="184" t="n">
        <f aca="false">-L76*0.2</f>
        <v>-98712.3549446399</v>
      </c>
      <c r="M77" s="184" t="n">
        <f aca="false">-M76*0.2</f>
        <v>-97086.5774803199</v>
      </c>
      <c r="N77" s="184" t="n">
        <f aca="false">-N76*0.2</f>
        <v>-95460.8000159999</v>
      </c>
      <c r="O77" s="184" t="n">
        <f aca="false">-O76*0.2</f>
        <v>-93835.0225516799</v>
      </c>
      <c r="P77" s="184" t="n">
        <f aca="false">-P76*0.2</f>
        <v>-92209.2450873599</v>
      </c>
      <c r="Q77" s="184" t="n">
        <f aca="false">-Q76*0.2</f>
        <v>-90583.4676230399</v>
      </c>
      <c r="R77" s="184" t="n">
        <f aca="false">-R76*0.2</f>
        <v>-88957.6901587199</v>
      </c>
      <c r="S77" s="184" t="n">
        <f aca="false">-S76*0.2</f>
        <v>-87331.9126943999</v>
      </c>
      <c r="T77" s="184" t="n">
        <f aca="false">-T76*0.2</f>
        <v>-85706.1352300799</v>
      </c>
      <c r="U77" s="184" t="n">
        <f aca="false">-U76*0.2</f>
        <v>-84080.3577657599</v>
      </c>
      <c r="V77" s="184" t="n">
        <f aca="false">-V76*0.2</f>
        <v>-82454.5803014399</v>
      </c>
      <c r="W77" s="184" t="n">
        <f aca="false">-W76*0.2</f>
        <v>-80828.8028371199</v>
      </c>
      <c r="X77" s="184" t="n">
        <f aca="false">-X76*0.2</f>
        <v>-0</v>
      </c>
    </row>
    <row r="78" customFormat="false" ht="15" hidden="false" customHeight="false" outlineLevel="0" collapsed="false">
      <c r="B78" s="209" t="s">
        <v>76</v>
      </c>
      <c r="D78" s="184" t="n">
        <f aca="false">SUM(D76:D77)</f>
        <v>446874.2986368</v>
      </c>
      <c r="E78" s="184" t="n">
        <f aca="false">SUM(E76:E77)</f>
        <v>440371.18877952</v>
      </c>
      <c r="F78" s="184" t="n">
        <f aca="false">SUM(F76:F77)</f>
        <v>433868.07892224</v>
      </c>
      <c r="G78" s="184" t="n">
        <f aca="false">SUM(G76:G77)</f>
        <v>427364.96906496</v>
      </c>
      <c r="H78" s="184" t="n">
        <f aca="false">SUM(H76:H77)</f>
        <v>420861.85920768</v>
      </c>
      <c r="I78" s="184" t="n">
        <f aca="false">SUM(I76:I77)</f>
        <v>414358.7493504</v>
      </c>
      <c r="J78" s="184" t="n">
        <f aca="false">SUM(J76:J77)</f>
        <v>407855.63949312</v>
      </c>
      <c r="K78" s="184" t="n">
        <f aca="false">SUM(K76:K77)</f>
        <v>401352.52963584</v>
      </c>
      <c r="L78" s="184" t="n">
        <f aca="false">SUM(L76:L77)</f>
        <v>394849.41977856</v>
      </c>
      <c r="M78" s="184" t="n">
        <f aca="false">SUM(M76:M77)</f>
        <v>388346.30992128</v>
      </c>
      <c r="N78" s="184" t="n">
        <f aca="false">SUM(N76:N77)</f>
        <v>381843.200064</v>
      </c>
      <c r="O78" s="184" t="n">
        <f aca="false">SUM(O76:O77)</f>
        <v>375340.09020672</v>
      </c>
      <c r="P78" s="184" t="n">
        <f aca="false">SUM(P76:P77)</f>
        <v>368836.98034944</v>
      </c>
      <c r="Q78" s="184" t="n">
        <f aca="false">SUM(Q76:Q77)</f>
        <v>362333.87049216</v>
      </c>
      <c r="R78" s="184" t="n">
        <f aca="false">SUM(R76:R77)</f>
        <v>355830.76063488</v>
      </c>
      <c r="S78" s="184" t="n">
        <f aca="false">SUM(S76:S77)</f>
        <v>349327.6507776</v>
      </c>
      <c r="T78" s="184" t="n">
        <f aca="false">SUM(T76:T77)</f>
        <v>342824.540920319</v>
      </c>
      <c r="U78" s="184" t="n">
        <f aca="false">SUM(U76:U77)</f>
        <v>336321.43106304</v>
      </c>
      <c r="V78" s="184" t="n">
        <f aca="false">SUM(V76:V77)</f>
        <v>329818.32120576</v>
      </c>
      <c r="W78" s="184" t="n">
        <f aca="false">SUM(W76:W77)</f>
        <v>323315.21134848</v>
      </c>
      <c r="X78" s="184" t="n">
        <f aca="false">SUM(X76:X77)</f>
        <v>0</v>
      </c>
    </row>
    <row r="79" customFormat="false" ht="18.75" hidden="false" customHeight="true" outlineLevel="0" collapsed="false">
      <c r="B79" s="193" t="s">
        <v>68</v>
      </c>
      <c r="C79" s="196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1"/>
    </row>
    <row r="80" customFormat="false" ht="18.75" hidden="false" customHeight="true" outlineLevel="0" collapsed="false">
      <c r="B80" s="212" t="s">
        <v>74</v>
      </c>
      <c r="C80" s="213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5"/>
    </row>
    <row r="81" customFormat="false" ht="18.75" hidden="false" customHeight="true" outlineLevel="0" collapsed="false">
      <c r="B81" s="202"/>
      <c r="C81" s="201"/>
      <c r="D81" s="201"/>
      <c r="E81" s="201"/>
      <c r="F81" s="202"/>
      <c r="G81" s="202"/>
      <c r="H81" s="202"/>
      <c r="I81" s="202"/>
      <c r="J81" s="202"/>
      <c r="K81" s="202"/>
      <c r="L81" s="202"/>
      <c r="M81" s="201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</row>
    <row r="82" customFormat="false" ht="18.75" hidden="false" customHeight="true" outlineLevel="0" collapsed="false">
      <c r="C82" s="216" t="s">
        <v>48</v>
      </c>
      <c r="D82" s="217" t="n">
        <f aca="false">D37</f>
        <v>2020</v>
      </c>
      <c r="E82" s="217" t="n">
        <f aca="false">E37</f>
        <v>2021</v>
      </c>
      <c r="F82" s="217" t="n">
        <f aca="false">F37</f>
        <v>2022</v>
      </c>
      <c r="G82" s="217" t="n">
        <f aca="false">G37</f>
        <v>2023</v>
      </c>
      <c r="H82" s="217" t="n">
        <f aca="false">H37</f>
        <v>2024</v>
      </c>
      <c r="I82" s="217" t="n">
        <f aca="false">I37</f>
        <v>2025</v>
      </c>
      <c r="J82" s="217" t="n">
        <f aca="false">J37</f>
        <v>2026</v>
      </c>
      <c r="K82" s="217" t="n">
        <f aca="false">K37</f>
        <v>2027</v>
      </c>
      <c r="L82" s="217" t="n">
        <f aca="false">L37</f>
        <v>2028</v>
      </c>
      <c r="M82" s="217" t="n">
        <f aca="false">M37</f>
        <v>2029</v>
      </c>
      <c r="N82" s="217" t="n">
        <f aca="false">N37</f>
        <v>2030</v>
      </c>
      <c r="O82" s="217" t="n">
        <f aca="false">O37</f>
        <v>2031</v>
      </c>
      <c r="P82" s="217" t="n">
        <f aca="false">P37</f>
        <v>2032</v>
      </c>
      <c r="Q82" s="217" t="n">
        <f aca="false">Q37</f>
        <v>2033</v>
      </c>
      <c r="R82" s="217" t="n">
        <f aca="false">R37</f>
        <v>2034</v>
      </c>
      <c r="S82" s="217" t="n">
        <f aca="false">S37</f>
        <v>2035</v>
      </c>
      <c r="T82" s="217" t="n">
        <f aca="false">T37</f>
        <v>2036</v>
      </c>
      <c r="U82" s="217" t="n">
        <f aca="false">U37</f>
        <v>2037</v>
      </c>
      <c r="V82" s="217" t="n">
        <f aca="false">V37</f>
        <v>2038</v>
      </c>
      <c r="W82" s="217" t="n">
        <f aca="false">W37</f>
        <v>2039</v>
      </c>
      <c r="X82" s="72"/>
    </row>
    <row r="83" customFormat="false" ht="18.75" hidden="false" customHeight="true" outlineLevel="0" collapsed="false">
      <c r="X83" s="135"/>
    </row>
    <row r="84" customFormat="false" ht="18.75" hidden="false" customHeight="true" outlineLevel="0" collapsed="false">
      <c r="B84" s="218" t="s">
        <v>51</v>
      </c>
      <c r="C84" s="218" t="n">
        <v>0</v>
      </c>
      <c r="D84" s="218" t="n">
        <v>1</v>
      </c>
      <c r="E84" s="218" t="n">
        <v>2</v>
      </c>
      <c r="F84" s="218" t="n">
        <v>3</v>
      </c>
      <c r="G84" s="218" t="n">
        <v>4</v>
      </c>
      <c r="H84" s="218" t="n">
        <v>5</v>
      </c>
      <c r="I84" s="218" t="n">
        <v>6</v>
      </c>
      <c r="J84" s="218" t="n">
        <v>7</v>
      </c>
      <c r="K84" s="218" t="n">
        <v>8</v>
      </c>
      <c r="L84" s="218" t="n">
        <v>9</v>
      </c>
      <c r="M84" s="218" t="n">
        <v>10</v>
      </c>
      <c r="N84" s="218" t="n">
        <v>11</v>
      </c>
      <c r="O84" s="218" t="n">
        <v>12</v>
      </c>
      <c r="P84" s="218" t="n">
        <v>13</v>
      </c>
      <c r="Q84" s="218" t="n">
        <v>14</v>
      </c>
      <c r="R84" s="218" t="n">
        <v>15</v>
      </c>
      <c r="S84" s="218" t="n">
        <v>16</v>
      </c>
      <c r="T84" s="218" t="n">
        <v>17</v>
      </c>
      <c r="U84" s="218" t="n">
        <v>18</v>
      </c>
      <c r="V84" s="218" t="n">
        <v>19</v>
      </c>
      <c r="W84" s="218" t="n">
        <v>20</v>
      </c>
      <c r="X84" s="103"/>
    </row>
    <row r="85" customFormat="false" ht="18.75" hidden="false" customHeight="true" outlineLevel="0" collapsed="false">
      <c r="B85" s="219" t="s">
        <v>76</v>
      </c>
      <c r="C85" s="219"/>
      <c r="D85" s="220" t="n">
        <f aca="false">D78</f>
        <v>446874.2986368</v>
      </c>
      <c r="E85" s="220" t="n">
        <f aca="false">E78</f>
        <v>440371.18877952</v>
      </c>
      <c r="F85" s="220" t="n">
        <f aca="false">F78</f>
        <v>433868.07892224</v>
      </c>
      <c r="G85" s="220" t="n">
        <f aca="false">G78</f>
        <v>427364.96906496</v>
      </c>
      <c r="H85" s="220" t="n">
        <f aca="false">H78</f>
        <v>420861.85920768</v>
      </c>
      <c r="I85" s="220" t="n">
        <f aca="false">I78</f>
        <v>414358.7493504</v>
      </c>
      <c r="J85" s="220" t="n">
        <f aca="false">J78</f>
        <v>407855.63949312</v>
      </c>
      <c r="K85" s="220" t="n">
        <f aca="false">K78</f>
        <v>401352.52963584</v>
      </c>
      <c r="L85" s="220" t="n">
        <f aca="false">L78</f>
        <v>394849.41977856</v>
      </c>
      <c r="M85" s="220" t="n">
        <f aca="false">M78</f>
        <v>388346.30992128</v>
      </c>
      <c r="N85" s="220" t="n">
        <f aca="false">N78</f>
        <v>381843.200064</v>
      </c>
      <c r="O85" s="220" t="n">
        <f aca="false">O78</f>
        <v>375340.09020672</v>
      </c>
      <c r="P85" s="220" t="n">
        <f aca="false">P78</f>
        <v>368836.98034944</v>
      </c>
      <c r="Q85" s="220" t="n">
        <f aca="false">Q78</f>
        <v>362333.87049216</v>
      </c>
      <c r="R85" s="220" t="n">
        <f aca="false">R78</f>
        <v>355830.76063488</v>
      </c>
      <c r="S85" s="220" t="n">
        <f aca="false">S78</f>
        <v>349327.6507776</v>
      </c>
      <c r="T85" s="220" t="n">
        <f aca="false">T78</f>
        <v>342824.540920319</v>
      </c>
      <c r="U85" s="220" t="n">
        <f aca="false">U78</f>
        <v>336321.43106304</v>
      </c>
      <c r="V85" s="220" t="n">
        <f aca="false">V78</f>
        <v>329818.32120576</v>
      </c>
      <c r="W85" s="220" t="n">
        <f aca="false">W78</f>
        <v>323315.21134848</v>
      </c>
      <c r="X85" s="219"/>
      <c r="Y85" s="219"/>
    </row>
    <row r="86" customFormat="false" ht="15" hidden="false" customHeight="false" outlineLevel="0" collapsed="false">
      <c r="B86" s="219" t="s">
        <v>77</v>
      </c>
      <c r="C86" s="219"/>
      <c r="D86" s="221" t="n">
        <f aca="false">-D67</f>
        <v>1031065</v>
      </c>
      <c r="E86" s="221" t="n">
        <f aca="false">-E67</f>
        <v>1031065</v>
      </c>
      <c r="F86" s="221" t="n">
        <f aca="false">-F67</f>
        <v>1031065</v>
      </c>
      <c r="G86" s="221" t="n">
        <f aca="false">-G67</f>
        <v>1031065</v>
      </c>
      <c r="H86" s="221" t="n">
        <f aca="false">-H67</f>
        <v>1031065</v>
      </c>
      <c r="I86" s="221" t="n">
        <f aca="false">-I67</f>
        <v>1031065</v>
      </c>
      <c r="J86" s="221" t="n">
        <f aca="false">-J67</f>
        <v>1031065</v>
      </c>
      <c r="K86" s="221" t="n">
        <f aca="false">-K67</f>
        <v>1031065</v>
      </c>
      <c r="L86" s="221" t="n">
        <f aca="false">-L67</f>
        <v>1031065</v>
      </c>
      <c r="M86" s="221" t="n">
        <f aca="false">-M67</f>
        <v>1031065</v>
      </c>
      <c r="N86" s="221" t="n">
        <f aca="false">-N67</f>
        <v>1031065</v>
      </c>
      <c r="O86" s="221" t="n">
        <f aca="false">-O67</f>
        <v>1031065</v>
      </c>
      <c r="P86" s="221" t="n">
        <f aca="false">-P67</f>
        <v>1031065</v>
      </c>
      <c r="Q86" s="221" t="n">
        <f aca="false">-Q67</f>
        <v>1031065</v>
      </c>
      <c r="R86" s="221" t="n">
        <f aca="false">-R67</f>
        <v>1031065</v>
      </c>
      <c r="S86" s="221" t="n">
        <f aca="false">-S67</f>
        <v>1031065</v>
      </c>
      <c r="T86" s="221" t="n">
        <f aca="false">-T67</f>
        <v>1031065</v>
      </c>
      <c r="U86" s="221" t="n">
        <f aca="false">-U67</f>
        <v>1031065</v>
      </c>
      <c r="V86" s="221" t="n">
        <f aca="false">-V67</f>
        <v>1031065</v>
      </c>
      <c r="W86" s="221" t="n">
        <f aca="false">-W67</f>
        <v>1031065</v>
      </c>
      <c r="X86" s="222"/>
      <c r="Y86" s="222"/>
    </row>
    <row r="87" customFormat="false" ht="15" hidden="false" customHeight="false" outlineLevel="0" collapsed="false">
      <c r="B87" s="219" t="s">
        <v>78</v>
      </c>
      <c r="C87" s="219"/>
      <c r="D87" s="223" t="n">
        <f aca="false">SUM(D85:D86)</f>
        <v>1477939.2986368</v>
      </c>
      <c r="E87" s="223" t="n">
        <f aca="false">SUM(E85:E86)</f>
        <v>1471436.18877952</v>
      </c>
      <c r="F87" s="223" t="n">
        <f aca="false">SUM(F85:F86)</f>
        <v>1464933.07892224</v>
      </c>
      <c r="G87" s="223" t="n">
        <f aca="false">SUM(G85:G86)</f>
        <v>1458429.96906496</v>
      </c>
      <c r="H87" s="223" t="n">
        <f aca="false">SUM(H85:H86)</f>
        <v>1451926.85920768</v>
      </c>
      <c r="I87" s="223" t="n">
        <f aca="false">SUM(I85:I86)</f>
        <v>1445423.7493504</v>
      </c>
      <c r="J87" s="223" t="n">
        <f aca="false">SUM(J85:J86)</f>
        <v>1438920.63949312</v>
      </c>
      <c r="K87" s="223" t="n">
        <f aca="false">SUM(K85:K86)</f>
        <v>1432417.52963584</v>
      </c>
      <c r="L87" s="223" t="n">
        <f aca="false">SUM(L85:L86)</f>
        <v>1425914.41977856</v>
      </c>
      <c r="M87" s="223" t="n">
        <f aca="false">SUM(M85:M86)</f>
        <v>1419411.30992128</v>
      </c>
      <c r="N87" s="223" t="n">
        <f aca="false">SUM(N85:N86)</f>
        <v>1412908.200064</v>
      </c>
      <c r="O87" s="223" t="n">
        <f aca="false">SUM(O85:O86)</f>
        <v>1406405.09020672</v>
      </c>
      <c r="P87" s="223" t="n">
        <f aca="false">SUM(P85:P86)</f>
        <v>1399901.98034944</v>
      </c>
      <c r="Q87" s="223" t="n">
        <f aca="false">SUM(Q85:Q86)</f>
        <v>1393398.87049216</v>
      </c>
      <c r="R87" s="223" t="n">
        <f aca="false">SUM(R85:R86)</f>
        <v>1386895.76063488</v>
      </c>
      <c r="S87" s="223" t="n">
        <f aca="false">SUM(S85:S86)</f>
        <v>1380392.6507776</v>
      </c>
      <c r="T87" s="223" t="n">
        <f aca="false">SUM(T85:T86)</f>
        <v>1373889.54092032</v>
      </c>
      <c r="U87" s="223" t="n">
        <f aca="false">SUM(U85:U86)</f>
        <v>1367386.43106304</v>
      </c>
      <c r="V87" s="223" t="n">
        <f aca="false">SUM(V85:V86)</f>
        <v>1360883.32120576</v>
      </c>
      <c r="W87" s="223" t="n">
        <f aca="false">SUM(W85:W86)</f>
        <v>1354380.21134848</v>
      </c>
      <c r="X87" s="192"/>
    </row>
    <row r="88" customFormat="false" ht="15" hidden="false" customHeight="false" outlineLevel="0" collapsed="false">
      <c r="B88" s="219"/>
      <c r="C88" s="219"/>
      <c r="D88" s="219"/>
      <c r="E88" s="219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191"/>
    </row>
    <row r="89" customFormat="false" ht="17.15" hidden="false" customHeight="false" outlineLevel="0" collapsed="false">
      <c r="B89" s="225" t="s">
        <v>79</v>
      </c>
      <c r="C89" s="226"/>
      <c r="D89" s="227" t="n">
        <f aca="false">C44</f>
        <v>-20621300</v>
      </c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8"/>
    </row>
    <row r="90" customFormat="false" ht="15" hidden="false" customHeight="false" outlineLevel="0" collapsed="false">
      <c r="B90" s="219"/>
      <c r="C90" s="219"/>
      <c r="D90" s="219"/>
      <c r="E90" s="219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191"/>
    </row>
    <row r="91" customFormat="false" ht="15" hidden="false" customHeight="false" outlineLevel="0" collapsed="false">
      <c r="B91" s="219"/>
      <c r="C91" s="219"/>
      <c r="D91" s="219"/>
      <c r="E91" s="219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191"/>
    </row>
    <row r="92" customFormat="false" ht="17.15" hidden="false" customHeight="false" outlineLevel="0" collapsed="false">
      <c r="B92" s="225" t="s">
        <v>80</v>
      </c>
      <c r="C92" s="226"/>
      <c r="D92" s="227" t="n">
        <f aca="false">-D89*D31</f>
        <v>16497040</v>
      </c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191"/>
    </row>
    <row r="93" customFormat="false" ht="17.15" hidden="false" customHeight="false" outlineLevel="0" collapsed="false">
      <c r="B93" s="219" t="s">
        <v>81</v>
      </c>
      <c r="C93" s="21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8"/>
    </row>
    <row r="94" customFormat="false" ht="17.15" hidden="false" customHeight="false" outlineLevel="0" collapsed="false">
      <c r="B94" s="219" t="s">
        <v>82</v>
      </c>
      <c r="C94" s="224"/>
      <c r="D94" s="220" t="n">
        <f aca="false">-D89*(1-D31)</f>
        <v>4124260</v>
      </c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192"/>
    </row>
    <row r="95" customFormat="false" ht="15" hidden="false" customHeight="false" outlineLevel="0" collapsed="false">
      <c r="B95" s="219" t="s">
        <v>45</v>
      </c>
      <c r="C95" s="224"/>
      <c r="D95" s="224"/>
      <c r="E95" s="230" t="n">
        <f aca="false">-D85*$D$33</f>
        <v>-402186.86877312</v>
      </c>
      <c r="F95" s="230" t="n">
        <f aca="false">-E85*$D$33</f>
        <v>-396334.069901568</v>
      </c>
      <c r="G95" s="230" t="n">
        <f aca="false">-F85*$D$33</f>
        <v>-390481.271030016</v>
      </c>
      <c r="H95" s="230" t="n">
        <f aca="false">-G85*$D$33</f>
        <v>-384628.472158464</v>
      </c>
      <c r="I95" s="230" t="n">
        <f aca="false">-H85*$D$33</f>
        <v>-378775.673286912</v>
      </c>
      <c r="J95" s="230" t="n">
        <f aca="false">-I85*$D$33</f>
        <v>-372922.87441536</v>
      </c>
      <c r="K95" s="230" t="n">
        <f aca="false">-J85*$D$33</f>
        <v>-367070.075543808</v>
      </c>
      <c r="L95" s="230" t="n">
        <f aca="false">-K85*$D$33</f>
        <v>-361217.276672256</v>
      </c>
      <c r="M95" s="230" t="n">
        <f aca="false">-L85*$D$33</f>
        <v>-355364.477800704</v>
      </c>
      <c r="N95" s="230" t="n">
        <f aca="false">-M85*$D$33</f>
        <v>-349511.678929152</v>
      </c>
      <c r="O95" s="230" t="n">
        <f aca="false">-N85*$D$33</f>
        <v>-343658.8800576</v>
      </c>
      <c r="P95" s="230" t="n">
        <f aca="false">-O85*$D$33</f>
        <v>-337806.081186048</v>
      </c>
      <c r="Q95" s="230" t="n">
        <f aca="false">-P85*$D$33</f>
        <v>-331953.282314496</v>
      </c>
      <c r="R95" s="230" t="n">
        <f aca="false">-Q85*$D$33</f>
        <v>-326100.483442944</v>
      </c>
      <c r="S95" s="230" t="n">
        <f aca="false">-R85*$D$33</f>
        <v>-320247.684571392</v>
      </c>
      <c r="T95" s="230" t="n">
        <f aca="false">-S85*$D$33</f>
        <v>-314394.88569984</v>
      </c>
      <c r="U95" s="230" t="n">
        <f aca="false">-T85*$D$33</f>
        <v>-308542.086828288</v>
      </c>
      <c r="V95" s="230" t="n">
        <f aca="false">-U85*$D$33</f>
        <v>-302689.287956736</v>
      </c>
      <c r="W95" s="230" t="n">
        <f aca="false">-V85*$D$33</f>
        <v>-296836.489085184</v>
      </c>
      <c r="X95" s="230" t="n">
        <f aca="false">-W85*$D$33</f>
        <v>-290983.690213632</v>
      </c>
    </row>
    <row r="96" customFormat="false" ht="15" hidden="false" customHeight="false" outlineLevel="0" collapsed="false">
      <c r="B96" s="231" t="s">
        <v>47</v>
      </c>
      <c r="C96" s="232"/>
      <c r="D96" s="232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4" t="n">
        <f aca="false">-W101-X95</f>
        <v>-21391489.5099853</v>
      </c>
    </row>
    <row r="97" customFormat="false" ht="15" hidden="false" customHeight="false" outlineLevel="0" collapsed="false"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192"/>
    </row>
    <row r="98" customFormat="false" ht="15" hidden="false" customHeight="false" outlineLevel="0" collapsed="false"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192"/>
    </row>
    <row r="99" customFormat="false" ht="17.15" hidden="false" customHeight="false" outlineLevel="0" collapsed="false">
      <c r="B99" s="219" t="s">
        <v>83</v>
      </c>
      <c r="C99" s="220" t="n">
        <v>0</v>
      </c>
      <c r="D99" s="220" t="n">
        <f aca="false">SUM(D87:D96)</f>
        <v>1477939.2986368</v>
      </c>
      <c r="E99" s="220" t="n">
        <f aca="false">SUM(E87:E96)</f>
        <v>1069249.3200064</v>
      </c>
      <c r="F99" s="220" t="n">
        <f aca="false">SUM(F87:F96)</f>
        <v>1068599.00902067</v>
      </c>
      <c r="G99" s="220" t="n">
        <f aca="false">SUM(G87:G96)</f>
        <v>1067948.69803494</v>
      </c>
      <c r="H99" s="220" t="n">
        <f aca="false">SUM(H87:H96)</f>
        <v>1067298.38704922</v>
      </c>
      <c r="I99" s="220" t="n">
        <f aca="false">SUM(I87:I96)</f>
        <v>1066648.07606349</v>
      </c>
      <c r="J99" s="220" t="n">
        <f aca="false">SUM(J87:J96)</f>
        <v>1065997.76507776</v>
      </c>
      <c r="K99" s="220" t="n">
        <f aca="false">SUM(K87:K96)</f>
        <v>1065347.45409203</v>
      </c>
      <c r="L99" s="220" t="n">
        <f aca="false">SUM(L87:L96)</f>
        <v>1064697.1431063</v>
      </c>
      <c r="M99" s="220" t="n">
        <f aca="false">SUM(M87:M96)</f>
        <v>1064046.83212058</v>
      </c>
      <c r="N99" s="220" t="n">
        <f aca="false">SUM(N87:N96)</f>
        <v>1063396.52113485</v>
      </c>
      <c r="O99" s="220" t="n">
        <f aca="false">SUM(O87:O96)</f>
        <v>1062746.21014912</v>
      </c>
      <c r="P99" s="220" t="n">
        <f aca="false">SUM(P87:P96)</f>
        <v>1062095.89916339</v>
      </c>
      <c r="Q99" s="220" t="n">
        <f aca="false">SUM(Q87:Q96)</f>
        <v>1061445.58817766</v>
      </c>
      <c r="R99" s="220" t="n">
        <f aca="false">SUM(R87:R96)</f>
        <v>1060795.27719194</v>
      </c>
      <c r="S99" s="220" t="n">
        <f aca="false">SUM(S87:S96)</f>
        <v>1060144.96620621</v>
      </c>
      <c r="T99" s="220" t="n">
        <f aca="false">SUM(T87:T96)</f>
        <v>1059494.65522048</v>
      </c>
      <c r="U99" s="220" t="n">
        <f aca="false">SUM(U87:U96)</f>
        <v>1058844.34423475</v>
      </c>
      <c r="V99" s="220" t="n">
        <f aca="false">SUM(V87:V96)</f>
        <v>1058194.03324902</v>
      </c>
      <c r="W99" s="220" t="n">
        <f aca="false">SUM(W87:W96)</f>
        <v>1057543.7222633</v>
      </c>
      <c r="X99" s="192"/>
    </row>
    <row r="100" customFormat="false" ht="15" hidden="false" customHeight="false" outlineLevel="0" collapsed="false">
      <c r="B100" s="219" t="s">
        <v>84</v>
      </c>
      <c r="C100" s="220" t="n">
        <v>0</v>
      </c>
      <c r="D100" s="220" t="n">
        <f aca="false">C101</f>
        <v>0</v>
      </c>
      <c r="E100" s="220" t="n">
        <f aca="false">D101</f>
        <v>1477939.2986368</v>
      </c>
      <c r="F100" s="220" t="n">
        <f aca="false">E101</f>
        <v>2547188.6186432</v>
      </c>
      <c r="G100" s="220" t="n">
        <f aca="false">F101</f>
        <v>3615787.62766387</v>
      </c>
      <c r="H100" s="220" t="n">
        <f aca="false">G101</f>
        <v>4683736.32569882</v>
      </c>
      <c r="I100" s="220" t="n">
        <f aca="false">H101</f>
        <v>5751034.71274803</v>
      </c>
      <c r="J100" s="220" t="n">
        <f aca="false">I101</f>
        <v>6817682.78881152</v>
      </c>
      <c r="K100" s="220" t="n">
        <f aca="false">J101</f>
        <v>7883680.55388928</v>
      </c>
      <c r="L100" s="220" t="n">
        <f aca="false">K101</f>
        <v>8949028.00798131</v>
      </c>
      <c r="M100" s="220" t="n">
        <f aca="false">L101</f>
        <v>10013725.1510876</v>
      </c>
      <c r="N100" s="220" t="n">
        <f aca="false">M101</f>
        <v>11077771.9832082</v>
      </c>
      <c r="O100" s="220" t="n">
        <f aca="false">N101</f>
        <v>12141168.504343</v>
      </c>
      <c r="P100" s="220" t="n">
        <f aca="false">O101</f>
        <v>13203914.7144922</v>
      </c>
      <c r="Q100" s="220" t="n">
        <f aca="false">P101</f>
        <v>14266010.6136556</v>
      </c>
      <c r="R100" s="220" t="n">
        <f aca="false">Q101</f>
        <v>15327456.2018332</v>
      </c>
      <c r="S100" s="220" t="n">
        <f aca="false">R101</f>
        <v>16388251.4790252</v>
      </c>
      <c r="T100" s="220" t="n">
        <f aca="false">S101</f>
        <v>17448396.4452314</v>
      </c>
      <c r="U100" s="220" t="n">
        <f aca="false">T101</f>
        <v>18507891.1004518</v>
      </c>
      <c r="V100" s="220" t="n">
        <f aca="false">U101</f>
        <v>19566735.4446866</v>
      </c>
      <c r="W100" s="220" t="n">
        <f aca="false">V101</f>
        <v>20624929.4779356</v>
      </c>
      <c r="X100" s="191"/>
    </row>
    <row r="101" customFormat="false" ht="15" hidden="false" customHeight="false" outlineLevel="0" collapsed="false">
      <c r="B101" s="219" t="s">
        <v>85</v>
      </c>
      <c r="C101" s="220" t="n">
        <v>0</v>
      </c>
      <c r="D101" s="220" t="n">
        <f aca="false">D99+D100</f>
        <v>1477939.2986368</v>
      </c>
      <c r="E101" s="220" t="n">
        <f aca="false">E99+E100</f>
        <v>2547188.6186432</v>
      </c>
      <c r="F101" s="220" t="n">
        <f aca="false">F99+F100</f>
        <v>3615787.62766387</v>
      </c>
      <c r="G101" s="220" t="n">
        <f aca="false">G99+G100</f>
        <v>4683736.32569882</v>
      </c>
      <c r="H101" s="220" t="n">
        <f aca="false">H99+H100</f>
        <v>5751034.71274803</v>
      </c>
      <c r="I101" s="220" t="n">
        <f aca="false">I99+I100</f>
        <v>6817682.78881152</v>
      </c>
      <c r="J101" s="220" t="n">
        <f aca="false">J99+J100</f>
        <v>7883680.55388928</v>
      </c>
      <c r="K101" s="220" t="n">
        <f aca="false">K99+K100</f>
        <v>8949028.00798131</v>
      </c>
      <c r="L101" s="220" t="n">
        <f aca="false">L99+L100</f>
        <v>10013725.1510876</v>
      </c>
      <c r="M101" s="220" t="n">
        <f aca="false">M99+M100</f>
        <v>11077771.9832082</v>
      </c>
      <c r="N101" s="220" t="n">
        <f aca="false">N99+N100</f>
        <v>12141168.504343</v>
      </c>
      <c r="O101" s="220" t="n">
        <f aca="false">O99+O100</f>
        <v>13203914.7144922</v>
      </c>
      <c r="P101" s="220" t="n">
        <f aca="false">P99+P100</f>
        <v>14266010.6136556</v>
      </c>
      <c r="Q101" s="220" t="n">
        <f aca="false">Q99+Q100</f>
        <v>15327456.2018332</v>
      </c>
      <c r="R101" s="220" t="n">
        <f aca="false">R99+R100</f>
        <v>16388251.4790252</v>
      </c>
      <c r="S101" s="220" t="n">
        <f aca="false">S99+S100</f>
        <v>17448396.4452314</v>
      </c>
      <c r="T101" s="220" t="n">
        <f aca="false">T99+T100</f>
        <v>18507891.1004518</v>
      </c>
      <c r="U101" s="220" t="n">
        <f aca="false">U99+U100</f>
        <v>19566735.4446866</v>
      </c>
      <c r="V101" s="220" t="n">
        <f aca="false">V99+V100</f>
        <v>20624929.4779356</v>
      </c>
      <c r="W101" s="220" t="n">
        <f aca="false">W99+W100</f>
        <v>21682473.2001989</v>
      </c>
      <c r="X101" s="191"/>
    </row>
    <row r="102" customFormat="false" ht="15" hidden="false" customHeight="false" outlineLevel="0" collapsed="false"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</row>
    <row r="103" customFormat="false" ht="15" hidden="false" customHeight="false" outlineLevel="0" collapsed="false">
      <c r="B103" s="219"/>
      <c r="C103" s="219"/>
      <c r="D103" s="219"/>
      <c r="E103" s="219"/>
      <c r="F103" s="224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</row>
    <row r="104" customFormat="false" ht="15" hidden="false" customHeight="false" outlineLevel="0" collapsed="false">
      <c r="B104" s="235" t="s">
        <v>86</v>
      </c>
      <c r="C104" s="236"/>
      <c r="D104" s="237" t="n">
        <f aca="false">-D94</f>
        <v>-4124260</v>
      </c>
      <c r="E104" s="223" t="n">
        <f aca="false">-E95-E96</f>
        <v>402186.86877312</v>
      </c>
      <c r="F104" s="223" t="n">
        <f aca="false">-F95-F96</f>
        <v>396334.069901568</v>
      </c>
      <c r="G104" s="223" t="n">
        <f aca="false">-G95-G96</f>
        <v>390481.271030016</v>
      </c>
      <c r="H104" s="223" t="n">
        <f aca="false">-H95-H96</f>
        <v>384628.472158464</v>
      </c>
      <c r="I104" s="223" t="n">
        <f aca="false">-I95-I96</f>
        <v>378775.673286912</v>
      </c>
      <c r="J104" s="223" t="n">
        <f aca="false">-J95-J96</f>
        <v>372922.87441536</v>
      </c>
      <c r="K104" s="223" t="n">
        <f aca="false">-K95-K96</f>
        <v>367070.075543808</v>
      </c>
      <c r="L104" s="223" t="n">
        <f aca="false">-L95-L96</f>
        <v>361217.276672256</v>
      </c>
      <c r="M104" s="223" t="n">
        <f aca="false">-M95-M96</f>
        <v>355364.477800704</v>
      </c>
      <c r="N104" s="223" t="n">
        <f aca="false">-N95-N96</f>
        <v>349511.678929152</v>
      </c>
      <c r="O104" s="223" t="n">
        <f aca="false">-O95-O96</f>
        <v>343658.8800576</v>
      </c>
      <c r="P104" s="223" t="n">
        <f aca="false">-P95-P96</f>
        <v>337806.081186048</v>
      </c>
      <c r="Q104" s="223" t="n">
        <f aca="false">-Q95-Q96</f>
        <v>331953.282314496</v>
      </c>
      <c r="R104" s="223" t="n">
        <f aca="false">-R95-R96</f>
        <v>326100.483442944</v>
      </c>
      <c r="S104" s="223" t="n">
        <f aca="false">-S95-S96</f>
        <v>320247.684571392</v>
      </c>
      <c r="T104" s="223" t="n">
        <f aca="false">-T95-T96</f>
        <v>314394.88569984</v>
      </c>
      <c r="U104" s="223" t="n">
        <f aca="false">-U95-U96</f>
        <v>308542.086828288</v>
      </c>
      <c r="V104" s="223" t="n">
        <f aca="false">-V95-V96</f>
        <v>302689.287956736</v>
      </c>
      <c r="W104" s="223" t="n">
        <f aca="false">-W95-W96</f>
        <v>296836.489085184</v>
      </c>
      <c r="X104" s="223" t="n">
        <f aca="false">-X95-X96</f>
        <v>21682473.2001989</v>
      </c>
    </row>
    <row r="105" customFormat="false" ht="17.15" hidden="false" customHeight="false" outlineLevel="0" collapsed="false">
      <c r="B105" s="219" t="s">
        <v>87</v>
      </c>
      <c r="C105" s="238" t="n">
        <f aca="false">IRR(D104:X104)</f>
        <v>0.137107638204529</v>
      </c>
      <c r="D105" s="224"/>
      <c r="E105" s="224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</row>
    <row r="106" customFormat="false" ht="15" hidden="false" customHeight="false" outlineLevel="0" collapsed="false">
      <c r="B106" s="235" t="s">
        <v>88</v>
      </c>
      <c r="C106" s="236"/>
      <c r="D106" s="237" t="n">
        <f aca="false">D85-D94</f>
        <v>-3677385.7013632</v>
      </c>
      <c r="E106" s="223" t="n">
        <f aca="false">E85</f>
        <v>440371.18877952</v>
      </c>
      <c r="F106" s="223" t="n">
        <f aca="false">F85-F96</f>
        <v>433868.07892224</v>
      </c>
      <c r="G106" s="223" t="n">
        <f aca="false">G85-G96</f>
        <v>427364.96906496</v>
      </c>
      <c r="H106" s="223" t="n">
        <f aca="false">H85-H96</f>
        <v>420861.85920768</v>
      </c>
      <c r="I106" s="223" t="n">
        <f aca="false">I85-I96</f>
        <v>414358.7493504</v>
      </c>
      <c r="J106" s="223" t="n">
        <f aca="false">J85-J96</f>
        <v>407855.63949312</v>
      </c>
      <c r="K106" s="223" t="n">
        <f aca="false">K85-K96</f>
        <v>401352.52963584</v>
      </c>
      <c r="L106" s="223" t="n">
        <f aca="false">L85-L96</f>
        <v>394849.41977856</v>
      </c>
      <c r="M106" s="223" t="n">
        <f aca="false">M85-M96</f>
        <v>388346.30992128</v>
      </c>
      <c r="N106" s="223" t="n">
        <f aca="false">N85-N96</f>
        <v>381843.200064</v>
      </c>
      <c r="O106" s="223" t="n">
        <f aca="false">O85-O96</f>
        <v>375340.09020672</v>
      </c>
      <c r="P106" s="223" t="n">
        <f aca="false">P85-P96</f>
        <v>368836.98034944</v>
      </c>
      <c r="Q106" s="223" t="n">
        <f aca="false">Q85-Q96</f>
        <v>362333.87049216</v>
      </c>
      <c r="R106" s="223" t="n">
        <f aca="false">R85-R96</f>
        <v>355830.76063488</v>
      </c>
      <c r="S106" s="223" t="n">
        <f aca="false">S85-S96</f>
        <v>349327.6507776</v>
      </c>
      <c r="T106" s="223" t="n">
        <f aca="false">T85-T96</f>
        <v>342824.540920319</v>
      </c>
      <c r="U106" s="223" t="n">
        <f aca="false">U85-U96</f>
        <v>336321.43106304</v>
      </c>
      <c r="V106" s="223" t="n">
        <f aca="false">V85-V96</f>
        <v>329818.32120576</v>
      </c>
      <c r="W106" s="223" t="n">
        <f aca="false">W85-W96</f>
        <v>323315.21134848</v>
      </c>
      <c r="X106" s="228"/>
    </row>
    <row r="107" customFormat="false" ht="17.15" hidden="false" customHeight="false" outlineLevel="0" collapsed="false">
      <c r="B107" s="235" t="s">
        <v>89</v>
      </c>
      <c r="C107" s="239" t="n">
        <f aca="false">IRR(D106:W106)</f>
        <v>0.0851362559784523</v>
      </c>
      <c r="D107" s="224"/>
      <c r="E107" s="224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</row>
    <row r="108" customFormat="false" ht="15" hidden="false" customHeight="false" outlineLevel="0" collapsed="false"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</row>
    <row r="109" customFormat="false" ht="15" hidden="false" customHeight="false" outlineLevel="0" collapsed="false">
      <c r="B109" s="219" t="s">
        <v>90</v>
      </c>
      <c r="C109" s="220" t="n">
        <v>0</v>
      </c>
      <c r="D109" s="220" t="n">
        <f aca="false">D92</f>
        <v>16497040</v>
      </c>
      <c r="E109" s="220" t="n">
        <f aca="false">D109+E93</f>
        <v>16497040</v>
      </c>
      <c r="F109" s="220" t="n">
        <f aca="false">E109+F93</f>
        <v>16497040</v>
      </c>
      <c r="G109" s="220" t="n">
        <f aca="false">F109+G93</f>
        <v>16497040</v>
      </c>
      <c r="H109" s="220" t="n">
        <f aca="false">G109+H93</f>
        <v>16497040</v>
      </c>
      <c r="I109" s="220" t="n">
        <f aca="false">H109+I93</f>
        <v>16497040</v>
      </c>
      <c r="J109" s="220" t="n">
        <f aca="false">I109+J93</f>
        <v>16497040</v>
      </c>
      <c r="K109" s="220" t="n">
        <f aca="false">J109+K93</f>
        <v>16497040</v>
      </c>
      <c r="L109" s="220" t="n">
        <f aca="false">K109+L93</f>
        <v>16497040</v>
      </c>
      <c r="M109" s="220" t="n">
        <f aca="false">L109+M93</f>
        <v>16497040</v>
      </c>
      <c r="N109" s="220" t="n">
        <f aca="false">M109+N93</f>
        <v>16497040</v>
      </c>
      <c r="O109" s="220" t="n">
        <f aca="false">N109+O93</f>
        <v>16497040</v>
      </c>
      <c r="P109" s="220" t="n">
        <f aca="false">O109+P93</f>
        <v>16497040</v>
      </c>
      <c r="Q109" s="220" t="n">
        <f aca="false">P109+Q93</f>
        <v>16497040</v>
      </c>
      <c r="R109" s="220" t="n">
        <f aca="false">Q109+R93</f>
        <v>16497040</v>
      </c>
      <c r="S109" s="220" t="n">
        <f aca="false">R109+S93</f>
        <v>16497040</v>
      </c>
      <c r="T109" s="220" t="n">
        <f aca="false">S109+T93</f>
        <v>16497040</v>
      </c>
      <c r="U109" s="220" t="n">
        <f aca="false">T109+U93</f>
        <v>16497040</v>
      </c>
      <c r="V109" s="220" t="n">
        <f aca="false">U109+V93</f>
        <v>16497040</v>
      </c>
      <c r="W109" s="220" t="n">
        <f aca="false">V109+W93</f>
        <v>16497040</v>
      </c>
      <c r="X109" s="224"/>
    </row>
    <row r="111" customFormat="false" ht="15" hidden="false" customHeight="false" outlineLevel="0" collapsed="false">
      <c r="B111" s="240"/>
    </row>
    <row r="112" customFormat="false" ht="16.5" hidden="false" customHeight="true" outlineLevel="0" collapsed="false">
      <c r="G112" s="2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24" t="s">
        <v>0</v>
      </c>
      <c r="C1" s="125"/>
      <c r="D1" s="125"/>
      <c r="E1" s="126"/>
      <c r="P1" s="127" t="n">
        <f aca="false">1-D11</f>
        <v>0.99</v>
      </c>
      <c r="Q1" s="127" t="n">
        <f aca="false">P1-$D12</f>
        <v>0.986</v>
      </c>
      <c r="R1" s="127" t="n">
        <f aca="false">Q1-$D12</f>
        <v>0.982</v>
      </c>
      <c r="S1" s="127" t="n">
        <f aca="false">R1-$D12</f>
        <v>0.978</v>
      </c>
      <c r="T1" s="127" t="n">
        <f aca="false">S1-$D12</f>
        <v>0.974</v>
      </c>
      <c r="U1" s="127" t="n">
        <f aca="false">T1-$D12</f>
        <v>0.97</v>
      </c>
      <c r="V1" s="127" t="n">
        <f aca="false">U1-$D12</f>
        <v>0.966</v>
      </c>
      <c r="W1" s="127" t="n">
        <f aca="false">V1-$D12</f>
        <v>0.962</v>
      </c>
      <c r="X1" s="127" t="n">
        <f aca="false">W1-$D12</f>
        <v>0.958</v>
      </c>
      <c r="Y1" s="127" t="n">
        <f aca="false">X1-$D12</f>
        <v>0.954</v>
      </c>
      <c r="Z1" s="127" t="n">
        <f aca="false">Y1-$D12</f>
        <v>0.95</v>
      </c>
      <c r="AA1" s="127" t="n">
        <f aca="false">Z1-$D12</f>
        <v>0.946</v>
      </c>
      <c r="AB1" s="127" t="n">
        <f aca="false">AA1-$D12</f>
        <v>0.942</v>
      </c>
      <c r="AC1" s="127" t="n">
        <f aca="false">AB1-$D12</f>
        <v>0.938</v>
      </c>
      <c r="AD1" s="127" t="n">
        <f aca="false">AC1-$D12</f>
        <v>0.934</v>
      </c>
      <c r="AE1" s="127" t="n">
        <f aca="false">AD1-$D12</f>
        <v>0.93</v>
      </c>
      <c r="AF1" s="127" t="n">
        <f aca="false">AE1-$D12</f>
        <v>0.926</v>
      </c>
      <c r="AG1" s="127" t="n">
        <f aca="false">AF1-$D12</f>
        <v>0.922</v>
      </c>
      <c r="AH1" s="127" t="n">
        <f aca="false">AG1-$D12</f>
        <v>0.918</v>
      </c>
      <c r="AI1" s="127" t="n">
        <f aca="false">AH1-$D12</f>
        <v>0.914</v>
      </c>
    </row>
    <row r="2" customFormat="false" ht="21.75" hidden="false" customHeight="true" outlineLevel="0" collapsed="false">
      <c r="B2" s="128" t="s">
        <v>1</v>
      </c>
      <c r="C2" s="129" t="s">
        <v>105</v>
      </c>
      <c r="D2" s="130" t="s">
        <v>3</v>
      </c>
      <c r="E2" s="130" t="s">
        <v>3</v>
      </c>
    </row>
    <row r="3" customFormat="false" ht="21.75" hidden="false" customHeight="true" outlineLevel="0" collapsed="false">
      <c r="B3" s="131" t="s">
        <v>4</v>
      </c>
      <c r="C3" s="134" t="n">
        <v>20</v>
      </c>
      <c r="D3" s="133" t="s">
        <v>3</v>
      </c>
      <c r="E3" s="133" t="s">
        <v>3</v>
      </c>
    </row>
    <row r="4" customFormat="false" ht="21.75" hidden="false" customHeight="true" outlineLevel="0" collapsed="false">
      <c r="B4" s="131" t="s">
        <v>5</v>
      </c>
      <c r="C4" s="134" t="n">
        <v>436.1</v>
      </c>
      <c r="D4" s="133" t="s">
        <v>3</v>
      </c>
      <c r="E4" s="133" t="s">
        <v>3</v>
      </c>
      <c r="M4" s="0" t="s">
        <v>132</v>
      </c>
    </row>
    <row r="5" customFormat="false" ht="22.5" hidden="false" customHeight="true" outlineLevel="0" collapsed="false">
      <c r="B5" s="134" t="s">
        <v>6</v>
      </c>
      <c r="C5" s="134" t="n">
        <v>2020</v>
      </c>
      <c r="D5" s="134" t="s">
        <v>7</v>
      </c>
      <c r="E5" s="134" t="n">
        <v>2039</v>
      </c>
      <c r="M5" s="0" t="s">
        <v>133</v>
      </c>
    </row>
    <row r="6" customFormat="false" ht="20.25" hidden="false" customHeight="true" outlineLevel="0" collapsed="false">
      <c r="B6" s="135"/>
      <c r="C6" s="135"/>
      <c r="D6" s="135"/>
      <c r="E6" s="135"/>
      <c r="M6" s="0" t="s">
        <v>134</v>
      </c>
    </row>
    <row r="7" customFormat="false" ht="22.5" hidden="false" customHeight="true" outlineLevel="0" collapsed="false">
      <c r="B7" s="136" t="s">
        <v>8</v>
      </c>
      <c r="C7" s="125"/>
      <c r="D7" s="125"/>
      <c r="E7" s="126"/>
      <c r="M7" s="0" t="s">
        <v>135</v>
      </c>
    </row>
    <row r="8" customFormat="false" ht="22.5" hidden="false" customHeight="true" outlineLevel="0" collapsed="false">
      <c r="B8" s="137" t="s">
        <v>9</v>
      </c>
      <c r="C8" s="138"/>
      <c r="D8" s="138"/>
      <c r="E8" s="139"/>
      <c r="M8" s="0" t="s">
        <v>136</v>
      </c>
    </row>
    <row r="9" customFormat="false" ht="22.5" hidden="false" customHeight="true" outlineLevel="0" collapsed="false">
      <c r="B9" s="140" t="s">
        <v>10</v>
      </c>
      <c r="C9" s="141" t="s">
        <v>11</v>
      </c>
      <c r="D9" s="141" t="s">
        <v>12</v>
      </c>
      <c r="E9" s="142" t="s">
        <v>13</v>
      </c>
      <c r="M9" s="0" t="s">
        <v>111</v>
      </c>
    </row>
    <row r="10" customFormat="false" ht="21.75" hidden="false" customHeight="true" outlineLevel="0" collapsed="false">
      <c r="B10" s="143" t="s">
        <v>14</v>
      </c>
      <c r="C10" s="129" t="s">
        <v>112</v>
      </c>
      <c r="D10" s="129" t="n">
        <v>547002</v>
      </c>
      <c r="E10" s="143" t="n">
        <v>20</v>
      </c>
      <c r="M10" s="0" t="s">
        <v>100</v>
      </c>
    </row>
    <row r="11" customFormat="false" ht="21.75" hidden="false" customHeight="true" outlineLevel="0" collapsed="false">
      <c r="B11" s="144"/>
      <c r="C11" s="134" t="s">
        <v>16</v>
      </c>
      <c r="D11" s="134" t="n">
        <v>0.01</v>
      </c>
      <c r="E11" s="144"/>
    </row>
    <row r="12" customFormat="false" ht="21.75" hidden="false" customHeight="true" outlineLevel="0" collapsed="false">
      <c r="B12" s="144"/>
      <c r="C12" s="134" t="s">
        <v>17</v>
      </c>
      <c r="D12" s="134" t="n">
        <v>0.004</v>
      </c>
      <c r="E12" s="144"/>
    </row>
    <row r="13" customFormat="false" ht="22.5" hidden="false" customHeight="true" outlineLevel="0" collapsed="false">
      <c r="B13" s="144"/>
      <c r="C13" s="145" t="s">
        <v>114</v>
      </c>
      <c r="D13" s="145" t="n">
        <v>3.7152</v>
      </c>
      <c r="E13" s="144"/>
    </row>
    <row r="14" customFormat="false" ht="22.5" hidden="false" customHeight="true" outlineLevel="0" collapsed="false">
      <c r="B14" s="146" t="s">
        <v>19</v>
      </c>
      <c r="C14" s="125"/>
      <c r="D14" s="125"/>
      <c r="E14" s="126"/>
    </row>
    <row r="15" customFormat="false" ht="22.5" hidden="false" customHeight="true" outlineLevel="0" collapsed="false">
      <c r="B15" s="140" t="s">
        <v>10</v>
      </c>
      <c r="C15" s="141" t="s">
        <v>11</v>
      </c>
      <c r="D15" s="141" t="s">
        <v>12</v>
      </c>
      <c r="E15" s="147" t="s">
        <v>20</v>
      </c>
    </row>
    <row r="16" customFormat="false" ht="21.75" hidden="false" customHeight="true" outlineLevel="0" collapsed="false">
      <c r="B16" s="148" t="s">
        <v>115</v>
      </c>
      <c r="C16" s="128" t="s">
        <v>22</v>
      </c>
      <c r="D16" s="129" t="n">
        <v>29000</v>
      </c>
      <c r="E16" s="149" t="n">
        <v>20</v>
      </c>
    </row>
    <row r="17" customFormat="false" ht="21.75" hidden="false" customHeight="true" outlineLevel="0" collapsed="false">
      <c r="B17" s="144"/>
      <c r="C17" s="134" t="s">
        <v>23</v>
      </c>
      <c r="D17" s="134" t="n">
        <v>0.3</v>
      </c>
      <c r="E17" s="144"/>
    </row>
    <row r="18" customFormat="false" ht="21.75" hidden="false" customHeight="true" outlineLevel="0" collapsed="false">
      <c r="B18" s="150"/>
      <c r="C18" s="134" t="s">
        <v>24</v>
      </c>
      <c r="D18" s="134" t="n">
        <v>3000</v>
      </c>
      <c r="E18" s="150"/>
    </row>
    <row r="19" customFormat="false" ht="54" hidden="false" customHeight="true" outlineLevel="0" collapsed="false">
      <c r="B19" s="151" t="s">
        <v>25</v>
      </c>
      <c r="C19" s="152" t="s">
        <v>26</v>
      </c>
      <c r="D19" s="134" t="n">
        <v>2</v>
      </c>
      <c r="E19" s="130" t="n">
        <v>0</v>
      </c>
    </row>
    <row r="20" customFormat="false" ht="20.25" hidden="false" customHeight="true" outlineLevel="0" collapsed="false">
      <c r="B20" s="144"/>
      <c r="C20" s="153" t="s">
        <v>116</v>
      </c>
      <c r="D20" s="134" t="n">
        <v>0</v>
      </c>
      <c r="E20" s="130" t="n">
        <v>20</v>
      </c>
    </row>
    <row r="21" customFormat="false" ht="21.75" hidden="false" customHeight="true" outlineLevel="0" collapsed="false">
      <c r="B21" s="150"/>
      <c r="C21" s="134" t="s">
        <v>117</v>
      </c>
      <c r="D21" s="134" t="n">
        <v>0.3</v>
      </c>
      <c r="E21" s="133" t="n">
        <v>0</v>
      </c>
    </row>
    <row r="22" customFormat="false" ht="21.75" hidden="false" customHeight="true" outlineLevel="0" collapsed="false">
      <c r="B22" s="134" t="s">
        <v>29</v>
      </c>
      <c r="C22" s="134" t="s">
        <v>118</v>
      </c>
      <c r="D22" s="134" t="n">
        <v>400</v>
      </c>
      <c r="E22" s="133" t="n">
        <v>20</v>
      </c>
    </row>
    <row r="23" customFormat="false" ht="21.75" hidden="false" customHeight="true" outlineLevel="0" collapsed="false">
      <c r="B23" s="134" t="s">
        <v>31</v>
      </c>
      <c r="C23" s="131" t="s">
        <v>32</v>
      </c>
      <c r="D23" s="134" t="n">
        <v>0.003</v>
      </c>
      <c r="E23" s="133" t="n">
        <v>20</v>
      </c>
    </row>
    <row r="24" customFormat="false" ht="21.75" hidden="false" customHeight="true" outlineLevel="0" collapsed="false">
      <c r="B24" s="134" t="s">
        <v>33</v>
      </c>
      <c r="C24" s="134" t="s">
        <v>119</v>
      </c>
      <c r="D24" s="134" t="n">
        <v>1000</v>
      </c>
      <c r="E24" s="133" t="n">
        <v>10</v>
      </c>
    </row>
    <row r="25" customFormat="false" ht="21.75" hidden="false" customHeight="true" outlineLevel="0" collapsed="false">
      <c r="B25" s="134" t="s">
        <v>35</v>
      </c>
      <c r="C25" s="134" t="s">
        <v>36</v>
      </c>
      <c r="D25" s="134" t="n">
        <v>0.025595</v>
      </c>
      <c r="E25" s="133" t="n">
        <v>0</v>
      </c>
    </row>
    <row r="26" customFormat="false" ht="22.5" hidden="false" customHeight="true" outlineLevel="0" collapsed="false">
      <c r="B26" s="134" t="s">
        <v>37</v>
      </c>
      <c r="C26" s="134" t="s">
        <v>38</v>
      </c>
      <c r="D26" s="134" t="n">
        <v>0.2</v>
      </c>
      <c r="E26" s="133" t="n">
        <v>0</v>
      </c>
    </row>
    <row r="27" customFormat="false" ht="20.25" hidden="false" customHeight="true" outlineLevel="0" collapsed="false">
      <c r="B27" s="135"/>
      <c r="C27" s="135"/>
      <c r="D27" s="135"/>
      <c r="E27" s="135"/>
    </row>
    <row r="28" customFormat="false" ht="20.25" hidden="false" customHeight="true" outlineLevel="0" collapsed="false">
      <c r="B28" s="135"/>
      <c r="C28" s="135"/>
      <c r="D28" s="135"/>
      <c r="E28" s="135"/>
    </row>
    <row r="29" customFormat="false" ht="22.5" hidden="false" customHeight="true" outlineLevel="0" collapsed="false">
      <c r="B29" s="136" t="s">
        <v>39</v>
      </c>
      <c r="C29" s="125"/>
      <c r="D29" s="126"/>
      <c r="E29" s="135"/>
    </row>
    <row r="30" customFormat="false" ht="22.5" hidden="false" customHeight="true" outlineLevel="0" collapsed="false">
      <c r="B30" s="140" t="s">
        <v>40</v>
      </c>
      <c r="C30" s="141" t="s">
        <v>11</v>
      </c>
      <c r="D30" s="147" t="s">
        <v>12</v>
      </c>
      <c r="E30" s="135"/>
    </row>
    <row r="31" customFormat="false" ht="18.75" hidden="false" customHeight="true" outlineLevel="0" collapsed="false">
      <c r="B31" s="128" t="s">
        <v>41</v>
      </c>
      <c r="C31" s="128" t="s">
        <v>42</v>
      </c>
      <c r="D31" s="129" t="n">
        <v>0.8</v>
      </c>
      <c r="E31" s="135"/>
    </row>
    <row r="32" customFormat="false" ht="18.75" hidden="false" customHeight="true" outlineLevel="0" collapsed="false">
      <c r="B32" s="129" t="s">
        <v>43</v>
      </c>
      <c r="C32" s="129" t="s">
        <v>44</v>
      </c>
      <c r="D32" s="129" t="n">
        <v>15</v>
      </c>
      <c r="E32" s="135"/>
    </row>
    <row r="33" customFormat="false" ht="18.75" hidden="false" customHeight="true" outlineLevel="0" collapsed="false">
      <c r="B33" s="134" t="s">
        <v>45</v>
      </c>
      <c r="C33" s="134" t="s">
        <v>46</v>
      </c>
      <c r="D33" s="134" t="n">
        <v>0.9</v>
      </c>
      <c r="E33" s="135"/>
    </row>
    <row r="34" customFormat="false" ht="18.75" hidden="false" customHeight="true" outlineLevel="0" collapsed="false">
      <c r="B34" s="134" t="s">
        <v>47</v>
      </c>
      <c r="C34" s="134" t="s">
        <v>44</v>
      </c>
      <c r="D34" s="134" t="n">
        <v>4</v>
      </c>
      <c r="E34" s="135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97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54" t="n">
        <v>0</v>
      </c>
      <c r="C38" s="155"/>
      <c r="D38" s="156"/>
      <c r="E38" s="156"/>
      <c r="F38" s="157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9"/>
      <c r="U38" s="158"/>
      <c r="V38" s="158"/>
      <c r="W38" s="158"/>
      <c r="X38" s="160"/>
    </row>
    <row r="39" customFormat="false" ht="18.75" hidden="false" customHeight="true" outlineLevel="0" collapsed="false">
      <c r="B39" s="161" t="s">
        <v>51</v>
      </c>
      <c r="C39" s="162" t="n">
        <v>0</v>
      </c>
      <c r="D39" s="163" t="n">
        <v>1</v>
      </c>
      <c r="E39" s="163" t="n">
        <v>2</v>
      </c>
      <c r="F39" s="163" t="n">
        <v>3</v>
      </c>
      <c r="G39" s="163" t="n">
        <v>4</v>
      </c>
      <c r="H39" s="163" t="n">
        <v>5</v>
      </c>
      <c r="I39" s="163" t="n">
        <v>6</v>
      </c>
      <c r="J39" s="163" t="n">
        <v>7</v>
      </c>
      <c r="K39" s="163" t="n">
        <v>8</v>
      </c>
      <c r="L39" s="163" t="n">
        <v>9</v>
      </c>
      <c r="M39" s="163" t="n">
        <v>10</v>
      </c>
      <c r="N39" s="163" t="n">
        <v>11</v>
      </c>
      <c r="O39" s="163" t="n">
        <v>12</v>
      </c>
      <c r="P39" s="163" t="n">
        <v>13</v>
      </c>
      <c r="Q39" s="163" t="n">
        <v>14</v>
      </c>
      <c r="R39" s="163" t="n">
        <v>15</v>
      </c>
      <c r="S39" s="163" t="n">
        <v>16</v>
      </c>
      <c r="T39" s="164" t="n">
        <v>17</v>
      </c>
      <c r="U39" s="163" t="n">
        <v>18</v>
      </c>
      <c r="V39" s="163" t="n">
        <v>19</v>
      </c>
      <c r="W39" s="163" t="n">
        <v>20</v>
      </c>
      <c r="X39" s="47"/>
    </row>
    <row r="40" customFormat="false" ht="18.75" hidden="false" customHeight="true" outlineLevel="0" collapsed="false">
      <c r="B40" s="165" t="s">
        <v>52</v>
      </c>
      <c r="C40" s="166" t="n">
        <v>0</v>
      </c>
      <c r="D40" s="167" t="n">
        <f aca="false">$D$10*P1</f>
        <v>541531.98</v>
      </c>
      <c r="E40" s="167" t="n">
        <f aca="false">$D$10*Q1</f>
        <v>539343.972</v>
      </c>
      <c r="F40" s="167" t="n">
        <f aca="false">$D$10*R1</f>
        <v>537155.964</v>
      </c>
      <c r="G40" s="167" t="n">
        <f aca="false">$D$10*S1</f>
        <v>534967.956</v>
      </c>
      <c r="H40" s="167" t="n">
        <f aca="false">$D$10*T1</f>
        <v>532779.948</v>
      </c>
      <c r="I40" s="167" t="n">
        <f aca="false">$D$10*U1</f>
        <v>530591.94</v>
      </c>
      <c r="J40" s="167" t="n">
        <f aca="false">$D$10*V1</f>
        <v>528403.932</v>
      </c>
      <c r="K40" s="167" t="n">
        <f aca="false">$D$10*W1</f>
        <v>526215.924</v>
      </c>
      <c r="L40" s="167" t="n">
        <f aca="false">$D$10*X1</f>
        <v>524027.916</v>
      </c>
      <c r="M40" s="167" t="n">
        <f aca="false">$D$10*Y1</f>
        <v>521839.908</v>
      </c>
      <c r="N40" s="167" t="n">
        <f aca="false">$D$10*Z1</f>
        <v>519651.9</v>
      </c>
      <c r="O40" s="167" t="n">
        <f aca="false">$D$10*AA1</f>
        <v>517463.892</v>
      </c>
      <c r="P40" s="167" t="n">
        <f aca="false">$D$10*AB1</f>
        <v>515275.884</v>
      </c>
      <c r="Q40" s="167" t="n">
        <f aca="false">$D$10*AC1</f>
        <v>513087.876</v>
      </c>
      <c r="R40" s="167" t="n">
        <f aca="false">$D$10*AD1</f>
        <v>510899.868</v>
      </c>
      <c r="S40" s="167" t="n">
        <f aca="false">$D$10*AE1</f>
        <v>508711.86</v>
      </c>
      <c r="T40" s="167" t="n">
        <f aca="false">$D$10*AF1</f>
        <v>506523.852</v>
      </c>
      <c r="U40" s="167" t="n">
        <f aca="false">$D$10*AG1</f>
        <v>504335.844</v>
      </c>
      <c r="V40" s="167" t="n">
        <f aca="false">$D$10*AH1</f>
        <v>502147.836</v>
      </c>
      <c r="W40" s="167" t="n">
        <f aca="false">$D$10*AI1</f>
        <v>499959.828</v>
      </c>
      <c r="X40" s="168"/>
    </row>
    <row r="41" customFormat="false" ht="18.75" hidden="false" customHeight="true" outlineLevel="0" collapsed="false">
      <c r="B41" s="169" t="s">
        <v>53</v>
      </c>
      <c r="C41" s="170" t="s">
        <v>3</v>
      </c>
      <c r="D41" s="171" t="n">
        <f aca="false">D40*$D$13</f>
        <v>2011899.612096</v>
      </c>
      <c r="E41" s="171" t="n">
        <f aca="false">E40*$D$13</f>
        <v>2003770.7247744</v>
      </c>
      <c r="F41" s="171" t="n">
        <f aca="false">F40*$D$13</f>
        <v>1995641.8374528</v>
      </c>
      <c r="G41" s="171" t="n">
        <f aca="false">G40*$D$13</f>
        <v>1987512.9501312</v>
      </c>
      <c r="H41" s="171" t="n">
        <f aca="false">H40*$D$13</f>
        <v>1979384.0628096</v>
      </c>
      <c r="I41" s="171" t="n">
        <f aca="false">I40*$D$13</f>
        <v>1971255.175488</v>
      </c>
      <c r="J41" s="171" t="n">
        <f aca="false">J40*$D$13</f>
        <v>1963126.2881664</v>
      </c>
      <c r="K41" s="171" t="n">
        <f aca="false">K40*$D$13</f>
        <v>1954997.4008448</v>
      </c>
      <c r="L41" s="171" t="n">
        <f aca="false">L40*$D$13</f>
        <v>1946868.5135232</v>
      </c>
      <c r="M41" s="171" t="n">
        <f aca="false">M40*$D$13</f>
        <v>1938739.6262016</v>
      </c>
      <c r="N41" s="171" t="n">
        <f aca="false">N40*$D$13</f>
        <v>1930610.73888</v>
      </c>
      <c r="O41" s="171" t="n">
        <f aca="false">O40*$D$13</f>
        <v>1922481.8515584</v>
      </c>
      <c r="P41" s="171" t="n">
        <f aca="false">P40*$D$13</f>
        <v>1914352.9642368</v>
      </c>
      <c r="Q41" s="171" t="n">
        <f aca="false">Q40*$D$13</f>
        <v>1906224.0769152</v>
      </c>
      <c r="R41" s="171" t="n">
        <f aca="false">R40*$D$13</f>
        <v>1898095.1895936</v>
      </c>
      <c r="S41" s="171" t="n">
        <f aca="false">S40*$D$13</f>
        <v>1889966.302272</v>
      </c>
      <c r="T41" s="171" t="n">
        <f aca="false">T40*$D$13</f>
        <v>1881837.4149504</v>
      </c>
      <c r="U41" s="171" t="n">
        <f aca="false">U40*$D$13</f>
        <v>1873708.5276288</v>
      </c>
      <c r="V41" s="171" t="n">
        <f aca="false">V40*$D$13</f>
        <v>1865579.6403072</v>
      </c>
      <c r="W41" s="171" t="n">
        <f aca="false">W40*$D$13</f>
        <v>1857450.7529856</v>
      </c>
      <c r="X41" s="172"/>
    </row>
    <row r="42" customFormat="false" ht="18.75" hidden="false" customHeight="true" outlineLevel="0" collapsed="false">
      <c r="B42" s="173" t="s">
        <v>54</v>
      </c>
      <c r="C42" s="174" t="s">
        <v>3</v>
      </c>
      <c r="D42" s="175"/>
      <c r="E42" s="175"/>
      <c r="F42" s="175"/>
      <c r="G42" s="176" t="s">
        <v>3</v>
      </c>
      <c r="H42" s="176" t="s">
        <v>3</v>
      </c>
      <c r="I42" s="176" t="s">
        <v>3</v>
      </c>
      <c r="J42" s="176" t="s">
        <v>3</v>
      </c>
      <c r="K42" s="176" t="s">
        <v>3</v>
      </c>
      <c r="L42" s="176" t="s">
        <v>3</v>
      </c>
      <c r="M42" s="176" t="s">
        <v>3</v>
      </c>
      <c r="N42" s="176" t="s">
        <v>3</v>
      </c>
      <c r="O42" s="176" t="s">
        <v>3</v>
      </c>
      <c r="P42" s="176" t="s">
        <v>3</v>
      </c>
      <c r="Q42" s="176" t="s">
        <v>3</v>
      </c>
      <c r="R42" s="176" t="s">
        <v>3</v>
      </c>
      <c r="S42" s="176" t="s">
        <v>3</v>
      </c>
      <c r="T42" s="176" t="s">
        <v>3</v>
      </c>
      <c r="U42" s="176" t="s">
        <v>3</v>
      </c>
      <c r="V42" s="176" t="s">
        <v>3</v>
      </c>
      <c r="W42" s="176" t="s">
        <v>3</v>
      </c>
      <c r="X42" s="177"/>
    </row>
    <row r="43" customFormat="false" ht="18.75" hidden="false" customHeight="true" outlineLevel="0" collapsed="false">
      <c r="B43" s="178" t="s">
        <v>55</v>
      </c>
      <c r="C43" s="179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customFormat="false" ht="18.75" hidden="false" customHeight="true" outlineLevel="0" collapsed="false">
      <c r="B44" s="182" t="s">
        <v>56</v>
      </c>
      <c r="C44" s="183" t="n">
        <f aca="false">-(D16/(1-D17)+D18)*C4</f>
        <v>-19375300</v>
      </c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 customFormat="false" ht="18.75" hidden="false" customHeight="true" outlineLevel="0" collapsed="false">
      <c r="B45" s="182" t="s">
        <v>57</v>
      </c>
      <c r="C45" s="174" t="s">
        <v>3</v>
      </c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</row>
    <row r="46" customFormat="false" ht="18.75" hidden="false" customHeight="true" outlineLevel="0" collapsed="false">
      <c r="B46" s="182" t="s">
        <v>58</v>
      </c>
      <c r="C46" s="17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 customFormat="false" ht="18.75" hidden="false" customHeight="true" outlineLevel="0" collapsed="false">
      <c r="B47" s="182" t="s">
        <v>59</v>
      </c>
      <c r="C47" s="174" t="s">
        <v>3</v>
      </c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 customFormat="false" ht="18.75" hidden="false" customHeight="true" outlineLevel="0" collapsed="false">
      <c r="B48" s="182" t="s">
        <v>60</v>
      </c>
      <c r="C48" s="174" t="s">
        <v>3</v>
      </c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</row>
    <row r="49" customFormat="false" ht="18.75" hidden="false" customHeight="true" outlineLevel="0" collapsed="false">
      <c r="B49" s="182" t="s">
        <v>61</v>
      </c>
      <c r="C49" s="174" t="s">
        <v>3</v>
      </c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</row>
    <row r="50" customFormat="false" ht="18.75" hidden="false" customHeight="true" outlineLevel="0" collapsed="false">
      <c r="B50" s="182" t="s">
        <v>62</v>
      </c>
      <c r="C50" s="17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</row>
    <row r="51" customFormat="false" ht="18.75" hidden="false" customHeight="true" outlineLevel="0" collapsed="false">
      <c r="B51" s="182" t="s">
        <v>63</v>
      </c>
      <c r="C51" s="185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 customFormat="false" ht="18.75" hidden="false" customHeight="true" outlineLevel="0" collapsed="false">
      <c r="B52" s="182" t="s">
        <v>64</v>
      </c>
      <c r="C52" s="185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 customFormat="false" ht="18.75" hidden="false" customHeight="true" outlineLevel="0" collapsed="false">
      <c r="B53" s="186" t="s">
        <v>65</v>
      </c>
      <c r="C53" s="185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 customFormat="false" ht="18.75" hidden="false" customHeight="true" outlineLevel="0" collapsed="false">
      <c r="B54" s="186" t="s">
        <v>66</v>
      </c>
      <c r="C54" s="185"/>
      <c r="D54" s="184" t="n">
        <f aca="false">-(D64+D67+D68+D71+D72+D73+D74)*0.2</f>
        <v>-208626.9224192</v>
      </c>
      <c r="E54" s="184" t="n">
        <f aca="false">-(E64+E67+E68+E71+E72+E73+E74)*0.2</f>
        <v>-207001.14495488</v>
      </c>
      <c r="F54" s="184" t="n">
        <f aca="false">-(F64+F67+F68+F71+F72+F73+F74)*0.2</f>
        <v>-205375.36749056</v>
      </c>
      <c r="G54" s="184" t="n">
        <f aca="false">-(G64+G67+G68+G71+G72+G73+G74)*0.2</f>
        <v>-203749.59002624</v>
      </c>
      <c r="H54" s="184" t="n">
        <f aca="false">-(H64+H67+H68+H71+H72+H73+H74)*0.2</f>
        <v>-202123.81256192</v>
      </c>
      <c r="I54" s="184" t="n">
        <f aca="false">-(I64+I67+I68+I71+I72+I73+I74)*0.2</f>
        <v>-200498.0350976</v>
      </c>
      <c r="J54" s="184" t="n">
        <f aca="false">-(J64+J67+J68+J71+J72+J73+J74)*0.2</f>
        <v>-198872.25763328</v>
      </c>
      <c r="K54" s="184" t="n">
        <f aca="false">-(K64+K67+K68+K71+K72+K73+K74)*0.2</f>
        <v>-197246.48016896</v>
      </c>
      <c r="L54" s="184" t="n">
        <f aca="false">-(L64+L67+L68+L71+L72+L73+L74)*0.2</f>
        <v>-195620.70270464</v>
      </c>
      <c r="M54" s="184" t="n">
        <f aca="false">-(M64+M67+M68+M71+M72+M73+M74)*0.2</f>
        <v>-193994.92524032</v>
      </c>
      <c r="N54" s="184" t="n">
        <f aca="false">-(N64+N67+N68+N71+N72+N73+N74)*0.2</f>
        <v>-192369.147776</v>
      </c>
      <c r="O54" s="184" t="n">
        <f aca="false">-(O64+O67+O68+O71+O72+O73+O74)*0.2</f>
        <v>-190743.37031168</v>
      </c>
      <c r="P54" s="184" t="n">
        <f aca="false">-(P64+P67+P68+P71+P72+P73+P74)*0.2</f>
        <v>-189117.59284736</v>
      </c>
      <c r="Q54" s="184" t="n">
        <f aca="false">-(Q64+Q67+Q68+Q71+Q72+Q73+Q74)*0.2</f>
        <v>-187491.81538304</v>
      </c>
      <c r="R54" s="184" t="n">
        <f aca="false">-(R64+R67+R68+R71+R72+R73+R74)*0.2</f>
        <v>-185866.03791872</v>
      </c>
      <c r="S54" s="184" t="n">
        <f aca="false">-(S64+S67+S68+S71+S72+S73+S74)*0.2</f>
        <v>-184240.2604544</v>
      </c>
      <c r="T54" s="184" t="n">
        <f aca="false">-(T64+T67+T68+T71+T72+T73+T74)*0.2</f>
        <v>-182614.48299008</v>
      </c>
      <c r="U54" s="184" t="n">
        <f aca="false">-(U64+U67+U68+U71+U72+U73+U74)*0.2</f>
        <v>-180988.70552576</v>
      </c>
      <c r="V54" s="184" t="n">
        <f aca="false">-(V64+V67+V68+V71+V72+V73+V74)*0.2</f>
        <v>-179362.92806144</v>
      </c>
      <c r="W54" s="184" t="n">
        <f aca="false">-(W64+W67+W68+W71+W72+W73+W74)*0.2</f>
        <v>-177737.15059712</v>
      </c>
      <c r="X54" s="175"/>
    </row>
    <row r="55" customFormat="false" ht="18.75" hidden="false" customHeight="true" outlineLevel="0" collapsed="false">
      <c r="B55" s="187" t="s">
        <v>67</v>
      </c>
      <c r="C55" s="188" t="n">
        <f aca="false">C44</f>
        <v>-19375300</v>
      </c>
      <c r="D55" s="189" t="n">
        <f aca="false">SUM(D41:D54)</f>
        <v>1803272.6896768</v>
      </c>
      <c r="E55" s="189" t="n">
        <f aca="false">SUM(E41:E54)</f>
        <v>1796769.57981952</v>
      </c>
      <c r="F55" s="189" t="n">
        <f aca="false">SUM(F41:F54)</f>
        <v>1790266.46996224</v>
      </c>
      <c r="G55" s="189" t="n">
        <f aca="false">SUM(G41:G54)</f>
        <v>1783763.36010496</v>
      </c>
      <c r="H55" s="189" t="n">
        <f aca="false">SUM(H41:H54)</f>
        <v>1777260.25024768</v>
      </c>
      <c r="I55" s="189" t="n">
        <f aca="false">SUM(I41:I54)</f>
        <v>1770757.1403904</v>
      </c>
      <c r="J55" s="189" t="n">
        <f aca="false">SUM(J41:J54)</f>
        <v>1764254.03053312</v>
      </c>
      <c r="K55" s="189" t="n">
        <f aca="false">SUM(K41:K54)</f>
        <v>1757750.92067584</v>
      </c>
      <c r="L55" s="189" t="n">
        <f aca="false">SUM(L41:L54)</f>
        <v>1751247.81081856</v>
      </c>
      <c r="M55" s="189" t="n">
        <f aca="false">SUM(M41:M54)</f>
        <v>1744744.70096128</v>
      </c>
      <c r="N55" s="189" t="n">
        <f aca="false">SUM(N41:N54)</f>
        <v>1738241.591104</v>
      </c>
      <c r="O55" s="189" t="n">
        <f aca="false">SUM(O41:O54)</f>
        <v>1731738.48124672</v>
      </c>
      <c r="P55" s="189" t="n">
        <f aca="false">SUM(P41:P54)</f>
        <v>1725235.37138944</v>
      </c>
      <c r="Q55" s="189" t="n">
        <f aca="false">SUM(Q41:Q54)</f>
        <v>1718732.26153216</v>
      </c>
      <c r="R55" s="189" t="n">
        <f aca="false">SUM(R41:R54)</f>
        <v>1712229.15167488</v>
      </c>
      <c r="S55" s="189" t="n">
        <f aca="false">SUM(S41:S54)</f>
        <v>1705726.0418176</v>
      </c>
      <c r="T55" s="189" t="n">
        <f aca="false">SUM(T41:T54)</f>
        <v>1699222.93196032</v>
      </c>
      <c r="U55" s="189" t="n">
        <f aca="false">SUM(U41:U54)</f>
        <v>1692719.82210304</v>
      </c>
      <c r="V55" s="189" t="n">
        <f aca="false">SUM(V41:V54)</f>
        <v>1686216.71224576</v>
      </c>
      <c r="W55" s="189" t="n">
        <f aca="false">SUM(W41:W54)</f>
        <v>1679713.60238848</v>
      </c>
      <c r="X55" s="190"/>
      <c r="Y55" s="191"/>
      <c r="Z55" s="192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</row>
    <row r="56" customFormat="false" ht="18.75" hidden="false" customHeight="true" outlineLevel="0" collapsed="false">
      <c r="B56" s="193" t="s">
        <v>68</v>
      </c>
      <c r="D56" s="194" t="n">
        <f aca="false">C55+D55</f>
        <v>-17572027.3103232</v>
      </c>
      <c r="E56" s="194" t="n">
        <f aca="false">D56+E55</f>
        <v>-15775257.7305037</v>
      </c>
      <c r="F56" s="194" t="n">
        <f aca="false">E56+F55</f>
        <v>-13984991.2605414</v>
      </c>
      <c r="G56" s="194" t="n">
        <f aca="false">F56+G55</f>
        <v>-12201227.9004365</v>
      </c>
      <c r="H56" s="194" t="n">
        <f aca="false">G56+H55</f>
        <v>-10423967.6501888</v>
      </c>
      <c r="I56" s="194" t="n">
        <f aca="false">H56+I55</f>
        <v>-8653210.50979841</v>
      </c>
      <c r="J56" s="194" t="n">
        <f aca="false">I56+J55</f>
        <v>-6888956.47926529</v>
      </c>
      <c r="K56" s="194" t="n">
        <f aca="false">J56+K55</f>
        <v>-5131205.55858945</v>
      </c>
      <c r="L56" s="194" t="n">
        <f aca="false">K56+L55</f>
        <v>-3379957.74777089</v>
      </c>
      <c r="M56" s="194" t="n">
        <f aca="false">L56+M55</f>
        <v>-1635213.04680961</v>
      </c>
      <c r="N56" s="194" t="n">
        <f aca="false">M56+N55</f>
        <v>103028.544294392</v>
      </c>
      <c r="O56" s="194" t="n">
        <f aca="false">N56+O55</f>
        <v>1834767.02554111</v>
      </c>
      <c r="P56" s="194" t="n">
        <f aca="false">O56+P55</f>
        <v>3560002.39693055</v>
      </c>
      <c r="Q56" s="194" t="n">
        <f aca="false">P56+Q55</f>
        <v>5278734.65846271</v>
      </c>
      <c r="R56" s="194" t="n">
        <f aca="false">Q56+R55</f>
        <v>6990963.81013759</v>
      </c>
      <c r="S56" s="194" t="n">
        <f aca="false">R56+S55</f>
        <v>8696689.85195519</v>
      </c>
      <c r="T56" s="194" t="n">
        <f aca="false">S56+T55</f>
        <v>10395912.7839155</v>
      </c>
      <c r="U56" s="194" t="n">
        <f aca="false">T56+U55</f>
        <v>12088632.6060186</v>
      </c>
      <c r="V56" s="194" t="n">
        <f aca="false">U56+V55</f>
        <v>13774849.3182643</v>
      </c>
      <c r="W56" s="194" t="n">
        <f aca="false">V56+W55</f>
        <v>15454562.9206528</v>
      </c>
      <c r="X56" s="194" t="n">
        <f aca="false">W56+X55</f>
        <v>15454562.9206528</v>
      </c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</row>
    <row r="57" customFormat="false" ht="18.75" hidden="false" customHeight="true" outlineLevel="0" collapsed="false">
      <c r="B57" s="195" t="s">
        <v>74</v>
      </c>
      <c r="C57" s="196"/>
      <c r="D57" s="197" t="str">
        <f aca="false">IF((D56)&gt;0,"回收","未回收")</f>
        <v>未回收</v>
      </c>
      <c r="E57" s="198" t="str">
        <f aca="false">IF((E56)&gt;0,"回收","未回收")</f>
        <v>未回收</v>
      </c>
      <c r="F57" s="198" t="str">
        <f aca="false">IF((F56)&gt;0,"回收","未回收")</f>
        <v>未回收</v>
      </c>
      <c r="G57" s="198" t="str">
        <f aca="false">IF((G56)&gt;0,"回收","未回收")</f>
        <v>未回收</v>
      </c>
      <c r="H57" s="198" t="str">
        <f aca="false">IF((H56)&gt;0,"回收","未回收")</f>
        <v>未回收</v>
      </c>
      <c r="I57" s="198" t="str">
        <f aca="false">IF((I56)&gt;0,"回收","未回收")</f>
        <v>未回收</v>
      </c>
      <c r="J57" s="198" t="str">
        <f aca="false">IF((J56)&gt;0,"回收","未回收")</f>
        <v>未回收</v>
      </c>
      <c r="K57" s="198" t="str">
        <f aca="false">IF((K56)&gt;0,"回收","未回收")</f>
        <v>未回收</v>
      </c>
      <c r="L57" s="198" t="str">
        <f aca="false">IF((L56)&gt;0,"回收","未回收")</f>
        <v>未回收</v>
      </c>
      <c r="M57" s="198" t="str">
        <f aca="false">IF((M56)&gt;0,"回收","未回收")</f>
        <v>未回收</v>
      </c>
      <c r="N57" s="198" t="str">
        <f aca="false">IF((N56)&gt;0,"回收","未回收")</f>
        <v>回收</v>
      </c>
      <c r="O57" s="198" t="str">
        <f aca="false">IF((O56)&gt;0,"回收","未回收")</f>
        <v>回收</v>
      </c>
      <c r="P57" s="198" t="str">
        <f aca="false">IF((P56)&gt;0,"回收","未回收")</f>
        <v>回收</v>
      </c>
      <c r="Q57" s="198" t="str">
        <f aca="false">IF((Q56)&gt;0,"回收","未回收")</f>
        <v>回收</v>
      </c>
      <c r="R57" s="198" t="str">
        <f aca="false">IF((R56)&gt;0,"回收","未回收")</f>
        <v>回收</v>
      </c>
      <c r="S57" s="198" t="str">
        <f aca="false">IF((S56)&gt;0,"回收","未回收")</f>
        <v>回收</v>
      </c>
      <c r="T57" s="198" t="str">
        <f aca="false">IF((T56)&gt;0,"回收","未回收")</f>
        <v>回收</v>
      </c>
      <c r="U57" s="198" t="str">
        <f aca="false">IF((U56)&gt;0,"回收","未回收")</f>
        <v>回收</v>
      </c>
      <c r="V57" s="198" t="str">
        <f aca="false">IF((V56)&gt;0,"回收","未回收")</f>
        <v>回收</v>
      </c>
      <c r="W57" s="198" t="str">
        <f aca="false">IF((W56)&gt;0,"回收","未回收")</f>
        <v>回收</v>
      </c>
      <c r="X57" s="198" t="str">
        <f aca="false">IF((X56)&gt;0,"回收","未回收")</f>
        <v>回收</v>
      </c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</row>
    <row r="58" customFormat="false" ht="18.75" hidden="false" customHeight="true" outlineLevel="0" collapsed="false">
      <c r="B58" s="199" t="s">
        <v>93</v>
      </c>
      <c r="C58" s="200" t="n">
        <f aca="false">IRR(C55:W55)</f>
        <v>0.0647335303672414</v>
      </c>
      <c r="D58" s="201"/>
      <c r="E58" s="201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</row>
    <row r="59" customFormat="false" ht="18.75" hidden="false" customHeight="true" outlineLevel="0" collapsed="false">
      <c r="B59" s="202"/>
      <c r="C59" s="201"/>
      <c r="D59" s="201"/>
      <c r="E59" s="201"/>
      <c r="F59" s="202"/>
      <c r="G59" s="202"/>
      <c r="H59" s="202"/>
      <c r="I59" s="202"/>
      <c r="J59" s="202"/>
      <c r="K59" s="202"/>
      <c r="L59" s="202"/>
      <c r="M59" s="201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customFormat="false" ht="18.75" hidden="false" customHeight="true" outlineLevel="0" collapsed="false">
      <c r="B60" s="97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54" t="n">
        <v>0</v>
      </c>
      <c r="C61" s="155"/>
      <c r="D61" s="156"/>
      <c r="E61" s="156"/>
      <c r="F61" s="157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203" t="s">
        <v>50</v>
      </c>
      <c r="U61" s="158"/>
      <c r="V61" s="158"/>
      <c r="W61" s="158"/>
      <c r="X61" s="160"/>
    </row>
    <row r="62" customFormat="false" ht="18.75" hidden="false" customHeight="true" outlineLevel="0" collapsed="false">
      <c r="B62" s="161" t="s">
        <v>51</v>
      </c>
      <c r="C62" s="162" t="n">
        <v>0</v>
      </c>
      <c r="D62" s="163" t="n">
        <v>1</v>
      </c>
      <c r="E62" s="163" t="n">
        <v>2</v>
      </c>
      <c r="F62" s="163" t="n">
        <v>3</v>
      </c>
      <c r="G62" s="163" t="n">
        <v>4</v>
      </c>
      <c r="H62" s="163" t="n">
        <v>5</v>
      </c>
      <c r="I62" s="163" t="n">
        <v>6</v>
      </c>
      <c r="J62" s="163" t="n">
        <v>7</v>
      </c>
      <c r="K62" s="163" t="n">
        <v>8</v>
      </c>
      <c r="L62" s="163" t="n">
        <v>9</v>
      </c>
      <c r="M62" s="163" t="n">
        <v>10</v>
      </c>
      <c r="N62" s="163" t="n">
        <v>11</v>
      </c>
      <c r="O62" s="163" t="n">
        <v>12</v>
      </c>
      <c r="P62" s="163" t="n">
        <v>13</v>
      </c>
      <c r="Q62" s="163" t="n">
        <v>14</v>
      </c>
      <c r="R62" s="163" t="n">
        <v>15</v>
      </c>
      <c r="S62" s="163" t="n">
        <v>16</v>
      </c>
      <c r="T62" s="204" t="n">
        <v>17</v>
      </c>
      <c r="U62" s="163" t="n">
        <v>18</v>
      </c>
      <c r="V62" s="163" t="n">
        <v>19</v>
      </c>
      <c r="W62" s="163" t="n">
        <v>20</v>
      </c>
      <c r="X62" s="47"/>
    </row>
    <row r="63" customFormat="false" ht="18.75" hidden="false" customHeight="true" outlineLevel="0" collapsed="false">
      <c r="B63" s="165" t="s">
        <v>52</v>
      </c>
      <c r="C63" s="166" t="n">
        <v>0</v>
      </c>
      <c r="D63" s="167" t="n">
        <f aca="false">D40</f>
        <v>541531.98</v>
      </c>
      <c r="E63" s="167" t="n">
        <f aca="false">E40</f>
        <v>539343.972</v>
      </c>
      <c r="F63" s="167" t="n">
        <f aca="false">F40</f>
        <v>537155.964</v>
      </c>
      <c r="G63" s="167" t="n">
        <f aca="false">G40</f>
        <v>534967.956</v>
      </c>
      <c r="H63" s="167" t="n">
        <f aca="false">H40</f>
        <v>532779.948</v>
      </c>
      <c r="I63" s="167" t="n">
        <f aca="false">I40</f>
        <v>530591.94</v>
      </c>
      <c r="J63" s="167" t="n">
        <f aca="false">J40</f>
        <v>528403.932</v>
      </c>
      <c r="K63" s="167" t="n">
        <f aca="false">K40</f>
        <v>526215.924</v>
      </c>
      <c r="L63" s="167" t="n">
        <f aca="false">L40</f>
        <v>524027.916</v>
      </c>
      <c r="M63" s="167" t="n">
        <f aca="false">M40</f>
        <v>521839.908</v>
      </c>
      <c r="N63" s="167" t="n">
        <f aca="false">N40</f>
        <v>519651.9</v>
      </c>
      <c r="O63" s="167" t="n">
        <f aca="false">O40</f>
        <v>517463.892</v>
      </c>
      <c r="P63" s="167" t="n">
        <f aca="false">P40</f>
        <v>515275.884</v>
      </c>
      <c r="Q63" s="167" t="n">
        <f aca="false">Q40</f>
        <v>513087.876</v>
      </c>
      <c r="R63" s="167" t="n">
        <f aca="false">R40</f>
        <v>510899.868</v>
      </c>
      <c r="S63" s="167" t="n">
        <f aca="false">S40</f>
        <v>508711.86</v>
      </c>
      <c r="T63" s="167" t="n">
        <f aca="false">T40</f>
        <v>506523.852</v>
      </c>
      <c r="U63" s="167" t="n">
        <f aca="false">U40</f>
        <v>504335.844</v>
      </c>
      <c r="V63" s="167" t="n">
        <f aca="false">V40</f>
        <v>502147.836</v>
      </c>
      <c r="W63" s="167" t="n">
        <f aca="false">W40</f>
        <v>499959.828</v>
      </c>
      <c r="X63" s="168"/>
    </row>
    <row r="64" customFormat="false" ht="18.75" hidden="false" customHeight="true" outlineLevel="0" collapsed="false">
      <c r="B64" s="169" t="s">
        <v>53</v>
      </c>
      <c r="C64" s="170" t="s">
        <v>3</v>
      </c>
      <c r="D64" s="171" t="n">
        <f aca="false">D41</f>
        <v>2011899.612096</v>
      </c>
      <c r="E64" s="171" t="n">
        <f aca="false">E41</f>
        <v>2003770.7247744</v>
      </c>
      <c r="F64" s="171" t="n">
        <f aca="false">F41</f>
        <v>1995641.8374528</v>
      </c>
      <c r="G64" s="171" t="n">
        <f aca="false">G41</f>
        <v>1987512.9501312</v>
      </c>
      <c r="H64" s="171" t="n">
        <f aca="false">H41</f>
        <v>1979384.0628096</v>
      </c>
      <c r="I64" s="171" t="n">
        <f aca="false">I41</f>
        <v>1971255.175488</v>
      </c>
      <c r="J64" s="171" t="n">
        <f aca="false">J41</f>
        <v>1963126.2881664</v>
      </c>
      <c r="K64" s="171" t="n">
        <f aca="false">K41</f>
        <v>1954997.4008448</v>
      </c>
      <c r="L64" s="171" t="n">
        <f aca="false">L41</f>
        <v>1946868.5135232</v>
      </c>
      <c r="M64" s="171" t="n">
        <f aca="false">M41</f>
        <v>1938739.6262016</v>
      </c>
      <c r="N64" s="171" t="n">
        <f aca="false">N41</f>
        <v>1930610.73888</v>
      </c>
      <c r="O64" s="171" t="n">
        <f aca="false">O41</f>
        <v>1922481.8515584</v>
      </c>
      <c r="P64" s="171" t="n">
        <f aca="false">P41</f>
        <v>1914352.9642368</v>
      </c>
      <c r="Q64" s="171" t="n">
        <f aca="false">Q41</f>
        <v>1906224.0769152</v>
      </c>
      <c r="R64" s="171" t="n">
        <f aca="false">R41</f>
        <v>1898095.1895936</v>
      </c>
      <c r="S64" s="171" t="n">
        <f aca="false">S41</f>
        <v>1889966.302272</v>
      </c>
      <c r="T64" s="171" t="n">
        <f aca="false">T41</f>
        <v>1881837.4149504</v>
      </c>
      <c r="U64" s="171" t="n">
        <f aca="false">U41</f>
        <v>1873708.5276288</v>
      </c>
      <c r="V64" s="171" t="n">
        <f aca="false">V41</f>
        <v>1865579.6403072</v>
      </c>
      <c r="W64" s="171" t="n">
        <f aca="false">W41</f>
        <v>1857450.7529856</v>
      </c>
      <c r="X64" s="172"/>
    </row>
    <row r="65" customFormat="false" ht="18.75" hidden="false" customHeight="true" outlineLevel="0" collapsed="false">
      <c r="B65" s="173" t="s">
        <v>54</v>
      </c>
      <c r="C65" s="174" t="s">
        <v>3</v>
      </c>
      <c r="D65" s="175"/>
      <c r="E65" s="175"/>
      <c r="F65" s="175"/>
      <c r="G65" s="176" t="s">
        <v>3</v>
      </c>
      <c r="H65" s="176" t="s">
        <v>3</v>
      </c>
      <c r="I65" s="176" t="s">
        <v>3</v>
      </c>
      <c r="J65" s="176" t="s">
        <v>3</v>
      </c>
      <c r="K65" s="176" t="s">
        <v>3</v>
      </c>
      <c r="L65" s="176" t="s">
        <v>3</v>
      </c>
      <c r="M65" s="176" t="s">
        <v>3</v>
      </c>
      <c r="N65" s="176" t="s">
        <v>3</v>
      </c>
      <c r="O65" s="176" t="s">
        <v>3</v>
      </c>
      <c r="P65" s="176" t="s">
        <v>3</v>
      </c>
      <c r="Q65" s="176" t="s">
        <v>3</v>
      </c>
      <c r="R65" s="176" t="s">
        <v>3</v>
      </c>
      <c r="S65" s="176" t="s">
        <v>3</v>
      </c>
      <c r="T65" s="176" t="s">
        <v>3</v>
      </c>
      <c r="U65" s="176" t="s">
        <v>3</v>
      </c>
      <c r="V65" s="176" t="s">
        <v>3</v>
      </c>
      <c r="W65" s="176" t="s">
        <v>3</v>
      </c>
      <c r="X65" s="177"/>
    </row>
    <row r="66" customFormat="false" ht="18.75" hidden="false" customHeight="true" outlineLevel="0" collapsed="false">
      <c r="B66" s="178" t="s">
        <v>55</v>
      </c>
      <c r="C66" s="179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1"/>
    </row>
    <row r="67" customFormat="false" ht="18.75" hidden="false" customHeight="true" outlineLevel="0" collapsed="false">
      <c r="B67" s="182" t="s">
        <v>120</v>
      </c>
      <c r="C67" s="174"/>
      <c r="D67" s="205" t="n">
        <f aca="false">$C$44/$E$16</f>
        <v>-968765</v>
      </c>
      <c r="E67" s="205" t="n">
        <f aca="false">$C$44/$E$16</f>
        <v>-968765</v>
      </c>
      <c r="F67" s="205" t="n">
        <f aca="false">$C$44/$E$16</f>
        <v>-968765</v>
      </c>
      <c r="G67" s="205" t="n">
        <f aca="false">$C$44/$E$16</f>
        <v>-968765</v>
      </c>
      <c r="H67" s="205" t="n">
        <f aca="false">$C$44/$E$16</f>
        <v>-968765</v>
      </c>
      <c r="I67" s="205" t="n">
        <f aca="false">$C$44/$E$16</f>
        <v>-968765</v>
      </c>
      <c r="J67" s="205" t="n">
        <f aca="false">$C$44/$E$16</f>
        <v>-968765</v>
      </c>
      <c r="K67" s="205" t="n">
        <f aca="false">$C$44/$E$16</f>
        <v>-968765</v>
      </c>
      <c r="L67" s="205" t="n">
        <f aca="false">$C$44/$E$16</f>
        <v>-968765</v>
      </c>
      <c r="M67" s="205" t="n">
        <f aca="false">$C$44/$E$16</f>
        <v>-968765</v>
      </c>
      <c r="N67" s="205" t="n">
        <f aca="false">$C$44/$E$16</f>
        <v>-968765</v>
      </c>
      <c r="O67" s="205" t="n">
        <f aca="false">$C$44/$E$16</f>
        <v>-968765</v>
      </c>
      <c r="P67" s="205" t="n">
        <f aca="false">$C$44/$E$16</f>
        <v>-968765</v>
      </c>
      <c r="Q67" s="205" t="n">
        <f aca="false">$C$44/$E$16</f>
        <v>-968765</v>
      </c>
      <c r="R67" s="205" t="n">
        <f aca="false">$C$44/$E$16</f>
        <v>-968765</v>
      </c>
      <c r="S67" s="205" t="n">
        <f aca="false">$C$44/$E$16</f>
        <v>-968765</v>
      </c>
      <c r="T67" s="205" t="n">
        <f aca="false">$C$44/$E$16</f>
        <v>-968765</v>
      </c>
      <c r="U67" s="205" t="n">
        <f aca="false">$C$44/$E$16</f>
        <v>-968765</v>
      </c>
      <c r="V67" s="205" t="n">
        <f aca="false">$C$44/$E$16</f>
        <v>-968765</v>
      </c>
      <c r="W67" s="205" t="n">
        <f aca="false">$C$44/$E$16</f>
        <v>-968765</v>
      </c>
      <c r="X67" s="177"/>
    </row>
    <row r="68" customFormat="false" ht="18.75" hidden="false" customHeight="true" outlineLevel="0" collapsed="false">
      <c r="B68" s="182" t="s">
        <v>57</v>
      </c>
      <c r="C68" s="174" t="s">
        <v>3</v>
      </c>
      <c r="D68" s="184" t="n">
        <f aca="false">D45</f>
        <v>0</v>
      </c>
      <c r="E68" s="184" t="n">
        <f aca="false">E45</f>
        <v>0</v>
      </c>
      <c r="F68" s="184" t="n">
        <f aca="false">F45</f>
        <v>0</v>
      </c>
      <c r="G68" s="184" t="n">
        <f aca="false">G45</f>
        <v>0</v>
      </c>
      <c r="H68" s="184" t="n">
        <f aca="false">H45</f>
        <v>0</v>
      </c>
      <c r="I68" s="184" t="n">
        <f aca="false">I45</f>
        <v>0</v>
      </c>
      <c r="J68" s="184" t="n">
        <f aca="false">J45</f>
        <v>0</v>
      </c>
      <c r="K68" s="184" t="n">
        <f aca="false">K45</f>
        <v>0</v>
      </c>
      <c r="L68" s="184" t="n">
        <f aca="false">L45</f>
        <v>0</v>
      </c>
      <c r="M68" s="184" t="n">
        <f aca="false">M45</f>
        <v>0</v>
      </c>
      <c r="N68" s="184" t="n">
        <f aca="false">N45</f>
        <v>0</v>
      </c>
      <c r="O68" s="184" t="n">
        <f aca="false">O45</f>
        <v>0</v>
      </c>
      <c r="P68" s="184" t="n">
        <f aca="false">P45</f>
        <v>0</v>
      </c>
      <c r="Q68" s="184" t="n">
        <f aca="false">Q45</f>
        <v>0</v>
      </c>
      <c r="R68" s="184" t="n">
        <f aca="false">R45</f>
        <v>0</v>
      </c>
      <c r="S68" s="184" t="n">
        <f aca="false">S45</f>
        <v>0</v>
      </c>
      <c r="T68" s="184" t="n">
        <f aca="false">T45</f>
        <v>0</v>
      </c>
      <c r="U68" s="184" t="n">
        <f aca="false">U45</f>
        <v>0</v>
      </c>
      <c r="V68" s="184" t="n">
        <f aca="false">V45</f>
        <v>0</v>
      </c>
      <c r="W68" s="184" t="n">
        <f aca="false">W45</f>
        <v>0</v>
      </c>
      <c r="X68" s="177"/>
    </row>
    <row r="69" customFormat="false" ht="18.75" hidden="false" customHeight="true" outlineLevel="0" collapsed="false">
      <c r="B69" s="182" t="s">
        <v>58</v>
      </c>
      <c r="C69" s="174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7"/>
    </row>
    <row r="70" customFormat="false" ht="18.75" hidden="false" customHeight="true" outlineLevel="0" collapsed="false">
      <c r="B70" s="182" t="s">
        <v>59</v>
      </c>
      <c r="C70" s="174" t="s">
        <v>3</v>
      </c>
      <c r="D70" s="184" t="n">
        <f aca="false">-D109*$D25</f>
        <v>-396728.6428</v>
      </c>
      <c r="E70" s="184" t="n">
        <f aca="false">-E109*$D25</f>
        <v>-396728.6428</v>
      </c>
      <c r="F70" s="184" t="n">
        <f aca="false">-F109*$D25</f>
        <v>-396728.6428</v>
      </c>
      <c r="G70" s="184" t="n">
        <f aca="false">-G109*$D25</f>
        <v>-396728.6428</v>
      </c>
      <c r="H70" s="184" t="n">
        <f aca="false">-H109*$D25</f>
        <v>-396728.6428</v>
      </c>
      <c r="I70" s="184" t="n">
        <f aca="false">-I109*$D25</f>
        <v>-396728.6428</v>
      </c>
      <c r="J70" s="184" t="n">
        <f aca="false">-J109*$D25</f>
        <v>-396728.6428</v>
      </c>
      <c r="K70" s="184" t="n">
        <f aca="false">-K109*$D25</f>
        <v>-396728.6428</v>
      </c>
      <c r="L70" s="184" t="n">
        <f aca="false">-L109*$D25</f>
        <v>-396728.6428</v>
      </c>
      <c r="M70" s="184" t="n">
        <f aca="false">-M109*$D25</f>
        <v>-396728.6428</v>
      </c>
      <c r="N70" s="184" t="n">
        <f aca="false">-N109*$D25</f>
        <v>-396728.6428</v>
      </c>
      <c r="O70" s="184" t="n">
        <f aca="false">-O109*$D25</f>
        <v>-396728.6428</v>
      </c>
      <c r="P70" s="184" t="n">
        <f aca="false">-P109*$D25</f>
        <v>-396728.6428</v>
      </c>
      <c r="Q70" s="184" t="n">
        <f aca="false">-Q109*$D25</f>
        <v>-396728.6428</v>
      </c>
      <c r="R70" s="184" t="n">
        <f aca="false">-R109*$D25</f>
        <v>-396728.6428</v>
      </c>
      <c r="S70" s="184" t="n">
        <f aca="false">-S109*$D25</f>
        <v>-396728.6428</v>
      </c>
      <c r="T70" s="184" t="n">
        <f aca="false">-T109*$D25</f>
        <v>-396728.6428</v>
      </c>
      <c r="U70" s="184" t="n">
        <f aca="false">-U109*$D25</f>
        <v>-396728.6428</v>
      </c>
      <c r="V70" s="184" t="n">
        <f aca="false">-V109*$D25</f>
        <v>-396728.6428</v>
      </c>
      <c r="W70" s="184" t="n">
        <f aca="false">-W109*$D25</f>
        <v>-396728.6428</v>
      </c>
      <c r="X70" s="177"/>
    </row>
    <row r="71" customFormat="false" ht="18.75" hidden="false" customHeight="true" outlineLevel="0" collapsed="false">
      <c r="B71" s="182" t="s">
        <v>60</v>
      </c>
      <c r="C71" s="174" t="s">
        <v>3</v>
      </c>
      <c r="D71" s="184" t="n">
        <f aca="false">D48</f>
        <v>0</v>
      </c>
      <c r="E71" s="184" t="n">
        <f aca="false">E48</f>
        <v>0</v>
      </c>
      <c r="F71" s="184" t="n">
        <f aca="false">F48</f>
        <v>0</v>
      </c>
      <c r="G71" s="184" t="n">
        <f aca="false">G48</f>
        <v>0</v>
      </c>
      <c r="H71" s="184" t="n">
        <f aca="false">H48</f>
        <v>0</v>
      </c>
      <c r="I71" s="184" t="n">
        <f aca="false">I48</f>
        <v>0</v>
      </c>
      <c r="J71" s="184" t="n">
        <f aca="false">J48</f>
        <v>0</v>
      </c>
      <c r="K71" s="184" t="n">
        <f aca="false">K48</f>
        <v>0</v>
      </c>
      <c r="L71" s="184" t="n">
        <f aca="false">L48</f>
        <v>0</v>
      </c>
      <c r="M71" s="184" t="n">
        <f aca="false">M48</f>
        <v>0</v>
      </c>
      <c r="N71" s="184" t="n">
        <f aca="false">N48</f>
        <v>0</v>
      </c>
      <c r="O71" s="184" t="n">
        <f aca="false">O48</f>
        <v>0</v>
      </c>
      <c r="P71" s="184" t="n">
        <f aca="false">P48</f>
        <v>0</v>
      </c>
      <c r="Q71" s="184" t="n">
        <f aca="false">Q48</f>
        <v>0</v>
      </c>
      <c r="R71" s="184" t="n">
        <f aca="false">R48</f>
        <v>0</v>
      </c>
      <c r="S71" s="184" t="n">
        <f aca="false">S48</f>
        <v>0</v>
      </c>
      <c r="T71" s="184" t="n">
        <f aca="false">T48</f>
        <v>0</v>
      </c>
      <c r="U71" s="184" t="n">
        <f aca="false">U48</f>
        <v>0</v>
      </c>
      <c r="V71" s="184" t="n">
        <f aca="false">V48</f>
        <v>0</v>
      </c>
      <c r="W71" s="184" t="n">
        <f aca="false">W48</f>
        <v>0</v>
      </c>
      <c r="X71" s="177"/>
    </row>
    <row r="72" customFormat="false" ht="18.75" hidden="false" customHeight="true" outlineLevel="0" collapsed="false">
      <c r="B72" s="182" t="s">
        <v>61</v>
      </c>
      <c r="C72" s="174" t="s">
        <v>3</v>
      </c>
      <c r="D72" s="184" t="n">
        <f aca="false">D49</f>
        <v>0</v>
      </c>
      <c r="E72" s="184" t="n">
        <f aca="false">E49</f>
        <v>0</v>
      </c>
      <c r="F72" s="184" t="n">
        <f aca="false">F49</f>
        <v>0</v>
      </c>
      <c r="G72" s="184" t="n">
        <f aca="false">G49</f>
        <v>0</v>
      </c>
      <c r="H72" s="184" t="n">
        <f aca="false">H49</f>
        <v>0</v>
      </c>
      <c r="I72" s="184" t="n">
        <f aca="false">I49</f>
        <v>0</v>
      </c>
      <c r="J72" s="184" t="n">
        <f aca="false">J49</f>
        <v>0</v>
      </c>
      <c r="K72" s="184" t="n">
        <f aca="false">K49</f>
        <v>0</v>
      </c>
      <c r="L72" s="184" t="n">
        <f aca="false">L49</f>
        <v>0</v>
      </c>
      <c r="M72" s="184" t="n">
        <f aca="false">M49</f>
        <v>0</v>
      </c>
      <c r="N72" s="184" t="n">
        <f aca="false">N49</f>
        <v>0</v>
      </c>
      <c r="O72" s="184" t="n">
        <f aca="false">O49</f>
        <v>0</v>
      </c>
      <c r="P72" s="184" t="n">
        <f aca="false">P49</f>
        <v>0</v>
      </c>
      <c r="Q72" s="184" t="n">
        <f aca="false">Q49</f>
        <v>0</v>
      </c>
      <c r="R72" s="184" t="n">
        <f aca="false">R49</f>
        <v>0</v>
      </c>
      <c r="S72" s="184" t="n">
        <f aca="false">S49</f>
        <v>0</v>
      </c>
      <c r="T72" s="184" t="n">
        <f aca="false">T49</f>
        <v>0</v>
      </c>
      <c r="U72" s="184" t="n">
        <f aca="false">U49</f>
        <v>0</v>
      </c>
      <c r="V72" s="184" t="n">
        <f aca="false">V49</f>
        <v>0</v>
      </c>
      <c r="W72" s="184" t="n">
        <f aca="false">W49</f>
        <v>0</v>
      </c>
      <c r="X72" s="177"/>
    </row>
    <row r="73" customFormat="false" ht="18.75" hidden="false" customHeight="true" outlineLevel="0" collapsed="false">
      <c r="B73" s="182" t="s">
        <v>62</v>
      </c>
      <c r="C73" s="174"/>
      <c r="D73" s="184" t="n">
        <f aca="false">D50</f>
        <v>0</v>
      </c>
      <c r="E73" s="184" t="n">
        <f aca="false">E50</f>
        <v>0</v>
      </c>
      <c r="F73" s="184" t="n">
        <f aca="false">F50</f>
        <v>0</v>
      </c>
      <c r="G73" s="184" t="n">
        <f aca="false">G50</f>
        <v>0</v>
      </c>
      <c r="H73" s="184" t="n">
        <f aca="false">H50</f>
        <v>0</v>
      </c>
      <c r="I73" s="184" t="n">
        <f aca="false">I50</f>
        <v>0</v>
      </c>
      <c r="J73" s="184" t="n">
        <f aca="false">J50</f>
        <v>0</v>
      </c>
      <c r="K73" s="184" t="n">
        <f aca="false">K50</f>
        <v>0</v>
      </c>
      <c r="L73" s="184" t="n">
        <f aca="false">L50</f>
        <v>0</v>
      </c>
      <c r="M73" s="184" t="n">
        <f aca="false">M50</f>
        <v>0</v>
      </c>
      <c r="N73" s="184" t="n">
        <f aca="false">N50</f>
        <v>0</v>
      </c>
      <c r="O73" s="184" t="n">
        <f aca="false">O50</f>
        <v>0</v>
      </c>
      <c r="P73" s="184" t="n">
        <f aca="false">P50</f>
        <v>0</v>
      </c>
      <c r="Q73" s="184" t="n">
        <f aca="false">Q50</f>
        <v>0</v>
      </c>
      <c r="R73" s="184" t="n">
        <f aca="false">R50</f>
        <v>0</v>
      </c>
      <c r="S73" s="184" t="n">
        <f aca="false">S50</f>
        <v>0</v>
      </c>
      <c r="T73" s="184" t="n">
        <f aca="false">T50</f>
        <v>0</v>
      </c>
      <c r="U73" s="184" t="n">
        <f aca="false">U50</f>
        <v>0</v>
      </c>
      <c r="V73" s="184" t="n">
        <f aca="false">V50</f>
        <v>0</v>
      </c>
      <c r="W73" s="184" t="n">
        <f aca="false">W50</f>
        <v>0</v>
      </c>
      <c r="X73" s="177"/>
    </row>
    <row r="74" customFormat="false" ht="18.75" hidden="false" customHeight="true" outlineLevel="0" collapsed="false">
      <c r="B74" s="182" t="s">
        <v>63</v>
      </c>
      <c r="C74" s="185"/>
      <c r="D74" s="206"/>
      <c r="E74" s="207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7"/>
    </row>
    <row r="75" customFormat="false" ht="18.75" hidden="false" customHeight="true" outlineLevel="0" collapsed="false">
      <c r="B75" s="182" t="s">
        <v>64</v>
      </c>
      <c r="C75" s="18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7"/>
    </row>
    <row r="76" customFormat="false" ht="18.75" hidden="false" customHeight="true" outlineLevel="0" collapsed="false">
      <c r="B76" s="187" t="s">
        <v>121</v>
      </c>
      <c r="C76" s="208"/>
      <c r="D76" s="189" t="n">
        <f aca="false">SUM(D64:D75)</f>
        <v>646405.969296</v>
      </c>
      <c r="E76" s="189" t="n">
        <f aca="false">SUM(E64:E75)</f>
        <v>638277.0819744</v>
      </c>
      <c r="F76" s="189" t="n">
        <f aca="false">SUM(F64:F75)</f>
        <v>630148.1946528</v>
      </c>
      <c r="G76" s="189" t="n">
        <f aca="false">SUM(G64:G75)</f>
        <v>622019.3073312</v>
      </c>
      <c r="H76" s="189" t="n">
        <f aca="false">SUM(H64:H75)</f>
        <v>613890.4200096</v>
      </c>
      <c r="I76" s="189" t="n">
        <f aca="false">SUM(I64:I75)</f>
        <v>605761.532688</v>
      </c>
      <c r="J76" s="189" t="n">
        <f aca="false">SUM(J64:J75)</f>
        <v>597632.6453664</v>
      </c>
      <c r="K76" s="189" t="n">
        <f aca="false">SUM(K64:K75)</f>
        <v>589503.7580448</v>
      </c>
      <c r="L76" s="189" t="n">
        <f aca="false">SUM(L64:L75)</f>
        <v>581374.8707232</v>
      </c>
      <c r="M76" s="189" t="n">
        <f aca="false">SUM(M64:M75)</f>
        <v>573245.9834016</v>
      </c>
      <c r="N76" s="189" t="n">
        <f aca="false">SUM(N64:N75)</f>
        <v>565117.09608</v>
      </c>
      <c r="O76" s="189" t="n">
        <f aca="false">SUM(O64:O75)</f>
        <v>556988.2087584</v>
      </c>
      <c r="P76" s="189" t="n">
        <f aca="false">SUM(P64:P75)</f>
        <v>548859.3214368</v>
      </c>
      <c r="Q76" s="189" t="n">
        <f aca="false">SUM(Q64:Q75)</f>
        <v>540730.4341152</v>
      </c>
      <c r="R76" s="189" t="n">
        <f aca="false">SUM(R64:R75)</f>
        <v>532601.5467936</v>
      </c>
      <c r="S76" s="189" t="n">
        <f aca="false">SUM(S64:S75)</f>
        <v>524472.659472</v>
      </c>
      <c r="T76" s="189" t="n">
        <f aca="false">SUM(T64:T75)</f>
        <v>516343.772150399</v>
      </c>
      <c r="U76" s="189" t="n">
        <f aca="false">SUM(U64:U75)</f>
        <v>508214.8848288</v>
      </c>
      <c r="V76" s="189" t="n">
        <f aca="false">SUM(V64:V75)</f>
        <v>500085.997507199</v>
      </c>
      <c r="W76" s="189" t="n">
        <f aca="false">SUM(W64:W75)</f>
        <v>491957.1101856</v>
      </c>
      <c r="X76" s="189" t="n">
        <f aca="false">SUM(X64:X75)</f>
        <v>0</v>
      </c>
    </row>
    <row r="77" customFormat="false" ht="18.75" hidden="false" customHeight="true" outlineLevel="0" collapsed="false">
      <c r="B77" s="186" t="s">
        <v>66</v>
      </c>
      <c r="C77" s="185"/>
      <c r="D77" s="184" t="n">
        <f aca="false">-D76*0.2</f>
        <v>-129281.1938592</v>
      </c>
      <c r="E77" s="184" t="n">
        <f aca="false">-E76*0.2</f>
        <v>-127655.41639488</v>
      </c>
      <c r="F77" s="184" t="n">
        <f aca="false">-F76*0.2</f>
        <v>-126029.63893056</v>
      </c>
      <c r="G77" s="184" t="n">
        <f aca="false">-G76*0.2</f>
        <v>-124403.86146624</v>
      </c>
      <c r="H77" s="184" t="n">
        <f aca="false">-H76*0.2</f>
        <v>-122778.08400192</v>
      </c>
      <c r="I77" s="184" t="n">
        <f aca="false">-I76*0.2</f>
        <v>-121152.3065376</v>
      </c>
      <c r="J77" s="184" t="n">
        <f aca="false">-J76*0.2</f>
        <v>-119526.52907328</v>
      </c>
      <c r="K77" s="184" t="n">
        <f aca="false">-K76*0.2</f>
        <v>-117900.75160896</v>
      </c>
      <c r="L77" s="184" t="n">
        <f aca="false">-L76*0.2</f>
        <v>-116274.97414464</v>
      </c>
      <c r="M77" s="184" t="n">
        <f aca="false">-M76*0.2</f>
        <v>-114649.19668032</v>
      </c>
      <c r="N77" s="184" t="n">
        <f aca="false">-N76*0.2</f>
        <v>-113023.419216</v>
      </c>
      <c r="O77" s="184" t="n">
        <f aca="false">-O76*0.2</f>
        <v>-111397.64175168</v>
      </c>
      <c r="P77" s="184" t="n">
        <f aca="false">-P76*0.2</f>
        <v>-109771.86428736</v>
      </c>
      <c r="Q77" s="184" t="n">
        <f aca="false">-Q76*0.2</f>
        <v>-108146.08682304</v>
      </c>
      <c r="R77" s="184" t="n">
        <f aca="false">-R76*0.2</f>
        <v>-106520.30935872</v>
      </c>
      <c r="S77" s="184" t="n">
        <f aca="false">-S76*0.2</f>
        <v>-104894.5318944</v>
      </c>
      <c r="T77" s="184" t="n">
        <f aca="false">-T76*0.2</f>
        <v>-103268.75443008</v>
      </c>
      <c r="U77" s="184" t="n">
        <f aca="false">-U76*0.2</f>
        <v>-101642.97696576</v>
      </c>
      <c r="V77" s="184" t="n">
        <f aca="false">-V76*0.2</f>
        <v>-100017.19950144</v>
      </c>
      <c r="W77" s="184" t="n">
        <f aca="false">-W76*0.2</f>
        <v>-98391.4220371199</v>
      </c>
      <c r="X77" s="184" t="n">
        <f aca="false">-X76*0.2</f>
        <v>-0</v>
      </c>
    </row>
    <row r="78" customFormat="false" ht="15" hidden="false" customHeight="false" outlineLevel="0" collapsed="false">
      <c r="B78" s="209" t="s">
        <v>76</v>
      </c>
      <c r="D78" s="184" t="n">
        <f aca="false">SUM(D76:D77)</f>
        <v>517124.7754368</v>
      </c>
      <c r="E78" s="184" t="n">
        <f aca="false">SUM(E76:E77)</f>
        <v>510621.66557952</v>
      </c>
      <c r="F78" s="184" t="n">
        <f aca="false">SUM(F76:F77)</f>
        <v>504118.55572224</v>
      </c>
      <c r="G78" s="184" t="n">
        <f aca="false">SUM(G76:G77)</f>
        <v>497615.44586496</v>
      </c>
      <c r="H78" s="184" t="n">
        <f aca="false">SUM(H76:H77)</f>
        <v>491112.33600768</v>
      </c>
      <c r="I78" s="184" t="n">
        <f aca="false">SUM(I76:I77)</f>
        <v>484609.2261504</v>
      </c>
      <c r="J78" s="184" t="n">
        <f aca="false">SUM(J76:J77)</f>
        <v>478106.11629312</v>
      </c>
      <c r="K78" s="184" t="n">
        <f aca="false">SUM(K76:K77)</f>
        <v>471603.00643584</v>
      </c>
      <c r="L78" s="184" t="n">
        <f aca="false">SUM(L76:L77)</f>
        <v>465099.89657856</v>
      </c>
      <c r="M78" s="184" t="n">
        <f aca="false">SUM(M76:M77)</f>
        <v>458596.78672128</v>
      </c>
      <c r="N78" s="184" t="n">
        <f aca="false">SUM(N76:N77)</f>
        <v>452093.676864</v>
      </c>
      <c r="O78" s="184" t="n">
        <f aca="false">SUM(O76:O77)</f>
        <v>445590.56700672</v>
      </c>
      <c r="P78" s="184" t="n">
        <f aca="false">SUM(P76:P77)</f>
        <v>439087.45714944</v>
      </c>
      <c r="Q78" s="184" t="n">
        <f aca="false">SUM(Q76:Q77)</f>
        <v>432584.34729216</v>
      </c>
      <c r="R78" s="184" t="n">
        <f aca="false">SUM(R76:R77)</f>
        <v>426081.23743488</v>
      </c>
      <c r="S78" s="184" t="n">
        <f aca="false">SUM(S76:S77)</f>
        <v>419578.1275776</v>
      </c>
      <c r="T78" s="184" t="n">
        <f aca="false">SUM(T76:T77)</f>
        <v>413075.017720319</v>
      </c>
      <c r="U78" s="184" t="n">
        <f aca="false">SUM(U76:U77)</f>
        <v>406571.90786304</v>
      </c>
      <c r="V78" s="184" t="n">
        <f aca="false">SUM(V76:V77)</f>
        <v>400068.79800576</v>
      </c>
      <c r="W78" s="184" t="n">
        <f aca="false">SUM(W76:W77)</f>
        <v>393565.68814848</v>
      </c>
      <c r="X78" s="184" t="n">
        <f aca="false">SUM(X76:X77)</f>
        <v>0</v>
      </c>
    </row>
    <row r="79" customFormat="false" ht="18.75" hidden="false" customHeight="true" outlineLevel="0" collapsed="false">
      <c r="B79" s="193" t="s">
        <v>68</v>
      </c>
      <c r="C79" s="196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1"/>
    </row>
    <row r="80" customFormat="false" ht="18.75" hidden="false" customHeight="true" outlineLevel="0" collapsed="false">
      <c r="B80" s="212" t="s">
        <v>74</v>
      </c>
      <c r="C80" s="213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5"/>
    </row>
    <row r="81" customFormat="false" ht="18.75" hidden="false" customHeight="true" outlineLevel="0" collapsed="false">
      <c r="B81" s="202"/>
      <c r="C81" s="201"/>
      <c r="D81" s="201"/>
      <c r="E81" s="201"/>
      <c r="F81" s="202"/>
      <c r="G81" s="202"/>
      <c r="H81" s="202"/>
      <c r="I81" s="202"/>
      <c r="J81" s="202"/>
      <c r="K81" s="202"/>
      <c r="L81" s="202"/>
      <c r="M81" s="201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</row>
    <row r="82" customFormat="false" ht="18.75" hidden="false" customHeight="true" outlineLevel="0" collapsed="false">
      <c r="C82" s="216" t="s">
        <v>48</v>
      </c>
      <c r="D82" s="217" t="n">
        <f aca="false">D37</f>
        <v>2020</v>
      </c>
      <c r="E82" s="217" t="n">
        <f aca="false">E37</f>
        <v>2021</v>
      </c>
      <c r="F82" s="217" t="n">
        <f aca="false">F37</f>
        <v>2022</v>
      </c>
      <c r="G82" s="217" t="n">
        <f aca="false">G37</f>
        <v>2023</v>
      </c>
      <c r="H82" s="217" t="n">
        <f aca="false">H37</f>
        <v>2024</v>
      </c>
      <c r="I82" s="217" t="n">
        <f aca="false">I37</f>
        <v>2025</v>
      </c>
      <c r="J82" s="217" t="n">
        <f aca="false">J37</f>
        <v>2026</v>
      </c>
      <c r="K82" s="217" t="n">
        <f aca="false">K37</f>
        <v>2027</v>
      </c>
      <c r="L82" s="217" t="n">
        <f aca="false">L37</f>
        <v>2028</v>
      </c>
      <c r="M82" s="217" t="n">
        <f aca="false">M37</f>
        <v>2029</v>
      </c>
      <c r="N82" s="217" t="n">
        <f aca="false">N37</f>
        <v>2030</v>
      </c>
      <c r="O82" s="217" t="n">
        <f aca="false">O37</f>
        <v>2031</v>
      </c>
      <c r="P82" s="217" t="n">
        <f aca="false">P37</f>
        <v>2032</v>
      </c>
      <c r="Q82" s="217" t="n">
        <f aca="false">Q37</f>
        <v>2033</v>
      </c>
      <c r="R82" s="217" t="n">
        <f aca="false">R37</f>
        <v>2034</v>
      </c>
      <c r="S82" s="217" t="n">
        <f aca="false">S37</f>
        <v>2035</v>
      </c>
      <c r="T82" s="217" t="n">
        <f aca="false">T37</f>
        <v>2036</v>
      </c>
      <c r="U82" s="217" t="n">
        <f aca="false">U37</f>
        <v>2037</v>
      </c>
      <c r="V82" s="217" t="n">
        <f aca="false">V37</f>
        <v>2038</v>
      </c>
      <c r="W82" s="217" t="n">
        <f aca="false">W37</f>
        <v>2039</v>
      </c>
      <c r="X82" s="72"/>
    </row>
    <row r="83" customFormat="false" ht="18.75" hidden="false" customHeight="true" outlineLevel="0" collapsed="false">
      <c r="X83" s="135"/>
    </row>
    <row r="84" customFormat="false" ht="18.75" hidden="false" customHeight="true" outlineLevel="0" collapsed="false">
      <c r="B84" s="218" t="s">
        <v>51</v>
      </c>
      <c r="C84" s="218" t="n">
        <v>0</v>
      </c>
      <c r="D84" s="218" t="n">
        <v>1</v>
      </c>
      <c r="E84" s="218" t="n">
        <v>2</v>
      </c>
      <c r="F84" s="218" t="n">
        <v>3</v>
      </c>
      <c r="G84" s="218" t="n">
        <v>4</v>
      </c>
      <c r="H84" s="218" t="n">
        <v>5</v>
      </c>
      <c r="I84" s="218" t="n">
        <v>6</v>
      </c>
      <c r="J84" s="218" t="n">
        <v>7</v>
      </c>
      <c r="K84" s="218" t="n">
        <v>8</v>
      </c>
      <c r="L84" s="218" t="n">
        <v>9</v>
      </c>
      <c r="M84" s="218" t="n">
        <v>10</v>
      </c>
      <c r="N84" s="218" t="n">
        <v>11</v>
      </c>
      <c r="O84" s="218" t="n">
        <v>12</v>
      </c>
      <c r="P84" s="218" t="n">
        <v>13</v>
      </c>
      <c r="Q84" s="218" t="n">
        <v>14</v>
      </c>
      <c r="R84" s="218" t="n">
        <v>15</v>
      </c>
      <c r="S84" s="218" t="n">
        <v>16</v>
      </c>
      <c r="T84" s="218" t="n">
        <v>17</v>
      </c>
      <c r="U84" s="218" t="n">
        <v>18</v>
      </c>
      <c r="V84" s="218" t="n">
        <v>19</v>
      </c>
      <c r="W84" s="218" t="n">
        <v>20</v>
      </c>
      <c r="X84" s="103"/>
    </row>
    <row r="85" customFormat="false" ht="18.75" hidden="false" customHeight="true" outlineLevel="0" collapsed="false">
      <c r="B85" s="219" t="s">
        <v>76</v>
      </c>
      <c r="C85" s="219"/>
      <c r="D85" s="220" t="n">
        <f aca="false">D78</f>
        <v>517124.7754368</v>
      </c>
      <c r="E85" s="220" t="n">
        <f aca="false">E78</f>
        <v>510621.66557952</v>
      </c>
      <c r="F85" s="220" t="n">
        <f aca="false">F78</f>
        <v>504118.55572224</v>
      </c>
      <c r="G85" s="220" t="n">
        <f aca="false">G78</f>
        <v>497615.44586496</v>
      </c>
      <c r="H85" s="220" t="n">
        <f aca="false">H78</f>
        <v>491112.33600768</v>
      </c>
      <c r="I85" s="220" t="n">
        <f aca="false">I78</f>
        <v>484609.2261504</v>
      </c>
      <c r="J85" s="220" t="n">
        <f aca="false">J78</f>
        <v>478106.11629312</v>
      </c>
      <c r="K85" s="220" t="n">
        <f aca="false">K78</f>
        <v>471603.00643584</v>
      </c>
      <c r="L85" s="220" t="n">
        <f aca="false">L78</f>
        <v>465099.89657856</v>
      </c>
      <c r="M85" s="220" t="n">
        <f aca="false">M78</f>
        <v>458596.78672128</v>
      </c>
      <c r="N85" s="220" t="n">
        <f aca="false">N78</f>
        <v>452093.676864</v>
      </c>
      <c r="O85" s="220" t="n">
        <f aca="false">O78</f>
        <v>445590.56700672</v>
      </c>
      <c r="P85" s="220" t="n">
        <f aca="false">P78</f>
        <v>439087.45714944</v>
      </c>
      <c r="Q85" s="220" t="n">
        <f aca="false">Q78</f>
        <v>432584.34729216</v>
      </c>
      <c r="R85" s="220" t="n">
        <f aca="false">R78</f>
        <v>426081.23743488</v>
      </c>
      <c r="S85" s="220" t="n">
        <f aca="false">S78</f>
        <v>419578.1275776</v>
      </c>
      <c r="T85" s="220" t="n">
        <f aca="false">T78</f>
        <v>413075.017720319</v>
      </c>
      <c r="U85" s="220" t="n">
        <f aca="false">U78</f>
        <v>406571.90786304</v>
      </c>
      <c r="V85" s="220" t="n">
        <f aca="false">V78</f>
        <v>400068.79800576</v>
      </c>
      <c r="W85" s="220" t="n">
        <f aca="false">W78</f>
        <v>393565.68814848</v>
      </c>
      <c r="X85" s="219"/>
      <c r="Y85" s="219"/>
    </row>
    <row r="86" customFormat="false" ht="15" hidden="false" customHeight="false" outlineLevel="0" collapsed="false">
      <c r="B86" s="219" t="s">
        <v>77</v>
      </c>
      <c r="C86" s="219"/>
      <c r="D86" s="221" t="n">
        <f aca="false">-D67</f>
        <v>968765</v>
      </c>
      <c r="E86" s="221" t="n">
        <f aca="false">-E67</f>
        <v>968765</v>
      </c>
      <c r="F86" s="221" t="n">
        <f aca="false">-F67</f>
        <v>968765</v>
      </c>
      <c r="G86" s="221" t="n">
        <f aca="false">-G67</f>
        <v>968765</v>
      </c>
      <c r="H86" s="221" t="n">
        <f aca="false">-H67</f>
        <v>968765</v>
      </c>
      <c r="I86" s="221" t="n">
        <f aca="false">-I67</f>
        <v>968765</v>
      </c>
      <c r="J86" s="221" t="n">
        <f aca="false">-J67</f>
        <v>968765</v>
      </c>
      <c r="K86" s="221" t="n">
        <f aca="false">-K67</f>
        <v>968765</v>
      </c>
      <c r="L86" s="221" t="n">
        <f aca="false">-L67</f>
        <v>968765</v>
      </c>
      <c r="M86" s="221" t="n">
        <f aca="false">-M67</f>
        <v>968765</v>
      </c>
      <c r="N86" s="221" t="n">
        <f aca="false">-N67</f>
        <v>968765</v>
      </c>
      <c r="O86" s="221" t="n">
        <f aca="false">-O67</f>
        <v>968765</v>
      </c>
      <c r="P86" s="221" t="n">
        <f aca="false">-P67</f>
        <v>968765</v>
      </c>
      <c r="Q86" s="221" t="n">
        <f aca="false">-Q67</f>
        <v>968765</v>
      </c>
      <c r="R86" s="221" t="n">
        <f aca="false">-R67</f>
        <v>968765</v>
      </c>
      <c r="S86" s="221" t="n">
        <f aca="false">-S67</f>
        <v>968765</v>
      </c>
      <c r="T86" s="221" t="n">
        <f aca="false">-T67</f>
        <v>968765</v>
      </c>
      <c r="U86" s="221" t="n">
        <f aca="false">-U67</f>
        <v>968765</v>
      </c>
      <c r="V86" s="221" t="n">
        <f aca="false">-V67</f>
        <v>968765</v>
      </c>
      <c r="W86" s="221" t="n">
        <f aca="false">-W67</f>
        <v>968765</v>
      </c>
      <c r="X86" s="222"/>
      <c r="Y86" s="222"/>
    </row>
    <row r="87" customFormat="false" ht="15" hidden="false" customHeight="false" outlineLevel="0" collapsed="false">
      <c r="B87" s="219" t="s">
        <v>78</v>
      </c>
      <c r="C87" s="219"/>
      <c r="D87" s="223" t="n">
        <f aca="false">SUM(D85:D86)</f>
        <v>1485889.7754368</v>
      </c>
      <c r="E87" s="223" t="n">
        <f aca="false">SUM(E85:E86)</f>
        <v>1479386.66557952</v>
      </c>
      <c r="F87" s="223" t="n">
        <f aca="false">SUM(F85:F86)</f>
        <v>1472883.55572224</v>
      </c>
      <c r="G87" s="223" t="n">
        <f aca="false">SUM(G85:G86)</f>
        <v>1466380.44586496</v>
      </c>
      <c r="H87" s="223" t="n">
        <f aca="false">SUM(H85:H86)</f>
        <v>1459877.33600768</v>
      </c>
      <c r="I87" s="223" t="n">
        <f aca="false">SUM(I85:I86)</f>
        <v>1453374.2261504</v>
      </c>
      <c r="J87" s="223" t="n">
        <f aca="false">SUM(J85:J86)</f>
        <v>1446871.11629312</v>
      </c>
      <c r="K87" s="223" t="n">
        <f aca="false">SUM(K85:K86)</f>
        <v>1440368.00643584</v>
      </c>
      <c r="L87" s="223" t="n">
        <f aca="false">SUM(L85:L86)</f>
        <v>1433864.89657856</v>
      </c>
      <c r="M87" s="223" t="n">
        <f aca="false">SUM(M85:M86)</f>
        <v>1427361.78672128</v>
      </c>
      <c r="N87" s="223" t="n">
        <f aca="false">SUM(N85:N86)</f>
        <v>1420858.676864</v>
      </c>
      <c r="O87" s="223" t="n">
        <f aca="false">SUM(O85:O86)</f>
        <v>1414355.56700672</v>
      </c>
      <c r="P87" s="223" t="n">
        <f aca="false">SUM(P85:P86)</f>
        <v>1407852.45714944</v>
      </c>
      <c r="Q87" s="223" t="n">
        <f aca="false">SUM(Q85:Q86)</f>
        <v>1401349.34729216</v>
      </c>
      <c r="R87" s="223" t="n">
        <f aca="false">SUM(R85:R86)</f>
        <v>1394846.23743488</v>
      </c>
      <c r="S87" s="223" t="n">
        <f aca="false">SUM(S85:S86)</f>
        <v>1388343.1275776</v>
      </c>
      <c r="T87" s="223" t="n">
        <f aca="false">SUM(T85:T86)</f>
        <v>1381840.01772032</v>
      </c>
      <c r="U87" s="223" t="n">
        <f aca="false">SUM(U85:U86)</f>
        <v>1375336.90786304</v>
      </c>
      <c r="V87" s="223" t="n">
        <f aca="false">SUM(V85:V86)</f>
        <v>1368833.79800576</v>
      </c>
      <c r="W87" s="223" t="n">
        <f aca="false">SUM(W85:W86)</f>
        <v>1362330.68814848</v>
      </c>
      <c r="X87" s="192"/>
    </row>
    <row r="88" customFormat="false" ht="15" hidden="false" customHeight="false" outlineLevel="0" collapsed="false">
      <c r="B88" s="219"/>
      <c r="C88" s="219"/>
      <c r="D88" s="219"/>
      <c r="E88" s="219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191"/>
    </row>
    <row r="89" customFormat="false" ht="17.15" hidden="false" customHeight="false" outlineLevel="0" collapsed="false">
      <c r="B89" s="225" t="s">
        <v>79</v>
      </c>
      <c r="C89" s="226"/>
      <c r="D89" s="227" t="n">
        <f aca="false">C44</f>
        <v>-19375300</v>
      </c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8"/>
    </row>
    <row r="90" customFormat="false" ht="15" hidden="false" customHeight="false" outlineLevel="0" collapsed="false">
      <c r="B90" s="219"/>
      <c r="C90" s="219"/>
      <c r="D90" s="219"/>
      <c r="E90" s="219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191"/>
    </row>
    <row r="91" customFormat="false" ht="15" hidden="false" customHeight="false" outlineLevel="0" collapsed="false">
      <c r="B91" s="219"/>
      <c r="C91" s="219"/>
      <c r="D91" s="219"/>
      <c r="E91" s="219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191"/>
    </row>
    <row r="92" customFormat="false" ht="17.15" hidden="false" customHeight="false" outlineLevel="0" collapsed="false">
      <c r="B92" s="225" t="s">
        <v>80</v>
      </c>
      <c r="C92" s="226"/>
      <c r="D92" s="227" t="n">
        <f aca="false">-D89*D31</f>
        <v>15500240</v>
      </c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191"/>
    </row>
    <row r="93" customFormat="false" ht="17.15" hidden="false" customHeight="false" outlineLevel="0" collapsed="false">
      <c r="B93" s="219" t="s">
        <v>81</v>
      </c>
      <c r="C93" s="21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8"/>
    </row>
    <row r="94" customFormat="false" ht="17.15" hidden="false" customHeight="false" outlineLevel="0" collapsed="false">
      <c r="B94" s="219" t="s">
        <v>82</v>
      </c>
      <c r="C94" s="224"/>
      <c r="D94" s="220" t="n">
        <f aca="false">-D89*(1-D31)</f>
        <v>3875060</v>
      </c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192"/>
    </row>
    <row r="95" customFormat="false" ht="15" hidden="false" customHeight="false" outlineLevel="0" collapsed="false">
      <c r="B95" s="219" t="s">
        <v>45</v>
      </c>
      <c r="C95" s="224"/>
      <c r="D95" s="224"/>
      <c r="E95" s="230" t="n">
        <f aca="false">-D85*$D$33</f>
        <v>-465412.29789312</v>
      </c>
      <c r="F95" s="230" t="n">
        <f aca="false">-E85*$D$33</f>
        <v>-459559.499021568</v>
      </c>
      <c r="G95" s="230" t="n">
        <f aca="false">-F85*$D$33</f>
        <v>-453706.700150016</v>
      </c>
      <c r="H95" s="230" t="n">
        <f aca="false">-G85*$D$33</f>
        <v>-447853.901278464</v>
      </c>
      <c r="I95" s="230" t="n">
        <f aca="false">-H85*$D$33</f>
        <v>-442001.102406912</v>
      </c>
      <c r="J95" s="230" t="n">
        <f aca="false">-I85*$D$33</f>
        <v>-436148.30353536</v>
      </c>
      <c r="K95" s="230" t="n">
        <f aca="false">-J85*$D$33</f>
        <v>-430295.504663808</v>
      </c>
      <c r="L95" s="230" t="n">
        <f aca="false">-K85*$D$33</f>
        <v>-424442.705792256</v>
      </c>
      <c r="M95" s="230" t="n">
        <f aca="false">-L85*$D$33</f>
        <v>-418589.906920704</v>
      </c>
      <c r="N95" s="230" t="n">
        <f aca="false">-M85*$D$33</f>
        <v>-412737.108049152</v>
      </c>
      <c r="O95" s="230" t="n">
        <f aca="false">-N85*$D$33</f>
        <v>-406884.3091776</v>
      </c>
      <c r="P95" s="230" t="n">
        <f aca="false">-O85*$D$33</f>
        <v>-401031.510306048</v>
      </c>
      <c r="Q95" s="230" t="n">
        <f aca="false">-P85*$D$33</f>
        <v>-395178.711434496</v>
      </c>
      <c r="R95" s="230" t="n">
        <f aca="false">-Q85*$D$33</f>
        <v>-389325.912562944</v>
      </c>
      <c r="S95" s="230" t="n">
        <f aca="false">-R85*$D$33</f>
        <v>-383473.113691392</v>
      </c>
      <c r="T95" s="230" t="n">
        <f aca="false">-S85*$D$33</f>
        <v>-377620.31481984</v>
      </c>
      <c r="U95" s="230" t="n">
        <f aca="false">-T85*$D$33</f>
        <v>-371767.515948288</v>
      </c>
      <c r="V95" s="230" t="n">
        <f aca="false">-U85*$D$33</f>
        <v>-365914.717076736</v>
      </c>
      <c r="W95" s="230" t="n">
        <f aca="false">-V85*$D$33</f>
        <v>-360061.918205184</v>
      </c>
      <c r="X95" s="230" t="n">
        <f aca="false">-W85*$D$33</f>
        <v>-354209.119333632</v>
      </c>
    </row>
    <row r="96" customFormat="false" ht="15" hidden="false" customHeight="false" outlineLevel="0" collapsed="false">
      <c r="B96" s="231" t="s">
        <v>47</v>
      </c>
      <c r="C96" s="232"/>
      <c r="D96" s="232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4" t="n">
        <f aca="false">-W101-X95</f>
        <v>-20285990.4635853</v>
      </c>
    </row>
    <row r="97" customFormat="false" ht="15" hidden="false" customHeight="false" outlineLevel="0" collapsed="false"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192"/>
    </row>
    <row r="98" customFormat="false" ht="15" hidden="false" customHeight="false" outlineLevel="0" collapsed="false"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192"/>
    </row>
    <row r="99" customFormat="false" ht="17.15" hidden="false" customHeight="false" outlineLevel="0" collapsed="false">
      <c r="B99" s="219" t="s">
        <v>83</v>
      </c>
      <c r="C99" s="220" t="n">
        <v>0</v>
      </c>
      <c r="D99" s="220" t="n">
        <f aca="false">SUM(D87:D96)</f>
        <v>1485889.7754368</v>
      </c>
      <c r="E99" s="220" t="n">
        <f aca="false">SUM(E87:E96)</f>
        <v>1013974.3676864</v>
      </c>
      <c r="F99" s="220" t="n">
        <f aca="false">SUM(F87:F96)</f>
        <v>1013324.05670067</v>
      </c>
      <c r="G99" s="220" t="n">
        <f aca="false">SUM(G87:G96)</f>
        <v>1012673.74571494</v>
      </c>
      <c r="H99" s="220" t="n">
        <f aca="false">SUM(H87:H96)</f>
        <v>1012023.43472922</v>
      </c>
      <c r="I99" s="220" t="n">
        <f aca="false">SUM(I87:I96)</f>
        <v>1011373.12374349</v>
      </c>
      <c r="J99" s="220" t="n">
        <f aca="false">SUM(J87:J96)</f>
        <v>1010722.81275776</v>
      </c>
      <c r="K99" s="220" t="n">
        <f aca="false">SUM(K87:K96)</f>
        <v>1010072.50177203</v>
      </c>
      <c r="L99" s="220" t="n">
        <f aca="false">SUM(L87:L96)</f>
        <v>1009422.1907863</v>
      </c>
      <c r="M99" s="220" t="n">
        <f aca="false">SUM(M87:M96)</f>
        <v>1008771.87980058</v>
      </c>
      <c r="N99" s="220" t="n">
        <f aca="false">SUM(N87:N96)</f>
        <v>1008121.56881485</v>
      </c>
      <c r="O99" s="220" t="n">
        <f aca="false">SUM(O87:O96)</f>
        <v>1007471.25782912</v>
      </c>
      <c r="P99" s="220" t="n">
        <f aca="false">SUM(P87:P96)</f>
        <v>1006820.94684339</v>
      </c>
      <c r="Q99" s="220" t="n">
        <f aca="false">SUM(Q87:Q96)</f>
        <v>1006170.63585766</v>
      </c>
      <c r="R99" s="220" t="n">
        <f aca="false">SUM(R87:R96)</f>
        <v>1005520.32487194</v>
      </c>
      <c r="S99" s="220" t="n">
        <f aca="false">SUM(S87:S96)</f>
        <v>1004870.01388621</v>
      </c>
      <c r="T99" s="220" t="n">
        <f aca="false">SUM(T87:T96)</f>
        <v>1004219.70290048</v>
      </c>
      <c r="U99" s="220" t="n">
        <f aca="false">SUM(U87:U96)</f>
        <v>1003569.39191475</v>
      </c>
      <c r="V99" s="220" t="n">
        <f aca="false">SUM(V87:V96)</f>
        <v>1002919.08092902</v>
      </c>
      <c r="W99" s="220" t="n">
        <f aca="false">SUM(W87:W96)</f>
        <v>1002268.7699433</v>
      </c>
      <c r="X99" s="192"/>
    </row>
    <row r="100" customFormat="false" ht="15" hidden="false" customHeight="false" outlineLevel="0" collapsed="false">
      <c r="B100" s="219" t="s">
        <v>84</v>
      </c>
      <c r="C100" s="220" t="n">
        <v>0</v>
      </c>
      <c r="D100" s="220" t="n">
        <f aca="false">C101</f>
        <v>0</v>
      </c>
      <c r="E100" s="220" t="n">
        <f aca="false">D101</f>
        <v>1485889.7754368</v>
      </c>
      <c r="F100" s="220" t="n">
        <f aca="false">E101</f>
        <v>2499864.1431232</v>
      </c>
      <c r="G100" s="220" t="n">
        <f aca="false">F101</f>
        <v>3513188.19982387</v>
      </c>
      <c r="H100" s="220" t="n">
        <f aca="false">G101</f>
        <v>4525861.94553882</v>
      </c>
      <c r="I100" s="220" t="n">
        <f aca="false">H101</f>
        <v>5537885.38026803</v>
      </c>
      <c r="J100" s="220" t="n">
        <f aca="false">I101</f>
        <v>6549258.50401152</v>
      </c>
      <c r="K100" s="220" t="n">
        <f aca="false">J101</f>
        <v>7559981.31676928</v>
      </c>
      <c r="L100" s="220" t="n">
        <f aca="false">K101</f>
        <v>8570053.81854131</v>
      </c>
      <c r="M100" s="220" t="n">
        <f aca="false">L101</f>
        <v>9579476.00932762</v>
      </c>
      <c r="N100" s="220" t="n">
        <f aca="false">M101</f>
        <v>10588247.8891282</v>
      </c>
      <c r="O100" s="220" t="n">
        <f aca="false">N101</f>
        <v>11596369.457943</v>
      </c>
      <c r="P100" s="220" t="n">
        <f aca="false">O101</f>
        <v>12603840.7157722</v>
      </c>
      <c r="Q100" s="220" t="n">
        <f aca="false">P101</f>
        <v>13610661.6626156</v>
      </c>
      <c r="R100" s="220" t="n">
        <f aca="false">Q101</f>
        <v>14616832.2984732</v>
      </c>
      <c r="S100" s="220" t="n">
        <f aca="false">R101</f>
        <v>15622352.6233452</v>
      </c>
      <c r="T100" s="220" t="n">
        <f aca="false">S101</f>
        <v>16627222.6372314</v>
      </c>
      <c r="U100" s="220" t="n">
        <f aca="false">T101</f>
        <v>17631442.3401318</v>
      </c>
      <c r="V100" s="220" t="n">
        <f aca="false">U101</f>
        <v>18635011.7320466</v>
      </c>
      <c r="W100" s="220" t="n">
        <f aca="false">V101</f>
        <v>19637930.8129756</v>
      </c>
      <c r="X100" s="191"/>
    </row>
    <row r="101" customFormat="false" ht="15" hidden="false" customHeight="false" outlineLevel="0" collapsed="false">
      <c r="B101" s="219" t="s">
        <v>85</v>
      </c>
      <c r="C101" s="220" t="n">
        <v>0</v>
      </c>
      <c r="D101" s="220" t="n">
        <f aca="false">D99+D100</f>
        <v>1485889.7754368</v>
      </c>
      <c r="E101" s="220" t="n">
        <f aca="false">E99+E100</f>
        <v>2499864.1431232</v>
      </c>
      <c r="F101" s="220" t="n">
        <f aca="false">F99+F100</f>
        <v>3513188.19982387</v>
      </c>
      <c r="G101" s="220" t="n">
        <f aca="false">G99+G100</f>
        <v>4525861.94553882</v>
      </c>
      <c r="H101" s="220" t="n">
        <f aca="false">H99+H100</f>
        <v>5537885.38026803</v>
      </c>
      <c r="I101" s="220" t="n">
        <f aca="false">I99+I100</f>
        <v>6549258.50401152</v>
      </c>
      <c r="J101" s="220" t="n">
        <f aca="false">J99+J100</f>
        <v>7559981.31676928</v>
      </c>
      <c r="K101" s="220" t="n">
        <f aca="false">K99+K100</f>
        <v>8570053.81854131</v>
      </c>
      <c r="L101" s="220" t="n">
        <f aca="false">L99+L100</f>
        <v>9579476.00932762</v>
      </c>
      <c r="M101" s="220" t="n">
        <f aca="false">M99+M100</f>
        <v>10588247.8891282</v>
      </c>
      <c r="N101" s="220" t="n">
        <f aca="false">N99+N100</f>
        <v>11596369.457943</v>
      </c>
      <c r="O101" s="220" t="n">
        <f aca="false">O99+O100</f>
        <v>12603840.7157722</v>
      </c>
      <c r="P101" s="220" t="n">
        <f aca="false">P99+P100</f>
        <v>13610661.6626156</v>
      </c>
      <c r="Q101" s="220" t="n">
        <f aca="false">Q99+Q100</f>
        <v>14616832.2984732</v>
      </c>
      <c r="R101" s="220" t="n">
        <f aca="false">R99+R100</f>
        <v>15622352.6233452</v>
      </c>
      <c r="S101" s="220" t="n">
        <f aca="false">S99+S100</f>
        <v>16627222.6372314</v>
      </c>
      <c r="T101" s="220" t="n">
        <f aca="false">T99+T100</f>
        <v>17631442.3401318</v>
      </c>
      <c r="U101" s="220" t="n">
        <f aca="false">U99+U100</f>
        <v>18635011.7320466</v>
      </c>
      <c r="V101" s="220" t="n">
        <f aca="false">V99+V100</f>
        <v>19637930.8129756</v>
      </c>
      <c r="W101" s="220" t="n">
        <f aca="false">W99+W100</f>
        <v>20640199.5829189</v>
      </c>
      <c r="X101" s="191"/>
    </row>
    <row r="102" customFormat="false" ht="15" hidden="false" customHeight="false" outlineLevel="0" collapsed="false"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</row>
    <row r="103" customFormat="false" ht="15" hidden="false" customHeight="false" outlineLevel="0" collapsed="false">
      <c r="B103" s="219"/>
      <c r="C103" s="219"/>
      <c r="D103" s="219"/>
      <c r="E103" s="219"/>
      <c r="F103" s="224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</row>
    <row r="104" customFormat="false" ht="15" hidden="false" customHeight="false" outlineLevel="0" collapsed="false">
      <c r="B104" s="235" t="s">
        <v>86</v>
      </c>
      <c r="C104" s="236"/>
      <c r="D104" s="237" t="n">
        <f aca="false">-D94</f>
        <v>-3875060</v>
      </c>
      <c r="E104" s="223" t="n">
        <f aca="false">-E95-E96</f>
        <v>465412.29789312</v>
      </c>
      <c r="F104" s="223" t="n">
        <f aca="false">-F95-F96</f>
        <v>459559.499021568</v>
      </c>
      <c r="G104" s="223" t="n">
        <f aca="false">-G95-G96</f>
        <v>453706.700150016</v>
      </c>
      <c r="H104" s="223" t="n">
        <f aca="false">-H95-H96</f>
        <v>447853.901278464</v>
      </c>
      <c r="I104" s="223" t="n">
        <f aca="false">-I95-I96</f>
        <v>442001.102406912</v>
      </c>
      <c r="J104" s="223" t="n">
        <f aca="false">-J95-J96</f>
        <v>436148.30353536</v>
      </c>
      <c r="K104" s="223" t="n">
        <f aca="false">-K95-K96</f>
        <v>430295.504663808</v>
      </c>
      <c r="L104" s="223" t="n">
        <f aca="false">-L95-L96</f>
        <v>424442.705792256</v>
      </c>
      <c r="M104" s="223" t="n">
        <f aca="false">-M95-M96</f>
        <v>418589.906920704</v>
      </c>
      <c r="N104" s="223" t="n">
        <f aca="false">-N95-N96</f>
        <v>412737.108049152</v>
      </c>
      <c r="O104" s="223" t="n">
        <f aca="false">-O95-O96</f>
        <v>406884.3091776</v>
      </c>
      <c r="P104" s="223" t="n">
        <f aca="false">-P95-P96</f>
        <v>401031.510306048</v>
      </c>
      <c r="Q104" s="223" t="n">
        <f aca="false">-Q95-Q96</f>
        <v>395178.711434496</v>
      </c>
      <c r="R104" s="223" t="n">
        <f aca="false">-R95-R96</f>
        <v>389325.912562944</v>
      </c>
      <c r="S104" s="223" t="n">
        <f aca="false">-S95-S96</f>
        <v>383473.113691392</v>
      </c>
      <c r="T104" s="223" t="n">
        <f aca="false">-T95-T96</f>
        <v>377620.31481984</v>
      </c>
      <c r="U104" s="223" t="n">
        <f aca="false">-U95-U96</f>
        <v>371767.515948288</v>
      </c>
      <c r="V104" s="223" t="n">
        <f aca="false">-V95-V96</f>
        <v>365914.717076736</v>
      </c>
      <c r="W104" s="223" t="n">
        <f aca="false">-W95-W96</f>
        <v>360061.918205184</v>
      </c>
      <c r="X104" s="223" t="n">
        <f aca="false">-X95-X96</f>
        <v>20640199.5829189</v>
      </c>
    </row>
    <row r="105" customFormat="false" ht="17.15" hidden="false" customHeight="false" outlineLevel="0" collapsed="false">
      <c r="B105" s="219" t="s">
        <v>87</v>
      </c>
      <c r="C105" s="238" t="n">
        <f aca="false">IRR(D104:X104)</f>
        <v>0.152298964558531</v>
      </c>
      <c r="D105" s="224"/>
      <c r="E105" s="224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</row>
    <row r="106" customFormat="false" ht="15" hidden="false" customHeight="false" outlineLevel="0" collapsed="false">
      <c r="B106" s="235" t="s">
        <v>88</v>
      </c>
      <c r="C106" s="236"/>
      <c r="D106" s="237" t="n">
        <f aca="false">D85-D94</f>
        <v>-3357935.2245632</v>
      </c>
      <c r="E106" s="223" t="n">
        <f aca="false">E85</f>
        <v>510621.66557952</v>
      </c>
      <c r="F106" s="223" t="n">
        <f aca="false">F85-F96</f>
        <v>504118.55572224</v>
      </c>
      <c r="G106" s="223" t="n">
        <f aca="false">G85-G96</f>
        <v>497615.44586496</v>
      </c>
      <c r="H106" s="223" t="n">
        <f aca="false">H85-H96</f>
        <v>491112.33600768</v>
      </c>
      <c r="I106" s="223" t="n">
        <f aca="false">I85-I96</f>
        <v>484609.2261504</v>
      </c>
      <c r="J106" s="223" t="n">
        <f aca="false">J85-J96</f>
        <v>478106.11629312</v>
      </c>
      <c r="K106" s="223" t="n">
        <f aca="false">K85-K96</f>
        <v>471603.00643584</v>
      </c>
      <c r="L106" s="223" t="n">
        <f aca="false">L85-L96</f>
        <v>465099.89657856</v>
      </c>
      <c r="M106" s="223" t="n">
        <f aca="false">M85-M96</f>
        <v>458596.78672128</v>
      </c>
      <c r="N106" s="223" t="n">
        <f aca="false">N85-N96</f>
        <v>452093.676864</v>
      </c>
      <c r="O106" s="223" t="n">
        <f aca="false">O85-O96</f>
        <v>445590.56700672</v>
      </c>
      <c r="P106" s="223" t="n">
        <f aca="false">P85-P96</f>
        <v>439087.45714944</v>
      </c>
      <c r="Q106" s="223" t="n">
        <f aca="false">Q85-Q96</f>
        <v>432584.34729216</v>
      </c>
      <c r="R106" s="223" t="n">
        <f aca="false">R85-R96</f>
        <v>426081.23743488</v>
      </c>
      <c r="S106" s="223" t="n">
        <f aca="false">S85-S96</f>
        <v>419578.1275776</v>
      </c>
      <c r="T106" s="223" t="n">
        <f aca="false">T85-T96</f>
        <v>413075.017720319</v>
      </c>
      <c r="U106" s="223" t="n">
        <f aca="false">U85-U96</f>
        <v>406571.90786304</v>
      </c>
      <c r="V106" s="223" t="n">
        <f aca="false">V85-V96</f>
        <v>400068.79800576</v>
      </c>
      <c r="W106" s="223" t="n">
        <f aca="false">W85-W96</f>
        <v>393565.68814848</v>
      </c>
      <c r="X106" s="228"/>
    </row>
    <row r="107" customFormat="false" ht="17.15" hidden="false" customHeight="false" outlineLevel="0" collapsed="false">
      <c r="B107" s="235" t="s">
        <v>89</v>
      </c>
      <c r="C107" s="239" t="n">
        <f aca="false">IRR(D106:W106)</f>
        <v>0.126300644636147</v>
      </c>
      <c r="D107" s="224"/>
      <c r="E107" s="224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</row>
    <row r="108" customFormat="false" ht="15" hidden="false" customHeight="false" outlineLevel="0" collapsed="false"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</row>
    <row r="109" customFormat="false" ht="15" hidden="false" customHeight="false" outlineLevel="0" collapsed="false">
      <c r="B109" s="219" t="s">
        <v>90</v>
      </c>
      <c r="C109" s="220" t="n">
        <v>0</v>
      </c>
      <c r="D109" s="220" t="n">
        <f aca="false">D92</f>
        <v>15500240</v>
      </c>
      <c r="E109" s="220" t="n">
        <f aca="false">D109+E93</f>
        <v>15500240</v>
      </c>
      <c r="F109" s="220" t="n">
        <f aca="false">E109+F93</f>
        <v>15500240</v>
      </c>
      <c r="G109" s="220" t="n">
        <f aca="false">F109+G93</f>
        <v>15500240</v>
      </c>
      <c r="H109" s="220" t="n">
        <f aca="false">G109+H93</f>
        <v>15500240</v>
      </c>
      <c r="I109" s="220" t="n">
        <f aca="false">H109+I93</f>
        <v>15500240</v>
      </c>
      <c r="J109" s="220" t="n">
        <f aca="false">I109+J93</f>
        <v>15500240</v>
      </c>
      <c r="K109" s="220" t="n">
        <f aca="false">J109+K93</f>
        <v>15500240</v>
      </c>
      <c r="L109" s="220" t="n">
        <f aca="false">K109+L93</f>
        <v>15500240</v>
      </c>
      <c r="M109" s="220" t="n">
        <f aca="false">L109+M93</f>
        <v>15500240</v>
      </c>
      <c r="N109" s="220" t="n">
        <f aca="false">M109+N93</f>
        <v>15500240</v>
      </c>
      <c r="O109" s="220" t="n">
        <f aca="false">N109+O93</f>
        <v>15500240</v>
      </c>
      <c r="P109" s="220" t="n">
        <f aca="false">O109+P93</f>
        <v>15500240</v>
      </c>
      <c r="Q109" s="220" t="n">
        <f aca="false">P109+Q93</f>
        <v>15500240</v>
      </c>
      <c r="R109" s="220" t="n">
        <f aca="false">Q109+R93</f>
        <v>15500240</v>
      </c>
      <c r="S109" s="220" t="n">
        <f aca="false">R109+S93</f>
        <v>15500240</v>
      </c>
      <c r="T109" s="220" t="n">
        <f aca="false">S109+T93</f>
        <v>15500240</v>
      </c>
      <c r="U109" s="220" t="n">
        <f aca="false">T109+U93</f>
        <v>15500240</v>
      </c>
      <c r="V109" s="220" t="n">
        <f aca="false">U109+V93</f>
        <v>15500240</v>
      </c>
      <c r="W109" s="220" t="n">
        <f aca="false">V109+W93</f>
        <v>15500240</v>
      </c>
      <c r="X109" s="224"/>
    </row>
    <row r="111" customFormat="false" ht="15" hidden="false" customHeight="false" outlineLevel="0" collapsed="false">
      <c r="B111" s="240"/>
    </row>
    <row r="112" customFormat="false" ht="16.5" hidden="false" customHeight="true" outlineLevel="0" collapsed="false">
      <c r="G112" s="2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24" t="s">
        <v>0</v>
      </c>
      <c r="C1" s="125"/>
      <c r="D1" s="125"/>
      <c r="E1" s="126"/>
      <c r="P1" s="127" t="n">
        <f aca="false">1-D11</f>
        <v>0.99</v>
      </c>
      <c r="Q1" s="127" t="n">
        <f aca="false">P1-$D12</f>
        <v>0.986</v>
      </c>
      <c r="R1" s="127" t="n">
        <f aca="false">Q1-$D12</f>
        <v>0.982</v>
      </c>
      <c r="S1" s="127" t="n">
        <f aca="false">R1-$D12</f>
        <v>0.978</v>
      </c>
      <c r="T1" s="127" t="n">
        <f aca="false">S1-$D12</f>
        <v>0.974</v>
      </c>
      <c r="U1" s="127" t="n">
        <f aca="false">T1-$D12</f>
        <v>0.97</v>
      </c>
      <c r="V1" s="127" t="n">
        <f aca="false">U1-$D12</f>
        <v>0.966</v>
      </c>
      <c r="W1" s="127" t="n">
        <f aca="false">V1-$D12</f>
        <v>0.962</v>
      </c>
      <c r="X1" s="127" t="n">
        <f aca="false">W1-$D12</f>
        <v>0.958</v>
      </c>
      <c r="Y1" s="127" t="n">
        <f aca="false">X1-$D12</f>
        <v>0.954</v>
      </c>
      <c r="Z1" s="127" t="n">
        <f aca="false">Y1-$D12</f>
        <v>0.95</v>
      </c>
      <c r="AA1" s="127" t="n">
        <f aca="false">Z1-$D12</f>
        <v>0.946</v>
      </c>
      <c r="AB1" s="127" t="n">
        <f aca="false">AA1-$D12</f>
        <v>0.942</v>
      </c>
      <c r="AC1" s="127" t="n">
        <f aca="false">AB1-$D12</f>
        <v>0.938</v>
      </c>
      <c r="AD1" s="127" t="n">
        <f aca="false">AC1-$D12</f>
        <v>0.934</v>
      </c>
      <c r="AE1" s="127" t="n">
        <f aca="false">AD1-$D12</f>
        <v>0.93</v>
      </c>
      <c r="AF1" s="127" t="n">
        <f aca="false">AE1-$D12</f>
        <v>0.926</v>
      </c>
      <c r="AG1" s="127" t="n">
        <f aca="false">AF1-$D12</f>
        <v>0.922</v>
      </c>
      <c r="AH1" s="127" t="n">
        <f aca="false">AG1-$D12</f>
        <v>0.918</v>
      </c>
      <c r="AI1" s="127" t="n">
        <f aca="false">AH1-$D12</f>
        <v>0.914</v>
      </c>
    </row>
    <row r="2" customFormat="false" ht="21.75" hidden="false" customHeight="true" outlineLevel="0" collapsed="false">
      <c r="B2" s="128" t="s">
        <v>1</v>
      </c>
      <c r="C2" s="129" t="s">
        <v>105</v>
      </c>
      <c r="D2" s="130" t="s">
        <v>3</v>
      </c>
      <c r="E2" s="130" t="s">
        <v>3</v>
      </c>
    </row>
    <row r="3" customFormat="false" ht="21.75" hidden="false" customHeight="true" outlineLevel="0" collapsed="false">
      <c r="B3" s="131" t="s">
        <v>4</v>
      </c>
      <c r="C3" s="134" t="n">
        <v>20</v>
      </c>
      <c r="D3" s="133" t="s">
        <v>3</v>
      </c>
      <c r="E3" s="133" t="s">
        <v>3</v>
      </c>
    </row>
    <row r="4" customFormat="false" ht="21.75" hidden="false" customHeight="true" outlineLevel="0" collapsed="false">
      <c r="B4" s="131" t="s">
        <v>5</v>
      </c>
      <c r="C4" s="134" t="n">
        <v>436.1</v>
      </c>
      <c r="D4" s="133" t="s">
        <v>3</v>
      </c>
      <c r="E4" s="133" t="s">
        <v>3</v>
      </c>
      <c r="M4" s="0" t="s">
        <v>137</v>
      </c>
    </row>
    <row r="5" customFormat="false" ht="22.5" hidden="false" customHeight="true" outlineLevel="0" collapsed="false">
      <c r="B5" s="134" t="s">
        <v>6</v>
      </c>
      <c r="C5" s="134" t="n">
        <v>2020</v>
      </c>
      <c r="D5" s="134" t="s">
        <v>7</v>
      </c>
      <c r="E5" s="134" t="n">
        <v>2039</v>
      </c>
      <c r="M5" s="0" t="s">
        <v>138</v>
      </c>
    </row>
    <row r="6" customFormat="false" ht="20.25" hidden="false" customHeight="true" outlineLevel="0" collapsed="false">
      <c r="B6" s="135"/>
      <c r="C6" s="135"/>
      <c r="D6" s="135"/>
      <c r="E6" s="135"/>
      <c r="M6" s="0" t="s">
        <v>139</v>
      </c>
    </row>
    <row r="7" customFormat="false" ht="22.5" hidden="false" customHeight="true" outlineLevel="0" collapsed="false">
      <c r="B7" s="136" t="s">
        <v>8</v>
      </c>
      <c r="C7" s="125"/>
      <c r="D7" s="125"/>
      <c r="E7" s="126"/>
      <c r="M7" s="0" t="s">
        <v>140</v>
      </c>
    </row>
    <row r="8" customFormat="false" ht="22.5" hidden="false" customHeight="true" outlineLevel="0" collapsed="false">
      <c r="B8" s="137" t="s">
        <v>9</v>
      </c>
      <c r="C8" s="138"/>
      <c r="D8" s="138"/>
      <c r="E8" s="139"/>
      <c r="M8" s="0" t="s">
        <v>141</v>
      </c>
    </row>
    <row r="9" customFormat="false" ht="22.5" hidden="false" customHeight="true" outlineLevel="0" collapsed="false">
      <c r="B9" s="140" t="s">
        <v>10</v>
      </c>
      <c r="C9" s="141" t="s">
        <v>11</v>
      </c>
      <c r="D9" s="141" t="s">
        <v>12</v>
      </c>
      <c r="E9" s="142" t="s">
        <v>13</v>
      </c>
      <c r="M9" s="0" t="s">
        <v>111</v>
      </c>
    </row>
    <row r="10" customFormat="false" ht="21.75" hidden="false" customHeight="true" outlineLevel="0" collapsed="false">
      <c r="B10" s="143" t="s">
        <v>14</v>
      </c>
      <c r="C10" s="129" t="s">
        <v>112</v>
      </c>
      <c r="D10" s="129" t="n">
        <v>547002</v>
      </c>
      <c r="E10" s="143" t="n">
        <v>20</v>
      </c>
      <c r="M10" s="0" t="s">
        <v>101</v>
      </c>
    </row>
    <row r="11" customFormat="false" ht="21.75" hidden="false" customHeight="true" outlineLevel="0" collapsed="false">
      <c r="B11" s="144"/>
      <c r="C11" s="134" t="s">
        <v>16</v>
      </c>
      <c r="D11" s="134" t="n">
        <v>0.01</v>
      </c>
      <c r="E11" s="144"/>
    </row>
    <row r="12" customFormat="false" ht="21.75" hidden="false" customHeight="true" outlineLevel="0" collapsed="false">
      <c r="B12" s="144"/>
      <c r="C12" s="134" t="s">
        <v>17</v>
      </c>
      <c r="D12" s="134" t="n">
        <v>0.004</v>
      </c>
      <c r="E12" s="144"/>
    </row>
    <row r="13" customFormat="false" ht="22.5" hidden="false" customHeight="true" outlineLevel="0" collapsed="false">
      <c r="B13" s="144"/>
      <c r="C13" s="145" t="s">
        <v>114</v>
      </c>
      <c r="D13" s="145" t="n">
        <v>3.7152</v>
      </c>
      <c r="E13" s="144"/>
    </row>
    <row r="14" customFormat="false" ht="22.5" hidden="false" customHeight="true" outlineLevel="0" collapsed="false">
      <c r="B14" s="146" t="s">
        <v>19</v>
      </c>
      <c r="C14" s="125"/>
      <c r="D14" s="125"/>
      <c r="E14" s="126"/>
    </row>
    <row r="15" customFormat="false" ht="22.5" hidden="false" customHeight="true" outlineLevel="0" collapsed="false">
      <c r="B15" s="140" t="s">
        <v>10</v>
      </c>
      <c r="C15" s="141" t="s">
        <v>11</v>
      </c>
      <c r="D15" s="141" t="s">
        <v>12</v>
      </c>
      <c r="E15" s="147" t="s">
        <v>20</v>
      </c>
    </row>
    <row r="16" customFormat="false" ht="21.75" hidden="false" customHeight="true" outlineLevel="0" collapsed="false">
      <c r="B16" s="148" t="s">
        <v>115</v>
      </c>
      <c r="C16" s="128" t="s">
        <v>22</v>
      </c>
      <c r="D16" s="129" t="n">
        <v>27000</v>
      </c>
      <c r="E16" s="149" t="n">
        <v>20</v>
      </c>
    </row>
    <row r="17" customFormat="false" ht="21.75" hidden="false" customHeight="true" outlineLevel="0" collapsed="false">
      <c r="B17" s="144"/>
      <c r="C17" s="134" t="s">
        <v>23</v>
      </c>
      <c r="D17" s="134" t="n">
        <v>0.3</v>
      </c>
      <c r="E17" s="144"/>
    </row>
    <row r="18" customFormat="false" ht="21.75" hidden="false" customHeight="true" outlineLevel="0" collapsed="false">
      <c r="B18" s="150"/>
      <c r="C18" s="134" t="s">
        <v>24</v>
      </c>
      <c r="D18" s="134" t="n">
        <v>3000</v>
      </c>
      <c r="E18" s="150"/>
    </row>
    <row r="19" customFormat="false" ht="54" hidden="false" customHeight="true" outlineLevel="0" collapsed="false">
      <c r="B19" s="151" t="s">
        <v>25</v>
      </c>
      <c r="C19" s="152" t="s">
        <v>26</v>
      </c>
      <c r="D19" s="134" t="n">
        <v>2</v>
      </c>
      <c r="E19" s="130" t="n">
        <v>0</v>
      </c>
    </row>
    <row r="20" customFormat="false" ht="20.25" hidden="false" customHeight="true" outlineLevel="0" collapsed="false">
      <c r="B20" s="144"/>
      <c r="C20" s="153" t="s">
        <v>116</v>
      </c>
      <c r="D20" s="134" t="n">
        <v>0</v>
      </c>
      <c r="E20" s="130" t="n">
        <v>20</v>
      </c>
    </row>
    <row r="21" customFormat="false" ht="21.75" hidden="false" customHeight="true" outlineLevel="0" collapsed="false">
      <c r="B21" s="150"/>
      <c r="C21" s="134" t="s">
        <v>117</v>
      </c>
      <c r="D21" s="134" t="n">
        <v>0.3</v>
      </c>
      <c r="E21" s="133" t="n">
        <v>0</v>
      </c>
    </row>
    <row r="22" customFormat="false" ht="21.75" hidden="false" customHeight="true" outlineLevel="0" collapsed="false">
      <c r="B22" s="134" t="s">
        <v>29</v>
      </c>
      <c r="C22" s="134" t="s">
        <v>118</v>
      </c>
      <c r="D22" s="134" t="n">
        <v>400</v>
      </c>
      <c r="E22" s="133" t="n">
        <v>20</v>
      </c>
    </row>
    <row r="23" customFormat="false" ht="21.75" hidden="false" customHeight="true" outlineLevel="0" collapsed="false">
      <c r="B23" s="134" t="s">
        <v>31</v>
      </c>
      <c r="C23" s="131" t="s">
        <v>32</v>
      </c>
      <c r="D23" s="134" t="n">
        <v>0.003</v>
      </c>
      <c r="E23" s="133" t="n">
        <v>20</v>
      </c>
    </row>
    <row r="24" customFormat="false" ht="21.75" hidden="false" customHeight="true" outlineLevel="0" collapsed="false">
      <c r="B24" s="134" t="s">
        <v>33</v>
      </c>
      <c r="C24" s="134" t="s">
        <v>119</v>
      </c>
      <c r="D24" s="134" t="n">
        <v>1000</v>
      </c>
      <c r="E24" s="133" t="n">
        <v>10</v>
      </c>
    </row>
    <row r="25" customFormat="false" ht="21.75" hidden="false" customHeight="true" outlineLevel="0" collapsed="false">
      <c r="B25" s="134" t="s">
        <v>35</v>
      </c>
      <c r="C25" s="134" t="s">
        <v>36</v>
      </c>
      <c r="D25" s="134" t="n">
        <v>0.025595</v>
      </c>
      <c r="E25" s="133" t="n">
        <v>0</v>
      </c>
    </row>
    <row r="26" customFormat="false" ht="22.5" hidden="false" customHeight="true" outlineLevel="0" collapsed="false">
      <c r="B26" s="134" t="s">
        <v>37</v>
      </c>
      <c r="C26" s="134" t="s">
        <v>38</v>
      </c>
      <c r="D26" s="134" t="n">
        <v>0.2</v>
      </c>
      <c r="E26" s="133" t="n">
        <v>0</v>
      </c>
    </row>
    <row r="27" customFormat="false" ht="20.25" hidden="false" customHeight="true" outlineLevel="0" collapsed="false">
      <c r="B27" s="135"/>
      <c r="C27" s="135"/>
      <c r="D27" s="135"/>
      <c r="E27" s="135"/>
    </row>
    <row r="28" customFormat="false" ht="20.25" hidden="false" customHeight="true" outlineLevel="0" collapsed="false">
      <c r="B28" s="135"/>
      <c r="C28" s="135"/>
      <c r="D28" s="135"/>
      <c r="E28" s="135"/>
    </row>
    <row r="29" customFormat="false" ht="22.5" hidden="false" customHeight="true" outlineLevel="0" collapsed="false">
      <c r="B29" s="136" t="s">
        <v>39</v>
      </c>
      <c r="C29" s="125"/>
      <c r="D29" s="126"/>
      <c r="E29" s="135"/>
    </row>
    <row r="30" customFormat="false" ht="22.5" hidden="false" customHeight="true" outlineLevel="0" collapsed="false">
      <c r="B30" s="140" t="s">
        <v>40</v>
      </c>
      <c r="C30" s="141" t="s">
        <v>11</v>
      </c>
      <c r="D30" s="147" t="s">
        <v>12</v>
      </c>
      <c r="E30" s="135"/>
    </row>
    <row r="31" customFormat="false" ht="18.75" hidden="false" customHeight="true" outlineLevel="0" collapsed="false">
      <c r="B31" s="128" t="s">
        <v>41</v>
      </c>
      <c r="C31" s="128" t="s">
        <v>42</v>
      </c>
      <c r="D31" s="129" t="n">
        <v>0.8</v>
      </c>
      <c r="E31" s="135"/>
    </row>
    <row r="32" customFormat="false" ht="18.75" hidden="false" customHeight="true" outlineLevel="0" collapsed="false">
      <c r="B32" s="129" t="s">
        <v>43</v>
      </c>
      <c r="C32" s="129" t="s">
        <v>44</v>
      </c>
      <c r="D32" s="129" t="n">
        <v>15</v>
      </c>
      <c r="E32" s="135"/>
    </row>
    <row r="33" customFormat="false" ht="18.75" hidden="false" customHeight="true" outlineLevel="0" collapsed="false">
      <c r="B33" s="134" t="s">
        <v>45</v>
      </c>
      <c r="C33" s="134" t="s">
        <v>46</v>
      </c>
      <c r="D33" s="134" t="n">
        <v>0.9</v>
      </c>
      <c r="E33" s="135"/>
    </row>
    <row r="34" customFormat="false" ht="18.75" hidden="false" customHeight="true" outlineLevel="0" collapsed="false">
      <c r="B34" s="134" t="s">
        <v>47</v>
      </c>
      <c r="C34" s="134" t="s">
        <v>44</v>
      </c>
      <c r="D34" s="134" t="n">
        <v>4</v>
      </c>
      <c r="E34" s="135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97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54" t="n">
        <v>0</v>
      </c>
      <c r="C38" s="155"/>
      <c r="D38" s="156"/>
      <c r="E38" s="156"/>
      <c r="F38" s="157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9"/>
      <c r="U38" s="158"/>
      <c r="V38" s="158"/>
      <c r="W38" s="158"/>
      <c r="X38" s="160"/>
    </row>
    <row r="39" customFormat="false" ht="18.75" hidden="false" customHeight="true" outlineLevel="0" collapsed="false">
      <c r="B39" s="161" t="s">
        <v>51</v>
      </c>
      <c r="C39" s="162" t="n">
        <v>0</v>
      </c>
      <c r="D39" s="163" t="n">
        <v>1</v>
      </c>
      <c r="E39" s="163" t="n">
        <v>2</v>
      </c>
      <c r="F39" s="163" t="n">
        <v>3</v>
      </c>
      <c r="G39" s="163" t="n">
        <v>4</v>
      </c>
      <c r="H39" s="163" t="n">
        <v>5</v>
      </c>
      <c r="I39" s="163" t="n">
        <v>6</v>
      </c>
      <c r="J39" s="163" t="n">
        <v>7</v>
      </c>
      <c r="K39" s="163" t="n">
        <v>8</v>
      </c>
      <c r="L39" s="163" t="n">
        <v>9</v>
      </c>
      <c r="M39" s="163" t="n">
        <v>10</v>
      </c>
      <c r="N39" s="163" t="n">
        <v>11</v>
      </c>
      <c r="O39" s="163" t="n">
        <v>12</v>
      </c>
      <c r="P39" s="163" t="n">
        <v>13</v>
      </c>
      <c r="Q39" s="163" t="n">
        <v>14</v>
      </c>
      <c r="R39" s="163" t="n">
        <v>15</v>
      </c>
      <c r="S39" s="163" t="n">
        <v>16</v>
      </c>
      <c r="T39" s="164" t="n">
        <v>17</v>
      </c>
      <c r="U39" s="163" t="n">
        <v>18</v>
      </c>
      <c r="V39" s="163" t="n">
        <v>19</v>
      </c>
      <c r="W39" s="163" t="n">
        <v>20</v>
      </c>
      <c r="X39" s="47"/>
    </row>
    <row r="40" customFormat="false" ht="18.75" hidden="false" customHeight="true" outlineLevel="0" collapsed="false">
      <c r="B40" s="165" t="s">
        <v>52</v>
      </c>
      <c r="C40" s="166" t="n">
        <v>0</v>
      </c>
      <c r="D40" s="167" t="n">
        <f aca="false">$D$10*P1</f>
        <v>541531.98</v>
      </c>
      <c r="E40" s="167" t="n">
        <f aca="false">$D$10*Q1</f>
        <v>539343.972</v>
      </c>
      <c r="F40" s="167" t="n">
        <f aca="false">$D$10*R1</f>
        <v>537155.964</v>
      </c>
      <c r="G40" s="167" t="n">
        <f aca="false">$D$10*S1</f>
        <v>534967.956</v>
      </c>
      <c r="H40" s="167" t="n">
        <f aca="false">$D$10*T1</f>
        <v>532779.948</v>
      </c>
      <c r="I40" s="167" t="n">
        <f aca="false">$D$10*U1</f>
        <v>530591.94</v>
      </c>
      <c r="J40" s="167" t="n">
        <f aca="false">$D$10*V1</f>
        <v>528403.932</v>
      </c>
      <c r="K40" s="167" t="n">
        <f aca="false">$D$10*W1</f>
        <v>526215.924</v>
      </c>
      <c r="L40" s="167" t="n">
        <f aca="false">$D$10*X1</f>
        <v>524027.916</v>
      </c>
      <c r="M40" s="167" t="n">
        <f aca="false">$D$10*Y1</f>
        <v>521839.908</v>
      </c>
      <c r="N40" s="167" t="n">
        <f aca="false">$D$10*Z1</f>
        <v>519651.9</v>
      </c>
      <c r="O40" s="167" t="n">
        <f aca="false">$D$10*AA1</f>
        <v>517463.892</v>
      </c>
      <c r="P40" s="167" t="n">
        <f aca="false">$D$10*AB1</f>
        <v>515275.884</v>
      </c>
      <c r="Q40" s="167" t="n">
        <f aca="false">$D$10*AC1</f>
        <v>513087.876</v>
      </c>
      <c r="R40" s="167" t="n">
        <f aca="false">$D$10*AD1</f>
        <v>510899.868</v>
      </c>
      <c r="S40" s="167" t="n">
        <f aca="false">$D$10*AE1</f>
        <v>508711.86</v>
      </c>
      <c r="T40" s="167" t="n">
        <f aca="false">$D$10*AF1</f>
        <v>506523.852</v>
      </c>
      <c r="U40" s="167" t="n">
        <f aca="false">$D$10*AG1</f>
        <v>504335.844</v>
      </c>
      <c r="V40" s="167" t="n">
        <f aca="false">$D$10*AH1</f>
        <v>502147.836</v>
      </c>
      <c r="W40" s="167" t="n">
        <f aca="false">$D$10*AI1</f>
        <v>499959.828</v>
      </c>
      <c r="X40" s="168"/>
    </row>
    <row r="41" customFormat="false" ht="18.75" hidden="false" customHeight="true" outlineLevel="0" collapsed="false">
      <c r="B41" s="169" t="s">
        <v>53</v>
      </c>
      <c r="C41" s="170" t="s">
        <v>3</v>
      </c>
      <c r="D41" s="171" t="n">
        <f aca="false">D40*$D$13</f>
        <v>2011899.612096</v>
      </c>
      <c r="E41" s="171" t="n">
        <f aca="false">E40*$D$13</f>
        <v>2003770.7247744</v>
      </c>
      <c r="F41" s="171" t="n">
        <f aca="false">F40*$D$13</f>
        <v>1995641.8374528</v>
      </c>
      <c r="G41" s="171" t="n">
        <f aca="false">G40*$D$13</f>
        <v>1987512.9501312</v>
      </c>
      <c r="H41" s="171" t="n">
        <f aca="false">H40*$D$13</f>
        <v>1979384.0628096</v>
      </c>
      <c r="I41" s="171" t="n">
        <f aca="false">I40*$D$13</f>
        <v>1971255.175488</v>
      </c>
      <c r="J41" s="171" t="n">
        <f aca="false">J40*$D$13</f>
        <v>1963126.2881664</v>
      </c>
      <c r="K41" s="171" t="n">
        <f aca="false">K40*$D$13</f>
        <v>1954997.4008448</v>
      </c>
      <c r="L41" s="171" t="n">
        <f aca="false">L40*$D$13</f>
        <v>1946868.5135232</v>
      </c>
      <c r="M41" s="171" t="n">
        <f aca="false">M40*$D$13</f>
        <v>1938739.6262016</v>
      </c>
      <c r="N41" s="171" t="n">
        <f aca="false">N40*$D$13</f>
        <v>1930610.73888</v>
      </c>
      <c r="O41" s="171" t="n">
        <f aca="false">O40*$D$13</f>
        <v>1922481.8515584</v>
      </c>
      <c r="P41" s="171" t="n">
        <f aca="false">P40*$D$13</f>
        <v>1914352.9642368</v>
      </c>
      <c r="Q41" s="171" t="n">
        <f aca="false">Q40*$D$13</f>
        <v>1906224.0769152</v>
      </c>
      <c r="R41" s="171" t="n">
        <f aca="false">R40*$D$13</f>
        <v>1898095.1895936</v>
      </c>
      <c r="S41" s="171" t="n">
        <f aca="false">S40*$D$13</f>
        <v>1889966.302272</v>
      </c>
      <c r="T41" s="171" t="n">
        <f aca="false">T40*$D$13</f>
        <v>1881837.4149504</v>
      </c>
      <c r="U41" s="171" t="n">
        <f aca="false">U40*$D$13</f>
        <v>1873708.5276288</v>
      </c>
      <c r="V41" s="171" t="n">
        <f aca="false">V40*$D$13</f>
        <v>1865579.6403072</v>
      </c>
      <c r="W41" s="171" t="n">
        <f aca="false">W40*$D$13</f>
        <v>1857450.7529856</v>
      </c>
      <c r="X41" s="172"/>
    </row>
    <row r="42" customFormat="false" ht="18.75" hidden="false" customHeight="true" outlineLevel="0" collapsed="false">
      <c r="B42" s="173" t="s">
        <v>54</v>
      </c>
      <c r="C42" s="174" t="s">
        <v>3</v>
      </c>
      <c r="D42" s="175"/>
      <c r="E42" s="175"/>
      <c r="F42" s="175"/>
      <c r="G42" s="176" t="s">
        <v>3</v>
      </c>
      <c r="H42" s="176" t="s">
        <v>3</v>
      </c>
      <c r="I42" s="176" t="s">
        <v>3</v>
      </c>
      <c r="J42" s="176" t="s">
        <v>3</v>
      </c>
      <c r="K42" s="176" t="s">
        <v>3</v>
      </c>
      <c r="L42" s="176" t="s">
        <v>3</v>
      </c>
      <c r="M42" s="176" t="s">
        <v>3</v>
      </c>
      <c r="N42" s="176" t="s">
        <v>3</v>
      </c>
      <c r="O42" s="176" t="s">
        <v>3</v>
      </c>
      <c r="P42" s="176" t="s">
        <v>3</v>
      </c>
      <c r="Q42" s="176" t="s">
        <v>3</v>
      </c>
      <c r="R42" s="176" t="s">
        <v>3</v>
      </c>
      <c r="S42" s="176" t="s">
        <v>3</v>
      </c>
      <c r="T42" s="176" t="s">
        <v>3</v>
      </c>
      <c r="U42" s="176" t="s">
        <v>3</v>
      </c>
      <c r="V42" s="176" t="s">
        <v>3</v>
      </c>
      <c r="W42" s="176" t="s">
        <v>3</v>
      </c>
      <c r="X42" s="177"/>
    </row>
    <row r="43" customFormat="false" ht="18.75" hidden="false" customHeight="true" outlineLevel="0" collapsed="false">
      <c r="B43" s="178" t="s">
        <v>55</v>
      </c>
      <c r="C43" s="179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customFormat="false" ht="18.75" hidden="false" customHeight="true" outlineLevel="0" collapsed="false">
      <c r="B44" s="182" t="s">
        <v>56</v>
      </c>
      <c r="C44" s="183" t="n">
        <f aca="false">-(D16/(1-D17)+D18)*C4</f>
        <v>-18129300</v>
      </c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 customFormat="false" ht="18.75" hidden="false" customHeight="true" outlineLevel="0" collapsed="false">
      <c r="B45" s="182" t="s">
        <v>57</v>
      </c>
      <c r="C45" s="174" t="s">
        <v>3</v>
      </c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</row>
    <row r="46" customFormat="false" ht="18.75" hidden="false" customHeight="true" outlineLevel="0" collapsed="false">
      <c r="B46" s="182" t="s">
        <v>58</v>
      </c>
      <c r="C46" s="17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 customFormat="false" ht="18.75" hidden="false" customHeight="true" outlineLevel="0" collapsed="false">
      <c r="B47" s="182" t="s">
        <v>59</v>
      </c>
      <c r="C47" s="174" t="s">
        <v>3</v>
      </c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 customFormat="false" ht="18.75" hidden="false" customHeight="true" outlineLevel="0" collapsed="false">
      <c r="B48" s="182" t="s">
        <v>60</v>
      </c>
      <c r="C48" s="174" t="s">
        <v>3</v>
      </c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</row>
    <row r="49" customFormat="false" ht="18.75" hidden="false" customHeight="true" outlineLevel="0" collapsed="false">
      <c r="B49" s="182" t="s">
        <v>61</v>
      </c>
      <c r="C49" s="174" t="s">
        <v>3</v>
      </c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</row>
    <row r="50" customFormat="false" ht="18.75" hidden="false" customHeight="true" outlineLevel="0" collapsed="false">
      <c r="B50" s="182" t="s">
        <v>62</v>
      </c>
      <c r="C50" s="17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</row>
    <row r="51" customFormat="false" ht="18.75" hidden="false" customHeight="true" outlineLevel="0" collapsed="false">
      <c r="B51" s="182" t="s">
        <v>63</v>
      </c>
      <c r="C51" s="185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 customFormat="false" ht="18.75" hidden="false" customHeight="true" outlineLevel="0" collapsed="false">
      <c r="B52" s="182" t="s">
        <v>64</v>
      </c>
      <c r="C52" s="185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 customFormat="false" ht="18.75" hidden="false" customHeight="true" outlineLevel="0" collapsed="false">
      <c r="B53" s="186" t="s">
        <v>65</v>
      </c>
      <c r="C53" s="185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 customFormat="false" ht="18.75" hidden="false" customHeight="true" outlineLevel="0" collapsed="false">
      <c r="B54" s="186" t="s">
        <v>66</v>
      </c>
      <c r="C54" s="185"/>
      <c r="D54" s="184" t="n">
        <f aca="false">-(D64+D67+D68+D71+D72+D73+D74)*0.2</f>
        <v>-221086.9224192</v>
      </c>
      <c r="E54" s="184" t="n">
        <f aca="false">-(E64+E67+E68+E71+E72+E73+E74)*0.2</f>
        <v>-219461.14495488</v>
      </c>
      <c r="F54" s="184" t="n">
        <f aca="false">-(F64+F67+F68+F71+F72+F73+F74)*0.2</f>
        <v>-217835.36749056</v>
      </c>
      <c r="G54" s="184" t="n">
        <f aca="false">-(G64+G67+G68+G71+G72+G73+G74)*0.2</f>
        <v>-216209.59002624</v>
      </c>
      <c r="H54" s="184" t="n">
        <f aca="false">-(H64+H67+H68+H71+H72+H73+H74)*0.2</f>
        <v>-214583.81256192</v>
      </c>
      <c r="I54" s="184" t="n">
        <f aca="false">-(I64+I67+I68+I71+I72+I73+I74)*0.2</f>
        <v>-212958.0350976</v>
      </c>
      <c r="J54" s="184" t="n">
        <f aca="false">-(J64+J67+J68+J71+J72+J73+J74)*0.2</f>
        <v>-211332.25763328</v>
      </c>
      <c r="K54" s="184" t="n">
        <f aca="false">-(K64+K67+K68+K71+K72+K73+K74)*0.2</f>
        <v>-209706.48016896</v>
      </c>
      <c r="L54" s="184" t="n">
        <f aca="false">-(L64+L67+L68+L71+L72+L73+L74)*0.2</f>
        <v>-208080.70270464</v>
      </c>
      <c r="M54" s="184" t="n">
        <f aca="false">-(M64+M67+M68+M71+M72+M73+M74)*0.2</f>
        <v>-206454.92524032</v>
      </c>
      <c r="N54" s="184" t="n">
        <f aca="false">-(N64+N67+N68+N71+N72+N73+N74)*0.2</f>
        <v>-204829.147776</v>
      </c>
      <c r="O54" s="184" t="n">
        <f aca="false">-(O64+O67+O68+O71+O72+O73+O74)*0.2</f>
        <v>-203203.37031168</v>
      </c>
      <c r="P54" s="184" t="n">
        <f aca="false">-(P64+P67+P68+P71+P72+P73+P74)*0.2</f>
        <v>-201577.59284736</v>
      </c>
      <c r="Q54" s="184" t="n">
        <f aca="false">-(Q64+Q67+Q68+Q71+Q72+Q73+Q74)*0.2</f>
        <v>-199951.81538304</v>
      </c>
      <c r="R54" s="184" t="n">
        <f aca="false">-(R64+R67+R68+R71+R72+R73+R74)*0.2</f>
        <v>-198326.03791872</v>
      </c>
      <c r="S54" s="184" t="n">
        <f aca="false">-(S64+S67+S68+S71+S72+S73+S74)*0.2</f>
        <v>-196700.2604544</v>
      </c>
      <c r="T54" s="184" t="n">
        <f aca="false">-(T64+T67+T68+T71+T72+T73+T74)*0.2</f>
        <v>-195074.48299008</v>
      </c>
      <c r="U54" s="184" t="n">
        <f aca="false">-(U64+U67+U68+U71+U72+U73+U74)*0.2</f>
        <v>-193448.70552576</v>
      </c>
      <c r="V54" s="184" t="n">
        <f aca="false">-(V64+V67+V68+V71+V72+V73+V74)*0.2</f>
        <v>-191822.92806144</v>
      </c>
      <c r="W54" s="184" t="n">
        <f aca="false">-(W64+W67+W68+W71+W72+W73+W74)*0.2</f>
        <v>-190197.15059712</v>
      </c>
      <c r="X54" s="175"/>
    </row>
    <row r="55" customFormat="false" ht="18.75" hidden="false" customHeight="true" outlineLevel="0" collapsed="false">
      <c r="B55" s="187" t="s">
        <v>67</v>
      </c>
      <c r="C55" s="188" t="n">
        <f aca="false">C44</f>
        <v>-18129300</v>
      </c>
      <c r="D55" s="189" t="n">
        <f aca="false">SUM(D41:D54)</f>
        <v>1790812.6896768</v>
      </c>
      <c r="E55" s="189" t="n">
        <f aca="false">SUM(E41:E54)</f>
        <v>1784309.57981952</v>
      </c>
      <c r="F55" s="189" t="n">
        <f aca="false">SUM(F41:F54)</f>
        <v>1777806.46996224</v>
      </c>
      <c r="G55" s="189" t="n">
        <f aca="false">SUM(G41:G54)</f>
        <v>1771303.36010496</v>
      </c>
      <c r="H55" s="189" t="n">
        <f aca="false">SUM(H41:H54)</f>
        <v>1764800.25024768</v>
      </c>
      <c r="I55" s="189" t="n">
        <f aca="false">SUM(I41:I54)</f>
        <v>1758297.1403904</v>
      </c>
      <c r="J55" s="189" t="n">
        <f aca="false">SUM(J41:J54)</f>
        <v>1751794.03053312</v>
      </c>
      <c r="K55" s="189" t="n">
        <f aca="false">SUM(K41:K54)</f>
        <v>1745290.92067584</v>
      </c>
      <c r="L55" s="189" t="n">
        <f aca="false">SUM(L41:L54)</f>
        <v>1738787.81081856</v>
      </c>
      <c r="M55" s="189" t="n">
        <f aca="false">SUM(M41:M54)</f>
        <v>1732284.70096128</v>
      </c>
      <c r="N55" s="189" t="n">
        <f aca="false">SUM(N41:N54)</f>
        <v>1725781.591104</v>
      </c>
      <c r="O55" s="189" t="n">
        <f aca="false">SUM(O41:O54)</f>
        <v>1719278.48124672</v>
      </c>
      <c r="P55" s="189" t="n">
        <f aca="false">SUM(P41:P54)</f>
        <v>1712775.37138944</v>
      </c>
      <c r="Q55" s="189" t="n">
        <f aca="false">SUM(Q41:Q54)</f>
        <v>1706272.26153216</v>
      </c>
      <c r="R55" s="189" t="n">
        <f aca="false">SUM(R41:R54)</f>
        <v>1699769.15167488</v>
      </c>
      <c r="S55" s="189" t="n">
        <f aca="false">SUM(S41:S54)</f>
        <v>1693266.0418176</v>
      </c>
      <c r="T55" s="189" t="n">
        <f aca="false">SUM(T41:T54)</f>
        <v>1686762.93196032</v>
      </c>
      <c r="U55" s="189" t="n">
        <f aca="false">SUM(U41:U54)</f>
        <v>1680259.82210304</v>
      </c>
      <c r="V55" s="189" t="n">
        <f aca="false">SUM(V41:V54)</f>
        <v>1673756.71224576</v>
      </c>
      <c r="W55" s="189" t="n">
        <f aca="false">SUM(W41:W54)</f>
        <v>1667253.60238848</v>
      </c>
      <c r="X55" s="190"/>
      <c r="Y55" s="191"/>
      <c r="Z55" s="192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</row>
    <row r="56" customFormat="false" ht="18.75" hidden="false" customHeight="true" outlineLevel="0" collapsed="false">
      <c r="B56" s="193" t="s">
        <v>68</v>
      </c>
      <c r="D56" s="194" t="n">
        <f aca="false">C55+D55</f>
        <v>-16338487.3103232</v>
      </c>
      <c r="E56" s="194" t="n">
        <f aca="false">D56+E55</f>
        <v>-14554177.7305037</v>
      </c>
      <c r="F56" s="194" t="n">
        <f aca="false">E56+F55</f>
        <v>-12776371.2605414</v>
      </c>
      <c r="G56" s="194" t="n">
        <f aca="false">F56+G55</f>
        <v>-11005067.9004365</v>
      </c>
      <c r="H56" s="194" t="n">
        <f aca="false">G56+H55</f>
        <v>-9240267.6501888</v>
      </c>
      <c r="I56" s="194" t="n">
        <f aca="false">H56+I55</f>
        <v>-7481970.5097984</v>
      </c>
      <c r="J56" s="194" t="n">
        <f aca="false">I56+J55</f>
        <v>-5730176.47926528</v>
      </c>
      <c r="K56" s="194" t="n">
        <f aca="false">J56+K55</f>
        <v>-3984885.55858944</v>
      </c>
      <c r="L56" s="194" t="n">
        <f aca="false">K56+L55</f>
        <v>-2246097.74777088</v>
      </c>
      <c r="M56" s="194" t="n">
        <f aca="false">L56+M55</f>
        <v>-513813.046809604</v>
      </c>
      <c r="N56" s="194" t="n">
        <f aca="false">M56+N55</f>
        <v>1211968.5442944</v>
      </c>
      <c r="O56" s="194" t="n">
        <f aca="false">N56+O55</f>
        <v>2931247.02554112</v>
      </c>
      <c r="P56" s="194" t="n">
        <f aca="false">O56+P55</f>
        <v>4644022.39693056</v>
      </c>
      <c r="Q56" s="194" t="n">
        <f aca="false">P56+Q55</f>
        <v>6350294.65846271</v>
      </c>
      <c r="R56" s="194" t="n">
        <f aca="false">Q56+R55</f>
        <v>8050063.81013759</v>
      </c>
      <c r="S56" s="194" t="n">
        <f aca="false">R56+S55</f>
        <v>9743329.85195519</v>
      </c>
      <c r="T56" s="194" t="n">
        <f aca="false">S56+T55</f>
        <v>11430092.7839155</v>
      </c>
      <c r="U56" s="194" t="n">
        <f aca="false">T56+U55</f>
        <v>13110352.6060186</v>
      </c>
      <c r="V56" s="194" t="n">
        <f aca="false">U56+V55</f>
        <v>14784109.3182643</v>
      </c>
      <c r="W56" s="194" t="n">
        <f aca="false">V56+W55</f>
        <v>16451362.9206528</v>
      </c>
      <c r="X56" s="194" t="n">
        <f aca="false">W56+X55</f>
        <v>16451362.9206528</v>
      </c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</row>
    <row r="57" customFormat="false" ht="18.75" hidden="false" customHeight="true" outlineLevel="0" collapsed="false">
      <c r="B57" s="195" t="s">
        <v>74</v>
      </c>
      <c r="C57" s="196"/>
      <c r="D57" s="197" t="str">
        <f aca="false">IF((D56)&gt;0,"回收","未回收")</f>
        <v>未回收</v>
      </c>
      <c r="E57" s="198" t="str">
        <f aca="false">IF((E56)&gt;0,"回收","未回收")</f>
        <v>未回收</v>
      </c>
      <c r="F57" s="198" t="str">
        <f aca="false">IF((F56)&gt;0,"回收","未回收")</f>
        <v>未回收</v>
      </c>
      <c r="G57" s="198" t="str">
        <f aca="false">IF((G56)&gt;0,"回收","未回收")</f>
        <v>未回收</v>
      </c>
      <c r="H57" s="198" t="str">
        <f aca="false">IF((H56)&gt;0,"回收","未回收")</f>
        <v>未回收</v>
      </c>
      <c r="I57" s="198" t="str">
        <f aca="false">IF((I56)&gt;0,"回收","未回收")</f>
        <v>未回收</v>
      </c>
      <c r="J57" s="198" t="str">
        <f aca="false">IF((J56)&gt;0,"回收","未回收")</f>
        <v>未回收</v>
      </c>
      <c r="K57" s="198" t="str">
        <f aca="false">IF((K56)&gt;0,"回收","未回收")</f>
        <v>未回收</v>
      </c>
      <c r="L57" s="198" t="str">
        <f aca="false">IF((L56)&gt;0,"回收","未回收")</f>
        <v>未回收</v>
      </c>
      <c r="M57" s="198" t="str">
        <f aca="false">IF((M56)&gt;0,"回收","未回收")</f>
        <v>未回收</v>
      </c>
      <c r="N57" s="198" t="str">
        <f aca="false">IF((N56)&gt;0,"回收","未回收")</f>
        <v>回收</v>
      </c>
      <c r="O57" s="198" t="str">
        <f aca="false">IF((O56)&gt;0,"回收","未回收")</f>
        <v>回收</v>
      </c>
      <c r="P57" s="198" t="str">
        <f aca="false">IF((P56)&gt;0,"回收","未回收")</f>
        <v>回收</v>
      </c>
      <c r="Q57" s="198" t="str">
        <f aca="false">IF((Q56)&gt;0,"回收","未回收")</f>
        <v>回收</v>
      </c>
      <c r="R57" s="198" t="str">
        <f aca="false">IF((R56)&gt;0,"回收","未回收")</f>
        <v>回收</v>
      </c>
      <c r="S57" s="198" t="str">
        <f aca="false">IF((S56)&gt;0,"回收","未回收")</f>
        <v>回收</v>
      </c>
      <c r="T57" s="198" t="str">
        <f aca="false">IF((T56)&gt;0,"回收","未回收")</f>
        <v>回收</v>
      </c>
      <c r="U57" s="198" t="str">
        <f aca="false">IF((U56)&gt;0,"回收","未回收")</f>
        <v>回收</v>
      </c>
      <c r="V57" s="198" t="str">
        <f aca="false">IF((V56)&gt;0,"回收","未回收")</f>
        <v>回收</v>
      </c>
      <c r="W57" s="198" t="str">
        <f aca="false">IF((W56)&gt;0,"回收","未回收")</f>
        <v>回收</v>
      </c>
      <c r="X57" s="198" t="str">
        <f aca="false">IF((X56)&gt;0,"回收","未回收")</f>
        <v>回收</v>
      </c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</row>
    <row r="58" customFormat="false" ht="18.75" hidden="false" customHeight="true" outlineLevel="0" collapsed="false">
      <c r="B58" s="199" t="s">
        <v>93</v>
      </c>
      <c r="C58" s="200" t="n">
        <f aca="false">IRR(C55:W55)</f>
        <v>0.0724261981264091</v>
      </c>
      <c r="D58" s="201"/>
      <c r="E58" s="201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</row>
    <row r="59" customFormat="false" ht="18.75" hidden="false" customHeight="true" outlineLevel="0" collapsed="false">
      <c r="B59" s="202"/>
      <c r="C59" s="201"/>
      <c r="D59" s="201"/>
      <c r="E59" s="201"/>
      <c r="F59" s="202"/>
      <c r="G59" s="202"/>
      <c r="H59" s="202"/>
      <c r="I59" s="202"/>
      <c r="J59" s="202"/>
      <c r="K59" s="202"/>
      <c r="L59" s="202"/>
      <c r="M59" s="201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customFormat="false" ht="18.75" hidden="false" customHeight="true" outlineLevel="0" collapsed="false">
      <c r="B60" s="97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54" t="n">
        <v>0</v>
      </c>
      <c r="C61" s="155"/>
      <c r="D61" s="156"/>
      <c r="E61" s="156"/>
      <c r="F61" s="157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203" t="s">
        <v>50</v>
      </c>
      <c r="U61" s="158"/>
      <c r="V61" s="158"/>
      <c r="W61" s="158"/>
      <c r="X61" s="160"/>
    </row>
    <row r="62" customFormat="false" ht="18.75" hidden="false" customHeight="true" outlineLevel="0" collapsed="false">
      <c r="B62" s="161" t="s">
        <v>51</v>
      </c>
      <c r="C62" s="162" t="n">
        <v>0</v>
      </c>
      <c r="D62" s="163" t="n">
        <v>1</v>
      </c>
      <c r="E62" s="163" t="n">
        <v>2</v>
      </c>
      <c r="F62" s="163" t="n">
        <v>3</v>
      </c>
      <c r="G62" s="163" t="n">
        <v>4</v>
      </c>
      <c r="H62" s="163" t="n">
        <v>5</v>
      </c>
      <c r="I62" s="163" t="n">
        <v>6</v>
      </c>
      <c r="J62" s="163" t="n">
        <v>7</v>
      </c>
      <c r="K62" s="163" t="n">
        <v>8</v>
      </c>
      <c r="L62" s="163" t="n">
        <v>9</v>
      </c>
      <c r="M62" s="163" t="n">
        <v>10</v>
      </c>
      <c r="N62" s="163" t="n">
        <v>11</v>
      </c>
      <c r="O62" s="163" t="n">
        <v>12</v>
      </c>
      <c r="P62" s="163" t="n">
        <v>13</v>
      </c>
      <c r="Q62" s="163" t="n">
        <v>14</v>
      </c>
      <c r="R62" s="163" t="n">
        <v>15</v>
      </c>
      <c r="S62" s="163" t="n">
        <v>16</v>
      </c>
      <c r="T62" s="204" t="n">
        <v>17</v>
      </c>
      <c r="U62" s="163" t="n">
        <v>18</v>
      </c>
      <c r="V62" s="163" t="n">
        <v>19</v>
      </c>
      <c r="W62" s="163" t="n">
        <v>20</v>
      </c>
      <c r="X62" s="47"/>
    </row>
    <row r="63" customFormat="false" ht="18.75" hidden="false" customHeight="true" outlineLevel="0" collapsed="false">
      <c r="B63" s="165" t="s">
        <v>52</v>
      </c>
      <c r="C63" s="166" t="n">
        <v>0</v>
      </c>
      <c r="D63" s="167" t="n">
        <f aca="false">D40</f>
        <v>541531.98</v>
      </c>
      <c r="E63" s="167" t="n">
        <f aca="false">E40</f>
        <v>539343.972</v>
      </c>
      <c r="F63" s="167" t="n">
        <f aca="false">F40</f>
        <v>537155.964</v>
      </c>
      <c r="G63" s="167" t="n">
        <f aca="false">G40</f>
        <v>534967.956</v>
      </c>
      <c r="H63" s="167" t="n">
        <f aca="false">H40</f>
        <v>532779.948</v>
      </c>
      <c r="I63" s="167" t="n">
        <f aca="false">I40</f>
        <v>530591.94</v>
      </c>
      <c r="J63" s="167" t="n">
        <f aca="false">J40</f>
        <v>528403.932</v>
      </c>
      <c r="K63" s="167" t="n">
        <f aca="false">K40</f>
        <v>526215.924</v>
      </c>
      <c r="L63" s="167" t="n">
        <f aca="false">L40</f>
        <v>524027.916</v>
      </c>
      <c r="M63" s="167" t="n">
        <f aca="false">M40</f>
        <v>521839.908</v>
      </c>
      <c r="N63" s="167" t="n">
        <f aca="false">N40</f>
        <v>519651.9</v>
      </c>
      <c r="O63" s="167" t="n">
        <f aca="false">O40</f>
        <v>517463.892</v>
      </c>
      <c r="P63" s="167" t="n">
        <f aca="false">P40</f>
        <v>515275.884</v>
      </c>
      <c r="Q63" s="167" t="n">
        <f aca="false">Q40</f>
        <v>513087.876</v>
      </c>
      <c r="R63" s="167" t="n">
        <f aca="false">R40</f>
        <v>510899.868</v>
      </c>
      <c r="S63" s="167" t="n">
        <f aca="false">S40</f>
        <v>508711.86</v>
      </c>
      <c r="T63" s="167" t="n">
        <f aca="false">T40</f>
        <v>506523.852</v>
      </c>
      <c r="U63" s="167" t="n">
        <f aca="false">U40</f>
        <v>504335.844</v>
      </c>
      <c r="V63" s="167" t="n">
        <f aca="false">V40</f>
        <v>502147.836</v>
      </c>
      <c r="W63" s="167" t="n">
        <f aca="false">W40</f>
        <v>499959.828</v>
      </c>
      <c r="X63" s="168"/>
    </row>
    <row r="64" customFormat="false" ht="18.75" hidden="false" customHeight="true" outlineLevel="0" collapsed="false">
      <c r="B64" s="169" t="s">
        <v>53</v>
      </c>
      <c r="C64" s="170" t="s">
        <v>3</v>
      </c>
      <c r="D64" s="171" t="n">
        <f aca="false">D41</f>
        <v>2011899.612096</v>
      </c>
      <c r="E64" s="171" t="n">
        <f aca="false">E41</f>
        <v>2003770.7247744</v>
      </c>
      <c r="F64" s="171" t="n">
        <f aca="false">F41</f>
        <v>1995641.8374528</v>
      </c>
      <c r="G64" s="171" t="n">
        <f aca="false">G41</f>
        <v>1987512.9501312</v>
      </c>
      <c r="H64" s="171" t="n">
        <f aca="false">H41</f>
        <v>1979384.0628096</v>
      </c>
      <c r="I64" s="171" t="n">
        <f aca="false">I41</f>
        <v>1971255.175488</v>
      </c>
      <c r="J64" s="171" t="n">
        <f aca="false">J41</f>
        <v>1963126.2881664</v>
      </c>
      <c r="K64" s="171" t="n">
        <f aca="false">K41</f>
        <v>1954997.4008448</v>
      </c>
      <c r="L64" s="171" t="n">
        <f aca="false">L41</f>
        <v>1946868.5135232</v>
      </c>
      <c r="M64" s="171" t="n">
        <f aca="false">M41</f>
        <v>1938739.6262016</v>
      </c>
      <c r="N64" s="171" t="n">
        <f aca="false">N41</f>
        <v>1930610.73888</v>
      </c>
      <c r="O64" s="171" t="n">
        <f aca="false">O41</f>
        <v>1922481.8515584</v>
      </c>
      <c r="P64" s="171" t="n">
        <f aca="false">P41</f>
        <v>1914352.9642368</v>
      </c>
      <c r="Q64" s="171" t="n">
        <f aca="false">Q41</f>
        <v>1906224.0769152</v>
      </c>
      <c r="R64" s="171" t="n">
        <f aca="false">R41</f>
        <v>1898095.1895936</v>
      </c>
      <c r="S64" s="171" t="n">
        <f aca="false">S41</f>
        <v>1889966.302272</v>
      </c>
      <c r="T64" s="171" t="n">
        <f aca="false">T41</f>
        <v>1881837.4149504</v>
      </c>
      <c r="U64" s="171" t="n">
        <f aca="false">U41</f>
        <v>1873708.5276288</v>
      </c>
      <c r="V64" s="171" t="n">
        <f aca="false">V41</f>
        <v>1865579.6403072</v>
      </c>
      <c r="W64" s="171" t="n">
        <f aca="false">W41</f>
        <v>1857450.7529856</v>
      </c>
      <c r="X64" s="172"/>
    </row>
    <row r="65" customFormat="false" ht="18.75" hidden="false" customHeight="true" outlineLevel="0" collapsed="false">
      <c r="B65" s="173" t="s">
        <v>54</v>
      </c>
      <c r="C65" s="174" t="s">
        <v>3</v>
      </c>
      <c r="D65" s="175"/>
      <c r="E65" s="175"/>
      <c r="F65" s="175"/>
      <c r="G65" s="176" t="s">
        <v>3</v>
      </c>
      <c r="H65" s="176" t="s">
        <v>3</v>
      </c>
      <c r="I65" s="176" t="s">
        <v>3</v>
      </c>
      <c r="J65" s="176" t="s">
        <v>3</v>
      </c>
      <c r="K65" s="176" t="s">
        <v>3</v>
      </c>
      <c r="L65" s="176" t="s">
        <v>3</v>
      </c>
      <c r="M65" s="176" t="s">
        <v>3</v>
      </c>
      <c r="N65" s="176" t="s">
        <v>3</v>
      </c>
      <c r="O65" s="176" t="s">
        <v>3</v>
      </c>
      <c r="P65" s="176" t="s">
        <v>3</v>
      </c>
      <c r="Q65" s="176" t="s">
        <v>3</v>
      </c>
      <c r="R65" s="176" t="s">
        <v>3</v>
      </c>
      <c r="S65" s="176" t="s">
        <v>3</v>
      </c>
      <c r="T65" s="176" t="s">
        <v>3</v>
      </c>
      <c r="U65" s="176" t="s">
        <v>3</v>
      </c>
      <c r="V65" s="176" t="s">
        <v>3</v>
      </c>
      <c r="W65" s="176" t="s">
        <v>3</v>
      </c>
      <c r="X65" s="177"/>
    </row>
    <row r="66" customFormat="false" ht="18.75" hidden="false" customHeight="true" outlineLevel="0" collapsed="false">
      <c r="B66" s="178" t="s">
        <v>55</v>
      </c>
      <c r="C66" s="179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1"/>
    </row>
    <row r="67" customFormat="false" ht="18.75" hidden="false" customHeight="true" outlineLevel="0" collapsed="false">
      <c r="B67" s="182" t="s">
        <v>120</v>
      </c>
      <c r="C67" s="174"/>
      <c r="D67" s="205" t="n">
        <f aca="false">$C$44/$E$16</f>
        <v>-906465</v>
      </c>
      <c r="E67" s="205" t="n">
        <f aca="false">$C$44/$E$16</f>
        <v>-906465</v>
      </c>
      <c r="F67" s="205" t="n">
        <f aca="false">$C$44/$E$16</f>
        <v>-906465</v>
      </c>
      <c r="G67" s="205" t="n">
        <f aca="false">$C$44/$E$16</f>
        <v>-906465</v>
      </c>
      <c r="H67" s="205" t="n">
        <f aca="false">$C$44/$E$16</f>
        <v>-906465</v>
      </c>
      <c r="I67" s="205" t="n">
        <f aca="false">$C$44/$E$16</f>
        <v>-906465</v>
      </c>
      <c r="J67" s="205" t="n">
        <f aca="false">$C$44/$E$16</f>
        <v>-906465</v>
      </c>
      <c r="K67" s="205" t="n">
        <f aca="false">$C$44/$E$16</f>
        <v>-906465</v>
      </c>
      <c r="L67" s="205" t="n">
        <f aca="false">$C$44/$E$16</f>
        <v>-906465</v>
      </c>
      <c r="M67" s="205" t="n">
        <f aca="false">$C$44/$E$16</f>
        <v>-906465</v>
      </c>
      <c r="N67" s="205" t="n">
        <f aca="false">$C$44/$E$16</f>
        <v>-906465</v>
      </c>
      <c r="O67" s="205" t="n">
        <f aca="false">$C$44/$E$16</f>
        <v>-906465</v>
      </c>
      <c r="P67" s="205" t="n">
        <f aca="false">$C$44/$E$16</f>
        <v>-906465</v>
      </c>
      <c r="Q67" s="205" t="n">
        <f aca="false">$C$44/$E$16</f>
        <v>-906465</v>
      </c>
      <c r="R67" s="205" t="n">
        <f aca="false">$C$44/$E$16</f>
        <v>-906465</v>
      </c>
      <c r="S67" s="205" t="n">
        <f aca="false">$C$44/$E$16</f>
        <v>-906465</v>
      </c>
      <c r="T67" s="205" t="n">
        <f aca="false">$C$44/$E$16</f>
        <v>-906465</v>
      </c>
      <c r="U67" s="205" t="n">
        <f aca="false">$C$44/$E$16</f>
        <v>-906465</v>
      </c>
      <c r="V67" s="205" t="n">
        <f aca="false">$C$44/$E$16</f>
        <v>-906465</v>
      </c>
      <c r="W67" s="205" t="n">
        <f aca="false">$C$44/$E$16</f>
        <v>-906465</v>
      </c>
      <c r="X67" s="177"/>
    </row>
    <row r="68" customFormat="false" ht="18.75" hidden="false" customHeight="true" outlineLevel="0" collapsed="false">
      <c r="B68" s="182" t="s">
        <v>57</v>
      </c>
      <c r="C68" s="174" t="s">
        <v>3</v>
      </c>
      <c r="D68" s="184" t="n">
        <f aca="false">D45</f>
        <v>0</v>
      </c>
      <c r="E68" s="184" t="n">
        <f aca="false">E45</f>
        <v>0</v>
      </c>
      <c r="F68" s="184" t="n">
        <f aca="false">F45</f>
        <v>0</v>
      </c>
      <c r="G68" s="184" t="n">
        <f aca="false">G45</f>
        <v>0</v>
      </c>
      <c r="H68" s="184" t="n">
        <f aca="false">H45</f>
        <v>0</v>
      </c>
      <c r="I68" s="184" t="n">
        <f aca="false">I45</f>
        <v>0</v>
      </c>
      <c r="J68" s="184" t="n">
        <f aca="false">J45</f>
        <v>0</v>
      </c>
      <c r="K68" s="184" t="n">
        <f aca="false">K45</f>
        <v>0</v>
      </c>
      <c r="L68" s="184" t="n">
        <f aca="false">L45</f>
        <v>0</v>
      </c>
      <c r="M68" s="184" t="n">
        <f aca="false">M45</f>
        <v>0</v>
      </c>
      <c r="N68" s="184" t="n">
        <f aca="false">N45</f>
        <v>0</v>
      </c>
      <c r="O68" s="184" t="n">
        <f aca="false">O45</f>
        <v>0</v>
      </c>
      <c r="P68" s="184" t="n">
        <f aca="false">P45</f>
        <v>0</v>
      </c>
      <c r="Q68" s="184" t="n">
        <f aca="false">Q45</f>
        <v>0</v>
      </c>
      <c r="R68" s="184" t="n">
        <f aca="false">R45</f>
        <v>0</v>
      </c>
      <c r="S68" s="184" t="n">
        <f aca="false">S45</f>
        <v>0</v>
      </c>
      <c r="T68" s="184" t="n">
        <f aca="false">T45</f>
        <v>0</v>
      </c>
      <c r="U68" s="184" t="n">
        <f aca="false">U45</f>
        <v>0</v>
      </c>
      <c r="V68" s="184" t="n">
        <f aca="false">V45</f>
        <v>0</v>
      </c>
      <c r="W68" s="184" t="n">
        <f aca="false">W45</f>
        <v>0</v>
      </c>
      <c r="X68" s="177"/>
    </row>
    <row r="69" customFormat="false" ht="18.75" hidden="false" customHeight="true" outlineLevel="0" collapsed="false">
      <c r="B69" s="182" t="s">
        <v>58</v>
      </c>
      <c r="C69" s="174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7"/>
    </row>
    <row r="70" customFormat="false" ht="18.75" hidden="false" customHeight="true" outlineLevel="0" collapsed="false">
      <c r="B70" s="182" t="s">
        <v>59</v>
      </c>
      <c r="C70" s="174" t="s">
        <v>3</v>
      </c>
      <c r="D70" s="184" t="n">
        <f aca="false">-D109*$D25</f>
        <v>-371215.5468</v>
      </c>
      <c r="E70" s="184" t="n">
        <f aca="false">-E109*$D25</f>
        <v>-371215.5468</v>
      </c>
      <c r="F70" s="184" t="n">
        <f aca="false">-F109*$D25</f>
        <v>-371215.5468</v>
      </c>
      <c r="G70" s="184" t="n">
        <f aca="false">-G109*$D25</f>
        <v>-371215.5468</v>
      </c>
      <c r="H70" s="184" t="n">
        <f aca="false">-H109*$D25</f>
        <v>-371215.5468</v>
      </c>
      <c r="I70" s="184" t="n">
        <f aca="false">-I109*$D25</f>
        <v>-371215.5468</v>
      </c>
      <c r="J70" s="184" t="n">
        <f aca="false">-J109*$D25</f>
        <v>-371215.5468</v>
      </c>
      <c r="K70" s="184" t="n">
        <f aca="false">-K109*$D25</f>
        <v>-371215.5468</v>
      </c>
      <c r="L70" s="184" t="n">
        <f aca="false">-L109*$D25</f>
        <v>-371215.5468</v>
      </c>
      <c r="M70" s="184" t="n">
        <f aca="false">-M109*$D25</f>
        <v>-371215.5468</v>
      </c>
      <c r="N70" s="184" t="n">
        <f aca="false">-N109*$D25</f>
        <v>-371215.5468</v>
      </c>
      <c r="O70" s="184" t="n">
        <f aca="false">-O109*$D25</f>
        <v>-371215.5468</v>
      </c>
      <c r="P70" s="184" t="n">
        <f aca="false">-P109*$D25</f>
        <v>-371215.5468</v>
      </c>
      <c r="Q70" s="184" t="n">
        <f aca="false">-Q109*$D25</f>
        <v>-371215.5468</v>
      </c>
      <c r="R70" s="184" t="n">
        <f aca="false">-R109*$D25</f>
        <v>-371215.5468</v>
      </c>
      <c r="S70" s="184" t="n">
        <f aca="false">-S109*$D25</f>
        <v>-371215.5468</v>
      </c>
      <c r="T70" s="184" t="n">
        <f aca="false">-T109*$D25</f>
        <v>-371215.5468</v>
      </c>
      <c r="U70" s="184" t="n">
        <f aca="false">-U109*$D25</f>
        <v>-371215.5468</v>
      </c>
      <c r="V70" s="184" t="n">
        <f aca="false">-V109*$D25</f>
        <v>-371215.5468</v>
      </c>
      <c r="W70" s="184" t="n">
        <f aca="false">-W109*$D25</f>
        <v>-371215.5468</v>
      </c>
      <c r="X70" s="177"/>
    </row>
    <row r="71" customFormat="false" ht="18.75" hidden="false" customHeight="true" outlineLevel="0" collapsed="false">
      <c r="B71" s="182" t="s">
        <v>60</v>
      </c>
      <c r="C71" s="174" t="s">
        <v>3</v>
      </c>
      <c r="D71" s="184" t="n">
        <f aca="false">D48</f>
        <v>0</v>
      </c>
      <c r="E71" s="184" t="n">
        <f aca="false">E48</f>
        <v>0</v>
      </c>
      <c r="F71" s="184" t="n">
        <f aca="false">F48</f>
        <v>0</v>
      </c>
      <c r="G71" s="184" t="n">
        <f aca="false">G48</f>
        <v>0</v>
      </c>
      <c r="H71" s="184" t="n">
        <f aca="false">H48</f>
        <v>0</v>
      </c>
      <c r="I71" s="184" t="n">
        <f aca="false">I48</f>
        <v>0</v>
      </c>
      <c r="J71" s="184" t="n">
        <f aca="false">J48</f>
        <v>0</v>
      </c>
      <c r="K71" s="184" t="n">
        <f aca="false">K48</f>
        <v>0</v>
      </c>
      <c r="L71" s="184" t="n">
        <f aca="false">L48</f>
        <v>0</v>
      </c>
      <c r="M71" s="184" t="n">
        <f aca="false">M48</f>
        <v>0</v>
      </c>
      <c r="N71" s="184" t="n">
        <f aca="false">N48</f>
        <v>0</v>
      </c>
      <c r="O71" s="184" t="n">
        <f aca="false">O48</f>
        <v>0</v>
      </c>
      <c r="P71" s="184" t="n">
        <f aca="false">P48</f>
        <v>0</v>
      </c>
      <c r="Q71" s="184" t="n">
        <f aca="false">Q48</f>
        <v>0</v>
      </c>
      <c r="R71" s="184" t="n">
        <f aca="false">R48</f>
        <v>0</v>
      </c>
      <c r="S71" s="184" t="n">
        <f aca="false">S48</f>
        <v>0</v>
      </c>
      <c r="T71" s="184" t="n">
        <f aca="false">T48</f>
        <v>0</v>
      </c>
      <c r="U71" s="184" t="n">
        <f aca="false">U48</f>
        <v>0</v>
      </c>
      <c r="V71" s="184" t="n">
        <f aca="false">V48</f>
        <v>0</v>
      </c>
      <c r="W71" s="184" t="n">
        <f aca="false">W48</f>
        <v>0</v>
      </c>
      <c r="X71" s="177"/>
    </row>
    <row r="72" customFormat="false" ht="18.75" hidden="false" customHeight="true" outlineLevel="0" collapsed="false">
      <c r="B72" s="182" t="s">
        <v>61</v>
      </c>
      <c r="C72" s="174" t="s">
        <v>3</v>
      </c>
      <c r="D72" s="184" t="n">
        <f aca="false">D49</f>
        <v>0</v>
      </c>
      <c r="E72" s="184" t="n">
        <f aca="false">E49</f>
        <v>0</v>
      </c>
      <c r="F72" s="184" t="n">
        <f aca="false">F49</f>
        <v>0</v>
      </c>
      <c r="G72" s="184" t="n">
        <f aca="false">G49</f>
        <v>0</v>
      </c>
      <c r="H72" s="184" t="n">
        <f aca="false">H49</f>
        <v>0</v>
      </c>
      <c r="I72" s="184" t="n">
        <f aca="false">I49</f>
        <v>0</v>
      </c>
      <c r="J72" s="184" t="n">
        <f aca="false">J49</f>
        <v>0</v>
      </c>
      <c r="K72" s="184" t="n">
        <f aca="false">K49</f>
        <v>0</v>
      </c>
      <c r="L72" s="184" t="n">
        <f aca="false">L49</f>
        <v>0</v>
      </c>
      <c r="M72" s="184" t="n">
        <f aca="false">M49</f>
        <v>0</v>
      </c>
      <c r="N72" s="184" t="n">
        <f aca="false">N49</f>
        <v>0</v>
      </c>
      <c r="O72" s="184" t="n">
        <f aca="false">O49</f>
        <v>0</v>
      </c>
      <c r="P72" s="184" t="n">
        <f aca="false">P49</f>
        <v>0</v>
      </c>
      <c r="Q72" s="184" t="n">
        <f aca="false">Q49</f>
        <v>0</v>
      </c>
      <c r="R72" s="184" t="n">
        <f aca="false">R49</f>
        <v>0</v>
      </c>
      <c r="S72" s="184" t="n">
        <f aca="false">S49</f>
        <v>0</v>
      </c>
      <c r="T72" s="184" t="n">
        <f aca="false">T49</f>
        <v>0</v>
      </c>
      <c r="U72" s="184" t="n">
        <f aca="false">U49</f>
        <v>0</v>
      </c>
      <c r="V72" s="184" t="n">
        <f aca="false">V49</f>
        <v>0</v>
      </c>
      <c r="W72" s="184" t="n">
        <f aca="false">W49</f>
        <v>0</v>
      </c>
      <c r="X72" s="177"/>
    </row>
    <row r="73" customFormat="false" ht="18.75" hidden="false" customHeight="true" outlineLevel="0" collapsed="false">
      <c r="B73" s="182" t="s">
        <v>62</v>
      </c>
      <c r="C73" s="174"/>
      <c r="D73" s="184" t="n">
        <f aca="false">D50</f>
        <v>0</v>
      </c>
      <c r="E73" s="184" t="n">
        <f aca="false">E50</f>
        <v>0</v>
      </c>
      <c r="F73" s="184" t="n">
        <f aca="false">F50</f>
        <v>0</v>
      </c>
      <c r="G73" s="184" t="n">
        <f aca="false">G50</f>
        <v>0</v>
      </c>
      <c r="H73" s="184" t="n">
        <f aca="false">H50</f>
        <v>0</v>
      </c>
      <c r="I73" s="184" t="n">
        <f aca="false">I50</f>
        <v>0</v>
      </c>
      <c r="J73" s="184" t="n">
        <f aca="false">J50</f>
        <v>0</v>
      </c>
      <c r="K73" s="184" t="n">
        <f aca="false">K50</f>
        <v>0</v>
      </c>
      <c r="L73" s="184" t="n">
        <f aca="false">L50</f>
        <v>0</v>
      </c>
      <c r="M73" s="184" t="n">
        <f aca="false">M50</f>
        <v>0</v>
      </c>
      <c r="N73" s="184" t="n">
        <f aca="false">N50</f>
        <v>0</v>
      </c>
      <c r="O73" s="184" t="n">
        <f aca="false">O50</f>
        <v>0</v>
      </c>
      <c r="P73" s="184" t="n">
        <f aca="false">P50</f>
        <v>0</v>
      </c>
      <c r="Q73" s="184" t="n">
        <f aca="false">Q50</f>
        <v>0</v>
      </c>
      <c r="R73" s="184" t="n">
        <f aca="false">R50</f>
        <v>0</v>
      </c>
      <c r="S73" s="184" t="n">
        <f aca="false">S50</f>
        <v>0</v>
      </c>
      <c r="T73" s="184" t="n">
        <f aca="false">T50</f>
        <v>0</v>
      </c>
      <c r="U73" s="184" t="n">
        <f aca="false">U50</f>
        <v>0</v>
      </c>
      <c r="V73" s="184" t="n">
        <f aca="false">V50</f>
        <v>0</v>
      </c>
      <c r="W73" s="184" t="n">
        <f aca="false">W50</f>
        <v>0</v>
      </c>
      <c r="X73" s="177"/>
    </row>
    <row r="74" customFormat="false" ht="18.75" hidden="false" customHeight="true" outlineLevel="0" collapsed="false">
      <c r="B74" s="182" t="s">
        <v>63</v>
      </c>
      <c r="C74" s="185"/>
      <c r="D74" s="206"/>
      <c r="E74" s="207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7"/>
    </row>
    <row r="75" customFormat="false" ht="18.75" hidden="false" customHeight="true" outlineLevel="0" collapsed="false">
      <c r="B75" s="182" t="s">
        <v>64</v>
      </c>
      <c r="C75" s="18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7"/>
    </row>
    <row r="76" customFormat="false" ht="18.75" hidden="false" customHeight="true" outlineLevel="0" collapsed="false">
      <c r="B76" s="187" t="s">
        <v>121</v>
      </c>
      <c r="C76" s="208"/>
      <c r="D76" s="189" t="n">
        <f aca="false">SUM(D64:D75)</f>
        <v>734219.065296</v>
      </c>
      <c r="E76" s="189" t="n">
        <f aca="false">SUM(E64:E75)</f>
        <v>726090.1779744</v>
      </c>
      <c r="F76" s="189" t="n">
        <f aca="false">SUM(F64:F75)</f>
        <v>717961.2906528</v>
      </c>
      <c r="G76" s="189" t="n">
        <f aca="false">SUM(G64:G75)</f>
        <v>709832.4033312</v>
      </c>
      <c r="H76" s="189" t="n">
        <f aca="false">SUM(H64:H75)</f>
        <v>701703.5160096</v>
      </c>
      <c r="I76" s="189" t="n">
        <f aca="false">SUM(I64:I75)</f>
        <v>693574.628688</v>
      </c>
      <c r="J76" s="189" t="n">
        <f aca="false">SUM(J64:J75)</f>
        <v>685445.7413664</v>
      </c>
      <c r="K76" s="189" t="n">
        <f aca="false">SUM(K64:K75)</f>
        <v>677316.8540448</v>
      </c>
      <c r="L76" s="189" t="n">
        <f aca="false">SUM(L64:L75)</f>
        <v>669187.9667232</v>
      </c>
      <c r="M76" s="189" t="n">
        <f aca="false">SUM(M64:M75)</f>
        <v>661059.0794016</v>
      </c>
      <c r="N76" s="189" t="n">
        <f aca="false">SUM(N64:N75)</f>
        <v>652930.19208</v>
      </c>
      <c r="O76" s="189" t="n">
        <f aca="false">SUM(O64:O75)</f>
        <v>644801.3047584</v>
      </c>
      <c r="P76" s="189" t="n">
        <f aca="false">SUM(P64:P75)</f>
        <v>636672.4174368</v>
      </c>
      <c r="Q76" s="189" t="n">
        <f aca="false">SUM(Q64:Q75)</f>
        <v>628543.5301152</v>
      </c>
      <c r="R76" s="189" t="n">
        <f aca="false">SUM(R64:R75)</f>
        <v>620414.6427936</v>
      </c>
      <c r="S76" s="189" t="n">
        <f aca="false">SUM(S64:S75)</f>
        <v>612285.755472</v>
      </c>
      <c r="T76" s="189" t="n">
        <f aca="false">SUM(T64:T75)</f>
        <v>604156.8681504</v>
      </c>
      <c r="U76" s="189" t="n">
        <f aca="false">SUM(U64:U75)</f>
        <v>596027.9808288</v>
      </c>
      <c r="V76" s="189" t="n">
        <f aca="false">SUM(V64:V75)</f>
        <v>587899.0935072</v>
      </c>
      <c r="W76" s="189" t="n">
        <f aca="false">SUM(W64:W75)</f>
        <v>579770.2061856</v>
      </c>
      <c r="X76" s="189" t="n">
        <f aca="false">SUM(X64:X75)</f>
        <v>0</v>
      </c>
    </row>
    <row r="77" customFormat="false" ht="18.75" hidden="false" customHeight="true" outlineLevel="0" collapsed="false">
      <c r="B77" s="186" t="s">
        <v>66</v>
      </c>
      <c r="C77" s="185"/>
      <c r="D77" s="184" t="n">
        <f aca="false">-D76*0.2</f>
        <v>-146843.8130592</v>
      </c>
      <c r="E77" s="184" t="n">
        <f aca="false">-E76*0.2</f>
        <v>-145218.03559488</v>
      </c>
      <c r="F77" s="184" t="n">
        <f aca="false">-F76*0.2</f>
        <v>-143592.25813056</v>
      </c>
      <c r="G77" s="184" t="n">
        <f aca="false">-G76*0.2</f>
        <v>-141966.48066624</v>
      </c>
      <c r="H77" s="184" t="n">
        <f aca="false">-H76*0.2</f>
        <v>-140340.70320192</v>
      </c>
      <c r="I77" s="184" t="n">
        <f aca="false">-I76*0.2</f>
        <v>-138714.9257376</v>
      </c>
      <c r="J77" s="184" t="n">
        <f aca="false">-J76*0.2</f>
        <v>-137089.14827328</v>
      </c>
      <c r="K77" s="184" t="n">
        <f aca="false">-K76*0.2</f>
        <v>-135463.37080896</v>
      </c>
      <c r="L77" s="184" t="n">
        <f aca="false">-L76*0.2</f>
        <v>-133837.59334464</v>
      </c>
      <c r="M77" s="184" t="n">
        <f aca="false">-M76*0.2</f>
        <v>-132211.81588032</v>
      </c>
      <c r="N77" s="184" t="n">
        <f aca="false">-N76*0.2</f>
        <v>-130586.038416</v>
      </c>
      <c r="O77" s="184" t="n">
        <f aca="false">-O76*0.2</f>
        <v>-128960.26095168</v>
      </c>
      <c r="P77" s="184" t="n">
        <f aca="false">-P76*0.2</f>
        <v>-127334.48348736</v>
      </c>
      <c r="Q77" s="184" t="n">
        <f aca="false">-Q76*0.2</f>
        <v>-125708.70602304</v>
      </c>
      <c r="R77" s="184" t="n">
        <f aca="false">-R76*0.2</f>
        <v>-124082.92855872</v>
      </c>
      <c r="S77" s="184" t="n">
        <f aca="false">-S76*0.2</f>
        <v>-122457.1510944</v>
      </c>
      <c r="T77" s="184" t="n">
        <f aca="false">-T76*0.2</f>
        <v>-120831.37363008</v>
      </c>
      <c r="U77" s="184" t="n">
        <f aca="false">-U76*0.2</f>
        <v>-119205.59616576</v>
      </c>
      <c r="V77" s="184" t="n">
        <f aca="false">-V76*0.2</f>
        <v>-117579.81870144</v>
      </c>
      <c r="W77" s="184" t="n">
        <f aca="false">-W76*0.2</f>
        <v>-115954.04123712</v>
      </c>
      <c r="X77" s="184" t="n">
        <f aca="false">-X76*0.2</f>
        <v>-0</v>
      </c>
    </row>
    <row r="78" customFormat="false" ht="15" hidden="false" customHeight="false" outlineLevel="0" collapsed="false">
      <c r="B78" s="209" t="s">
        <v>76</v>
      </c>
      <c r="D78" s="184" t="n">
        <f aca="false">SUM(D76:D77)</f>
        <v>587375.2522368</v>
      </c>
      <c r="E78" s="184" t="n">
        <f aca="false">SUM(E76:E77)</f>
        <v>580872.14237952</v>
      </c>
      <c r="F78" s="184" t="n">
        <f aca="false">SUM(F76:F77)</f>
        <v>574369.03252224</v>
      </c>
      <c r="G78" s="184" t="n">
        <f aca="false">SUM(G76:G77)</f>
        <v>567865.92266496</v>
      </c>
      <c r="H78" s="184" t="n">
        <f aca="false">SUM(H76:H77)</f>
        <v>561362.81280768</v>
      </c>
      <c r="I78" s="184" t="n">
        <f aca="false">SUM(I76:I77)</f>
        <v>554859.7029504</v>
      </c>
      <c r="J78" s="184" t="n">
        <f aca="false">SUM(J76:J77)</f>
        <v>548356.59309312</v>
      </c>
      <c r="K78" s="184" t="n">
        <f aca="false">SUM(K76:K77)</f>
        <v>541853.48323584</v>
      </c>
      <c r="L78" s="184" t="n">
        <f aca="false">SUM(L76:L77)</f>
        <v>535350.37337856</v>
      </c>
      <c r="M78" s="184" t="n">
        <f aca="false">SUM(M76:M77)</f>
        <v>528847.26352128</v>
      </c>
      <c r="N78" s="184" t="n">
        <f aca="false">SUM(N76:N77)</f>
        <v>522344.153664</v>
      </c>
      <c r="O78" s="184" t="n">
        <f aca="false">SUM(O76:O77)</f>
        <v>515841.04380672</v>
      </c>
      <c r="P78" s="184" t="n">
        <f aca="false">SUM(P76:P77)</f>
        <v>509337.93394944</v>
      </c>
      <c r="Q78" s="184" t="n">
        <f aca="false">SUM(Q76:Q77)</f>
        <v>502834.82409216</v>
      </c>
      <c r="R78" s="184" t="n">
        <f aca="false">SUM(R76:R77)</f>
        <v>496331.71423488</v>
      </c>
      <c r="S78" s="184" t="n">
        <f aca="false">SUM(S76:S77)</f>
        <v>489828.6043776</v>
      </c>
      <c r="T78" s="184" t="n">
        <f aca="false">SUM(T76:T77)</f>
        <v>483325.49452032</v>
      </c>
      <c r="U78" s="184" t="n">
        <f aca="false">SUM(U76:U77)</f>
        <v>476822.38466304</v>
      </c>
      <c r="V78" s="184" t="n">
        <f aca="false">SUM(V76:V77)</f>
        <v>470319.27480576</v>
      </c>
      <c r="W78" s="184" t="n">
        <f aca="false">SUM(W76:W77)</f>
        <v>463816.16494848</v>
      </c>
      <c r="X78" s="184" t="n">
        <f aca="false">SUM(X76:X77)</f>
        <v>0</v>
      </c>
    </row>
    <row r="79" customFormat="false" ht="18.75" hidden="false" customHeight="true" outlineLevel="0" collapsed="false">
      <c r="B79" s="193" t="s">
        <v>68</v>
      </c>
      <c r="C79" s="196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1"/>
    </row>
    <row r="80" customFormat="false" ht="18.75" hidden="false" customHeight="true" outlineLevel="0" collapsed="false">
      <c r="B80" s="212" t="s">
        <v>74</v>
      </c>
      <c r="C80" s="213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5"/>
    </row>
    <row r="81" customFormat="false" ht="18.75" hidden="false" customHeight="true" outlineLevel="0" collapsed="false">
      <c r="B81" s="202"/>
      <c r="C81" s="201"/>
      <c r="D81" s="201"/>
      <c r="E81" s="201"/>
      <c r="F81" s="202"/>
      <c r="G81" s="202"/>
      <c r="H81" s="202"/>
      <c r="I81" s="202"/>
      <c r="J81" s="202"/>
      <c r="K81" s="202"/>
      <c r="L81" s="202"/>
      <c r="M81" s="201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</row>
    <row r="82" customFormat="false" ht="18.75" hidden="false" customHeight="true" outlineLevel="0" collapsed="false">
      <c r="C82" s="216" t="s">
        <v>48</v>
      </c>
      <c r="D82" s="217" t="n">
        <f aca="false">D37</f>
        <v>2020</v>
      </c>
      <c r="E82" s="217" t="n">
        <f aca="false">E37</f>
        <v>2021</v>
      </c>
      <c r="F82" s="217" t="n">
        <f aca="false">F37</f>
        <v>2022</v>
      </c>
      <c r="G82" s="217" t="n">
        <f aca="false">G37</f>
        <v>2023</v>
      </c>
      <c r="H82" s="217" t="n">
        <f aca="false">H37</f>
        <v>2024</v>
      </c>
      <c r="I82" s="217" t="n">
        <f aca="false">I37</f>
        <v>2025</v>
      </c>
      <c r="J82" s="217" t="n">
        <f aca="false">J37</f>
        <v>2026</v>
      </c>
      <c r="K82" s="217" t="n">
        <f aca="false">K37</f>
        <v>2027</v>
      </c>
      <c r="L82" s="217" t="n">
        <f aca="false">L37</f>
        <v>2028</v>
      </c>
      <c r="M82" s="217" t="n">
        <f aca="false">M37</f>
        <v>2029</v>
      </c>
      <c r="N82" s="217" t="n">
        <f aca="false">N37</f>
        <v>2030</v>
      </c>
      <c r="O82" s="217" t="n">
        <f aca="false">O37</f>
        <v>2031</v>
      </c>
      <c r="P82" s="217" t="n">
        <f aca="false">P37</f>
        <v>2032</v>
      </c>
      <c r="Q82" s="217" t="n">
        <f aca="false">Q37</f>
        <v>2033</v>
      </c>
      <c r="R82" s="217" t="n">
        <f aca="false">R37</f>
        <v>2034</v>
      </c>
      <c r="S82" s="217" t="n">
        <f aca="false">S37</f>
        <v>2035</v>
      </c>
      <c r="T82" s="217" t="n">
        <f aca="false">T37</f>
        <v>2036</v>
      </c>
      <c r="U82" s="217" t="n">
        <f aca="false">U37</f>
        <v>2037</v>
      </c>
      <c r="V82" s="217" t="n">
        <f aca="false">V37</f>
        <v>2038</v>
      </c>
      <c r="W82" s="217" t="n">
        <f aca="false">W37</f>
        <v>2039</v>
      </c>
      <c r="X82" s="72"/>
    </row>
    <row r="83" customFormat="false" ht="18.75" hidden="false" customHeight="true" outlineLevel="0" collapsed="false">
      <c r="X83" s="135"/>
    </row>
    <row r="84" customFormat="false" ht="18.75" hidden="false" customHeight="true" outlineLevel="0" collapsed="false">
      <c r="B84" s="218" t="s">
        <v>51</v>
      </c>
      <c r="C84" s="218" t="n">
        <v>0</v>
      </c>
      <c r="D84" s="218" t="n">
        <v>1</v>
      </c>
      <c r="E84" s="218" t="n">
        <v>2</v>
      </c>
      <c r="F84" s="218" t="n">
        <v>3</v>
      </c>
      <c r="G84" s="218" t="n">
        <v>4</v>
      </c>
      <c r="H84" s="218" t="n">
        <v>5</v>
      </c>
      <c r="I84" s="218" t="n">
        <v>6</v>
      </c>
      <c r="J84" s="218" t="n">
        <v>7</v>
      </c>
      <c r="K84" s="218" t="n">
        <v>8</v>
      </c>
      <c r="L84" s="218" t="n">
        <v>9</v>
      </c>
      <c r="M84" s="218" t="n">
        <v>10</v>
      </c>
      <c r="N84" s="218" t="n">
        <v>11</v>
      </c>
      <c r="O84" s="218" t="n">
        <v>12</v>
      </c>
      <c r="P84" s="218" t="n">
        <v>13</v>
      </c>
      <c r="Q84" s="218" t="n">
        <v>14</v>
      </c>
      <c r="R84" s="218" t="n">
        <v>15</v>
      </c>
      <c r="S84" s="218" t="n">
        <v>16</v>
      </c>
      <c r="T84" s="218" t="n">
        <v>17</v>
      </c>
      <c r="U84" s="218" t="n">
        <v>18</v>
      </c>
      <c r="V84" s="218" t="n">
        <v>19</v>
      </c>
      <c r="W84" s="218" t="n">
        <v>20</v>
      </c>
      <c r="X84" s="103"/>
    </row>
    <row r="85" customFormat="false" ht="18.75" hidden="false" customHeight="true" outlineLevel="0" collapsed="false">
      <c r="B85" s="219" t="s">
        <v>76</v>
      </c>
      <c r="C85" s="219"/>
      <c r="D85" s="220" t="n">
        <f aca="false">D78</f>
        <v>587375.2522368</v>
      </c>
      <c r="E85" s="220" t="n">
        <f aca="false">E78</f>
        <v>580872.14237952</v>
      </c>
      <c r="F85" s="220" t="n">
        <f aca="false">F78</f>
        <v>574369.03252224</v>
      </c>
      <c r="G85" s="220" t="n">
        <f aca="false">G78</f>
        <v>567865.92266496</v>
      </c>
      <c r="H85" s="220" t="n">
        <f aca="false">H78</f>
        <v>561362.81280768</v>
      </c>
      <c r="I85" s="220" t="n">
        <f aca="false">I78</f>
        <v>554859.7029504</v>
      </c>
      <c r="J85" s="220" t="n">
        <f aca="false">J78</f>
        <v>548356.59309312</v>
      </c>
      <c r="K85" s="220" t="n">
        <f aca="false">K78</f>
        <v>541853.48323584</v>
      </c>
      <c r="L85" s="220" t="n">
        <f aca="false">L78</f>
        <v>535350.37337856</v>
      </c>
      <c r="M85" s="220" t="n">
        <f aca="false">M78</f>
        <v>528847.26352128</v>
      </c>
      <c r="N85" s="220" t="n">
        <f aca="false">N78</f>
        <v>522344.153664</v>
      </c>
      <c r="O85" s="220" t="n">
        <f aca="false">O78</f>
        <v>515841.04380672</v>
      </c>
      <c r="P85" s="220" t="n">
        <f aca="false">P78</f>
        <v>509337.93394944</v>
      </c>
      <c r="Q85" s="220" t="n">
        <f aca="false">Q78</f>
        <v>502834.82409216</v>
      </c>
      <c r="R85" s="220" t="n">
        <f aca="false">R78</f>
        <v>496331.71423488</v>
      </c>
      <c r="S85" s="220" t="n">
        <f aca="false">S78</f>
        <v>489828.6043776</v>
      </c>
      <c r="T85" s="220" t="n">
        <f aca="false">T78</f>
        <v>483325.49452032</v>
      </c>
      <c r="U85" s="220" t="n">
        <f aca="false">U78</f>
        <v>476822.38466304</v>
      </c>
      <c r="V85" s="220" t="n">
        <f aca="false">V78</f>
        <v>470319.27480576</v>
      </c>
      <c r="W85" s="220" t="n">
        <f aca="false">W78</f>
        <v>463816.16494848</v>
      </c>
      <c r="X85" s="219"/>
      <c r="Y85" s="219"/>
    </row>
    <row r="86" customFormat="false" ht="15" hidden="false" customHeight="false" outlineLevel="0" collapsed="false">
      <c r="B86" s="219" t="s">
        <v>77</v>
      </c>
      <c r="C86" s="219"/>
      <c r="D86" s="221" t="n">
        <f aca="false">-D67</f>
        <v>906465</v>
      </c>
      <c r="E86" s="221" t="n">
        <f aca="false">-E67</f>
        <v>906465</v>
      </c>
      <c r="F86" s="221" t="n">
        <f aca="false">-F67</f>
        <v>906465</v>
      </c>
      <c r="G86" s="221" t="n">
        <f aca="false">-G67</f>
        <v>906465</v>
      </c>
      <c r="H86" s="221" t="n">
        <f aca="false">-H67</f>
        <v>906465</v>
      </c>
      <c r="I86" s="221" t="n">
        <f aca="false">-I67</f>
        <v>906465</v>
      </c>
      <c r="J86" s="221" t="n">
        <f aca="false">-J67</f>
        <v>906465</v>
      </c>
      <c r="K86" s="221" t="n">
        <f aca="false">-K67</f>
        <v>906465</v>
      </c>
      <c r="L86" s="221" t="n">
        <f aca="false">-L67</f>
        <v>906465</v>
      </c>
      <c r="M86" s="221" t="n">
        <f aca="false">-M67</f>
        <v>906465</v>
      </c>
      <c r="N86" s="221" t="n">
        <f aca="false">-N67</f>
        <v>906465</v>
      </c>
      <c r="O86" s="221" t="n">
        <f aca="false">-O67</f>
        <v>906465</v>
      </c>
      <c r="P86" s="221" t="n">
        <f aca="false">-P67</f>
        <v>906465</v>
      </c>
      <c r="Q86" s="221" t="n">
        <f aca="false">-Q67</f>
        <v>906465</v>
      </c>
      <c r="R86" s="221" t="n">
        <f aca="false">-R67</f>
        <v>906465</v>
      </c>
      <c r="S86" s="221" t="n">
        <f aca="false">-S67</f>
        <v>906465</v>
      </c>
      <c r="T86" s="221" t="n">
        <f aca="false">-T67</f>
        <v>906465</v>
      </c>
      <c r="U86" s="221" t="n">
        <f aca="false">-U67</f>
        <v>906465</v>
      </c>
      <c r="V86" s="221" t="n">
        <f aca="false">-V67</f>
        <v>906465</v>
      </c>
      <c r="W86" s="221" t="n">
        <f aca="false">-W67</f>
        <v>906465</v>
      </c>
      <c r="X86" s="222"/>
      <c r="Y86" s="222"/>
    </row>
    <row r="87" customFormat="false" ht="15" hidden="false" customHeight="false" outlineLevel="0" collapsed="false">
      <c r="B87" s="219" t="s">
        <v>78</v>
      </c>
      <c r="C87" s="219"/>
      <c r="D87" s="223" t="n">
        <f aca="false">SUM(D85:D86)</f>
        <v>1493840.2522368</v>
      </c>
      <c r="E87" s="223" t="n">
        <f aca="false">SUM(E85:E86)</f>
        <v>1487337.14237952</v>
      </c>
      <c r="F87" s="223" t="n">
        <f aca="false">SUM(F85:F86)</f>
        <v>1480834.03252224</v>
      </c>
      <c r="G87" s="223" t="n">
        <f aca="false">SUM(G85:G86)</f>
        <v>1474330.92266496</v>
      </c>
      <c r="H87" s="223" t="n">
        <f aca="false">SUM(H85:H86)</f>
        <v>1467827.81280768</v>
      </c>
      <c r="I87" s="223" t="n">
        <f aca="false">SUM(I85:I86)</f>
        <v>1461324.7029504</v>
      </c>
      <c r="J87" s="223" t="n">
        <f aca="false">SUM(J85:J86)</f>
        <v>1454821.59309312</v>
      </c>
      <c r="K87" s="223" t="n">
        <f aca="false">SUM(K85:K86)</f>
        <v>1448318.48323584</v>
      </c>
      <c r="L87" s="223" t="n">
        <f aca="false">SUM(L85:L86)</f>
        <v>1441815.37337856</v>
      </c>
      <c r="M87" s="223" t="n">
        <f aca="false">SUM(M85:M86)</f>
        <v>1435312.26352128</v>
      </c>
      <c r="N87" s="223" t="n">
        <f aca="false">SUM(N85:N86)</f>
        <v>1428809.153664</v>
      </c>
      <c r="O87" s="223" t="n">
        <f aca="false">SUM(O85:O86)</f>
        <v>1422306.04380672</v>
      </c>
      <c r="P87" s="223" t="n">
        <f aca="false">SUM(P85:P86)</f>
        <v>1415802.93394944</v>
      </c>
      <c r="Q87" s="223" t="n">
        <f aca="false">SUM(Q85:Q86)</f>
        <v>1409299.82409216</v>
      </c>
      <c r="R87" s="223" t="n">
        <f aca="false">SUM(R85:R86)</f>
        <v>1402796.71423488</v>
      </c>
      <c r="S87" s="223" t="n">
        <f aca="false">SUM(S85:S86)</f>
        <v>1396293.6043776</v>
      </c>
      <c r="T87" s="223" t="n">
        <f aca="false">SUM(T85:T86)</f>
        <v>1389790.49452032</v>
      </c>
      <c r="U87" s="223" t="n">
        <f aca="false">SUM(U85:U86)</f>
        <v>1383287.38466304</v>
      </c>
      <c r="V87" s="223" t="n">
        <f aca="false">SUM(V85:V86)</f>
        <v>1376784.27480576</v>
      </c>
      <c r="W87" s="223" t="n">
        <f aca="false">SUM(W85:W86)</f>
        <v>1370281.16494848</v>
      </c>
      <c r="X87" s="192"/>
    </row>
    <row r="88" customFormat="false" ht="15" hidden="false" customHeight="false" outlineLevel="0" collapsed="false">
      <c r="B88" s="219"/>
      <c r="C88" s="219"/>
      <c r="D88" s="219"/>
      <c r="E88" s="219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191"/>
    </row>
    <row r="89" customFormat="false" ht="17.15" hidden="false" customHeight="false" outlineLevel="0" collapsed="false">
      <c r="B89" s="225" t="s">
        <v>79</v>
      </c>
      <c r="C89" s="226"/>
      <c r="D89" s="227" t="n">
        <f aca="false">C44</f>
        <v>-18129300</v>
      </c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8"/>
    </row>
    <row r="90" customFormat="false" ht="15" hidden="false" customHeight="false" outlineLevel="0" collapsed="false">
      <c r="B90" s="219"/>
      <c r="C90" s="219"/>
      <c r="D90" s="219"/>
      <c r="E90" s="219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191"/>
    </row>
    <row r="91" customFormat="false" ht="15" hidden="false" customHeight="false" outlineLevel="0" collapsed="false">
      <c r="B91" s="219"/>
      <c r="C91" s="219"/>
      <c r="D91" s="219"/>
      <c r="E91" s="219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191"/>
    </row>
    <row r="92" customFormat="false" ht="17.15" hidden="false" customHeight="false" outlineLevel="0" collapsed="false">
      <c r="B92" s="225" t="s">
        <v>80</v>
      </c>
      <c r="C92" s="226"/>
      <c r="D92" s="227" t="n">
        <f aca="false">-D89*D31</f>
        <v>14503440</v>
      </c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191"/>
    </row>
    <row r="93" customFormat="false" ht="17.15" hidden="false" customHeight="false" outlineLevel="0" collapsed="false">
      <c r="B93" s="219" t="s">
        <v>81</v>
      </c>
      <c r="C93" s="21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8"/>
    </row>
    <row r="94" customFormat="false" ht="17.15" hidden="false" customHeight="false" outlineLevel="0" collapsed="false">
      <c r="B94" s="219" t="s">
        <v>82</v>
      </c>
      <c r="C94" s="224"/>
      <c r="D94" s="220" t="n">
        <f aca="false">-D89*(1-D31)</f>
        <v>3625860</v>
      </c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192"/>
    </row>
    <row r="95" customFormat="false" ht="15" hidden="false" customHeight="false" outlineLevel="0" collapsed="false">
      <c r="B95" s="219" t="s">
        <v>45</v>
      </c>
      <c r="C95" s="224"/>
      <c r="D95" s="224"/>
      <c r="E95" s="230" t="n">
        <f aca="false">-D85*$D$33</f>
        <v>-528637.72701312</v>
      </c>
      <c r="F95" s="230" t="n">
        <f aca="false">-E85*$D$33</f>
        <v>-522784.928141568</v>
      </c>
      <c r="G95" s="230" t="n">
        <f aca="false">-F85*$D$33</f>
        <v>-516932.129270016</v>
      </c>
      <c r="H95" s="230" t="n">
        <f aca="false">-G85*$D$33</f>
        <v>-511079.330398464</v>
      </c>
      <c r="I95" s="230" t="n">
        <f aca="false">-H85*$D$33</f>
        <v>-505226.531526912</v>
      </c>
      <c r="J95" s="230" t="n">
        <f aca="false">-I85*$D$33</f>
        <v>-499373.73265536</v>
      </c>
      <c r="K95" s="230" t="n">
        <f aca="false">-J85*$D$33</f>
        <v>-493520.933783808</v>
      </c>
      <c r="L95" s="230" t="n">
        <f aca="false">-K85*$D$33</f>
        <v>-487668.134912256</v>
      </c>
      <c r="M95" s="230" t="n">
        <f aca="false">-L85*$D$33</f>
        <v>-481815.336040704</v>
      </c>
      <c r="N95" s="230" t="n">
        <f aca="false">-M85*$D$33</f>
        <v>-475962.537169152</v>
      </c>
      <c r="O95" s="230" t="n">
        <f aca="false">-N85*$D$33</f>
        <v>-470109.7382976</v>
      </c>
      <c r="P95" s="230" t="n">
        <f aca="false">-O85*$D$33</f>
        <v>-464256.939426048</v>
      </c>
      <c r="Q95" s="230" t="n">
        <f aca="false">-P85*$D$33</f>
        <v>-458404.140554496</v>
      </c>
      <c r="R95" s="230" t="n">
        <f aca="false">-Q85*$D$33</f>
        <v>-452551.341682944</v>
      </c>
      <c r="S95" s="230" t="n">
        <f aca="false">-R85*$D$33</f>
        <v>-446698.542811392</v>
      </c>
      <c r="T95" s="230" t="n">
        <f aca="false">-S85*$D$33</f>
        <v>-440845.74393984</v>
      </c>
      <c r="U95" s="230" t="n">
        <f aca="false">-T85*$D$33</f>
        <v>-434992.945068288</v>
      </c>
      <c r="V95" s="230" t="n">
        <f aca="false">-U85*$D$33</f>
        <v>-429140.146196736</v>
      </c>
      <c r="W95" s="230" t="n">
        <f aca="false">-V85*$D$33</f>
        <v>-423287.347325184</v>
      </c>
      <c r="X95" s="230" t="n">
        <f aca="false">-W85*$D$33</f>
        <v>-417434.548453632</v>
      </c>
    </row>
    <row r="96" customFormat="false" ht="15" hidden="false" customHeight="false" outlineLevel="0" collapsed="false">
      <c r="B96" s="231" t="s">
        <v>47</v>
      </c>
      <c r="C96" s="232"/>
      <c r="D96" s="232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4" t="n">
        <f aca="false">-W101-X95</f>
        <v>-19180491.4171853</v>
      </c>
    </row>
    <row r="97" customFormat="false" ht="15" hidden="false" customHeight="false" outlineLevel="0" collapsed="false"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192"/>
    </row>
    <row r="98" customFormat="false" ht="15" hidden="false" customHeight="false" outlineLevel="0" collapsed="false"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192"/>
    </row>
    <row r="99" customFormat="false" ht="17.15" hidden="false" customHeight="false" outlineLevel="0" collapsed="false">
      <c r="B99" s="219" t="s">
        <v>83</v>
      </c>
      <c r="C99" s="220" t="n">
        <v>0</v>
      </c>
      <c r="D99" s="220" t="n">
        <f aca="false">SUM(D87:D96)</f>
        <v>1493840.2522368</v>
      </c>
      <c r="E99" s="220" t="n">
        <f aca="false">SUM(E87:E96)</f>
        <v>958699.4153664</v>
      </c>
      <c r="F99" s="220" t="n">
        <f aca="false">SUM(F87:F96)</f>
        <v>958049.104380672</v>
      </c>
      <c r="G99" s="220" t="n">
        <f aca="false">SUM(G87:G96)</f>
        <v>957398.793394944</v>
      </c>
      <c r="H99" s="220" t="n">
        <f aca="false">SUM(H87:H96)</f>
        <v>956748.482409216</v>
      </c>
      <c r="I99" s="220" t="n">
        <f aca="false">SUM(I87:I96)</f>
        <v>956098.171423488</v>
      </c>
      <c r="J99" s="220" t="n">
        <f aca="false">SUM(J87:J96)</f>
        <v>955447.86043776</v>
      </c>
      <c r="K99" s="220" t="n">
        <f aca="false">SUM(K87:K96)</f>
        <v>954797.549452032</v>
      </c>
      <c r="L99" s="220" t="n">
        <f aca="false">SUM(L87:L96)</f>
        <v>954147.238466304</v>
      </c>
      <c r="M99" s="220" t="n">
        <f aca="false">SUM(M87:M96)</f>
        <v>953496.927480576</v>
      </c>
      <c r="N99" s="220" t="n">
        <f aca="false">SUM(N87:N96)</f>
        <v>952846.616494848</v>
      </c>
      <c r="O99" s="220" t="n">
        <f aca="false">SUM(O87:O96)</f>
        <v>952196.30550912</v>
      </c>
      <c r="P99" s="220" t="n">
        <f aca="false">SUM(P87:P96)</f>
        <v>951545.994523392</v>
      </c>
      <c r="Q99" s="220" t="n">
        <f aca="false">SUM(Q87:Q96)</f>
        <v>950895.683537664</v>
      </c>
      <c r="R99" s="220" t="n">
        <f aca="false">SUM(R87:R96)</f>
        <v>950245.372551936</v>
      </c>
      <c r="S99" s="220" t="n">
        <f aca="false">SUM(S87:S96)</f>
        <v>949595.061566208</v>
      </c>
      <c r="T99" s="220" t="n">
        <f aca="false">SUM(T87:T96)</f>
        <v>948944.75058048</v>
      </c>
      <c r="U99" s="220" t="n">
        <f aca="false">SUM(U87:U96)</f>
        <v>948294.439594752</v>
      </c>
      <c r="V99" s="220" t="n">
        <f aca="false">SUM(V87:V96)</f>
        <v>947644.128609024</v>
      </c>
      <c r="W99" s="220" t="n">
        <f aca="false">SUM(W87:W96)</f>
        <v>946993.817623296</v>
      </c>
      <c r="X99" s="192"/>
    </row>
    <row r="100" customFormat="false" ht="15" hidden="false" customHeight="false" outlineLevel="0" collapsed="false">
      <c r="B100" s="219" t="s">
        <v>84</v>
      </c>
      <c r="C100" s="220" t="n">
        <v>0</v>
      </c>
      <c r="D100" s="220" t="n">
        <f aca="false">C101</f>
        <v>0</v>
      </c>
      <c r="E100" s="220" t="n">
        <f aca="false">D101</f>
        <v>1493840.2522368</v>
      </c>
      <c r="F100" s="220" t="n">
        <f aca="false">E101</f>
        <v>2452539.6676032</v>
      </c>
      <c r="G100" s="220" t="n">
        <f aca="false">F101</f>
        <v>3410588.77198387</v>
      </c>
      <c r="H100" s="220" t="n">
        <f aca="false">G101</f>
        <v>4367987.56537882</v>
      </c>
      <c r="I100" s="220" t="n">
        <f aca="false">H101</f>
        <v>5324736.04778803</v>
      </c>
      <c r="J100" s="220" t="n">
        <f aca="false">I101</f>
        <v>6280834.21921152</v>
      </c>
      <c r="K100" s="220" t="n">
        <f aca="false">J101</f>
        <v>7236282.07964928</v>
      </c>
      <c r="L100" s="220" t="n">
        <f aca="false">K101</f>
        <v>8191079.62910131</v>
      </c>
      <c r="M100" s="220" t="n">
        <f aca="false">L101</f>
        <v>9145226.86756762</v>
      </c>
      <c r="N100" s="220" t="n">
        <f aca="false">M101</f>
        <v>10098723.7950482</v>
      </c>
      <c r="O100" s="220" t="n">
        <f aca="false">N101</f>
        <v>11051570.411543</v>
      </c>
      <c r="P100" s="220" t="n">
        <f aca="false">O101</f>
        <v>12003766.7170522</v>
      </c>
      <c r="Q100" s="220" t="n">
        <f aca="false">P101</f>
        <v>12955312.7115756</v>
      </c>
      <c r="R100" s="220" t="n">
        <f aca="false">Q101</f>
        <v>13906208.3951132</v>
      </c>
      <c r="S100" s="220" t="n">
        <f aca="false">R101</f>
        <v>14856453.7676652</v>
      </c>
      <c r="T100" s="220" t="n">
        <f aca="false">S101</f>
        <v>15806048.8292314</v>
      </c>
      <c r="U100" s="220" t="n">
        <f aca="false">T101</f>
        <v>16754993.5798118</v>
      </c>
      <c r="V100" s="220" t="n">
        <f aca="false">U101</f>
        <v>17703288.0194066</v>
      </c>
      <c r="W100" s="220" t="n">
        <f aca="false">V101</f>
        <v>18650932.1480156</v>
      </c>
      <c r="X100" s="191"/>
    </row>
    <row r="101" customFormat="false" ht="15" hidden="false" customHeight="false" outlineLevel="0" collapsed="false">
      <c r="B101" s="219" t="s">
        <v>85</v>
      </c>
      <c r="C101" s="220" t="n">
        <v>0</v>
      </c>
      <c r="D101" s="220" t="n">
        <f aca="false">D99+D100</f>
        <v>1493840.2522368</v>
      </c>
      <c r="E101" s="220" t="n">
        <f aca="false">E99+E100</f>
        <v>2452539.6676032</v>
      </c>
      <c r="F101" s="220" t="n">
        <f aca="false">F99+F100</f>
        <v>3410588.77198387</v>
      </c>
      <c r="G101" s="220" t="n">
        <f aca="false">G99+G100</f>
        <v>4367987.56537882</v>
      </c>
      <c r="H101" s="220" t="n">
        <f aca="false">H99+H100</f>
        <v>5324736.04778803</v>
      </c>
      <c r="I101" s="220" t="n">
        <f aca="false">I99+I100</f>
        <v>6280834.21921152</v>
      </c>
      <c r="J101" s="220" t="n">
        <f aca="false">J99+J100</f>
        <v>7236282.07964928</v>
      </c>
      <c r="K101" s="220" t="n">
        <f aca="false">K99+K100</f>
        <v>8191079.62910131</v>
      </c>
      <c r="L101" s="220" t="n">
        <f aca="false">L99+L100</f>
        <v>9145226.86756762</v>
      </c>
      <c r="M101" s="220" t="n">
        <f aca="false">M99+M100</f>
        <v>10098723.7950482</v>
      </c>
      <c r="N101" s="220" t="n">
        <f aca="false">N99+N100</f>
        <v>11051570.411543</v>
      </c>
      <c r="O101" s="220" t="n">
        <f aca="false">O99+O100</f>
        <v>12003766.7170522</v>
      </c>
      <c r="P101" s="220" t="n">
        <f aca="false">P99+P100</f>
        <v>12955312.7115756</v>
      </c>
      <c r="Q101" s="220" t="n">
        <f aca="false">Q99+Q100</f>
        <v>13906208.3951132</v>
      </c>
      <c r="R101" s="220" t="n">
        <f aca="false">R99+R100</f>
        <v>14856453.7676652</v>
      </c>
      <c r="S101" s="220" t="n">
        <f aca="false">S99+S100</f>
        <v>15806048.8292314</v>
      </c>
      <c r="T101" s="220" t="n">
        <f aca="false">T99+T100</f>
        <v>16754993.5798118</v>
      </c>
      <c r="U101" s="220" t="n">
        <f aca="false">U99+U100</f>
        <v>17703288.0194066</v>
      </c>
      <c r="V101" s="220" t="n">
        <f aca="false">V99+V100</f>
        <v>18650932.1480156</v>
      </c>
      <c r="W101" s="220" t="n">
        <f aca="false">W99+W100</f>
        <v>19597925.9656389</v>
      </c>
      <c r="X101" s="191"/>
    </row>
    <row r="102" customFormat="false" ht="15" hidden="false" customHeight="false" outlineLevel="0" collapsed="false"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</row>
    <row r="103" customFormat="false" ht="15" hidden="false" customHeight="false" outlineLevel="0" collapsed="false">
      <c r="B103" s="219"/>
      <c r="C103" s="219"/>
      <c r="D103" s="219"/>
      <c r="E103" s="219"/>
      <c r="F103" s="224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</row>
    <row r="104" customFormat="false" ht="15" hidden="false" customHeight="false" outlineLevel="0" collapsed="false">
      <c r="B104" s="235" t="s">
        <v>86</v>
      </c>
      <c r="C104" s="236"/>
      <c r="D104" s="237" t="n">
        <f aca="false">-D94</f>
        <v>-3625860</v>
      </c>
      <c r="E104" s="223" t="n">
        <f aca="false">-E95-E96</f>
        <v>528637.72701312</v>
      </c>
      <c r="F104" s="223" t="n">
        <f aca="false">-F95-F96</f>
        <v>522784.928141568</v>
      </c>
      <c r="G104" s="223" t="n">
        <f aca="false">-G95-G96</f>
        <v>516932.129270016</v>
      </c>
      <c r="H104" s="223" t="n">
        <f aca="false">-H95-H96</f>
        <v>511079.330398464</v>
      </c>
      <c r="I104" s="223" t="n">
        <f aca="false">-I95-I96</f>
        <v>505226.531526912</v>
      </c>
      <c r="J104" s="223" t="n">
        <f aca="false">-J95-J96</f>
        <v>499373.73265536</v>
      </c>
      <c r="K104" s="223" t="n">
        <f aca="false">-K95-K96</f>
        <v>493520.933783808</v>
      </c>
      <c r="L104" s="223" t="n">
        <f aca="false">-L95-L96</f>
        <v>487668.134912256</v>
      </c>
      <c r="M104" s="223" t="n">
        <f aca="false">-M95-M96</f>
        <v>481815.336040704</v>
      </c>
      <c r="N104" s="223" t="n">
        <f aca="false">-N95-N96</f>
        <v>475962.537169152</v>
      </c>
      <c r="O104" s="223" t="n">
        <f aca="false">-O95-O96</f>
        <v>470109.7382976</v>
      </c>
      <c r="P104" s="223" t="n">
        <f aca="false">-P95-P96</f>
        <v>464256.939426048</v>
      </c>
      <c r="Q104" s="223" t="n">
        <f aca="false">-Q95-Q96</f>
        <v>458404.140554496</v>
      </c>
      <c r="R104" s="223" t="n">
        <f aca="false">-R95-R96</f>
        <v>452551.341682944</v>
      </c>
      <c r="S104" s="223" t="n">
        <f aca="false">-S95-S96</f>
        <v>446698.542811392</v>
      </c>
      <c r="T104" s="223" t="n">
        <f aca="false">-T95-T96</f>
        <v>440845.74393984</v>
      </c>
      <c r="U104" s="223" t="n">
        <f aca="false">-U95-U96</f>
        <v>434992.945068288</v>
      </c>
      <c r="V104" s="223" t="n">
        <f aca="false">-V95-V96</f>
        <v>429140.146196736</v>
      </c>
      <c r="W104" s="223" t="n">
        <f aca="false">-W95-W96</f>
        <v>423287.347325184</v>
      </c>
      <c r="X104" s="223" t="n">
        <f aca="false">-X95-X96</f>
        <v>19597925.9656389</v>
      </c>
    </row>
    <row r="105" customFormat="false" ht="17.15" hidden="false" customHeight="false" outlineLevel="0" collapsed="false">
      <c r="B105" s="219" t="s">
        <v>87</v>
      </c>
      <c r="C105" s="238" t="n">
        <f aca="false">IRR(D104:X104)</f>
        <v>0.17055168794784</v>
      </c>
      <c r="D105" s="224"/>
      <c r="E105" s="224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</row>
    <row r="106" customFormat="false" ht="15" hidden="false" customHeight="false" outlineLevel="0" collapsed="false">
      <c r="B106" s="235" t="s">
        <v>88</v>
      </c>
      <c r="C106" s="236"/>
      <c r="D106" s="237" t="n">
        <f aca="false">D85-D94</f>
        <v>-3038484.7477632</v>
      </c>
      <c r="E106" s="223" t="n">
        <f aca="false">E85</f>
        <v>580872.14237952</v>
      </c>
      <c r="F106" s="223" t="n">
        <f aca="false">F85-F96</f>
        <v>574369.03252224</v>
      </c>
      <c r="G106" s="223" t="n">
        <f aca="false">G85-G96</f>
        <v>567865.92266496</v>
      </c>
      <c r="H106" s="223" t="n">
        <f aca="false">H85-H96</f>
        <v>561362.81280768</v>
      </c>
      <c r="I106" s="223" t="n">
        <f aca="false">I85-I96</f>
        <v>554859.7029504</v>
      </c>
      <c r="J106" s="223" t="n">
        <f aca="false">J85-J96</f>
        <v>548356.59309312</v>
      </c>
      <c r="K106" s="223" t="n">
        <f aca="false">K85-K96</f>
        <v>541853.48323584</v>
      </c>
      <c r="L106" s="223" t="n">
        <f aca="false">L85-L96</f>
        <v>535350.37337856</v>
      </c>
      <c r="M106" s="223" t="n">
        <f aca="false">M85-M96</f>
        <v>528847.26352128</v>
      </c>
      <c r="N106" s="223" t="n">
        <f aca="false">N85-N96</f>
        <v>522344.153664</v>
      </c>
      <c r="O106" s="223" t="n">
        <f aca="false">O85-O96</f>
        <v>515841.04380672</v>
      </c>
      <c r="P106" s="223" t="n">
        <f aca="false">P85-P96</f>
        <v>509337.93394944</v>
      </c>
      <c r="Q106" s="223" t="n">
        <f aca="false">Q85-Q96</f>
        <v>502834.82409216</v>
      </c>
      <c r="R106" s="223" t="n">
        <f aca="false">R85-R96</f>
        <v>496331.71423488</v>
      </c>
      <c r="S106" s="223" t="n">
        <f aca="false">S85-S96</f>
        <v>489828.6043776</v>
      </c>
      <c r="T106" s="223" t="n">
        <f aca="false">T85-T96</f>
        <v>483325.49452032</v>
      </c>
      <c r="U106" s="223" t="n">
        <f aca="false">U85-U96</f>
        <v>476822.38466304</v>
      </c>
      <c r="V106" s="223" t="n">
        <f aca="false">V85-V96</f>
        <v>470319.27480576</v>
      </c>
      <c r="W106" s="223" t="n">
        <f aca="false">W85-W96</f>
        <v>463816.16494848</v>
      </c>
      <c r="X106" s="228"/>
    </row>
    <row r="107" customFormat="false" ht="17.15" hidden="false" customHeight="false" outlineLevel="0" collapsed="false">
      <c r="B107" s="235" t="s">
        <v>89</v>
      </c>
      <c r="C107" s="239" t="n">
        <f aca="false">IRR(D106:W106)</f>
        <v>0.171951836471265</v>
      </c>
      <c r="D107" s="224"/>
      <c r="E107" s="224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</row>
    <row r="108" customFormat="false" ht="15" hidden="false" customHeight="false" outlineLevel="0" collapsed="false"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</row>
    <row r="109" customFormat="false" ht="15" hidden="false" customHeight="false" outlineLevel="0" collapsed="false">
      <c r="B109" s="219" t="s">
        <v>90</v>
      </c>
      <c r="C109" s="220" t="n">
        <v>0</v>
      </c>
      <c r="D109" s="220" t="n">
        <f aca="false">D92</f>
        <v>14503440</v>
      </c>
      <c r="E109" s="220" t="n">
        <f aca="false">D109+E93</f>
        <v>14503440</v>
      </c>
      <c r="F109" s="220" t="n">
        <f aca="false">E109+F93</f>
        <v>14503440</v>
      </c>
      <c r="G109" s="220" t="n">
        <f aca="false">F109+G93</f>
        <v>14503440</v>
      </c>
      <c r="H109" s="220" t="n">
        <f aca="false">G109+H93</f>
        <v>14503440</v>
      </c>
      <c r="I109" s="220" t="n">
        <f aca="false">H109+I93</f>
        <v>14503440</v>
      </c>
      <c r="J109" s="220" t="n">
        <f aca="false">I109+J93</f>
        <v>14503440</v>
      </c>
      <c r="K109" s="220" t="n">
        <f aca="false">J109+K93</f>
        <v>14503440</v>
      </c>
      <c r="L109" s="220" t="n">
        <f aca="false">K109+L93</f>
        <v>14503440</v>
      </c>
      <c r="M109" s="220" t="n">
        <f aca="false">L109+M93</f>
        <v>14503440</v>
      </c>
      <c r="N109" s="220" t="n">
        <f aca="false">M109+N93</f>
        <v>14503440</v>
      </c>
      <c r="O109" s="220" t="n">
        <f aca="false">N109+O93</f>
        <v>14503440</v>
      </c>
      <c r="P109" s="220" t="n">
        <f aca="false">O109+P93</f>
        <v>14503440</v>
      </c>
      <c r="Q109" s="220" t="n">
        <f aca="false">P109+Q93</f>
        <v>14503440</v>
      </c>
      <c r="R109" s="220" t="n">
        <f aca="false">Q109+R93</f>
        <v>14503440</v>
      </c>
      <c r="S109" s="220" t="n">
        <f aca="false">R109+S93</f>
        <v>14503440</v>
      </c>
      <c r="T109" s="220" t="n">
        <f aca="false">S109+T93</f>
        <v>14503440</v>
      </c>
      <c r="U109" s="220" t="n">
        <f aca="false">T109+U93</f>
        <v>14503440</v>
      </c>
      <c r="V109" s="220" t="n">
        <f aca="false">U109+V93</f>
        <v>14503440</v>
      </c>
      <c r="W109" s="220" t="n">
        <f aca="false">V109+W93</f>
        <v>14503440</v>
      </c>
      <c r="X109" s="224"/>
    </row>
    <row r="111" customFormat="false" ht="15" hidden="false" customHeight="false" outlineLevel="0" collapsed="false">
      <c r="B111" s="240"/>
    </row>
    <row r="112" customFormat="false" ht="16.5" hidden="false" customHeight="true" outlineLevel="0" collapsed="false">
      <c r="G112" s="2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24" t="s">
        <v>0</v>
      </c>
      <c r="C1" s="125"/>
      <c r="D1" s="125"/>
      <c r="E1" s="126"/>
      <c r="P1" s="127" t="n">
        <f aca="false">1-D11</f>
        <v>0.99</v>
      </c>
      <c r="Q1" s="127" t="n">
        <f aca="false">P1-$D12</f>
        <v>0.986</v>
      </c>
      <c r="R1" s="127" t="n">
        <f aca="false">Q1-$D12</f>
        <v>0.982</v>
      </c>
      <c r="S1" s="127" t="n">
        <f aca="false">R1-$D12</f>
        <v>0.978</v>
      </c>
      <c r="T1" s="127" t="n">
        <f aca="false">S1-$D12</f>
        <v>0.974</v>
      </c>
      <c r="U1" s="127" t="n">
        <f aca="false">T1-$D12</f>
        <v>0.97</v>
      </c>
      <c r="V1" s="127" t="n">
        <f aca="false">U1-$D12</f>
        <v>0.966</v>
      </c>
      <c r="W1" s="127" t="n">
        <f aca="false">V1-$D12</f>
        <v>0.962</v>
      </c>
      <c r="X1" s="127" t="n">
        <f aca="false">W1-$D12</f>
        <v>0.958</v>
      </c>
      <c r="Y1" s="127" t="n">
        <f aca="false">X1-$D12</f>
        <v>0.954</v>
      </c>
      <c r="Z1" s="127" t="n">
        <f aca="false">Y1-$D12</f>
        <v>0.95</v>
      </c>
      <c r="AA1" s="127" t="n">
        <f aca="false">Z1-$D12</f>
        <v>0.946</v>
      </c>
      <c r="AB1" s="127" t="n">
        <f aca="false">AA1-$D12</f>
        <v>0.942</v>
      </c>
      <c r="AC1" s="127" t="n">
        <f aca="false">AB1-$D12</f>
        <v>0.938</v>
      </c>
      <c r="AD1" s="127" t="n">
        <f aca="false">AC1-$D12</f>
        <v>0.934</v>
      </c>
      <c r="AE1" s="127" t="n">
        <f aca="false">AD1-$D12</f>
        <v>0.93</v>
      </c>
      <c r="AF1" s="127" t="n">
        <f aca="false">AE1-$D12</f>
        <v>0.926</v>
      </c>
      <c r="AG1" s="127" t="n">
        <f aca="false">AF1-$D12</f>
        <v>0.922</v>
      </c>
      <c r="AH1" s="127" t="n">
        <f aca="false">AG1-$D12</f>
        <v>0.918</v>
      </c>
      <c r="AI1" s="127" t="n">
        <f aca="false">AH1-$D12</f>
        <v>0.914</v>
      </c>
    </row>
    <row r="2" customFormat="false" ht="21.75" hidden="false" customHeight="true" outlineLevel="0" collapsed="false">
      <c r="B2" s="128" t="s">
        <v>1</v>
      </c>
      <c r="C2" s="129" t="s">
        <v>105</v>
      </c>
      <c r="D2" s="130" t="s">
        <v>3</v>
      </c>
      <c r="E2" s="130" t="s">
        <v>3</v>
      </c>
    </row>
    <row r="3" customFormat="false" ht="21.75" hidden="false" customHeight="true" outlineLevel="0" collapsed="false">
      <c r="B3" s="131" t="s">
        <v>4</v>
      </c>
      <c r="C3" s="134" t="n">
        <v>20</v>
      </c>
      <c r="D3" s="133" t="s">
        <v>3</v>
      </c>
      <c r="E3" s="133" t="s">
        <v>3</v>
      </c>
    </row>
    <row r="4" customFormat="false" ht="21.75" hidden="false" customHeight="true" outlineLevel="0" collapsed="false">
      <c r="B4" s="131" t="s">
        <v>5</v>
      </c>
      <c r="C4" s="134" t="n">
        <v>436.1</v>
      </c>
      <c r="D4" s="133" t="s">
        <v>3</v>
      </c>
      <c r="E4" s="133" t="s">
        <v>3</v>
      </c>
      <c r="M4" s="0" t="s">
        <v>142</v>
      </c>
    </row>
    <row r="5" customFormat="false" ht="22.5" hidden="false" customHeight="true" outlineLevel="0" collapsed="false">
      <c r="B5" s="134" t="s">
        <v>6</v>
      </c>
      <c r="C5" s="134" t="n">
        <v>2020</v>
      </c>
      <c r="D5" s="134" t="s">
        <v>7</v>
      </c>
      <c r="E5" s="134" t="n">
        <v>2039</v>
      </c>
      <c r="M5" s="0" t="s">
        <v>143</v>
      </c>
    </row>
    <row r="6" customFormat="false" ht="20.25" hidden="false" customHeight="true" outlineLevel="0" collapsed="false">
      <c r="B6" s="135"/>
      <c r="C6" s="135"/>
      <c r="D6" s="135"/>
      <c r="E6" s="135"/>
      <c r="M6" s="0" t="s">
        <v>144</v>
      </c>
    </row>
    <row r="7" customFormat="false" ht="22.5" hidden="false" customHeight="true" outlineLevel="0" collapsed="false">
      <c r="B7" s="136" t="s">
        <v>8</v>
      </c>
      <c r="C7" s="125"/>
      <c r="D7" s="125"/>
      <c r="E7" s="126"/>
      <c r="M7" s="0" t="s">
        <v>145</v>
      </c>
    </row>
    <row r="8" customFormat="false" ht="22.5" hidden="false" customHeight="true" outlineLevel="0" collapsed="false">
      <c r="B8" s="137" t="s">
        <v>9</v>
      </c>
      <c r="C8" s="138"/>
      <c r="D8" s="138"/>
      <c r="E8" s="139"/>
      <c r="M8" s="0" t="s">
        <v>146</v>
      </c>
    </row>
    <row r="9" customFormat="false" ht="22.5" hidden="false" customHeight="true" outlineLevel="0" collapsed="false">
      <c r="B9" s="140" t="s">
        <v>10</v>
      </c>
      <c r="C9" s="141" t="s">
        <v>11</v>
      </c>
      <c r="D9" s="141" t="s">
        <v>12</v>
      </c>
      <c r="E9" s="142" t="s">
        <v>13</v>
      </c>
      <c r="M9" s="0" t="s">
        <v>111</v>
      </c>
    </row>
    <row r="10" customFormat="false" ht="21.75" hidden="false" customHeight="true" outlineLevel="0" collapsed="false">
      <c r="B10" s="143" t="s">
        <v>14</v>
      </c>
      <c r="C10" s="129" t="s">
        <v>112</v>
      </c>
      <c r="D10" s="129" t="n">
        <v>547002</v>
      </c>
      <c r="E10" s="143" t="n">
        <v>20</v>
      </c>
      <c r="M10" s="0" t="s">
        <v>102</v>
      </c>
    </row>
    <row r="11" customFormat="false" ht="21.75" hidden="false" customHeight="true" outlineLevel="0" collapsed="false">
      <c r="B11" s="144"/>
      <c r="C11" s="134" t="s">
        <v>16</v>
      </c>
      <c r="D11" s="134" t="n">
        <v>0.01</v>
      </c>
      <c r="E11" s="144"/>
    </row>
    <row r="12" customFormat="false" ht="21.75" hidden="false" customHeight="true" outlineLevel="0" collapsed="false">
      <c r="B12" s="144"/>
      <c r="C12" s="134" t="s">
        <v>17</v>
      </c>
      <c r="D12" s="134" t="n">
        <v>0.004</v>
      </c>
      <c r="E12" s="144"/>
    </row>
    <row r="13" customFormat="false" ht="22.5" hidden="false" customHeight="true" outlineLevel="0" collapsed="false">
      <c r="B13" s="144"/>
      <c r="C13" s="145" t="s">
        <v>114</v>
      </c>
      <c r="D13" s="145" t="n">
        <v>3.7152</v>
      </c>
      <c r="E13" s="144"/>
    </row>
    <row r="14" customFormat="false" ht="22.5" hidden="false" customHeight="true" outlineLevel="0" collapsed="false">
      <c r="B14" s="146" t="s">
        <v>19</v>
      </c>
      <c r="C14" s="125"/>
      <c r="D14" s="125"/>
      <c r="E14" s="126"/>
    </row>
    <row r="15" customFormat="false" ht="22.5" hidden="false" customHeight="true" outlineLevel="0" collapsed="false">
      <c r="B15" s="140" t="s">
        <v>10</v>
      </c>
      <c r="C15" s="141" t="s">
        <v>11</v>
      </c>
      <c r="D15" s="141" t="s">
        <v>12</v>
      </c>
      <c r="E15" s="147" t="s">
        <v>20</v>
      </c>
    </row>
    <row r="16" customFormat="false" ht="21.75" hidden="false" customHeight="true" outlineLevel="0" collapsed="false">
      <c r="B16" s="148" t="s">
        <v>115</v>
      </c>
      <c r="C16" s="128" t="s">
        <v>22</v>
      </c>
      <c r="D16" s="129" t="n">
        <v>25000</v>
      </c>
      <c r="E16" s="149" t="n">
        <v>20</v>
      </c>
    </row>
    <row r="17" customFormat="false" ht="21.75" hidden="false" customHeight="true" outlineLevel="0" collapsed="false">
      <c r="B17" s="144"/>
      <c r="C17" s="134" t="s">
        <v>23</v>
      </c>
      <c r="D17" s="134" t="n">
        <v>0.3</v>
      </c>
      <c r="E17" s="144"/>
    </row>
    <row r="18" customFormat="false" ht="21.75" hidden="false" customHeight="true" outlineLevel="0" collapsed="false">
      <c r="B18" s="150"/>
      <c r="C18" s="134" t="s">
        <v>24</v>
      </c>
      <c r="D18" s="134" t="n">
        <v>3000</v>
      </c>
      <c r="E18" s="150"/>
    </row>
    <row r="19" customFormat="false" ht="54" hidden="false" customHeight="true" outlineLevel="0" collapsed="false">
      <c r="B19" s="151" t="s">
        <v>25</v>
      </c>
      <c r="C19" s="152" t="s">
        <v>26</v>
      </c>
      <c r="D19" s="134" t="n">
        <v>2</v>
      </c>
      <c r="E19" s="130" t="n">
        <v>0</v>
      </c>
    </row>
    <row r="20" customFormat="false" ht="20.25" hidden="false" customHeight="true" outlineLevel="0" collapsed="false">
      <c r="B20" s="144"/>
      <c r="C20" s="153" t="s">
        <v>116</v>
      </c>
      <c r="D20" s="134" t="n">
        <v>0</v>
      </c>
      <c r="E20" s="130" t="n">
        <v>20</v>
      </c>
    </row>
    <row r="21" customFormat="false" ht="21.75" hidden="false" customHeight="true" outlineLevel="0" collapsed="false">
      <c r="B21" s="150"/>
      <c r="C21" s="134" t="s">
        <v>117</v>
      </c>
      <c r="D21" s="134" t="n">
        <v>0.3</v>
      </c>
      <c r="E21" s="133" t="n">
        <v>0</v>
      </c>
    </row>
    <row r="22" customFormat="false" ht="21.75" hidden="false" customHeight="true" outlineLevel="0" collapsed="false">
      <c r="B22" s="134" t="s">
        <v>29</v>
      </c>
      <c r="C22" s="134" t="s">
        <v>118</v>
      </c>
      <c r="D22" s="134" t="n">
        <v>400</v>
      </c>
      <c r="E22" s="133" t="n">
        <v>20</v>
      </c>
    </row>
    <row r="23" customFormat="false" ht="21.75" hidden="false" customHeight="true" outlineLevel="0" collapsed="false">
      <c r="B23" s="134" t="s">
        <v>31</v>
      </c>
      <c r="C23" s="131" t="s">
        <v>32</v>
      </c>
      <c r="D23" s="134" t="n">
        <v>0.003</v>
      </c>
      <c r="E23" s="133" t="n">
        <v>20</v>
      </c>
    </row>
    <row r="24" customFormat="false" ht="21.75" hidden="false" customHeight="true" outlineLevel="0" collapsed="false">
      <c r="B24" s="134" t="s">
        <v>33</v>
      </c>
      <c r="C24" s="134" t="s">
        <v>119</v>
      </c>
      <c r="D24" s="134" t="n">
        <v>1000</v>
      </c>
      <c r="E24" s="133" t="n">
        <v>10</v>
      </c>
    </row>
    <row r="25" customFormat="false" ht="21.75" hidden="false" customHeight="true" outlineLevel="0" collapsed="false">
      <c r="B25" s="134" t="s">
        <v>35</v>
      </c>
      <c r="C25" s="134" t="s">
        <v>36</v>
      </c>
      <c r="D25" s="134" t="n">
        <v>0.025595</v>
      </c>
      <c r="E25" s="133" t="n">
        <v>0</v>
      </c>
    </row>
    <row r="26" customFormat="false" ht="22.5" hidden="false" customHeight="true" outlineLevel="0" collapsed="false">
      <c r="B26" s="134" t="s">
        <v>37</v>
      </c>
      <c r="C26" s="134" t="s">
        <v>38</v>
      </c>
      <c r="D26" s="134" t="n">
        <v>0.2</v>
      </c>
      <c r="E26" s="133" t="n">
        <v>0</v>
      </c>
    </row>
    <row r="27" customFormat="false" ht="20.25" hidden="false" customHeight="true" outlineLevel="0" collapsed="false">
      <c r="B27" s="135"/>
      <c r="C27" s="135"/>
      <c r="D27" s="135"/>
      <c r="E27" s="135"/>
    </row>
    <row r="28" customFormat="false" ht="20.25" hidden="false" customHeight="true" outlineLevel="0" collapsed="false">
      <c r="B28" s="135"/>
      <c r="C28" s="135"/>
      <c r="D28" s="135"/>
      <c r="E28" s="135"/>
    </row>
    <row r="29" customFormat="false" ht="22.5" hidden="false" customHeight="true" outlineLevel="0" collapsed="false">
      <c r="B29" s="136" t="s">
        <v>39</v>
      </c>
      <c r="C29" s="125"/>
      <c r="D29" s="126"/>
      <c r="E29" s="135"/>
    </row>
    <row r="30" customFormat="false" ht="22.5" hidden="false" customHeight="true" outlineLevel="0" collapsed="false">
      <c r="B30" s="140" t="s">
        <v>40</v>
      </c>
      <c r="C30" s="141" t="s">
        <v>11</v>
      </c>
      <c r="D30" s="147" t="s">
        <v>12</v>
      </c>
      <c r="E30" s="135"/>
    </row>
    <row r="31" customFormat="false" ht="18.75" hidden="false" customHeight="true" outlineLevel="0" collapsed="false">
      <c r="B31" s="128" t="s">
        <v>41</v>
      </c>
      <c r="C31" s="128" t="s">
        <v>42</v>
      </c>
      <c r="D31" s="129" t="n">
        <v>0.8</v>
      </c>
      <c r="E31" s="135"/>
    </row>
    <row r="32" customFormat="false" ht="18.75" hidden="false" customHeight="true" outlineLevel="0" collapsed="false">
      <c r="B32" s="129" t="s">
        <v>43</v>
      </c>
      <c r="C32" s="129" t="s">
        <v>44</v>
      </c>
      <c r="D32" s="129" t="n">
        <v>15</v>
      </c>
      <c r="E32" s="135"/>
    </row>
    <row r="33" customFormat="false" ht="18.75" hidden="false" customHeight="true" outlineLevel="0" collapsed="false">
      <c r="B33" s="134" t="s">
        <v>45</v>
      </c>
      <c r="C33" s="134" t="s">
        <v>46</v>
      </c>
      <c r="D33" s="134" t="n">
        <v>0.9</v>
      </c>
      <c r="E33" s="135"/>
    </row>
    <row r="34" customFormat="false" ht="18.75" hidden="false" customHeight="true" outlineLevel="0" collapsed="false">
      <c r="B34" s="134" t="s">
        <v>47</v>
      </c>
      <c r="C34" s="134" t="s">
        <v>44</v>
      </c>
      <c r="D34" s="134" t="n">
        <v>4</v>
      </c>
      <c r="E34" s="135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97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54" t="n">
        <v>0</v>
      </c>
      <c r="C38" s="155"/>
      <c r="D38" s="156"/>
      <c r="E38" s="156"/>
      <c r="F38" s="157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9"/>
      <c r="U38" s="158"/>
      <c r="V38" s="158"/>
      <c r="W38" s="158"/>
      <c r="X38" s="160"/>
    </row>
    <row r="39" customFormat="false" ht="18.75" hidden="false" customHeight="true" outlineLevel="0" collapsed="false">
      <c r="B39" s="161" t="s">
        <v>51</v>
      </c>
      <c r="C39" s="162" t="n">
        <v>0</v>
      </c>
      <c r="D39" s="163" t="n">
        <v>1</v>
      </c>
      <c r="E39" s="163" t="n">
        <v>2</v>
      </c>
      <c r="F39" s="163" t="n">
        <v>3</v>
      </c>
      <c r="G39" s="163" t="n">
        <v>4</v>
      </c>
      <c r="H39" s="163" t="n">
        <v>5</v>
      </c>
      <c r="I39" s="163" t="n">
        <v>6</v>
      </c>
      <c r="J39" s="163" t="n">
        <v>7</v>
      </c>
      <c r="K39" s="163" t="n">
        <v>8</v>
      </c>
      <c r="L39" s="163" t="n">
        <v>9</v>
      </c>
      <c r="M39" s="163" t="n">
        <v>10</v>
      </c>
      <c r="N39" s="163" t="n">
        <v>11</v>
      </c>
      <c r="O39" s="163" t="n">
        <v>12</v>
      </c>
      <c r="P39" s="163" t="n">
        <v>13</v>
      </c>
      <c r="Q39" s="163" t="n">
        <v>14</v>
      </c>
      <c r="R39" s="163" t="n">
        <v>15</v>
      </c>
      <c r="S39" s="163" t="n">
        <v>16</v>
      </c>
      <c r="T39" s="164" t="n">
        <v>17</v>
      </c>
      <c r="U39" s="163" t="n">
        <v>18</v>
      </c>
      <c r="V39" s="163" t="n">
        <v>19</v>
      </c>
      <c r="W39" s="163" t="n">
        <v>20</v>
      </c>
      <c r="X39" s="47"/>
    </row>
    <row r="40" customFormat="false" ht="18.75" hidden="false" customHeight="true" outlineLevel="0" collapsed="false">
      <c r="B40" s="165" t="s">
        <v>52</v>
      </c>
      <c r="C40" s="166" t="n">
        <v>0</v>
      </c>
      <c r="D40" s="167" t="n">
        <f aca="false">$D$10*P1</f>
        <v>541531.98</v>
      </c>
      <c r="E40" s="167" t="n">
        <f aca="false">$D$10*Q1</f>
        <v>539343.972</v>
      </c>
      <c r="F40" s="167" t="n">
        <f aca="false">$D$10*R1</f>
        <v>537155.964</v>
      </c>
      <c r="G40" s="167" t="n">
        <f aca="false">$D$10*S1</f>
        <v>534967.956</v>
      </c>
      <c r="H40" s="167" t="n">
        <f aca="false">$D$10*T1</f>
        <v>532779.948</v>
      </c>
      <c r="I40" s="167" t="n">
        <f aca="false">$D$10*U1</f>
        <v>530591.94</v>
      </c>
      <c r="J40" s="167" t="n">
        <f aca="false">$D$10*V1</f>
        <v>528403.932</v>
      </c>
      <c r="K40" s="167" t="n">
        <f aca="false">$D$10*W1</f>
        <v>526215.924</v>
      </c>
      <c r="L40" s="167" t="n">
        <f aca="false">$D$10*X1</f>
        <v>524027.916</v>
      </c>
      <c r="M40" s="167" t="n">
        <f aca="false">$D$10*Y1</f>
        <v>521839.908</v>
      </c>
      <c r="N40" s="167" t="n">
        <f aca="false">$D$10*Z1</f>
        <v>519651.9</v>
      </c>
      <c r="O40" s="167" t="n">
        <f aca="false">$D$10*AA1</f>
        <v>517463.892</v>
      </c>
      <c r="P40" s="167" t="n">
        <f aca="false">$D$10*AB1</f>
        <v>515275.884</v>
      </c>
      <c r="Q40" s="167" t="n">
        <f aca="false">$D$10*AC1</f>
        <v>513087.876</v>
      </c>
      <c r="R40" s="167" t="n">
        <f aca="false">$D$10*AD1</f>
        <v>510899.868</v>
      </c>
      <c r="S40" s="167" t="n">
        <f aca="false">$D$10*AE1</f>
        <v>508711.86</v>
      </c>
      <c r="T40" s="167" t="n">
        <f aca="false">$D$10*AF1</f>
        <v>506523.852</v>
      </c>
      <c r="U40" s="167" t="n">
        <f aca="false">$D$10*AG1</f>
        <v>504335.844</v>
      </c>
      <c r="V40" s="167" t="n">
        <f aca="false">$D$10*AH1</f>
        <v>502147.836</v>
      </c>
      <c r="W40" s="167" t="n">
        <f aca="false">$D$10*AI1</f>
        <v>499959.828</v>
      </c>
      <c r="X40" s="168"/>
    </row>
    <row r="41" customFormat="false" ht="18.75" hidden="false" customHeight="true" outlineLevel="0" collapsed="false">
      <c r="B41" s="169" t="s">
        <v>53</v>
      </c>
      <c r="C41" s="170" t="s">
        <v>3</v>
      </c>
      <c r="D41" s="171" t="n">
        <f aca="false">D40*$D$13</f>
        <v>2011899.612096</v>
      </c>
      <c r="E41" s="171" t="n">
        <f aca="false">E40*$D$13</f>
        <v>2003770.7247744</v>
      </c>
      <c r="F41" s="171" t="n">
        <f aca="false">F40*$D$13</f>
        <v>1995641.8374528</v>
      </c>
      <c r="G41" s="171" t="n">
        <f aca="false">G40*$D$13</f>
        <v>1987512.9501312</v>
      </c>
      <c r="H41" s="171" t="n">
        <f aca="false">H40*$D$13</f>
        <v>1979384.0628096</v>
      </c>
      <c r="I41" s="171" t="n">
        <f aca="false">I40*$D$13</f>
        <v>1971255.175488</v>
      </c>
      <c r="J41" s="171" t="n">
        <f aca="false">J40*$D$13</f>
        <v>1963126.2881664</v>
      </c>
      <c r="K41" s="171" t="n">
        <f aca="false">K40*$D$13</f>
        <v>1954997.4008448</v>
      </c>
      <c r="L41" s="171" t="n">
        <f aca="false">L40*$D$13</f>
        <v>1946868.5135232</v>
      </c>
      <c r="M41" s="171" t="n">
        <f aca="false">M40*$D$13</f>
        <v>1938739.6262016</v>
      </c>
      <c r="N41" s="171" t="n">
        <f aca="false">N40*$D$13</f>
        <v>1930610.73888</v>
      </c>
      <c r="O41" s="171" t="n">
        <f aca="false">O40*$D$13</f>
        <v>1922481.8515584</v>
      </c>
      <c r="P41" s="171" t="n">
        <f aca="false">P40*$D$13</f>
        <v>1914352.9642368</v>
      </c>
      <c r="Q41" s="171" t="n">
        <f aca="false">Q40*$D$13</f>
        <v>1906224.0769152</v>
      </c>
      <c r="R41" s="171" t="n">
        <f aca="false">R40*$D$13</f>
        <v>1898095.1895936</v>
      </c>
      <c r="S41" s="171" t="n">
        <f aca="false">S40*$D$13</f>
        <v>1889966.302272</v>
      </c>
      <c r="T41" s="171" t="n">
        <f aca="false">T40*$D$13</f>
        <v>1881837.4149504</v>
      </c>
      <c r="U41" s="171" t="n">
        <f aca="false">U40*$D$13</f>
        <v>1873708.5276288</v>
      </c>
      <c r="V41" s="171" t="n">
        <f aca="false">V40*$D$13</f>
        <v>1865579.6403072</v>
      </c>
      <c r="W41" s="171" t="n">
        <f aca="false">W40*$D$13</f>
        <v>1857450.7529856</v>
      </c>
      <c r="X41" s="172"/>
    </row>
    <row r="42" customFormat="false" ht="18.75" hidden="false" customHeight="true" outlineLevel="0" collapsed="false">
      <c r="B42" s="173" t="s">
        <v>54</v>
      </c>
      <c r="C42" s="174" t="s">
        <v>3</v>
      </c>
      <c r="D42" s="175"/>
      <c r="E42" s="175"/>
      <c r="F42" s="175"/>
      <c r="G42" s="176" t="s">
        <v>3</v>
      </c>
      <c r="H42" s="176" t="s">
        <v>3</v>
      </c>
      <c r="I42" s="176" t="s">
        <v>3</v>
      </c>
      <c r="J42" s="176" t="s">
        <v>3</v>
      </c>
      <c r="K42" s="176" t="s">
        <v>3</v>
      </c>
      <c r="L42" s="176" t="s">
        <v>3</v>
      </c>
      <c r="M42" s="176" t="s">
        <v>3</v>
      </c>
      <c r="N42" s="176" t="s">
        <v>3</v>
      </c>
      <c r="O42" s="176" t="s">
        <v>3</v>
      </c>
      <c r="P42" s="176" t="s">
        <v>3</v>
      </c>
      <c r="Q42" s="176" t="s">
        <v>3</v>
      </c>
      <c r="R42" s="176" t="s">
        <v>3</v>
      </c>
      <c r="S42" s="176" t="s">
        <v>3</v>
      </c>
      <c r="T42" s="176" t="s">
        <v>3</v>
      </c>
      <c r="U42" s="176" t="s">
        <v>3</v>
      </c>
      <c r="V42" s="176" t="s">
        <v>3</v>
      </c>
      <c r="W42" s="176" t="s">
        <v>3</v>
      </c>
      <c r="X42" s="177"/>
    </row>
    <row r="43" customFormat="false" ht="18.75" hidden="false" customHeight="true" outlineLevel="0" collapsed="false">
      <c r="B43" s="178" t="s">
        <v>55</v>
      </c>
      <c r="C43" s="179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customFormat="false" ht="18.75" hidden="false" customHeight="true" outlineLevel="0" collapsed="false">
      <c r="B44" s="182" t="s">
        <v>56</v>
      </c>
      <c r="C44" s="183" t="n">
        <f aca="false">-(D16/(1-D17)+D18)*C4</f>
        <v>-16883300</v>
      </c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 customFormat="false" ht="18.75" hidden="false" customHeight="true" outlineLevel="0" collapsed="false">
      <c r="B45" s="182" t="s">
        <v>57</v>
      </c>
      <c r="C45" s="174" t="s">
        <v>3</v>
      </c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</row>
    <row r="46" customFormat="false" ht="18.75" hidden="false" customHeight="true" outlineLevel="0" collapsed="false">
      <c r="B46" s="182" t="s">
        <v>58</v>
      </c>
      <c r="C46" s="17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 customFormat="false" ht="18.75" hidden="false" customHeight="true" outlineLevel="0" collapsed="false">
      <c r="B47" s="182" t="s">
        <v>59</v>
      </c>
      <c r="C47" s="174" t="s">
        <v>3</v>
      </c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 customFormat="false" ht="18.75" hidden="false" customHeight="true" outlineLevel="0" collapsed="false">
      <c r="B48" s="182" t="s">
        <v>60</v>
      </c>
      <c r="C48" s="174" t="s">
        <v>3</v>
      </c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</row>
    <row r="49" customFormat="false" ht="18.75" hidden="false" customHeight="true" outlineLevel="0" collapsed="false">
      <c r="B49" s="182" t="s">
        <v>61</v>
      </c>
      <c r="C49" s="174" t="s">
        <v>3</v>
      </c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</row>
    <row r="50" customFormat="false" ht="18.75" hidden="false" customHeight="true" outlineLevel="0" collapsed="false">
      <c r="B50" s="182" t="s">
        <v>62</v>
      </c>
      <c r="C50" s="17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</row>
    <row r="51" customFormat="false" ht="18.75" hidden="false" customHeight="true" outlineLevel="0" collapsed="false">
      <c r="B51" s="182" t="s">
        <v>63</v>
      </c>
      <c r="C51" s="185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 customFormat="false" ht="18.75" hidden="false" customHeight="true" outlineLevel="0" collapsed="false">
      <c r="B52" s="182" t="s">
        <v>64</v>
      </c>
      <c r="C52" s="185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 customFormat="false" ht="18.75" hidden="false" customHeight="true" outlineLevel="0" collapsed="false">
      <c r="B53" s="186" t="s">
        <v>65</v>
      </c>
      <c r="C53" s="185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 customFormat="false" ht="18.75" hidden="false" customHeight="true" outlineLevel="0" collapsed="false">
      <c r="B54" s="186" t="s">
        <v>66</v>
      </c>
      <c r="C54" s="185"/>
      <c r="D54" s="184" t="n">
        <f aca="false">-(D64+D67+D68+D71+D72+D73+D74)*0.2</f>
        <v>-233546.9224192</v>
      </c>
      <c r="E54" s="184" t="n">
        <f aca="false">-(E64+E67+E68+E71+E72+E73+E74)*0.2</f>
        <v>-231921.14495488</v>
      </c>
      <c r="F54" s="184" t="n">
        <f aca="false">-(F64+F67+F68+F71+F72+F73+F74)*0.2</f>
        <v>-230295.36749056</v>
      </c>
      <c r="G54" s="184" t="n">
        <f aca="false">-(G64+G67+G68+G71+G72+G73+G74)*0.2</f>
        <v>-228669.59002624</v>
      </c>
      <c r="H54" s="184" t="n">
        <f aca="false">-(H64+H67+H68+H71+H72+H73+H74)*0.2</f>
        <v>-227043.81256192</v>
      </c>
      <c r="I54" s="184" t="n">
        <f aca="false">-(I64+I67+I68+I71+I72+I73+I74)*0.2</f>
        <v>-225418.0350976</v>
      </c>
      <c r="J54" s="184" t="n">
        <f aca="false">-(J64+J67+J68+J71+J72+J73+J74)*0.2</f>
        <v>-223792.25763328</v>
      </c>
      <c r="K54" s="184" t="n">
        <f aca="false">-(K64+K67+K68+K71+K72+K73+K74)*0.2</f>
        <v>-222166.48016896</v>
      </c>
      <c r="L54" s="184" t="n">
        <f aca="false">-(L64+L67+L68+L71+L72+L73+L74)*0.2</f>
        <v>-220540.70270464</v>
      </c>
      <c r="M54" s="184" t="n">
        <f aca="false">-(M64+M67+M68+M71+M72+M73+M74)*0.2</f>
        <v>-218914.92524032</v>
      </c>
      <c r="N54" s="184" t="n">
        <f aca="false">-(N64+N67+N68+N71+N72+N73+N74)*0.2</f>
        <v>-217289.147776</v>
      </c>
      <c r="O54" s="184" t="n">
        <f aca="false">-(O64+O67+O68+O71+O72+O73+O74)*0.2</f>
        <v>-215663.37031168</v>
      </c>
      <c r="P54" s="184" t="n">
        <f aca="false">-(P64+P67+P68+P71+P72+P73+P74)*0.2</f>
        <v>-214037.59284736</v>
      </c>
      <c r="Q54" s="184" t="n">
        <f aca="false">-(Q64+Q67+Q68+Q71+Q72+Q73+Q74)*0.2</f>
        <v>-212411.81538304</v>
      </c>
      <c r="R54" s="184" t="n">
        <f aca="false">-(R64+R67+R68+R71+R72+R73+R74)*0.2</f>
        <v>-210786.03791872</v>
      </c>
      <c r="S54" s="184" t="n">
        <f aca="false">-(S64+S67+S68+S71+S72+S73+S74)*0.2</f>
        <v>-209160.2604544</v>
      </c>
      <c r="T54" s="184" t="n">
        <f aca="false">-(T64+T67+T68+T71+T72+T73+T74)*0.2</f>
        <v>-207534.48299008</v>
      </c>
      <c r="U54" s="184" t="n">
        <f aca="false">-(U64+U67+U68+U71+U72+U73+U74)*0.2</f>
        <v>-205908.70552576</v>
      </c>
      <c r="V54" s="184" t="n">
        <f aca="false">-(V64+V67+V68+V71+V72+V73+V74)*0.2</f>
        <v>-204282.92806144</v>
      </c>
      <c r="W54" s="184" t="n">
        <f aca="false">-(W64+W67+W68+W71+W72+W73+W74)*0.2</f>
        <v>-202657.15059712</v>
      </c>
      <c r="X54" s="175"/>
    </row>
    <row r="55" customFormat="false" ht="18.75" hidden="false" customHeight="true" outlineLevel="0" collapsed="false">
      <c r="B55" s="187" t="s">
        <v>67</v>
      </c>
      <c r="C55" s="188" t="n">
        <f aca="false">C44</f>
        <v>-16883300</v>
      </c>
      <c r="D55" s="189" t="n">
        <f aca="false">SUM(D41:D54)</f>
        <v>1778352.6896768</v>
      </c>
      <c r="E55" s="189" t="n">
        <f aca="false">SUM(E41:E54)</f>
        <v>1771849.57981952</v>
      </c>
      <c r="F55" s="189" t="n">
        <f aca="false">SUM(F41:F54)</f>
        <v>1765346.46996224</v>
      </c>
      <c r="G55" s="189" t="n">
        <f aca="false">SUM(G41:G54)</f>
        <v>1758843.36010496</v>
      </c>
      <c r="H55" s="189" t="n">
        <f aca="false">SUM(H41:H54)</f>
        <v>1752340.25024768</v>
      </c>
      <c r="I55" s="189" t="n">
        <f aca="false">SUM(I41:I54)</f>
        <v>1745837.1403904</v>
      </c>
      <c r="J55" s="189" t="n">
        <f aca="false">SUM(J41:J54)</f>
        <v>1739334.03053312</v>
      </c>
      <c r="K55" s="189" t="n">
        <f aca="false">SUM(K41:K54)</f>
        <v>1732830.92067584</v>
      </c>
      <c r="L55" s="189" t="n">
        <f aca="false">SUM(L41:L54)</f>
        <v>1726327.81081856</v>
      </c>
      <c r="M55" s="189" t="n">
        <f aca="false">SUM(M41:M54)</f>
        <v>1719824.70096128</v>
      </c>
      <c r="N55" s="189" t="n">
        <f aca="false">SUM(N41:N54)</f>
        <v>1713321.591104</v>
      </c>
      <c r="O55" s="189" t="n">
        <f aca="false">SUM(O41:O54)</f>
        <v>1706818.48124672</v>
      </c>
      <c r="P55" s="189" t="n">
        <f aca="false">SUM(P41:P54)</f>
        <v>1700315.37138944</v>
      </c>
      <c r="Q55" s="189" t="n">
        <f aca="false">SUM(Q41:Q54)</f>
        <v>1693812.26153216</v>
      </c>
      <c r="R55" s="189" t="n">
        <f aca="false">SUM(R41:R54)</f>
        <v>1687309.15167488</v>
      </c>
      <c r="S55" s="189" t="n">
        <f aca="false">SUM(S41:S54)</f>
        <v>1680806.0418176</v>
      </c>
      <c r="T55" s="189" t="n">
        <f aca="false">SUM(T41:T54)</f>
        <v>1674302.93196032</v>
      </c>
      <c r="U55" s="189" t="n">
        <f aca="false">SUM(U41:U54)</f>
        <v>1667799.82210304</v>
      </c>
      <c r="V55" s="189" t="n">
        <f aca="false">SUM(V41:V54)</f>
        <v>1661296.71224576</v>
      </c>
      <c r="W55" s="189" t="n">
        <f aca="false">SUM(W41:W54)</f>
        <v>1654793.60238848</v>
      </c>
      <c r="X55" s="190"/>
      <c r="Y55" s="191"/>
      <c r="Z55" s="192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</row>
    <row r="56" customFormat="false" ht="18.75" hidden="false" customHeight="true" outlineLevel="0" collapsed="false">
      <c r="B56" s="193" t="s">
        <v>68</v>
      </c>
      <c r="D56" s="194" t="n">
        <f aca="false">C55+D55</f>
        <v>-15104947.3103232</v>
      </c>
      <c r="E56" s="194" t="n">
        <f aca="false">D56+E55</f>
        <v>-13333097.7305037</v>
      </c>
      <c r="F56" s="194" t="n">
        <f aca="false">E56+F55</f>
        <v>-11567751.2605414</v>
      </c>
      <c r="G56" s="194" t="n">
        <f aca="false">F56+G55</f>
        <v>-9808907.90043649</v>
      </c>
      <c r="H56" s="194" t="n">
        <f aca="false">G56+H55</f>
        <v>-8056567.65018881</v>
      </c>
      <c r="I56" s="194" t="n">
        <f aca="false">H56+I55</f>
        <v>-6310730.50979841</v>
      </c>
      <c r="J56" s="194" t="n">
        <f aca="false">I56+J55</f>
        <v>-4571396.47926529</v>
      </c>
      <c r="K56" s="194" t="n">
        <f aca="false">J56+K55</f>
        <v>-2838565.55858945</v>
      </c>
      <c r="L56" s="194" t="n">
        <f aca="false">K56+L55</f>
        <v>-1112237.74777089</v>
      </c>
      <c r="M56" s="194" t="n">
        <f aca="false">L56+M55</f>
        <v>607586.953190392</v>
      </c>
      <c r="N56" s="194" t="n">
        <f aca="false">M56+N55</f>
        <v>2320908.54429439</v>
      </c>
      <c r="O56" s="194" t="n">
        <f aca="false">N56+O55</f>
        <v>4027727.02554111</v>
      </c>
      <c r="P56" s="194" t="n">
        <f aca="false">O56+P55</f>
        <v>5728042.39693055</v>
      </c>
      <c r="Q56" s="194" t="n">
        <f aca="false">P56+Q55</f>
        <v>7421854.65846271</v>
      </c>
      <c r="R56" s="194" t="n">
        <f aca="false">Q56+R55</f>
        <v>9109163.81013759</v>
      </c>
      <c r="S56" s="194" t="n">
        <f aca="false">R56+S55</f>
        <v>10789969.8519552</v>
      </c>
      <c r="T56" s="194" t="n">
        <f aca="false">S56+T55</f>
        <v>12464272.7839155</v>
      </c>
      <c r="U56" s="194" t="n">
        <f aca="false">T56+U55</f>
        <v>14132072.6060186</v>
      </c>
      <c r="V56" s="194" t="n">
        <f aca="false">U56+V55</f>
        <v>15793369.3182643</v>
      </c>
      <c r="W56" s="194" t="n">
        <f aca="false">V56+W55</f>
        <v>17448162.9206528</v>
      </c>
      <c r="X56" s="194" t="n">
        <f aca="false">W56+X55</f>
        <v>17448162.9206528</v>
      </c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</row>
    <row r="57" customFormat="false" ht="18.75" hidden="false" customHeight="true" outlineLevel="0" collapsed="false">
      <c r="B57" s="195" t="s">
        <v>74</v>
      </c>
      <c r="C57" s="196"/>
      <c r="D57" s="197" t="str">
        <f aca="false">IF((D56)&gt;0,"回收","未回收")</f>
        <v>未回收</v>
      </c>
      <c r="E57" s="198" t="str">
        <f aca="false">IF((E56)&gt;0,"回收","未回收")</f>
        <v>未回收</v>
      </c>
      <c r="F57" s="198" t="str">
        <f aca="false">IF((F56)&gt;0,"回收","未回收")</f>
        <v>未回收</v>
      </c>
      <c r="G57" s="198" t="str">
        <f aca="false">IF((G56)&gt;0,"回收","未回收")</f>
        <v>未回收</v>
      </c>
      <c r="H57" s="198" t="str">
        <f aca="false">IF((H56)&gt;0,"回收","未回收")</f>
        <v>未回收</v>
      </c>
      <c r="I57" s="198" t="str">
        <f aca="false">IF((I56)&gt;0,"回收","未回收")</f>
        <v>未回收</v>
      </c>
      <c r="J57" s="198" t="str">
        <f aca="false">IF((J56)&gt;0,"回收","未回收")</f>
        <v>未回收</v>
      </c>
      <c r="K57" s="198" t="str">
        <f aca="false">IF((K56)&gt;0,"回收","未回收")</f>
        <v>未回收</v>
      </c>
      <c r="L57" s="198" t="str">
        <f aca="false">IF((L56)&gt;0,"回收","未回收")</f>
        <v>未回收</v>
      </c>
      <c r="M57" s="198" t="str">
        <f aca="false">IF((M56)&gt;0,"回收","未回收")</f>
        <v>回收</v>
      </c>
      <c r="N57" s="198" t="str">
        <f aca="false">IF((N56)&gt;0,"回收","未回收")</f>
        <v>回收</v>
      </c>
      <c r="O57" s="198" t="str">
        <f aca="false">IF((O56)&gt;0,"回收","未回收")</f>
        <v>回收</v>
      </c>
      <c r="P57" s="198" t="str">
        <f aca="false">IF((P56)&gt;0,"回收","未回收")</f>
        <v>回收</v>
      </c>
      <c r="Q57" s="198" t="str">
        <f aca="false">IF((Q56)&gt;0,"回收","未回收")</f>
        <v>回收</v>
      </c>
      <c r="R57" s="198" t="str">
        <f aca="false">IF((R56)&gt;0,"回收","未回收")</f>
        <v>回收</v>
      </c>
      <c r="S57" s="198" t="str">
        <f aca="false">IF((S56)&gt;0,"回收","未回收")</f>
        <v>回收</v>
      </c>
      <c r="T57" s="198" t="str">
        <f aca="false">IF((T56)&gt;0,"回收","未回收")</f>
        <v>回收</v>
      </c>
      <c r="U57" s="198" t="str">
        <f aca="false">IF((U56)&gt;0,"回收","未回收")</f>
        <v>回收</v>
      </c>
      <c r="V57" s="198" t="str">
        <f aca="false">IF((V56)&gt;0,"回收","未回收")</f>
        <v>回收</v>
      </c>
      <c r="W57" s="198" t="str">
        <f aca="false">IF((W56)&gt;0,"回收","未回收")</f>
        <v>回收</v>
      </c>
      <c r="X57" s="198" t="str">
        <f aca="false">IF((X56)&gt;0,"回收","未回收")</f>
        <v>回收</v>
      </c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</row>
    <row r="58" customFormat="false" ht="18.75" hidden="false" customHeight="true" outlineLevel="0" collapsed="false">
      <c r="B58" s="199" t="s">
        <v>93</v>
      </c>
      <c r="C58" s="200" t="n">
        <f aca="false">IRR(C55:W55)</f>
        <v>0.0810277288381631</v>
      </c>
      <c r="D58" s="201"/>
      <c r="E58" s="201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</row>
    <row r="59" customFormat="false" ht="18.75" hidden="false" customHeight="true" outlineLevel="0" collapsed="false">
      <c r="B59" s="202"/>
      <c r="C59" s="201"/>
      <c r="D59" s="201"/>
      <c r="E59" s="201"/>
      <c r="F59" s="202"/>
      <c r="G59" s="202"/>
      <c r="H59" s="202"/>
      <c r="I59" s="202"/>
      <c r="J59" s="202"/>
      <c r="K59" s="202"/>
      <c r="L59" s="202"/>
      <c r="M59" s="201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customFormat="false" ht="18.75" hidden="false" customHeight="true" outlineLevel="0" collapsed="false">
      <c r="B60" s="97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54" t="n">
        <v>0</v>
      </c>
      <c r="C61" s="155"/>
      <c r="D61" s="156"/>
      <c r="E61" s="156"/>
      <c r="F61" s="157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203" t="s">
        <v>50</v>
      </c>
      <c r="U61" s="158"/>
      <c r="V61" s="158"/>
      <c r="W61" s="158"/>
      <c r="X61" s="160"/>
    </row>
    <row r="62" customFormat="false" ht="18.75" hidden="false" customHeight="true" outlineLevel="0" collapsed="false">
      <c r="B62" s="161" t="s">
        <v>51</v>
      </c>
      <c r="C62" s="162" t="n">
        <v>0</v>
      </c>
      <c r="D62" s="163" t="n">
        <v>1</v>
      </c>
      <c r="E62" s="163" t="n">
        <v>2</v>
      </c>
      <c r="F62" s="163" t="n">
        <v>3</v>
      </c>
      <c r="G62" s="163" t="n">
        <v>4</v>
      </c>
      <c r="H62" s="163" t="n">
        <v>5</v>
      </c>
      <c r="I62" s="163" t="n">
        <v>6</v>
      </c>
      <c r="J62" s="163" t="n">
        <v>7</v>
      </c>
      <c r="K62" s="163" t="n">
        <v>8</v>
      </c>
      <c r="L62" s="163" t="n">
        <v>9</v>
      </c>
      <c r="M62" s="163" t="n">
        <v>10</v>
      </c>
      <c r="N62" s="163" t="n">
        <v>11</v>
      </c>
      <c r="O62" s="163" t="n">
        <v>12</v>
      </c>
      <c r="P62" s="163" t="n">
        <v>13</v>
      </c>
      <c r="Q62" s="163" t="n">
        <v>14</v>
      </c>
      <c r="R62" s="163" t="n">
        <v>15</v>
      </c>
      <c r="S62" s="163" t="n">
        <v>16</v>
      </c>
      <c r="T62" s="204" t="n">
        <v>17</v>
      </c>
      <c r="U62" s="163" t="n">
        <v>18</v>
      </c>
      <c r="V62" s="163" t="n">
        <v>19</v>
      </c>
      <c r="W62" s="163" t="n">
        <v>20</v>
      </c>
      <c r="X62" s="47"/>
    </row>
    <row r="63" customFormat="false" ht="18.75" hidden="false" customHeight="true" outlineLevel="0" collapsed="false">
      <c r="B63" s="165" t="s">
        <v>52</v>
      </c>
      <c r="C63" s="166" t="n">
        <v>0</v>
      </c>
      <c r="D63" s="167" t="n">
        <f aca="false">D40</f>
        <v>541531.98</v>
      </c>
      <c r="E63" s="167" t="n">
        <f aca="false">E40</f>
        <v>539343.972</v>
      </c>
      <c r="F63" s="167" t="n">
        <f aca="false">F40</f>
        <v>537155.964</v>
      </c>
      <c r="G63" s="167" t="n">
        <f aca="false">G40</f>
        <v>534967.956</v>
      </c>
      <c r="H63" s="167" t="n">
        <f aca="false">H40</f>
        <v>532779.948</v>
      </c>
      <c r="I63" s="167" t="n">
        <f aca="false">I40</f>
        <v>530591.94</v>
      </c>
      <c r="J63" s="167" t="n">
        <f aca="false">J40</f>
        <v>528403.932</v>
      </c>
      <c r="K63" s="167" t="n">
        <f aca="false">K40</f>
        <v>526215.924</v>
      </c>
      <c r="L63" s="167" t="n">
        <f aca="false">L40</f>
        <v>524027.916</v>
      </c>
      <c r="M63" s="167" t="n">
        <f aca="false">M40</f>
        <v>521839.908</v>
      </c>
      <c r="N63" s="167" t="n">
        <f aca="false">N40</f>
        <v>519651.9</v>
      </c>
      <c r="O63" s="167" t="n">
        <f aca="false">O40</f>
        <v>517463.892</v>
      </c>
      <c r="P63" s="167" t="n">
        <f aca="false">P40</f>
        <v>515275.884</v>
      </c>
      <c r="Q63" s="167" t="n">
        <f aca="false">Q40</f>
        <v>513087.876</v>
      </c>
      <c r="R63" s="167" t="n">
        <f aca="false">R40</f>
        <v>510899.868</v>
      </c>
      <c r="S63" s="167" t="n">
        <f aca="false">S40</f>
        <v>508711.86</v>
      </c>
      <c r="T63" s="167" t="n">
        <f aca="false">T40</f>
        <v>506523.852</v>
      </c>
      <c r="U63" s="167" t="n">
        <f aca="false">U40</f>
        <v>504335.844</v>
      </c>
      <c r="V63" s="167" t="n">
        <f aca="false">V40</f>
        <v>502147.836</v>
      </c>
      <c r="W63" s="167" t="n">
        <f aca="false">W40</f>
        <v>499959.828</v>
      </c>
      <c r="X63" s="168"/>
    </row>
    <row r="64" customFormat="false" ht="18.75" hidden="false" customHeight="true" outlineLevel="0" collapsed="false">
      <c r="B64" s="169" t="s">
        <v>53</v>
      </c>
      <c r="C64" s="170" t="s">
        <v>3</v>
      </c>
      <c r="D64" s="171" t="n">
        <f aca="false">D41</f>
        <v>2011899.612096</v>
      </c>
      <c r="E64" s="171" t="n">
        <f aca="false">E41</f>
        <v>2003770.7247744</v>
      </c>
      <c r="F64" s="171" t="n">
        <f aca="false">F41</f>
        <v>1995641.8374528</v>
      </c>
      <c r="G64" s="171" t="n">
        <f aca="false">G41</f>
        <v>1987512.9501312</v>
      </c>
      <c r="H64" s="171" t="n">
        <f aca="false">H41</f>
        <v>1979384.0628096</v>
      </c>
      <c r="I64" s="171" t="n">
        <f aca="false">I41</f>
        <v>1971255.175488</v>
      </c>
      <c r="J64" s="171" t="n">
        <f aca="false">J41</f>
        <v>1963126.2881664</v>
      </c>
      <c r="K64" s="171" t="n">
        <f aca="false">K41</f>
        <v>1954997.4008448</v>
      </c>
      <c r="L64" s="171" t="n">
        <f aca="false">L41</f>
        <v>1946868.5135232</v>
      </c>
      <c r="M64" s="171" t="n">
        <f aca="false">M41</f>
        <v>1938739.6262016</v>
      </c>
      <c r="N64" s="171" t="n">
        <f aca="false">N41</f>
        <v>1930610.73888</v>
      </c>
      <c r="O64" s="171" t="n">
        <f aca="false">O41</f>
        <v>1922481.8515584</v>
      </c>
      <c r="P64" s="171" t="n">
        <f aca="false">P41</f>
        <v>1914352.9642368</v>
      </c>
      <c r="Q64" s="171" t="n">
        <f aca="false">Q41</f>
        <v>1906224.0769152</v>
      </c>
      <c r="R64" s="171" t="n">
        <f aca="false">R41</f>
        <v>1898095.1895936</v>
      </c>
      <c r="S64" s="171" t="n">
        <f aca="false">S41</f>
        <v>1889966.302272</v>
      </c>
      <c r="T64" s="171" t="n">
        <f aca="false">T41</f>
        <v>1881837.4149504</v>
      </c>
      <c r="U64" s="171" t="n">
        <f aca="false">U41</f>
        <v>1873708.5276288</v>
      </c>
      <c r="V64" s="171" t="n">
        <f aca="false">V41</f>
        <v>1865579.6403072</v>
      </c>
      <c r="W64" s="171" t="n">
        <f aca="false">W41</f>
        <v>1857450.7529856</v>
      </c>
      <c r="X64" s="172"/>
    </row>
    <row r="65" customFormat="false" ht="18.75" hidden="false" customHeight="true" outlineLevel="0" collapsed="false">
      <c r="B65" s="173" t="s">
        <v>54</v>
      </c>
      <c r="C65" s="174" t="s">
        <v>3</v>
      </c>
      <c r="D65" s="175"/>
      <c r="E65" s="175"/>
      <c r="F65" s="175"/>
      <c r="G65" s="176" t="s">
        <v>3</v>
      </c>
      <c r="H65" s="176" t="s">
        <v>3</v>
      </c>
      <c r="I65" s="176" t="s">
        <v>3</v>
      </c>
      <c r="J65" s="176" t="s">
        <v>3</v>
      </c>
      <c r="K65" s="176" t="s">
        <v>3</v>
      </c>
      <c r="L65" s="176" t="s">
        <v>3</v>
      </c>
      <c r="M65" s="176" t="s">
        <v>3</v>
      </c>
      <c r="N65" s="176" t="s">
        <v>3</v>
      </c>
      <c r="O65" s="176" t="s">
        <v>3</v>
      </c>
      <c r="P65" s="176" t="s">
        <v>3</v>
      </c>
      <c r="Q65" s="176" t="s">
        <v>3</v>
      </c>
      <c r="R65" s="176" t="s">
        <v>3</v>
      </c>
      <c r="S65" s="176" t="s">
        <v>3</v>
      </c>
      <c r="T65" s="176" t="s">
        <v>3</v>
      </c>
      <c r="U65" s="176" t="s">
        <v>3</v>
      </c>
      <c r="V65" s="176" t="s">
        <v>3</v>
      </c>
      <c r="W65" s="176" t="s">
        <v>3</v>
      </c>
      <c r="X65" s="177"/>
    </row>
    <row r="66" customFormat="false" ht="18.75" hidden="false" customHeight="true" outlineLevel="0" collapsed="false">
      <c r="B66" s="178" t="s">
        <v>55</v>
      </c>
      <c r="C66" s="179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1"/>
    </row>
    <row r="67" customFormat="false" ht="18.75" hidden="false" customHeight="true" outlineLevel="0" collapsed="false">
      <c r="B67" s="182" t="s">
        <v>120</v>
      </c>
      <c r="C67" s="174"/>
      <c r="D67" s="205" t="n">
        <f aca="false">$C$44/$E$16</f>
        <v>-844165</v>
      </c>
      <c r="E67" s="205" t="n">
        <f aca="false">$C$44/$E$16</f>
        <v>-844165</v>
      </c>
      <c r="F67" s="205" t="n">
        <f aca="false">$C$44/$E$16</f>
        <v>-844165</v>
      </c>
      <c r="G67" s="205" t="n">
        <f aca="false">$C$44/$E$16</f>
        <v>-844165</v>
      </c>
      <c r="H67" s="205" t="n">
        <f aca="false">$C$44/$E$16</f>
        <v>-844165</v>
      </c>
      <c r="I67" s="205" t="n">
        <f aca="false">$C$44/$E$16</f>
        <v>-844165</v>
      </c>
      <c r="J67" s="205" t="n">
        <f aca="false">$C$44/$E$16</f>
        <v>-844165</v>
      </c>
      <c r="K67" s="205" t="n">
        <f aca="false">$C$44/$E$16</f>
        <v>-844165</v>
      </c>
      <c r="L67" s="205" t="n">
        <f aca="false">$C$44/$E$16</f>
        <v>-844165</v>
      </c>
      <c r="M67" s="205" t="n">
        <f aca="false">$C$44/$E$16</f>
        <v>-844165</v>
      </c>
      <c r="N67" s="205" t="n">
        <f aca="false">$C$44/$E$16</f>
        <v>-844165</v>
      </c>
      <c r="O67" s="205" t="n">
        <f aca="false">$C$44/$E$16</f>
        <v>-844165</v>
      </c>
      <c r="P67" s="205" t="n">
        <f aca="false">$C$44/$E$16</f>
        <v>-844165</v>
      </c>
      <c r="Q67" s="205" t="n">
        <f aca="false">$C$44/$E$16</f>
        <v>-844165</v>
      </c>
      <c r="R67" s="205" t="n">
        <f aca="false">$C$44/$E$16</f>
        <v>-844165</v>
      </c>
      <c r="S67" s="205" t="n">
        <f aca="false">$C$44/$E$16</f>
        <v>-844165</v>
      </c>
      <c r="T67" s="205" t="n">
        <f aca="false">$C$44/$E$16</f>
        <v>-844165</v>
      </c>
      <c r="U67" s="205" t="n">
        <f aca="false">$C$44/$E$16</f>
        <v>-844165</v>
      </c>
      <c r="V67" s="205" t="n">
        <f aca="false">$C$44/$E$16</f>
        <v>-844165</v>
      </c>
      <c r="W67" s="205" t="n">
        <f aca="false">$C$44/$E$16</f>
        <v>-844165</v>
      </c>
      <c r="X67" s="177"/>
    </row>
    <row r="68" customFormat="false" ht="18.75" hidden="false" customHeight="true" outlineLevel="0" collapsed="false">
      <c r="B68" s="182" t="s">
        <v>57</v>
      </c>
      <c r="C68" s="174" t="s">
        <v>3</v>
      </c>
      <c r="D68" s="184" t="n">
        <f aca="false">D45</f>
        <v>0</v>
      </c>
      <c r="E68" s="184" t="n">
        <f aca="false">E45</f>
        <v>0</v>
      </c>
      <c r="F68" s="184" t="n">
        <f aca="false">F45</f>
        <v>0</v>
      </c>
      <c r="G68" s="184" t="n">
        <f aca="false">G45</f>
        <v>0</v>
      </c>
      <c r="H68" s="184" t="n">
        <f aca="false">H45</f>
        <v>0</v>
      </c>
      <c r="I68" s="184" t="n">
        <f aca="false">I45</f>
        <v>0</v>
      </c>
      <c r="J68" s="184" t="n">
        <f aca="false">J45</f>
        <v>0</v>
      </c>
      <c r="K68" s="184" t="n">
        <f aca="false">K45</f>
        <v>0</v>
      </c>
      <c r="L68" s="184" t="n">
        <f aca="false">L45</f>
        <v>0</v>
      </c>
      <c r="M68" s="184" t="n">
        <f aca="false">M45</f>
        <v>0</v>
      </c>
      <c r="N68" s="184" t="n">
        <f aca="false">N45</f>
        <v>0</v>
      </c>
      <c r="O68" s="184" t="n">
        <f aca="false">O45</f>
        <v>0</v>
      </c>
      <c r="P68" s="184" t="n">
        <f aca="false">P45</f>
        <v>0</v>
      </c>
      <c r="Q68" s="184" t="n">
        <f aca="false">Q45</f>
        <v>0</v>
      </c>
      <c r="R68" s="184" t="n">
        <f aca="false">R45</f>
        <v>0</v>
      </c>
      <c r="S68" s="184" t="n">
        <f aca="false">S45</f>
        <v>0</v>
      </c>
      <c r="T68" s="184" t="n">
        <f aca="false">T45</f>
        <v>0</v>
      </c>
      <c r="U68" s="184" t="n">
        <f aca="false">U45</f>
        <v>0</v>
      </c>
      <c r="V68" s="184" t="n">
        <f aca="false">V45</f>
        <v>0</v>
      </c>
      <c r="W68" s="184" t="n">
        <f aca="false">W45</f>
        <v>0</v>
      </c>
      <c r="X68" s="177"/>
    </row>
    <row r="69" customFormat="false" ht="18.75" hidden="false" customHeight="true" outlineLevel="0" collapsed="false">
      <c r="B69" s="182" t="s">
        <v>58</v>
      </c>
      <c r="C69" s="174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7"/>
    </row>
    <row r="70" customFormat="false" ht="18.75" hidden="false" customHeight="true" outlineLevel="0" collapsed="false">
      <c r="B70" s="182" t="s">
        <v>59</v>
      </c>
      <c r="C70" s="174" t="s">
        <v>3</v>
      </c>
      <c r="D70" s="184" t="n">
        <f aca="false">-D109*$D25</f>
        <v>-345702.4508</v>
      </c>
      <c r="E70" s="184" t="n">
        <f aca="false">-E109*$D25</f>
        <v>-345702.4508</v>
      </c>
      <c r="F70" s="184" t="n">
        <f aca="false">-F109*$D25</f>
        <v>-345702.4508</v>
      </c>
      <c r="G70" s="184" t="n">
        <f aca="false">-G109*$D25</f>
        <v>-345702.4508</v>
      </c>
      <c r="H70" s="184" t="n">
        <f aca="false">-H109*$D25</f>
        <v>-345702.4508</v>
      </c>
      <c r="I70" s="184" t="n">
        <f aca="false">-I109*$D25</f>
        <v>-345702.4508</v>
      </c>
      <c r="J70" s="184" t="n">
        <f aca="false">-J109*$D25</f>
        <v>-345702.4508</v>
      </c>
      <c r="K70" s="184" t="n">
        <f aca="false">-K109*$D25</f>
        <v>-345702.4508</v>
      </c>
      <c r="L70" s="184" t="n">
        <f aca="false">-L109*$D25</f>
        <v>-345702.4508</v>
      </c>
      <c r="M70" s="184" t="n">
        <f aca="false">-M109*$D25</f>
        <v>-345702.4508</v>
      </c>
      <c r="N70" s="184" t="n">
        <f aca="false">-N109*$D25</f>
        <v>-345702.4508</v>
      </c>
      <c r="O70" s="184" t="n">
        <f aca="false">-O109*$D25</f>
        <v>-345702.4508</v>
      </c>
      <c r="P70" s="184" t="n">
        <f aca="false">-P109*$D25</f>
        <v>-345702.4508</v>
      </c>
      <c r="Q70" s="184" t="n">
        <f aca="false">-Q109*$D25</f>
        <v>-345702.4508</v>
      </c>
      <c r="R70" s="184" t="n">
        <f aca="false">-R109*$D25</f>
        <v>-345702.4508</v>
      </c>
      <c r="S70" s="184" t="n">
        <f aca="false">-S109*$D25</f>
        <v>-345702.4508</v>
      </c>
      <c r="T70" s="184" t="n">
        <f aca="false">-T109*$D25</f>
        <v>-345702.4508</v>
      </c>
      <c r="U70" s="184" t="n">
        <f aca="false">-U109*$D25</f>
        <v>-345702.4508</v>
      </c>
      <c r="V70" s="184" t="n">
        <f aca="false">-V109*$D25</f>
        <v>-345702.4508</v>
      </c>
      <c r="W70" s="184" t="n">
        <f aca="false">-W109*$D25</f>
        <v>-345702.4508</v>
      </c>
      <c r="X70" s="177"/>
    </row>
    <row r="71" customFormat="false" ht="18.75" hidden="false" customHeight="true" outlineLevel="0" collapsed="false">
      <c r="B71" s="182" t="s">
        <v>60</v>
      </c>
      <c r="C71" s="174" t="s">
        <v>3</v>
      </c>
      <c r="D71" s="184" t="n">
        <f aca="false">D48</f>
        <v>0</v>
      </c>
      <c r="E71" s="184" t="n">
        <f aca="false">E48</f>
        <v>0</v>
      </c>
      <c r="F71" s="184" t="n">
        <f aca="false">F48</f>
        <v>0</v>
      </c>
      <c r="G71" s="184" t="n">
        <f aca="false">G48</f>
        <v>0</v>
      </c>
      <c r="H71" s="184" t="n">
        <f aca="false">H48</f>
        <v>0</v>
      </c>
      <c r="I71" s="184" t="n">
        <f aca="false">I48</f>
        <v>0</v>
      </c>
      <c r="J71" s="184" t="n">
        <f aca="false">J48</f>
        <v>0</v>
      </c>
      <c r="K71" s="184" t="n">
        <f aca="false">K48</f>
        <v>0</v>
      </c>
      <c r="L71" s="184" t="n">
        <f aca="false">L48</f>
        <v>0</v>
      </c>
      <c r="M71" s="184" t="n">
        <f aca="false">M48</f>
        <v>0</v>
      </c>
      <c r="N71" s="184" t="n">
        <f aca="false">N48</f>
        <v>0</v>
      </c>
      <c r="O71" s="184" t="n">
        <f aca="false">O48</f>
        <v>0</v>
      </c>
      <c r="P71" s="184" t="n">
        <f aca="false">P48</f>
        <v>0</v>
      </c>
      <c r="Q71" s="184" t="n">
        <f aca="false">Q48</f>
        <v>0</v>
      </c>
      <c r="R71" s="184" t="n">
        <f aca="false">R48</f>
        <v>0</v>
      </c>
      <c r="S71" s="184" t="n">
        <f aca="false">S48</f>
        <v>0</v>
      </c>
      <c r="T71" s="184" t="n">
        <f aca="false">T48</f>
        <v>0</v>
      </c>
      <c r="U71" s="184" t="n">
        <f aca="false">U48</f>
        <v>0</v>
      </c>
      <c r="V71" s="184" t="n">
        <f aca="false">V48</f>
        <v>0</v>
      </c>
      <c r="W71" s="184" t="n">
        <f aca="false">W48</f>
        <v>0</v>
      </c>
      <c r="X71" s="177"/>
    </row>
    <row r="72" customFormat="false" ht="18.75" hidden="false" customHeight="true" outlineLevel="0" collapsed="false">
      <c r="B72" s="182" t="s">
        <v>61</v>
      </c>
      <c r="C72" s="174" t="s">
        <v>3</v>
      </c>
      <c r="D72" s="184" t="n">
        <f aca="false">D49</f>
        <v>0</v>
      </c>
      <c r="E72" s="184" t="n">
        <f aca="false">E49</f>
        <v>0</v>
      </c>
      <c r="F72" s="184" t="n">
        <f aca="false">F49</f>
        <v>0</v>
      </c>
      <c r="G72" s="184" t="n">
        <f aca="false">G49</f>
        <v>0</v>
      </c>
      <c r="H72" s="184" t="n">
        <f aca="false">H49</f>
        <v>0</v>
      </c>
      <c r="I72" s="184" t="n">
        <f aca="false">I49</f>
        <v>0</v>
      </c>
      <c r="J72" s="184" t="n">
        <f aca="false">J49</f>
        <v>0</v>
      </c>
      <c r="K72" s="184" t="n">
        <f aca="false">K49</f>
        <v>0</v>
      </c>
      <c r="L72" s="184" t="n">
        <f aca="false">L49</f>
        <v>0</v>
      </c>
      <c r="M72" s="184" t="n">
        <f aca="false">M49</f>
        <v>0</v>
      </c>
      <c r="N72" s="184" t="n">
        <f aca="false">N49</f>
        <v>0</v>
      </c>
      <c r="O72" s="184" t="n">
        <f aca="false">O49</f>
        <v>0</v>
      </c>
      <c r="P72" s="184" t="n">
        <f aca="false">P49</f>
        <v>0</v>
      </c>
      <c r="Q72" s="184" t="n">
        <f aca="false">Q49</f>
        <v>0</v>
      </c>
      <c r="R72" s="184" t="n">
        <f aca="false">R49</f>
        <v>0</v>
      </c>
      <c r="S72" s="184" t="n">
        <f aca="false">S49</f>
        <v>0</v>
      </c>
      <c r="T72" s="184" t="n">
        <f aca="false">T49</f>
        <v>0</v>
      </c>
      <c r="U72" s="184" t="n">
        <f aca="false">U49</f>
        <v>0</v>
      </c>
      <c r="V72" s="184" t="n">
        <f aca="false">V49</f>
        <v>0</v>
      </c>
      <c r="W72" s="184" t="n">
        <f aca="false">W49</f>
        <v>0</v>
      </c>
      <c r="X72" s="177"/>
    </row>
    <row r="73" customFormat="false" ht="18.75" hidden="false" customHeight="true" outlineLevel="0" collapsed="false">
      <c r="B73" s="182" t="s">
        <v>62</v>
      </c>
      <c r="C73" s="174"/>
      <c r="D73" s="184" t="n">
        <f aca="false">D50</f>
        <v>0</v>
      </c>
      <c r="E73" s="184" t="n">
        <f aca="false">E50</f>
        <v>0</v>
      </c>
      <c r="F73" s="184" t="n">
        <f aca="false">F50</f>
        <v>0</v>
      </c>
      <c r="G73" s="184" t="n">
        <f aca="false">G50</f>
        <v>0</v>
      </c>
      <c r="H73" s="184" t="n">
        <f aca="false">H50</f>
        <v>0</v>
      </c>
      <c r="I73" s="184" t="n">
        <f aca="false">I50</f>
        <v>0</v>
      </c>
      <c r="J73" s="184" t="n">
        <f aca="false">J50</f>
        <v>0</v>
      </c>
      <c r="K73" s="184" t="n">
        <f aca="false">K50</f>
        <v>0</v>
      </c>
      <c r="L73" s="184" t="n">
        <f aca="false">L50</f>
        <v>0</v>
      </c>
      <c r="M73" s="184" t="n">
        <f aca="false">M50</f>
        <v>0</v>
      </c>
      <c r="N73" s="184" t="n">
        <f aca="false">N50</f>
        <v>0</v>
      </c>
      <c r="O73" s="184" t="n">
        <f aca="false">O50</f>
        <v>0</v>
      </c>
      <c r="P73" s="184" t="n">
        <f aca="false">P50</f>
        <v>0</v>
      </c>
      <c r="Q73" s="184" t="n">
        <f aca="false">Q50</f>
        <v>0</v>
      </c>
      <c r="R73" s="184" t="n">
        <f aca="false">R50</f>
        <v>0</v>
      </c>
      <c r="S73" s="184" t="n">
        <f aca="false">S50</f>
        <v>0</v>
      </c>
      <c r="T73" s="184" t="n">
        <f aca="false">T50</f>
        <v>0</v>
      </c>
      <c r="U73" s="184" t="n">
        <f aca="false">U50</f>
        <v>0</v>
      </c>
      <c r="V73" s="184" t="n">
        <f aca="false">V50</f>
        <v>0</v>
      </c>
      <c r="W73" s="184" t="n">
        <f aca="false">W50</f>
        <v>0</v>
      </c>
      <c r="X73" s="177"/>
    </row>
    <row r="74" customFormat="false" ht="18.75" hidden="false" customHeight="true" outlineLevel="0" collapsed="false">
      <c r="B74" s="182" t="s">
        <v>63</v>
      </c>
      <c r="C74" s="185"/>
      <c r="D74" s="206"/>
      <c r="E74" s="207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7"/>
    </row>
    <row r="75" customFormat="false" ht="18.75" hidden="false" customHeight="true" outlineLevel="0" collapsed="false">
      <c r="B75" s="182" t="s">
        <v>64</v>
      </c>
      <c r="C75" s="18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7"/>
    </row>
    <row r="76" customFormat="false" ht="18.75" hidden="false" customHeight="true" outlineLevel="0" collapsed="false">
      <c r="B76" s="187" t="s">
        <v>121</v>
      </c>
      <c r="C76" s="208"/>
      <c r="D76" s="189" t="n">
        <f aca="false">SUM(D64:D75)</f>
        <v>822032.161295999</v>
      </c>
      <c r="E76" s="189" t="n">
        <f aca="false">SUM(E64:E75)</f>
        <v>813903.273974399</v>
      </c>
      <c r="F76" s="189" t="n">
        <f aca="false">SUM(F64:F75)</f>
        <v>805774.3866528</v>
      </c>
      <c r="G76" s="189" t="n">
        <f aca="false">SUM(G64:G75)</f>
        <v>797645.4993312</v>
      </c>
      <c r="H76" s="189" t="n">
        <f aca="false">SUM(H64:H75)</f>
        <v>789516.6120096</v>
      </c>
      <c r="I76" s="189" t="n">
        <f aca="false">SUM(I64:I75)</f>
        <v>781387.724688</v>
      </c>
      <c r="J76" s="189" t="n">
        <f aca="false">SUM(J64:J75)</f>
        <v>773258.8373664</v>
      </c>
      <c r="K76" s="189" t="n">
        <f aca="false">SUM(K64:K75)</f>
        <v>765129.9500448</v>
      </c>
      <c r="L76" s="189" t="n">
        <f aca="false">SUM(L64:L75)</f>
        <v>757001.0627232</v>
      </c>
      <c r="M76" s="189" t="n">
        <f aca="false">SUM(M64:M75)</f>
        <v>748872.1754016</v>
      </c>
      <c r="N76" s="189" t="n">
        <f aca="false">SUM(N64:N75)</f>
        <v>740743.28808</v>
      </c>
      <c r="O76" s="189" t="n">
        <f aca="false">SUM(O64:O75)</f>
        <v>732614.4007584</v>
      </c>
      <c r="P76" s="189" t="n">
        <f aca="false">SUM(P64:P75)</f>
        <v>724485.5134368</v>
      </c>
      <c r="Q76" s="189" t="n">
        <f aca="false">SUM(Q64:Q75)</f>
        <v>716356.6261152</v>
      </c>
      <c r="R76" s="189" t="n">
        <f aca="false">SUM(R64:R75)</f>
        <v>708227.7387936</v>
      </c>
      <c r="S76" s="189" t="n">
        <f aca="false">SUM(S64:S75)</f>
        <v>700098.851472</v>
      </c>
      <c r="T76" s="189" t="n">
        <f aca="false">SUM(T64:T75)</f>
        <v>691969.964150399</v>
      </c>
      <c r="U76" s="189" t="n">
        <f aca="false">SUM(U64:U75)</f>
        <v>683841.0768288</v>
      </c>
      <c r="V76" s="189" t="n">
        <f aca="false">SUM(V64:V75)</f>
        <v>675712.189507199</v>
      </c>
      <c r="W76" s="189" t="n">
        <f aca="false">SUM(W64:W75)</f>
        <v>667583.3021856</v>
      </c>
      <c r="X76" s="189" t="n">
        <f aca="false">SUM(X64:X75)</f>
        <v>0</v>
      </c>
    </row>
    <row r="77" customFormat="false" ht="18.75" hidden="false" customHeight="true" outlineLevel="0" collapsed="false">
      <c r="B77" s="186" t="s">
        <v>66</v>
      </c>
      <c r="C77" s="185"/>
      <c r="D77" s="184" t="n">
        <f aca="false">-D76*0.2</f>
        <v>-164406.4322592</v>
      </c>
      <c r="E77" s="184" t="n">
        <f aca="false">-E76*0.2</f>
        <v>-162780.65479488</v>
      </c>
      <c r="F77" s="184" t="n">
        <f aca="false">-F76*0.2</f>
        <v>-161154.87733056</v>
      </c>
      <c r="G77" s="184" t="n">
        <f aca="false">-G76*0.2</f>
        <v>-159529.09986624</v>
      </c>
      <c r="H77" s="184" t="n">
        <f aca="false">-H76*0.2</f>
        <v>-157903.32240192</v>
      </c>
      <c r="I77" s="184" t="n">
        <f aca="false">-I76*0.2</f>
        <v>-156277.5449376</v>
      </c>
      <c r="J77" s="184" t="n">
        <f aca="false">-J76*0.2</f>
        <v>-154651.76747328</v>
      </c>
      <c r="K77" s="184" t="n">
        <f aca="false">-K76*0.2</f>
        <v>-153025.99000896</v>
      </c>
      <c r="L77" s="184" t="n">
        <f aca="false">-L76*0.2</f>
        <v>-151400.21254464</v>
      </c>
      <c r="M77" s="184" t="n">
        <f aca="false">-M76*0.2</f>
        <v>-149774.43508032</v>
      </c>
      <c r="N77" s="184" t="n">
        <f aca="false">-N76*0.2</f>
        <v>-148148.657616</v>
      </c>
      <c r="O77" s="184" t="n">
        <f aca="false">-O76*0.2</f>
        <v>-146522.88015168</v>
      </c>
      <c r="P77" s="184" t="n">
        <f aca="false">-P76*0.2</f>
        <v>-144897.10268736</v>
      </c>
      <c r="Q77" s="184" t="n">
        <f aca="false">-Q76*0.2</f>
        <v>-143271.32522304</v>
      </c>
      <c r="R77" s="184" t="n">
        <f aca="false">-R76*0.2</f>
        <v>-141645.54775872</v>
      </c>
      <c r="S77" s="184" t="n">
        <f aca="false">-S76*0.2</f>
        <v>-140019.7702944</v>
      </c>
      <c r="T77" s="184" t="n">
        <f aca="false">-T76*0.2</f>
        <v>-138393.99283008</v>
      </c>
      <c r="U77" s="184" t="n">
        <f aca="false">-U76*0.2</f>
        <v>-136768.21536576</v>
      </c>
      <c r="V77" s="184" t="n">
        <f aca="false">-V76*0.2</f>
        <v>-135142.43790144</v>
      </c>
      <c r="W77" s="184" t="n">
        <f aca="false">-W76*0.2</f>
        <v>-133516.66043712</v>
      </c>
      <c r="X77" s="184" t="n">
        <f aca="false">-X76*0.2</f>
        <v>-0</v>
      </c>
    </row>
    <row r="78" customFormat="false" ht="15" hidden="false" customHeight="false" outlineLevel="0" collapsed="false">
      <c r="B78" s="209" t="s">
        <v>76</v>
      </c>
      <c r="D78" s="184" t="n">
        <f aca="false">SUM(D76:D77)</f>
        <v>657625.7290368</v>
      </c>
      <c r="E78" s="184" t="n">
        <f aca="false">SUM(E76:E77)</f>
        <v>651122.61917952</v>
      </c>
      <c r="F78" s="184" t="n">
        <f aca="false">SUM(F76:F77)</f>
        <v>644619.50932224</v>
      </c>
      <c r="G78" s="184" t="n">
        <f aca="false">SUM(G76:G77)</f>
        <v>638116.39946496</v>
      </c>
      <c r="H78" s="184" t="n">
        <f aca="false">SUM(H76:H77)</f>
        <v>631613.28960768</v>
      </c>
      <c r="I78" s="184" t="n">
        <f aca="false">SUM(I76:I77)</f>
        <v>625110.1797504</v>
      </c>
      <c r="J78" s="184" t="n">
        <f aca="false">SUM(J76:J77)</f>
        <v>618607.06989312</v>
      </c>
      <c r="K78" s="184" t="n">
        <f aca="false">SUM(K76:K77)</f>
        <v>612103.96003584</v>
      </c>
      <c r="L78" s="184" t="n">
        <f aca="false">SUM(L76:L77)</f>
        <v>605600.85017856</v>
      </c>
      <c r="M78" s="184" t="n">
        <f aca="false">SUM(M76:M77)</f>
        <v>599097.74032128</v>
      </c>
      <c r="N78" s="184" t="n">
        <f aca="false">SUM(N76:N77)</f>
        <v>592594.630464</v>
      </c>
      <c r="O78" s="184" t="n">
        <f aca="false">SUM(O76:O77)</f>
        <v>586091.52060672</v>
      </c>
      <c r="P78" s="184" t="n">
        <f aca="false">SUM(P76:P77)</f>
        <v>579588.41074944</v>
      </c>
      <c r="Q78" s="184" t="n">
        <f aca="false">SUM(Q76:Q77)</f>
        <v>573085.30089216</v>
      </c>
      <c r="R78" s="184" t="n">
        <f aca="false">SUM(R76:R77)</f>
        <v>566582.19103488</v>
      </c>
      <c r="S78" s="184" t="n">
        <f aca="false">SUM(S76:S77)</f>
        <v>560079.0811776</v>
      </c>
      <c r="T78" s="184" t="n">
        <f aca="false">SUM(T76:T77)</f>
        <v>553575.97132032</v>
      </c>
      <c r="U78" s="184" t="n">
        <f aca="false">SUM(U76:U77)</f>
        <v>547072.86146304</v>
      </c>
      <c r="V78" s="184" t="n">
        <f aca="false">SUM(V76:V77)</f>
        <v>540569.75160576</v>
      </c>
      <c r="W78" s="184" t="n">
        <f aca="false">SUM(W76:W77)</f>
        <v>534066.64174848</v>
      </c>
      <c r="X78" s="184" t="n">
        <f aca="false">SUM(X76:X77)</f>
        <v>0</v>
      </c>
    </row>
    <row r="79" customFormat="false" ht="18.75" hidden="false" customHeight="true" outlineLevel="0" collapsed="false">
      <c r="B79" s="193" t="s">
        <v>68</v>
      </c>
      <c r="C79" s="196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1"/>
    </row>
    <row r="80" customFormat="false" ht="18.75" hidden="false" customHeight="true" outlineLevel="0" collapsed="false">
      <c r="B80" s="212" t="s">
        <v>74</v>
      </c>
      <c r="C80" s="213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5"/>
    </row>
    <row r="81" customFormat="false" ht="18.75" hidden="false" customHeight="true" outlineLevel="0" collapsed="false">
      <c r="B81" s="202"/>
      <c r="C81" s="201"/>
      <c r="D81" s="201"/>
      <c r="E81" s="201"/>
      <c r="F81" s="202"/>
      <c r="G81" s="202"/>
      <c r="H81" s="202"/>
      <c r="I81" s="202"/>
      <c r="J81" s="202"/>
      <c r="K81" s="202"/>
      <c r="L81" s="202"/>
      <c r="M81" s="201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</row>
    <row r="82" customFormat="false" ht="18.75" hidden="false" customHeight="true" outlineLevel="0" collapsed="false">
      <c r="C82" s="216" t="s">
        <v>48</v>
      </c>
      <c r="D82" s="217" t="n">
        <f aca="false">D37</f>
        <v>2020</v>
      </c>
      <c r="E82" s="217" t="n">
        <f aca="false">E37</f>
        <v>2021</v>
      </c>
      <c r="F82" s="217" t="n">
        <f aca="false">F37</f>
        <v>2022</v>
      </c>
      <c r="G82" s="217" t="n">
        <f aca="false">G37</f>
        <v>2023</v>
      </c>
      <c r="H82" s="217" t="n">
        <f aca="false">H37</f>
        <v>2024</v>
      </c>
      <c r="I82" s="217" t="n">
        <f aca="false">I37</f>
        <v>2025</v>
      </c>
      <c r="J82" s="217" t="n">
        <f aca="false">J37</f>
        <v>2026</v>
      </c>
      <c r="K82" s="217" t="n">
        <f aca="false">K37</f>
        <v>2027</v>
      </c>
      <c r="L82" s="217" t="n">
        <f aca="false">L37</f>
        <v>2028</v>
      </c>
      <c r="M82" s="217" t="n">
        <f aca="false">M37</f>
        <v>2029</v>
      </c>
      <c r="N82" s="217" t="n">
        <f aca="false">N37</f>
        <v>2030</v>
      </c>
      <c r="O82" s="217" t="n">
        <f aca="false">O37</f>
        <v>2031</v>
      </c>
      <c r="P82" s="217" t="n">
        <f aca="false">P37</f>
        <v>2032</v>
      </c>
      <c r="Q82" s="217" t="n">
        <f aca="false">Q37</f>
        <v>2033</v>
      </c>
      <c r="R82" s="217" t="n">
        <f aca="false">R37</f>
        <v>2034</v>
      </c>
      <c r="S82" s="217" t="n">
        <f aca="false">S37</f>
        <v>2035</v>
      </c>
      <c r="T82" s="217" t="n">
        <f aca="false">T37</f>
        <v>2036</v>
      </c>
      <c r="U82" s="217" t="n">
        <f aca="false">U37</f>
        <v>2037</v>
      </c>
      <c r="V82" s="217" t="n">
        <f aca="false">V37</f>
        <v>2038</v>
      </c>
      <c r="W82" s="217" t="n">
        <f aca="false">W37</f>
        <v>2039</v>
      </c>
      <c r="X82" s="72"/>
    </row>
    <row r="83" customFormat="false" ht="18.75" hidden="false" customHeight="true" outlineLevel="0" collapsed="false">
      <c r="X83" s="135"/>
    </row>
    <row r="84" customFormat="false" ht="18.75" hidden="false" customHeight="true" outlineLevel="0" collapsed="false">
      <c r="B84" s="218" t="s">
        <v>51</v>
      </c>
      <c r="C84" s="218" t="n">
        <v>0</v>
      </c>
      <c r="D84" s="218" t="n">
        <v>1</v>
      </c>
      <c r="E84" s="218" t="n">
        <v>2</v>
      </c>
      <c r="F84" s="218" t="n">
        <v>3</v>
      </c>
      <c r="G84" s="218" t="n">
        <v>4</v>
      </c>
      <c r="H84" s="218" t="n">
        <v>5</v>
      </c>
      <c r="I84" s="218" t="n">
        <v>6</v>
      </c>
      <c r="J84" s="218" t="n">
        <v>7</v>
      </c>
      <c r="K84" s="218" t="n">
        <v>8</v>
      </c>
      <c r="L84" s="218" t="n">
        <v>9</v>
      </c>
      <c r="M84" s="218" t="n">
        <v>10</v>
      </c>
      <c r="N84" s="218" t="n">
        <v>11</v>
      </c>
      <c r="O84" s="218" t="n">
        <v>12</v>
      </c>
      <c r="P84" s="218" t="n">
        <v>13</v>
      </c>
      <c r="Q84" s="218" t="n">
        <v>14</v>
      </c>
      <c r="R84" s="218" t="n">
        <v>15</v>
      </c>
      <c r="S84" s="218" t="n">
        <v>16</v>
      </c>
      <c r="T84" s="218" t="n">
        <v>17</v>
      </c>
      <c r="U84" s="218" t="n">
        <v>18</v>
      </c>
      <c r="V84" s="218" t="n">
        <v>19</v>
      </c>
      <c r="W84" s="218" t="n">
        <v>20</v>
      </c>
      <c r="X84" s="103"/>
    </row>
    <row r="85" customFormat="false" ht="18.75" hidden="false" customHeight="true" outlineLevel="0" collapsed="false">
      <c r="B85" s="219" t="s">
        <v>76</v>
      </c>
      <c r="C85" s="219"/>
      <c r="D85" s="220" t="n">
        <f aca="false">D78</f>
        <v>657625.7290368</v>
      </c>
      <c r="E85" s="220" t="n">
        <f aca="false">E78</f>
        <v>651122.61917952</v>
      </c>
      <c r="F85" s="220" t="n">
        <f aca="false">F78</f>
        <v>644619.50932224</v>
      </c>
      <c r="G85" s="220" t="n">
        <f aca="false">G78</f>
        <v>638116.39946496</v>
      </c>
      <c r="H85" s="220" t="n">
        <f aca="false">H78</f>
        <v>631613.28960768</v>
      </c>
      <c r="I85" s="220" t="n">
        <f aca="false">I78</f>
        <v>625110.1797504</v>
      </c>
      <c r="J85" s="220" t="n">
        <f aca="false">J78</f>
        <v>618607.06989312</v>
      </c>
      <c r="K85" s="220" t="n">
        <f aca="false">K78</f>
        <v>612103.96003584</v>
      </c>
      <c r="L85" s="220" t="n">
        <f aca="false">L78</f>
        <v>605600.85017856</v>
      </c>
      <c r="M85" s="220" t="n">
        <f aca="false">M78</f>
        <v>599097.74032128</v>
      </c>
      <c r="N85" s="220" t="n">
        <f aca="false">N78</f>
        <v>592594.630464</v>
      </c>
      <c r="O85" s="220" t="n">
        <f aca="false">O78</f>
        <v>586091.52060672</v>
      </c>
      <c r="P85" s="220" t="n">
        <f aca="false">P78</f>
        <v>579588.41074944</v>
      </c>
      <c r="Q85" s="220" t="n">
        <f aca="false">Q78</f>
        <v>573085.30089216</v>
      </c>
      <c r="R85" s="220" t="n">
        <f aca="false">R78</f>
        <v>566582.19103488</v>
      </c>
      <c r="S85" s="220" t="n">
        <f aca="false">S78</f>
        <v>560079.0811776</v>
      </c>
      <c r="T85" s="220" t="n">
        <f aca="false">T78</f>
        <v>553575.97132032</v>
      </c>
      <c r="U85" s="220" t="n">
        <f aca="false">U78</f>
        <v>547072.86146304</v>
      </c>
      <c r="V85" s="220" t="n">
        <f aca="false">V78</f>
        <v>540569.75160576</v>
      </c>
      <c r="W85" s="220" t="n">
        <f aca="false">W78</f>
        <v>534066.64174848</v>
      </c>
      <c r="X85" s="219"/>
      <c r="Y85" s="219"/>
    </row>
    <row r="86" customFormat="false" ht="15" hidden="false" customHeight="false" outlineLevel="0" collapsed="false">
      <c r="B86" s="219" t="s">
        <v>77</v>
      </c>
      <c r="C86" s="219"/>
      <c r="D86" s="221" t="n">
        <f aca="false">-D67</f>
        <v>844165</v>
      </c>
      <c r="E86" s="221" t="n">
        <f aca="false">-E67</f>
        <v>844165</v>
      </c>
      <c r="F86" s="221" t="n">
        <f aca="false">-F67</f>
        <v>844165</v>
      </c>
      <c r="G86" s="221" t="n">
        <f aca="false">-G67</f>
        <v>844165</v>
      </c>
      <c r="H86" s="221" t="n">
        <f aca="false">-H67</f>
        <v>844165</v>
      </c>
      <c r="I86" s="221" t="n">
        <f aca="false">-I67</f>
        <v>844165</v>
      </c>
      <c r="J86" s="221" t="n">
        <f aca="false">-J67</f>
        <v>844165</v>
      </c>
      <c r="K86" s="221" t="n">
        <f aca="false">-K67</f>
        <v>844165</v>
      </c>
      <c r="L86" s="221" t="n">
        <f aca="false">-L67</f>
        <v>844165</v>
      </c>
      <c r="M86" s="221" t="n">
        <f aca="false">-M67</f>
        <v>844165</v>
      </c>
      <c r="N86" s="221" t="n">
        <f aca="false">-N67</f>
        <v>844165</v>
      </c>
      <c r="O86" s="221" t="n">
        <f aca="false">-O67</f>
        <v>844165</v>
      </c>
      <c r="P86" s="221" t="n">
        <f aca="false">-P67</f>
        <v>844165</v>
      </c>
      <c r="Q86" s="221" t="n">
        <f aca="false">-Q67</f>
        <v>844165</v>
      </c>
      <c r="R86" s="221" t="n">
        <f aca="false">-R67</f>
        <v>844165</v>
      </c>
      <c r="S86" s="221" t="n">
        <f aca="false">-S67</f>
        <v>844165</v>
      </c>
      <c r="T86" s="221" t="n">
        <f aca="false">-T67</f>
        <v>844165</v>
      </c>
      <c r="U86" s="221" t="n">
        <f aca="false">-U67</f>
        <v>844165</v>
      </c>
      <c r="V86" s="221" t="n">
        <f aca="false">-V67</f>
        <v>844165</v>
      </c>
      <c r="W86" s="221" t="n">
        <f aca="false">-W67</f>
        <v>844165</v>
      </c>
      <c r="X86" s="222"/>
      <c r="Y86" s="222"/>
    </row>
    <row r="87" customFormat="false" ht="15" hidden="false" customHeight="false" outlineLevel="0" collapsed="false">
      <c r="B87" s="219" t="s">
        <v>78</v>
      </c>
      <c r="C87" s="219"/>
      <c r="D87" s="223" t="n">
        <f aca="false">SUM(D85:D86)</f>
        <v>1501790.7290368</v>
      </c>
      <c r="E87" s="223" t="n">
        <f aca="false">SUM(E85:E86)</f>
        <v>1495287.61917952</v>
      </c>
      <c r="F87" s="223" t="n">
        <f aca="false">SUM(F85:F86)</f>
        <v>1488784.50932224</v>
      </c>
      <c r="G87" s="223" t="n">
        <f aca="false">SUM(G85:G86)</f>
        <v>1482281.39946496</v>
      </c>
      <c r="H87" s="223" t="n">
        <f aca="false">SUM(H85:H86)</f>
        <v>1475778.28960768</v>
      </c>
      <c r="I87" s="223" t="n">
        <f aca="false">SUM(I85:I86)</f>
        <v>1469275.1797504</v>
      </c>
      <c r="J87" s="223" t="n">
        <f aca="false">SUM(J85:J86)</f>
        <v>1462772.06989312</v>
      </c>
      <c r="K87" s="223" t="n">
        <f aca="false">SUM(K85:K86)</f>
        <v>1456268.96003584</v>
      </c>
      <c r="L87" s="223" t="n">
        <f aca="false">SUM(L85:L86)</f>
        <v>1449765.85017856</v>
      </c>
      <c r="M87" s="223" t="n">
        <f aca="false">SUM(M85:M86)</f>
        <v>1443262.74032128</v>
      </c>
      <c r="N87" s="223" t="n">
        <f aca="false">SUM(N85:N86)</f>
        <v>1436759.630464</v>
      </c>
      <c r="O87" s="223" t="n">
        <f aca="false">SUM(O85:O86)</f>
        <v>1430256.52060672</v>
      </c>
      <c r="P87" s="223" t="n">
        <f aca="false">SUM(P85:P86)</f>
        <v>1423753.41074944</v>
      </c>
      <c r="Q87" s="223" t="n">
        <f aca="false">SUM(Q85:Q86)</f>
        <v>1417250.30089216</v>
      </c>
      <c r="R87" s="223" t="n">
        <f aca="false">SUM(R85:R86)</f>
        <v>1410747.19103488</v>
      </c>
      <c r="S87" s="223" t="n">
        <f aca="false">SUM(S85:S86)</f>
        <v>1404244.0811776</v>
      </c>
      <c r="T87" s="223" t="n">
        <f aca="false">SUM(T85:T86)</f>
        <v>1397740.97132032</v>
      </c>
      <c r="U87" s="223" t="n">
        <f aca="false">SUM(U85:U86)</f>
        <v>1391237.86146304</v>
      </c>
      <c r="V87" s="223" t="n">
        <f aca="false">SUM(V85:V86)</f>
        <v>1384734.75160576</v>
      </c>
      <c r="W87" s="223" t="n">
        <f aca="false">SUM(W85:W86)</f>
        <v>1378231.64174848</v>
      </c>
      <c r="X87" s="192"/>
    </row>
    <row r="88" customFormat="false" ht="15" hidden="false" customHeight="false" outlineLevel="0" collapsed="false">
      <c r="B88" s="219"/>
      <c r="C88" s="219"/>
      <c r="D88" s="219"/>
      <c r="E88" s="219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191"/>
    </row>
    <row r="89" customFormat="false" ht="17.15" hidden="false" customHeight="false" outlineLevel="0" collapsed="false">
      <c r="B89" s="225" t="s">
        <v>79</v>
      </c>
      <c r="C89" s="226"/>
      <c r="D89" s="227" t="n">
        <f aca="false">C44</f>
        <v>-16883300</v>
      </c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8"/>
    </row>
    <row r="90" customFormat="false" ht="15" hidden="false" customHeight="false" outlineLevel="0" collapsed="false">
      <c r="B90" s="219"/>
      <c r="C90" s="219"/>
      <c r="D90" s="219"/>
      <c r="E90" s="219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191"/>
    </row>
    <row r="91" customFormat="false" ht="15" hidden="false" customHeight="false" outlineLevel="0" collapsed="false">
      <c r="B91" s="219"/>
      <c r="C91" s="219"/>
      <c r="D91" s="219"/>
      <c r="E91" s="219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191"/>
    </row>
    <row r="92" customFormat="false" ht="17.15" hidden="false" customHeight="false" outlineLevel="0" collapsed="false">
      <c r="B92" s="225" t="s">
        <v>80</v>
      </c>
      <c r="C92" s="226"/>
      <c r="D92" s="227" t="n">
        <f aca="false">-D89*D31</f>
        <v>13506640</v>
      </c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191"/>
    </row>
    <row r="93" customFormat="false" ht="17.15" hidden="false" customHeight="false" outlineLevel="0" collapsed="false">
      <c r="B93" s="219" t="s">
        <v>81</v>
      </c>
      <c r="C93" s="21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8"/>
    </row>
    <row r="94" customFormat="false" ht="17.15" hidden="false" customHeight="false" outlineLevel="0" collapsed="false">
      <c r="B94" s="219" t="s">
        <v>82</v>
      </c>
      <c r="C94" s="224"/>
      <c r="D94" s="220" t="n">
        <f aca="false">-D89*(1-D31)</f>
        <v>3376660</v>
      </c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192"/>
    </row>
    <row r="95" customFormat="false" ht="15" hidden="false" customHeight="false" outlineLevel="0" collapsed="false">
      <c r="B95" s="219" t="s">
        <v>45</v>
      </c>
      <c r="C95" s="224"/>
      <c r="D95" s="224"/>
      <c r="E95" s="230" t="n">
        <f aca="false">-D85*$D$33</f>
        <v>-591863.15613312</v>
      </c>
      <c r="F95" s="230" t="n">
        <f aca="false">-E85*$D$33</f>
        <v>-586010.357261568</v>
      </c>
      <c r="G95" s="230" t="n">
        <f aca="false">-F85*$D$33</f>
        <v>-580157.558390016</v>
      </c>
      <c r="H95" s="230" t="n">
        <f aca="false">-G85*$D$33</f>
        <v>-574304.759518464</v>
      </c>
      <c r="I95" s="230" t="n">
        <f aca="false">-H85*$D$33</f>
        <v>-568451.960646912</v>
      </c>
      <c r="J95" s="230" t="n">
        <f aca="false">-I85*$D$33</f>
        <v>-562599.16177536</v>
      </c>
      <c r="K95" s="230" t="n">
        <f aca="false">-J85*$D$33</f>
        <v>-556746.362903808</v>
      </c>
      <c r="L95" s="230" t="n">
        <f aca="false">-K85*$D$33</f>
        <v>-550893.564032256</v>
      </c>
      <c r="M95" s="230" t="n">
        <f aca="false">-L85*$D$33</f>
        <v>-545040.765160704</v>
      </c>
      <c r="N95" s="230" t="n">
        <f aca="false">-M85*$D$33</f>
        <v>-539187.966289152</v>
      </c>
      <c r="O95" s="230" t="n">
        <f aca="false">-N85*$D$33</f>
        <v>-533335.1674176</v>
      </c>
      <c r="P95" s="230" t="n">
        <f aca="false">-O85*$D$33</f>
        <v>-527482.368546048</v>
      </c>
      <c r="Q95" s="230" t="n">
        <f aca="false">-P85*$D$33</f>
        <v>-521629.569674496</v>
      </c>
      <c r="R95" s="230" t="n">
        <f aca="false">-Q85*$D$33</f>
        <v>-515776.770802944</v>
      </c>
      <c r="S95" s="230" t="n">
        <f aca="false">-R85*$D$33</f>
        <v>-509923.971931392</v>
      </c>
      <c r="T95" s="230" t="n">
        <f aca="false">-S85*$D$33</f>
        <v>-504071.17305984</v>
      </c>
      <c r="U95" s="230" t="n">
        <f aca="false">-T85*$D$33</f>
        <v>-498218.374188288</v>
      </c>
      <c r="V95" s="230" t="n">
        <f aca="false">-U85*$D$33</f>
        <v>-492365.575316736</v>
      </c>
      <c r="W95" s="230" t="n">
        <f aca="false">-V85*$D$33</f>
        <v>-486512.776445184</v>
      </c>
      <c r="X95" s="230" t="n">
        <f aca="false">-W85*$D$33</f>
        <v>-480659.977573632</v>
      </c>
    </row>
    <row r="96" customFormat="false" ht="15" hidden="false" customHeight="false" outlineLevel="0" collapsed="false">
      <c r="B96" s="231" t="s">
        <v>47</v>
      </c>
      <c r="C96" s="232"/>
      <c r="D96" s="232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4" t="n">
        <f aca="false">-W101-X95</f>
        <v>-18074992.3707853</v>
      </c>
    </row>
    <row r="97" customFormat="false" ht="15" hidden="false" customHeight="false" outlineLevel="0" collapsed="false"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192"/>
    </row>
    <row r="98" customFormat="false" ht="15" hidden="false" customHeight="false" outlineLevel="0" collapsed="false"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192"/>
    </row>
    <row r="99" customFormat="false" ht="17.15" hidden="false" customHeight="false" outlineLevel="0" collapsed="false">
      <c r="B99" s="219" t="s">
        <v>83</v>
      </c>
      <c r="C99" s="220" t="n">
        <v>0</v>
      </c>
      <c r="D99" s="220" t="n">
        <f aca="false">SUM(D87:D96)</f>
        <v>1501790.7290368</v>
      </c>
      <c r="E99" s="220" t="n">
        <f aca="false">SUM(E87:E96)</f>
        <v>903424.4630464</v>
      </c>
      <c r="F99" s="220" t="n">
        <f aca="false">SUM(F87:F96)</f>
        <v>902774.152060672</v>
      </c>
      <c r="G99" s="220" t="n">
        <f aca="false">SUM(G87:G96)</f>
        <v>902123.841074944</v>
      </c>
      <c r="H99" s="220" t="n">
        <f aca="false">SUM(H87:H96)</f>
        <v>901473.530089216</v>
      </c>
      <c r="I99" s="220" t="n">
        <f aca="false">SUM(I87:I96)</f>
        <v>900823.219103488</v>
      </c>
      <c r="J99" s="220" t="n">
        <f aca="false">SUM(J87:J96)</f>
        <v>900172.90811776</v>
      </c>
      <c r="K99" s="220" t="n">
        <f aca="false">SUM(K87:K96)</f>
        <v>899522.597132032</v>
      </c>
      <c r="L99" s="220" t="n">
        <f aca="false">SUM(L87:L96)</f>
        <v>898872.286146304</v>
      </c>
      <c r="M99" s="220" t="n">
        <f aca="false">SUM(M87:M96)</f>
        <v>898221.975160576</v>
      </c>
      <c r="N99" s="220" t="n">
        <f aca="false">SUM(N87:N96)</f>
        <v>897571.664174848</v>
      </c>
      <c r="O99" s="220" t="n">
        <f aca="false">SUM(O87:O96)</f>
        <v>896921.35318912</v>
      </c>
      <c r="P99" s="220" t="n">
        <f aca="false">SUM(P87:P96)</f>
        <v>896271.042203392</v>
      </c>
      <c r="Q99" s="220" t="n">
        <f aca="false">SUM(Q87:Q96)</f>
        <v>895620.731217664</v>
      </c>
      <c r="R99" s="220" t="n">
        <f aca="false">SUM(R87:R96)</f>
        <v>894970.420231936</v>
      </c>
      <c r="S99" s="220" t="n">
        <f aca="false">SUM(S87:S96)</f>
        <v>894320.109246208</v>
      </c>
      <c r="T99" s="220" t="n">
        <f aca="false">SUM(T87:T96)</f>
        <v>893669.79826048</v>
      </c>
      <c r="U99" s="220" t="n">
        <f aca="false">SUM(U87:U96)</f>
        <v>893019.487274752</v>
      </c>
      <c r="V99" s="220" t="n">
        <f aca="false">SUM(V87:V96)</f>
        <v>892369.176289024</v>
      </c>
      <c r="W99" s="220" t="n">
        <f aca="false">SUM(W87:W96)</f>
        <v>891718.865303297</v>
      </c>
      <c r="X99" s="192"/>
    </row>
    <row r="100" customFormat="false" ht="15" hidden="false" customHeight="false" outlineLevel="0" collapsed="false">
      <c r="B100" s="219" t="s">
        <v>84</v>
      </c>
      <c r="C100" s="220" t="n">
        <v>0</v>
      </c>
      <c r="D100" s="220" t="n">
        <f aca="false">C101</f>
        <v>0</v>
      </c>
      <c r="E100" s="220" t="n">
        <f aca="false">D101</f>
        <v>1501790.7290368</v>
      </c>
      <c r="F100" s="220" t="n">
        <f aca="false">E101</f>
        <v>2405215.1920832</v>
      </c>
      <c r="G100" s="220" t="n">
        <f aca="false">F101</f>
        <v>3307989.34414387</v>
      </c>
      <c r="H100" s="220" t="n">
        <f aca="false">G101</f>
        <v>4210113.18521882</v>
      </c>
      <c r="I100" s="220" t="n">
        <f aca="false">H101</f>
        <v>5111586.71530803</v>
      </c>
      <c r="J100" s="220" t="n">
        <f aca="false">I101</f>
        <v>6012409.93441152</v>
      </c>
      <c r="K100" s="220" t="n">
        <f aca="false">J101</f>
        <v>6912582.84252928</v>
      </c>
      <c r="L100" s="220" t="n">
        <f aca="false">K101</f>
        <v>7812105.43966131</v>
      </c>
      <c r="M100" s="220" t="n">
        <f aca="false">L101</f>
        <v>8710977.72580762</v>
      </c>
      <c r="N100" s="220" t="n">
        <f aca="false">M101</f>
        <v>9609199.70096819</v>
      </c>
      <c r="O100" s="220" t="n">
        <f aca="false">N101</f>
        <v>10506771.365143</v>
      </c>
      <c r="P100" s="220" t="n">
        <f aca="false">O101</f>
        <v>11403692.7183322</v>
      </c>
      <c r="Q100" s="220" t="n">
        <f aca="false">P101</f>
        <v>12299963.7605356</v>
      </c>
      <c r="R100" s="220" t="n">
        <f aca="false">Q101</f>
        <v>13195584.4917532</v>
      </c>
      <c r="S100" s="220" t="n">
        <f aca="false">R101</f>
        <v>14090554.9119852</v>
      </c>
      <c r="T100" s="220" t="n">
        <f aca="false">S101</f>
        <v>14984875.0212314</v>
      </c>
      <c r="U100" s="220" t="n">
        <f aca="false">T101</f>
        <v>15878544.8194918</v>
      </c>
      <c r="V100" s="220" t="n">
        <f aca="false">U101</f>
        <v>16771564.3067666</v>
      </c>
      <c r="W100" s="220" t="n">
        <f aca="false">V101</f>
        <v>17663933.4830556</v>
      </c>
      <c r="X100" s="191"/>
    </row>
    <row r="101" customFormat="false" ht="15" hidden="false" customHeight="false" outlineLevel="0" collapsed="false">
      <c r="B101" s="219" t="s">
        <v>85</v>
      </c>
      <c r="C101" s="220" t="n">
        <v>0</v>
      </c>
      <c r="D101" s="220" t="n">
        <f aca="false">D99+D100</f>
        <v>1501790.7290368</v>
      </c>
      <c r="E101" s="220" t="n">
        <f aca="false">E99+E100</f>
        <v>2405215.1920832</v>
      </c>
      <c r="F101" s="220" t="n">
        <f aca="false">F99+F100</f>
        <v>3307989.34414387</v>
      </c>
      <c r="G101" s="220" t="n">
        <f aca="false">G99+G100</f>
        <v>4210113.18521882</v>
      </c>
      <c r="H101" s="220" t="n">
        <f aca="false">H99+H100</f>
        <v>5111586.71530803</v>
      </c>
      <c r="I101" s="220" t="n">
        <f aca="false">I99+I100</f>
        <v>6012409.93441152</v>
      </c>
      <c r="J101" s="220" t="n">
        <f aca="false">J99+J100</f>
        <v>6912582.84252928</v>
      </c>
      <c r="K101" s="220" t="n">
        <f aca="false">K99+K100</f>
        <v>7812105.43966131</v>
      </c>
      <c r="L101" s="220" t="n">
        <f aca="false">L99+L100</f>
        <v>8710977.72580762</v>
      </c>
      <c r="M101" s="220" t="n">
        <f aca="false">M99+M100</f>
        <v>9609199.70096819</v>
      </c>
      <c r="N101" s="220" t="n">
        <f aca="false">N99+N100</f>
        <v>10506771.365143</v>
      </c>
      <c r="O101" s="220" t="n">
        <f aca="false">O99+O100</f>
        <v>11403692.7183322</v>
      </c>
      <c r="P101" s="220" t="n">
        <f aca="false">P99+P100</f>
        <v>12299963.7605356</v>
      </c>
      <c r="Q101" s="220" t="n">
        <f aca="false">Q99+Q100</f>
        <v>13195584.4917532</v>
      </c>
      <c r="R101" s="220" t="n">
        <f aca="false">R99+R100</f>
        <v>14090554.9119852</v>
      </c>
      <c r="S101" s="220" t="n">
        <f aca="false">S99+S100</f>
        <v>14984875.0212314</v>
      </c>
      <c r="T101" s="220" t="n">
        <f aca="false">T99+T100</f>
        <v>15878544.8194918</v>
      </c>
      <c r="U101" s="220" t="n">
        <f aca="false">U99+U100</f>
        <v>16771564.3067666</v>
      </c>
      <c r="V101" s="220" t="n">
        <f aca="false">V99+V100</f>
        <v>17663933.4830556</v>
      </c>
      <c r="W101" s="220" t="n">
        <f aca="false">W99+W100</f>
        <v>18555652.3483589</v>
      </c>
      <c r="X101" s="191"/>
    </row>
    <row r="102" customFormat="false" ht="15" hidden="false" customHeight="false" outlineLevel="0" collapsed="false"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</row>
    <row r="103" customFormat="false" ht="15" hidden="false" customHeight="false" outlineLevel="0" collapsed="false">
      <c r="B103" s="219"/>
      <c r="C103" s="219"/>
      <c r="D103" s="219"/>
      <c r="E103" s="219"/>
      <c r="F103" s="224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</row>
    <row r="104" customFormat="false" ht="15" hidden="false" customHeight="false" outlineLevel="0" collapsed="false">
      <c r="B104" s="235" t="s">
        <v>86</v>
      </c>
      <c r="C104" s="236"/>
      <c r="D104" s="237" t="n">
        <f aca="false">-D94</f>
        <v>-3376660</v>
      </c>
      <c r="E104" s="223" t="n">
        <f aca="false">-E95-E96</f>
        <v>591863.15613312</v>
      </c>
      <c r="F104" s="223" t="n">
        <f aca="false">-F95-F96</f>
        <v>586010.357261568</v>
      </c>
      <c r="G104" s="223" t="n">
        <f aca="false">-G95-G96</f>
        <v>580157.558390016</v>
      </c>
      <c r="H104" s="223" t="n">
        <f aca="false">-H95-H96</f>
        <v>574304.759518464</v>
      </c>
      <c r="I104" s="223" t="n">
        <f aca="false">-I95-I96</f>
        <v>568451.960646912</v>
      </c>
      <c r="J104" s="223" t="n">
        <f aca="false">-J95-J96</f>
        <v>562599.16177536</v>
      </c>
      <c r="K104" s="223" t="n">
        <f aca="false">-K95-K96</f>
        <v>556746.362903808</v>
      </c>
      <c r="L104" s="223" t="n">
        <f aca="false">-L95-L96</f>
        <v>550893.564032256</v>
      </c>
      <c r="M104" s="223" t="n">
        <f aca="false">-M95-M96</f>
        <v>545040.765160704</v>
      </c>
      <c r="N104" s="223" t="n">
        <f aca="false">-N95-N96</f>
        <v>539187.966289152</v>
      </c>
      <c r="O104" s="223" t="n">
        <f aca="false">-O95-O96</f>
        <v>533335.1674176</v>
      </c>
      <c r="P104" s="223" t="n">
        <f aca="false">-P95-P96</f>
        <v>527482.368546048</v>
      </c>
      <c r="Q104" s="223" t="n">
        <f aca="false">-Q95-Q96</f>
        <v>521629.569674496</v>
      </c>
      <c r="R104" s="223" t="n">
        <f aca="false">-R95-R96</f>
        <v>515776.770802944</v>
      </c>
      <c r="S104" s="223" t="n">
        <f aca="false">-S95-S96</f>
        <v>509923.971931392</v>
      </c>
      <c r="T104" s="223" t="n">
        <f aca="false">-T95-T96</f>
        <v>504071.17305984</v>
      </c>
      <c r="U104" s="223" t="n">
        <f aca="false">-U95-U96</f>
        <v>498218.374188288</v>
      </c>
      <c r="V104" s="223" t="n">
        <f aca="false">-V95-V96</f>
        <v>492365.575316736</v>
      </c>
      <c r="W104" s="223" t="n">
        <f aca="false">-W95-W96</f>
        <v>486512.776445184</v>
      </c>
      <c r="X104" s="223" t="n">
        <f aca="false">-X95-X96</f>
        <v>18555652.3483589</v>
      </c>
    </row>
    <row r="105" customFormat="false" ht="17.15" hidden="false" customHeight="false" outlineLevel="0" collapsed="false">
      <c r="B105" s="219" t="s">
        <v>87</v>
      </c>
      <c r="C105" s="238" t="n">
        <f aca="false">IRR(D104:X104)</f>
        <v>0.192784744383226</v>
      </c>
      <c r="D105" s="224"/>
      <c r="E105" s="224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</row>
    <row r="106" customFormat="false" ht="15" hidden="false" customHeight="false" outlineLevel="0" collapsed="false">
      <c r="B106" s="235" t="s">
        <v>88</v>
      </c>
      <c r="C106" s="236"/>
      <c r="D106" s="237" t="n">
        <f aca="false">D85-D94</f>
        <v>-2719034.2709632</v>
      </c>
      <c r="E106" s="223" t="n">
        <f aca="false">E85</f>
        <v>651122.61917952</v>
      </c>
      <c r="F106" s="223" t="n">
        <f aca="false">F85-F96</f>
        <v>644619.50932224</v>
      </c>
      <c r="G106" s="223" t="n">
        <f aca="false">G85-G96</f>
        <v>638116.39946496</v>
      </c>
      <c r="H106" s="223" t="n">
        <f aca="false">H85-H96</f>
        <v>631613.28960768</v>
      </c>
      <c r="I106" s="223" t="n">
        <f aca="false">I85-I96</f>
        <v>625110.1797504</v>
      </c>
      <c r="J106" s="223" t="n">
        <f aca="false">J85-J96</f>
        <v>618607.06989312</v>
      </c>
      <c r="K106" s="223" t="n">
        <f aca="false">K85-K96</f>
        <v>612103.96003584</v>
      </c>
      <c r="L106" s="223" t="n">
        <f aca="false">L85-L96</f>
        <v>605600.85017856</v>
      </c>
      <c r="M106" s="223" t="n">
        <f aca="false">M85-M96</f>
        <v>599097.74032128</v>
      </c>
      <c r="N106" s="223" t="n">
        <f aca="false">N85-N96</f>
        <v>592594.630464</v>
      </c>
      <c r="O106" s="223" t="n">
        <f aca="false">O85-O96</f>
        <v>586091.52060672</v>
      </c>
      <c r="P106" s="223" t="n">
        <f aca="false">P85-P96</f>
        <v>579588.41074944</v>
      </c>
      <c r="Q106" s="223" t="n">
        <f aca="false">Q85-Q96</f>
        <v>573085.30089216</v>
      </c>
      <c r="R106" s="223" t="n">
        <f aca="false">R85-R96</f>
        <v>566582.19103488</v>
      </c>
      <c r="S106" s="223" t="n">
        <f aca="false">S85-S96</f>
        <v>560079.0811776</v>
      </c>
      <c r="T106" s="223" t="n">
        <f aca="false">T85-T96</f>
        <v>553575.97132032</v>
      </c>
      <c r="U106" s="223" t="n">
        <f aca="false">U85-U96</f>
        <v>547072.86146304</v>
      </c>
      <c r="V106" s="223" t="n">
        <f aca="false">V85-V96</f>
        <v>540569.75160576</v>
      </c>
      <c r="W106" s="223" t="n">
        <f aca="false">W85-W96</f>
        <v>534066.64174848</v>
      </c>
      <c r="X106" s="228"/>
    </row>
    <row r="107" customFormat="false" ht="17.15" hidden="false" customHeight="false" outlineLevel="0" collapsed="false">
      <c r="B107" s="235" t="s">
        <v>89</v>
      </c>
      <c r="C107" s="239" t="n">
        <f aca="false">IRR(D106:W106)</f>
        <v>0.224953900381307</v>
      </c>
      <c r="D107" s="224"/>
      <c r="E107" s="224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</row>
    <row r="108" customFormat="false" ht="15" hidden="false" customHeight="false" outlineLevel="0" collapsed="false"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</row>
    <row r="109" customFormat="false" ht="15" hidden="false" customHeight="false" outlineLevel="0" collapsed="false">
      <c r="B109" s="219" t="s">
        <v>90</v>
      </c>
      <c r="C109" s="220" t="n">
        <v>0</v>
      </c>
      <c r="D109" s="220" t="n">
        <f aca="false">D92</f>
        <v>13506640</v>
      </c>
      <c r="E109" s="220" t="n">
        <f aca="false">D109+E93</f>
        <v>13506640</v>
      </c>
      <c r="F109" s="220" t="n">
        <f aca="false">E109+F93</f>
        <v>13506640</v>
      </c>
      <c r="G109" s="220" t="n">
        <f aca="false">F109+G93</f>
        <v>13506640</v>
      </c>
      <c r="H109" s="220" t="n">
        <f aca="false">G109+H93</f>
        <v>13506640</v>
      </c>
      <c r="I109" s="220" t="n">
        <f aca="false">H109+I93</f>
        <v>13506640</v>
      </c>
      <c r="J109" s="220" t="n">
        <f aca="false">I109+J93</f>
        <v>13506640</v>
      </c>
      <c r="K109" s="220" t="n">
        <f aca="false">J109+K93</f>
        <v>13506640</v>
      </c>
      <c r="L109" s="220" t="n">
        <f aca="false">K109+L93</f>
        <v>13506640</v>
      </c>
      <c r="M109" s="220" t="n">
        <f aca="false">L109+M93</f>
        <v>13506640</v>
      </c>
      <c r="N109" s="220" t="n">
        <f aca="false">M109+N93</f>
        <v>13506640</v>
      </c>
      <c r="O109" s="220" t="n">
        <f aca="false">N109+O93</f>
        <v>13506640</v>
      </c>
      <c r="P109" s="220" t="n">
        <f aca="false">O109+P93</f>
        <v>13506640</v>
      </c>
      <c r="Q109" s="220" t="n">
        <f aca="false">P109+Q93</f>
        <v>13506640</v>
      </c>
      <c r="R109" s="220" t="n">
        <f aca="false">Q109+R93</f>
        <v>13506640</v>
      </c>
      <c r="S109" s="220" t="n">
        <f aca="false">R109+S93</f>
        <v>13506640</v>
      </c>
      <c r="T109" s="220" t="n">
        <f aca="false">S109+T93</f>
        <v>13506640</v>
      </c>
      <c r="U109" s="220" t="n">
        <f aca="false">T109+U93</f>
        <v>13506640</v>
      </c>
      <c r="V109" s="220" t="n">
        <f aca="false">U109+V93</f>
        <v>13506640</v>
      </c>
      <c r="W109" s="220" t="n">
        <f aca="false">V109+W93</f>
        <v>13506640</v>
      </c>
      <c r="X109" s="224"/>
    </row>
    <row r="111" customFormat="false" ht="15" hidden="false" customHeight="false" outlineLevel="0" collapsed="false">
      <c r="B111" s="240"/>
    </row>
    <row r="112" customFormat="false" ht="16.5" hidden="false" customHeight="true" outlineLevel="0" collapsed="false">
      <c r="G112" s="2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24" t="s">
        <v>0</v>
      </c>
      <c r="C1" s="125"/>
      <c r="D1" s="125"/>
      <c r="E1" s="126"/>
      <c r="P1" s="127" t="n">
        <f aca="false">1-D11</f>
        <v>0.99</v>
      </c>
      <c r="Q1" s="127" t="n">
        <f aca="false">P1-$D12</f>
        <v>0.986</v>
      </c>
      <c r="R1" s="127" t="n">
        <f aca="false">Q1-$D12</f>
        <v>0.982</v>
      </c>
      <c r="S1" s="127" t="n">
        <f aca="false">R1-$D12</f>
        <v>0.978</v>
      </c>
      <c r="T1" s="127" t="n">
        <f aca="false">S1-$D12</f>
        <v>0.974</v>
      </c>
      <c r="U1" s="127" t="n">
        <f aca="false">T1-$D12</f>
        <v>0.97</v>
      </c>
      <c r="V1" s="127" t="n">
        <f aca="false">U1-$D12</f>
        <v>0.966</v>
      </c>
      <c r="W1" s="127" t="n">
        <f aca="false">V1-$D12</f>
        <v>0.962</v>
      </c>
      <c r="X1" s="127" t="n">
        <f aca="false">W1-$D12</f>
        <v>0.958</v>
      </c>
      <c r="Y1" s="127" t="n">
        <f aca="false">X1-$D12</f>
        <v>0.954</v>
      </c>
      <c r="Z1" s="127" t="n">
        <f aca="false">Y1-$D12</f>
        <v>0.95</v>
      </c>
      <c r="AA1" s="127" t="n">
        <f aca="false">Z1-$D12</f>
        <v>0.946</v>
      </c>
      <c r="AB1" s="127" t="n">
        <f aca="false">AA1-$D12</f>
        <v>0.942</v>
      </c>
      <c r="AC1" s="127" t="n">
        <f aca="false">AB1-$D12</f>
        <v>0.938</v>
      </c>
      <c r="AD1" s="127" t="n">
        <f aca="false">AC1-$D12</f>
        <v>0.934</v>
      </c>
      <c r="AE1" s="127" t="n">
        <f aca="false">AD1-$D12</f>
        <v>0.93</v>
      </c>
      <c r="AF1" s="127" t="n">
        <f aca="false">AE1-$D12</f>
        <v>0.926</v>
      </c>
      <c r="AG1" s="127" t="n">
        <f aca="false">AF1-$D12</f>
        <v>0.922</v>
      </c>
      <c r="AH1" s="127" t="n">
        <f aca="false">AG1-$D12</f>
        <v>0.918</v>
      </c>
      <c r="AI1" s="127" t="n">
        <f aca="false">AH1-$D12</f>
        <v>0.914</v>
      </c>
    </row>
    <row r="2" customFormat="false" ht="21.75" hidden="false" customHeight="true" outlineLevel="0" collapsed="false">
      <c r="B2" s="128" t="s">
        <v>1</v>
      </c>
      <c r="C2" s="129" t="s">
        <v>105</v>
      </c>
      <c r="D2" s="130" t="s">
        <v>3</v>
      </c>
      <c r="E2" s="130" t="s">
        <v>3</v>
      </c>
    </row>
    <row r="3" customFormat="false" ht="21.75" hidden="false" customHeight="true" outlineLevel="0" collapsed="false">
      <c r="B3" s="131" t="s">
        <v>4</v>
      </c>
      <c r="C3" s="134" t="n">
        <v>20</v>
      </c>
      <c r="D3" s="133" t="s">
        <v>3</v>
      </c>
      <c r="E3" s="133" t="s">
        <v>3</v>
      </c>
    </row>
    <row r="4" customFormat="false" ht="21.75" hidden="false" customHeight="true" outlineLevel="0" collapsed="false">
      <c r="B4" s="131" t="s">
        <v>5</v>
      </c>
      <c r="C4" s="134" t="n">
        <v>436.1</v>
      </c>
      <c r="D4" s="133" t="s">
        <v>3</v>
      </c>
      <c r="E4" s="133" t="s">
        <v>3</v>
      </c>
      <c r="M4" s="0" t="s">
        <v>147</v>
      </c>
    </row>
    <row r="5" customFormat="false" ht="22.5" hidden="false" customHeight="true" outlineLevel="0" collapsed="false">
      <c r="B5" s="134" t="s">
        <v>6</v>
      </c>
      <c r="C5" s="134" t="n">
        <v>2020</v>
      </c>
      <c r="D5" s="134" t="s">
        <v>7</v>
      </c>
      <c r="E5" s="134" t="n">
        <v>2039</v>
      </c>
      <c r="M5" s="0" t="s">
        <v>148</v>
      </c>
    </row>
    <row r="6" customFormat="false" ht="20.25" hidden="false" customHeight="true" outlineLevel="0" collapsed="false">
      <c r="B6" s="135"/>
      <c r="C6" s="135"/>
      <c r="D6" s="135"/>
      <c r="E6" s="135"/>
      <c r="M6" s="0" t="s">
        <v>149</v>
      </c>
    </row>
    <row r="7" customFormat="false" ht="22.5" hidden="false" customHeight="true" outlineLevel="0" collapsed="false">
      <c r="B7" s="136" t="s">
        <v>8</v>
      </c>
      <c r="C7" s="125"/>
      <c r="D7" s="125"/>
      <c r="E7" s="126"/>
      <c r="M7" s="0" t="s">
        <v>150</v>
      </c>
    </row>
    <row r="8" customFormat="false" ht="22.5" hidden="false" customHeight="true" outlineLevel="0" collapsed="false">
      <c r="B8" s="137" t="s">
        <v>9</v>
      </c>
      <c r="C8" s="138"/>
      <c r="D8" s="138"/>
      <c r="E8" s="139"/>
      <c r="M8" s="0" t="s">
        <v>151</v>
      </c>
    </row>
    <row r="9" customFormat="false" ht="22.5" hidden="false" customHeight="true" outlineLevel="0" collapsed="false">
      <c r="B9" s="140" t="s">
        <v>10</v>
      </c>
      <c r="C9" s="141" t="s">
        <v>11</v>
      </c>
      <c r="D9" s="141" t="s">
        <v>12</v>
      </c>
      <c r="E9" s="142" t="s">
        <v>13</v>
      </c>
      <c r="M9" s="0" t="s">
        <v>111</v>
      </c>
    </row>
    <row r="10" customFormat="false" ht="21.75" hidden="false" customHeight="true" outlineLevel="0" collapsed="false">
      <c r="B10" s="143" t="s">
        <v>14</v>
      </c>
      <c r="C10" s="129" t="s">
        <v>112</v>
      </c>
      <c r="D10" s="129" t="n">
        <v>547002</v>
      </c>
      <c r="E10" s="143" t="n">
        <v>20</v>
      </c>
      <c r="M10" s="0" t="s">
        <v>103</v>
      </c>
    </row>
    <row r="11" customFormat="false" ht="21.75" hidden="false" customHeight="true" outlineLevel="0" collapsed="false">
      <c r="B11" s="144"/>
      <c r="C11" s="134" t="s">
        <v>16</v>
      </c>
      <c r="D11" s="134" t="n">
        <v>0.01</v>
      </c>
      <c r="E11" s="144"/>
    </row>
    <row r="12" customFormat="false" ht="21.75" hidden="false" customHeight="true" outlineLevel="0" collapsed="false">
      <c r="B12" s="144"/>
      <c r="C12" s="134" t="s">
        <v>17</v>
      </c>
      <c r="D12" s="134" t="n">
        <v>0.004</v>
      </c>
      <c r="E12" s="144"/>
    </row>
    <row r="13" customFormat="false" ht="22.5" hidden="false" customHeight="true" outlineLevel="0" collapsed="false">
      <c r="B13" s="144"/>
      <c r="C13" s="145" t="s">
        <v>114</v>
      </c>
      <c r="D13" s="145" t="n">
        <v>3.7152</v>
      </c>
      <c r="E13" s="144"/>
    </row>
    <row r="14" customFormat="false" ht="22.5" hidden="false" customHeight="true" outlineLevel="0" collapsed="false">
      <c r="B14" s="146" t="s">
        <v>19</v>
      </c>
      <c r="C14" s="125"/>
      <c r="D14" s="125"/>
      <c r="E14" s="126"/>
    </row>
    <row r="15" customFormat="false" ht="22.5" hidden="false" customHeight="true" outlineLevel="0" collapsed="false">
      <c r="B15" s="140" t="s">
        <v>10</v>
      </c>
      <c r="C15" s="141" t="s">
        <v>11</v>
      </c>
      <c r="D15" s="141" t="s">
        <v>12</v>
      </c>
      <c r="E15" s="147" t="s">
        <v>20</v>
      </c>
    </row>
    <row r="16" customFormat="false" ht="21.75" hidden="false" customHeight="true" outlineLevel="0" collapsed="false">
      <c r="B16" s="148" t="s">
        <v>115</v>
      </c>
      <c r="C16" s="128" t="s">
        <v>22</v>
      </c>
      <c r="D16" s="129" t="n">
        <v>23000</v>
      </c>
      <c r="E16" s="149" t="n">
        <v>20</v>
      </c>
    </row>
    <row r="17" customFormat="false" ht="21.75" hidden="false" customHeight="true" outlineLevel="0" collapsed="false">
      <c r="B17" s="144"/>
      <c r="C17" s="134" t="s">
        <v>23</v>
      </c>
      <c r="D17" s="134" t="n">
        <v>0.3</v>
      </c>
      <c r="E17" s="144"/>
    </row>
    <row r="18" customFormat="false" ht="21.75" hidden="false" customHeight="true" outlineLevel="0" collapsed="false">
      <c r="B18" s="150"/>
      <c r="C18" s="134" t="s">
        <v>24</v>
      </c>
      <c r="D18" s="134" t="n">
        <v>3000</v>
      </c>
      <c r="E18" s="150"/>
    </row>
    <row r="19" customFormat="false" ht="54" hidden="false" customHeight="true" outlineLevel="0" collapsed="false">
      <c r="B19" s="151" t="s">
        <v>25</v>
      </c>
      <c r="C19" s="152" t="s">
        <v>26</v>
      </c>
      <c r="D19" s="134" t="n">
        <v>2</v>
      </c>
      <c r="E19" s="130" t="n">
        <v>0</v>
      </c>
    </row>
    <row r="20" customFormat="false" ht="20.25" hidden="false" customHeight="true" outlineLevel="0" collapsed="false">
      <c r="B20" s="144"/>
      <c r="C20" s="153" t="s">
        <v>116</v>
      </c>
      <c r="D20" s="134" t="n">
        <v>0</v>
      </c>
      <c r="E20" s="130" t="n">
        <v>20</v>
      </c>
    </row>
    <row r="21" customFormat="false" ht="21.75" hidden="false" customHeight="true" outlineLevel="0" collapsed="false">
      <c r="B21" s="150"/>
      <c r="C21" s="134" t="s">
        <v>117</v>
      </c>
      <c r="D21" s="134" t="n">
        <v>0.3</v>
      </c>
      <c r="E21" s="133" t="n">
        <v>0</v>
      </c>
    </row>
    <row r="22" customFormat="false" ht="21.75" hidden="false" customHeight="true" outlineLevel="0" collapsed="false">
      <c r="B22" s="134" t="s">
        <v>29</v>
      </c>
      <c r="C22" s="134" t="s">
        <v>118</v>
      </c>
      <c r="D22" s="134" t="n">
        <v>400</v>
      </c>
      <c r="E22" s="133" t="n">
        <v>20</v>
      </c>
    </row>
    <row r="23" customFormat="false" ht="21.75" hidden="false" customHeight="true" outlineLevel="0" collapsed="false">
      <c r="B23" s="134" t="s">
        <v>31</v>
      </c>
      <c r="C23" s="131" t="s">
        <v>32</v>
      </c>
      <c r="D23" s="134" t="n">
        <v>0.003</v>
      </c>
      <c r="E23" s="133" t="n">
        <v>20</v>
      </c>
    </row>
    <row r="24" customFormat="false" ht="21.75" hidden="false" customHeight="true" outlineLevel="0" collapsed="false">
      <c r="B24" s="134" t="s">
        <v>33</v>
      </c>
      <c r="C24" s="134" t="s">
        <v>119</v>
      </c>
      <c r="D24" s="134" t="n">
        <v>1000</v>
      </c>
      <c r="E24" s="133" t="n">
        <v>10</v>
      </c>
    </row>
    <row r="25" customFormat="false" ht="21.75" hidden="false" customHeight="true" outlineLevel="0" collapsed="false">
      <c r="B25" s="134" t="s">
        <v>35</v>
      </c>
      <c r="C25" s="134" t="s">
        <v>36</v>
      </c>
      <c r="D25" s="134" t="n">
        <v>0.025595</v>
      </c>
      <c r="E25" s="133" t="n">
        <v>0</v>
      </c>
    </row>
    <row r="26" customFormat="false" ht="22.5" hidden="false" customHeight="true" outlineLevel="0" collapsed="false">
      <c r="B26" s="134" t="s">
        <v>37</v>
      </c>
      <c r="C26" s="134" t="s">
        <v>38</v>
      </c>
      <c r="D26" s="134" t="n">
        <v>0.2</v>
      </c>
      <c r="E26" s="133" t="n">
        <v>0</v>
      </c>
    </row>
    <row r="27" customFormat="false" ht="20.25" hidden="false" customHeight="true" outlineLevel="0" collapsed="false">
      <c r="B27" s="135"/>
      <c r="C27" s="135"/>
      <c r="D27" s="135"/>
      <c r="E27" s="135"/>
    </row>
    <row r="28" customFormat="false" ht="20.25" hidden="false" customHeight="true" outlineLevel="0" collapsed="false">
      <c r="B28" s="135"/>
      <c r="C28" s="135"/>
      <c r="D28" s="135"/>
      <c r="E28" s="135"/>
    </row>
    <row r="29" customFormat="false" ht="22.5" hidden="false" customHeight="true" outlineLevel="0" collapsed="false">
      <c r="B29" s="136" t="s">
        <v>39</v>
      </c>
      <c r="C29" s="125"/>
      <c r="D29" s="126"/>
      <c r="E29" s="135"/>
    </row>
    <row r="30" customFormat="false" ht="22.5" hidden="false" customHeight="true" outlineLevel="0" collapsed="false">
      <c r="B30" s="140" t="s">
        <v>40</v>
      </c>
      <c r="C30" s="141" t="s">
        <v>11</v>
      </c>
      <c r="D30" s="147" t="s">
        <v>12</v>
      </c>
      <c r="E30" s="135"/>
    </row>
    <row r="31" customFormat="false" ht="18.75" hidden="false" customHeight="true" outlineLevel="0" collapsed="false">
      <c r="B31" s="128" t="s">
        <v>41</v>
      </c>
      <c r="C31" s="128" t="s">
        <v>42</v>
      </c>
      <c r="D31" s="129" t="n">
        <v>0.8</v>
      </c>
      <c r="E31" s="135"/>
    </row>
    <row r="32" customFormat="false" ht="18.75" hidden="false" customHeight="true" outlineLevel="0" collapsed="false">
      <c r="B32" s="129" t="s">
        <v>43</v>
      </c>
      <c r="C32" s="129" t="s">
        <v>44</v>
      </c>
      <c r="D32" s="129" t="n">
        <v>15</v>
      </c>
      <c r="E32" s="135"/>
    </row>
    <row r="33" customFormat="false" ht="18.75" hidden="false" customHeight="true" outlineLevel="0" collapsed="false">
      <c r="B33" s="134" t="s">
        <v>45</v>
      </c>
      <c r="C33" s="134" t="s">
        <v>46</v>
      </c>
      <c r="D33" s="134" t="n">
        <v>0.9</v>
      </c>
      <c r="E33" s="135"/>
    </row>
    <row r="34" customFormat="false" ht="18.75" hidden="false" customHeight="true" outlineLevel="0" collapsed="false">
      <c r="B34" s="134" t="s">
        <v>47</v>
      </c>
      <c r="C34" s="134" t="s">
        <v>44</v>
      </c>
      <c r="D34" s="134" t="n">
        <v>4</v>
      </c>
      <c r="E34" s="135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97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54" t="n">
        <v>0</v>
      </c>
      <c r="C38" s="155"/>
      <c r="D38" s="156"/>
      <c r="E38" s="156"/>
      <c r="F38" s="157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9"/>
      <c r="U38" s="158"/>
      <c r="V38" s="158"/>
      <c r="W38" s="158"/>
      <c r="X38" s="160"/>
    </row>
    <row r="39" customFormat="false" ht="18.75" hidden="false" customHeight="true" outlineLevel="0" collapsed="false">
      <c r="B39" s="161" t="s">
        <v>51</v>
      </c>
      <c r="C39" s="162" t="n">
        <v>0</v>
      </c>
      <c r="D39" s="163" t="n">
        <v>1</v>
      </c>
      <c r="E39" s="163" t="n">
        <v>2</v>
      </c>
      <c r="F39" s="163" t="n">
        <v>3</v>
      </c>
      <c r="G39" s="163" t="n">
        <v>4</v>
      </c>
      <c r="H39" s="163" t="n">
        <v>5</v>
      </c>
      <c r="I39" s="163" t="n">
        <v>6</v>
      </c>
      <c r="J39" s="163" t="n">
        <v>7</v>
      </c>
      <c r="K39" s="163" t="n">
        <v>8</v>
      </c>
      <c r="L39" s="163" t="n">
        <v>9</v>
      </c>
      <c r="M39" s="163" t="n">
        <v>10</v>
      </c>
      <c r="N39" s="163" t="n">
        <v>11</v>
      </c>
      <c r="O39" s="163" t="n">
        <v>12</v>
      </c>
      <c r="P39" s="163" t="n">
        <v>13</v>
      </c>
      <c r="Q39" s="163" t="n">
        <v>14</v>
      </c>
      <c r="R39" s="163" t="n">
        <v>15</v>
      </c>
      <c r="S39" s="163" t="n">
        <v>16</v>
      </c>
      <c r="T39" s="164" t="n">
        <v>17</v>
      </c>
      <c r="U39" s="163" t="n">
        <v>18</v>
      </c>
      <c r="V39" s="163" t="n">
        <v>19</v>
      </c>
      <c r="W39" s="163" t="n">
        <v>20</v>
      </c>
      <c r="X39" s="47"/>
    </row>
    <row r="40" customFormat="false" ht="18.75" hidden="false" customHeight="true" outlineLevel="0" collapsed="false">
      <c r="B40" s="165" t="s">
        <v>52</v>
      </c>
      <c r="C40" s="166" t="n">
        <v>0</v>
      </c>
      <c r="D40" s="167" t="n">
        <f aca="false">$D$10*P1</f>
        <v>541531.98</v>
      </c>
      <c r="E40" s="167" t="n">
        <f aca="false">$D$10*Q1</f>
        <v>539343.972</v>
      </c>
      <c r="F40" s="167" t="n">
        <f aca="false">$D$10*R1</f>
        <v>537155.964</v>
      </c>
      <c r="G40" s="167" t="n">
        <f aca="false">$D$10*S1</f>
        <v>534967.956</v>
      </c>
      <c r="H40" s="167" t="n">
        <f aca="false">$D$10*T1</f>
        <v>532779.948</v>
      </c>
      <c r="I40" s="167" t="n">
        <f aca="false">$D$10*U1</f>
        <v>530591.94</v>
      </c>
      <c r="J40" s="167" t="n">
        <f aca="false">$D$10*V1</f>
        <v>528403.932</v>
      </c>
      <c r="K40" s="167" t="n">
        <f aca="false">$D$10*W1</f>
        <v>526215.924</v>
      </c>
      <c r="L40" s="167" t="n">
        <f aca="false">$D$10*X1</f>
        <v>524027.916</v>
      </c>
      <c r="M40" s="167" t="n">
        <f aca="false">$D$10*Y1</f>
        <v>521839.908</v>
      </c>
      <c r="N40" s="167" t="n">
        <f aca="false">$D$10*Z1</f>
        <v>519651.9</v>
      </c>
      <c r="O40" s="167" t="n">
        <f aca="false">$D$10*AA1</f>
        <v>517463.892</v>
      </c>
      <c r="P40" s="167" t="n">
        <f aca="false">$D$10*AB1</f>
        <v>515275.884</v>
      </c>
      <c r="Q40" s="167" t="n">
        <f aca="false">$D$10*AC1</f>
        <v>513087.876</v>
      </c>
      <c r="R40" s="167" t="n">
        <f aca="false">$D$10*AD1</f>
        <v>510899.868</v>
      </c>
      <c r="S40" s="167" t="n">
        <f aca="false">$D$10*AE1</f>
        <v>508711.86</v>
      </c>
      <c r="T40" s="167" t="n">
        <f aca="false">$D$10*AF1</f>
        <v>506523.852</v>
      </c>
      <c r="U40" s="167" t="n">
        <f aca="false">$D$10*AG1</f>
        <v>504335.844</v>
      </c>
      <c r="V40" s="167" t="n">
        <f aca="false">$D$10*AH1</f>
        <v>502147.836</v>
      </c>
      <c r="W40" s="167" t="n">
        <f aca="false">$D$10*AI1</f>
        <v>499959.828</v>
      </c>
      <c r="X40" s="168"/>
    </row>
    <row r="41" customFormat="false" ht="18.75" hidden="false" customHeight="true" outlineLevel="0" collapsed="false">
      <c r="B41" s="169" t="s">
        <v>53</v>
      </c>
      <c r="C41" s="170" t="s">
        <v>3</v>
      </c>
      <c r="D41" s="171" t="n">
        <f aca="false">D40*$D$13</f>
        <v>2011899.612096</v>
      </c>
      <c r="E41" s="171" t="n">
        <f aca="false">E40*$D$13</f>
        <v>2003770.7247744</v>
      </c>
      <c r="F41" s="171" t="n">
        <f aca="false">F40*$D$13</f>
        <v>1995641.8374528</v>
      </c>
      <c r="G41" s="171" t="n">
        <f aca="false">G40*$D$13</f>
        <v>1987512.9501312</v>
      </c>
      <c r="H41" s="171" t="n">
        <f aca="false">H40*$D$13</f>
        <v>1979384.0628096</v>
      </c>
      <c r="I41" s="171" t="n">
        <f aca="false">I40*$D$13</f>
        <v>1971255.175488</v>
      </c>
      <c r="J41" s="171" t="n">
        <f aca="false">J40*$D$13</f>
        <v>1963126.2881664</v>
      </c>
      <c r="K41" s="171" t="n">
        <f aca="false">K40*$D$13</f>
        <v>1954997.4008448</v>
      </c>
      <c r="L41" s="171" t="n">
        <f aca="false">L40*$D$13</f>
        <v>1946868.5135232</v>
      </c>
      <c r="M41" s="171" t="n">
        <f aca="false">M40*$D$13</f>
        <v>1938739.6262016</v>
      </c>
      <c r="N41" s="171" t="n">
        <f aca="false">N40*$D$13</f>
        <v>1930610.73888</v>
      </c>
      <c r="O41" s="171" t="n">
        <f aca="false">O40*$D$13</f>
        <v>1922481.8515584</v>
      </c>
      <c r="P41" s="171" t="n">
        <f aca="false">P40*$D$13</f>
        <v>1914352.9642368</v>
      </c>
      <c r="Q41" s="171" t="n">
        <f aca="false">Q40*$D$13</f>
        <v>1906224.0769152</v>
      </c>
      <c r="R41" s="171" t="n">
        <f aca="false">R40*$D$13</f>
        <v>1898095.1895936</v>
      </c>
      <c r="S41" s="171" t="n">
        <f aca="false">S40*$D$13</f>
        <v>1889966.302272</v>
      </c>
      <c r="T41" s="171" t="n">
        <f aca="false">T40*$D$13</f>
        <v>1881837.4149504</v>
      </c>
      <c r="U41" s="171" t="n">
        <f aca="false">U40*$D$13</f>
        <v>1873708.5276288</v>
      </c>
      <c r="V41" s="171" t="n">
        <f aca="false">V40*$D$13</f>
        <v>1865579.6403072</v>
      </c>
      <c r="W41" s="171" t="n">
        <f aca="false">W40*$D$13</f>
        <v>1857450.7529856</v>
      </c>
      <c r="X41" s="172"/>
    </row>
    <row r="42" customFormat="false" ht="18.75" hidden="false" customHeight="true" outlineLevel="0" collapsed="false">
      <c r="B42" s="173" t="s">
        <v>54</v>
      </c>
      <c r="C42" s="174" t="s">
        <v>3</v>
      </c>
      <c r="D42" s="175"/>
      <c r="E42" s="175"/>
      <c r="F42" s="175"/>
      <c r="G42" s="176" t="s">
        <v>3</v>
      </c>
      <c r="H42" s="176" t="s">
        <v>3</v>
      </c>
      <c r="I42" s="176" t="s">
        <v>3</v>
      </c>
      <c r="J42" s="176" t="s">
        <v>3</v>
      </c>
      <c r="K42" s="176" t="s">
        <v>3</v>
      </c>
      <c r="L42" s="176" t="s">
        <v>3</v>
      </c>
      <c r="M42" s="176" t="s">
        <v>3</v>
      </c>
      <c r="N42" s="176" t="s">
        <v>3</v>
      </c>
      <c r="O42" s="176" t="s">
        <v>3</v>
      </c>
      <c r="P42" s="176" t="s">
        <v>3</v>
      </c>
      <c r="Q42" s="176" t="s">
        <v>3</v>
      </c>
      <c r="R42" s="176" t="s">
        <v>3</v>
      </c>
      <c r="S42" s="176" t="s">
        <v>3</v>
      </c>
      <c r="T42" s="176" t="s">
        <v>3</v>
      </c>
      <c r="U42" s="176" t="s">
        <v>3</v>
      </c>
      <c r="V42" s="176" t="s">
        <v>3</v>
      </c>
      <c r="W42" s="176" t="s">
        <v>3</v>
      </c>
      <c r="X42" s="177"/>
    </row>
    <row r="43" customFormat="false" ht="18.75" hidden="false" customHeight="true" outlineLevel="0" collapsed="false">
      <c r="B43" s="178" t="s">
        <v>55</v>
      </c>
      <c r="C43" s="179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customFormat="false" ht="18.75" hidden="false" customHeight="true" outlineLevel="0" collapsed="false">
      <c r="B44" s="182" t="s">
        <v>56</v>
      </c>
      <c r="C44" s="183" t="n">
        <f aca="false">-(D16/(1-D17)+D18)*C4</f>
        <v>-15637300</v>
      </c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 customFormat="false" ht="18.75" hidden="false" customHeight="true" outlineLevel="0" collapsed="false">
      <c r="B45" s="182" t="s">
        <v>57</v>
      </c>
      <c r="C45" s="174" t="s">
        <v>3</v>
      </c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</row>
    <row r="46" customFormat="false" ht="18.75" hidden="false" customHeight="true" outlineLevel="0" collapsed="false">
      <c r="B46" s="182" t="s">
        <v>58</v>
      </c>
      <c r="C46" s="17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 customFormat="false" ht="18.75" hidden="false" customHeight="true" outlineLevel="0" collapsed="false">
      <c r="B47" s="182" t="s">
        <v>59</v>
      </c>
      <c r="C47" s="174" t="s">
        <v>3</v>
      </c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 customFormat="false" ht="18.75" hidden="false" customHeight="true" outlineLevel="0" collapsed="false">
      <c r="B48" s="182" t="s">
        <v>60</v>
      </c>
      <c r="C48" s="174" t="s">
        <v>3</v>
      </c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</row>
    <row r="49" customFormat="false" ht="18.75" hidden="false" customHeight="true" outlineLevel="0" collapsed="false">
      <c r="B49" s="182" t="s">
        <v>61</v>
      </c>
      <c r="C49" s="174" t="s">
        <v>3</v>
      </c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</row>
    <row r="50" customFormat="false" ht="18.75" hidden="false" customHeight="true" outlineLevel="0" collapsed="false">
      <c r="B50" s="182" t="s">
        <v>62</v>
      </c>
      <c r="C50" s="17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</row>
    <row r="51" customFormat="false" ht="18.75" hidden="false" customHeight="true" outlineLevel="0" collapsed="false">
      <c r="B51" s="182" t="s">
        <v>63</v>
      </c>
      <c r="C51" s="185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 customFormat="false" ht="18.75" hidden="false" customHeight="true" outlineLevel="0" collapsed="false">
      <c r="B52" s="182" t="s">
        <v>64</v>
      </c>
      <c r="C52" s="185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 customFormat="false" ht="18.75" hidden="false" customHeight="true" outlineLevel="0" collapsed="false">
      <c r="B53" s="186" t="s">
        <v>65</v>
      </c>
      <c r="C53" s="185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 customFormat="false" ht="18.75" hidden="false" customHeight="true" outlineLevel="0" collapsed="false">
      <c r="B54" s="186" t="s">
        <v>66</v>
      </c>
      <c r="C54" s="185"/>
      <c r="D54" s="184" t="n">
        <f aca="false">-(D64+D67+D68+D71+D72+D73+D74)*0.2</f>
        <v>-246006.9224192</v>
      </c>
      <c r="E54" s="184" t="n">
        <f aca="false">-(E64+E67+E68+E71+E72+E73+E74)*0.2</f>
        <v>-244381.14495488</v>
      </c>
      <c r="F54" s="184" t="n">
        <f aca="false">-(F64+F67+F68+F71+F72+F73+F74)*0.2</f>
        <v>-242755.36749056</v>
      </c>
      <c r="G54" s="184" t="n">
        <f aca="false">-(G64+G67+G68+G71+G72+G73+G74)*0.2</f>
        <v>-241129.59002624</v>
      </c>
      <c r="H54" s="184" t="n">
        <f aca="false">-(H64+H67+H68+H71+H72+H73+H74)*0.2</f>
        <v>-239503.81256192</v>
      </c>
      <c r="I54" s="184" t="n">
        <f aca="false">-(I64+I67+I68+I71+I72+I73+I74)*0.2</f>
        <v>-237878.0350976</v>
      </c>
      <c r="J54" s="184" t="n">
        <f aca="false">-(J64+J67+J68+J71+J72+J73+J74)*0.2</f>
        <v>-236252.25763328</v>
      </c>
      <c r="K54" s="184" t="n">
        <f aca="false">-(K64+K67+K68+K71+K72+K73+K74)*0.2</f>
        <v>-234626.48016896</v>
      </c>
      <c r="L54" s="184" t="n">
        <f aca="false">-(L64+L67+L68+L71+L72+L73+L74)*0.2</f>
        <v>-233000.70270464</v>
      </c>
      <c r="M54" s="184" t="n">
        <f aca="false">-(M64+M67+M68+M71+M72+M73+M74)*0.2</f>
        <v>-231374.92524032</v>
      </c>
      <c r="N54" s="184" t="n">
        <f aca="false">-(N64+N67+N68+N71+N72+N73+N74)*0.2</f>
        <v>-229749.147776</v>
      </c>
      <c r="O54" s="184" t="n">
        <f aca="false">-(O64+O67+O68+O71+O72+O73+O74)*0.2</f>
        <v>-228123.37031168</v>
      </c>
      <c r="P54" s="184" t="n">
        <f aca="false">-(P64+P67+P68+P71+P72+P73+P74)*0.2</f>
        <v>-226497.59284736</v>
      </c>
      <c r="Q54" s="184" t="n">
        <f aca="false">-(Q64+Q67+Q68+Q71+Q72+Q73+Q74)*0.2</f>
        <v>-224871.81538304</v>
      </c>
      <c r="R54" s="184" t="n">
        <f aca="false">-(R64+R67+R68+R71+R72+R73+R74)*0.2</f>
        <v>-223246.03791872</v>
      </c>
      <c r="S54" s="184" t="n">
        <f aca="false">-(S64+S67+S68+S71+S72+S73+S74)*0.2</f>
        <v>-221620.2604544</v>
      </c>
      <c r="T54" s="184" t="n">
        <f aca="false">-(T64+T67+T68+T71+T72+T73+T74)*0.2</f>
        <v>-219994.48299008</v>
      </c>
      <c r="U54" s="184" t="n">
        <f aca="false">-(U64+U67+U68+U71+U72+U73+U74)*0.2</f>
        <v>-218368.70552576</v>
      </c>
      <c r="V54" s="184" t="n">
        <f aca="false">-(V64+V67+V68+V71+V72+V73+V74)*0.2</f>
        <v>-216742.92806144</v>
      </c>
      <c r="W54" s="184" t="n">
        <f aca="false">-(W64+W67+W68+W71+W72+W73+W74)*0.2</f>
        <v>-215117.15059712</v>
      </c>
      <c r="X54" s="175"/>
    </row>
    <row r="55" customFormat="false" ht="18.75" hidden="false" customHeight="true" outlineLevel="0" collapsed="false">
      <c r="B55" s="187" t="s">
        <v>67</v>
      </c>
      <c r="C55" s="188" t="n">
        <f aca="false">C44</f>
        <v>-15637300</v>
      </c>
      <c r="D55" s="189" t="n">
        <f aca="false">SUM(D41:D54)</f>
        <v>1765892.6896768</v>
      </c>
      <c r="E55" s="189" t="n">
        <f aca="false">SUM(E41:E54)</f>
        <v>1759389.57981952</v>
      </c>
      <c r="F55" s="189" t="n">
        <f aca="false">SUM(F41:F54)</f>
        <v>1752886.46996224</v>
      </c>
      <c r="G55" s="189" t="n">
        <f aca="false">SUM(G41:G54)</f>
        <v>1746383.36010496</v>
      </c>
      <c r="H55" s="189" t="n">
        <f aca="false">SUM(H41:H54)</f>
        <v>1739880.25024768</v>
      </c>
      <c r="I55" s="189" t="n">
        <f aca="false">SUM(I41:I54)</f>
        <v>1733377.1403904</v>
      </c>
      <c r="J55" s="189" t="n">
        <f aca="false">SUM(J41:J54)</f>
        <v>1726874.03053312</v>
      </c>
      <c r="K55" s="189" t="n">
        <f aca="false">SUM(K41:K54)</f>
        <v>1720370.92067584</v>
      </c>
      <c r="L55" s="189" t="n">
        <f aca="false">SUM(L41:L54)</f>
        <v>1713867.81081856</v>
      </c>
      <c r="M55" s="189" t="n">
        <f aca="false">SUM(M41:M54)</f>
        <v>1707364.70096128</v>
      </c>
      <c r="N55" s="189" t="n">
        <f aca="false">SUM(N41:N54)</f>
        <v>1700861.591104</v>
      </c>
      <c r="O55" s="189" t="n">
        <f aca="false">SUM(O41:O54)</f>
        <v>1694358.48124672</v>
      </c>
      <c r="P55" s="189" t="n">
        <f aca="false">SUM(P41:P54)</f>
        <v>1687855.37138944</v>
      </c>
      <c r="Q55" s="189" t="n">
        <f aca="false">SUM(Q41:Q54)</f>
        <v>1681352.26153216</v>
      </c>
      <c r="R55" s="189" t="n">
        <f aca="false">SUM(R41:R54)</f>
        <v>1674849.15167488</v>
      </c>
      <c r="S55" s="189" t="n">
        <f aca="false">SUM(S41:S54)</f>
        <v>1668346.0418176</v>
      </c>
      <c r="T55" s="189" t="n">
        <f aca="false">SUM(T41:T54)</f>
        <v>1661842.93196032</v>
      </c>
      <c r="U55" s="189" t="n">
        <f aca="false">SUM(U41:U54)</f>
        <v>1655339.82210304</v>
      </c>
      <c r="V55" s="189" t="n">
        <f aca="false">SUM(V41:V54)</f>
        <v>1648836.71224576</v>
      </c>
      <c r="W55" s="189" t="n">
        <f aca="false">SUM(W41:W54)</f>
        <v>1642333.60238848</v>
      </c>
      <c r="X55" s="190"/>
      <c r="Y55" s="191"/>
      <c r="Z55" s="192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</row>
    <row r="56" customFormat="false" ht="18.75" hidden="false" customHeight="true" outlineLevel="0" collapsed="false">
      <c r="B56" s="193" t="s">
        <v>68</v>
      </c>
      <c r="D56" s="194" t="n">
        <f aca="false">C55+D55</f>
        <v>-13871407.3103232</v>
      </c>
      <c r="E56" s="194" t="n">
        <f aca="false">D56+E55</f>
        <v>-12112017.7305037</v>
      </c>
      <c r="F56" s="194" t="n">
        <f aca="false">E56+F55</f>
        <v>-10359131.2605414</v>
      </c>
      <c r="G56" s="194" t="n">
        <f aca="false">F56+G55</f>
        <v>-8612747.90043649</v>
      </c>
      <c r="H56" s="194" t="n">
        <f aca="false">G56+H55</f>
        <v>-6872867.65018881</v>
      </c>
      <c r="I56" s="194" t="n">
        <f aca="false">H56+I55</f>
        <v>-5139490.50979841</v>
      </c>
      <c r="J56" s="194" t="n">
        <f aca="false">I56+J55</f>
        <v>-3412616.47926529</v>
      </c>
      <c r="K56" s="194" t="n">
        <f aca="false">J56+K55</f>
        <v>-1692245.55858945</v>
      </c>
      <c r="L56" s="194" t="n">
        <f aca="false">K56+L55</f>
        <v>21622.2522291122</v>
      </c>
      <c r="M56" s="194" t="n">
        <f aca="false">L56+M55</f>
        <v>1728986.95319039</v>
      </c>
      <c r="N56" s="194" t="n">
        <f aca="false">M56+N55</f>
        <v>3429848.54429439</v>
      </c>
      <c r="O56" s="194" t="n">
        <f aca="false">N56+O55</f>
        <v>5124207.02554111</v>
      </c>
      <c r="P56" s="194" t="n">
        <f aca="false">O56+P55</f>
        <v>6812062.39693055</v>
      </c>
      <c r="Q56" s="194" t="n">
        <f aca="false">P56+Q55</f>
        <v>8493414.65846271</v>
      </c>
      <c r="R56" s="194" t="n">
        <f aca="false">Q56+R55</f>
        <v>10168263.8101376</v>
      </c>
      <c r="S56" s="194" t="n">
        <f aca="false">R56+S55</f>
        <v>11836609.8519552</v>
      </c>
      <c r="T56" s="194" t="n">
        <f aca="false">S56+T55</f>
        <v>13498452.7839155</v>
      </c>
      <c r="U56" s="194" t="n">
        <f aca="false">T56+U55</f>
        <v>15153792.6060186</v>
      </c>
      <c r="V56" s="194" t="n">
        <f aca="false">U56+V55</f>
        <v>16802629.3182643</v>
      </c>
      <c r="W56" s="194" t="n">
        <f aca="false">V56+W55</f>
        <v>18444962.9206528</v>
      </c>
      <c r="X56" s="194" t="n">
        <f aca="false">W56+X55</f>
        <v>18444962.9206528</v>
      </c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</row>
    <row r="57" customFormat="false" ht="18.75" hidden="false" customHeight="true" outlineLevel="0" collapsed="false">
      <c r="B57" s="195" t="s">
        <v>74</v>
      </c>
      <c r="C57" s="196"/>
      <c r="D57" s="197" t="str">
        <f aca="false">IF((D56)&gt;0,"回收","未回收")</f>
        <v>未回收</v>
      </c>
      <c r="E57" s="198" t="str">
        <f aca="false">IF((E56)&gt;0,"回收","未回收")</f>
        <v>未回收</v>
      </c>
      <c r="F57" s="198" t="str">
        <f aca="false">IF((F56)&gt;0,"回收","未回收")</f>
        <v>未回收</v>
      </c>
      <c r="G57" s="198" t="str">
        <f aca="false">IF((G56)&gt;0,"回收","未回收")</f>
        <v>未回收</v>
      </c>
      <c r="H57" s="198" t="str">
        <f aca="false">IF((H56)&gt;0,"回收","未回收")</f>
        <v>未回收</v>
      </c>
      <c r="I57" s="198" t="str">
        <f aca="false">IF((I56)&gt;0,"回收","未回收")</f>
        <v>未回收</v>
      </c>
      <c r="J57" s="198" t="str">
        <f aca="false">IF((J56)&gt;0,"回收","未回收")</f>
        <v>未回收</v>
      </c>
      <c r="K57" s="198" t="str">
        <f aca="false">IF((K56)&gt;0,"回收","未回收")</f>
        <v>未回收</v>
      </c>
      <c r="L57" s="198" t="str">
        <f aca="false">IF((L56)&gt;0,"回收","未回收")</f>
        <v>回收</v>
      </c>
      <c r="M57" s="198" t="str">
        <f aca="false">IF((M56)&gt;0,"回收","未回收")</f>
        <v>回收</v>
      </c>
      <c r="N57" s="198" t="str">
        <f aca="false">IF((N56)&gt;0,"回收","未回收")</f>
        <v>回收</v>
      </c>
      <c r="O57" s="198" t="str">
        <f aca="false">IF((O56)&gt;0,"回收","未回收")</f>
        <v>回收</v>
      </c>
      <c r="P57" s="198" t="str">
        <f aca="false">IF((P56)&gt;0,"回收","未回收")</f>
        <v>回收</v>
      </c>
      <c r="Q57" s="198" t="str">
        <f aca="false">IF((Q56)&gt;0,"回收","未回收")</f>
        <v>回收</v>
      </c>
      <c r="R57" s="198" t="str">
        <f aca="false">IF((R56)&gt;0,"回收","未回收")</f>
        <v>回收</v>
      </c>
      <c r="S57" s="198" t="str">
        <f aca="false">IF((S56)&gt;0,"回收","未回收")</f>
        <v>回收</v>
      </c>
      <c r="T57" s="198" t="str">
        <f aca="false">IF((T56)&gt;0,"回收","未回收")</f>
        <v>回收</v>
      </c>
      <c r="U57" s="198" t="str">
        <f aca="false">IF((U56)&gt;0,"回收","未回收")</f>
        <v>回收</v>
      </c>
      <c r="V57" s="198" t="str">
        <f aca="false">IF((V56)&gt;0,"回收","未回收")</f>
        <v>回收</v>
      </c>
      <c r="W57" s="198" t="str">
        <f aca="false">IF((W56)&gt;0,"回收","未回收")</f>
        <v>回收</v>
      </c>
      <c r="X57" s="198" t="str">
        <f aca="false">IF((X56)&gt;0,"回收","未回收")</f>
        <v>回收</v>
      </c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</row>
    <row r="58" customFormat="false" ht="18.75" hidden="false" customHeight="true" outlineLevel="0" collapsed="false">
      <c r="B58" s="199" t="s">
        <v>93</v>
      </c>
      <c r="C58" s="200" t="n">
        <f aca="false">IRR(C55:W55)</f>
        <v>0.0907364028229937</v>
      </c>
      <c r="D58" s="201"/>
      <c r="E58" s="201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</row>
    <row r="59" customFormat="false" ht="18.75" hidden="false" customHeight="true" outlineLevel="0" collapsed="false">
      <c r="B59" s="202"/>
      <c r="C59" s="201"/>
      <c r="D59" s="201"/>
      <c r="E59" s="201"/>
      <c r="F59" s="202"/>
      <c r="G59" s="202"/>
      <c r="H59" s="202"/>
      <c r="I59" s="202"/>
      <c r="J59" s="202"/>
      <c r="K59" s="202"/>
      <c r="L59" s="202"/>
      <c r="M59" s="201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customFormat="false" ht="18.75" hidden="false" customHeight="true" outlineLevel="0" collapsed="false">
      <c r="B60" s="97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54" t="n">
        <v>0</v>
      </c>
      <c r="C61" s="155"/>
      <c r="D61" s="156"/>
      <c r="E61" s="156"/>
      <c r="F61" s="157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203" t="s">
        <v>50</v>
      </c>
      <c r="U61" s="158"/>
      <c r="V61" s="158"/>
      <c r="W61" s="158"/>
      <c r="X61" s="160"/>
    </row>
    <row r="62" customFormat="false" ht="18.75" hidden="false" customHeight="true" outlineLevel="0" collapsed="false">
      <c r="B62" s="161" t="s">
        <v>51</v>
      </c>
      <c r="C62" s="162" t="n">
        <v>0</v>
      </c>
      <c r="D62" s="163" t="n">
        <v>1</v>
      </c>
      <c r="E62" s="163" t="n">
        <v>2</v>
      </c>
      <c r="F62" s="163" t="n">
        <v>3</v>
      </c>
      <c r="G62" s="163" t="n">
        <v>4</v>
      </c>
      <c r="H62" s="163" t="n">
        <v>5</v>
      </c>
      <c r="I62" s="163" t="n">
        <v>6</v>
      </c>
      <c r="J62" s="163" t="n">
        <v>7</v>
      </c>
      <c r="K62" s="163" t="n">
        <v>8</v>
      </c>
      <c r="L62" s="163" t="n">
        <v>9</v>
      </c>
      <c r="M62" s="163" t="n">
        <v>10</v>
      </c>
      <c r="N62" s="163" t="n">
        <v>11</v>
      </c>
      <c r="O62" s="163" t="n">
        <v>12</v>
      </c>
      <c r="P62" s="163" t="n">
        <v>13</v>
      </c>
      <c r="Q62" s="163" t="n">
        <v>14</v>
      </c>
      <c r="R62" s="163" t="n">
        <v>15</v>
      </c>
      <c r="S62" s="163" t="n">
        <v>16</v>
      </c>
      <c r="T62" s="204" t="n">
        <v>17</v>
      </c>
      <c r="U62" s="163" t="n">
        <v>18</v>
      </c>
      <c r="V62" s="163" t="n">
        <v>19</v>
      </c>
      <c r="W62" s="163" t="n">
        <v>20</v>
      </c>
      <c r="X62" s="47"/>
    </row>
    <row r="63" customFormat="false" ht="18.75" hidden="false" customHeight="true" outlineLevel="0" collapsed="false">
      <c r="B63" s="165" t="s">
        <v>52</v>
      </c>
      <c r="C63" s="166" t="n">
        <v>0</v>
      </c>
      <c r="D63" s="167" t="n">
        <f aca="false">D40</f>
        <v>541531.98</v>
      </c>
      <c r="E63" s="167" t="n">
        <f aca="false">E40</f>
        <v>539343.972</v>
      </c>
      <c r="F63" s="167" t="n">
        <f aca="false">F40</f>
        <v>537155.964</v>
      </c>
      <c r="G63" s="167" t="n">
        <f aca="false">G40</f>
        <v>534967.956</v>
      </c>
      <c r="H63" s="167" t="n">
        <f aca="false">H40</f>
        <v>532779.948</v>
      </c>
      <c r="I63" s="167" t="n">
        <f aca="false">I40</f>
        <v>530591.94</v>
      </c>
      <c r="J63" s="167" t="n">
        <f aca="false">J40</f>
        <v>528403.932</v>
      </c>
      <c r="K63" s="167" t="n">
        <f aca="false">K40</f>
        <v>526215.924</v>
      </c>
      <c r="L63" s="167" t="n">
        <f aca="false">L40</f>
        <v>524027.916</v>
      </c>
      <c r="M63" s="167" t="n">
        <f aca="false">M40</f>
        <v>521839.908</v>
      </c>
      <c r="N63" s="167" t="n">
        <f aca="false">N40</f>
        <v>519651.9</v>
      </c>
      <c r="O63" s="167" t="n">
        <f aca="false">O40</f>
        <v>517463.892</v>
      </c>
      <c r="P63" s="167" t="n">
        <f aca="false">P40</f>
        <v>515275.884</v>
      </c>
      <c r="Q63" s="167" t="n">
        <f aca="false">Q40</f>
        <v>513087.876</v>
      </c>
      <c r="R63" s="167" t="n">
        <f aca="false">R40</f>
        <v>510899.868</v>
      </c>
      <c r="S63" s="167" t="n">
        <f aca="false">S40</f>
        <v>508711.86</v>
      </c>
      <c r="T63" s="167" t="n">
        <f aca="false">T40</f>
        <v>506523.852</v>
      </c>
      <c r="U63" s="167" t="n">
        <f aca="false">U40</f>
        <v>504335.844</v>
      </c>
      <c r="V63" s="167" t="n">
        <f aca="false">V40</f>
        <v>502147.836</v>
      </c>
      <c r="W63" s="167" t="n">
        <f aca="false">W40</f>
        <v>499959.828</v>
      </c>
      <c r="X63" s="168"/>
    </row>
    <row r="64" customFormat="false" ht="18.75" hidden="false" customHeight="true" outlineLevel="0" collapsed="false">
      <c r="B64" s="169" t="s">
        <v>53</v>
      </c>
      <c r="C64" s="170" t="s">
        <v>3</v>
      </c>
      <c r="D64" s="171" t="n">
        <f aca="false">D41</f>
        <v>2011899.612096</v>
      </c>
      <c r="E64" s="171" t="n">
        <f aca="false">E41</f>
        <v>2003770.7247744</v>
      </c>
      <c r="F64" s="171" t="n">
        <f aca="false">F41</f>
        <v>1995641.8374528</v>
      </c>
      <c r="G64" s="171" t="n">
        <f aca="false">G41</f>
        <v>1987512.9501312</v>
      </c>
      <c r="H64" s="171" t="n">
        <f aca="false">H41</f>
        <v>1979384.0628096</v>
      </c>
      <c r="I64" s="171" t="n">
        <f aca="false">I41</f>
        <v>1971255.175488</v>
      </c>
      <c r="J64" s="171" t="n">
        <f aca="false">J41</f>
        <v>1963126.2881664</v>
      </c>
      <c r="K64" s="171" t="n">
        <f aca="false">K41</f>
        <v>1954997.4008448</v>
      </c>
      <c r="L64" s="171" t="n">
        <f aca="false">L41</f>
        <v>1946868.5135232</v>
      </c>
      <c r="M64" s="171" t="n">
        <f aca="false">M41</f>
        <v>1938739.6262016</v>
      </c>
      <c r="N64" s="171" t="n">
        <f aca="false">N41</f>
        <v>1930610.73888</v>
      </c>
      <c r="O64" s="171" t="n">
        <f aca="false">O41</f>
        <v>1922481.8515584</v>
      </c>
      <c r="P64" s="171" t="n">
        <f aca="false">P41</f>
        <v>1914352.9642368</v>
      </c>
      <c r="Q64" s="171" t="n">
        <f aca="false">Q41</f>
        <v>1906224.0769152</v>
      </c>
      <c r="R64" s="171" t="n">
        <f aca="false">R41</f>
        <v>1898095.1895936</v>
      </c>
      <c r="S64" s="171" t="n">
        <f aca="false">S41</f>
        <v>1889966.302272</v>
      </c>
      <c r="T64" s="171" t="n">
        <f aca="false">T41</f>
        <v>1881837.4149504</v>
      </c>
      <c r="U64" s="171" t="n">
        <f aca="false">U41</f>
        <v>1873708.5276288</v>
      </c>
      <c r="V64" s="171" t="n">
        <f aca="false">V41</f>
        <v>1865579.6403072</v>
      </c>
      <c r="W64" s="171" t="n">
        <f aca="false">W41</f>
        <v>1857450.7529856</v>
      </c>
      <c r="X64" s="172"/>
    </row>
    <row r="65" customFormat="false" ht="18.75" hidden="false" customHeight="true" outlineLevel="0" collapsed="false">
      <c r="B65" s="173" t="s">
        <v>54</v>
      </c>
      <c r="C65" s="174" t="s">
        <v>3</v>
      </c>
      <c r="D65" s="175"/>
      <c r="E65" s="175"/>
      <c r="F65" s="175"/>
      <c r="G65" s="176" t="s">
        <v>3</v>
      </c>
      <c r="H65" s="176" t="s">
        <v>3</v>
      </c>
      <c r="I65" s="176" t="s">
        <v>3</v>
      </c>
      <c r="J65" s="176" t="s">
        <v>3</v>
      </c>
      <c r="K65" s="176" t="s">
        <v>3</v>
      </c>
      <c r="L65" s="176" t="s">
        <v>3</v>
      </c>
      <c r="M65" s="176" t="s">
        <v>3</v>
      </c>
      <c r="N65" s="176" t="s">
        <v>3</v>
      </c>
      <c r="O65" s="176" t="s">
        <v>3</v>
      </c>
      <c r="P65" s="176" t="s">
        <v>3</v>
      </c>
      <c r="Q65" s="176" t="s">
        <v>3</v>
      </c>
      <c r="R65" s="176" t="s">
        <v>3</v>
      </c>
      <c r="S65" s="176" t="s">
        <v>3</v>
      </c>
      <c r="T65" s="176" t="s">
        <v>3</v>
      </c>
      <c r="U65" s="176" t="s">
        <v>3</v>
      </c>
      <c r="V65" s="176" t="s">
        <v>3</v>
      </c>
      <c r="W65" s="176" t="s">
        <v>3</v>
      </c>
      <c r="X65" s="177"/>
    </row>
    <row r="66" customFormat="false" ht="18.75" hidden="false" customHeight="true" outlineLevel="0" collapsed="false">
      <c r="B66" s="178" t="s">
        <v>55</v>
      </c>
      <c r="C66" s="179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1"/>
    </row>
    <row r="67" customFormat="false" ht="18.75" hidden="false" customHeight="true" outlineLevel="0" collapsed="false">
      <c r="B67" s="182" t="s">
        <v>120</v>
      </c>
      <c r="C67" s="174"/>
      <c r="D67" s="205" t="n">
        <f aca="false">$C$44/$E$16</f>
        <v>-781865</v>
      </c>
      <c r="E67" s="205" t="n">
        <f aca="false">$C$44/$E$16</f>
        <v>-781865</v>
      </c>
      <c r="F67" s="205" t="n">
        <f aca="false">$C$44/$E$16</f>
        <v>-781865</v>
      </c>
      <c r="G67" s="205" t="n">
        <f aca="false">$C$44/$E$16</f>
        <v>-781865</v>
      </c>
      <c r="H67" s="205" t="n">
        <f aca="false">$C$44/$E$16</f>
        <v>-781865</v>
      </c>
      <c r="I67" s="205" t="n">
        <f aca="false">$C$44/$E$16</f>
        <v>-781865</v>
      </c>
      <c r="J67" s="205" t="n">
        <f aca="false">$C$44/$E$16</f>
        <v>-781865</v>
      </c>
      <c r="K67" s="205" t="n">
        <f aca="false">$C$44/$E$16</f>
        <v>-781865</v>
      </c>
      <c r="L67" s="205" t="n">
        <f aca="false">$C$44/$E$16</f>
        <v>-781865</v>
      </c>
      <c r="M67" s="205" t="n">
        <f aca="false">$C$44/$E$16</f>
        <v>-781865</v>
      </c>
      <c r="N67" s="205" t="n">
        <f aca="false">$C$44/$E$16</f>
        <v>-781865</v>
      </c>
      <c r="O67" s="205" t="n">
        <f aca="false">$C$44/$E$16</f>
        <v>-781865</v>
      </c>
      <c r="P67" s="205" t="n">
        <f aca="false">$C$44/$E$16</f>
        <v>-781865</v>
      </c>
      <c r="Q67" s="205" t="n">
        <f aca="false">$C$44/$E$16</f>
        <v>-781865</v>
      </c>
      <c r="R67" s="205" t="n">
        <f aca="false">$C$44/$E$16</f>
        <v>-781865</v>
      </c>
      <c r="S67" s="205" t="n">
        <f aca="false">$C$44/$E$16</f>
        <v>-781865</v>
      </c>
      <c r="T67" s="205" t="n">
        <f aca="false">$C$44/$E$16</f>
        <v>-781865</v>
      </c>
      <c r="U67" s="205" t="n">
        <f aca="false">$C$44/$E$16</f>
        <v>-781865</v>
      </c>
      <c r="V67" s="205" t="n">
        <f aca="false">$C$44/$E$16</f>
        <v>-781865</v>
      </c>
      <c r="W67" s="205" t="n">
        <f aca="false">$C$44/$E$16</f>
        <v>-781865</v>
      </c>
      <c r="X67" s="177"/>
    </row>
    <row r="68" customFormat="false" ht="18.75" hidden="false" customHeight="true" outlineLevel="0" collapsed="false">
      <c r="B68" s="182" t="s">
        <v>57</v>
      </c>
      <c r="C68" s="174" t="s">
        <v>3</v>
      </c>
      <c r="D68" s="184" t="n">
        <f aca="false">D45</f>
        <v>0</v>
      </c>
      <c r="E68" s="184" t="n">
        <f aca="false">E45</f>
        <v>0</v>
      </c>
      <c r="F68" s="184" t="n">
        <f aca="false">F45</f>
        <v>0</v>
      </c>
      <c r="G68" s="184" t="n">
        <f aca="false">G45</f>
        <v>0</v>
      </c>
      <c r="H68" s="184" t="n">
        <f aca="false">H45</f>
        <v>0</v>
      </c>
      <c r="I68" s="184" t="n">
        <f aca="false">I45</f>
        <v>0</v>
      </c>
      <c r="J68" s="184" t="n">
        <f aca="false">J45</f>
        <v>0</v>
      </c>
      <c r="K68" s="184" t="n">
        <f aca="false">K45</f>
        <v>0</v>
      </c>
      <c r="L68" s="184" t="n">
        <f aca="false">L45</f>
        <v>0</v>
      </c>
      <c r="M68" s="184" t="n">
        <f aca="false">M45</f>
        <v>0</v>
      </c>
      <c r="N68" s="184" t="n">
        <f aca="false">N45</f>
        <v>0</v>
      </c>
      <c r="O68" s="184" t="n">
        <f aca="false">O45</f>
        <v>0</v>
      </c>
      <c r="P68" s="184" t="n">
        <f aca="false">P45</f>
        <v>0</v>
      </c>
      <c r="Q68" s="184" t="n">
        <f aca="false">Q45</f>
        <v>0</v>
      </c>
      <c r="R68" s="184" t="n">
        <f aca="false">R45</f>
        <v>0</v>
      </c>
      <c r="S68" s="184" t="n">
        <f aca="false">S45</f>
        <v>0</v>
      </c>
      <c r="T68" s="184" t="n">
        <f aca="false">T45</f>
        <v>0</v>
      </c>
      <c r="U68" s="184" t="n">
        <f aca="false">U45</f>
        <v>0</v>
      </c>
      <c r="V68" s="184" t="n">
        <f aca="false">V45</f>
        <v>0</v>
      </c>
      <c r="W68" s="184" t="n">
        <f aca="false">W45</f>
        <v>0</v>
      </c>
      <c r="X68" s="177"/>
    </row>
    <row r="69" customFormat="false" ht="18.75" hidden="false" customHeight="true" outlineLevel="0" collapsed="false">
      <c r="B69" s="182" t="s">
        <v>58</v>
      </c>
      <c r="C69" s="174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7"/>
    </row>
    <row r="70" customFormat="false" ht="18.75" hidden="false" customHeight="true" outlineLevel="0" collapsed="false">
      <c r="B70" s="182" t="s">
        <v>59</v>
      </c>
      <c r="C70" s="174" t="s">
        <v>3</v>
      </c>
      <c r="D70" s="184" t="n">
        <f aca="false">-D109*$D25</f>
        <v>-320189.3548</v>
      </c>
      <c r="E70" s="184" t="n">
        <f aca="false">-E109*$D25</f>
        <v>-320189.3548</v>
      </c>
      <c r="F70" s="184" t="n">
        <f aca="false">-F109*$D25</f>
        <v>-320189.3548</v>
      </c>
      <c r="G70" s="184" t="n">
        <f aca="false">-G109*$D25</f>
        <v>-320189.3548</v>
      </c>
      <c r="H70" s="184" t="n">
        <f aca="false">-H109*$D25</f>
        <v>-320189.3548</v>
      </c>
      <c r="I70" s="184" t="n">
        <f aca="false">-I109*$D25</f>
        <v>-320189.3548</v>
      </c>
      <c r="J70" s="184" t="n">
        <f aca="false">-J109*$D25</f>
        <v>-320189.3548</v>
      </c>
      <c r="K70" s="184" t="n">
        <f aca="false">-K109*$D25</f>
        <v>-320189.3548</v>
      </c>
      <c r="L70" s="184" t="n">
        <f aca="false">-L109*$D25</f>
        <v>-320189.3548</v>
      </c>
      <c r="M70" s="184" t="n">
        <f aca="false">-M109*$D25</f>
        <v>-320189.3548</v>
      </c>
      <c r="N70" s="184" t="n">
        <f aca="false">-N109*$D25</f>
        <v>-320189.3548</v>
      </c>
      <c r="O70" s="184" t="n">
        <f aca="false">-O109*$D25</f>
        <v>-320189.3548</v>
      </c>
      <c r="P70" s="184" t="n">
        <f aca="false">-P109*$D25</f>
        <v>-320189.3548</v>
      </c>
      <c r="Q70" s="184" t="n">
        <f aca="false">-Q109*$D25</f>
        <v>-320189.3548</v>
      </c>
      <c r="R70" s="184" t="n">
        <f aca="false">-R109*$D25</f>
        <v>-320189.3548</v>
      </c>
      <c r="S70" s="184" t="n">
        <f aca="false">-S109*$D25</f>
        <v>-320189.3548</v>
      </c>
      <c r="T70" s="184" t="n">
        <f aca="false">-T109*$D25</f>
        <v>-320189.3548</v>
      </c>
      <c r="U70" s="184" t="n">
        <f aca="false">-U109*$D25</f>
        <v>-320189.3548</v>
      </c>
      <c r="V70" s="184" t="n">
        <f aca="false">-V109*$D25</f>
        <v>-320189.3548</v>
      </c>
      <c r="W70" s="184" t="n">
        <f aca="false">-W109*$D25</f>
        <v>-320189.3548</v>
      </c>
      <c r="X70" s="177"/>
    </row>
    <row r="71" customFormat="false" ht="18.75" hidden="false" customHeight="true" outlineLevel="0" collapsed="false">
      <c r="B71" s="182" t="s">
        <v>60</v>
      </c>
      <c r="C71" s="174" t="s">
        <v>3</v>
      </c>
      <c r="D71" s="184" t="n">
        <f aca="false">D48</f>
        <v>0</v>
      </c>
      <c r="E71" s="184" t="n">
        <f aca="false">E48</f>
        <v>0</v>
      </c>
      <c r="F71" s="184" t="n">
        <f aca="false">F48</f>
        <v>0</v>
      </c>
      <c r="G71" s="184" t="n">
        <f aca="false">G48</f>
        <v>0</v>
      </c>
      <c r="H71" s="184" t="n">
        <f aca="false">H48</f>
        <v>0</v>
      </c>
      <c r="I71" s="184" t="n">
        <f aca="false">I48</f>
        <v>0</v>
      </c>
      <c r="J71" s="184" t="n">
        <f aca="false">J48</f>
        <v>0</v>
      </c>
      <c r="K71" s="184" t="n">
        <f aca="false">K48</f>
        <v>0</v>
      </c>
      <c r="L71" s="184" t="n">
        <f aca="false">L48</f>
        <v>0</v>
      </c>
      <c r="M71" s="184" t="n">
        <f aca="false">M48</f>
        <v>0</v>
      </c>
      <c r="N71" s="184" t="n">
        <f aca="false">N48</f>
        <v>0</v>
      </c>
      <c r="O71" s="184" t="n">
        <f aca="false">O48</f>
        <v>0</v>
      </c>
      <c r="P71" s="184" t="n">
        <f aca="false">P48</f>
        <v>0</v>
      </c>
      <c r="Q71" s="184" t="n">
        <f aca="false">Q48</f>
        <v>0</v>
      </c>
      <c r="R71" s="184" t="n">
        <f aca="false">R48</f>
        <v>0</v>
      </c>
      <c r="S71" s="184" t="n">
        <f aca="false">S48</f>
        <v>0</v>
      </c>
      <c r="T71" s="184" t="n">
        <f aca="false">T48</f>
        <v>0</v>
      </c>
      <c r="U71" s="184" t="n">
        <f aca="false">U48</f>
        <v>0</v>
      </c>
      <c r="V71" s="184" t="n">
        <f aca="false">V48</f>
        <v>0</v>
      </c>
      <c r="W71" s="184" t="n">
        <f aca="false">W48</f>
        <v>0</v>
      </c>
      <c r="X71" s="177"/>
    </row>
    <row r="72" customFormat="false" ht="18.75" hidden="false" customHeight="true" outlineLevel="0" collapsed="false">
      <c r="B72" s="182" t="s">
        <v>61</v>
      </c>
      <c r="C72" s="174" t="s">
        <v>3</v>
      </c>
      <c r="D72" s="184" t="n">
        <f aca="false">D49</f>
        <v>0</v>
      </c>
      <c r="E72" s="184" t="n">
        <f aca="false">E49</f>
        <v>0</v>
      </c>
      <c r="F72" s="184" t="n">
        <f aca="false">F49</f>
        <v>0</v>
      </c>
      <c r="G72" s="184" t="n">
        <f aca="false">G49</f>
        <v>0</v>
      </c>
      <c r="H72" s="184" t="n">
        <f aca="false">H49</f>
        <v>0</v>
      </c>
      <c r="I72" s="184" t="n">
        <f aca="false">I49</f>
        <v>0</v>
      </c>
      <c r="J72" s="184" t="n">
        <f aca="false">J49</f>
        <v>0</v>
      </c>
      <c r="K72" s="184" t="n">
        <f aca="false">K49</f>
        <v>0</v>
      </c>
      <c r="L72" s="184" t="n">
        <f aca="false">L49</f>
        <v>0</v>
      </c>
      <c r="M72" s="184" t="n">
        <f aca="false">M49</f>
        <v>0</v>
      </c>
      <c r="N72" s="184" t="n">
        <f aca="false">N49</f>
        <v>0</v>
      </c>
      <c r="O72" s="184" t="n">
        <f aca="false">O49</f>
        <v>0</v>
      </c>
      <c r="P72" s="184" t="n">
        <f aca="false">P49</f>
        <v>0</v>
      </c>
      <c r="Q72" s="184" t="n">
        <f aca="false">Q49</f>
        <v>0</v>
      </c>
      <c r="R72" s="184" t="n">
        <f aca="false">R49</f>
        <v>0</v>
      </c>
      <c r="S72" s="184" t="n">
        <f aca="false">S49</f>
        <v>0</v>
      </c>
      <c r="T72" s="184" t="n">
        <f aca="false">T49</f>
        <v>0</v>
      </c>
      <c r="U72" s="184" t="n">
        <f aca="false">U49</f>
        <v>0</v>
      </c>
      <c r="V72" s="184" t="n">
        <f aca="false">V49</f>
        <v>0</v>
      </c>
      <c r="W72" s="184" t="n">
        <f aca="false">W49</f>
        <v>0</v>
      </c>
      <c r="X72" s="177"/>
    </row>
    <row r="73" customFormat="false" ht="18.75" hidden="false" customHeight="true" outlineLevel="0" collapsed="false">
      <c r="B73" s="182" t="s">
        <v>62</v>
      </c>
      <c r="C73" s="174"/>
      <c r="D73" s="184" t="n">
        <f aca="false">D50</f>
        <v>0</v>
      </c>
      <c r="E73" s="184" t="n">
        <f aca="false">E50</f>
        <v>0</v>
      </c>
      <c r="F73" s="184" t="n">
        <f aca="false">F50</f>
        <v>0</v>
      </c>
      <c r="G73" s="184" t="n">
        <f aca="false">G50</f>
        <v>0</v>
      </c>
      <c r="H73" s="184" t="n">
        <f aca="false">H50</f>
        <v>0</v>
      </c>
      <c r="I73" s="184" t="n">
        <f aca="false">I50</f>
        <v>0</v>
      </c>
      <c r="J73" s="184" t="n">
        <f aca="false">J50</f>
        <v>0</v>
      </c>
      <c r="K73" s="184" t="n">
        <f aca="false">K50</f>
        <v>0</v>
      </c>
      <c r="L73" s="184" t="n">
        <f aca="false">L50</f>
        <v>0</v>
      </c>
      <c r="M73" s="184" t="n">
        <f aca="false">M50</f>
        <v>0</v>
      </c>
      <c r="N73" s="184" t="n">
        <f aca="false">N50</f>
        <v>0</v>
      </c>
      <c r="O73" s="184" t="n">
        <f aca="false">O50</f>
        <v>0</v>
      </c>
      <c r="P73" s="184" t="n">
        <f aca="false">P50</f>
        <v>0</v>
      </c>
      <c r="Q73" s="184" t="n">
        <f aca="false">Q50</f>
        <v>0</v>
      </c>
      <c r="R73" s="184" t="n">
        <f aca="false">R50</f>
        <v>0</v>
      </c>
      <c r="S73" s="184" t="n">
        <f aca="false">S50</f>
        <v>0</v>
      </c>
      <c r="T73" s="184" t="n">
        <f aca="false">T50</f>
        <v>0</v>
      </c>
      <c r="U73" s="184" t="n">
        <f aca="false">U50</f>
        <v>0</v>
      </c>
      <c r="V73" s="184" t="n">
        <f aca="false">V50</f>
        <v>0</v>
      </c>
      <c r="W73" s="184" t="n">
        <f aca="false">W50</f>
        <v>0</v>
      </c>
      <c r="X73" s="177"/>
    </row>
    <row r="74" customFormat="false" ht="18.75" hidden="false" customHeight="true" outlineLevel="0" collapsed="false">
      <c r="B74" s="182" t="s">
        <v>63</v>
      </c>
      <c r="C74" s="185"/>
      <c r="D74" s="206"/>
      <c r="E74" s="207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7"/>
    </row>
    <row r="75" customFormat="false" ht="18.75" hidden="false" customHeight="true" outlineLevel="0" collapsed="false">
      <c r="B75" s="182" t="s">
        <v>64</v>
      </c>
      <c r="C75" s="18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7"/>
    </row>
    <row r="76" customFormat="false" ht="18.75" hidden="false" customHeight="true" outlineLevel="0" collapsed="false">
      <c r="B76" s="187" t="s">
        <v>121</v>
      </c>
      <c r="C76" s="208"/>
      <c r="D76" s="189" t="n">
        <f aca="false">SUM(D64:D75)</f>
        <v>909845.257295999</v>
      </c>
      <c r="E76" s="189" t="n">
        <f aca="false">SUM(E64:E75)</f>
        <v>901716.3699744</v>
      </c>
      <c r="F76" s="189" t="n">
        <f aca="false">SUM(F64:F75)</f>
        <v>893587.4826528</v>
      </c>
      <c r="G76" s="189" t="n">
        <f aca="false">SUM(G64:G75)</f>
        <v>885458.5953312</v>
      </c>
      <c r="H76" s="189" t="n">
        <f aca="false">SUM(H64:H75)</f>
        <v>877329.7080096</v>
      </c>
      <c r="I76" s="189" t="n">
        <f aca="false">SUM(I64:I75)</f>
        <v>869200.820688</v>
      </c>
      <c r="J76" s="189" t="n">
        <f aca="false">SUM(J64:J75)</f>
        <v>861071.9333664</v>
      </c>
      <c r="K76" s="189" t="n">
        <f aca="false">SUM(K64:K75)</f>
        <v>852943.0460448</v>
      </c>
      <c r="L76" s="189" t="n">
        <f aca="false">SUM(L64:L75)</f>
        <v>844814.1587232</v>
      </c>
      <c r="M76" s="189" t="n">
        <f aca="false">SUM(M64:M75)</f>
        <v>836685.2714016</v>
      </c>
      <c r="N76" s="189" t="n">
        <f aca="false">SUM(N64:N75)</f>
        <v>828556.38408</v>
      </c>
      <c r="O76" s="189" t="n">
        <f aca="false">SUM(O64:O75)</f>
        <v>820427.4967584</v>
      </c>
      <c r="P76" s="189" t="n">
        <f aca="false">SUM(P64:P75)</f>
        <v>812298.6094368</v>
      </c>
      <c r="Q76" s="189" t="n">
        <f aca="false">SUM(Q64:Q75)</f>
        <v>804169.7221152</v>
      </c>
      <c r="R76" s="189" t="n">
        <f aca="false">SUM(R64:R75)</f>
        <v>796040.8347936</v>
      </c>
      <c r="S76" s="189" t="n">
        <f aca="false">SUM(S64:S75)</f>
        <v>787911.947472</v>
      </c>
      <c r="T76" s="189" t="n">
        <f aca="false">SUM(T64:T75)</f>
        <v>779783.060150399</v>
      </c>
      <c r="U76" s="189" t="n">
        <f aca="false">SUM(U64:U75)</f>
        <v>771654.1728288</v>
      </c>
      <c r="V76" s="189" t="n">
        <f aca="false">SUM(V64:V75)</f>
        <v>763525.285507199</v>
      </c>
      <c r="W76" s="189" t="n">
        <f aca="false">SUM(W64:W75)</f>
        <v>755396.3981856</v>
      </c>
      <c r="X76" s="189" t="n">
        <f aca="false">SUM(X64:X75)</f>
        <v>0</v>
      </c>
    </row>
    <row r="77" customFormat="false" ht="18.75" hidden="false" customHeight="true" outlineLevel="0" collapsed="false">
      <c r="B77" s="186" t="s">
        <v>66</v>
      </c>
      <c r="C77" s="185"/>
      <c r="D77" s="184" t="n">
        <f aca="false">-D76*0.2</f>
        <v>-181969.0514592</v>
      </c>
      <c r="E77" s="184" t="n">
        <f aca="false">-E76*0.2</f>
        <v>-180343.27399488</v>
      </c>
      <c r="F77" s="184" t="n">
        <f aca="false">-F76*0.2</f>
        <v>-178717.49653056</v>
      </c>
      <c r="G77" s="184" t="n">
        <f aca="false">-G76*0.2</f>
        <v>-177091.71906624</v>
      </c>
      <c r="H77" s="184" t="n">
        <f aca="false">-H76*0.2</f>
        <v>-175465.94160192</v>
      </c>
      <c r="I77" s="184" t="n">
        <f aca="false">-I76*0.2</f>
        <v>-173840.1641376</v>
      </c>
      <c r="J77" s="184" t="n">
        <f aca="false">-J76*0.2</f>
        <v>-172214.38667328</v>
      </c>
      <c r="K77" s="184" t="n">
        <f aca="false">-K76*0.2</f>
        <v>-170588.60920896</v>
      </c>
      <c r="L77" s="184" t="n">
        <f aca="false">-L76*0.2</f>
        <v>-168962.83174464</v>
      </c>
      <c r="M77" s="184" t="n">
        <f aca="false">-M76*0.2</f>
        <v>-167337.05428032</v>
      </c>
      <c r="N77" s="184" t="n">
        <f aca="false">-N76*0.2</f>
        <v>-165711.276816</v>
      </c>
      <c r="O77" s="184" t="n">
        <f aca="false">-O76*0.2</f>
        <v>-164085.49935168</v>
      </c>
      <c r="P77" s="184" t="n">
        <f aca="false">-P76*0.2</f>
        <v>-162459.72188736</v>
      </c>
      <c r="Q77" s="184" t="n">
        <f aca="false">-Q76*0.2</f>
        <v>-160833.94442304</v>
      </c>
      <c r="R77" s="184" t="n">
        <f aca="false">-R76*0.2</f>
        <v>-159208.16695872</v>
      </c>
      <c r="S77" s="184" t="n">
        <f aca="false">-S76*0.2</f>
        <v>-157582.3894944</v>
      </c>
      <c r="T77" s="184" t="n">
        <f aca="false">-T76*0.2</f>
        <v>-155956.61203008</v>
      </c>
      <c r="U77" s="184" t="n">
        <f aca="false">-U76*0.2</f>
        <v>-154330.83456576</v>
      </c>
      <c r="V77" s="184" t="n">
        <f aca="false">-V76*0.2</f>
        <v>-152705.05710144</v>
      </c>
      <c r="W77" s="184" t="n">
        <f aca="false">-W76*0.2</f>
        <v>-151079.27963712</v>
      </c>
      <c r="X77" s="184" t="n">
        <f aca="false">-X76*0.2</f>
        <v>-0</v>
      </c>
    </row>
    <row r="78" customFormat="false" ht="15" hidden="false" customHeight="false" outlineLevel="0" collapsed="false">
      <c r="B78" s="209" t="s">
        <v>76</v>
      </c>
      <c r="D78" s="184" t="n">
        <f aca="false">SUM(D76:D77)</f>
        <v>727876.2058368</v>
      </c>
      <c r="E78" s="184" t="n">
        <f aca="false">SUM(E76:E77)</f>
        <v>721373.09597952</v>
      </c>
      <c r="F78" s="184" t="n">
        <f aca="false">SUM(F76:F77)</f>
        <v>714869.98612224</v>
      </c>
      <c r="G78" s="184" t="n">
        <f aca="false">SUM(G76:G77)</f>
        <v>708366.87626496</v>
      </c>
      <c r="H78" s="184" t="n">
        <f aca="false">SUM(H76:H77)</f>
        <v>701863.76640768</v>
      </c>
      <c r="I78" s="184" t="n">
        <f aca="false">SUM(I76:I77)</f>
        <v>695360.6565504</v>
      </c>
      <c r="J78" s="184" t="n">
        <f aca="false">SUM(J76:J77)</f>
        <v>688857.54669312</v>
      </c>
      <c r="K78" s="184" t="n">
        <f aca="false">SUM(K76:K77)</f>
        <v>682354.43683584</v>
      </c>
      <c r="L78" s="184" t="n">
        <f aca="false">SUM(L76:L77)</f>
        <v>675851.32697856</v>
      </c>
      <c r="M78" s="184" t="n">
        <f aca="false">SUM(M76:M77)</f>
        <v>669348.21712128</v>
      </c>
      <c r="N78" s="184" t="n">
        <f aca="false">SUM(N76:N77)</f>
        <v>662845.107264</v>
      </c>
      <c r="O78" s="184" t="n">
        <f aca="false">SUM(O76:O77)</f>
        <v>656341.99740672</v>
      </c>
      <c r="P78" s="184" t="n">
        <f aca="false">SUM(P76:P77)</f>
        <v>649838.88754944</v>
      </c>
      <c r="Q78" s="184" t="n">
        <f aca="false">SUM(Q76:Q77)</f>
        <v>643335.77769216</v>
      </c>
      <c r="R78" s="184" t="n">
        <f aca="false">SUM(R76:R77)</f>
        <v>636832.66783488</v>
      </c>
      <c r="S78" s="184" t="n">
        <f aca="false">SUM(S76:S77)</f>
        <v>630329.5579776</v>
      </c>
      <c r="T78" s="184" t="n">
        <f aca="false">SUM(T76:T77)</f>
        <v>623826.44812032</v>
      </c>
      <c r="U78" s="184" t="n">
        <f aca="false">SUM(U76:U77)</f>
        <v>617323.33826304</v>
      </c>
      <c r="V78" s="184" t="n">
        <f aca="false">SUM(V76:V77)</f>
        <v>610820.228405759</v>
      </c>
      <c r="W78" s="184" t="n">
        <f aca="false">SUM(W76:W77)</f>
        <v>604317.11854848</v>
      </c>
      <c r="X78" s="184" t="n">
        <f aca="false">SUM(X76:X77)</f>
        <v>0</v>
      </c>
    </row>
    <row r="79" customFormat="false" ht="18.75" hidden="false" customHeight="true" outlineLevel="0" collapsed="false">
      <c r="B79" s="193" t="s">
        <v>68</v>
      </c>
      <c r="C79" s="196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1"/>
    </row>
    <row r="80" customFormat="false" ht="18.75" hidden="false" customHeight="true" outlineLevel="0" collapsed="false">
      <c r="B80" s="212" t="s">
        <v>74</v>
      </c>
      <c r="C80" s="213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5"/>
    </row>
    <row r="81" customFormat="false" ht="18.75" hidden="false" customHeight="true" outlineLevel="0" collapsed="false">
      <c r="B81" s="202"/>
      <c r="C81" s="201"/>
      <c r="D81" s="201"/>
      <c r="E81" s="201"/>
      <c r="F81" s="202"/>
      <c r="G81" s="202"/>
      <c r="H81" s="202"/>
      <c r="I81" s="202"/>
      <c r="J81" s="202"/>
      <c r="K81" s="202"/>
      <c r="L81" s="202"/>
      <c r="M81" s="201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</row>
    <row r="82" customFormat="false" ht="18.75" hidden="false" customHeight="true" outlineLevel="0" collapsed="false">
      <c r="C82" s="216" t="s">
        <v>48</v>
      </c>
      <c r="D82" s="217" t="n">
        <f aca="false">D37</f>
        <v>2020</v>
      </c>
      <c r="E82" s="217" t="n">
        <f aca="false">E37</f>
        <v>2021</v>
      </c>
      <c r="F82" s="217" t="n">
        <f aca="false">F37</f>
        <v>2022</v>
      </c>
      <c r="G82" s="217" t="n">
        <f aca="false">G37</f>
        <v>2023</v>
      </c>
      <c r="H82" s="217" t="n">
        <f aca="false">H37</f>
        <v>2024</v>
      </c>
      <c r="I82" s="217" t="n">
        <f aca="false">I37</f>
        <v>2025</v>
      </c>
      <c r="J82" s="217" t="n">
        <f aca="false">J37</f>
        <v>2026</v>
      </c>
      <c r="K82" s="217" t="n">
        <f aca="false">K37</f>
        <v>2027</v>
      </c>
      <c r="L82" s="217" t="n">
        <f aca="false">L37</f>
        <v>2028</v>
      </c>
      <c r="M82" s="217" t="n">
        <f aca="false">M37</f>
        <v>2029</v>
      </c>
      <c r="N82" s="217" t="n">
        <f aca="false">N37</f>
        <v>2030</v>
      </c>
      <c r="O82" s="217" t="n">
        <f aca="false">O37</f>
        <v>2031</v>
      </c>
      <c r="P82" s="217" t="n">
        <f aca="false">P37</f>
        <v>2032</v>
      </c>
      <c r="Q82" s="217" t="n">
        <f aca="false">Q37</f>
        <v>2033</v>
      </c>
      <c r="R82" s="217" t="n">
        <f aca="false">R37</f>
        <v>2034</v>
      </c>
      <c r="S82" s="217" t="n">
        <f aca="false">S37</f>
        <v>2035</v>
      </c>
      <c r="T82" s="217" t="n">
        <f aca="false">T37</f>
        <v>2036</v>
      </c>
      <c r="U82" s="217" t="n">
        <f aca="false">U37</f>
        <v>2037</v>
      </c>
      <c r="V82" s="217" t="n">
        <f aca="false">V37</f>
        <v>2038</v>
      </c>
      <c r="W82" s="217" t="n">
        <f aca="false">W37</f>
        <v>2039</v>
      </c>
      <c r="X82" s="72"/>
    </row>
    <row r="83" customFormat="false" ht="18.75" hidden="false" customHeight="true" outlineLevel="0" collapsed="false">
      <c r="X83" s="135"/>
    </row>
    <row r="84" customFormat="false" ht="18.75" hidden="false" customHeight="true" outlineLevel="0" collapsed="false">
      <c r="B84" s="218" t="s">
        <v>51</v>
      </c>
      <c r="C84" s="218" t="n">
        <v>0</v>
      </c>
      <c r="D84" s="218" t="n">
        <v>1</v>
      </c>
      <c r="E84" s="218" t="n">
        <v>2</v>
      </c>
      <c r="F84" s="218" t="n">
        <v>3</v>
      </c>
      <c r="G84" s="218" t="n">
        <v>4</v>
      </c>
      <c r="H84" s="218" t="n">
        <v>5</v>
      </c>
      <c r="I84" s="218" t="n">
        <v>6</v>
      </c>
      <c r="J84" s="218" t="n">
        <v>7</v>
      </c>
      <c r="K84" s="218" t="n">
        <v>8</v>
      </c>
      <c r="L84" s="218" t="n">
        <v>9</v>
      </c>
      <c r="M84" s="218" t="n">
        <v>10</v>
      </c>
      <c r="N84" s="218" t="n">
        <v>11</v>
      </c>
      <c r="O84" s="218" t="n">
        <v>12</v>
      </c>
      <c r="P84" s="218" t="n">
        <v>13</v>
      </c>
      <c r="Q84" s="218" t="n">
        <v>14</v>
      </c>
      <c r="R84" s="218" t="n">
        <v>15</v>
      </c>
      <c r="S84" s="218" t="n">
        <v>16</v>
      </c>
      <c r="T84" s="218" t="n">
        <v>17</v>
      </c>
      <c r="U84" s="218" t="n">
        <v>18</v>
      </c>
      <c r="V84" s="218" t="n">
        <v>19</v>
      </c>
      <c r="W84" s="218" t="n">
        <v>20</v>
      </c>
      <c r="X84" s="103"/>
    </row>
    <row r="85" customFormat="false" ht="18.75" hidden="false" customHeight="true" outlineLevel="0" collapsed="false">
      <c r="B85" s="219" t="s">
        <v>76</v>
      </c>
      <c r="C85" s="219"/>
      <c r="D85" s="220" t="n">
        <f aca="false">D78</f>
        <v>727876.2058368</v>
      </c>
      <c r="E85" s="220" t="n">
        <f aca="false">E78</f>
        <v>721373.09597952</v>
      </c>
      <c r="F85" s="220" t="n">
        <f aca="false">F78</f>
        <v>714869.98612224</v>
      </c>
      <c r="G85" s="220" t="n">
        <f aca="false">G78</f>
        <v>708366.87626496</v>
      </c>
      <c r="H85" s="220" t="n">
        <f aca="false">H78</f>
        <v>701863.76640768</v>
      </c>
      <c r="I85" s="220" t="n">
        <f aca="false">I78</f>
        <v>695360.6565504</v>
      </c>
      <c r="J85" s="220" t="n">
        <f aca="false">J78</f>
        <v>688857.54669312</v>
      </c>
      <c r="K85" s="220" t="n">
        <f aca="false">K78</f>
        <v>682354.43683584</v>
      </c>
      <c r="L85" s="220" t="n">
        <f aca="false">L78</f>
        <v>675851.32697856</v>
      </c>
      <c r="M85" s="220" t="n">
        <f aca="false">M78</f>
        <v>669348.21712128</v>
      </c>
      <c r="N85" s="220" t="n">
        <f aca="false">N78</f>
        <v>662845.107264</v>
      </c>
      <c r="O85" s="220" t="n">
        <f aca="false">O78</f>
        <v>656341.99740672</v>
      </c>
      <c r="P85" s="220" t="n">
        <f aca="false">P78</f>
        <v>649838.88754944</v>
      </c>
      <c r="Q85" s="220" t="n">
        <f aca="false">Q78</f>
        <v>643335.77769216</v>
      </c>
      <c r="R85" s="220" t="n">
        <f aca="false">R78</f>
        <v>636832.66783488</v>
      </c>
      <c r="S85" s="220" t="n">
        <f aca="false">S78</f>
        <v>630329.5579776</v>
      </c>
      <c r="T85" s="220" t="n">
        <f aca="false">T78</f>
        <v>623826.44812032</v>
      </c>
      <c r="U85" s="220" t="n">
        <f aca="false">U78</f>
        <v>617323.33826304</v>
      </c>
      <c r="V85" s="220" t="n">
        <f aca="false">V78</f>
        <v>610820.228405759</v>
      </c>
      <c r="W85" s="220" t="n">
        <f aca="false">W78</f>
        <v>604317.11854848</v>
      </c>
      <c r="X85" s="219"/>
      <c r="Y85" s="219"/>
    </row>
    <row r="86" customFormat="false" ht="15" hidden="false" customHeight="false" outlineLevel="0" collapsed="false">
      <c r="B86" s="219" t="s">
        <v>77</v>
      </c>
      <c r="C86" s="219"/>
      <c r="D86" s="221" t="n">
        <f aca="false">-D67</f>
        <v>781865</v>
      </c>
      <c r="E86" s="221" t="n">
        <f aca="false">-E67</f>
        <v>781865</v>
      </c>
      <c r="F86" s="221" t="n">
        <f aca="false">-F67</f>
        <v>781865</v>
      </c>
      <c r="G86" s="221" t="n">
        <f aca="false">-G67</f>
        <v>781865</v>
      </c>
      <c r="H86" s="221" t="n">
        <f aca="false">-H67</f>
        <v>781865</v>
      </c>
      <c r="I86" s="221" t="n">
        <f aca="false">-I67</f>
        <v>781865</v>
      </c>
      <c r="J86" s="221" t="n">
        <f aca="false">-J67</f>
        <v>781865</v>
      </c>
      <c r="K86" s="221" t="n">
        <f aca="false">-K67</f>
        <v>781865</v>
      </c>
      <c r="L86" s="221" t="n">
        <f aca="false">-L67</f>
        <v>781865</v>
      </c>
      <c r="M86" s="221" t="n">
        <f aca="false">-M67</f>
        <v>781865</v>
      </c>
      <c r="N86" s="221" t="n">
        <f aca="false">-N67</f>
        <v>781865</v>
      </c>
      <c r="O86" s="221" t="n">
        <f aca="false">-O67</f>
        <v>781865</v>
      </c>
      <c r="P86" s="221" t="n">
        <f aca="false">-P67</f>
        <v>781865</v>
      </c>
      <c r="Q86" s="221" t="n">
        <f aca="false">-Q67</f>
        <v>781865</v>
      </c>
      <c r="R86" s="221" t="n">
        <f aca="false">-R67</f>
        <v>781865</v>
      </c>
      <c r="S86" s="221" t="n">
        <f aca="false">-S67</f>
        <v>781865</v>
      </c>
      <c r="T86" s="221" t="n">
        <f aca="false">-T67</f>
        <v>781865</v>
      </c>
      <c r="U86" s="221" t="n">
        <f aca="false">-U67</f>
        <v>781865</v>
      </c>
      <c r="V86" s="221" t="n">
        <f aca="false">-V67</f>
        <v>781865</v>
      </c>
      <c r="W86" s="221" t="n">
        <f aca="false">-W67</f>
        <v>781865</v>
      </c>
      <c r="X86" s="222"/>
      <c r="Y86" s="222"/>
    </row>
    <row r="87" customFormat="false" ht="15" hidden="false" customHeight="false" outlineLevel="0" collapsed="false">
      <c r="B87" s="219" t="s">
        <v>78</v>
      </c>
      <c r="C87" s="219"/>
      <c r="D87" s="223" t="n">
        <f aca="false">SUM(D85:D86)</f>
        <v>1509741.2058368</v>
      </c>
      <c r="E87" s="223" t="n">
        <f aca="false">SUM(E85:E86)</f>
        <v>1503238.09597952</v>
      </c>
      <c r="F87" s="223" t="n">
        <f aca="false">SUM(F85:F86)</f>
        <v>1496734.98612224</v>
      </c>
      <c r="G87" s="223" t="n">
        <f aca="false">SUM(G85:G86)</f>
        <v>1490231.87626496</v>
      </c>
      <c r="H87" s="223" t="n">
        <f aca="false">SUM(H85:H86)</f>
        <v>1483728.76640768</v>
      </c>
      <c r="I87" s="223" t="n">
        <f aca="false">SUM(I85:I86)</f>
        <v>1477225.6565504</v>
      </c>
      <c r="J87" s="223" t="n">
        <f aca="false">SUM(J85:J86)</f>
        <v>1470722.54669312</v>
      </c>
      <c r="K87" s="223" t="n">
        <f aca="false">SUM(K85:K86)</f>
        <v>1464219.43683584</v>
      </c>
      <c r="L87" s="223" t="n">
        <f aca="false">SUM(L85:L86)</f>
        <v>1457716.32697856</v>
      </c>
      <c r="M87" s="223" t="n">
        <f aca="false">SUM(M85:M86)</f>
        <v>1451213.21712128</v>
      </c>
      <c r="N87" s="223" t="n">
        <f aca="false">SUM(N85:N86)</f>
        <v>1444710.107264</v>
      </c>
      <c r="O87" s="223" t="n">
        <f aca="false">SUM(O85:O86)</f>
        <v>1438206.99740672</v>
      </c>
      <c r="P87" s="223" t="n">
        <f aca="false">SUM(P85:P86)</f>
        <v>1431703.88754944</v>
      </c>
      <c r="Q87" s="223" t="n">
        <f aca="false">SUM(Q85:Q86)</f>
        <v>1425200.77769216</v>
      </c>
      <c r="R87" s="223" t="n">
        <f aca="false">SUM(R85:R86)</f>
        <v>1418697.66783488</v>
      </c>
      <c r="S87" s="223" t="n">
        <f aca="false">SUM(S85:S86)</f>
        <v>1412194.5579776</v>
      </c>
      <c r="T87" s="223" t="n">
        <f aca="false">SUM(T85:T86)</f>
        <v>1405691.44812032</v>
      </c>
      <c r="U87" s="223" t="n">
        <f aca="false">SUM(U85:U86)</f>
        <v>1399188.33826304</v>
      </c>
      <c r="V87" s="223" t="n">
        <f aca="false">SUM(V85:V86)</f>
        <v>1392685.22840576</v>
      </c>
      <c r="W87" s="223" t="n">
        <f aca="false">SUM(W85:W86)</f>
        <v>1386182.11854848</v>
      </c>
      <c r="X87" s="192"/>
    </row>
    <row r="88" customFormat="false" ht="15" hidden="false" customHeight="false" outlineLevel="0" collapsed="false">
      <c r="B88" s="219"/>
      <c r="C88" s="219"/>
      <c r="D88" s="219"/>
      <c r="E88" s="219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191"/>
    </row>
    <row r="89" customFormat="false" ht="17.15" hidden="false" customHeight="false" outlineLevel="0" collapsed="false">
      <c r="B89" s="225" t="s">
        <v>79</v>
      </c>
      <c r="C89" s="226"/>
      <c r="D89" s="227" t="n">
        <f aca="false">C44</f>
        <v>-15637300</v>
      </c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8"/>
    </row>
    <row r="90" customFormat="false" ht="15" hidden="false" customHeight="false" outlineLevel="0" collapsed="false">
      <c r="B90" s="219"/>
      <c r="C90" s="219"/>
      <c r="D90" s="219"/>
      <c r="E90" s="219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191"/>
    </row>
    <row r="91" customFormat="false" ht="15" hidden="false" customHeight="false" outlineLevel="0" collapsed="false">
      <c r="B91" s="219"/>
      <c r="C91" s="219"/>
      <c r="D91" s="219"/>
      <c r="E91" s="219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191"/>
    </row>
    <row r="92" customFormat="false" ht="17.15" hidden="false" customHeight="false" outlineLevel="0" collapsed="false">
      <c r="B92" s="225" t="s">
        <v>80</v>
      </c>
      <c r="C92" s="226"/>
      <c r="D92" s="227" t="n">
        <f aca="false">-D89*D31</f>
        <v>12509840</v>
      </c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191"/>
    </row>
    <row r="93" customFormat="false" ht="17.15" hidden="false" customHeight="false" outlineLevel="0" collapsed="false">
      <c r="B93" s="219" t="s">
        <v>81</v>
      </c>
      <c r="C93" s="21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8"/>
    </row>
    <row r="94" customFormat="false" ht="17.15" hidden="false" customHeight="false" outlineLevel="0" collapsed="false">
      <c r="B94" s="219" t="s">
        <v>82</v>
      </c>
      <c r="C94" s="224"/>
      <c r="D94" s="220" t="n">
        <f aca="false">-D89*(1-D31)</f>
        <v>3127460</v>
      </c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192"/>
    </row>
    <row r="95" customFormat="false" ht="15" hidden="false" customHeight="false" outlineLevel="0" collapsed="false">
      <c r="B95" s="219" t="s">
        <v>45</v>
      </c>
      <c r="C95" s="224"/>
      <c r="D95" s="224"/>
      <c r="E95" s="230" t="n">
        <f aca="false">-D85*$D$33</f>
        <v>-655088.58525312</v>
      </c>
      <c r="F95" s="230" t="n">
        <f aca="false">-E85*$D$33</f>
        <v>-649235.786381568</v>
      </c>
      <c r="G95" s="230" t="n">
        <f aca="false">-F85*$D$33</f>
        <v>-643382.987510016</v>
      </c>
      <c r="H95" s="230" t="n">
        <f aca="false">-G85*$D$33</f>
        <v>-637530.188638464</v>
      </c>
      <c r="I95" s="230" t="n">
        <f aca="false">-H85*$D$33</f>
        <v>-631677.389766912</v>
      </c>
      <c r="J95" s="230" t="n">
        <f aca="false">-I85*$D$33</f>
        <v>-625824.59089536</v>
      </c>
      <c r="K95" s="230" t="n">
        <f aca="false">-J85*$D$33</f>
        <v>-619971.792023808</v>
      </c>
      <c r="L95" s="230" t="n">
        <f aca="false">-K85*$D$33</f>
        <v>-614118.993152256</v>
      </c>
      <c r="M95" s="230" t="n">
        <f aca="false">-L85*$D$33</f>
        <v>-608266.194280704</v>
      </c>
      <c r="N95" s="230" t="n">
        <f aca="false">-M85*$D$33</f>
        <v>-602413.395409152</v>
      </c>
      <c r="O95" s="230" t="n">
        <f aca="false">-N85*$D$33</f>
        <v>-596560.5965376</v>
      </c>
      <c r="P95" s="230" t="n">
        <f aca="false">-O85*$D$33</f>
        <v>-590707.797666048</v>
      </c>
      <c r="Q95" s="230" t="n">
        <f aca="false">-P85*$D$33</f>
        <v>-584854.998794496</v>
      </c>
      <c r="R95" s="230" t="n">
        <f aca="false">-Q85*$D$33</f>
        <v>-579002.199922944</v>
      </c>
      <c r="S95" s="230" t="n">
        <f aca="false">-R85*$D$33</f>
        <v>-573149.401051392</v>
      </c>
      <c r="T95" s="230" t="n">
        <f aca="false">-S85*$D$33</f>
        <v>-567296.60217984</v>
      </c>
      <c r="U95" s="230" t="n">
        <f aca="false">-T85*$D$33</f>
        <v>-561443.803308288</v>
      </c>
      <c r="V95" s="230" t="n">
        <f aca="false">-U85*$D$33</f>
        <v>-555591.004436736</v>
      </c>
      <c r="W95" s="230" t="n">
        <f aca="false">-V85*$D$33</f>
        <v>-549738.205565184</v>
      </c>
      <c r="X95" s="230" t="n">
        <f aca="false">-W85*$D$33</f>
        <v>-543885.406693632</v>
      </c>
    </row>
    <row r="96" customFormat="false" ht="15" hidden="false" customHeight="false" outlineLevel="0" collapsed="false">
      <c r="B96" s="231" t="s">
        <v>47</v>
      </c>
      <c r="C96" s="232"/>
      <c r="D96" s="232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4" t="n">
        <f aca="false">-W101-X95</f>
        <v>-16969493.3243853</v>
      </c>
    </row>
    <row r="97" customFormat="false" ht="15" hidden="false" customHeight="false" outlineLevel="0" collapsed="false"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192"/>
    </row>
    <row r="98" customFormat="false" ht="15" hidden="false" customHeight="false" outlineLevel="0" collapsed="false"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192"/>
    </row>
    <row r="99" customFormat="false" ht="17.15" hidden="false" customHeight="false" outlineLevel="0" collapsed="false">
      <c r="B99" s="219" t="s">
        <v>83</v>
      </c>
      <c r="C99" s="220" t="n">
        <v>0</v>
      </c>
      <c r="D99" s="220" t="n">
        <f aca="false">SUM(D87:D96)</f>
        <v>1509741.2058368</v>
      </c>
      <c r="E99" s="220" t="n">
        <f aca="false">SUM(E87:E96)</f>
        <v>848149.5107264</v>
      </c>
      <c r="F99" s="220" t="n">
        <f aca="false">SUM(F87:F96)</f>
        <v>847499.199740672</v>
      </c>
      <c r="G99" s="220" t="n">
        <f aca="false">SUM(G87:G96)</f>
        <v>846848.888754944</v>
      </c>
      <c r="H99" s="220" t="n">
        <f aca="false">SUM(H87:H96)</f>
        <v>846198.577769216</v>
      </c>
      <c r="I99" s="220" t="n">
        <f aca="false">SUM(I87:I96)</f>
        <v>845548.266783488</v>
      </c>
      <c r="J99" s="220" t="n">
        <f aca="false">SUM(J87:J96)</f>
        <v>844897.955797761</v>
      </c>
      <c r="K99" s="220" t="n">
        <f aca="false">SUM(K87:K96)</f>
        <v>844247.644812032</v>
      </c>
      <c r="L99" s="220" t="n">
        <f aca="false">SUM(L87:L96)</f>
        <v>843597.333826304</v>
      </c>
      <c r="M99" s="220" t="n">
        <f aca="false">SUM(M87:M96)</f>
        <v>842947.022840576</v>
      </c>
      <c r="N99" s="220" t="n">
        <f aca="false">SUM(N87:N96)</f>
        <v>842296.711854848</v>
      </c>
      <c r="O99" s="220" t="n">
        <f aca="false">SUM(O87:O96)</f>
        <v>841646.40086912</v>
      </c>
      <c r="P99" s="220" t="n">
        <f aca="false">SUM(P87:P96)</f>
        <v>840996.089883392</v>
      </c>
      <c r="Q99" s="220" t="n">
        <f aca="false">SUM(Q87:Q96)</f>
        <v>840345.778897664</v>
      </c>
      <c r="R99" s="220" t="n">
        <f aca="false">SUM(R87:R96)</f>
        <v>839695.467911936</v>
      </c>
      <c r="S99" s="220" t="n">
        <f aca="false">SUM(S87:S96)</f>
        <v>839045.156926208</v>
      </c>
      <c r="T99" s="220" t="n">
        <f aca="false">SUM(T87:T96)</f>
        <v>838394.84594048</v>
      </c>
      <c r="U99" s="220" t="n">
        <f aca="false">SUM(U87:U96)</f>
        <v>837744.534954752</v>
      </c>
      <c r="V99" s="220" t="n">
        <f aca="false">SUM(V87:V96)</f>
        <v>837094.223969024</v>
      </c>
      <c r="W99" s="220" t="n">
        <f aca="false">SUM(W87:W96)</f>
        <v>836443.912983296</v>
      </c>
      <c r="X99" s="192"/>
    </row>
    <row r="100" customFormat="false" ht="15" hidden="false" customHeight="false" outlineLevel="0" collapsed="false">
      <c r="B100" s="219" t="s">
        <v>84</v>
      </c>
      <c r="C100" s="220" t="n">
        <v>0</v>
      </c>
      <c r="D100" s="220" t="n">
        <f aca="false">C101</f>
        <v>0</v>
      </c>
      <c r="E100" s="220" t="n">
        <f aca="false">D101</f>
        <v>1509741.2058368</v>
      </c>
      <c r="F100" s="220" t="n">
        <f aca="false">E101</f>
        <v>2357890.7165632</v>
      </c>
      <c r="G100" s="220" t="n">
        <f aca="false">F101</f>
        <v>3205389.91630387</v>
      </c>
      <c r="H100" s="220" t="n">
        <f aca="false">G101</f>
        <v>4052238.80505882</v>
      </c>
      <c r="I100" s="220" t="n">
        <f aca="false">H101</f>
        <v>4898437.38282803</v>
      </c>
      <c r="J100" s="220" t="n">
        <f aca="false">I101</f>
        <v>5743985.64961152</v>
      </c>
      <c r="K100" s="220" t="n">
        <f aca="false">J101</f>
        <v>6588883.60540928</v>
      </c>
      <c r="L100" s="220" t="n">
        <f aca="false">K101</f>
        <v>7433131.25022131</v>
      </c>
      <c r="M100" s="220" t="n">
        <f aca="false">L101</f>
        <v>8276728.58404762</v>
      </c>
      <c r="N100" s="220" t="n">
        <f aca="false">M101</f>
        <v>9119675.60688819</v>
      </c>
      <c r="O100" s="220" t="n">
        <f aca="false">N101</f>
        <v>9961972.31874304</v>
      </c>
      <c r="P100" s="220" t="n">
        <f aca="false">O101</f>
        <v>10803618.7196122</v>
      </c>
      <c r="Q100" s="220" t="n">
        <f aca="false">P101</f>
        <v>11644614.8094956</v>
      </c>
      <c r="R100" s="220" t="n">
        <f aca="false">Q101</f>
        <v>12484960.5883932</v>
      </c>
      <c r="S100" s="220" t="n">
        <f aca="false">R101</f>
        <v>13324656.0563052</v>
      </c>
      <c r="T100" s="220" t="n">
        <f aca="false">S101</f>
        <v>14163701.2132314</v>
      </c>
      <c r="U100" s="220" t="n">
        <f aca="false">T101</f>
        <v>15002096.0591718</v>
      </c>
      <c r="V100" s="220" t="n">
        <f aca="false">U101</f>
        <v>15839840.5941266</v>
      </c>
      <c r="W100" s="220" t="n">
        <f aca="false">V101</f>
        <v>16676934.8180956</v>
      </c>
      <c r="X100" s="191"/>
    </row>
    <row r="101" customFormat="false" ht="15" hidden="false" customHeight="false" outlineLevel="0" collapsed="false">
      <c r="B101" s="219" t="s">
        <v>85</v>
      </c>
      <c r="C101" s="220" t="n">
        <v>0</v>
      </c>
      <c r="D101" s="220" t="n">
        <f aca="false">D99+D100</f>
        <v>1509741.2058368</v>
      </c>
      <c r="E101" s="220" t="n">
        <f aca="false">E99+E100</f>
        <v>2357890.7165632</v>
      </c>
      <c r="F101" s="220" t="n">
        <f aca="false">F99+F100</f>
        <v>3205389.91630387</v>
      </c>
      <c r="G101" s="220" t="n">
        <f aca="false">G99+G100</f>
        <v>4052238.80505882</v>
      </c>
      <c r="H101" s="220" t="n">
        <f aca="false">H99+H100</f>
        <v>4898437.38282803</v>
      </c>
      <c r="I101" s="220" t="n">
        <f aca="false">I99+I100</f>
        <v>5743985.64961152</v>
      </c>
      <c r="J101" s="220" t="n">
        <f aca="false">J99+J100</f>
        <v>6588883.60540928</v>
      </c>
      <c r="K101" s="220" t="n">
        <f aca="false">K99+K100</f>
        <v>7433131.25022131</v>
      </c>
      <c r="L101" s="220" t="n">
        <f aca="false">L99+L100</f>
        <v>8276728.58404762</v>
      </c>
      <c r="M101" s="220" t="n">
        <f aca="false">M99+M100</f>
        <v>9119675.60688819</v>
      </c>
      <c r="N101" s="220" t="n">
        <f aca="false">N99+N100</f>
        <v>9961972.31874304</v>
      </c>
      <c r="O101" s="220" t="n">
        <f aca="false">O99+O100</f>
        <v>10803618.7196122</v>
      </c>
      <c r="P101" s="220" t="n">
        <f aca="false">P99+P100</f>
        <v>11644614.8094956</v>
      </c>
      <c r="Q101" s="220" t="n">
        <f aca="false">Q99+Q100</f>
        <v>12484960.5883932</v>
      </c>
      <c r="R101" s="220" t="n">
        <f aca="false">R99+R100</f>
        <v>13324656.0563052</v>
      </c>
      <c r="S101" s="220" t="n">
        <f aca="false">S99+S100</f>
        <v>14163701.2132314</v>
      </c>
      <c r="T101" s="220" t="n">
        <f aca="false">T99+T100</f>
        <v>15002096.0591718</v>
      </c>
      <c r="U101" s="220" t="n">
        <f aca="false">U99+U100</f>
        <v>15839840.5941266</v>
      </c>
      <c r="V101" s="220" t="n">
        <f aca="false">V99+V100</f>
        <v>16676934.8180956</v>
      </c>
      <c r="W101" s="220" t="n">
        <f aca="false">W99+W100</f>
        <v>17513378.7310789</v>
      </c>
      <c r="X101" s="191"/>
    </row>
    <row r="102" customFormat="false" ht="15" hidden="false" customHeight="false" outlineLevel="0" collapsed="false"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</row>
    <row r="103" customFormat="false" ht="15" hidden="false" customHeight="false" outlineLevel="0" collapsed="false">
      <c r="B103" s="219"/>
      <c r="C103" s="219"/>
      <c r="D103" s="219"/>
      <c r="E103" s="219"/>
      <c r="F103" s="224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</row>
    <row r="104" customFormat="false" ht="15" hidden="false" customHeight="false" outlineLevel="0" collapsed="false">
      <c r="B104" s="235" t="s">
        <v>86</v>
      </c>
      <c r="C104" s="236"/>
      <c r="D104" s="237" t="n">
        <f aca="false">-D94</f>
        <v>-3127460</v>
      </c>
      <c r="E104" s="223" t="n">
        <f aca="false">-E95-E96</f>
        <v>655088.58525312</v>
      </c>
      <c r="F104" s="223" t="n">
        <f aca="false">-F95-F96</f>
        <v>649235.786381568</v>
      </c>
      <c r="G104" s="223" t="n">
        <f aca="false">-G95-G96</f>
        <v>643382.987510016</v>
      </c>
      <c r="H104" s="223" t="n">
        <f aca="false">-H95-H96</f>
        <v>637530.188638464</v>
      </c>
      <c r="I104" s="223" t="n">
        <f aca="false">-I95-I96</f>
        <v>631677.389766912</v>
      </c>
      <c r="J104" s="223" t="n">
        <f aca="false">-J95-J96</f>
        <v>625824.59089536</v>
      </c>
      <c r="K104" s="223" t="n">
        <f aca="false">-K95-K96</f>
        <v>619971.792023808</v>
      </c>
      <c r="L104" s="223" t="n">
        <f aca="false">-L95-L96</f>
        <v>614118.993152256</v>
      </c>
      <c r="M104" s="223" t="n">
        <f aca="false">-M95-M96</f>
        <v>608266.194280704</v>
      </c>
      <c r="N104" s="223" t="n">
        <f aca="false">-N95-N96</f>
        <v>602413.395409152</v>
      </c>
      <c r="O104" s="223" t="n">
        <f aca="false">-O95-O96</f>
        <v>596560.5965376</v>
      </c>
      <c r="P104" s="223" t="n">
        <f aca="false">-P95-P96</f>
        <v>590707.797666048</v>
      </c>
      <c r="Q104" s="223" t="n">
        <f aca="false">-Q95-Q96</f>
        <v>584854.998794496</v>
      </c>
      <c r="R104" s="223" t="n">
        <f aca="false">-R95-R96</f>
        <v>579002.199922944</v>
      </c>
      <c r="S104" s="223" t="n">
        <f aca="false">-S95-S96</f>
        <v>573149.401051392</v>
      </c>
      <c r="T104" s="223" t="n">
        <f aca="false">-T95-T96</f>
        <v>567296.60217984</v>
      </c>
      <c r="U104" s="223" t="n">
        <f aca="false">-U95-U96</f>
        <v>561443.803308288</v>
      </c>
      <c r="V104" s="223" t="n">
        <f aca="false">-V95-V96</f>
        <v>555591.004436736</v>
      </c>
      <c r="W104" s="223" t="n">
        <f aca="false">-W95-W96</f>
        <v>549738.205565184</v>
      </c>
      <c r="X104" s="223" t="n">
        <f aca="false">-X95-X96</f>
        <v>17513378.7310789</v>
      </c>
    </row>
    <row r="105" customFormat="false" ht="17.15" hidden="false" customHeight="false" outlineLevel="0" collapsed="false">
      <c r="B105" s="219" t="s">
        <v>87</v>
      </c>
      <c r="C105" s="238" t="n">
        <f aca="false">IRR(D104:X104)</f>
        <v>0.220224483246705</v>
      </c>
      <c r="D105" s="224"/>
      <c r="E105" s="224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</row>
    <row r="106" customFormat="false" ht="15" hidden="false" customHeight="false" outlineLevel="0" collapsed="false">
      <c r="B106" s="235" t="s">
        <v>88</v>
      </c>
      <c r="C106" s="236"/>
      <c r="D106" s="237" t="n">
        <f aca="false">D85-D94</f>
        <v>-2399583.7941632</v>
      </c>
      <c r="E106" s="223" t="n">
        <f aca="false">E85</f>
        <v>721373.09597952</v>
      </c>
      <c r="F106" s="223" t="n">
        <f aca="false">F85-F96</f>
        <v>714869.98612224</v>
      </c>
      <c r="G106" s="223" t="n">
        <f aca="false">G85-G96</f>
        <v>708366.87626496</v>
      </c>
      <c r="H106" s="223" t="n">
        <f aca="false">H85-H96</f>
        <v>701863.76640768</v>
      </c>
      <c r="I106" s="223" t="n">
        <f aca="false">I85-I96</f>
        <v>695360.6565504</v>
      </c>
      <c r="J106" s="223" t="n">
        <f aca="false">J85-J96</f>
        <v>688857.54669312</v>
      </c>
      <c r="K106" s="223" t="n">
        <f aca="false">K85-K96</f>
        <v>682354.43683584</v>
      </c>
      <c r="L106" s="223" t="n">
        <f aca="false">L85-L96</f>
        <v>675851.32697856</v>
      </c>
      <c r="M106" s="223" t="n">
        <f aca="false">M85-M96</f>
        <v>669348.21712128</v>
      </c>
      <c r="N106" s="223" t="n">
        <f aca="false">N85-N96</f>
        <v>662845.107264</v>
      </c>
      <c r="O106" s="223" t="n">
        <f aca="false">O85-O96</f>
        <v>656341.99740672</v>
      </c>
      <c r="P106" s="223" t="n">
        <f aca="false">P85-P96</f>
        <v>649838.88754944</v>
      </c>
      <c r="Q106" s="223" t="n">
        <f aca="false">Q85-Q96</f>
        <v>643335.77769216</v>
      </c>
      <c r="R106" s="223" t="n">
        <f aca="false">R85-R96</f>
        <v>636832.66783488</v>
      </c>
      <c r="S106" s="223" t="n">
        <f aca="false">S85-S96</f>
        <v>630329.5579776</v>
      </c>
      <c r="T106" s="223" t="n">
        <f aca="false">T85-T96</f>
        <v>623826.44812032</v>
      </c>
      <c r="U106" s="223" t="n">
        <f aca="false">U85-U96</f>
        <v>617323.33826304</v>
      </c>
      <c r="V106" s="223" t="n">
        <f aca="false">V85-V96</f>
        <v>610820.228405759</v>
      </c>
      <c r="W106" s="223" t="n">
        <f aca="false">W85-W96</f>
        <v>604317.11854848</v>
      </c>
      <c r="X106" s="228"/>
    </row>
    <row r="107" customFormat="false" ht="17.15" hidden="false" customHeight="false" outlineLevel="0" collapsed="false">
      <c r="B107" s="235" t="s">
        <v>89</v>
      </c>
      <c r="C107" s="239" t="n">
        <f aca="false">IRR(D106:W106)</f>
        <v>0.289339958016354</v>
      </c>
      <c r="D107" s="224"/>
      <c r="E107" s="224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</row>
    <row r="108" customFormat="false" ht="15" hidden="false" customHeight="false" outlineLevel="0" collapsed="false"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</row>
    <row r="109" customFormat="false" ht="15" hidden="false" customHeight="false" outlineLevel="0" collapsed="false">
      <c r="B109" s="219" t="s">
        <v>90</v>
      </c>
      <c r="C109" s="220" t="n">
        <v>0</v>
      </c>
      <c r="D109" s="220" t="n">
        <f aca="false">D92</f>
        <v>12509840</v>
      </c>
      <c r="E109" s="220" t="n">
        <f aca="false">D109+E93</f>
        <v>12509840</v>
      </c>
      <c r="F109" s="220" t="n">
        <f aca="false">E109+F93</f>
        <v>12509840</v>
      </c>
      <c r="G109" s="220" t="n">
        <f aca="false">F109+G93</f>
        <v>12509840</v>
      </c>
      <c r="H109" s="220" t="n">
        <f aca="false">G109+H93</f>
        <v>12509840</v>
      </c>
      <c r="I109" s="220" t="n">
        <f aca="false">H109+I93</f>
        <v>12509840</v>
      </c>
      <c r="J109" s="220" t="n">
        <f aca="false">I109+J93</f>
        <v>12509840</v>
      </c>
      <c r="K109" s="220" t="n">
        <f aca="false">J109+K93</f>
        <v>12509840</v>
      </c>
      <c r="L109" s="220" t="n">
        <f aca="false">K109+L93</f>
        <v>12509840</v>
      </c>
      <c r="M109" s="220" t="n">
        <f aca="false">L109+M93</f>
        <v>12509840</v>
      </c>
      <c r="N109" s="220" t="n">
        <f aca="false">M109+N93</f>
        <v>12509840</v>
      </c>
      <c r="O109" s="220" t="n">
        <f aca="false">N109+O93</f>
        <v>12509840</v>
      </c>
      <c r="P109" s="220" t="n">
        <f aca="false">O109+P93</f>
        <v>12509840</v>
      </c>
      <c r="Q109" s="220" t="n">
        <f aca="false">P109+Q93</f>
        <v>12509840</v>
      </c>
      <c r="R109" s="220" t="n">
        <f aca="false">Q109+R93</f>
        <v>12509840</v>
      </c>
      <c r="S109" s="220" t="n">
        <f aca="false">R109+S93</f>
        <v>12509840</v>
      </c>
      <c r="T109" s="220" t="n">
        <f aca="false">S109+T93</f>
        <v>12509840</v>
      </c>
      <c r="U109" s="220" t="n">
        <f aca="false">T109+U93</f>
        <v>12509840</v>
      </c>
      <c r="V109" s="220" t="n">
        <f aca="false">U109+V93</f>
        <v>12509840</v>
      </c>
      <c r="W109" s="220" t="n">
        <f aca="false">V109+W93</f>
        <v>12509840</v>
      </c>
      <c r="X109" s="224"/>
    </row>
    <row r="111" customFormat="false" ht="15" hidden="false" customHeight="false" outlineLevel="0" collapsed="false">
      <c r="B111" s="240"/>
    </row>
    <row r="112" customFormat="false" ht="16.5" hidden="false" customHeight="true" outlineLevel="0" collapsed="false">
      <c r="G112" s="2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24" t="s">
        <v>0</v>
      </c>
      <c r="C1" s="125"/>
      <c r="D1" s="125"/>
      <c r="E1" s="126"/>
      <c r="P1" s="127" t="n">
        <f aca="false">1-D11</f>
        <v>0.99</v>
      </c>
      <c r="Q1" s="127" t="n">
        <f aca="false">P1-$D12</f>
        <v>0.986</v>
      </c>
      <c r="R1" s="127" t="n">
        <f aca="false">Q1-$D12</f>
        <v>0.982</v>
      </c>
      <c r="S1" s="127" t="n">
        <f aca="false">R1-$D12</f>
        <v>0.978</v>
      </c>
      <c r="T1" s="127" t="n">
        <f aca="false">S1-$D12</f>
        <v>0.974</v>
      </c>
      <c r="U1" s="127" t="n">
        <f aca="false">T1-$D12</f>
        <v>0.97</v>
      </c>
      <c r="V1" s="127" t="n">
        <f aca="false">U1-$D12</f>
        <v>0.966</v>
      </c>
      <c r="W1" s="127" t="n">
        <f aca="false">V1-$D12</f>
        <v>0.962</v>
      </c>
      <c r="X1" s="127" t="n">
        <f aca="false">W1-$D12</f>
        <v>0.958</v>
      </c>
      <c r="Y1" s="127" t="n">
        <f aca="false">X1-$D12</f>
        <v>0.954</v>
      </c>
      <c r="Z1" s="127" t="n">
        <f aca="false">Y1-$D12</f>
        <v>0.95</v>
      </c>
      <c r="AA1" s="127" t="n">
        <f aca="false">Z1-$D12</f>
        <v>0.946</v>
      </c>
      <c r="AB1" s="127" t="n">
        <f aca="false">AA1-$D12</f>
        <v>0.942</v>
      </c>
      <c r="AC1" s="127" t="n">
        <f aca="false">AB1-$D12</f>
        <v>0.938</v>
      </c>
      <c r="AD1" s="127" t="n">
        <f aca="false">AC1-$D12</f>
        <v>0.934</v>
      </c>
      <c r="AE1" s="127" t="n">
        <f aca="false">AD1-$D12</f>
        <v>0.93</v>
      </c>
      <c r="AF1" s="127" t="n">
        <f aca="false">AE1-$D12</f>
        <v>0.926</v>
      </c>
      <c r="AG1" s="127" t="n">
        <f aca="false">AF1-$D12</f>
        <v>0.922</v>
      </c>
      <c r="AH1" s="127" t="n">
        <f aca="false">AG1-$D12</f>
        <v>0.918</v>
      </c>
      <c r="AI1" s="127" t="n">
        <f aca="false">AH1-$D12</f>
        <v>0.914</v>
      </c>
    </row>
    <row r="2" customFormat="false" ht="21.75" hidden="false" customHeight="true" outlineLevel="0" collapsed="false">
      <c r="B2" s="128" t="s">
        <v>1</v>
      </c>
      <c r="C2" s="129" t="s">
        <v>105</v>
      </c>
      <c r="D2" s="130" t="s">
        <v>3</v>
      </c>
      <c r="E2" s="130" t="s">
        <v>3</v>
      </c>
    </row>
    <row r="3" customFormat="false" ht="21.75" hidden="false" customHeight="true" outlineLevel="0" collapsed="false">
      <c r="B3" s="131" t="s">
        <v>4</v>
      </c>
      <c r="C3" s="134" t="n">
        <v>20</v>
      </c>
      <c r="D3" s="133" t="s">
        <v>3</v>
      </c>
      <c r="E3" s="133" t="s">
        <v>3</v>
      </c>
    </row>
    <row r="4" customFormat="false" ht="21.75" hidden="false" customHeight="true" outlineLevel="0" collapsed="false">
      <c r="B4" s="131" t="s">
        <v>5</v>
      </c>
      <c r="C4" s="134" t="n">
        <v>436.1</v>
      </c>
      <c r="D4" s="133" t="s">
        <v>3</v>
      </c>
      <c r="E4" s="133" t="s">
        <v>3</v>
      </c>
      <c r="M4" s="0" t="s">
        <v>152</v>
      </c>
    </row>
    <row r="5" customFormat="false" ht="22.5" hidden="false" customHeight="true" outlineLevel="0" collapsed="false">
      <c r="B5" s="134" t="s">
        <v>6</v>
      </c>
      <c r="C5" s="134" t="n">
        <v>2020</v>
      </c>
      <c r="D5" s="134" t="s">
        <v>7</v>
      </c>
      <c r="E5" s="134" t="n">
        <v>2039</v>
      </c>
      <c r="M5" s="0" t="s">
        <v>153</v>
      </c>
    </row>
    <row r="6" customFormat="false" ht="20.25" hidden="false" customHeight="true" outlineLevel="0" collapsed="false">
      <c r="B6" s="135"/>
      <c r="C6" s="135"/>
      <c r="D6" s="135"/>
      <c r="E6" s="135"/>
      <c r="M6" s="0" t="s">
        <v>154</v>
      </c>
    </row>
    <row r="7" customFormat="false" ht="22.5" hidden="false" customHeight="true" outlineLevel="0" collapsed="false">
      <c r="B7" s="136" t="s">
        <v>8</v>
      </c>
      <c r="C7" s="125"/>
      <c r="D7" s="125"/>
      <c r="E7" s="126"/>
      <c r="M7" s="0" t="s">
        <v>155</v>
      </c>
    </row>
    <row r="8" customFormat="false" ht="22.5" hidden="false" customHeight="true" outlineLevel="0" collapsed="false">
      <c r="B8" s="137" t="s">
        <v>9</v>
      </c>
      <c r="C8" s="138"/>
      <c r="D8" s="138"/>
      <c r="E8" s="139"/>
      <c r="M8" s="0" t="s">
        <v>156</v>
      </c>
    </row>
    <row r="9" customFormat="false" ht="22.5" hidden="false" customHeight="true" outlineLevel="0" collapsed="false">
      <c r="B9" s="140" t="s">
        <v>10</v>
      </c>
      <c r="C9" s="141" t="s">
        <v>11</v>
      </c>
      <c r="D9" s="141" t="s">
        <v>12</v>
      </c>
      <c r="E9" s="142" t="s">
        <v>13</v>
      </c>
      <c r="M9" s="0" t="s">
        <v>111</v>
      </c>
    </row>
    <row r="10" customFormat="false" ht="21.75" hidden="false" customHeight="true" outlineLevel="0" collapsed="false">
      <c r="B10" s="143" t="s">
        <v>14</v>
      </c>
      <c r="C10" s="129" t="s">
        <v>112</v>
      </c>
      <c r="D10" s="129" t="n">
        <v>547002</v>
      </c>
      <c r="E10" s="143" t="n">
        <v>20</v>
      </c>
      <c r="M10" s="0" t="s">
        <v>104</v>
      </c>
    </row>
    <row r="11" customFormat="false" ht="21.75" hidden="false" customHeight="true" outlineLevel="0" collapsed="false">
      <c r="B11" s="144"/>
      <c r="C11" s="134" t="s">
        <v>16</v>
      </c>
      <c r="D11" s="134" t="n">
        <v>0.01</v>
      </c>
      <c r="E11" s="144"/>
    </row>
    <row r="12" customFormat="false" ht="21.75" hidden="false" customHeight="true" outlineLevel="0" collapsed="false">
      <c r="B12" s="144"/>
      <c r="C12" s="134" t="s">
        <v>17</v>
      </c>
      <c r="D12" s="134" t="n">
        <v>0.004</v>
      </c>
      <c r="E12" s="144"/>
    </row>
    <row r="13" customFormat="false" ht="22.5" hidden="false" customHeight="true" outlineLevel="0" collapsed="false">
      <c r="B13" s="144"/>
      <c r="C13" s="145" t="s">
        <v>114</v>
      </c>
      <c r="D13" s="145" t="n">
        <v>3.7152</v>
      </c>
      <c r="E13" s="144"/>
    </row>
    <row r="14" customFormat="false" ht="22.5" hidden="false" customHeight="true" outlineLevel="0" collapsed="false">
      <c r="B14" s="146" t="s">
        <v>19</v>
      </c>
      <c r="C14" s="125"/>
      <c r="D14" s="125"/>
      <c r="E14" s="126"/>
    </row>
    <row r="15" customFormat="false" ht="22.5" hidden="false" customHeight="true" outlineLevel="0" collapsed="false">
      <c r="B15" s="140" t="s">
        <v>10</v>
      </c>
      <c r="C15" s="141" t="s">
        <v>11</v>
      </c>
      <c r="D15" s="141" t="s">
        <v>12</v>
      </c>
      <c r="E15" s="147" t="s">
        <v>20</v>
      </c>
    </row>
    <row r="16" customFormat="false" ht="21.75" hidden="false" customHeight="true" outlineLevel="0" collapsed="false">
      <c r="B16" s="148" t="s">
        <v>115</v>
      </c>
      <c r="C16" s="128" t="s">
        <v>22</v>
      </c>
      <c r="D16" s="129" t="n">
        <v>21000</v>
      </c>
      <c r="E16" s="149" t="n">
        <v>20</v>
      </c>
    </row>
    <row r="17" customFormat="false" ht="21.75" hidden="false" customHeight="true" outlineLevel="0" collapsed="false">
      <c r="B17" s="144"/>
      <c r="C17" s="134" t="s">
        <v>23</v>
      </c>
      <c r="D17" s="134" t="n">
        <v>0.3</v>
      </c>
      <c r="E17" s="144"/>
    </row>
    <row r="18" customFormat="false" ht="21.75" hidden="false" customHeight="true" outlineLevel="0" collapsed="false">
      <c r="B18" s="150"/>
      <c r="C18" s="134" t="s">
        <v>24</v>
      </c>
      <c r="D18" s="134" t="n">
        <v>3000</v>
      </c>
      <c r="E18" s="150"/>
    </row>
    <row r="19" customFormat="false" ht="54" hidden="false" customHeight="true" outlineLevel="0" collapsed="false">
      <c r="B19" s="151" t="s">
        <v>25</v>
      </c>
      <c r="C19" s="152" t="s">
        <v>26</v>
      </c>
      <c r="D19" s="134" t="n">
        <v>2</v>
      </c>
      <c r="E19" s="130" t="n">
        <v>0</v>
      </c>
    </row>
    <row r="20" customFormat="false" ht="20.25" hidden="false" customHeight="true" outlineLevel="0" collapsed="false">
      <c r="B20" s="144"/>
      <c r="C20" s="153" t="s">
        <v>116</v>
      </c>
      <c r="D20" s="134" t="n">
        <v>0</v>
      </c>
      <c r="E20" s="130" t="n">
        <v>20</v>
      </c>
    </row>
    <row r="21" customFormat="false" ht="21.75" hidden="false" customHeight="true" outlineLevel="0" collapsed="false">
      <c r="B21" s="150"/>
      <c r="C21" s="134" t="s">
        <v>117</v>
      </c>
      <c r="D21" s="134" t="n">
        <v>0.3</v>
      </c>
      <c r="E21" s="133" t="n">
        <v>0</v>
      </c>
    </row>
    <row r="22" customFormat="false" ht="21.75" hidden="false" customHeight="true" outlineLevel="0" collapsed="false">
      <c r="B22" s="134" t="s">
        <v>29</v>
      </c>
      <c r="C22" s="134" t="s">
        <v>118</v>
      </c>
      <c r="D22" s="134" t="n">
        <v>400</v>
      </c>
      <c r="E22" s="133" t="n">
        <v>20</v>
      </c>
    </row>
    <row r="23" customFormat="false" ht="21.75" hidden="false" customHeight="true" outlineLevel="0" collapsed="false">
      <c r="B23" s="134" t="s">
        <v>31</v>
      </c>
      <c r="C23" s="131" t="s">
        <v>32</v>
      </c>
      <c r="D23" s="134" t="n">
        <v>0.003</v>
      </c>
      <c r="E23" s="133" t="n">
        <v>20</v>
      </c>
    </row>
    <row r="24" customFormat="false" ht="21.75" hidden="false" customHeight="true" outlineLevel="0" collapsed="false">
      <c r="B24" s="134" t="s">
        <v>33</v>
      </c>
      <c r="C24" s="134" t="s">
        <v>119</v>
      </c>
      <c r="D24" s="134" t="n">
        <v>1000</v>
      </c>
      <c r="E24" s="133" t="n">
        <v>10</v>
      </c>
    </row>
    <row r="25" customFormat="false" ht="21.75" hidden="false" customHeight="true" outlineLevel="0" collapsed="false">
      <c r="B25" s="134" t="s">
        <v>35</v>
      </c>
      <c r="C25" s="134" t="s">
        <v>36</v>
      </c>
      <c r="D25" s="134" t="n">
        <v>0.025595</v>
      </c>
      <c r="E25" s="133" t="n">
        <v>0</v>
      </c>
    </row>
    <row r="26" customFormat="false" ht="22.5" hidden="false" customHeight="true" outlineLevel="0" collapsed="false">
      <c r="B26" s="134" t="s">
        <v>37</v>
      </c>
      <c r="C26" s="134" t="s">
        <v>38</v>
      </c>
      <c r="D26" s="134" t="n">
        <v>0.2</v>
      </c>
      <c r="E26" s="133" t="n">
        <v>0</v>
      </c>
    </row>
    <row r="27" customFormat="false" ht="20.25" hidden="false" customHeight="true" outlineLevel="0" collapsed="false">
      <c r="B27" s="135"/>
      <c r="C27" s="135"/>
      <c r="D27" s="135"/>
      <c r="E27" s="135"/>
    </row>
    <row r="28" customFormat="false" ht="20.25" hidden="false" customHeight="true" outlineLevel="0" collapsed="false">
      <c r="B28" s="135"/>
      <c r="C28" s="135"/>
      <c r="D28" s="135"/>
      <c r="E28" s="135"/>
    </row>
    <row r="29" customFormat="false" ht="22.5" hidden="false" customHeight="true" outlineLevel="0" collapsed="false">
      <c r="B29" s="136" t="s">
        <v>39</v>
      </c>
      <c r="C29" s="125"/>
      <c r="D29" s="126"/>
      <c r="E29" s="135"/>
    </row>
    <row r="30" customFormat="false" ht="22.5" hidden="false" customHeight="true" outlineLevel="0" collapsed="false">
      <c r="B30" s="140" t="s">
        <v>40</v>
      </c>
      <c r="C30" s="141" t="s">
        <v>11</v>
      </c>
      <c r="D30" s="147" t="s">
        <v>12</v>
      </c>
      <c r="E30" s="135"/>
    </row>
    <row r="31" customFormat="false" ht="18.75" hidden="false" customHeight="true" outlineLevel="0" collapsed="false">
      <c r="B31" s="128" t="s">
        <v>41</v>
      </c>
      <c r="C31" s="128" t="s">
        <v>42</v>
      </c>
      <c r="D31" s="129" t="n">
        <v>0.8</v>
      </c>
      <c r="E31" s="135"/>
    </row>
    <row r="32" customFormat="false" ht="18.75" hidden="false" customHeight="true" outlineLevel="0" collapsed="false">
      <c r="B32" s="129" t="s">
        <v>43</v>
      </c>
      <c r="C32" s="129" t="s">
        <v>44</v>
      </c>
      <c r="D32" s="129" t="n">
        <v>15</v>
      </c>
      <c r="E32" s="135"/>
    </row>
    <row r="33" customFormat="false" ht="18.75" hidden="false" customHeight="true" outlineLevel="0" collapsed="false">
      <c r="B33" s="134" t="s">
        <v>45</v>
      </c>
      <c r="C33" s="134" t="s">
        <v>46</v>
      </c>
      <c r="D33" s="134" t="n">
        <v>0.9</v>
      </c>
      <c r="E33" s="135"/>
    </row>
    <row r="34" customFormat="false" ht="18.75" hidden="false" customHeight="true" outlineLevel="0" collapsed="false">
      <c r="B34" s="134" t="s">
        <v>47</v>
      </c>
      <c r="C34" s="134" t="s">
        <v>44</v>
      </c>
      <c r="D34" s="134" t="n">
        <v>4</v>
      </c>
      <c r="E34" s="135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97"/>
      <c r="C37" s="35" t="s">
        <v>48</v>
      </c>
      <c r="D37" s="35" t="n">
        <v>2020</v>
      </c>
      <c r="E37" s="35" t="n">
        <v>2021</v>
      </c>
      <c r="F37" s="35" t="n">
        <v>2022</v>
      </c>
      <c r="G37" s="35" t="n">
        <v>2023</v>
      </c>
      <c r="H37" s="35" t="n">
        <v>2024</v>
      </c>
      <c r="I37" s="35" t="n">
        <v>2025</v>
      </c>
      <c r="J37" s="35" t="n">
        <v>2026</v>
      </c>
      <c r="K37" s="35" t="n">
        <v>2027</v>
      </c>
      <c r="L37" s="35" t="n">
        <v>2028</v>
      </c>
      <c r="M37" s="35" t="n">
        <v>2029</v>
      </c>
      <c r="N37" s="35" t="n">
        <v>2030</v>
      </c>
      <c r="O37" s="35" t="n">
        <v>2031</v>
      </c>
      <c r="P37" s="35" t="n">
        <v>2032</v>
      </c>
      <c r="Q37" s="35" t="n">
        <v>2033</v>
      </c>
      <c r="R37" s="35" t="n">
        <v>2034</v>
      </c>
      <c r="S37" s="35" t="n">
        <v>2035</v>
      </c>
      <c r="T37" s="35" t="n">
        <v>2036</v>
      </c>
      <c r="U37" s="35" t="n">
        <v>2037</v>
      </c>
      <c r="V37" s="35" t="n">
        <v>2038</v>
      </c>
      <c r="W37" s="35" t="n">
        <v>2039</v>
      </c>
      <c r="X37" s="35"/>
    </row>
    <row r="38" customFormat="false" ht="18.75" hidden="false" customHeight="true" outlineLevel="0" collapsed="false">
      <c r="B38" s="154" t="n">
        <v>0</v>
      </c>
      <c r="C38" s="155"/>
      <c r="D38" s="156"/>
      <c r="E38" s="156"/>
      <c r="F38" s="157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9"/>
      <c r="U38" s="158"/>
      <c r="V38" s="158"/>
      <c r="W38" s="158"/>
      <c r="X38" s="160"/>
    </row>
    <row r="39" customFormat="false" ht="18.75" hidden="false" customHeight="true" outlineLevel="0" collapsed="false">
      <c r="B39" s="161" t="s">
        <v>51</v>
      </c>
      <c r="C39" s="162" t="n">
        <v>0</v>
      </c>
      <c r="D39" s="163" t="n">
        <v>1</v>
      </c>
      <c r="E39" s="163" t="n">
        <v>2</v>
      </c>
      <c r="F39" s="163" t="n">
        <v>3</v>
      </c>
      <c r="G39" s="163" t="n">
        <v>4</v>
      </c>
      <c r="H39" s="163" t="n">
        <v>5</v>
      </c>
      <c r="I39" s="163" t="n">
        <v>6</v>
      </c>
      <c r="J39" s="163" t="n">
        <v>7</v>
      </c>
      <c r="K39" s="163" t="n">
        <v>8</v>
      </c>
      <c r="L39" s="163" t="n">
        <v>9</v>
      </c>
      <c r="M39" s="163" t="n">
        <v>10</v>
      </c>
      <c r="N39" s="163" t="n">
        <v>11</v>
      </c>
      <c r="O39" s="163" t="n">
        <v>12</v>
      </c>
      <c r="P39" s="163" t="n">
        <v>13</v>
      </c>
      <c r="Q39" s="163" t="n">
        <v>14</v>
      </c>
      <c r="R39" s="163" t="n">
        <v>15</v>
      </c>
      <c r="S39" s="163" t="n">
        <v>16</v>
      </c>
      <c r="T39" s="164" t="n">
        <v>17</v>
      </c>
      <c r="U39" s="163" t="n">
        <v>18</v>
      </c>
      <c r="V39" s="163" t="n">
        <v>19</v>
      </c>
      <c r="W39" s="163" t="n">
        <v>20</v>
      </c>
      <c r="X39" s="47"/>
    </row>
    <row r="40" customFormat="false" ht="18.75" hidden="false" customHeight="true" outlineLevel="0" collapsed="false">
      <c r="B40" s="165" t="s">
        <v>52</v>
      </c>
      <c r="C40" s="166" t="n">
        <v>0</v>
      </c>
      <c r="D40" s="167" t="n">
        <f aca="false">$D$10*P1</f>
        <v>541531.98</v>
      </c>
      <c r="E40" s="167" t="n">
        <f aca="false">$D$10*Q1</f>
        <v>539343.972</v>
      </c>
      <c r="F40" s="167" t="n">
        <f aca="false">$D$10*R1</f>
        <v>537155.964</v>
      </c>
      <c r="G40" s="167" t="n">
        <f aca="false">$D$10*S1</f>
        <v>534967.956</v>
      </c>
      <c r="H40" s="167" t="n">
        <f aca="false">$D$10*T1</f>
        <v>532779.948</v>
      </c>
      <c r="I40" s="167" t="n">
        <f aca="false">$D$10*U1</f>
        <v>530591.94</v>
      </c>
      <c r="J40" s="167" t="n">
        <f aca="false">$D$10*V1</f>
        <v>528403.932</v>
      </c>
      <c r="K40" s="167" t="n">
        <f aca="false">$D$10*W1</f>
        <v>526215.924</v>
      </c>
      <c r="L40" s="167" t="n">
        <f aca="false">$D$10*X1</f>
        <v>524027.916</v>
      </c>
      <c r="M40" s="167" t="n">
        <f aca="false">$D$10*Y1</f>
        <v>521839.908</v>
      </c>
      <c r="N40" s="167" t="n">
        <f aca="false">$D$10*Z1</f>
        <v>519651.9</v>
      </c>
      <c r="O40" s="167" t="n">
        <f aca="false">$D$10*AA1</f>
        <v>517463.892</v>
      </c>
      <c r="P40" s="167" t="n">
        <f aca="false">$D$10*AB1</f>
        <v>515275.884</v>
      </c>
      <c r="Q40" s="167" t="n">
        <f aca="false">$D$10*AC1</f>
        <v>513087.876</v>
      </c>
      <c r="R40" s="167" t="n">
        <f aca="false">$D$10*AD1</f>
        <v>510899.868</v>
      </c>
      <c r="S40" s="167" t="n">
        <f aca="false">$D$10*AE1</f>
        <v>508711.86</v>
      </c>
      <c r="T40" s="167" t="n">
        <f aca="false">$D$10*AF1</f>
        <v>506523.852</v>
      </c>
      <c r="U40" s="167" t="n">
        <f aca="false">$D$10*AG1</f>
        <v>504335.844</v>
      </c>
      <c r="V40" s="167" t="n">
        <f aca="false">$D$10*AH1</f>
        <v>502147.836</v>
      </c>
      <c r="W40" s="167" t="n">
        <f aca="false">$D$10*AI1</f>
        <v>499959.828</v>
      </c>
      <c r="X40" s="168"/>
    </row>
    <row r="41" customFormat="false" ht="18.75" hidden="false" customHeight="true" outlineLevel="0" collapsed="false">
      <c r="B41" s="169" t="s">
        <v>53</v>
      </c>
      <c r="C41" s="170" t="s">
        <v>3</v>
      </c>
      <c r="D41" s="171" t="n">
        <f aca="false">D40*$D$13</f>
        <v>2011899.612096</v>
      </c>
      <c r="E41" s="171" t="n">
        <f aca="false">E40*$D$13</f>
        <v>2003770.7247744</v>
      </c>
      <c r="F41" s="171" t="n">
        <f aca="false">F40*$D$13</f>
        <v>1995641.8374528</v>
      </c>
      <c r="G41" s="171" t="n">
        <f aca="false">G40*$D$13</f>
        <v>1987512.9501312</v>
      </c>
      <c r="H41" s="171" t="n">
        <f aca="false">H40*$D$13</f>
        <v>1979384.0628096</v>
      </c>
      <c r="I41" s="171" t="n">
        <f aca="false">I40*$D$13</f>
        <v>1971255.175488</v>
      </c>
      <c r="J41" s="171" t="n">
        <f aca="false">J40*$D$13</f>
        <v>1963126.2881664</v>
      </c>
      <c r="K41" s="171" t="n">
        <f aca="false">K40*$D$13</f>
        <v>1954997.4008448</v>
      </c>
      <c r="L41" s="171" t="n">
        <f aca="false">L40*$D$13</f>
        <v>1946868.5135232</v>
      </c>
      <c r="M41" s="171" t="n">
        <f aca="false">M40*$D$13</f>
        <v>1938739.6262016</v>
      </c>
      <c r="N41" s="171" t="n">
        <f aca="false">N40*$D$13</f>
        <v>1930610.73888</v>
      </c>
      <c r="O41" s="171" t="n">
        <f aca="false">O40*$D$13</f>
        <v>1922481.8515584</v>
      </c>
      <c r="P41" s="171" t="n">
        <f aca="false">P40*$D$13</f>
        <v>1914352.9642368</v>
      </c>
      <c r="Q41" s="171" t="n">
        <f aca="false">Q40*$D$13</f>
        <v>1906224.0769152</v>
      </c>
      <c r="R41" s="171" t="n">
        <f aca="false">R40*$D$13</f>
        <v>1898095.1895936</v>
      </c>
      <c r="S41" s="171" t="n">
        <f aca="false">S40*$D$13</f>
        <v>1889966.302272</v>
      </c>
      <c r="T41" s="171" t="n">
        <f aca="false">T40*$D$13</f>
        <v>1881837.4149504</v>
      </c>
      <c r="U41" s="171" t="n">
        <f aca="false">U40*$D$13</f>
        <v>1873708.5276288</v>
      </c>
      <c r="V41" s="171" t="n">
        <f aca="false">V40*$D$13</f>
        <v>1865579.6403072</v>
      </c>
      <c r="W41" s="171" t="n">
        <f aca="false">W40*$D$13</f>
        <v>1857450.7529856</v>
      </c>
      <c r="X41" s="172"/>
    </row>
    <row r="42" customFormat="false" ht="18.75" hidden="false" customHeight="true" outlineLevel="0" collapsed="false">
      <c r="B42" s="173" t="s">
        <v>54</v>
      </c>
      <c r="C42" s="174" t="s">
        <v>3</v>
      </c>
      <c r="D42" s="175"/>
      <c r="E42" s="175"/>
      <c r="F42" s="175"/>
      <c r="G42" s="176" t="s">
        <v>3</v>
      </c>
      <c r="H42" s="176" t="s">
        <v>3</v>
      </c>
      <c r="I42" s="176" t="s">
        <v>3</v>
      </c>
      <c r="J42" s="176" t="s">
        <v>3</v>
      </c>
      <c r="K42" s="176" t="s">
        <v>3</v>
      </c>
      <c r="L42" s="176" t="s">
        <v>3</v>
      </c>
      <c r="M42" s="176" t="s">
        <v>3</v>
      </c>
      <c r="N42" s="176" t="s">
        <v>3</v>
      </c>
      <c r="O42" s="176" t="s">
        <v>3</v>
      </c>
      <c r="P42" s="176" t="s">
        <v>3</v>
      </c>
      <c r="Q42" s="176" t="s">
        <v>3</v>
      </c>
      <c r="R42" s="176" t="s">
        <v>3</v>
      </c>
      <c r="S42" s="176" t="s">
        <v>3</v>
      </c>
      <c r="T42" s="176" t="s">
        <v>3</v>
      </c>
      <c r="U42" s="176" t="s">
        <v>3</v>
      </c>
      <c r="V42" s="176" t="s">
        <v>3</v>
      </c>
      <c r="W42" s="176" t="s">
        <v>3</v>
      </c>
      <c r="X42" s="177"/>
    </row>
    <row r="43" customFormat="false" ht="18.75" hidden="false" customHeight="true" outlineLevel="0" collapsed="false">
      <c r="B43" s="178" t="s">
        <v>55</v>
      </c>
      <c r="C43" s="179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customFormat="false" ht="18.75" hidden="false" customHeight="true" outlineLevel="0" collapsed="false">
      <c r="B44" s="182" t="s">
        <v>56</v>
      </c>
      <c r="C44" s="183" t="n">
        <f aca="false">-(D16/(1-D17)+D18)*C4</f>
        <v>-14391300</v>
      </c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</row>
    <row r="45" customFormat="false" ht="18.75" hidden="false" customHeight="true" outlineLevel="0" collapsed="false">
      <c r="B45" s="182" t="s">
        <v>57</v>
      </c>
      <c r="C45" s="174" t="s">
        <v>3</v>
      </c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</row>
    <row r="46" customFormat="false" ht="18.75" hidden="false" customHeight="true" outlineLevel="0" collapsed="false">
      <c r="B46" s="182" t="s">
        <v>58</v>
      </c>
      <c r="C46" s="17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</row>
    <row r="47" customFormat="false" ht="18.75" hidden="false" customHeight="true" outlineLevel="0" collapsed="false">
      <c r="B47" s="182" t="s">
        <v>59</v>
      </c>
      <c r="C47" s="174" t="s">
        <v>3</v>
      </c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</row>
    <row r="48" customFormat="false" ht="18.75" hidden="false" customHeight="true" outlineLevel="0" collapsed="false">
      <c r="B48" s="182" t="s">
        <v>60</v>
      </c>
      <c r="C48" s="174" t="s">
        <v>3</v>
      </c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</row>
    <row r="49" customFormat="false" ht="18.75" hidden="false" customHeight="true" outlineLevel="0" collapsed="false">
      <c r="B49" s="182" t="s">
        <v>61</v>
      </c>
      <c r="C49" s="174" t="s">
        <v>3</v>
      </c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</row>
    <row r="50" customFormat="false" ht="18.75" hidden="false" customHeight="true" outlineLevel="0" collapsed="false">
      <c r="B50" s="182" t="s">
        <v>62</v>
      </c>
      <c r="C50" s="17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</row>
    <row r="51" customFormat="false" ht="18.75" hidden="false" customHeight="true" outlineLevel="0" collapsed="false">
      <c r="B51" s="182" t="s">
        <v>63</v>
      </c>
      <c r="C51" s="185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</row>
    <row r="52" customFormat="false" ht="18.75" hidden="false" customHeight="true" outlineLevel="0" collapsed="false">
      <c r="B52" s="182" t="s">
        <v>64</v>
      </c>
      <c r="C52" s="185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</row>
    <row r="53" customFormat="false" ht="18.75" hidden="false" customHeight="true" outlineLevel="0" collapsed="false">
      <c r="B53" s="186" t="s">
        <v>65</v>
      </c>
      <c r="C53" s="185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</row>
    <row r="54" customFormat="false" ht="18.75" hidden="false" customHeight="true" outlineLevel="0" collapsed="false">
      <c r="B54" s="186" t="s">
        <v>66</v>
      </c>
      <c r="C54" s="185"/>
      <c r="D54" s="184" t="n">
        <f aca="false">-(D64+D67+D68+D71+D72+D73+D74)*0.2</f>
        <v>-258466.9224192</v>
      </c>
      <c r="E54" s="184" t="n">
        <f aca="false">-(E64+E67+E68+E71+E72+E73+E74)*0.2</f>
        <v>-256841.14495488</v>
      </c>
      <c r="F54" s="184" t="n">
        <f aca="false">-(F64+F67+F68+F71+F72+F73+F74)*0.2</f>
        <v>-255215.36749056</v>
      </c>
      <c r="G54" s="184" t="n">
        <f aca="false">-(G64+G67+G68+G71+G72+G73+G74)*0.2</f>
        <v>-253589.59002624</v>
      </c>
      <c r="H54" s="184" t="n">
        <f aca="false">-(H64+H67+H68+H71+H72+H73+H74)*0.2</f>
        <v>-251963.81256192</v>
      </c>
      <c r="I54" s="184" t="n">
        <f aca="false">-(I64+I67+I68+I71+I72+I73+I74)*0.2</f>
        <v>-250338.0350976</v>
      </c>
      <c r="J54" s="184" t="n">
        <f aca="false">-(J64+J67+J68+J71+J72+J73+J74)*0.2</f>
        <v>-248712.25763328</v>
      </c>
      <c r="K54" s="184" t="n">
        <f aca="false">-(K64+K67+K68+K71+K72+K73+K74)*0.2</f>
        <v>-247086.48016896</v>
      </c>
      <c r="L54" s="184" t="n">
        <f aca="false">-(L64+L67+L68+L71+L72+L73+L74)*0.2</f>
        <v>-245460.70270464</v>
      </c>
      <c r="M54" s="184" t="n">
        <f aca="false">-(M64+M67+M68+M71+M72+M73+M74)*0.2</f>
        <v>-243834.92524032</v>
      </c>
      <c r="N54" s="184" t="n">
        <f aca="false">-(N64+N67+N68+N71+N72+N73+N74)*0.2</f>
        <v>-242209.147776</v>
      </c>
      <c r="O54" s="184" t="n">
        <f aca="false">-(O64+O67+O68+O71+O72+O73+O74)*0.2</f>
        <v>-240583.37031168</v>
      </c>
      <c r="P54" s="184" t="n">
        <f aca="false">-(P64+P67+P68+P71+P72+P73+P74)*0.2</f>
        <v>-238957.59284736</v>
      </c>
      <c r="Q54" s="184" t="n">
        <f aca="false">-(Q64+Q67+Q68+Q71+Q72+Q73+Q74)*0.2</f>
        <v>-237331.81538304</v>
      </c>
      <c r="R54" s="184" t="n">
        <f aca="false">-(R64+R67+R68+R71+R72+R73+R74)*0.2</f>
        <v>-235706.03791872</v>
      </c>
      <c r="S54" s="184" t="n">
        <f aca="false">-(S64+S67+S68+S71+S72+S73+S74)*0.2</f>
        <v>-234080.2604544</v>
      </c>
      <c r="T54" s="184" t="n">
        <f aca="false">-(T64+T67+T68+T71+T72+T73+T74)*0.2</f>
        <v>-232454.48299008</v>
      </c>
      <c r="U54" s="184" t="n">
        <f aca="false">-(U64+U67+U68+U71+U72+U73+U74)*0.2</f>
        <v>-230828.70552576</v>
      </c>
      <c r="V54" s="184" t="n">
        <f aca="false">-(V64+V67+V68+V71+V72+V73+V74)*0.2</f>
        <v>-229202.92806144</v>
      </c>
      <c r="W54" s="184" t="n">
        <f aca="false">-(W64+W67+W68+W71+W72+W73+W74)*0.2</f>
        <v>-227577.15059712</v>
      </c>
      <c r="X54" s="175"/>
    </row>
    <row r="55" customFormat="false" ht="18.75" hidden="false" customHeight="true" outlineLevel="0" collapsed="false">
      <c r="B55" s="187" t="s">
        <v>67</v>
      </c>
      <c r="C55" s="188" t="n">
        <f aca="false">C44</f>
        <v>-14391300</v>
      </c>
      <c r="D55" s="189" t="n">
        <f aca="false">SUM(D41:D54)</f>
        <v>1753432.6896768</v>
      </c>
      <c r="E55" s="189" t="n">
        <f aca="false">SUM(E41:E54)</f>
        <v>1746929.57981952</v>
      </c>
      <c r="F55" s="189" t="n">
        <f aca="false">SUM(F41:F54)</f>
        <v>1740426.46996224</v>
      </c>
      <c r="G55" s="189" t="n">
        <f aca="false">SUM(G41:G54)</f>
        <v>1733923.36010496</v>
      </c>
      <c r="H55" s="189" t="n">
        <f aca="false">SUM(H41:H54)</f>
        <v>1727420.25024768</v>
      </c>
      <c r="I55" s="189" t="n">
        <f aca="false">SUM(I41:I54)</f>
        <v>1720917.1403904</v>
      </c>
      <c r="J55" s="189" t="n">
        <f aca="false">SUM(J41:J54)</f>
        <v>1714414.03053312</v>
      </c>
      <c r="K55" s="189" t="n">
        <f aca="false">SUM(K41:K54)</f>
        <v>1707910.92067584</v>
      </c>
      <c r="L55" s="189" t="n">
        <f aca="false">SUM(L41:L54)</f>
        <v>1701407.81081856</v>
      </c>
      <c r="M55" s="189" t="n">
        <f aca="false">SUM(M41:M54)</f>
        <v>1694904.70096128</v>
      </c>
      <c r="N55" s="189" t="n">
        <f aca="false">SUM(N41:N54)</f>
        <v>1688401.591104</v>
      </c>
      <c r="O55" s="189" t="n">
        <f aca="false">SUM(O41:O54)</f>
        <v>1681898.48124672</v>
      </c>
      <c r="P55" s="189" t="n">
        <f aca="false">SUM(P41:P54)</f>
        <v>1675395.37138944</v>
      </c>
      <c r="Q55" s="189" t="n">
        <f aca="false">SUM(Q41:Q54)</f>
        <v>1668892.26153216</v>
      </c>
      <c r="R55" s="189" t="n">
        <f aca="false">SUM(R41:R54)</f>
        <v>1662389.15167488</v>
      </c>
      <c r="S55" s="189" t="n">
        <f aca="false">SUM(S41:S54)</f>
        <v>1655886.0418176</v>
      </c>
      <c r="T55" s="189" t="n">
        <f aca="false">SUM(T41:T54)</f>
        <v>1649382.93196032</v>
      </c>
      <c r="U55" s="189" t="n">
        <f aca="false">SUM(U41:U54)</f>
        <v>1642879.82210304</v>
      </c>
      <c r="V55" s="189" t="n">
        <f aca="false">SUM(V41:V54)</f>
        <v>1636376.71224576</v>
      </c>
      <c r="W55" s="189" t="n">
        <f aca="false">SUM(W41:W54)</f>
        <v>1629873.60238848</v>
      </c>
      <c r="X55" s="190"/>
      <c r="Y55" s="191"/>
      <c r="Z55" s="192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</row>
    <row r="56" customFormat="false" ht="18.75" hidden="false" customHeight="true" outlineLevel="0" collapsed="false">
      <c r="B56" s="193" t="s">
        <v>68</v>
      </c>
      <c r="D56" s="194" t="n">
        <f aca="false">C55+D55</f>
        <v>-12637867.3103232</v>
      </c>
      <c r="E56" s="194" t="n">
        <f aca="false">D56+E55</f>
        <v>-10890937.7305037</v>
      </c>
      <c r="F56" s="194" t="n">
        <f aca="false">E56+F55</f>
        <v>-9150511.26054144</v>
      </c>
      <c r="G56" s="194" t="n">
        <f aca="false">F56+G55</f>
        <v>-7416587.90043648</v>
      </c>
      <c r="H56" s="194" t="n">
        <f aca="false">G56+H55</f>
        <v>-5689167.6501888</v>
      </c>
      <c r="I56" s="194" t="n">
        <f aca="false">H56+I55</f>
        <v>-3968250.5097984</v>
      </c>
      <c r="J56" s="194" t="n">
        <f aca="false">I56+J55</f>
        <v>-2253836.47926528</v>
      </c>
      <c r="K56" s="194" t="n">
        <f aca="false">J56+K55</f>
        <v>-545925.558589444</v>
      </c>
      <c r="L56" s="194" t="n">
        <f aca="false">K56+L55</f>
        <v>1155482.25222912</v>
      </c>
      <c r="M56" s="194" t="n">
        <f aca="false">L56+M55</f>
        <v>2850386.9531904</v>
      </c>
      <c r="N56" s="194" t="n">
        <f aca="false">M56+N55</f>
        <v>4538788.5442944</v>
      </c>
      <c r="O56" s="194" t="n">
        <f aca="false">N56+O55</f>
        <v>6220687.02554112</v>
      </c>
      <c r="P56" s="194" t="n">
        <f aca="false">O56+P55</f>
        <v>7896082.39693056</v>
      </c>
      <c r="Q56" s="194" t="n">
        <f aca="false">P56+Q55</f>
        <v>9564974.65846271</v>
      </c>
      <c r="R56" s="194" t="n">
        <f aca="false">Q56+R55</f>
        <v>11227363.8101376</v>
      </c>
      <c r="S56" s="194" t="n">
        <f aca="false">R56+S55</f>
        <v>12883249.8519552</v>
      </c>
      <c r="T56" s="194" t="n">
        <f aca="false">S56+T55</f>
        <v>14532632.7839155</v>
      </c>
      <c r="U56" s="194" t="n">
        <f aca="false">T56+U55</f>
        <v>16175512.6060186</v>
      </c>
      <c r="V56" s="194" t="n">
        <f aca="false">U56+V55</f>
        <v>17811889.3182643</v>
      </c>
      <c r="W56" s="194" t="n">
        <f aca="false">V56+W55</f>
        <v>19441762.9206528</v>
      </c>
      <c r="X56" s="194" t="n">
        <f aca="false">W56+X55</f>
        <v>19441762.9206528</v>
      </c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</row>
    <row r="57" customFormat="false" ht="18.75" hidden="false" customHeight="true" outlineLevel="0" collapsed="false">
      <c r="B57" s="195" t="s">
        <v>74</v>
      </c>
      <c r="C57" s="196"/>
      <c r="D57" s="197" t="str">
        <f aca="false">IF((D56)&gt;0,"回收","未回收")</f>
        <v>未回收</v>
      </c>
      <c r="E57" s="198" t="str">
        <f aca="false">IF((E56)&gt;0,"回收","未回收")</f>
        <v>未回收</v>
      </c>
      <c r="F57" s="198" t="str">
        <f aca="false">IF((F56)&gt;0,"回收","未回收")</f>
        <v>未回收</v>
      </c>
      <c r="G57" s="198" t="str">
        <f aca="false">IF((G56)&gt;0,"回收","未回收")</f>
        <v>未回收</v>
      </c>
      <c r="H57" s="198" t="str">
        <f aca="false">IF((H56)&gt;0,"回收","未回收")</f>
        <v>未回收</v>
      </c>
      <c r="I57" s="198" t="str">
        <f aca="false">IF((I56)&gt;0,"回收","未回收")</f>
        <v>未回收</v>
      </c>
      <c r="J57" s="198" t="str">
        <f aca="false">IF((J56)&gt;0,"回收","未回收")</f>
        <v>未回收</v>
      </c>
      <c r="K57" s="198" t="str">
        <f aca="false">IF((K56)&gt;0,"回收","未回收")</f>
        <v>未回收</v>
      </c>
      <c r="L57" s="198" t="str">
        <f aca="false">IF((L56)&gt;0,"回收","未回收")</f>
        <v>回收</v>
      </c>
      <c r="M57" s="198" t="str">
        <f aca="false">IF((M56)&gt;0,"回收","未回收")</f>
        <v>回收</v>
      </c>
      <c r="N57" s="198" t="str">
        <f aca="false">IF((N56)&gt;0,"回收","未回收")</f>
        <v>回收</v>
      </c>
      <c r="O57" s="198" t="str">
        <f aca="false">IF((O56)&gt;0,"回收","未回收")</f>
        <v>回收</v>
      </c>
      <c r="P57" s="198" t="str">
        <f aca="false">IF((P56)&gt;0,"回收","未回收")</f>
        <v>回收</v>
      </c>
      <c r="Q57" s="198" t="str">
        <f aca="false">IF((Q56)&gt;0,"回收","未回收")</f>
        <v>回收</v>
      </c>
      <c r="R57" s="198" t="str">
        <f aca="false">IF((R56)&gt;0,"回收","未回收")</f>
        <v>回收</v>
      </c>
      <c r="S57" s="198" t="str">
        <f aca="false">IF((S56)&gt;0,"回收","未回收")</f>
        <v>回收</v>
      </c>
      <c r="T57" s="198" t="str">
        <f aca="false">IF((T56)&gt;0,"回收","未回收")</f>
        <v>回收</v>
      </c>
      <c r="U57" s="198" t="str">
        <f aca="false">IF((U56)&gt;0,"回收","未回收")</f>
        <v>回收</v>
      </c>
      <c r="V57" s="198" t="str">
        <f aca="false">IF((V56)&gt;0,"回收","未回收")</f>
        <v>回收</v>
      </c>
      <c r="W57" s="198" t="str">
        <f aca="false">IF((W56)&gt;0,"回收","未回收")</f>
        <v>回收</v>
      </c>
      <c r="X57" s="198" t="str">
        <f aca="false">IF((X56)&gt;0,"回收","未回收")</f>
        <v>回收</v>
      </c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</row>
    <row r="58" customFormat="false" ht="18.75" hidden="false" customHeight="true" outlineLevel="0" collapsed="false">
      <c r="B58" s="199" t="s">
        <v>93</v>
      </c>
      <c r="C58" s="200" t="n">
        <f aca="false">IRR(C55:W55)</f>
        <v>0.101817032858521</v>
      </c>
      <c r="D58" s="201"/>
      <c r="E58" s="201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</row>
    <row r="59" customFormat="false" ht="18.75" hidden="false" customHeight="true" outlineLevel="0" collapsed="false">
      <c r="B59" s="202"/>
      <c r="C59" s="201"/>
      <c r="D59" s="201"/>
      <c r="E59" s="201"/>
      <c r="F59" s="202"/>
      <c r="G59" s="202"/>
      <c r="H59" s="202"/>
      <c r="I59" s="202"/>
      <c r="J59" s="202"/>
      <c r="K59" s="202"/>
      <c r="L59" s="202"/>
      <c r="M59" s="201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</row>
    <row r="60" customFormat="false" ht="18.75" hidden="false" customHeight="true" outlineLevel="0" collapsed="false">
      <c r="B60" s="97"/>
      <c r="C60" s="35" t="s">
        <v>48</v>
      </c>
      <c r="D60" s="35" t="n">
        <f aca="false">D37</f>
        <v>2020</v>
      </c>
      <c r="E60" s="35" t="n">
        <f aca="false">E37</f>
        <v>2021</v>
      </c>
      <c r="F60" s="35" t="n">
        <f aca="false">F37</f>
        <v>2022</v>
      </c>
      <c r="G60" s="35" t="n">
        <f aca="false">G37</f>
        <v>2023</v>
      </c>
      <c r="H60" s="35" t="n">
        <f aca="false">H37</f>
        <v>2024</v>
      </c>
      <c r="I60" s="35" t="n">
        <f aca="false">I37</f>
        <v>2025</v>
      </c>
      <c r="J60" s="35" t="n">
        <f aca="false">J37</f>
        <v>2026</v>
      </c>
      <c r="K60" s="35" t="n">
        <f aca="false">K37</f>
        <v>2027</v>
      </c>
      <c r="L60" s="35" t="n">
        <f aca="false">L37</f>
        <v>2028</v>
      </c>
      <c r="M60" s="35" t="n">
        <f aca="false">M37</f>
        <v>2029</v>
      </c>
      <c r="N60" s="35" t="n">
        <f aca="false">N37</f>
        <v>2030</v>
      </c>
      <c r="O60" s="35" t="n">
        <f aca="false">O37</f>
        <v>2031</v>
      </c>
      <c r="P60" s="35" t="n">
        <f aca="false">P37</f>
        <v>2032</v>
      </c>
      <c r="Q60" s="35" t="n">
        <f aca="false">Q37</f>
        <v>2033</v>
      </c>
      <c r="R60" s="35" t="n">
        <f aca="false">R37</f>
        <v>2034</v>
      </c>
      <c r="S60" s="35" t="n">
        <f aca="false">S37</f>
        <v>2035</v>
      </c>
      <c r="T60" s="35" t="n">
        <f aca="false">T37</f>
        <v>2036</v>
      </c>
      <c r="U60" s="35" t="n">
        <f aca="false">U37</f>
        <v>2037</v>
      </c>
      <c r="V60" s="35" t="n">
        <f aca="false">V37</f>
        <v>2038</v>
      </c>
      <c r="W60" s="35" t="n">
        <f aca="false">W37</f>
        <v>2039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54" t="n">
        <v>0</v>
      </c>
      <c r="C61" s="155"/>
      <c r="D61" s="156"/>
      <c r="E61" s="156"/>
      <c r="F61" s="157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203" t="s">
        <v>50</v>
      </c>
      <c r="U61" s="158"/>
      <c r="V61" s="158"/>
      <c r="W61" s="158"/>
      <c r="X61" s="160"/>
    </row>
    <row r="62" customFormat="false" ht="18.75" hidden="false" customHeight="true" outlineLevel="0" collapsed="false">
      <c r="B62" s="161" t="s">
        <v>51</v>
      </c>
      <c r="C62" s="162" t="n">
        <v>0</v>
      </c>
      <c r="D62" s="163" t="n">
        <v>1</v>
      </c>
      <c r="E62" s="163" t="n">
        <v>2</v>
      </c>
      <c r="F62" s="163" t="n">
        <v>3</v>
      </c>
      <c r="G62" s="163" t="n">
        <v>4</v>
      </c>
      <c r="H62" s="163" t="n">
        <v>5</v>
      </c>
      <c r="I62" s="163" t="n">
        <v>6</v>
      </c>
      <c r="J62" s="163" t="n">
        <v>7</v>
      </c>
      <c r="K62" s="163" t="n">
        <v>8</v>
      </c>
      <c r="L62" s="163" t="n">
        <v>9</v>
      </c>
      <c r="M62" s="163" t="n">
        <v>10</v>
      </c>
      <c r="N62" s="163" t="n">
        <v>11</v>
      </c>
      <c r="O62" s="163" t="n">
        <v>12</v>
      </c>
      <c r="P62" s="163" t="n">
        <v>13</v>
      </c>
      <c r="Q62" s="163" t="n">
        <v>14</v>
      </c>
      <c r="R62" s="163" t="n">
        <v>15</v>
      </c>
      <c r="S62" s="163" t="n">
        <v>16</v>
      </c>
      <c r="T62" s="204" t="n">
        <v>17</v>
      </c>
      <c r="U62" s="163" t="n">
        <v>18</v>
      </c>
      <c r="V62" s="163" t="n">
        <v>19</v>
      </c>
      <c r="W62" s="163" t="n">
        <v>20</v>
      </c>
      <c r="X62" s="47"/>
    </row>
    <row r="63" customFormat="false" ht="18.75" hidden="false" customHeight="true" outlineLevel="0" collapsed="false">
      <c r="B63" s="165" t="s">
        <v>52</v>
      </c>
      <c r="C63" s="166" t="n">
        <v>0</v>
      </c>
      <c r="D63" s="167" t="n">
        <f aca="false">D40</f>
        <v>541531.98</v>
      </c>
      <c r="E63" s="167" t="n">
        <f aca="false">E40</f>
        <v>539343.972</v>
      </c>
      <c r="F63" s="167" t="n">
        <f aca="false">F40</f>
        <v>537155.964</v>
      </c>
      <c r="G63" s="167" t="n">
        <f aca="false">G40</f>
        <v>534967.956</v>
      </c>
      <c r="H63" s="167" t="n">
        <f aca="false">H40</f>
        <v>532779.948</v>
      </c>
      <c r="I63" s="167" t="n">
        <f aca="false">I40</f>
        <v>530591.94</v>
      </c>
      <c r="J63" s="167" t="n">
        <f aca="false">J40</f>
        <v>528403.932</v>
      </c>
      <c r="K63" s="167" t="n">
        <f aca="false">K40</f>
        <v>526215.924</v>
      </c>
      <c r="L63" s="167" t="n">
        <f aca="false">L40</f>
        <v>524027.916</v>
      </c>
      <c r="M63" s="167" t="n">
        <f aca="false">M40</f>
        <v>521839.908</v>
      </c>
      <c r="N63" s="167" t="n">
        <f aca="false">N40</f>
        <v>519651.9</v>
      </c>
      <c r="O63" s="167" t="n">
        <f aca="false">O40</f>
        <v>517463.892</v>
      </c>
      <c r="P63" s="167" t="n">
        <f aca="false">P40</f>
        <v>515275.884</v>
      </c>
      <c r="Q63" s="167" t="n">
        <f aca="false">Q40</f>
        <v>513087.876</v>
      </c>
      <c r="R63" s="167" t="n">
        <f aca="false">R40</f>
        <v>510899.868</v>
      </c>
      <c r="S63" s="167" t="n">
        <f aca="false">S40</f>
        <v>508711.86</v>
      </c>
      <c r="T63" s="167" t="n">
        <f aca="false">T40</f>
        <v>506523.852</v>
      </c>
      <c r="U63" s="167" t="n">
        <f aca="false">U40</f>
        <v>504335.844</v>
      </c>
      <c r="V63" s="167" t="n">
        <f aca="false">V40</f>
        <v>502147.836</v>
      </c>
      <c r="W63" s="167" t="n">
        <f aca="false">W40</f>
        <v>499959.828</v>
      </c>
      <c r="X63" s="168"/>
    </row>
    <row r="64" customFormat="false" ht="18.75" hidden="false" customHeight="true" outlineLevel="0" collapsed="false">
      <c r="B64" s="169" t="s">
        <v>53</v>
      </c>
      <c r="C64" s="170" t="s">
        <v>3</v>
      </c>
      <c r="D64" s="171" t="n">
        <f aca="false">D41</f>
        <v>2011899.612096</v>
      </c>
      <c r="E64" s="171" t="n">
        <f aca="false">E41</f>
        <v>2003770.7247744</v>
      </c>
      <c r="F64" s="171" t="n">
        <f aca="false">F41</f>
        <v>1995641.8374528</v>
      </c>
      <c r="G64" s="171" t="n">
        <f aca="false">G41</f>
        <v>1987512.9501312</v>
      </c>
      <c r="H64" s="171" t="n">
        <f aca="false">H41</f>
        <v>1979384.0628096</v>
      </c>
      <c r="I64" s="171" t="n">
        <f aca="false">I41</f>
        <v>1971255.175488</v>
      </c>
      <c r="J64" s="171" t="n">
        <f aca="false">J41</f>
        <v>1963126.2881664</v>
      </c>
      <c r="K64" s="171" t="n">
        <f aca="false">K41</f>
        <v>1954997.4008448</v>
      </c>
      <c r="L64" s="171" t="n">
        <f aca="false">L41</f>
        <v>1946868.5135232</v>
      </c>
      <c r="M64" s="171" t="n">
        <f aca="false">M41</f>
        <v>1938739.6262016</v>
      </c>
      <c r="N64" s="171" t="n">
        <f aca="false">N41</f>
        <v>1930610.73888</v>
      </c>
      <c r="O64" s="171" t="n">
        <f aca="false">O41</f>
        <v>1922481.8515584</v>
      </c>
      <c r="P64" s="171" t="n">
        <f aca="false">P41</f>
        <v>1914352.9642368</v>
      </c>
      <c r="Q64" s="171" t="n">
        <f aca="false">Q41</f>
        <v>1906224.0769152</v>
      </c>
      <c r="R64" s="171" t="n">
        <f aca="false">R41</f>
        <v>1898095.1895936</v>
      </c>
      <c r="S64" s="171" t="n">
        <f aca="false">S41</f>
        <v>1889966.302272</v>
      </c>
      <c r="T64" s="171" t="n">
        <f aca="false">T41</f>
        <v>1881837.4149504</v>
      </c>
      <c r="U64" s="171" t="n">
        <f aca="false">U41</f>
        <v>1873708.5276288</v>
      </c>
      <c r="V64" s="171" t="n">
        <f aca="false">V41</f>
        <v>1865579.6403072</v>
      </c>
      <c r="W64" s="171" t="n">
        <f aca="false">W41</f>
        <v>1857450.7529856</v>
      </c>
      <c r="X64" s="172"/>
    </row>
    <row r="65" customFormat="false" ht="18.75" hidden="false" customHeight="true" outlineLevel="0" collapsed="false">
      <c r="B65" s="173" t="s">
        <v>54</v>
      </c>
      <c r="C65" s="174" t="s">
        <v>3</v>
      </c>
      <c r="D65" s="175"/>
      <c r="E65" s="175"/>
      <c r="F65" s="175"/>
      <c r="G65" s="176" t="s">
        <v>3</v>
      </c>
      <c r="H65" s="176" t="s">
        <v>3</v>
      </c>
      <c r="I65" s="176" t="s">
        <v>3</v>
      </c>
      <c r="J65" s="176" t="s">
        <v>3</v>
      </c>
      <c r="K65" s="176" t="s">
        <v>3</v>
      </c>
      <c r="L65" s="176" t="s">
        <v>3</v>
      </c>
      <c r="M65" s="176" t="s">
        <v>3</v>
      </c>
      <c r="N65" s="176" t="s">
        <v>3</v>
      </c>
      <c r="O65" s="176" t="s">
        <v>3</v>
      </c>
      <c r="P65" s="176" t="s">
        <v>3</v>
      </c>
      <c r="Q65" s="176" t="s">
        <v>3</v>
      </c>
      <c r="R65" s="176" t="s">
        <v>3</v>
      </c>
      <c r="S65" s="176" t="s">
        <v>3</v>
      </c>
      <c r="T65" s="176" t="s">
        <v>3</v>
      </c>
      <c r="U65" s="176" t="s">
        <v>3</v>
      </c>
      <c r="V65" s="176" t="s">
        <v>3</v>
      </c>
      <c r="W65" s="176" t="s">
        <v>3</v>
      </c>
      <c r="X65" s="177"/>
    </row>
    <row r="66" customFormat="false" ht="18.75" hidden="false" customHeight="true" outlineLevel="0" collapsed="false">
      <c r="B66" s="178" t="s">
        <v>55</v>
      </c>
      <c r="C66" s="179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1"/>
    </row>
    <row r="67" customFormat="false" ht="18.75" hidden="false" customHeight="true" outlineLevel="0" collapsed="false">
      <c r="B67" s="182" t="s">
        <v>120</v>
      </c>
      <c r="C67" s="174"/>
      <c r="D67" s="205" t="n">
        <f aca="false">$C$44/$E$16</f>
        <v>-719565</v>
      </c>
      <c r="E67" s="205" t="n">
        <f aca="false">$C$44/$E$16</f>
        <v>-719565</v>
      </c>
      <c r="F67" s="205" t="n">
        <f aca="false">$C$44/$E$16</f>
        <v>-719565</v>
      </c>
      <c r="G67" s="205" t="n">
        <f aca="false">$C$44/$E$16</f>
        <v>-719565</v>
      </c>
      <c r="H67" s="205" t="n">
        <f aca="false">$C$44/$E$16</f>
        <v>-719565</v>
      </c>
      <c r="I67" s="205" t="n">
        <f aca="false">$C$44/$E$16</f>
        <v>-719565</v>
      </c>
      <c r="J67" s="205" t="n">
        <f aca="false">$C$44/$E$16</f>
        <v>-719565</v>
      </c>
      <c r="K67" s="205" t="n">
        <f aca="false">$C$44/$E$16</f>
        <v>-719565</v>
      </c>
      <c r="L67" s="205" t="n">
        <f aca="false">$C$44/$E$16</f>
        <v>-719565</v>
      </c>
      <c r="M67" s="205" t="n">
        <f aca="false">$C$44/$E$16</f>
        <v>-719565</v>
      </c>
      <c r="N67" s="205" t="n">
        <f aca="false">$C$44/$E$16</f>
        <v>-719565</v>
      </c>
      <c r="O67" s="205" t="n">
        <f aca="false">$C$44/$E$16</f>
        <v>-719565</v>
      </c>
      <c r="P67" s="205" t="n">
        <f aca="false">$C$44/$E$16</f>
        <v>-719565</v>
      </c>
      <c r="Q67" s="205" t="n">
        <f aca="false">$C$44/$E$16</f>
        <v>-719565</v>
      </c>
      <c r="R67" s="205" t="n">
        <f aca="false">$C$44/$E$16</f>
        <v>-719565</v>
      </c>
      <c r="S67" s="205" t="n">
        <f aca="false">$C$44/$E$16</f>
        <v>-719565</v>
      </c>
      <c r="T67" s="205" t="n">
        <f aca="false">$C$44/$E$16</f>
        <v>-719565</v>
      </c>
      <c r="U67" s="205" t="n">
        <f aca="false">$C$44/$E$16</f>
        <v>-719565</v>
      </c>
      <c r="V67" s="205" t="n">
        <f aca="false">$C$44/$E$16</f>
        <v>-719565</v>
      </c>
      <c r="W67" s="205" t="n">
        <f aca="false">$C$44/$E$16</f>
        <v>-719565</v>
      </c>
      <c r="X67" s="177"/>
    </row>
    <row r="68" customFormat="false" ht="18.75" hidden="false" customHeight="true" outlineLevel="0" collapsed="false">
      <c r="B68" s="182" t="s">
        <v>57</v>
      </c>
      <c r="C68" s="174" t="s">
        <v>3</v>
      </c>
      <c r="D68" s="184" t="n">
        <f aca="false">D45</f>
        <v>0</v>
      </c>
      <c r="E68" s="184" t="n">
        <f aca="false">E45</f>
        <v>0</v>
      </c>
      <c r="F68" s="184" t="n">
        <f aca="false">F45</f>
        <v>0</v>
      </c>
      <c r="G68" s="184" t="n">
        <f aca="false">G45</f>
        <v>0</v>
      </c>
      <c r="H68" s="184" t="n">
        <f aca="false">H45</f>
        <v>0</v>
      </c>
      <c r="I68" s="184" t="n">
        <f aca="false">I45</f>
        <v>0</v>
      </c>
      <c r="J68" s="184" t="n">
        <f aca="false">J45</f>
        <v>0</v>
      </c>
      <c r="K68" s="184" t="n">
        <f aca="false">K45</f>
        <v>0</v>
      </c>
      <c r="L68" s="184" t="n">
        <f aca="false">L45</f>
        <v>0</v>
      </c>
      <c r="M68" s="184" t="n">
        <f aca="false">M45</f>
        <v>0</v>
      </c>
      <c r="N68" s="184" t="n">
        <f aca="false">N45</f>
        <v>0</v>
      </c>
      <c r="O68" s="184" t="n">
        <f aca="false">O45</f>
        <v>0</v>
      </c>
      <c r="P68" s="184" t="n">
        <f aca="false">P45</f>
        <v>0</v>
      </c>
      <c r="Q68" s="184" t="n">
        <f aca="false">Q45</f>
        <v>0</v>
      </c>
      <c r="R68" s="184" t="n">
        <f aca="false">R45</f>
        <v>0</v>
      </c>
      <c r="S68" s="184" t="n">
        <f aca="false">S45</f>
        <v>0</v>
      </c>
      <c r="T68" s="184" t="n">
        <f aca="false">T45</f>
        <v>0</v>
      </c>
      <c r="U68" s="184" t="n">
        <f aca="false">U45</f>
        <v>0</v>
      </c>
      <c r="V68" s="184" t="n">
        <f aca="false">V45</f>
        <v>0</v>
      </c>
      <c r="W68" s="184" t="n">
        <f aca="false">W45</f>
        <v>0</v>
      </c>
      <c r="X68" s="177"/>
    </row>
    <row r="69" customFormat="false" ht="18.75" hidden="false" customHeight="true" outlineLevel="0" collapsed="false">
      <c r="B69" s="182" t="s">
        <v>58</v>
      </c>
      <c r="C69" s="174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7"/>
    </row>
    <row r="70" customFormat="false" ht="18.75" hidden="false" customHeight="true" outlineLevel="0" collapsed="false">
      <c r="B70" s="182" t="s">
        <v>59</v>
      </c>
      <c r="C70" s="174" t="s">
        <v>3</v>
      </c>
      <c r="D70" s="184" t="n">
        <f aca="false">-D109*$D25</f>
        <v>-294676.2588</v>
      </c>
      <c r="E70" s="184" t="n">
        <f aca="false">-E109*$D25</f>
        <v>-294676.2588</v>
      </c>
      <c r="F70" s="184" t="n">
        <f aca="false">-F109*$D25</f>
        <v>-294676.2588</v>
      </c>
      <c r="G70" s="184" t="n">
        <f aca="false">-G109*$D25</f>
        <v>-294676.2588</v>
      </c>
      <c r="H70" s="184" t="n">
        <f aca="false">-H109*$D25</f>
        <v>-294676.2588</v>
      </c>
      <c r="I70" s="184" t="n">
        <f aca="false">-I109*$D25</f>
        <v>-294676.2588</v>
      </c>
      <c r="J70" s="184" t="n">
        <f aca="false">-J109*$D25</f>
        <v>-294676.2588</v>
      </c>
      <c r="K70" s="184" t="n">
        <f aca="false">-K109*$D25</f>
        <v>-294676.2588</v>
      </c>
      <c r="L70" s="184" t="n">
        <f aca="false">-L109*$D25</f>
        <v>-294676.2588</v>
      </c>
      <c r="M70" s="184" t="n">
        <f aca="false">-M109*$D25</f>
        <v>-294676.2588</v>
      </c>
      <c r="N70" s="184" t="n">
        <f aca="false">-N109*$D25</f>
        <v>-294676.2588</v>
      </c>
      <c r="O70" s="184" t="n">
        <f aca="false">-O109*$D25</f>
        <v>-294676.2588</v>
      </c>
      <c r="P70" s="184" t="n">
        <f aca="false">-P109*$D25</f>
        <v>-294676.2588</v>
      </c>
      <c r="Q70" s="184" t="n">
        <f aca="false">-Q109*$D25</f>
        <v>-294676.2588</v>
      </c>
      <c r="R70" s="184" t="n">
        <f aca="false">-R109*$D25</f>
        <v>-294676.2588</v>
      </c>
      <c r="S70" s="184" t="n">
        <f aca="false">-S109*$D25</f>
        <v>-294676.2588</v>
      </c>
      <c r="T70" s="184" t="n">
        <f aca="false">-T109*$D25</f>
        <v>-294676.2588</v>
      </c>
      <c r="U70" s="184" t="n">
        <f aca="false">-U109*$D25</f>
        <v>-294676.2588</v>
      </c>
      <c r="V70" s="184" t="n">
        <f aca="false">-V109*$D25</f>
        <v>-294676.2588</v>
      </c>
      <c r="W70" s="184" t="n">
        <f aca="false">-W109*$D25</f>
        <v>-294676.2588</v>
      </c>
      <c r="X70" s="177"/>
    </row>
    <row r="71" customFormat="false" ht="18.75" hidden="false" customHeight="true" outlineLevel="0" collapsed="false">
      <c r="B71" s="182" t="s">
        <v>60</v>
      </c>
      <c r="C71" s="174" t="s">
        <v>3</v>
      </c>
      <c r="D71" s="184" t="n">
        <f aca="false">D48</f>
        <v>0</v>
      </c>
      <c r="E71" s="184" t="n">
        <f aca="false">E48</f>
        <v>0</v>
      </c>
      <c r="F71" s="184" t="n">
        <f aca="false">F48</f>
        <v>0</v>
      </c>
      <c r="G71" s="184" t="n">
        <f aca="false">G48</f>
        <v>0</v>
      </c>
      <c r="H71" s="184" t="n">
        <f aca="false">H48</f>
        <v>0</v>
      </c>
      <c r="I71" s="184" t="n">
        <f aca="false">I48</f>
        <v>0</v>
      </c>
      <c r="J71" s="184" t="n">
        <f aca="false">J48</f>
        <v>0</v>
      </c>
      <c r="K71" s="184" t="n">
        <f aca="false">K48</f>
        <v>0</v>
      </c>
      <c r="L71" s="184" t="n">
        <f aca="false">L48</f>
        <v>0</v>
      </c>
      <c r="M71" s="184" t="n">
        <f aca="false">M48</f>
        <v>0</v>
      </c>
      <c r="N71" s="184" t="n">
        <f aca="false">N48</f>
        <v>0</v>
      </c>
      <c r="O71" s="184" t="n">
        <f aca="false">O48</f>
        <v>0</v>
      </c>
      <c r="P71" s="184" t="n">
        <f aca="false">P48</f>
        <v>0</v>
      </c>
      <c r="Q71" s="184" t="n">
        <f aca="false">Q48</f>
        <v>0</v>
      </c>
      <c r="R71" s="184" t="n">
        <f aca="false">R48</f>
        <v>0</v>
      </c>
      <c r="S71" s="184" t="n">
        <f aca="false">S48</f>
        <v>0</v>
      </c>
      <c r="T71" s="184" t="n">
        <f aca="false">T48</f>
        <v>0</v>
      </c>
      <c r="U71" s="184" t="n">
        <f aca="false">U48</f>
        <v>0</v>
      </c>
      <c r="V71" s="184" t="n">
        <f aca="false">V48</f>
        <v>0</v>
      </c>
      <c r="W71" s="184" t="n">
        <f aca="false">W48</f>
        <v>0</v>
      </c>
      <c r="X71" s="177"/>
    </row>
    <row r="72" customFormat="false" ht="18.75" hidden="false" customHeight="true" outlineLevel="0" collapsed="false">
      <c r="B72" s="182" t="s">
        <v>61</v>
      </c>
      <c r="C72" s="174" t="s">
        <v>3</v>
      </c>
      <c r="D72" s="184" t="n">
        <f aca="false">D49</f>
        <v>0</v>
      </c>
      <c r="E72" s="184" t="n">
        <f aca="false">E49</f>
        <v>0</v>
      </c>
      <c r="F72" s="184" t="n">
        <f aca="false">F49</f>
        <v>0</v>
      </c>
      <c r="G72" s="184" t="n">
        <f aca="false">G49</f>
        <v>0</v>
      </c>
      <c r="H72" s="184" t="n">
        <f aca="false">H49</f>
        <v>0</v>
      </c>
      <c r="I72" s="184" t="n">
        <f aca="false">I49</f>
        <v>0</v>
      </c>
      <c r="J72" s="184" t="n">
        <f aca="false">J49</f>
        <v>0</v>
      </c>
      <c r="K72" s="184" t="n">
        <f aca="false">K49</f>
        <v>0</v>
      </c>
      <c r="L72" s="184" t="n">
        <f aca="false">L49</f>
        <v>0</v>
      </c>
      <c r="M72" s="184" t="n">
        <f aca="false">M49</f>
        <v>0</v>
      </c>
      <c r="N72" s="184" t="n">
        <f aca="false">N49</f>
        <v>0</v>
      </c>
      <c r="O72" s="184" t="n">
        <f aca="false">O49</f>
        <v>0</v>
      </c>
      <c r="P72" s="184" t="n">
        <f aca="false">P49</f>
        <v>0</v>
      </c>
      <c r="Q72" s="184" t="n">
        <f aca="false">Q49</f>
        <v>0</v>
      </c>
      <c r="R72" s="184" t="n">
        <f aca="false">R49</f>
        <v>0</v>
      </c>
      <c r="S72" s="184" t="n">
        <f aca="false">S49</f>
        <v>0</v>
      </c>
      <c r="T72" s="184" t="n">
        <f aca="false">T49</f>
        <v>0</v>
      </c>
      <c r="U72" s="184" t="n">
        <f aca="false">U49</f>
        <v>0</v>
      </c>
      <c r="V72" s="184" t="n">
        <f aca="false">V49</f>
        <v>0</v>
      </c>
      <c r="W72" s="184" t="n">
        <f aca="false">W49</f>
        <v>0</v>
      </c>
      <c r="X72" s="177"/>
    </row>
    <row r="73" customFormat="false" ht="18.75" hidden="false" customHeight="true" outlineLevel="0" collapsed="false">
      <c r="B73" s="182" t="s">
        <v>62</v>
      </c>
      <c r="C73" s="174"/>
      <c r="D73" s="184" t="n">
        <f aca="false">D50</f>
        <v>0</v>
      </c>
      <c r="E73" s="184" t="n">
        <f aca="false">E50</f>
        <v>0</v>
      </c>
      <c r="F73" s="184" t="n">
        <f aca="false">F50</f>
        <v>0</v>
      </c>
      <c r="G73" s="184" t="n">
        <f aca="false">G50</f>
        <v>0</v>
      </c>
      <c r="H73" s="184" t="n">
        <f aca="false">H50</f>
        <v>0</v>
      </c>
      <c r="I73" s="184" t="n">
        <f aca="false">I50</f>
        <v>0</v>
      </c>
      <c r="J73" s="184" t="n">
        <f aca="false">J50</f>
        <v>0</v>
      </c>
      <c r="K73" s="184" t="n">
        <f aca="false">K50</f>
        <v>0</v>
      </c>
      <c r="L73" s="184" t="n">
        <f aca="false">L50</f>
        <v>0</v>
      </c>
      <c r="M73" s="184" t="n">
        <f aca="false">M50</f>
        <v>0</v>
      </c>
      <c r="N73" s="184" t="n">
        <f aca="false">N50</f>
        <v>0</v>
      </c>
      <c r="O73" s="184" t="n">
        <f aca="false">O50</f>
        <v>0</v>
      </c>
      <c r="P73" s="184" t="n">
        <f aca="false">P50</f>
        <v>0</v>
      </c>
      <c r="Q73" s="184" t="n">
        <f aca="false">Q50</f>
        <v>0</v>
      </c>
      <c r="R73" s="184" t="n">
        <f aca="false">R50</f>
        <v>0</v>
      </c>
      <c r="S73" s="184" t="n">
        <f aca="false">S50</f>
        <v>0</v>
      </c>
      <c r="T73" s="184" t="n">
        <f aca="false">T50</f>
        <v>0</v>
      </c>
      <c r="U73" s="184" t="n">
        <f aca="false">U50</f>
        <v>0</v>
      </c>
      <c r="V73" s="184" t="n">
        <f aca="false">V50</f>
        <v>0</v>
      </c>
      <c r="W73" s="184" t="n">
        <f aca="false">W50</f>
        <v>0</v>
      </c>
      <c r="X73" s="177"/>
    </row>
    <row r="74" customFormat="false" ht="18.75" hidden="false" customHeight="true" outlineLevel="0" collapsed="false">
      <c r="B74" s="182" t="s">
        <v>63</v>
      </c>
      <c r="C74" s="185"/>
      <c r="D74" s="206"/>
      <c r="E74" s="207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7"/>
    </row>
    <row r="75" customFormat="false" ht="18.75" hidden="false" customHeight="true" outlineLevel="0" collapsed="false">
      <c r="B75" s="182" t="s">
        <v>64</v>
      </c>
      <c r="C75" s="18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7"/>
    </row>
    <row r="76" customFormat="false" ht="18.75" hidden="false" customHeight="true" outlineLevel="0" collapsed="false">
      <c r="B76" s="187" t="s">
        <v>121</v>
      </c>
      <c r="C76" s="208"/>
      <c r="D76" s="189" t="n">
        <f aca="false">SUM(D64:D75)</f>
        <v>997658.353296</v>
      </c>
      <c r="E76" s="189" t="n">
        <f aca="false">SUM(E64:E75)</f>
        <v>989529.4659744</v>
      </c>
      <c r="F76" s="189" t="n">
        <f aca="false">SUM(F64:F75)</f>
        <v>981400.5786528</v>
      </c>
      <c r="G76" s="189" t="n">
        <f aca="false">SUM(G64:G75)</f>
        <v>973271.6913312</v>
      </c>
      <c r="H76" s="189" t="n">
        <f aca="false">SUM(H64:H75)</f>
        <v>965142.8040096</v>
      </c>
      <c r="I76" s="189" t="n">
        <f aca="false">SUM(I64:I75)</f>
        <v>957013.916688</v>
      </c>
      <c r="J76" s="189" t="n">
        <f aca="false">SUM(J64:J75)</f>
        <v>948885.0293664</v>
      </c>
      <c r="K76" s="189" t="n">
        <f aca="false">SUM(K64:K75)</f>
        <v>940756.1420448</v>
      </c>
      <c r="L76" s="189" t="n">
        <f aca="false">SUM(L64:L75)</f>
        <v>932627.2547232</v>
      </c>
      <c r="M76" s="189" t="n">
        <f aca="false">SUM(M64:M75)</f>
        <v>924498.3674016</v>
      </c>
      <c r="N76" s="189" t="n">
        <f aca="false">SUM(N64:N75)</f>
        <v>916369.48008</v>
      </c>
      <c r="O76" s="189" t="n">
        <f aca="false">SUM(O64:O75)</f>
        <v>908240.5927584</v>
      </c>
      <c r="P76" s="189" t="n">
        <f aca="false">SUM(P64:P75)</f>
        <v>900111.7054368</v>
      </c>
      <c r="Q76" s="189" t="n">
        <f aca="false">SUM(Q64:Q75)</f>
        <v>891982.8181152</v>
      </c>
      <c r="R76" s="189" t="n">
        <f aca="false">SUM(R64:R75)</f>
        <v>883853.9307936</v>
      </c>
      <c r="S76" s="189" t="n">
        <f aca="false">SUM(S64:S75)</f>
        <v>875725.043472</v>
      </c>
      <c r="T76" s="189" t="n">
        <f aca="false">SUM(T64:T75)</f>
        <v>867596.1561504</v>
      </c>
      <c r="U76" s="189" t="n">
        <f aca="false">SUM(U64:U75)</f>
        <v>859467.2688288</v>
      </c>
      <c r="V76" s="189" t="n">
        <f aca="false">SUM(V64:V75)</f>
        <v>851338.3815072</v>
      </c>
      <c r="W76" s="189" t="n">
        <f aca="false">SUM(W64:W75)</f>
        <v>843209.4941856</v>
      </c>
      <c r="X76" s="189" t="n">
        <f aca="false">SUM(X64:X75)</f>
        <v>0</v>
      </c>
    </row>
    <row r="77" customFormat="false" ht="18.75" hidden="false" customHeight="true" outlineLevel="0" collapsed="false">
      <c r="B77" s="186" t="s">
        <v>66</v>
      </c>
      <c r="C77" s="185"/>
      <c r="D77" s="184" t="n">
        <f aca="false">-D76*0.2</f>
        <v>-199531.6706592</v>
      </c>
      <c r="E77" s="184" t="n">
        <f aca="false">-E76*0.2</f>
        <v>-197905.89319488</v>
      </c>
      <c r="F77" s="184" t="n">
        <f aca="false">-F76*0.2</f>
        <v>-196280.11573056</v>
      </c>
      <c r="G77" s="184" t="n">
        <f aca="false">-G76*0.2</f>
        <v>-194654.33826624</v>
      </c>
      <c r="H77" s="184" t="n">
        <f aca="false">-H76*0.2</f>
        <v>-193028.56080192</v>
      </c>
      <c r="I77" s="184" t="n">
        <f aca="false">-I76*0.2</f>
        <v>-191402.7833376</v>
      </c>
      <c r="J77" s="184" t="n">
        <f aca="false">-J76*0.2</f>
        <v>-189777.00587328</v>
      </c>
      <c r="K77" s="184" t="n">
        <f aca="false">-K76*0.2</f>
        <v>-188151.22840896</v>
      </c>
      <c r="L77" s="184" t="n">
        <f aca="false">-L76*0.2</f>
        <v>-186525.45094464</v>
      </c>
      <c r="M77" s="184" t="n">
        <f aca="false">-M76*0.2</f>
        <v>-184899.67348032</v>
      </c>
      <c r="N77" s="184" t="n">
        <f aca="false">-N76*0.2</f>
        <v>-183273.896016</v>
      </c>
      <c r="O77" s="184" t="n">
        <f aca="false">-O76*0.2</f>
        <v>-181648.11855168</v>
      </c>
      <c r="P77" s="184" t="n">
        <f aca="false">-P76*0.2</f>
        <v>-180022.34108736</v>
      </c>
      <c r="Q77" s="184" t="n">
        <f aca="false">-Q76*0.2</f>
        <v>-178396.56362304</v>
      </c>
      <c r="R77" s="184" t="n">
        <f aca="false">-R76*0.2</f>
        <v>-176770.78615872</v>
      </c>
      <c r="S77" s="184" t="n">
        <f aca="false">-S76*0.2</f>
        <v>-175145.0086944</v>
      </c>
      <c r="T77" s="184" t="n">
        <f aca="false">-T76*0.2</f>
        <v>-173519.23123008</v>
      </c>
      <c r="U77" s="184" t="n">
        <f aca="false">-U76*0.2</f>
        <v>-171893.45376576</v>
      </c>
      <c r="V77" s="184" t="n">
        <f aca="false">-V76*0.2</f>
        <v>-170267.67630144</v>
      </c>
      <c r="W77" s="184" t="n">
        <f aca="false">-W76*0.2</f>
        <v>-168641.89883712</v>
      </c>
      <c r="X77" s="184" t="n">
        <f aca="false">-X76*0.2</f>
        <v>-0</v>
      </c>
    </row>
    <row r="78" customFormat="false" ht="15" hidden="false" customHeight="false" outlineLevel="0" collapsed="false">
      <c r="B78" s="209" t="s">
        <v>76</v>
      </c>
      <c r="D78" s="184" t="n">
        <f aca="false">SUM(D76:D77)</f>
        <v>798126.6826368</v>
      </c>
      <c r="E78" s="184" t="n">
        <f aca="false">SUM(E76:E77)</f>
        <v>791623.57277952</v>
      </c>
      <c r="F78" s="184" t="n">
        <f aca="false">SUM(F76:F77)</f>
        <v>785120.46292224</v>
      </c>
      <c r="G78" s="184" t="n">
        <f aca="false">SUM(G76:G77)</f>
        <v>778617.35306496</v>
      </c>
      <c r="H78" s="184" t="n">
        <f aca="false">SUM(H76:H77)</f>
        <v>772114.24320768</v>
      </c>
      <c r="I78" s="184" t="n">
        <f aca="false">SUM(I76:I77)</f>
        <v>765611.1333504</v>
      </c>
      <c r="J78" s="184" t="n">
        <f aca="false">SUM(J76:J77)</f>
        <v>759108.02349312</v>
      </c>
      <c r="K78" s="184" t="n">
        <f aca="false">SUM(K76:K77)</f>
        <v>752604.91363584</v>
      </c>
      <c r="L78" s="184" t="n">
        <f aca="false">SUM(L76:L77)</f>
        <v>746101.80377856</v>
      </c>
      <c r="M78" s="184" t="n">
        <f aca="false">SUM(M76:M77)</f>
        <v>739598.69392128</v>
      </c>
      <c r="N78" s="184" t="n">
        <f aca="false">SUM(N76:N77)</f>
        <v>733095.584064</v>
      </c>
      <c r="O78" s="184" t="n">
        <f aca="false">SUM(O76:O77)</f>
        <v>726592.47420672</v>
      </c>
      <c r="P78" s="184" t="n">
        <f aca="false">SUM(P76:P77)</f>
        <v>720089.36434944</v>
      </c>
      <c r="Q78" s="184" t="n">
        <f aca="false">SUM(Q76:Q77)</f>
        <v>713586.25449216</v>
      </c>
      <c r="R78" s="184" t="n">
        <f aca="false">SUM(R76:R77)</f>
        <v>707083.14463488</v>
      </c>
      <c r="S78" s="184" t="n">
        <f aca="false">SUM(S76:S77)</f>
        <v>700580.0347776</v>
      </c>
      <c r="T78" s="184" t="n">
        <f aca="false">SUM(T76:T77)</f>
        <v>694076.92492032</v>
      </c>
      <c r="U78" s="184" t="n">
        <f aca="false">SUM(U76:U77)</f>
        <v>687573.81506304</v>
      </c>
      <c r="V78" s="184" t="n">
        <f aca="false">SUM(V76:V77)</f>
        <v>681070.70520576</v>
      </c>
      <c r="W78" s="184" t="n">
        <f aca="false">SUM(W76:W77)</f>
        <v>674567.59534848</v>
      </c>
      <c r="X78" s="184" t="n">
        <f aca="false">SUM(X76:X77)</f>
        <v>0</v>
      </c>
    </row>
    <row r="79" customFormat="false" ht="18.75" hidden="false" customHeight="true" outlineLevel="0" collapsed="false">
      <c r="B79" s="193" t="s">
        <v>68</v>
      </c>
      <c r="C79" s="196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1"/>
    </row>
    <row r="80" customFormat="false" ht="18.75" hidden="false" customHeight="true" outlineLevel="0" collapsed="false">
      <c r="B80" s="212" t="s">
        <v>74</v>
      </c>
      <c r="C80" s="213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5"/>
    </row>
    <row r="81" customFormat="false" ht="18.75" hidden="false" customHeight="true" outlineLevel="0" collapsed="false">
      <c r="B81" s="202"/>
      <c r="C81" s="201"/>
      <c r="D81" s="201"/>
      <c r="E81" s="201"/>
      <c r="F81" s="202"/>
      <c r="G81" s="202"/>
      <c r="H81" s="202"/>
      <c r="I81" s="202"/>
      <c r="J81" s="202"/>
      <c r="K81" s="202"/>
      <c r="L81" s="202"/>
      <c r="M81" s="201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</row>
    <row r="82" customFormat="false" ht="18.75" hidden="false" customHeight="true" outlineLevel="0" collapsed="false">
      <c r="C82" s="216" t="s">
        <v>48</v>
      </c>
      <c r="D82" s="217" t="n">
        <f aca="false">D37</f>
        <v>2020</v>
      </c>
      <c r="E82" s="217" t="n">
        <f aca="false">E37</f>
        <v>2021</v>
      </c>
      <c r="F82" s="217" t="n">
        <f aca="false">F37</f>
        <v>2022</v>
      </c>
      <c r="G82" s="217" t="n">
        <f aca="false">G37</f>
        <v>2023</v>
      </c>
      <c r="H82" s="217" t="n">
        <f aca="false">H37</f>
        <v>2024</v>
      </c>
      <c r="I82" s="217" t="n">
        <f aca="false">I37</f>
        <v>2025</v>
      </c>
      <c r="J82" s="217" t="n">
        <f aca="false">J37</f>
        <v>2026</v>
      </c>
      <c r="K82" s="217" t="n">
        <f aca="false">K37</f>
        <v>2027</v>
      </c>
      <c r="L82" s="217" t="n">
        <f aca="false">L37</f>
        <v>2028</v>
      </c>
      <c r="M82" s="217" t="n">
        <f aca="false">M37</f>
        <v>2029</v>
      </c>
      <c r="N82" s="217" t="n">
        <f aca="false">N37</f>
        <v>2030</v>
      </c>
      <c r="O82" s="217" t="n">
        <f aca="false">O37</f>
        <v>2031</v>
      </c>
      <c r="P82" s="217" t="n">
        <f aca="false">P37</f>
        <v>2032</v>
      </c>
      <c r="Q82" s="217" t="n">
        <f aca="false">Q37</f>
        <v>2033</v>
      </c>
      <c r="R82" s="217" t="n">
        <f aca="false">R37</f>
        <v>2034</v>
      </c>
      <c r="S82" s="217" t="n">
        <f aca="false">S37</f>
        <v>2035</v>
      </c>
      <c r="T82" s="217" t="n">
        <f aca="false">T37</f>
        <v>2036</v>
      </c>
      <c r="U82" s="217" t="n">
        <f aca="false">U37</f>
        <v>2037</v>
      </c>
      <c r="V82" s="217" t="n">
        <f aca="false">V37</f>
        <v>2038</v>
      </c>
      <c r="W82" s="217" t="n">
        <f aca="false">W37</f>
        <v>2039</v>
      </c>
      <c r="X82" s="72"/>
    </row>
    <row r="83" customFormat="false" ht="18.75" hidden="false" customHeight="true" outlineLevel="0" collapsed="false">
      <c r="X83" s="135"/>
    </row>
    <row r="84" customFormat="false" ht="18.75" hidden="false" customHeight="true" outlineLevel="0" collapsed="false">
      <c r="B84" s="218" t="s">
        <v>51</v>
      </c>
      <c r="C84" s="218" t="n">
        <v>0</v>
      </c>
      <c r="D84" s="218" t="n">
        <v>1</v>
      </c>
      <c r="E84" s="218" t="n">
        <v>2</v>
      </c>
      <c r="F84" s="218" t="n">
        <v>3</v>
      </c>
      <c r="G84" s="218" t="n">
        <v>4</v>
      </c>
      <c r="H84" s="218" t="n">
        <v>5</v>
      </c>
      <c r="I84" s="218" t="n">
        <v>6</v>
      </c>
      <c r="J84" s="218" t="n">
        <v>7</v>
      </c>
      <c r="K84" s="218" t="n">
        <v>8</v>
      </c>
      <c r="L84" s="218" t="n">
        <v>9</v>
      </c>
      <c r="M84" s="218" t="n">
        <v>10</v>
      </c>
      <c r="N84" s="218" t="n">
        <v>11</v>
      </c>
      <c r="O84" s="218" t="n">
        <v>12</v>
      </c>
      <c r="P84" s="218" t="n">
        <v>13</v>
      </c>
      <c r="Q84" s="218" t="n">
        <v>14</v>
      </c>
      <c r="R84" s="218" t="n">
        <v>15</v>
      </c>
      <c r="S84" s="218" t="n">
        <v>16</v>
      </c>
      <c r="T84" s="218" t="n">
        <v>17</v>
      </c>
      <c r="U84" s="218" t="n">
        <v>18</v>
      </c>
      <c r="V84" s="218" t="n">
        <v>19</v>
      </c>
      <c r="W84" s="218" t="n">
        <v>20</v>
      </c>
      <c r="X84" s="103"/>
    </row>
    <row r="85" customFormat="false" ht="18.75" hidden="false" customHeight="true" outlineLevel="0" collapsed="false">
      <c r="B85" s="219" t="s">
        <v>76</v>
      </c>
      <c r="C85" s="219"/>
      <c r="D85" s="220" t="n">
        <f aca="false">D78</f>
        <v>798126.6826368</v>
      </c>
      <c r="E85" s="220" t="n">
        <f aca="false">E78</f>
        <v>791623.57277952</v>
      </c>
      <c r="F85" s="220" t="n">
        <f aca="false">F78</f>
        <v>785120.46292224</v>
      </c>
      <c r="G85" s="220" t="n">
        <f aca="false">G78</f>
        <v>778617.35306496</v>
      </c>
      <c r="H85" s="220" t="n">
        <f aca="false">H78</f>
        <v>772114.24320768</v>
      </c>
      <c r="I85" s="220" t="n">
        <f aca="false">I78</f>
        <v>765611.1333504</v>
      </c>
      <c r="J85" s="220" t="n">
        <f aca="false">J78</f>
        <v>759108.02349312</v>
      </c>
      <c r="K85" s="220" t="n">
        <f aca="false">K78</f>
        <v>752604.91363584</v>
      </c>
      <c r="L85" s="220" t="n">
        <f aca="false">L78</f>
        <v>746101.80377856</v>
      </c>
      <c r="M85" s="220" t="n">
        <f aca="false">M78</f>
        <v>739598.69392128</v>
      </c>
      <c r="N85" s="220" t="n">
        <f aca="false">N78</f>
        <v>733095.584064</v>
      </c>
      <c r="O85" s="220" t="n">
        <f aca="false">O78</f>
        <v>726592.47420672</v>
      </c>
      <c r="P85" s="220" t="n">
        <f aca="false">P78</f>
        <v>720089.36434944</v>
      </c>
      <c r="Q85" s="220" t="n">
        <f aca="false">Q78</f>
        <v>713586.25449216</v>
      </c>
      <c r="R85" s="220" t="n">
        <f aca="false">R78</f>
        <v>707083.14463488</v>
      </c>
      <c r="S85" s="220" t="n">
        <f aca="false">S78</f>
        <v>700580.0347776</v>
      </c>
      <c r="T85" s="220" t="n">
        <f aca="false">T78</f>
        <v>694076.92492032</v>
      </c>
      <c r="U85" s="220" t="n">
        <f aca="false">U78</f>
        <v>687573.81506304</v>
      </c>
      <c r="V85" s="220" t="n">
        <f aca="false">V78</f>
        <v>681070.70520576</v>
      </c>
      <c r="W85" s="220" t="n">
        <f aca="false">W78</f>
        <v>674567.59534848</v>
      </c>
      <c r="X85" s="219"/>
      <c r="Y85" s="219"/>
    </row>
    <row r="86" customFormat="false" ht="15" hidden="false" customHeight="false" outlineLevel="0" collapsed="false">
      <c r="B86" s="219" t="s">
        <v>77</v>
      </c>
      <c r="C86" s="219"/>
      <c r="D86" s="221" t="n">
        <f aca="false">-D67</f>
        <v>719565</v>
      </c>
      <c r="E86" s="221" t="n">
        <f aca="false">-E67</f>
        <v>719565</v>
      </c>
      <c r="F86" s="221" t="n">
        <f aca="false">-F67</f>
        <v>719565</v>
      </c>
      <c r="G86" s="221" t="n">
        <f aca="false">-G67</f>
        <v>719565</v>
      </c>
      <c r="H86" s="221" t="n">
        <f aca="false">-H67</f>
        <v>719565</v>
      </c>
      <c r="I86" s="221" t="n">
        <f aca="false">-I67</f>
        <v>719565</v>
      </c>
      <c r="J86" s="221" t="n">
        <f aca="false">-J67</f>
        <v>719565</v>
      </c>
      <c r="K86" s="221" t="n">
        <f aca="false">-K67</f>
        <v>719565</v>
      </c>
      <c r="L86" s="221" t="n">
        <f aca="false">-L67</f>
        <v>719565</v>
      </c>
      <c r="M86" s="221" t="n">
        <f aca="false">-M67</f>
        <v>719565</v>
      </c>
      <c r="N86" s="221" t="n">
        <f aca="false">-N67</f>
        <v>719565</v>
      </c>
      <c r="O86" s="221" t="n">
        <f aca="false">-O67</f>
        <v>719565</v>
      </c>
      <c r="P86" s="221" t="n">
        <f aca="false">-P67</f>
        <v>719565</v>
      </c>
      <c r="Q86" s="221" t="n">
        <f aca="false">-Q67</f>
        <v>719565</v>
      </c>
      <c r="R86" s="221" t="n">
        <f aca="false">-R67</f>
        <v>719565</v>
      </c>
      <c r="S86" s="221" t="n">
        <f aca="false">-S67</f>
        <v>719565</v>
      </c>
      <c r="T86" s="221" t="n">
        <f aca="false">-T67</f>
        <v>719565</v>
      </c>
      <c r="U86" s="221" t="n">
        <f aca="false">-U67</f>
        <v>719565</v>
      </c>
      <c r="V86" s="221" t="n">
        <f aca="false">-V67</f>
        <v>719565</v>
      </c>
      <c r="W86" s="221" t="n">
        <f aca="false">-W67</f>
        <v>719565</v>
      </c>
      <c r="X86" s="222"/>
      <c r="Y86" s="222"/>
    </row>
    <row r="87" customFormat="false" ht="15" hidden="false" customHeight="false" outlineLevel="0" collapsed="false">
      <c r="B87" s="219" t="s">
        <v>78</v>
      </c>
      <c r="C87" s="219"/>
      <c r="D87" s="223" t="n">
        <f aca="false">SUM(D85:D86)</f>
        <v>1517691.6826368</v>
      </c>
      <c r="E87" s="223" t="n">
        <f aca="false">SUM(E85:E86)</f>
        <v>1511188.57277952</v>
      </c>
      <c r="F87" s="223" t="n">
        <f aca="false">SUM(F85:F86)</f>
        <v>1504685.46292224</v>
      </c>
      <c r="G87" s="223" t="n">
        <f aca="false">SUM(G85:G86)</f>
        <v>1498182.35306496</v>
      </c>
      <c r="H87" s="223" t="n">
        <f aca="false">SUM(H85:H86)</f>
        <v>1491679.24320768</v>
      </c>
      <c r="I87" s="223" t="n">
        <f aca="false">SUM(I85:I86)</f>
        <v>1485176.1333504</v>
      </c>
      <c r="J87" s="223" t="n">
        <f aca="false">SUM(J85:J86)</f>
        <v>1478673.02349312</v>
      </c>
      <c r="K87" s="223" t="n">
        <f aca="false">SUM(K85:K86)</f>
        <v>1472169.91363584</v>
      </c>
      <c r="L87" s="223" t="n">
        <f aca="false">SUM(L85:L86)</f>
        <v>1465666.80377856</v>
      </c>
      <c r="M87" s="223" t="n">
        <f aca="false">SUM(M85:M86)</f>
        <v>1459163.69392128</v>
      </c>
      <c r="N87" s="223" t="n">
        <f aca="false">SUM(N85:N86)</f>
        <v>1452660.584064</v>
      </c>
      <c r="O87" s="223" t="n">
        <f aca="false">SUM(O85:O86)</f>
        <v>1446157.47420672</v>
      </c>
      <c r="P87" s="223" t="n">
        <f aca="false">SUM(P85:P86)</f>
        <v>1439654.36434944</v>
      </c>
      <c r="Q87" s="223" t="n">
        <f aca="false">SUM(Q85:Q86)</f>
        <v>1433151.25449216</v>
      </c>
      <c r="R87" s="223" t="n">
        <f aca="false">SUM(R85:R86)</f>
        <v>1426648.14463488</v>
      </c>
      <c r="S87" s="223" t="n">
        <f aca="false">SUM(S85:S86)</f>
        <v>1420145.0347776</v>
      </c>
      <c r="T87" s="223" t="n">
        <f aca="false">SUM(T85:T86)</f>
        <v>1413641.92492032</v>
      </c>
      <c r="U87" s="223" t="n">
        <f aca="false">SUM(U85:U86)</f>
        <v>1407138.81506304</v>
      </c>
      <c r="V87" s="223" t="n">
        <f aca="false">SUM(V85:V86)</f>
        <v>1400635.70520576</v>
      </c>
      <c r="W87" s="223" t="n">
        <f aca="false">SUM(W85:W86)</f>
        <v>1394132.59534848</v>
      </c>
      <c r="X87" s="192"/>
    </row>
    <row r="88" customFormat="false" ht="15" hidden="false" customHeight="false" outlineLevel="0" collapsed="false">
      <c r="B88" s="219"/>
      <c r="C88" s="219"/>
      <c r="D88" s="219"/>
      <c r="E88" s="219"/>
      <c r="F88" s="224"/>
      <c r="G88" s="224"/>
      <c r="H88" s="224"/>
      <c r="I88" s="224"/>
      <c r="J88" s="224"/>
      <c r="K88" s="224"/>
      <c r="L88" s="224"/>
      <c r="M88" s="224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191"/>
    </row>
    <row r="89" customFormat="false" ht="17.15" hidden="false" customHeight="false" outlineLevel="0" collapsed="false">
      <c r="B89" s="225" t="s">
        <v>79</v>
      </c>
      <c r="C89" s="226"/>
      <c r="D89" s="227" t="n">
        <f aca="false">C44</f>
        <v>-14391300</v>
      </c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8"/>
    </row>
    <row r="90" customFormat="false" ht="15" hidden="false" customHeight="false" outlineLevel="0" collapsed="false">
      <c r="B90" s="219"/>
      <c r="C90" s="219"/>
      <c r="D90" s="219"/>
      <c r="E90" s="219"/>
      <c r="F90" s="224"/>
      <c r="G90" s="224"/>
      <c r="H90" s="224"/>
      <c r="I90" s="224"/>
      <c r="J90" s="224"/>
      <c r="K90" s="224"/>
      <c r="L90" s="224"/>
      <c r="M90" s="224"/>
      <c r="N90" s="224"/>
      <c r="O90" s="224"/>
      <c r="P90" s="224"/>
      <c r="Q90" s="224"/>
      <c r="R90" s="224"/>
      <c r="S90" s="224"/>
      <c r="T90" s="224"/>
      <c r="U90" s="224"/>
      <c r="V90" s="224"/>
      <c r="W90" s="224"/>
      <c r="X90" s="191"/>
    </row>
    <row r="91" customFormat="false" ht="15" hidden="false" customHeight="false" outlineLevel="0" collapsed="false">
      <c r="B91" s="219"/>
      <c r="C91" s="219"/>
      <c r="D91" s="219"/>
      <c r="E91" s="219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191"/>
    </row>
    <row r="92" customFormat="false" ht="17.15" hidden="false" customHeight="false" outlineLevel="0" collapsed="false">
      <c r="B92" s="225" t="s">
        <v>80</v>
      </c>
      <c r="C92" s="226"/>
      <c r="D92" s="227" t="n">
        <f aca="false">-D89*D31</f>
        <v>11513040</v>
      </c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191"/>
    </row>
    <row r="93" customFormat="false" ht="17.15" hidden="false" customHeight="false" outlineLevel="0" collapsed="false">
      <c r="B93" s="219" t="s">
        <v>81</v>
      </c>
      <c r="C93" s="21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8"/>
    </row>
    <row r="94" customFormat="false" ht="17.15" hidden="false" customHeight="false" outlineLevel="0" collapsed="false">
      <c r="B94" s="219" t="s">
        <v>82</v>
      </c>
      <c r="C94" s="224"/>
      <c r="D94" s="220" t="n">
        <f aca="false">-D89*(1-D31)</f>
        <v>2878260</v>
      </c>
      <c r="E94" s="224"/>
      <c r="F94" s="224"/>
      <c r="G94" s="224"/>
      <c r="H94" s="224"/>
      <c r="I94" s="224"/>
      <c r="J94" s="224"/>
      <c r="K94" s="224"/>
      <c r="L94" s="224"/>
      <c r="M94" s="224"/>
      <c r="N94" s="224"/>
      <c r="O94" s="224"/>
      <c r="P94" s="224"/>
      <c r="Q94" s="224"/>
      <c r="R94" s="224"/>
      <c r="S94" s="224"/>
      <c r="T94" s="224"/>
      <c r="U94" s="224"/>
      <c r="V94" s="224"/>
      <c r="W94" s="224"/>
      <c r="X94" s="192"/>
    </row>
    <row r="95" customFormat="false" ht="15" hidden="false" customHeight="false" outlineLevel="0" collapsed="false">
      <c r="B95" s="219" t="s">
        <v>45</v>
      </c>
      <c r="C95" s="224"/>
      <c r="D95" s="224"/>
      <c r="E95" s="230" t="n">
        <f aca="false">-D85*$D$33</f>
        <v>-718314.01437312</v>
      </c>
      <c r="F95" s="230" t="n">
        <f aca="false">-E85*$D$33</f>
        <v>-712461.215501568</v>
      </c>
      <c r="G95" s="230" t="n">
        <f aca="false">-F85*$D$33</f>
        <v>-706608.416630016</v>
      </c>
      <c r="H95" s="230" t="n">
        <f aca="false">-G85*$D$33</f>
        <v>-700755.617758464</v>
      </c>
      <c r="I95" s="230" t="n">
        <f aca="false">-H85*$D$33</f>
        <v>-694902.818886912</v>
      </c>
      <c r="J95" s="230" t="n">
        <f aca="false">-I85*$D$33</f>
        <v>-689050.02001536</v>
      </c>
      <c r="K95" s="230" t="n">
        <f aca="false">-J85*$D$33</f>
        <v>-683197.221143808</v>
      </c>
      <c r="L95" s="230" t="n">
        <f aca="false">-K85*$D$33</f>
        <v>-677344.422272256</v>
      </c>
      <c r="M95" s="230" t="n">
        <f aca="false">-L85*$D$33</f>
        <v>-671491.623400704</v>
      </c>
      <c r="N95" s="230" t="n">
        <f aca="false">-M85*$D$33</f>
        <v>-665638.824529152</v>
      </c>
      <c r="O95" s="230" t="n">
        <f aca="false">-N85*$D$33</f>
        <v>-659786.0256576</v>
      </c>
      <c r="P95" s="230" t="n">
        <f aca="false">-O85*$D$33</f>
        <v>-653933.226786048</v>
      </c>
      <c r="Q95" s="230" t="n">
        <f aca="false">-P85*$D$33</f>
        <v>-648080.427914496</v>
      </c>
      <c r="R95" s="230" t="n">
        <f aca="false">-Q85*$D$33</f>
        <v>-642227.629042944</v>
      </c>
      <c r="S95" s="230" t="n">
        <f aca="false">-R85*$D$33</f>
        <v>-636374.830171392</v>
      </c>
      <c r="T95" s="230" t="n">
        <f aca="false">-S85*$D$33</f>
        <v>-630522.03129984</v>
      </c>
      <c r="U95" s="230" t="n">
        <f aca="false">-T85*$D$33</f>
        <v>-624669.232428288</v>
      </c>
      <c r="V95" s="230" t="n">
        <f aca="false">-U85*$D$33</f>
        <v>-618816.433556736</v>
      </c>
      <c r="W95" s="230" t="n">
        <f aca="false">-V85*$D$33</f>
        <v>-612963.634685184</v>
      </c>
      <c r="X95" s="230" t="n">
        <f aca="false">-W85*$D$33</f>
        <v>-607110.835813632</v>
      </c>
    </row>
    <row r="96" customFormat="false" ht="15" hidden="false" customHeight="false" outlineLevel="0" collapsed="false">
      <c r="B96" s="231" t="s">
        <v>47</v>
      </c>
      <c r="C96" s="232"/>
      <c r="D96" s="232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4" t="n">
        <f aca="false">-W101-X95</f>
        <v>-15863994.2779853</v>
      </c>
    </row>
    <row r="97" customFormat="false" ht="15" hidden="false" customHeight="false" outlineLevel="0" collapsed="false">
      <c r="B97" s="224"/>
      <c r="C97" s="224"/>
      <c r="D97" s="224"/>
      <c r="E97" s="224"/>
      <c r="F97" s="224"/>
      <c r="G97" s="224"/>
      <c r="H97" s="224"/>
      <c r="I97" s="224"/>
      <c r="J97" s="224"/>
      <c r="K97" s="224"/>
      <c r="L97" s="224"/>
      <c r="M97" s="224"/>
      <c r="N97" s="224"/>
      <c r="O97" s="224"/>
      <c r="P97" s="224"/>
      <c r="Q97" s="224"/>
      <c r="R97" s="224"/>
      <c r="S97" s="224"/>
      <c r="T97" s="224"/>
      <c r="U97" s="224"/>
      <c r="V97" s="224"/>
      <c r="W97" s="224"/>
      <c r="X97" s="192"/>
    </row>
    <row r="98" customFormat="false" ht="15" hidden="false" customHeight="false" outlineLevel="0" collapsed="false">
      <c r="B98" s="224"/>
      <c r="C98" s="224"/>
      <c r="D98" s="224"/>
      <c r="E98" s="224"/>
      <c r="F98" s="224"/>
      <c r="G98" s="224"/>
      <c r="H98" s="224"/>
      <c r="I98" s="224"/>
      <c r="J98" s="224"/>
      <c r="K98" s="224"/>
      <c r="L98" s="224"/>
      <c r="M98" s="224"/>
      <c r="N98" s="224"/>
      <c r="O98" s="224"/>
      <c r="P98" s="224"/>
      <c r="Q98" s="224"/>
      <c r="R98" s="224"/>
      <c r="S98" s="224"/>
      <c r="T98" s="224"/>
      <c r="U98" s="224"/>
      <c r="V98" s="224"/>
      <c r="W98" s="224"/>
      <c r="X98" s="192"/>
    </row>
    <row r="99" customFormat="false" ht="17.15" hidden="false" customHeight="false" outlineLevel="0" collapsed="false">
      <c r="B99" s="219" t="s">
        <v>83</v>
      </c>
      <c r="C99" s="220" t="n">
        <v>0</v>
      </c>
      <c r="D99" s="220" t="n">
        <f aca="false">SUM(D87:D96)</f>
        <v>1517691.6826368</v>
      </c>
      <c r="E99" s="220" t="n">
        <f aca="false">SUM(E87:E96)</f>
        <v>792874.5584064</v>
      </c>
      <c r="F99" s="220" t="n">
        <f aca="false">SUM(F87:F96)</f>
        <v>792224.247420672</v>
      </c>
      <c r="G99" s="220" t="n">
        <f aca="false">SUM(G87:G96)</f>
        <v>791573.936434944</v>
      </c>
      <c r="H99" s="220" t="n">
        <f aca="false">SUM(H87:H96)</f>
        <v>790923.625449216</v>
      </c>
      <c r="I99" s="220" t="n">
        <f aca="false">SUM(I87:I96)</f>
        <v>790273.314463488</v>
      </c>
      <c r="J99" s="220" t="n">
        <f aca="false">SUM(J87:J96)</f>
        <v>789623.00347776</v>
      </c>
      <c r="K99" s="220" t="n">
        <f aca="false">SUM(K87:K96)</f>
        <v>788972.692492032</v>
      </c>
      <c r="L99" s="220" t="n">
        <f aca="false">SUM(L87:L96)</f>
        <v>788322.381506304</v>
      </c>
      <c r="M99" s="220" t="n">
        <f aca="false">SUM(M87:M96)</f>
        <v>787672.070520576</v>
      </c>
      <c r="N99" s="220" t="n">
        <f aca="false">SUM(N87:N96)</f>
        <v>787021.759534848</v>
      </c>
      <c r="O99" s="220" t="n">
        <f aca="false">SUM(O87:O96)</f>
        <v>786371.44854912</v>
      </c>
      <c r="P99" s="220" t="n">
        <f aca="false">SUM(P87:P96)</f>
        <v>785721.137563392</v>
      </c>
      <c r="Q99" s="220" t="n">
        <f aca="false">SUM(Q87:Q96)</f>
        <v>785070.826577664</v>
      </c>
      <c r="R99" s="220" t="n">
        <f aca="false">SUM(R87:R96)</f>
        <v>784420.515591936</v>
      </c>
      <c r="S99" s="220" t="n">
        <f aca="false">SUM(S87:S96)</f>
        <v>783770.204606208</v>
      </c>
      <c r="T99" s="220" t="n">
        <f aca="false">SUM(T87:T96)</f>
        <v>783119.89362048</v>
      </c>
      <c r="U99" s="220" t="n">
        <f aca="false">SUM(U87:U96)</f>
        <v>782469.582634752</v>
      </c>
      <c r="V99" s="220" t="n">
        <f aca="false">SUM(V87:V96)</f>
        <v>781819.271649024</v>
      </c>
      <c r="W99" s="220" t="n">
        <f aca="false">SUM(W87:W96)</f>
        <v>781168.960663296</v>
      </c>
      <c r="X99" s="192"/>
    </row>
    <row r="100" customFormat="false" ht="15" hidden="false" customHeight="false" outlineLevel="0" collapsed="false">
      <c r="B100" s="219" t="s">
        <v>84</v>
      </c>
      <c r="C100" s="220" t="n">
        <v>0</v>
      </c>
      <c r="D100" s="220" t="n">
        <f aca="false">C101</f>
        <v>0</v>
      </c>
      <c r="E100" s="220" t="n">
        <f aca="false">D101</f>
        <v>1517691.6826368</v>
      </c>
      <c r="F100" s="220" t="n">
        <f aca="false">E101</f>
        <v>2310566.2410432</v>
      </c>
      <c r="G100" s="220" t="n">
        <f aca="false">F101</f>
        <v>3102790.48846387</v>
      </c>
      <c r="H100" s="220" t="n">
        <f aca="false">G101</f>
        <v>3894364.42489882</v>
      </c>
      <c r="I100" s="220" t="n">
        <f aca="false">H101</f>
        <v>4685288.05034803</v>
      </c>
      <c r="J100" s="220" t="n">
        <f aca="false">I101</f>
        <v>5475561.36481152</v>
      </c>
      <c r="K100" s="220" t="n">
        <f aca="false">J101</f>
        <v>6265184.36828928</v>
      </c>
      <c r="L100" s="220" t="n">
        <f aca="false">K101</f>
        <v>7054157.06078131</v>
      </c>
      <c r="M100" s="220" t="n">
        <f aca="false">L101</f>
        <v>7842479.44228762</v>
      </c>
      <c r="N100" s="220" t="n">
        <f aca="false">M101</f>
        <v>8630151.51280819</v>
      </c>
      <c r="O100" s="220" t="n">
        <f aca="false">N101</f>
        <v>9417173.27234304</v>
      </c>
      <c r="P100" s="220" t="n">
        <f aca="false">O101</f>
        <v>10203544.7208922</v>
      </c>
      <c r="Q100" s="220" t="n">
        <f aca="false">P101</f>
        <v>10989265.8584556</v>
      </c>
      <c r="R100" s="220" t="n">
        <f aca="false">Q101</f>
        <v>11774336.6850332</v>
      </c>
      <c r="S100" s="220" t="n">
        <f aca="false">R101</f>
        <v>12558757.2006252</v>
      </c>
      <c r="T100" s="220" t="n">
        <f aca="false">S101</f>
        <v>13342527.4052314</v>
      </c>
      <c r="U100" s="220" t="n">
        <f aca="false">T101</f>
        <v>14125647.2988518</v>
      </c>
      <c r="V100" s="220" t="n">
        <f aca="false">U101</f>
        <v>14908116.8814866</v>
      </c>
      <c r="W100" s="220" t="n">
        <f aca="false">V101</f>
        <v>15689936.1531356</v>
      </c>
      <c r="X100" s="191"/>
    </row>
    <row r="101" customFormat="false" ht="15" hidden="false" customHeight="false" outlineLevel="0" collapsed="false">
      <c r="B101" s="219" t="s">
        <v>85</v>
      </c>
      <c r="C101" s="220" t="n">
        <v>0</v>
      </c>
      <c r="D101" s="220" t="n">
        <f aca="false">D99+D100</f>
        <v>1517691.6826368</v>
      </c>
      <c r="E101" s="220" t="n">
        <f aca="false">E99+E100</f>
        <v>2310566.2410432</v>
      </c>
      <c r="F101" s="220" t="n">
        <f aca="false">F99+F100</f>
        <v>3102790.48846387</v>
      </c>
      <c r="G101" s="220" t="n">
        <f aca="false">G99+G100</f>
        <v>3894364.42489882</v>
      </c>
      <c r="H101" s="220" t="n">
        <f aca="false">H99+H100</f>
        <v>4685288.05034803</v>
      </c>
      <c r="I101" s="220" t="n">
        <f aca="false">I99+I100</f>
        <v>5475561.36481152</v>
      </c>
      <c r="J101" s="220" t="n">
        <f aca="false">J99+J100</f>
        <v>6265184.36828928</v>
      </c>
      <c r="K101" s="220" t="n">
        <f aca="false">K99+K100</f>
        <v>7054157.06078131</v>
      </c>
      <c r="L101" s="220" t="n">
        <f aca="false">L99+L100</f>
        <v>7842479.44228762</v>
      </c>
      <c r="M101" s="220" t="n">
        <f aca="false">M99+M100</f>
        <v>8630151.51280819</v>
      </c>
      <c r="N101" s="220" t="n">
        <f aca="false">N99+N100</f>
        <v>9417173.27234304</v>
      </c>
      <c r="O101" s="220" t="n">
        <f aca="false">O99+O100</f>
        <v>10203544.7208922</v>
      </c>
      <c r="P101" s="220" t="n">
        <f aca="false">P99+P100</f>
        <v>10989265.8584556</v>
      </c>
      <c r="Q101" s="220" t="n">
        <f aca="false">Q99+Q100</f>
        <v>11774336.6850332</v>
      </c>
      <c r="R101" s="220" t="n">
        <f aca="false">R99+R100</f>
        <v>12558757.2006252</v>
      </c>
      <c r="S101" s="220" t="n">
        <f aca="false">S99+S100</f>
        <v>13342527.4052314</v>
      </c>
      <c r="T101" s="220" t="n">
        <f aca="false">T99+T100</f>
        <v>14125647.2988518</v>
      </c>
      <c r="U101" s="220" t="n">
        <f aca="false">U99+U100</f>
        <v>14908116.8814866</v>
      </c>
      <c r="V101" s="220" t="n">
        <f aca="false">V99+V100</f>
        <v>15689936.1531356</v>
      </c>
      <c r="W101" s="220" t="n">
        <f aca="false">W99+W100</f>
        <v>16471105.1137989</v>
      </c>
      <c r="X101" s="191"/>
    </row>
    <row r="102" customFormat="false" ht="15" hidden="false" customHeight="false" outlineLevel="0" collapsed="false"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</row>
    <row r="103" customFormat="false" ht="15" hidden="false" customHeight="false" outlineLevel="0" collapsed="false">
      <c r="B103" s="219"/>
      <c r="C103" s="219"/>
      <c r="D103" s="219"/>
      <c r="E103" s="219"/>
      <c r="F103" s="224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</row>
    <row r="104" customFormat="false" ht="15" hidden="false" customHeight="false" outlineLevel="0" collapsed="false">
      <c r="B104" s="235" t="s">
        <v>86</v>
      </c>
      <c r="C104" s="236"/>
      <c r="D104" s="237" t="n">
        <f aca="false">-D94</f>
        <v>-2878260</v>
      </c>
      <c r="E104" s="223" t="n">
        <f aca="false">-E95-E96</f>
        <v>718314.01437312</v>
      </c>
      <c r="F104" s="223" t="n">
        <f aca="false">-F95-F96</f>
        <v>712461.215501568</v>
      </c>
      <c r="G104" s="223" t="n">
        <f aca="false">-G95-G96</f>
        <v>706608.416630016</v>
      </c>
      <c r="H104" s="223" t="n">
        <f aca="false">-H95-H96</f>
        <v>700755.617758464</v>
      </c>
      <c r="I104" s="223" t="n">
        <f aca="false">-I95-I96</f>
        <v>694902.818886912</v>
      </c>
      <c r="J104" s="223" t="n">
        <f aca="false">-J95-J96</f>
        <v>689050.02001536</v>
      </c>
      <c r="K104" s="223" t="n">
        <f aca="false">-K95-K96</f>
        <v>683197.221143808</v>
      </c>
      <c r="L104" s="223" t="n">
        <f aca="false">-L95-L96</f>
        <v>677344.422272256</v>
      </c>
      <c r="M104" s="223" t="n">
        <f aca="false">-M95-M96</f>
        <v>671491.623400704</v>
      </c>
      <c r="N104" s="223" t="n">
        <f aca="false">-N95-N96</f>
        <v>665638.824529152</v>
      </c>
      <c r="O104" s="223" t="n">
        <f aca="false">-O95-O96</f>
        <v>659786.0256576</v>
      </c>
      <c r="P104" s="223" t="n">
        <f aca="false">-P95-P96</f>
        <v>653933.226786048</v>
      </c>
      <c r="Q104" s="223" t="n">
        <f aca="false">-Q95-Q96</f>
        <v>648080.427914496</v>
      </c>
      <c r="R104" s="223" t="n">
        <f aca="false">-R95-R96</f>
        <v>642227.629042944</v>
      </c>
      <c r="S104" s="223" t="n">
        <f aca="false">-S95-S96</f>
        <v>636374.830171392</v>
      </c>
      <c r="T104" s="223" t="n">
        <f aca="false">-T95-T96</f>
        <v>630522.03129984</v>
      </c>
      <c r="U104" s="223" t="n">
        <f aca="false">-U95-U96</f>
        <v>624669.232428288</v>
      </c>
      <c r="V104" s="223" t="n">
        <f aca="false">-V95-V96</f>
        <v>618816.433556736</v>
      </c>
      <c r="W104" s="223" t="n">
        <f aca="false">-W95-W96</f>
        <v>612963.634685184</v>
      </c>
      <c r="X104" s="223" t="n">
        <f aca="false">-X95-X96</f>
        <v>16471105.1137989</v>
      </c>
    </row>
    <row r="105" customFormat="false" ht="17.15" hidden="false" customHeight="false" outlineLevel="0" collapsed="false">
      <c r="B105" s="219" t="s">
        <v>87</v>
      </c>
      <c r="C105" s="238" t="n">
        <f aca="false">IRR(D104:X104)</f>
        <v>0.254473493975188</v>
      </c>
      <c r="D105" s="224"/>
      <c r="E105" s="224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</row>
    <row r="106" customFormat="false" ht="15" hidden="false" customHeight="false" outlineLevel="0" collapsed="false">
      <c r="B106" s="235" t="s">
        <v>88</v>
      </c>
      <c r="C106" s="236"/>
      <c r="D106" s="237" t="n">
        <f aca="false">D85-D94</f>
        <v>-2080133.3173632</v>
      </c>
      <c r="E106" s="223" t="n">
        <f aca="false">E85</f>
        <v>791623.57277952</v>
      </c>
      <c r="F106" s="223" t="n">
        <f aca="false">F85-F96</f>
        <v>785120.46292224</v>
      </c>
      <c r="G106" s="223" t="n">
        <f aca="false">G85-G96</f>
        <v>778617.35306496</v>
      </c>
      <c r="H106" s="223" t="n">
        <f aca="false">H85-H96</f>
        <v>772114.24320768</v>
      </c>
      <c r="I106" s="223" t="n">
        <f aca="false">I85-I96</f>
        <v>765611.1333504</v>
      </c>
      <c r="J106" s="223" t="n">
        <f aca="false">J85-J96</f>
        <v>759108.02349312</v>
      </c>
      <c r="K106" s="223" t="n">
        <f aca="false">K85-K96</f>
        <v>752604.91363584</v>
      </c>
      <c r="L106" s="223" t="n">
        <f aca="false">L85-L96</f>
        <v>746101.80377856</v>
      </c>
      <c r="M106" s="223" t="n">
        <f aca="false">M85-M96</f>
        <v>739598.69392128</v>
      </c>
      <c r="N106" s="223" t="n">
        <f aca="false">N85-N96</f>
        <v>733095.584064</v>
      </c>
      <c r="O106" s="223" t="n">
        <f aca="false">O85-O96</f>
        <v>726592.47420672</v>
      </c>
      <c r="P106" s="223" t="n">
        <f aca="false">P85-P96</f>
        <v>720089.36434944</v>
      </c>
      <c r="Q106" s="223" t="n">
        <f aca="false">Q85-Q96</f>
        <v>713586.25449216</v>
      </c>
      <c r="R106" s="223" t="n">
        <f aca="false">R85-R96</f>
        <v>707083.14463488</v>
      </c>
      <c r="S106" s="223" t="n">
        <f aca="false">S85-S96</f>
        <v>700580.0347776</v>
      </c>
      <c r="T106" s="223" t="n">
        <f aca="false">T85-T96</f>
        <v>694076.92492032</v>
      </c>
      <c r="U106" s="223" t="n">
        <f aca="false">U85-U96</f>
        <v>687573.81506304</v>
      </c>
      <c r="V106" s="223" t="n">
        <f aca="false">V85-V96</f>
        <v>681070.70520576</v>
      </c>
      <c r="W106" s="223" t="n">
        <f aca="false">W85-W96</f>
        <v>674567.59534848</v>
      </c>
      <c r="X106" s="228"/>
    </row>
    <row r="107" customFormat="false" ht="17.15" hidden="false" customHeight="false" outlineLevel="0" collapsed="false">
      <c r="B107" s="235" t="s">
        <v>89</v>
      </c>
      <c r="C107" s="239" t="n">
        <f aca="false">IRR(D106:W106)</f>
        <v>0.371370698362321</v>
      </c>
      <c r="D107" s="224"/>
      <c r="E107" s="224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</row>
    <row r="108" customFormat="false" ht="15" hidden="false" customHeight="false" outlineLevel="0" collapsed="false"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</row>
    <row r="109" customFormat="false" ht="15" hidden="false" customHeight="false" outlineLevel="0" collapsed="false">
      <c r="B109" s="219" t="s">
        <v>90</v>
      </c>
      <c r="C109" s="220" t="n">
        <v>0</v>
      </c>
      <c r="D109" s="220" t="n">
        <f aca="false">D92</f>
        <v>11513040</v>
      </c>
      <c r="E109" s="220" t="n">
        <f aca="false">D109+E93</f>
        <v>11513040</v>
      </c>
      <c r="F109" s="220" t="n">
        <f aca="false">E109+F93</f>
        <v>11513040</v>
      </c>
      <c r="G109" s="220" t="n">
        <f aca="false">F109+G93</f>
        <v>11513040</v>
      </c>
      <c r="H109" s="220" t="n">
        <f aca="false">G109+H93</f>
        <v>11513040</v>
      </c>
      <c r="I109" s="220" t="n">
        <f aca="false">H109+I93</f>
        <v>11513040</v>
      </c>
      <c r="J109" s="220" t="n">
        <f aca="false">I109+J93</f>
        <v>11513040</v>
      </c>
      <c r="K109" s="220" t="n">
        <f aca="false">J109+K93</f>
        <v>11513040</v>
      </c>
      <c r="L109" s="220" t="n">
        <f aca="false">K109+L93</f>
        <v>11513040</v>
      </c>
      <c r="M109" s="220" t="n">
        <f aca="false">L109+M93</f>
        <v>11513040</v>
      </c>
      <c r="N109" s="220" t="n">
        <f aca="false">M109+N93</f>
        <v>11513040</v>
      </c>
      <c r="O109" s="220" t="n">
        <f aca="false">N109+O93</f>
        <v>11513040</v>
      </c>
      <c r="P109" s="220" t="n">
        <f aca="false">O109+P93</f>
        <v>11513040</v>
      </c>
      <c r="Q109" s="220" t="n">
        <f aca="false">P109+Q93</f>
        <v>11513040</v>
      </c>
      <c r="R109" s="220" t="n">
        <f aca="false">Q109+R93</f>
        <v>11513040</v>
      </c>
      <c r="S109" s="220" t="n">
        <f aca="false">R109+S93</f>
        <v>11513040</v>
      </c>
      <c r="T109" s="220" t="n">
        <f aca="false">S109+T93</f>
        <v>11513040</v>
      </c>
      <c r="U109" s="220" t="n">
        <f aca="false">T109+U93</f>
        <v>11513040</v>
      </c>
      <c r="V109" s="220" t="n">
        <f aca="false">U109+V93</f>
        <v>11513040</v>
      </c>
      <c r="W109" s="220" t="n">
        <f aca="false">V109+W93</f>
        <v>11513040</v>
      </c>
      <c r="X109" s="224"/>
    </row>
    <row r="111" customFormat="false" ht="15" hidden="false" customHeight="false" outlineLevel="0" collapsed="false">
      <c r="B111" s="240"/>
    </row>
    <row r="112" customFormat="false" ht="16.5" hidden="false" customHeight="true" outlineLevel="0" collapsed="false">
      <c r="G112" s="2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王竣生</dc:creator>
  <dc:description/>
  <dc:language>zh-TW</dc:language>
  <cp:lastModifiedBy>王竣生</cp:lastModifiedBy>
  <dcterms:modified xsi:type="dcterms:W3CDTF">2026-03-17T15:53:52Z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