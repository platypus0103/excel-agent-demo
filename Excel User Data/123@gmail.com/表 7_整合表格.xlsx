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多站彙整" sheetId="1" state="visible" r:id="rId3"/>
    <sheet name="淡江大學_p3" sheetId="2" state="visible" r:id="rId4"/>
    <sheet name="淡江大學_p4" sheetId="3" state="visible" r:id="rId5"/>
    <sheet name="淡江大學_p5" sheetId="4" state="visible" r:id="rId6"/>
    <sheet name="淡江大學_p7" sheetId="5" state="visible" r:id="rId7"/>
    <sheet name="淡江大學_p8" sheetId="6" state="visible" r:id="rId8"/>
    <sheet name="淡江大學_p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<sst xmlns="http://schemas.openxmlformats.org/spreadsheetml/2006/main" count="1270" uniqueCount="168">
  <si>
    <t xml:space="preserve">年份</t>
  </si>
  <si>
    <t xml:space="preserve">預估發電度數</t>
  </si>
  <si>
    <t xml:space="preserve">淡江大學</t>
  </si>
  <si>
    <r>
      <rPr>
        <sz val="11"/>
        <rFont val="Noto Sans TC"/>
        <family val="2"/>
        <charset val="136"/>
      </rPr>
      <t xml:space="preserve">預估發電度數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</si>
  <si>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預估收入</t>
  </si>
  <si>
    <r>
      <rPr>
        <sz val="11"/>
        <rFont val="Noto Sans TC"/>
        <family val="2"/>
        <charset val="136"/>
      </rPr>
      <t xml:space="preserve">預估收入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</si>
  <si>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租金</t>
  </si>
  <si>
    <r>
      <rPr>
        <sz val="11"/>
        <rFont val="Noto Sans TC"/>
        <family val="2"/>
        <charset val="136"/>
      </rPr>
      <t xml:space="preserve">租金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</si>
  <si>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運維</t>
  </si>
  <si>
    <r>
      <rPr>
        <sz val="11"/>
        <rFont val="Noto Sans TC"/>
        <family val="2"/>
        <charset val="136"/>
      </rPr>
      <t xml:space="preserve">運維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</si>
  <si>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保險</t>
  </si>
  <si>
    <r>
      <rPr>
        <sz val="11"/>
        <rFont val="Noto Sans TC"/>
        <family val="2"/>
        <charset val="136"/>
      </rPr>
      <t xml:space="preserve">保險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</si>
  <si>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模組回收費</t>
  </si>
  <si>
    <r>
      <rPr>
        <sz val="11"/>
        <rFont val="Noto Sans TC"/>
        <family val="2"/>
        <charset val="136"/>
      </rPr>
      <t xml:space="preserve">模組回收費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</si>
  <si>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所得稅</t>
  </si>
  <si>
    <r>
      <rPr>
        <sz val="11"/>
        <rFont val="Noto Sans TC"/>
        <family val="2"/>
        <charset val="136"/>
      </rPr>
      <t xml:space="preserve">所得稅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</si>
  <si>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t xml:space="preserve">設備折舊</t>
  </si>
  <si>
    <r>
      <rPr>
        <sz val="11"/>
        <rFont val="Noto Sans TC"/>
        <family val="2"/>
        <charset val="136"/>
      </rPr>
      <t xml:space="preserve">設備折舊</t>
    </r>
    <r>
      <rPr>
        <sz val="11"/>
        <rFont val="Cambria"/>
        <family val="0"/>
        <charset val="1"/>
      </rPr>
      <t xml:space="preserve">/</t>
    </r>
    <r>
      <rPr>
        <sz val="11"/>
        <rFont val="Noto Sans TC"/>
        <family val="2"/>
        <charset val="136"/>
      </rPr>
      <t xml:space="preserve">年總計</t>
    </r>
  </si>
  <si>
    <r>
      <rPr>
        <sz val="11"/>
        <rFont val="Noto Sans TC"/>
        <family val="2"/>
        <charset val="136"/>
      </rPr>
      <t xml:space="preserve">貸款成數</t>
    </r>
    <r>
      <rPr>
        <sz val="11"/>
        <rFont val="Cambria"/>
        <family val="0"/>
        <charset val="1"/>
      </rPr>
      <t xml:space="preserve">(%)</t>
    </r>
  </si>
  <si>
    <t xml:space="preserve">還款期數</t>
  </si>
  <si>
    <r>
      <rPr>
        <sz val="11"/>
        <rFont val="Noto Sans TC"/>
        <family val="2"/>
        <charset val="136"/>
      </rPr>
      <t xml:space="preserve">股利比率</t>
    </r>
    <r>
      <rPr>
        <sz val="11"/>
        <rFont val="Cambria"/>
        <family val="0"/>
        <charset val="1"/>
      </rPr>
      <t xml:space="preserve">(%)</t>
    </r>
  </si>
  <si>
    <t xml:space="preserve">年底減資攤還期數</t>
  </si>
  <si>
    <r>
      <rPr>
        <sz val="11"/>
        <rFont val="Noto Sans TC"/>
        <family val="2"/>
        <charset val="136"/>
      </rPr>
      <t xml:space="preserve">銀行利率</t>
    </r>
    <r>
      <rPr>
        <sz val="11"/>
        <rFont val="Cambria"/>
        <family val="0"/>
        <charset val="1"/>
      </rPr>
      <t xml:space="preserve">(%)</t>
    </r>
  </si>
  <si>
    <t xml:space="preserve">(Unit : Currency)</t>
  </si>
  <si>
    <r>
      <rPr>
        <sz val="12"/>
        <color rgb="FF000000"/>
        <rFont val="Noto Sans TC"/>
        <family val="2"/>
        <charset val="136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</si>
  <si>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電費收入</t>
    </r>
  </si>
  <si>
    <t xml:space="preserve">-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</si>
  <si>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</si>
  <si>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</si>
  <si>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</si>
  <si>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</si>
  <si>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</si>
  <si>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</si>
  <si>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</si>
  <si>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</si>
  <si>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</si>
  <si>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Noto Sans TC"/>
        <family val="2"/>
        <charset val="136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</si>
  <si>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Noto Sans TC"/>
        <family val="2"/>
        <charset val="136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</si>
  <si>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</si>
  <si>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</si>
  <si>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</si>
  <si>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</si>
  <si>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</si>
  <si>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專案法IRR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</si>
  <si>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</si>
  <si>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設備折舊</t>
    </r>
  </si>
  <si>
    <t xml:space="preserve">稅前淨利</t>
  </si>
  <si>
    <t xml:space="preserve">稅後淨利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</si>
  <si>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</si>
  <si>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</si>
  <si>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</si>
  <si>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</si>
  <si>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</si>
  <si>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現金股利</t>
  </si>
  <si>
    <t xml:space="preserve">年底減資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</si>
  <si>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</si>
  <si>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</si>
  <si>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</si>
  <si>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</si>
  <si>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</si>
  <si>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</si>
  <si>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</si>
  <si>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</si>
  <si>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電站基本資料</t>
  </si>
  <si>
    <t xml:space="preserve">說明</t>
  </si>
  <si>
    <t xml:space="preserve">電站名稱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</si>
  <si>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</si>
  <si>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</si>
  <si>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</si>
  <si>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</si>
  <si>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</si>
  <si>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情境編號: 3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</si>
  <si>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</si>
  <si>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</si>
  <si>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</si>
  <si>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第2次滾算摘要</t>
  </si>
  <si>
    <t xml:space="preserve">價金: 31000</t>
  </si>
  <si>
    <t xml:space="preserve">綜合損益表</t>
  </si>
  <si>
    <t xml:space="preserve">專案IRR: 3.75</t>
  </si>
  <si>
    <t xml:space="preserve">收入</t>
  </si>
  <si>
    <t xml:space="preserve">權益法IRR: 8.21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</si>
  <si>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</si>
  <si>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</si>
  <si>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</si>
  <si>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</si>
  <si>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利潤率: 30.00%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</si>
  <si>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</si>
  <si>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</si>
  <si>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</si>
  <si>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第2次滾算，減少 2000 元 - 現金模式，每次減少 2000 元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</si>
  <si>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</si>
  <si>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</si>
  <si>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</si>
  <si>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</si>
  <si>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</si>
  <si>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</si>
  <si>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</si>
  <si>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</si>
  <si>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</si>
  <si>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</si>
  <si>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</si>
  <si>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</si>
  <si>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</si>
  <si>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</si>
  <si>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</si>
  <si>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</si>
  <si>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</si>
  <si>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</si>
  <si>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</si>
  <si>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</si>
  <si>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</si>
  <si>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</si>
  <si>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</si>
  <si>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</si>
  <si>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</si>
  <si>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</si>
  <si>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</si>
  <si>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</si>
  <si>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</si>
  <si>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</si>
  <si>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</si>
  <si>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</si>
  <si>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</si>
  <si>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</si>
  <si>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所得稅率</t>
  </si>
  <si>
    <t xml:space="preserve">公司所得稅率，填小數（例：20% → 填 0.2）。預設 0.2，通常不需更改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</si>
  <si>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</si>
  <si>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</si>
  <si>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</si>
  <si>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</si>
  <si>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</si>
  <si>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</si>
  <si>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</si>
  <si>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</si>
  <si>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股利比率</t>
  </si>
  <si>
    <t xml:space="preserve">稅後現金流中分配給股東的比例，填小數（例：90% → 填 0.9）</t>
  </si>
  <si>
    <t xml:space="preserve">年底減資返還股東的年數。預設 4 年，代表 倒數 4 年進行減資，加速資金返還</t>
  </si>
  <si>
    <t xml:space="preserve">發電度數(KWH)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</si>
  <si>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</si>
  <si>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</si>
  <si>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</si>
  <si>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</si>
  <si>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</si>
  <si>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第3次滾算，減少 2000 元 - 現金模式，每次減少 2000 元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</si>
  <si>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</si>
  <si>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</si>
  <si>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</si>
  <si>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</si>
  <si>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</si>
  <si>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第4次滾算，減少 2000 元 - 現金模式，每次減少 2000 元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</si>
  <si>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</si>
  <si>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</si>
  <si>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</si>
  <si>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</si>
  <si>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</si>
  <si>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第6次滾算，減少 2000 元 - 現金模式，每次減少 2000 元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</si>
  <si>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</si>
  <si>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</si>
  <si>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</si>
  <si>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</si>
  <si>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</si>
  <si>
    <t xml:space="preserve">第7次滾算，減少 2000 元 - 現金模式，每次減少 2000 元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</si>
  <si>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</si>
  <si>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</si>
  <si>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</si>
  <si>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</si>
  <si>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</si>
  <si>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第5次滾算，減少 2000 元 - 現金模式，每次減少 2000 元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</si>
</sst>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0_);[RED]\(0.00\)"/>
    <numFmt numFmtId="167" formatCode="\$#,##0.00_);[RED]&quot;($&quot;#,##0.00\)"/>
    <numFmt numFmtId="168" formatCode="\$#,##0_);[RED]&quot;($&quot;#,##0\)"/>
    <numFmt numFmtId="169" formatCode="0_);[RED]\(0\)"/>
    <numFmt numFmtId="170" formatCode="\$#,##0.00_);[RED]&quot;($&quot;#,##0.00\)"/>
    <numFmt numFmtId="171" formatCode="\$#,##0_);[RED]&quot;($&quot;#,##0\)"/>
    <numFmt numFmtId="172" formatCode="0.00%"/>
    <numFmt numFmtId="173" formatCode="_-\$* #,##0_-;&quot;-$&quot;* #,##0_-;_-\$* \-??_-;_-@_-"/>
    <numFmt numFmtId="174" formatCode="#,##0_ "/>
    <numFmt numFmtId="175" formatCode="0%"/>
    <numFmt numFmtId="176" formatCode="_-* #,##0_-;\-* #,##0_-;_-* \-??_-;_-@_-"/>
  </numFmts>
  <fonts count="42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name val="Noto Sans TC"/>
      <family val="2"/>
      <charset val="136"/>
    </font>
    <font>
      <sz val="11"/>
      <color rgb="FFFFFFFF"/>
      <name val="Noto Sans TC"/>
      <family val="2"/>
      <charset val="136"/>
    </font>
    <font>
      <sz val="11"/>
      <name val="Cambria"/>
      <family val="0"/>
      <charset val="1"/>
    </font>
    <font>
      <sz val="11"/>
      <color rgb="FFFFFFFF"/>
      <name val="Cambria"/>
      <family val="0"/>
      <charset val="1"/>
    </font>
    <font>
      <sz val="12"/>
      <color theme="1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Noto Sans TC"/>
      <family val="2"/>
      <charset val="136"/>
    </font>
    <font>
      <sz val="12"/>
      <color rgb="FF000000"/>
      <name val="Arial"/>
      <family val="2"/>
      <charset val="1"/>
    </font>
    <font>
      <sz val="12"/>
      <color theme="1"/>
      <name val="Noto Sans TC"/>
      <family val="2"/>
      <charset val="136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sz val="12"/>
      <color rgb="FF000080"/>
      <name val="Noto Sans TC"/>
      <family val="2"/>
      <charset val="136"/>
    </font>
    <font>
      <b val="true"/>
      <sz val="11"/>
      <color theme="1"/>
      <name val="新細明體"/>
      <family val="1"/>
      <charset val="136"/>
    </font>
    <font>
      <b val="true"/>
      <sz val="12"/>
      <color theme="1"/>
      <name val="Noto Sans TC"/>
      <family val="2"/>
      <charset val="136"/>
    </font>
    <font>
      <sz val="12"/>
      <color rgb="FF000000"/>
      <name val="微軟正黑體"/>
      <family val="2"/>
      <charset val="1"/>
    </font>
    <font>
      <b val="true"/>
      <sz val="12"/>
      <color theme="0"/>
      <name val="新細明體"/>
      <family val="2"/>
      <charset val="1"/>
    </font>
    <font>
      <sz val="11"/>
      <color theme="1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新細明體"/>
      <family val="2"/>
      <charset val="1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2"/>
      <charset val="1"/>
    </font>
    <font>
      <sz val="12"/>
      <color rgb="FF000080"/>
      <name val="新細明體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rgb="FFF2DCDB"/>
        <bgColor rgb="FFE6E0EC"/>
      </patternFill>
    </fill>
    <fill>
      <patternFill patternType="solid">
        <fgColor rgb="FFFCD5B5"/>
        <bgColor rgb="FFFFCCCC"/>
      </patternFill>
    </fill>
    <fill>
      <patternFill patternType="solid">
        <fgColor rgb="FFDCE6F1"/>
        <bgColor rgb="FFDCE6F2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DCE6F2"/>
      </patternFill>
    </fill>
    <fill>
      <patternFill patternType="solid">
        <fgColor rgb="FF376092"/>
        <bgColor rgb="FF2F75B5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CC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FCD5B5"/>
      </patternFill>
    </fill>
    <fill>
      <patternFill patternType="solid">
        <fgColor rgb="FF9BC2E6"/>
        <bgColor rgb="FFC6C6C6"/>
      </patternFill>
    </fill>
    <fill>
      <patternFill patternType="solid">
        <fgColor rgb="FFFFFFCC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1"/>
      </patternFill>
    </fill>
    <fill>
      <patternFill patternType="solid">
        <fgColor theme="4" tint="0.7998"/>
        <bgColor rgb="FFDCE6F1"/>
      </patternFill>
    </fill>
    <fill>
      <patternFill patternType="solid">
        <fgColor theme="5" tint="0.3998"/>
        <bgColor rgb="FF96969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8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8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8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6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6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8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9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3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3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30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5" fillId="19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5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5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9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5" fillId="19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5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39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1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3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F2DCDB"/>
      <rgbColor rgb="FF993366"/>
      <rgbColor rgb="FFFFFFCC"/>
      <rgbColor rgb="FFDAEEF3"/>
      <rgbColor rgb="FF660066"/>
      <rgbColor rgb="FFD99694"/>
      <rgbColor rgb="FF0070C0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FFF99"/>
      <rgbColor rgb="FF9BC2E6"/>
      <rgbColor rgb="FFFFCCCC"/>
      <rgbColor rgb="FFE6E0EC"/>
      <rgbColor rgb="FFFCD5B5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1" width="33"/>
    <col collapsed="false" customWidth="true" hidden="false" outlineLevel="0" max="23" min="3" style="1" width="18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true" outlineLevel="0" collapsed="false">
      <c r="A4" s="2"/>
      <c r="B4" s="2"/>
      <c r="C4" s="3" t="s">
        <v>0</v>
      </c>
      <c r="D4" s="3" t="n">
        <v>2020</v>
      </c>
      <c r="E4" s="3" t="n">
        <v>2021</v>
      </c>
      <c r="F4" s="3" t="n">
        <v>2022</v>
      </c>
      <c r="G4" s="3" t="n">
        <v>2023</v>
      </c>
      <c r="H4" s="3" t="n">
        <v>2024</v>
      </c>
      <c r="I4" s="3" t="n">
        <v>2025</v>
      </c>
      <c r="J4" s="3" t="n">
        <v>2026</v>
      </c>
      <c r="K4" s="3" t="n">
        <v>2027</v>
      </c>
      <c r="L4" s="3" t="n">
        <v>2028</v>
      </c>
      <c r="M4" s="3" t="n">
        <v>2029</v>
      </c>
      <c r="N4" s="3" t="n">
        <v>2030</v>
      </c>
      <c r="O4" s="3" t="n">
        <v>2031</v>
      </c>
      <c r="P4" s="3" t="n">
        <v>2032</v>
      </c>
      <c r="Q4" s="3" t="n">
        <v>2033</v>
      </c>
      <c r="R4" s="3" t="n">
        <v>2034</v>
      </c>
      <c r="S4" s="3" t="n">
        <v>2035</v>
      </c>
      <c r="T4" s="3" t="n">
        <v>2036</v>
      </c>
      <c r="U4" s="3" t="n">
        <v>2037</v>
      </c>
      <c r="V4" s="3" t="n">
        <v>2038</v>
      </c>
      <c r="W4" s="3" t="n">
        <v>2039</v>
      </c>
      <c r="X4" s="2"/>
    </row>
    <row r="5" customFormat="false" ht="15" hidden="false" customHeight="true" outlineLevel="0" collapsed="false">
      <c r="A5" s="2"/>
      <c r="B5" s="2"/>
      <c r="C5" s="2" t="s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true" outlineLevel="0" collapsed="false">
      <c r="A6" s="2"/>
      <c r="B6" s="2" t="s">
        <v>2</v>
      </c>
      <c r="C6" s="2"/>
      <c r="D6" s="4" t="n">
        <f aca="false">ROUND(ABS(淡江大學_p8!D40),0)</f>
        <v>541532</v>
      </c>
      <c r="E6" s="4" t="n">
        <f aca="false">ROUND(ABS(淡江大學_p8!E40),0)</f>
        <v>539344</v>
      </c>
      <c r="F6" s="4" t="n">
        <f aca="false">ROUND(ABS(淡江大學_p8!F40),0)</f>
        <v>537156</v>
      </c>
      <c r="G6" s="4" t="n">
        <f aca="false">ROUND(ABS(淡江大學_p8!G40),0)</f>
        <v>534968</v>
      </c>
      <c r="H6" s="4" t="n">
        <f aca="false">ROUND(ABS(淡江大學_p8!H40),0)</f>
        <v>532780</v>
      </c>
      <c r="I6" s="4" t="n">
        <f aca="false">ROUND(ABS(淡江大學_p8!I40),0)</f>
        <v>530592</v>
      </c>
      <c r="J6" s="4" t="n">
        <f aca="false">ROUND(ABS(淡江大學_p8!J40),0)</f>
        <v>528404</v>
      </c>
      <c r="K6" s="4" t="n">
        <f aca="false">ROUND(ABS(淡江大學_p8!K40),0)</f>
        <v>526216</v>
      </c>
      <c r="L6" s="4" t="n">
        <f aca="false">ROUND(ABS(淡江大學_p8!L40),0)</f>
        <v>524028</v>
      </c>
      <c r="M6" s="4" t="n">
        <f aca="false">ROUND(ABS(淡江大學_p8!M40),0)</f>
        <v>521840</v>
      </c>
      <c r="N6" s="4" t="n">
        <f aca="false">ROUND(ABS(淡江大學_p8!N40),0)</f>
        <v>519652</v>
      </c>
      <c r="O6" s="4" t="n">
        <f aca="false">ROUND(ABS(淡江大學_p8!O40),0)</f>
        <v>517464</v>
      </c>
      <c r="P6" s="4" t="n">
        <f aca="false">ROUND(ABS(淡江大學_p8!P40),0)</f>
        <v>515276</v>
      </c>
      <c r="Q6" s="4" t="n">
        <f aca="false">ROUND(ABS(淡江大學_p8!Q40),0)</f>
        <v>513088</v>
      </c>
      <c r="R6" s="4" t="n">
        <f aca="false">ROUND(ABS(淡江大學_p8!R40),0)</f>
        <v>510900</v>
      </c>
      <c r="S6" s="4" t="n">
        <f aca="false">ROUND(ABS(淡江大學_p8!S40),0)</f>
        <v>508712</v>
      </c>
      <c r="T6" s="4" t="n">
        <f aca="false">ROUND(ABS(淡江大學_p8!T40),0)</f>
        <v>506524</v>
      </c>
      <c r="U6" s="4" t="n">
        <f aca="false">ROUND(ABS(淡江大學_p8!U40),0)</f>
        <v>504336</v>
      </c>
      <c r="V6" s="4" t="n">
        <f aca="false">ROUND(ABS(淡江大學_p8!V40),0)</f>
        <v>502148</v>
      </c>
      <c r="W6" s="4" t="n">
        <f aca="false">ROUND(ABS(淡江大學_p8!W40),0)</f>
        <v>499960</v>
      </c>
      <c r="X6" s="2"/>
    </row>
    <row r="7" customFormat="false" ht="15" hidden="false" customHeight="true" outlineLevel="0" collapsed="false">
      <c r="A7" s="2"/>
      <c r="B7" s="2" t="s">
        <v>2</v>
      </c>
      <c r="C7" s="2"/>
      <c r="D7" s="4" t="n">
        <f aca="false">ROUND(ABS(淡江大學_p7!D40),0)</f>
        <v>541532</v>
      </c>
      <c r="E7" s="4" t="n">
        <f aca="false">ROUND(ABS(淡江大學_p7!E40),0)</f>
        <v>539344</v>
      </c>
      <c r="F7" s="4" t="n">
        <f aca="false">ROUND(ABS(淡江大學_p7!F40),0)</f>
        <v>537156</v>
      </c>
      <c r="G7" s="4" t="n">
        <f aca="false">ROUND(ABS(淡江大學_p7!G40),0)</f>
        <v>534968</v>
      </c>
      <c r="H7" s="4" t="n">
        <f aca="false">ROUND(ABS(淡江大學_p7!H40),0)</f>
        <v>532780</v>
      </c>
      <c r="I7" s="4" t="n">
        <f aca="false">ROUND(ABS(淡江大學_p7!I40),0)</f>
        <v>530592</v>
      </c>
      <c r="J7" s="4" t="n">
        <f aca="false">ROUND(ABS(淡江大學_p7!J40),0)</f>
        <v>528404</v>
      </c>
      <c r="K7" s="4" t="n">
        <f aca="false">ROUND(ABS(淡江大學_p7!K40),0)</f>
        <v>526216</v>
      </c>
      <c r="L7" s="4" t="n">
        <f aca="false">ROUND(ABS(淡江大學_p7!L40),0)</f>
        <v>524028</v>
      </c>
      <c r="M7" s="4" t="n">
        <f aca="false">ROUND(ABS(淡江大學_p7!M40),0)</f>
        <v>521840</v>
      </c>
      <c r="N7" s="4" t="n">
        <f aca="false">ROUND(ABS(淡江大學_p7!N40),0)</f>
        <v>519652</v>
      </c>
      <c r="O7" s="4" t="n">
        <f aca="false">ROUND(ABS(淡江大學_p7!O40),0)</f>
        <v>517464</v>
      </c>
      <c r="P7" s="4" t="n">
        <f aca="false">ROUND(ABS(淡江大學_p7!P40),0)</f>
        <v>515276</v>
      </c>
      <c r="Q7" s="4" t="n">
        <f aca="false">ROUND(ABS(淡江大學_p7!Q40),0)</f>
        <v>513088</v>
      </c>
      <c r="R7" s="4" t="n">
        <f aca="false">ROUND(ABS(淡江大學_p7!R40),0)</f>
        <v>510900</v>
      </c>
      <c r="S7" s="4" t="n">
        <f aca="false">ROUND(ABS(淡江大學_p7!S40),0)</f>
        <v>508712</v>
      </c>
      <c r="T7" s="4" t="n">
        <f aca="false">ROUND(ABS(淡江大學_p7!T40),0)</f>
        <v>506524</v>
      </c>
      <c r="U7" s="4" t="n">
        <f aca="false">ROUND(ABS(淡江大學_p7!U40),0)</f>
        <v>504336</v>
      </c>
      <c r="V7" s="4" t="n">
        <f aca="false">ROUND(ABS(淡江大學_p7!V40),0)</f>
        <v>502148</v>
      </c>
      <c r="W7" s="4" t="n">
        <f aca="false">ROUND(ABS(淡江大學_p7!W40),0)</f>
        <v>499960</v>
      </c>
      <c r="X7" s="2"/>
    </row>
    <row r="8" customFormat="false" ht="15" hidden="false" customHeight="true" outlineLevel="0" collapsed="false">
      <c r="A8" s="2"/>
      <c r="B8" s="2" t="s">
        <v>2</v>
      </c>
      <c r="C8" s="2"/>
      <c r="D8" s="4" t="n">
        <f aca="false">ROUND(ABS(淡江大學_p5!D40),0)</f>
        <v>541532</v>
      </c>
      <c r="E8" s="4" t="n">
        <f aca="false">ROUND(ABS(淡江大學_p5!E40),0)</f>
        <v>539344</v>
      </c>
      <c r="F8" s="4" t="n">
        <f aca="false">ROUND(ABS(淡江大學_p5!F40),0)</f>
        <v>537156</v>
      </c>
      <c r="G8" s="4" t="n">
        <f aca="false">ROUND(ABS(淡江大學_p5!G40),0)</f>
        <v>534968</v>
      </c>
      <c r="H8" s="4" t="n">
        <f aca="false">ROUND(ABS(淡江大學_p5!H40),0)</f>
        <v>532780</v>
      </c>
      <c r="I8" s="4" t="n">
        <f aca="false">ROUND(ABS(淡江大學_p5!I40),0)</f>
        <v>530592</v>
      </c>
      <c r="J8" s="4" t="n">
        <f aca="false">ROUND(ABS(淡江大學_p5!J40),0)</f>
        <v>528404</v>
      </c>
      <c r="K8" s="4" t="n">
        <f aca="false">ROUND(ABS(淡江大學_p5!K40),0)</f>
        <v>526216</v>
      </c>
      <c r="L8" s="4" t="n">
        <f aca="false">ROUND(ABS(淡江大學_p5!L40),0)</f>
        <v>524028</v>
      </c>
      <c r="M8" s="4" t="n">
        <f aca="false">ROUND(ABS(淡江大學_p5!M40),0)</f>
        <v>521840</v>
      </c>
      <c r="N8" s="4" t="n">
        <f aca="false">ROUND(ABS(淡江大學_p5!N40),0)</f>
        <v>519652</v>
      </c>
      <c r="O8" s="4" t="n">
        <f aca="false">ROUND(ABS(淡江大學_p5!O40),0)</f>
        <v>517464</v>
      </c>
      <c r="P8" s="4" t="n">
        <f aca="false">ROUND(ABS(淡江大學_p5!P40),0)</f>
        <v>515276</v>
      </c>
      <c r="Q8" s="4" t="n">
        <f aca="false">ROUND(ABS(淡江大學_p5!Q40),0)</f>
        <v>513088</v>
      </c>
      <c r="R8" s="4" t="n">
        <f aca="false">ROUND(ABS(淡江大學_p5!R40),0)</f>
        <v>510900</v>
      </c>
      <c r="S8" s="4" t="n">
        <f aca="false">ROUND(ABS(淡江大學_p5!S40),0)</f>
        <v>508712</v>
      </c>
      <c r="T8" s="4" t="n">
        <f aca="false">ROUND(ABS(淡江大學_p5!T40),0)</f>
        <v>506524</v>
      </c>
      <c r="U8" s="4" t="n">
        <f aca="false">ROUND(ABS(淡江大學_p5!U40),0)</f>
        <v>504336</v>
      </c>
      <c r="V8" s="4" t="n">
        <f aca="false">ROUND(ABS(淡江大學_p5!V40),0)</f>
        <v>502148</v>
      </c>
      <c r="W8" s="4" t="n">
        <f aca="false">ROUND(ABS(淡江大學_p5!W40),0)</f>
        <v>499960</v>
      </c>
      <c r="X8" s="2"/>
    </row>
    <row r="9" customFormat="false" ht="15" hidden="false" customHeight="true" outlineLevel="0" collapsed="false">
      <c r="A9" s="2"/>
      <c r="B9" s="2" t="s">
        <v>2</v>
      </c>
      <c r="C9" s="2"/>
      <c r="D9" s="4" t="n">
        <f aca="false">ROUND(ABS(淡江大學_p4!D40),0)</f>
        <v>541532</v>
      </c>
      <c r="E9" s="4" t="n">
        <f aca="false">ROUND(ABS(淡江大學_p4!E40),0)</f>
        <v>539344</v>
      </c>
      <c r="F9" s="4" t="n">
        <f aca="false">ROUND(ABS(淡江大學_p4!F40),0)</f>
        <v>537156</v>
      </c>
      <c r="G9" s="4" t="n">
        <f aca="false">ROUND(ABS(淡江大學_p4!G40),0)</f>
        <v>534968</v>
      </c>
      <c r="H9" s="4" t="n">
        <f aca="false">ROUND(ABS(淡江大學_p4!H40),0)</f>
        <v>532780</v>
      </c>
      <c r="I9" s="4" t="n">
        <f aca="false">ROUND(ABS(淡江大學_p4!I40),0)</f>
        <v>530592</v>
      </c>
      <c r="J9" s="4" t="n">
        <f aca="false">ROUND(ABS(淡江大學_p4!J40),0)</f>
        <v>528404</v>
      </c>
      <c r="K9" s="4" t="n">
        <f aca="false">ROUND(ABS(淡江大學_p4!K40),0)</f>
        <v>526216</v>
      </c>
      <c r="L9" s="4" t="n">
        <f aca="false">ROUND(ABS(淡江大學_p4!L40),0)</f>
        <v>524028</v>
      </c>
      <c r="M9" s="4" t="n">
        <f aca="false">ROUND(ABS(淡江大學_p4!M40),0)</f>
        <v>521840</v>
      </c>
      <c r="N9" s="4" t="n">
        <f aca="false">ROUND(ABS(淡江大學_p4!N40),0)</f>
        <v>519652</v>
      </c>
      <c r="O9" s="4" t="n">
        <f aca="false">ROUND(ABS(淡江大學_p4!O40),0)</f>
        <v>517464</v>
      </c>
      <c r="P9" s="4" t="n">
        <f aca="false">ROUND(ABS(淡江大學_p4!P40),0)</f>
        <v>515276</v>
      </c>
      <c r="Q9" s="4" t="n">
        <f aca="false">ROUND(ABS(淡江大學_p4!Q40),0)</f>
        <v>513088</v>
      </c>
      <c r="R9" s="4" t="n">
        <f aca="false">ROUND(ABS(淡江大學_p4!R40),0)</f>
        <v>510900</v>
      </c>
      <c r="S9" s="4" t="n">
        <f aca="false">ROUND(ABS(淡江大學_p4!S40),0)</f>
        <v>508712</v>
      </c>
      <c r="T9" s="4" t="n">
        <f aca="false">ROUND(ABS(淡江大學_p4!T40),0)</f>
        <v>506524</v>
      </c>
      <c r="U9" s="4" t="n">
        <f aca="false">ROUND(ABS(淡江大學_p4!U40),0)</f>
        <v>504336</v>
      </c>
      <c r="V9" s="4" t="n">
        <f aca="false">ROUND(ABS(淡江大學_p4!V40),0)</f>
        <v>502148</v>
      </c>
      <c r="W9" s="4" t="n">
        <f aca="false">ROUND(ABS(淡江大學_p4!W40),0)</f>
        <v>499960</v>
      </c>
      <c r="X9" s="2"/>
    </row>
    <row r="10" customFormat="false" ht="15" hidden="false" customHeight="true" outlineLevel="0" collapsed="false">
      <c r="A10" s="2"/>
      <c r="B10" s="2" t="s">
        <v>2</v>
      </c>
      <c r="C10" s="2"/>
      <c r="D10" s="4" t="n">
        <f aca="false">ROUND(ABS(淡江大學_p3!D40),0)</f>
        <v>541532</v>
      </c>
      <c r="E10" s="4" t="n">
        <f aca="false">ROUND(ABS(淡江大學_p3!E40),0)</f>
        <v>539344</v>
      </c>
      <c r="F10" s="4" t="n">
        <f aca="false">ROUND(ABS(淡江大學_p3!F40),0)</f>
        <v>537156</v>
      </c>
      <c r="G10" s="4" t="n">
        <f aca="false">ROUND(ABS(淡江大學_p3!G40),0)</f>
        <v>534968</v>
      </c>
      <c r="H10" s="4" t="n">
        <f aca="false">ROUND(ABS(淡江大學_p3!H40),0)</f>
        <v>532780</v>
      </c>
      <c r="I10" s="4" t="n">
        <f aca="false">ROUND(ABS(淡江大學_p3!I40),0)</f>
        <v>530592</v>
      </c>
      <c r="J10" s="4" t="n">
        <f aca="false">ROUND(ABS(淡江大學_p3!J40),0)</f>
        <v>528404</v>
      </c>
      <c r="K10" s="4" t="n">
        <f aca="false">ROUND(ABS(淡江大學_p3!K40),0)</f>
        <v>526216</v>
      </c>
      <c r="L10" s="4" t="n">
        <f aca="false">ROUND(ABS(淡江大學_p3!L40),0)</f>
        <v>524028</v>
      </c>
      <c r="M10" s="4" t="n">
        <f aca="false">ROUND(ABS(淡江大學_p3!M40),0)</f>
        <v>521840</v>
      </c>
      <c r="N10" s="4" t="n">
        <f aca="false">ROUND(ABS(淡江大學_p3!N40),0)</f>
        <v>519652</v>
      </c>
      <c r="O10" s="4" t="n">
        <f aca="false">ROUND(ABS(淡江大學_p3!O40),0)</f>
        <v>517464</v>
      </c>
      <c r="P10" s="4" t="n">
        <f aca="false">ROUND(ABS(淡江大學_p3!P40),0)</f>
        <v>515276</v>
      </c>
      <c r="Q10" s="4" t="n">
        <f aca="false">ROUND(ABS(淡江大學_p3!Q40),0)</f>
        <v>513088</v>
      </c>
      <c r="R10" s="4" t="n">
        <f aca="false">ROUND(ABS(淡江大學_p3!R40),0)</f>
        <v>510900</v>
      </c>
      <c r="S10" s="4" t="n">
        <f aca="false">ROUND(ABS(淡江大學_p3!S40),0)</f>
        <v>508712</v>
      </c>
      <c r="T10" s="4" t="n">
        <f aca="false">ROUND(ABS(淡江大學_p3!T40),0)</f>
        <v>506524</v>
      </c>
      <c r="U10" s="4" t="n">
        <f aca="false">ROUND(ABS(淡江大學_p3!U40),0)</f>
        <v>504336</v>
      </c>
      <c r="V10" s="4" t="n">
        <f aca="false">ROUND(ABS(淡江大學_p3!V40),0)</f>
        <v>502148</v>
      </c>
      <c r="W10" s="4" t="n">
        <f aca="false">ROUND(ABS(淡江大學_p3!W40),0)</f>
        <v>499960</v>
      </c>
      <c r="X10" s="2"/>
    </row>
    <row r="11" customFormat="false" ht="15" hidden="false" customHeight="true" outlineLevel="0" collapsed="false">
      <c r="A11" s="2"/>
      <c r="B11" s="2" t="s">
        <v>2</v>
      </c>
      <c r="C11" s="2"/>
      <c r="D11" s="4" t="n">
        <f aca="false">ROUND(ABS(淡江大學_p6!D40),0)</f>
        <v>541532</v>
      </c>
      <c r="E11" s="4" t="n">
        <f aca="false">ROUND(ABS(淡江大學_p6!E40),0)</f>
        <v>539344</v>
      </c>
      <c r="F11" s="4" t="n">
        <f aca="false">ROUND(ABS(淡江大學_p6!F40),0)</f>
        <v>537156</v>
      </c>
      <c r="G11" s="4" t="n">
        <f aca="false">ROUND(ABS(淡江大學_p6!G40),0)</f>
        <v>534968</v>
      </c>
      <c r="H11" s="4" t="n">
        <f aca="false">ROUND(ABS(淡江大學_p6!H40),0)</f>
        <v>532780</v>
      </c>
      <c r="I11" s="4" t="n">
        <f aca="false">ROUND(ABS(淡江大學_p6!I40),0)</f>
        <v>530592</v>
      </c>
      <c r="J11" s="4" t="n">
        <f aca="false">ROUND(ABS(淡江大學_p6!J40),0)</f>
        <v>528404</v>
      </c>
      <c r="K11" s="4" t="n">
        <f aca="false">ROUND(ABS(淡江大學_p6!K40),0)</f>
        <v>526216</v>
      </c>
      <c r="L11" s="4" t="n">
        <f aca="false">ROUND(ABS(淡江大學_p6!L40),0)</f>
        <v>524028</v>
      </c>
      <c r="M11" s="4" t="n">
        <f aca="false">ROUND(ABS(淡江大學_p6!M40),0)</f>
        <v>521840</v>
      </c>
      <c r="N11" s="4" t="n">
        <f aca="false">ROUND(ABS(淡江大學_p6!N40),0)</f>
        <v>519652</v>
      </c>
      <c r="O11" s="4" t="n">
        <f aca="false">ROUND(ABS(淡江大學_p6!O40),0)</f>
        <v>517464</v>
      </c>
      <c r="P11" s="4" t="n">
        <f aca="false">ROUND(ABS(淡江大學_p6!P40),0)</f>
        <v>515276</v>
      </c>
      <c r="Q11" s="4" t="n">
        <f aca="false">ROUND(ABS(淡江大學_p6!Q40),0)</f>
        <v>513088</v>
      </c>
      <c r="R11" s="4" t="n">
        <f aca="false">ROUND(ABS(淡江大學_p6!R40),0)</f>
        <v>510900</v>
      </c>
      <c r="S11" s="4" t="n">
        <f aca="false">ROUND(ABS(淡江大學_p6!S40),0)</f>
        <v>508712</v>
      </c>
      <c r="T11" s="4" t="n">
        <f aca="false">ROUND(ABS(淡江大學_p6!T40),0)</f>
        <v>506524</v>
      </c>
      <c r="U11" s="4" t="n">
        <f aca="false">ROUND(ABS(淡江大學_p6!U40),0)</f>
        <v>504336</v>
      </c>
      <c r="V11" s="4" t="n">
        <f aca="false">ROUND(ABS(淡江大學_p6!V40),0)</f>
        <v>502148</v>
      </c>
      <c r="W11" s="4" t="n">
        <f aca="false">ROUND(ABS(淡江大學_p6!W40),0)</f>
        <v>499960</v>
      </c>
      <c r="X11" s="2"/>
    </row>
    <row r="12" customFormat="false" ht="15" hidden="false" customHeight="true" outlineLevel="0" collapsed="false">
      <c r="A12" s="2"/>
      <c r="B12" s="2"/>
      <c r="C12" s="5" t="s">
        <v>3</v>
      </c>
      <c r="D12" s="6" t="n">
        <f aca="false">SUM(D6:D11)</f>
        <v>3249192</v>
      </c>
      <c r="E12" s="6" t="n">
        <f aca="false">SUM(E6:E11)</f>
        <v>3236064</v>
      </c>
      <c r="F12" s="6" t="n">
        <f aca="false">SUM(F6:F11)</f>
        <v>3222936</v>
      </c>
      <c r="G12" s="6" t="n">
        <f aca="false">SUM(G6:G11)</f>
        <v>3209808</v>
      </c>
      <c r="H12" s="6" t="n">
        <f aca="false">SUM(H6:H11)</f>
        <v>3196680</v>
      </c>
      <c r="I12" s="6" t="n">
        <f aca="false">SUM(I6:I11)</f>
        <v>3183552</v>
      </c>
      <c r="J12" s="6" t="n">
        <f aca="false">SUM(J6:J11)</f>
        <v>3170424</v>
      </c>
      <c r="K12" s="6" t="n">
        <f aca="false">SUM(K6:K11)</f>
        <v>3157296</v>
      </c>
      <c r="L12" s="6" t="n">
        <f aca="false">SUM(L6:L11)</f>
        <v>3144168</v>
      </c>
      <c r="M12" s="6" t="n">
        <f aca="false">SUM(M6:M11)</f>
        <v>3131040</v>
      </c>
      <c r="N12" s="6" t="n">
        <f aca="false">SUM(N6:N11)</f>
        <v>3117912</v>
      </c>
      <c r="O12" s="6" t="n">
        <f aca="false">SUM(O6:O11)</f>
        <v>3104784</v>
      </c>
      <c r="P12" s="6" t="n">
        <f aca="false">SUM(P6:P11)</f>
        <v>3091656</v>
      </c>
      <c r="Q12" s="6" t="n">
        <f aca="false">SUM(Q6:Q11)</f>
        <v>3078528</v>
      </c>
      <c r="R12" s="6" t="n">
        <f aca="false">SUM(R6:R11)</f>
        <v>3065400</v>
      </c>
      <c r="S12" s="6" t="n">
        <f aca="false">SUM(S6:S11)</f>
        <v>3052272</v>
      </c>
      <c r="T12" s="6" t="n">
        <f aca="false">SUM(T6:T11)</f>
        <v>3039144</v>
      </c>
      <c r="U12" s="6" t="n">
        <f aca="false">SUM(U6:U11)</f>
        <v>3026016</v>
      </c>
      <c r="V12" s="6" t="n">
        <f aca="false">SUM(V6:V11)</f>
        <v>3012888</v>
      </c>
      <c r="W12" s="6" t="n">
        <f aca="false">SUM(W6:W11)</f>
        <v>2999760</v>
      </c>
      <c r="X12" s="2"/>
    </row>
    <row r="13" customFormat="false" ht="15" hidden="false" customHeight="true" outlineLevel="0" collapsed="false">
      <c r="A13" s="2"/>
      <c r="B13" s="2"/>
      <c r="C13" s="3" t="s">
        <v>0</v>
      </c>
      <c r="D13" s="7" t="n">
        <v>2020</v>
      </c>
      <c r="E13" s="7" t="n">
        <v>2021</v>
      </c>
      <c r="F13" s="7" t="n">
        <v>2022</v>
      </c>
      <c r="G13" s="7" t="n">
        <v>2023</v>
      </c>
      <c r="H13" s="7" t="n">
        <v>2024</v>
      </c>
      <c r="I13" s="7" t="n">
        <v>2025</v>
      </c>
      <c r="J13" s="7" t="n">
        <v>2026</v>
      </c>
      <c r="K13" s="7" t="n">
        <v>2027</v>
      </c>
      <c r="L13" s="7" t="n">
        <v>2028</v>
      </c>
      <c r="M13" s="7" t="n">
        <v>2029</v>
      </c>
      <c r="N13" s="7" t="n">
        <v>2030</v>
      </c>
      <c r="O13" s="7" t="n">
        <v>2031</v>
      </c>
      <c r="P13" s="7" t="n">
        <v>2032</v>
      </c>
      <c r="Q13" s="7" t="n">
        <v>2033</v>
      </c>
      <c r="R13" s="7" t="n">
        <v>2034</v>
      </c>
      <c r="S13" s="7" t="n">
        <v>2035</v>
      </c>
      <c r="T13" s="7" t="n">
        <v>2036</v>
      </c>
      <c r="U13" s="7" t="n">
        <v>2037</v>
      </c>
      <c r="V13" s="7" t="n">
        <v>2038</v>
      </c>
      <c r="W13" s="7" t="n">
        <v>2039</v>
      </c>
      <c r="X13" s="2"/>
    </row>
    <row r="14" customFormat="false" ht="15" hidden="false" customHeight="true" outlineLevel="0" collapsed="false">
      <c r="A14" s="2"/>
      <c r="B14" s="2"/>
      <c r="C14" s="2" t="s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2"/>
    </row>
    <row r="15" customFormat="false" ht="15" hidden="false" customHeight="true" outlineLevel="0" collapsed="false">
      <c r="A15" s="2"/>
      <c r="B15" s="2" t="s">
        <v>2</v>
      </c>
      <c r="C15" s="2"/>
      <c r="D15" s="4" t="n">
        <f aca="false">ROUND(ABS(淡江大學_p8!D41),0)</f>
        <v>2166128</v>
      </c>
      <c r="E15" s="4" t="n">
        <f aca="false">ROUND(ABS(淡江大學_p8!E41),0)</f>
        <v>2157376</v>
      </c>
      <c r="F15" s="4" t="n">
        <f aca="false">ROUND(ABS(淡江大學_p8!F41),0)</f>
        <v>2148624</v>
      </c>
      <c r="G15" s="4" t="n">
        <f aca="false">ROUND(ABS(淡江大學_p8!G41),0)</f>
        <v>2139872</v>
      </c>
      <c r="H15" s="4" t="n">
        <f aca="false">ROUND(ABS(淡江大學_p8!H41),0)</f>
        <v>2131120</v>
      </c>
      <c r="I15" s="4" t="n">
        <f aca="false">ROUND(ABS(淡江大學_p8!I41),0)</f>
        <v>2122368</v>
      </c>
      <c r="J15" s="4" t="n">
        <f aca="false">ROUND(ABS(淡江大學_p8!J41),0)</f>
        <v>2113616</v>
      </c>
      <c r="K15" s="4" t="n">
        <f aca="false">ROUND(ABS(淡江大學_p8!K41),0)</f>
        <v>2104864</v>
      </c>
      <c r="L15" s="4" t="n">
        <f aca="false">ROUND(ABS(淡江大學_p8!L41),0)</f>
        <v>2096112</v>
      </c>
      <c r="M15" s="4" t="n">
        <f aca="false">ROUND(ABS(淡江大學_p8!M41),0)</f>
        <v>2087360</v>
      </c>
      <c r="N15" s="4" t="n">
        <f aca="false">ROUND(ABS(淡江大學_p8!N41),0)</f>
        <v>2078608</v>
      </c>
      <c r="O15" s="4" t="n">
        <f aca="false">ROUND(ABS(淡江大學_p8!O41),0)</f>
        <v>2069856</v>
      </c>
      <c r="P15" s="4" t="n">
        <f aca="false">ROUND(ABS(淡江大學_p8!P41),0)</f>
        <v>2061104</v>
      </c>
      <c r="Q15" s="4" t="n">
        <f aca="false">ROUND(ABS(淡江大學_p8!Q41),0)</f>
        <v>2052352</v>
      </c>
      <c r="R15" s="4" t="n">
        <f aca="false">ROUND(ABS(淡江大學_p8!R41),0)</f>
        <v>2043599</v>
      </c>
      <c r="S15" s="4" t="n">
        <f aca="false">ROUND(ABS(淡江大學_p8!S41),0)</f>
        <v>2034847</v>
      </c>
      <c r="T15" s="4" t="n">
        <f aca="false">ROUND(ABS(淡江大學_p8!T41),0)</f>
        <v>2026095</v>
      </c>
      <c r="U15" s="4" t="n">
        <f aca="false">ROUND(ABS(淡江大學_p8!U41),0)</f>
        <v>2017343</v>
      </c>
      <c r="V15" s="4" t="n">
        <f aca="false">ROUND(ABS(淡江大學_p8!V41),0)</f>
        <v>2008591</v>
      </c>
      <c r="W15" s="4" t="n">
        <f aca="false">ROUND(ABS(淡江大學_p8!W41),0)</f>
        <v>1999839</v>
      </c>
      <c r="X15" s="2"/>
    </row>
    <row r="16" customFormat="false" ht="15" hidden="false" customHeight="true" outlineLevel="0" collapsed="false">
      <c r="A16" s="2"/>
      <c r="B16" s="2" t="s">
        <v>2</v>
      </c>
      <c r="C16" s="2"/>
      <c r="D16" s="4" t="n">
        <f aca="false">ROUND(ABS(淡江大學_p7!D41),0)</f>
        <v>2166128</v>
      </c>
      <c r="E16" s="4" t="n">
        <f aca="false">ROUND(ABS(淡江大學_p7!E41),0)</f>
        <v>2157376</v>
      </c>
      <c r="F16" s="4" t="n">
        <f aca="false">ROUND(ABS(淡江大學_p7!F41),0)</f>
        <v>2148624</v>
      </c>
      <c r="G16" s="4" t="n">
        <f aca="false">ROUND(ABS(淡江大學_p7!G41),0)</f>
        <v>2139872</v>
      </c>
      <c r="H16" s="4" t="n">
        <f aca="false">ROUND(ABS(淡江大學_p7!H41),0)</f>
        <v>2131120</v>
      </c>
      <c r="I16" s="4" t="n">
        <f aca="false">ROUND(ABS(淡江大學_p7!I41),0)</f>
        <v>2122368</v>
      </c>
      <c r="J16" s="4" t="n">
        <f aca="false">ROUND(ABS(淡江大學_p7!J41),0)</f>
        <v>2113616</v>
      </c>
      <c r="K16" s="4" t="n">
        <f aca="false">ROUND(ABS(淡江大學_p7!K41),0)</f>
        <v>2104864</v>
      </c>
      <c r="L16" s="4" t="n">
        <f aca="false">ROUND(ABS(淡江大學_p7!L41),0)</f>
        <v>2096112</v>
      </c>
      <c r="M16" s="4" t="n">
        <f aca="false">ROUND(ABS(淡江大學_p7!M41),0)</f>
        <v>2087360</v>
      </c>
      <c r="N16" s="4" t="n">
        <f aca="false">ROUND(ABS(淡江大學_p7!N41),0)</f>
        <v>2078608</v>
      </c>
      <c r="O16" s="4" t="n">
        <f aca="false">ROUND(ABS(淡江大學_p7!O41),0)</f>
        <v>2069856</v>
      </c>
      <c r="P16" s="4" t="n">
        <f aca="false">ROUND(ABS(淡江大學_p7!P41),0)</f>
        <v>2061104</v>
      </c>
      <c r="Q16" s="4" t="n">
        <f aca="false">ROUND(ABS(淡江大學_p7!Q41),0)</f>
        <v>2052352</v>
      </c>
      <c r="R16" s="4" t="n">
        <f aca="false">ROUND(ABS(淡江大學_p7!R41),0)</f>
        <v>2043599</v>
      </c>
      <c r="S16" s="4" t="n">
        <f aca="false">ROUND(ABS(淡江大學_p7!S41),0)</f>
        <v>2034847</v>
      </c>
      <c r="T16" s="4" t="n">
        <f aca="false">ROUND(ABS(淡江大學_p7!T41),0)</f>
        <v>2026095</v>
      </c>
      <c r="U16" s="4" t="n">
        <f aca="false">ROUND(ABS(淡江大學_p7!U41),0)</f>
        <v>2017343</v>
      </c>
      <c r="V16" s="4" t="n">
        <f aca="false">ROUND(ABS(淡江大學_p7!V41),0)</f>
        <v>2008591</v>
      </c>
      <c r="W16" s="4" t="n">
        <f aca="false">ROUND(ABS(淡江大學_p7!W41),0)</f>
        <v>1999839</v>
      </c>
      <c r="X16" s="2"/>
    </row>
    <row r="17" customFormat="false" ht="15" hidden="false" customHeight="true" outlineLevel="0" collapsed="false">
      <c r="A17" s="2"/>
      <c r="B17" s="2" t="s">
        <v>2</v>
      </c>
      <c r="C17" s="2"/>
      <c r="D17" s="4" t="n">
        <f aca="false">ROUND(ABS(淡江大學_p5!D41),0)</f>
        <v>2166128</v>
      </c>
      <c r="E17" s="4" t="n">
        <f aca="false">ROUND(ABS(淡江大學_p5!E41),0)</f>
        <v>2157376</v>
      </c>
      <c r="F17" s="4" t="n">
        <f aca="false">ROUND(ABS(淡江大學_p5!F41),0)</f>
        <v>2148624</v>
      </c>
      <c r="G17" s="4" t="n">
        <f aca="false">ROUND(ABS(淡江大學_p5!G41),0)</f>
        <v>2139872</v>
      </c>
      <c r="H17" s="4" t="n">
        <f aca="false">ROUND(ABS(淡江大學_p5!H41),0)</f>
        <v>2131120</v>
      </c>
      <c r="I17" s="4" t="n">
        <f aca="false">ROUND(ABS(淡江大學_p5!I41),0)</f>
        <v>2122368</v>
      </c>
      <c r="J17" s="4" t="n">
        <f aca="false">ROUND(ABS(淡江大學_p5!J41),0)</f>
        <v>2113616</v>
      </c>
      <c r="K17" s="4" t="n">
        <f aca="false">ROUND(ABS(淡江大學_p5!K41),0)</f>
        <v>2104864</v>
      </c>
      <c r="L17" s="4" t="n">
        <f aca="false">ROUND(ABS(淡江大學_p5!L41),0)</f>
        <v>2096112</v>
      </c>
      <c r="M17" s="4" t="n">
        <f aca="false">ROUND(ABS(淡江大學_p5!M41),0)</f>
        <v>2087360</v>
      </c>
      <c r="N17" s="4" t="n">
        <f aca="false">ROUND(ABS(淡江大學_p5!N41),0)</f>
        <v>2078608</v>
      </c>
      <c r="O17" s="4" t="n">
        <f aca="false">ROUND(ABS(淡江大學_p5!O41),0)</f>
        <v>2069856</v>
      </c>
      <c r="P17" s="4" t="n">
        <f aca="false">ROUND(ABS(淡江大學_p5!P41),0)</f>
        <v>2061104</v>
      </c>
      <c r="Q17" s="4" t="n">
        <f aca="false">ROUND(ABS(淡江大學_p5!Q41),0)</f>
        <v>2052352</v>
      </c>
      <c r="R17" s="4" t="n">
        <f aca="false">ROUND(ABS(淡江大學_p5!R41),0)</f>
        <v>2043599</v>
      </c>
      <c r="S17" s="4" t="n">
        <f aca="false">ROUND(ABS(淡江大學_p5!S41),0)</f>
        <v>2034847</v>
      </c>
      <c r="T17" s="4" t="n">
        <f aca="false">ROUND(ABS(淡江大學_p5!T41),0)</f>
        <v>2026095</v>
      </c>
      <c r="U17" s="4" t="n">
        <f aca="false">ROUND(ABS(淡江大學_p5!U41),0)</f>
        <v>2017343</v>
      </c>
      <c r="V17" s="4" t="n">
        <f aca="false">ROUND(ABS(淡江大學_p5!V41),0)</f>
        <v>2008591</v>
      </c>
      <c r="W17" s="4" t="n">
        <f aca="false">ROUND(ABS(淡江大學_p5!W41),0)</f>
        <v>1999839</v>
      </c>
      <c r="X17" s="2"/>
    </row>
    <row r="18" customFormat="false" ht="15" hidden="false" customHeight="true" outlineLevel="0" collapsed="false">
      <c r="A18" s="2"/>
      <c r="B18" s="2" t="s">
        <v>2</v>
      </c>
      <c r="C18" s="2"/>
      <c r="D18" s="4" t="n">
        <f aca="false">ROUND(ABS(淡江大學_p4!D41),0)</f>
        <v>2166128</v>
      </c>
      <c r="E18" s="4" t="n">
        <f aca="false">ROUND(ABS(淡江大學_p4!E41),0)</f>
        <v>2157376</v>
      </c>
      <c r="F18" s="4" t="n">
        <f aca="false">ROUND(ABS(淡江大學_p4!F41),0)</f>
        <v>2148624</v>
      </c>
      <c r="G18" s="4" t="n">
        <f aca="false">ROUND(ABS(淡江大學_p4!G41),0)</f>
        <v>2139872</v>
      </c>
      <c r="H18" s="4" t="n">
        <f aca="false">ROUND(ABS(淡江大學_p4!H41),0)</f>
        <v>2131120</v>
      </c>
      <c r="I18" s="4" t="n">
        <f aca="false">ROUND(ABS(淡江大學_p4!I41),0)</f>
        <v>2122368</v>
      </c>
      <c r="J18" s="4" t="n">
        <f aca="false">ROUND(ABS(淡江大學_p4!J41),0)</f>
        <v>2113616</v>
      </c>
      <c r="K18" s="4" t="n">
        <f aca="false">ROUND(ABS(淡江大學_p4!K41),0)</f>
        <v>2104864</v>
      </c>
      <c r="L18" s="4" t="n">
        <f aca="false">ROUND(ABS(淡江大學_p4!L41),0)</f>
        <v>2096112</v>
      </c>
      <c r="M18" s="4" t="n">
        <f aca="false">ROUND(ABS(淡江大學_p4!M41),0)</f>
        <v>2087360</v>
      </c>
      <c r="N18" s="4" t="n">
        <f aca="false">ROUND(ABS(淡江大學_p4!N41),0)</f>
        <v>2078608</v>
      </c>
      <c r="O18" s="4" t="n">
        <f aca="false">ROUND(ABS(淡江大學_p4!O41),0)</f>
        <v>2069856</v>
      </c>
      <c r="P18" s="4" t="n">
        <f aca="false">ROUND(ABS(淡江大學_p4!P41),0)</f>
        <v>2061104</v>
      </c>
      <c r="Q18" s="4" t="n">
        <f aca="false">ROUND(ABS(淡江大學_p4!Q41),0)</f>
        <v>2052352</v>
      </c>
      <c r="R18" s="4" t="n">
        <f aca="false">ROUND(ABS(淡江大學_p4!R41),0)</f>
        <v>2043599</v>
      </c>
      <c r="S18" s="4" t="n">
        <f aca="false">ROUND(ABS(淡江大學_p4!S41),0)</f>
        <v>2034847</v>
      </c>
      <c r="T18" s="4" t="n">
        <f aca="false">ROUND(ABS(淡江大學_p4!T41),0)</f>
        <v>2026095</v>
      </c>
      <c r="U18" s="4" t="n">
        <f aca="false">ROUND(ABS(淡江大學_p4!U41),0)</f>
        <v>2017343</v>
      </c>
      <c r="V18" s="4" t="n">
        <f aca="false">ROUND(ABS(淡江大學_p4!V41),0)</f>
        <v>2008591</v>
      </c>
      <c r="W18" s="4" t="n">
        <f aca="false">ROUND(ABS(淡江大學_p4!W41),0)</f>
        <v>1999839</v>
      </c>
      <c r="X18" s="2"/>
    </row>
    <row r="19" customFormat="false" ht="15" hidden="false" customHeight="true" outlineLevel="0" collapsed="false">
      <c r="A19" s="2"/>
      <c r="B19" s="2" t="s">
        <v>2</v>
      </c>
      <c r="C19" s="2"/>
      <c r="D19" s="4" t="n">
        <f aca="false">ROUND(ABS(淡江大學_p3!D41),0)</f>
        <v>2166128</v>
      </c>
      <c r="E19" s="4" t="n">
        <f aca="false">ROUND(ABS(淡江大學_p3!E41),0)</f>
        <v>2157376</v>
      </c>
      <c r="F19" s="4" t="n">
        <f aca="false">ROUND(ABS(淡江大學_p3!F41),0)</f>
        <v>2148624</v>
      </c>
      <c r="G19" s="4" t="n">
        <f aca="false">ROUND(ABS(淡江大學_p3!G41),0)</f>
        <v>2139872</v>
      </c>
      <c r="H19" s="4" t="n">
        <f aca="false">ROUND(ABS(淡江大學_p3!H41),0)</f>
        <v>2131120</v>
      </c>
      <c r="I19" s="4" t="n">
        <f aca="false">ROUND(ABS(淡江大學_p3!I41),0)</f>
        <v>2122368</v>
      </c>
      <c r="J19" s="4" t="n">
        <f aca="false">ROUND(ABS(淡江大學_p3!J41),0)</f>
        <v>2113616</v>
      </c>
      <c r="K19" s="4" t="n">
        <f aca="false">ROUND(ABS(淡江大學_p3!K41),0)</f>
        <v>2104864</v>
      </c>
      <c r="L19" s="4" t="n">
        <f aca="false">ROUND(ABS(淡江大學_p3!L41),0)</f>
        <v>2096112</v>
      </c>
      <c r="M19" s="4" t="n">
        <f aca="false">ROUND(ABS(淡江大學_p3!M41),0)</f>
        <v>2087360</v>
      </c>
      <c r="N19" s="4" t="n">
        <f aca="false">ROUND(ABS(淡江大學_p3!N41),0)</f>
        <v>2078608</v>
      </c>
      <c r="O19" s="4" t="n">
        <f aca="false">ROUND(ABS(淡江大學_p3!O41),0)</f>
        <v>2069856</v>
      </c>
      <c r="P19" s="4" t="n">
        <f aca="false">ROUND(ABS(淡江大學_p3!P41),0)</f>
        <v>2061104</v>
      </c>
      <c r="Q19" s="4" t="n">
        <f aca="false">ROUND(ABS(淡江大學_p3!Q41),0)</f>
        <v>2052352</v>
      </c>
      <c r="R19" s="4" t="n">
        <f aca="false">ROUND(ABS(淡江大學_p3!R41),0)</f>
        <v>2043599</v>
      </c>
      <c r="S19" s="4" t="n">
        <f aca="false">ROUND(ABS(淡江大學_p3!S41),0)</f>
        <v>2034847</v>
      </c>
      <c r="T19" s="4" t="n">
        <f aca="false">ROUND(ABS(淡江大學_p3!T41),0)</f>
        <v>2026095</v>
      </c>
      <c r="U19" s="4" t="n">
        <f aca="false">ROUND(ABS(淡江大學_p3!U41),0)</f>
        <v>2017343</v>
      </c>
      <c r="V19" s="4" t="n">
        <f aca="false">ROUND(ABS(淡江大學_p3!V41),0)</f>
        <v>2008591</v>
      </c>
      <c r="W19" s="4" t="n">
        <f aca="false">ROUND(ABS(淡江大學_p3!W41),0)</f>
        <v>1999839</v>
      </c>
      <c r="X19" s="2"/>
    </row>
    <row r="20" customFormat="false" ht="15" hidden="false" customHeight="true" outlineLevel="0" collapsed="false">
      <c r="A20" s="2"/>
      <c r="B20" s="2" t="s">
        <v>2</v>
      </c>
      <c r="C20" s="2"/>
      <c r="D20" s="4" t="n">
        <f aca="false">ROUND(ABS(淡江大學_p6!D41),0)</f>
        <v>2166128</v>
      </c>
      <c r="E20" s="4" t="n">
        <f aca="false">ROUND(ABS(淡江大學_p6!E41),0)</f>
        <v>2157376</v>
      </c>
      <c r="F20" s="4" t="n">
        <f aca="false">ROUND(ABS(淡江大學_p6!F41),0)</f>
        <v>2148624</v>
      </c>
      <c r="G20" s="4" t="n">
        <f aca="false">ROUND(ABS(淡江大學_p6!G41),0)</f>
        <v>2139872</v>
      </c>
      <c r="H20" s="4" t="n">
        <f aca="false">ROUND(ABS(淡江大學_p6!H41),0)</f>
        <v>2131120</v>
      </c>
      <c r="I20" s="4" t="n">
        <f aca="false">ROUND(ABS(淡江大學_p6!I41),0)</f>
        <v>2122368</v>
      </c>
      <c r="J20" s="4" t="n">
        <f aca="false">ROUND(ABS(淡江大學_p6!J41),0)</f>
        <v>2113616</v>
      </c>
      <c r="K20" s="4" t="n">
        <f aca="false">ROUND(ABS(淡江大學_p6!K41),0)</f>
        <v>2104864</v>
      </c>
      <c r="L20" s="4" t="n">
        <f aca="false">ROUND(ABS(淡江大學_p6!L41),0)</f>
        <v>2096112</v>
      </c>
      <c r="M20" s="4" t="n">
        <f aca="false">ROUND(ABS(淡江大學_p6!M41),0)</f>
        <v>2087360</v>
      </c>
      <c r="N20" s="4" t="n">
        <f aca="false">ROUND(ABS(淡江大學_p6!N41),0)</f>
        <v>2078608</v>
      </c>
      <c r="O20" s="4" t="n">
        <f aca="false">ROUND(ABS(淡江大學_p6!O41),0)</f>
        <v>2069856</v>
      </c>
      <c r="P20" s="4" t="n">
        <f aca="false">ROUND(ABS(淡江大學_p6!P41),0)</f>
        <v>2061104</v>
      </c>
      <c r="Q20" s="4" t="n">
        <f aca="false">ROUND(ABS(淡江大學_p6!Q41),0)</f>
        <v>2052352</v>
      </c>
      <c r="R20" s="4" t="n">
        <f aca="false">ROUND(ABS(淡江大學_p6!R41),0)</f>
        <v>2043599</v>
      </c>
      <c r="S20" s="4" t="n">
        <f aca="false">ROUND(ABS(淡江大學_p6!S41),0)</f>
        <v>2034847</v>
      </c>
      <c r="T20" s="4" t="n">
        <f aca="false">ROUND(ABS(淡江大學_p6!T41),0)</f>
        <v>2026095</v>
      </c>
      <c r="U20" s="4" t="n">
        <f aca="false">ROUND(ABS(淡江大學_p6!U41),0)</f>
        <v>2017343</v>
      </c>
      <c r="V20" s="4" t="n">
        <f aca="false">ROUND(ABS(淡江大學_p6!V41),0)</f>
        <v>2008591</v>
      </c>
      <c r="W20" s="4" t="n">
        <f aca="false">ROUND(ABS(淡江大學_p6!W41),0)</f>
        <v>1999839</v>
      </c>
      <c r="X20" s="2"/>
    </row>
    <row r="21" customFormat="false" ht="15" hidden="false" customHeight="true" outlineLevel="0" collapsed="false">
      <c r="A21" s="2"/>
      <c r="B21" s="2"/>
      <c r="C21" s="8" t="s">
        <v>5</v>
      </c>
      <c r="D21" s="9" t="n">
        <f aca="false">SUM(D15:D20)</f>
        <v>12996768</v>
      </c>
      <c r="E21" s="9" t="n">
        <f aca="false">SUM(E15:E20)</f>
        <v>12944256</v>
      </c>
      <c r="F21" s="9" t="n">
        <f aca="false">SUM(F15:F20)</f>
        <v>12891744</v>
      </c>
      <c r="G21" s="9" t="n">
        <f aca="false">SUM(G15:G20)</f>
        <v>12839232</v>
      </c>
      <c r="H21" s="9" t="n">
        <f aca="false">SUM(H15:H20)</f>
        <v>12786720</v>
      </c>
      <c r="I21" s="9" t="n">
        <f aca="false">SUM(I15:I20)</f>
        <v>12734208</v>
      </c>
      <c r="J21" s="9" t="n">
        <f aca="false">SUM(J15:J20)</f>
        <v>12681696</v>
      </c>
      <c r="K21" s="9" t="n">
        <f aca="false">SUM(K15:K20)</f>
        <v>12629184</v>
      </c>
      <c r="L21" s="9" t="n">
        <f aca="false">SUM(L15:L20)</f>
        <v>12576672</v>
      </c>
      <c r="M21" s="9" t="n">
        <f aca="false">SUM(M15:M20)</f>
        <v>12524160</v>
      </c>
      <c r="N21" s="9" t="n">
        <f aca="false">SUM(N15:N20)</f>
        <v>12471648</v>
      </c>
      <c r="O21" s="9" t="n">
        <f aca="false">SUM(O15:O20)</f>
        <v>12419136</v>
      </c>
      <c r="P21" s="9" t="n">
        <f aca="false">SUM(P15:P20)</f>
        <v>12366624</v>
      </c>
      <c r="Q21" s="9" t="n">
        <f aca="false">SUM(Q15:Q20)</f>
        <v>12314112</v>
      </c>
      <c r="R21" s="9" t="n">
        <f aca="false">SUM(R15:R20)</f>
        <v>12261594</v>
      </c>
      <c r="S21" s="9" t="n">
        <f aca="false">SUM(S15:S20)</f>
        <v>12209082</v>
      </c>
      <c r="T21" s="9" t="n">
        <f aca="false">SUM(T15:T20)</f>
        <v>12156570</v>
      </c>
      <c r="U21" s="9" t="n">
        <f aca="false">SUM(U15:U20)</f>
        <v>12104058</v>
      </c>
      <c r="V21" s="9" t="n">
        <f aca="false">SUM(V15:V20)</f>
        <v>12051546</v>
      </c>
      <c r="W21" s="9" t="n">
        <f aca="false">SUM(W15:W20)</f>
        <v>11999034</v>
      </c>
      <c r="X21" s="2"/>
    </row>
    <row r="22" customFormat="false" ht="15" hidden="false" customHeight="true" outlineLevel="0" collapsed="false">
      <c r="A22" s="2"/>
      <c r="B22" s="2"/>
      <c r="C22" s="3" t="s">
        <v>0</v>
      </c>
      <c r="D22" s="7" t="n">
        <v>2020</v>
      </c>
      <c r="E22" s="7" t="n">
        <v>2021</v>
      </c>
      <c r="F22" s="7" t="n">
        <v>2022</v>
      </c>
      <c r="G22" s="7" t="n">
        <v>2023</v>
      </c>
      <c r="H22" s="7" t="n">
        <v>2024</v>
      </c>
      <c r="I22" s="7" t="n">
        <v>2025</v>
      </c>
      <c r="J22" s="7" t="n">
        <v>2026</v>
      </c>
      <c r="K22" s="7" t="n">
        <v>2027</v>
      </c>
      <c r="L22" s="7" t="n">
        <v>2028</v>
      </c>
      <c r="M22" s="7" t="n">
        <v>2029</v>
      </c>
      <c r="N22" s="7" t="n">
        <v>2030</v>
      </c>
      <c r="O22" s="7" t="n">
        <v>2031</v>
      </c>
      <c r="P22" s="7" t="n">
        <v>2032</v>
      </c>
      <c r="Q22" s="7" t="n">
        <v>2033</v>
      </c>
      <c r="R22" s="7" t="n">
        <v>2034</v>
      </c>
      <c r="S22" s="7" t="n">
        <v>2035</v>
      </c>
      <c r="T22" s="7" t="n">
        <v>2036</v>
      </c>
      <c r="U22" s="7" t="n">
        <v>2037</v>
      </c>
      <c r="V22" s="7" t="n">
        <v>2038</v>
      </c>
      <c r="W22" s="7" t="n">
        <v>2039</v>
      </c>
      <c r="X22" s="2"/>
    </row>
    <row r="23" customFormat="false" ht="15" hidden="false" customHeight="true" outlineLevel="0" collapsed="false">
      <c r="A23" s="2"/>
      <c r="B23" s="2"/>
      <c r="C23" s="2" t="s">
        <v>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2"/>
    </row>
    <row r="24" customFormat="false" ht="15" hidden="false" customHeight="true" outlineLevel="0" collapsed="false">
      <c r="A24" s="2"/>
      <c r="B24" s="2" t="s">
        <v>2</v>
      </c>
      <c r="C24" s="2"/>
      <c r="D24" s="4" t="n">
        <f aca="false">ROUND(ABS(淡江大學_p8!D45),0)</f>
        <v>290201</v>
      </c>
      <c r="E24" s="4" t="n">
        <f aca="false">ROUND(ABS(淡江大學_p8!E45),0)</f>
        <v>290201</v>
      </c>
      <c r="F24" s="4" t="n">
        <f aca="false">ROUND(ABS(淡江大學_p8!F45),0)</f>
        <v>290201</v>
      </c>
      <c r="G24" s="4" t="n">
        <f aca="false">ROUND(ABS(淡江大學_p8!G45),0)</f>
        <v>290201</v>
      </c>
      <c r="H24" s="4" t="n">
        <f aca="false">ROUND(ABS(淡江大學_p8!H45),0)</f>
        <v>290201</v>
      </c>
      <c r="I24" s="4" t="n">
        <f aca="false">ROUND(ABS(淡江大學_p8!I45),0)</f>
        <v>290201</v>
      </c>
      <c r="J24" s="4" t="n">
        <f aca="false">ROUND(ABS(淡江大學_p8!J45),0)</f>
        <v>290201</v>
      </c>
      <c r="K24" s="4" t="n">
        <f aca="false">ROUND(ABS(淡江大學_p8!K45),0)</f>
        <v>290201</v>
      </c>
      <c r="L24" s="4" t="n">
        <f aca="false">ROUND(ABS(淡江大學_p8!L45),0)</f>
        <v>290201</v>
      </c>
      <c r="M24" s="4" t="n">
        <f aca="false">ROUND(ABS(淡江大學_p8!M45),0)</f>
        <v>290201</v>
      </c>
      <c r="N24" s="4" t="n">
        <f aca="false">ROUND(ABS(淡江大學_p8!N45),0)</f>
        <v>290201</v>
      </c>
      <c r="O24" s="4" t="n">
        <f aca="false">ROUND(ABS(淡江大學_p8!O45),0)</f>
        <v>290201</v>
      </c>
      <c r="P24" s="4" t="n">
        <f aca="false">ROUND(ABS(淡江大學_p8!P45),0)</f>
        <v>290201</v>
      </c>
      <c r="Q24" s="4" t="n">
        <f aca="false">ROUND(ABS(淡江大學_p8!Q45),0)</f>
        <v>290201</v>
      </c>
      <c r="R24" s="4" t="n">
        <f aca="false">ROUND(ABS(淡江大學_p8!R45),0)</f>
        <v>290201</v>
      </c>
      <c r="S24" s="4" t="n">
        <f aca="false">ROUND(ABS(淡江大學_p8!S45),0)</f>
        <v>290201</v>
      </c>
      <c r="T24" s="4" t="n">
        <f aca="false">ROUND(ABS(淡江大學_p8!T45),0)</f>
        <v>290201</v>
      </c>
      <c r="U24" s="4" t="n">
        <f aca="false">ROUND(ABS(淡江大學_p8!U45),0)</f>
        <v>290201</v>
      </c>
      <c r="V24" s="4" t="n">
        <f aca="false">ROUND(ABS(淡江大學_p8!V45),0)</f>
        <v>290201</v>
      </c>
      <c r="W24" s="4" t="n">
        <f aca="false">ROUND(ABS(淡江大學_p8!W45),0)</f>
        <v>290201</v>
      </c>
      <c r="X24" s="2"/>
    </row>
    <row r="25" customFormat="false" ht="15" hidden="false" customHeight="true" outlineLevel="0" collapsed="false">
      <c r="A25" s="2"/>
      <c r="B25" s="2" t="s">
        <v>2</v>
      </c>
      <c r="C25" s="2"/>
      <c r="D25" s="4" t="n">
        <f aca="false">ROUND(ABS(淡江大學_p7!D45),0)</f>
        <v>290201</v>
      </c>
      <c r="E25" s="4" t="n">
        <f aca="false">ROUND(ABS(淡江大學_p7!E45),0)</f>
        <v>290201</v>
      </c>
      <c r="F25" s="4" t="n">
        <f aca="false">ROUND(ABS(淡江大學_p7!F45),0)</f>
        <v>290201</v>
      </c>
      <c r="G25" s="4" t="n">
        <f aca="false">ROUND(ABS(淡江大學_p7!G45),0)</f>
        <v>290201</v>
      </c>
      <c r="H25" s="4" t="n">
        <f aca="false">ROUND(ABS(淡江大學_p7!H45),0)</f>
        <v>290201</v>
      </c>
      <c r="I25" s="4" t="n">
        <f aca="false">ROUND(ABS(淡江大學_p7!I45),0)</f>
        <v>290201</v>
      </c>
      <c r="J25" s="4" t="n">
        <f aca="false">ROUND(ABS(淡江大學_p7!J45),0)</f>
        <v>290201</v>
      </c>
      <c r="K25" s="4" t="n">
        <f aca="false">ROUND(ABS(淡江大學_p7!K45),0)</f>
        <v>290201</v>
      </c>
      <c r="L25" s="4" t="n">
        <f aca="false">ROUND(ABS(淡江大學_p7!L45),0)</f>
        <v>290201</v>
      </c>
      <c r="M25" s="4" t="n">
        <f aca="false">ROUND(ABS(淡江大學_p7!M45),0)</f>
        <v>290201</v>
      </c>
      <c r="N25" s="4" t="n">
        <f aca="false">ROUND(ABS(淡江大學_p7!N45),0)</f>
        <v>290201</v>
      </c>
      <c r="O25" s="4" t="n">
        <f aca="false">ROUND(ABS(淡江大學_p7!O45),0)</f>
        <v>290201</v>
      </c>
      <c r="P25" s="4" t="n">
        <f aca="false">ROUND(ABS(淡江大學_p7!P45),0)</f>
        <v>290201</v>
      </c>
      <c r="Q25" s="4" t="n">
        <f aca="false">ROUND(ABS(淡江大學_p7!Q45),0)</f>
        <v>290201</v>
      </c>
      <c r="R25" s="4" t="n">
        <f aca="false">ROUND(ABS(淡江大學_p7!R45),0)</f>
        <v>290201</v>
      </c>
      <c r="S25" s="4" t="n">
        <f aca="false">ROUND(ABS(淡江大學_p7!S45),0)</f>
        <v>290201</v>
      </c>
      <c r="T25" s="4" t="n">
        <f aca="false">ROUND(ABS(淡江大學_p7!T45),0)</f>
        <v>290201</v>
      </c>
      <c r="U25" s="4" t="n">
        <f aca="false">ROUND(ABS(淡江大學_p7!U45),0)</f>
        <v>290201</v>
      </c>
      <c r="V25" s="4" t="n">
        <f aca="false">ROUND(ABS(淡江大學_p7!V45),0)</f>
        <v>290201</v>
      </c>
      <c r="W25" s="4" t="n">
        <f aca="false">ROUND(ABS(淡江大學_p7!W45),0)</f>
        <v>290201</v>
      </c>
      <c r="X25" s="2"/>
    </row>
    <row r="26" customFormat="false" ht="15" hidden="false" customHeight="true" outlineLevel="0" collapsed="false">
      <c r="A26" s="2"/>
      <c r="B26" s="2" t="s">
        <v>2</v>
      </c>
      <c r="C26" s="2"/>
      <c r="D26" s="4" t="n">
        <f aca="false">ROUND(ABS(淡江大學_p5!D45),0)</f>
        <v>290201</v>
      </c>
      <c r="E26" s="4" t="n">
        <f aca="false">ROUND(ABS(淡江大學_p5!E45),0)</f>
        <v>290201</v>
      </c>
      <c r="F26" s="4" t="n">
        <f aca="false">ROUND(ABS(淡江大學_p5!F45),0)</f>
        <v>290201</v>
      </c>
      <c r="G26" s="4" t="n">
        <f aca="false">ROUND(ABS(淡江大學_p5!G45),0)</f>
        <v>290201</v>
      </c>
      <c r="H26" s="4" t="n">
        <f aca="false">ROUND(ABS(淡江大學_p5!H45),0)</f>
        <v>290201</v>
      </c>
      <c r="I26" s="4" t="n">
        <f aca="false">ROUND(ABS(淡江大學_p5!I45),0)</f>
        <v>290201</v>
      </c>
      <c r="J26" s="4" t="n">
        <f aca="false">ROUND(ABS(淡江大學_p5!J45),0)</f>
        <v>290201</v>
      </c>
      <c r="K26" s="4" t="n">
        <f aca="false">ROUND(ABS(淡江大學_p5!K45),0)</f>
        <v>290201</v>
      </c>
      <c r="L26" s="4" t="n">
        <f aca="false">ROUND(ABS(淡江大學_p5!L45),0)</f>
        <v>290201</v>
      </c>
      <c r="M26" s="4" t="n">
        <f aca="false">ROUND(ABS(淡江大學_p5!M45),0)</f>
        <v>290201</v>
      </c>
      <c r="N26" s="4" t="n">
        <f aca="false">ROUND(ABS(淡江大學_p5!N45),0)</f>
        <v>290201</v>
      </c>
      <c r="O26" s="4" t="n">
        <f aca="false">ROUND(ABS(淡江大學_p5!O45),0)</f>
        <v>290201</v>
      </c>
      <c r="P26" s="4" t="n">
        <f aca="false">ROUND(ABS(淡江大學_p5!P45),0)</f>
        <v>290201</v>
      </c>
      <c r="Q26" s="4" t="n">
        <f aca="false">ROUND(ABS(淡江大學_p5!Q45),0)</f>
        <v>290201</v>
      </c>
      <c r="R26" s="4" t="n">
        <f aca="false">ROUND(ABS(淡江大學_p5!R45),0)</f>
        <v>290201</v>
      </c>
      <c r="S26" s="4" t="n">
        <f aca="false">ROUND(ABS(淡江大學_p5!S45),0)</f>
        <v>290201</v>
      </c>
      <c r="T26" s="4" t="n">
        <f aca="false">ROUND(ABS(淡江大學_p5!T45),0)</f>
        <v>290201</v>
      </c>
      <c r="U26" s="4" t="n">
        <f aca="false">ROUND(ABS(淡江大學_p5!U45),0)</f>
        <v>290201</v>
      </c>
      <c r="V26" s="4" t="n">
        <f aca="false">ROUND(ABS(淡江大學_p5!V45),0)</f>
        <v>290201</v>
      </c>
      <c r="W26" s="4" t="n">
        <f aca="false">ROUND(ABS(淡江大學_p5!W45),0)</f>
        <v>290201</v>
      </c>
      <c r="X26" s="2"/>
    </row>
    <row r="27" customFormat="false" ht="15" hidden="false" customHeight="true" outlineLevel="0" collapsed="false">
      <c r="A27" s="2"/>
      <c r="B27" s="2" t="s">
        <v>2</v>
      </c>
      <c r="C27" s="2"/>
      <c r="D27" s="4" t="n">
        <f aca="false">ROUND(ABS(淡江大學_p4!D45),0)</f>
        <v>290201</v>
      </c>
      <c r="E27" s="4" t="n">
        <f aca="false">ROUND(ABS(淡江大學_p4!E45),0)</f>
        <v>290201</v>
      </c>
      <c r="F27" s="4" t="n">
        <f aca="false">ROUND(ABS(淡江大學_p4!F45),0)</f>
        <v>290201</v>
      </c>
      <c r="G27" s="4" t="n">
        <f aca="false">ROUND(ABS(淡江大學_p4!G45),0)</f>
        <v>290201</v>
      </c>
      <c r="H27" s="4" t="n">
        <f aca="false">ROUND(ABS(淡江大學_p4!H45),0)</f>
        <v>290201</v>
      </c>
      <c r="I27" s="4" t="n">
        <f aca="false">ROUND(ABS(淡江大學_p4!I45),0)</f>
        <v>290201</v>
      </c>
      <c r="J27" s="4" t="n">
        <f aca="false">ROUND(ABS(淡江大學_p4!J45),0)</f>
        <v>290201</v>
      </c>
      <c r="K27" s="4" t="n">
        <f aca="false">ROUND(ABS(淡江大學_p4!K45),0)</f>
        <v>290201</v>
      </c>
      <c r="L27" s="4" t="n">
        <f aca="false">ROUND(ABS(淡江大學_p4!L45),0)</f>
        <v>290201</v>
      </c>
      <c r="M27" s="4" t="n">
        <f aca="false">ROUND(ABS(淡江大學_p4!M45),0)</f>
        <v>290201</v>
      </c>
      <c r="N27" s="4" t="n">
        <f aca="false">ROUND(ABS(淡江大學_p4!N45),0)</f>
        <v>290201</v>
      </c>
      <c r="O27" s="4" t="n">
        <f aca="false">ROUND(ABS(淡江大學_p4!O45),0)</f>
        <v>290201</v>
      </c>
      <c r="P27" s="4" t="n">
        <f aca="false">ROUND(ABS(淡江大學_p4!P45),0)</f>
        <v>290201</v>
      </c>
      <c r="Q27" s="4" t="n">
        <f aca="false">ROUND(ABS(淡江大學_p4!Q45),0)</f>
        <v>290201</v>
      </c>
      <c r="R27" s="4" t="n">
        <f aca="false">ROUND(ABS(淡江大學_p4!R45),0)</f>
        <v>290201</v>
      </c>
      <c r="S27" s="4" t="n">
        <f aca="false">ROUND(ABS(淡江大學_p4!S45),0)</f>
        <v>290201</v>
      </c>
      <c r="T27" s="4" t="n">
        <f aca="false">ROUND(ABS(淡江大學_p4!T45),0)</f>
        <v>290201</v>
      </c>
      <c r="U27" s="4" t="n">
        <f aca="false">ROUND(ABS(淡江大學_p4!U45),0)</f>
        <v>290201</v>
      </c>
      <c r="V27" s="4" t="n">
        <f aca="false">ROUND(ABS(淡江大學_p4!V45),0)</f>
        <v>290201</v>
      </c>
      <c r="W27" s="4" t="n">
        <f aca="false">ROUND(ABS(淡江大學_p4!W45),0)</f>
        <v>290201</v>
      </c>
      <c r="X27" s="2"/>
    </row>
    <row r="28" customFormat="false" ht="15" hidden="false" customHeight="true" outlineLevel="0" collapsed="false">
      <c r="A28" s="2"/>
      <c r="B28" s="2" t="s">
        <v>2</v>
      </c>
      <c r="C28" s="2"/>
      <c r="D28" s="4" t="n">
        <f aca="false">ROUND(ABS(淡江大學_p3!D45),0)</f>
        <v>290201</v>
      </c>
      <c r="E28" s="4" t="n">
        <f aca="false">ROUND(ABS(淡江大學_p3!E45),0)</f>
        <v>290201</v>
      </c>
      <c r="F28" s="4" t="n">
        <f aca="false">ROUND(ABS(淡江大學_p3!F45),0)</f>
        <v>290201</v>
      </c>
      <c r="G28" s="4" t="n">
        <f aca="false">ROUND(ABS(淡江大學_p3!G45),0)</f>
        <v>290201</v>
      </c>
      <c r="H28" s="4" t="n">
        <f aca="false">ROUND(ABS(淡江大學_p3!H45),0)</f>
        <v>290201</v>
      </c>
      <c r="I28" s="4" t="n">
        <f aca="false">ROUND(ABS(淡江大學_p3!I45),0)</f>
        <v>290201</v>
      </c>
      <c r="J28" s="4" t="n">
        <f aca="false">ROUND(ABS(淡江大學_p3!J45),0)</f>
        <v>290201</v>
      </c>
      <c r="K28" s="4" t="n">
        <f aca="false">ROUND(ABS(淡江大學_p3!K45),0)</f>
        <v>290201</v>
      </c>
      <c r="L28" s="4" t="n">
        <f aca="false">ROUND(ABS(淡江大學_p3!L45),0)</f>
        <v>290201</v>
      </c>
      <c r="M28" s="4" t="n">
        <f aca="false">ROUND(ABS(淡江大學_p3!M45),0)</f>
        <v>290201</v>
      </c>
      <c r="N28" s="4" t="n">
        <f aca="false">ROUND(ABS(淡江大學_p3!N45),0)</f>
        <v>290201</v>
      </c>
      <c r="O28" s="4" t="n">
        <f aca="false">ROUND(ABS(淡江大學_p3!O45),0)</f>
        <v>290201</v>
      </c>
      <c r="P28" s="4" t="n">
        <f aca="false">ROUND(ABS(淡江大學_p3!P45),0)</f>
        <v>290201</v>
      </c>
      <c r="Q28" s="4" t="n">
        <f aca="false">ROUND(ABS(淡江大學_p3!Q45),0)</f>
        <v>290201</v>
      </c>
      <c r="R28" s="4" t="n">
        <f aca="false">ROUND(ABS(淡江大學_p3!R45),0)</f>
        <v>290201</v>
      </c>
      <c r="S28" s="4" t="n">
        <f aca="false">ROUND(ABS(淡江大學_p3!S45),0)</f>
        <v>290201</v>
      </c>
      <c r="T28" s="4" t="n">
        <f aca="false">ROUND(ABS(淡江大學_p3!T45),0)</f>
        <v>290201</v>
      </c>
      <c r="U28" s="4" t="n">
        <f aca="false">ROUND(ABS(淡江大學_p3!U45),0)</f>
        <v>290201</v>
      </c>
      <c r="V28" s="4" t="n">
        <f aca="false">ROUND(ABS(淡江大學_p3!V45),0)</f>
        <v>290201</v>
      </c>
      <c r="W28" s="4" t="n">
        <f aca="false">ROUND(ABS(淡江大學_p3!W45),0)</f>
        <v>290201</v>
      </c>
      <c r="X28" s="2"/>
    </row>
    <row r="29" customFormat="false" ht="15" hidden="false" customHeight="true" outlineLevel="0" collapsed="false">
      <c r="A29" s="2"/>
      <c r="B29" s="2" t="s">
        <v>2</v>
      </c>
      <c r="C29" s="2"/>
      <c r="D29" s="4" t="n">
        <f aca="false">ROUND(ABS(淡江大學_p6!D45),0)</f>
        <v>290201</v>
      </c>
      <c r="E29" s="4" t="n">
        <f aca="false">ROUND(ABS(淡江大學_p6!E45),0)</f>
        <v>290201</v>
      </c>
      <c r="F29" s="4" t="n">
        <f aca="false">ROUND(ABS(淡江大學_p6!F45),0)</f>
        <v>290201</v>
      </c>
      <c r="G29" s="4" t="n">
        <f aca="false">ROUND(ABS(淡江大學_p6!G45),0)</f>
        <v>290201</v>
      </c>
      <c r="H29" s="4" t="n">
        <f aca="false">ROUND(ABS(淡江大學_p6!H45),0)</f>
        <v>290201</v>
      </c>
      <c r="I29" s="4" t="n">
        <f aca="false">ROUND(ABS(淡江大學_p6!I45),0)</f>
        <v>290201</v>
      </c>
      <c r="J29" s="4" t="n">
        <f aca="false">ROUND(ABS(淡江大學_p6!J45),0)</f>
        <v>290201</v>
      </c>
      <c r="K29" s="4" t="n">
        <f aca="false">ROUND(ABS(淡江大學_p6!K45),0)</f>
        <v>290201</v>
      </c>
      <c r="L29" s="4" t="n">
        <f aca="false">ROUND(ABS(淡江大學_p6!L45),0)</f>
        <v>290201</v>
      </c>
      <c r="M29" s="4" t="n">
        <f aca="false">ROUND(ABS(淡江大學_p6!M45),0)</f>
        <v>290201</v>
      </c>
      <c r="N29" s="4" t="n">
        <f aca="false">ROUND(ABS(淡江大學_p6!N45),0)</f>
        <v>290201</v>
      </c>
      <c r="O29" s="4" t="n">
        <f aca="false">ROUND(ABS(淡江大學_p6!O45),0)</f>
        <v>290201</v>
      </c>
      <c r="P29" s="4" t="n">
        <f aca="false">ROUND(ABS(淡江大學_p6!P45),0)</f>
        <v>290201</v>
      </c>
      <c r="Q29" s="4" t="n">
        <f aca="false">ROUND(ABS(淡江大學_p6!Q45),0)</f>
        <v>290201</v>
      </c>
      <c r="R29" s="4" t="n">
        <f aca="false">ROUND(ABS(淡江大學_p6!R45),0)</f>
        <v>290201</v>
      </c>
      <c r="S29" s="4" t="n">
        <f aca="false">ROUND(ABS(淡江大學_p6!S45),0)</f>
        <v>290201</v>
      </c>
      <c r="T29" s="4" t="n">
        <f aca="false">ROUND(ABS(淡江大學_p6!T45),0)</f>
        <v>290201</v>
      </c>
      <c r="U29" s="4" t="n">
        <f aca="false">ROUND(ABS(淡江大學_p6!U45),0)</f>
        <v>290201</v>
      </c>
      <c r="V29" s="4" t="n">
        <f aca="false">ROUND(ABS(淡江大學_p6!V45),0)</f>
        <v>290201</v>
      </c>
      <c r="W29" s="4" t="n">
        <f aca="false">ROUND(ABS(淡江大學_p6!W45),0)</f>
        <v>290201</v>
      </c>
      <c r="X29" s="2"/>
    </row>
    <row r="30" customFormat="false" ht="15" hidden="false" customHeight="true" outlineLevel="0" collapsed="false">
      <c r="A30" s="2"/>
      <c r="B30" s="2"/>
      <c r="C30" s="10" t="s">
        <v>7</v>
      </c>
      <c r="D30" s="11" t="n">
        <f aca="false">SUM(D24:D29)</f>
        <v>1741206</v>
      </c>
      <c r="E30" s="11" t="n">
        <f aca="false">SUM(E24:E29)</f>
        <v>1741206</v>
      </c>
      <c r="F30" s="11" t="n">
        <f aca="false">SUM(F24:F29)</f>
        <v>1741206</v>
      </c>
      <c r="G30" s="11" t="n">
        <f aca="false">SUM(G24:G29)</f>
        <v>1741206</v>
      </c>
      <c r="H30" s="11" t="n">
        <f aca="false">SUM(H24:H29)</f>
        <v>1741206</v>
      </c>
      <c r="I30" s="11" t="n">
        <f aca="false">SUM(I24:I29)</f>
        <v>1741206</v>
      </c>
      <c r="J30" s="11" t="n">
        <f aca="false">SUM(J24:J29)</f>
        <v>1741206</v>
      </c>
      <c r="K30" s="11" t="n">
        <f aca="false">SUM(K24:K29)</f>
        <v>1741206</v>
      </c>
      <c r="L30" s="11" t="n">
        <f aca="false">SUM(L24:L29)</f>
        <v>1741206</v>
      </c>
      <c r="M30" s="11" t="n">
        <f aca="false">SUM(M24:M29)</f>
        <v>1741206</v>
      </c>
      <c r="N30" s="11" t="n">
        <f aca="false">SUM(N24:N29)</f>
        <v>1741206</v>
      </c>
      <c r="O30" s="11" t="n">
        <f aca="false">SUM(O24:O29)</f>
        <v>1741206</v>
      </c>
      <c r="P30" s="11" t="n">
        <f aca="false">SUM(P24:P29)</f>
        <v>1741206</v>
      </c>
      <c r="Q30" s="11" t="n">
        <f aca="false">SUM(Q24:Q29)</f>
        <v>1741206</v>
      </c>
      <c r="R30" s="11" t="n">
        <f aca="false">SUM(R24:R29)</f>
        <v>1741206</v>
      </c>
      <c r="S30" s="11" t="n">
        <f aca="false">SUM(S24:S29)</f>
        <v>1741206</v>
      </c>
      <c r="T30" s="11" t="n">
        <f aca="false">SUM(T24:T29)</f>
        <v>1741206</v>
      </c>
      <c r="U30" s="11" t="n">
        <f aca="false">SUM(U24:U29)</f>
        <v>1741206</v>
      </c>
      <c r="V30" s="11" t="n">
        <f aca="false">SUM(V24:V29)</f>
        <v>1741206</v>
      </c>
      <c r="W30" s="11" t="n">
        <f aca="false">SUM(W24:W29)</f>
        <v>1741206</v>
      </c>
      <c r="X30" s="2"/>
    </row>
    <row r="31" customFormat="false" ht="15" hidden="false" customHeight="true" outlineLevel="0" collapsed="false">
      <c r="A31" s="2"/>
      <c r="B31" s="2"/>
      <c r="C31" s="3" t="s">
        <v>0</v>
      </c>
      <c r="D31" s="7" t="n">
        <v>2020</v>
      </c>
      <c r="E31" s="7" t="n">
        <v>2021</v>
      </c>
      <c r="F31" s="7" t="n">
        <v>2022</v>
      </c>
      <c r="G31" s="7" t="n">
        <v>2023</v>
      </c>
      <c r="H31" s="7" t="n">
        <v>2024</v>
      </c>
      <c r="I31" s="7" t="n">
        <v>2025</v>
      </c>
      <c r="J31" s="7" t="n">
        <v>2026</v>
      </c>
      <c r="K31" s="7" t="n">
        <v>2027</v>
      </c>
      <c r="L31" s="7" t="n">
        <v>2028</v>
      </c>
      <c r="M31" s="7" t="n">
        <v>2029</v>
      </c>
      <c r="N31" s="7" t="n">
        <v>2030</v>
      </c>
      <c r="O31" s="7" t="n">
        <v>2031</v>
      </c>
      <c r="P31" s="7" t="n">
        <v>2032</v>
      </c>
      <c r="Q31" s="7" t="n">
        <v>2033</v>
      </c>
      <c r="R31" s="7" t="n">
        <v>2034</v>
      </c>
      <c r="S31" s="7" t="n">
        <v>2035</v>
      </c>
      <c r="T31" s="7" t="n">
        <v>2036</v>
      </c>
      <c r="U31" s="7" t="n">
        <v>2037</v>
      </c>
      <c r="V31" s="7" t="n">
        <v>2038</v>
      </c>
      <c r="W31" s="7" t="n">
        <v>2039</v>
      </c>
      <c r="X31" s="2"/>
    </row>
    <row r="32" customFormat="false" ht="15" hidden="false" customHeight="true" outlineLevel="0" collapsed="false">
      <c r="A32" s="2"/>
      <c r="B32" s="2"/>
      <c r="C32" s="2" t="s">
        <v>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2"/>
    </row>
    <row r="33" customFormat="false" ht="15" hidden="false" customHeight="true" outlineLevel="0" collapsed="false">
      <c r="A33" s="2"/>
      <c r="B33" s="2" t="s">
        <v>2</v>
      </c>
      <c r="C33" s="2"/>
      <c r="D33" s="4" t="n">
        <f aca="false">ROUND(ABS(淡江大學_p8!D48),0)</f>
        <v>174440</v>
      </c>
      <c r="E33" s="4" t="n">
        <f aca="false">ROUND(ABS(淡江大學_p8!E48),0)</f>
        <v>174440</v>
      </c>
      <c r="F33" s="4" t="n">
        <f aca="false">ROUND(ABS(淡江大學_p8!F48),0)</f>
        <v>174440</v>
      </c>
      <c r="G33" s="4" t="n">
        <f aca="false">ROUND(ABS(淡江大學_p8!G48),0)</f>
        <v>174440</v>
      </c>
      <c r="H33" s="4" t="n">
        <f aca="false">ROUND(ABS(淡江大學_p8!H48),0)</f>
        <v>174440</v>
      </c>
      <c r="I33" s="4" t="n">
        <f aca="false">ROUND(ABS(淡江大學_p8!I48),0)</f>
        <v>174440</v>
      </c>
      <c r="J33" s="4" t="n">
        <f aca="false">ROUND(ABS(淡江大學_p8!J48),0)</f>
        <v>174440</v>
      </c>
      <c r="K33" s="4" t="n">
        <f aca="false">ROUND(ABS(淡江大學_p8!K48),0)</f>
        <v>174440</v>
      </c>
      <c r="L33" s="4" t="n">
        <f aca="false">ROUND(ABS(淡江大學_p8!L48),0)</f>
        <v>174440</v>
      </c>
      <c r="M33" s="4" t="n">
        <f aca="false">ROUND(ABS(淡江大學_p8!M48),0)</f>
        <v>174440</v>
      </c>
      <c r="N33" s="4" t="n">
        <f aca="false">ROUND(ABS(淡江大學_p8!N48),0)</f>
        <v>174440</v>
      </c>
      <c r="O33" s="4" t="n">
        <f aca="false">ROUND(ABS(淡江大學_p8!O48),0)</f>
        <v>174440</v>
      </c>
      <c r="P33" s="4" t="n">
        <f aca="false">ROUND(ABS(淡江大學_p8!P48),0)</f>
        <v>174440</v>
      </c>
      <c r="Q33" s="4" t="n">
        <f aca="false">ROUND(ABS(淡江大學_p8!Q48),0)</f>
        <v>174440</v>
      </c>
      <c r="R33" s="4" t="n">
        <f aca="false">ROUND(ABS(淡江大學_p8!R48),0)</f>
        <v>174440</v>
      </c>
      <c r="S33" s="4" t="n">
        <f aca="false">ROUND(ABS(淡江大學_p8!S48),0)</f>
        <v>174440</v>
      </c>
      <c r="T33" s="4" t="n">
        <f aca="false">ROUND(ABS(淡江大學_p8!T48),0)</f>
        <v>174440</v>
      </c>
      <c r="U33" s="4" t="n">
        <f aca="false">ROUND(ABS(淡江大學_p8!U48),0)</f>
        <v>174440</v>
      </c>
      <c r="V33" s="4" t="n">
        <f aca="false">ROUND(ABS(淡江大學_p8!V48),0)</f>
        <v>174440</v>
      </c>
      <c r="W33" s="4" t="n">
        <f aca="false">ROUND(ABS(淡江大學_p8!W48),0)</f>
        <v>174440</v>
      </c>
      <c r="X33" s="2"/>
    </row>
    <row r="34" customFormat="false" ht="15" hidden="false" customHeight="true" outlineLevel="0" collapsed="false">
      <c r="A34" s="2"/>
      <c r="B34" s="2" t="s">
        <v>2</v>
      </c>
      <c r="C34" s="2"/>
      <c r="D34" s="4" t="n">
        <f aca="false">ROUND(ABS(淡江大學_p7!D48),0)</f>
        <v>174440</v>
      </c>
      <c r="E34" s="4" t="n">
        <f aca="false">ROUND(ABS(淡江大學_p7!E48),0)</f>
        <v>174440</v>
      </c>
      <c r="F34" s="4" t="n">
        <f aca="false">ROUND(ABS(淡江大學_p7!F48),0)</f>
        <v>174440</v>
      </c>
      <c r="G34" s="4" t="n">
        <f aca="false">ROUND(ABS(淡江大學_p7!G48),0)</f>
        <v>174440</v>
      </c>
      <c r="H34" s="4" t="n">
        <f aca="false">ROUND(ABS(淡江大學_p7!H48),0)</f>
        <v>174440</v>
      </c>
      <c r="I34" s="4" t="n">
        <f aca="false">ROUND(ABS(淡江大學_p7!I48),0)</f>
        <v>174440</v>
      </c>
      <c r="J34" s="4" t="n">
        <f aca="false">ROUND(ABS(淡江大學_p7!J48),0)</f>
        <v>174440</v>
      </c>
      <c r="K34" s="4" t="n">
        <f aca="false">ROUND(ABS(淡江大學_p7!K48),0)</f>
        <v>174440</v>
      </c>
      <c r="L34" s="4" t="n">
        <f aca="false">ROUND(ABS(淡江大學_p7!L48),0)</f>
        <v>174440</v>
      </c>
      <c r="M34" s="4" t="n">
        <f aca="false">ROUND(ABS(淡江大學_p7!M48),0)</f>
        <v>174440</v>
      </c>
      <c r="N34" s="4" t="n">
        <f aca="false">ROUND(ABS(淡江大學_p7!N48),0)</f>
        <v>174440</v>
      </c>
      <c r="O34" s="4" t="n">
        <f aca="false">ROUND(ABS(淡江大學_p7!O48),0)</f>
        <v>174440</v>
      </c>
      <c r="P34" s="4" t="n">
        <f aca="false">ROUND(ABS(淡江大學_p7!P48),0)</f>
        <v>174440</v>
      </c>
      <c r="Q34" s="4" t="n">
        <f aca="false">ROUND(ABS(淡江大學_p7!Q48),0)</f>
        <v>174440</v>
      </c>
      <c r="R34" s="4" t="n">
        <f aca="false">ROUND(ABS(淡江大學_p7!R48),0)</f>
        <v>174440</v>
      </c>
      <c r="S34" s="4" t="n">
        <f aca="false">ROUND(ABS(淡江大學_p7!S48),0)</f>
        <v>174440</v>
      </c>
      <c r="T34" s="4" t="n">
        <f aca="false">ROUND(ABS(淡江大學_p7!T48),0)</f>
        <v>174440</v>
      </c>
      <c r="U34" s="4" t="n">
        <f aca="false">ROUND(ABS(淡江大學_p7!U48),0)</f>
        <v>174440</v>
      </c>
      <c r="V34" s="4" t="n">
        <f aca="false">ROUND(ABS(淡江大學_p7!V48),0)</f>
        <v>174440</v>
      </c>
      <c r="W34" s="4" t="n">
        <f aca="false">ROUND(ABS(淡江大學_p7!W48),0)</f>
        <v>174440</v>
      </c>
      <c r="X34" s="2"/>
    </row>
    <row r="35" customFormat="false" ht="15" hidden="false" customHeight="true" outlineLevel="0" collapsed="false">
      <c r="A35" s="2"/>
      <c r="B35" s="2" t="s">
        <v>2</v>
      </c>
      <c r="C35" s="2"/>
      <c r="D35" s="4" t="n">
        <f aca="false">ROUND(ABS(淡江大學_p5!D48),0)</f>
        <v>174440</v>
      </c>
      <c r="E35" s="4" t="n">
        <f aca="false">ROUND(ABS(淡江大學_p5!E48),0)</f>
        <v>174440</v>
      </c>
      <c r="F35" s="4" t="n">
        <f aca="false">ROUND(ABS(淡江大學_p5!F48),0)</f>
        <v>174440</v>
      </c>
      <c r="G35" s="4" t="n">
        <f aca="false">ROUND(ABS(淡江大學_p5!G48),0)</f>
        <v>174440</v>
      </c>
      <c r="H35" s="4" t="n">
        <f aca="false">ROUND(ABS(淡江大學_p5!H48),0)</f>
        <v>174440</v>
      </c>
      <c r="I35" s="4" t="n">
        <f aca="false">ROUND(ABS(淡江大學_p5!I48),0)</f>
        <v>174440</v>
      </c>
      <c r="J35" s="4" t="n">
        <f aca="false">ROUND(ABS(淡江大學_p5!J48),0)</f>
        <v>174440</v>
      </c>
      <c r="K35" s="4" t="n">
        <f aca="false">ROUND(ABS(淡江大學_p5!K48),0)</f>
        <v>174440</v>
      </c>
      <c r="L35" s="4" t="n">
        <f aca="false">ROUND(ABS(淡江大學_p5!L48),0)</f>
        <v>174440</v>
      </c>
      <c r="M35" s="4" t="n">
        <f aca="false">ROUND(ABS(淡江大學_p5!M48),0)</f>
        <v>174440</v>
      </c>
      <c r="N35" s="4" t="n">
        <f aca="false">ROUND(ABS(淡江大學_p5!N48),0)</f>
        <v>174440</v>
      </c>
      <c r="O35" s="4" t="n">
        <f aca="false">ROUND(ABS(淡江大學_p5!O48),0)</f>
        <v>174440</v>
      </c>
      <c r="P35" s="4" t="n">
        <f aca="false">ROUND(ABS(淡江大學_p5!P48),0)</f>
        <v>174440</v>
      </c>
      <c r="Q35" s="4" t="n">
        <f aca="false">ROUND(ABS(淡江大學_p5!Q48),0)</f>
        <v>174440</v>
      </c>
      <c r="R35" s="4" t="n">
        <f aca="false">ROUND(ABS(淡江大學_p5!R48),0)</f>
        <v>174440</v>
      </c>
      <c r="S35" s="4" t="n">
        <f aca="false">ROUND(ABS(淡江大學_p5!S48),0)</f>
        <v>174440</v>
      </c>
      <c r="T35" s="4" t="n">
        <f aca="false">ROUND(ABS(淡江大學_p5!T48),0)</f>
        <v>174440</v>
      </c>
      <c r="U35" s="4" t="n">
        <f aca="false">ROUND(ABS(淡江大學_p5!U48),0)</f>
        <v>174440</v>
      </c>
      <c r="V35" s="4" t="n">
        <f aca="false">ROUND(ABS(淡江大學_p5!V48),0)</f>
        <v>174440</v>
      </c>
      <c r="W35" s="4" t="n">
        <f aca="false">ROUND(ABS(淡江大學_p5!W48),0)</f>
        <v>174440</v>
      </c>
      <c r="X35" s="2"/>
    </row>
    <row r="36" customFormat="false" ht="15" hidden="false" customHeight="true" outlineLevel="0" collapsed="false">
      <c r="A36" s="2"/>
      <c r="B36" s="2" t="s">
        <v>2</v>
      </c>
      <c r="C36" s="2"/>
      <c r="D36" s="4" t="n">
        <f aca="false">ROUND(ABS(淡江大學_p4!D48),0)</f>
        <v>174440</v>
      </c>
      <c r="E36" s="4" t="n">
        <f aca="false">ROUND(ABS(淡江大學_p4!E48),0)</f>
        <v>174440</v>
      </c>
      <c r="F36" s="4" t="n">
        <f aca="false">ROUND(ABS(淡江大學_p4!F48),0)</f>
        <v>174440</v>
      </c>
      <c r="G36" s="4" t="n">
        <f aca="false">ROUND(ABS(淡江大學_p4!G48),0)</f>
        <v>174440</v>
      </c>
      <c r="H36" s="4" t="n">
        <f aca="false">ROUND(ABS(淡江大學_p4!H48),0)</f>
        <v>174440</v>
      </c>
      <c r="I36" s="4" t="n">
        <f aca="false">ROUND(ABS(淡江大學_p4!I48),0)</f>
        <v>174440</v>
      </c>
      <c r="J36" s="4" t="n">
        <f aca="false">ROUND(ABS(淡江大學_p4!J48),0)</f>
        <v>174440</v>
      </c>
      <c r="K36" s="4" t="n">
        <f aca="false">ROUND(ABS(淡江大學_p4!K48),0)</f>
        <v>174440</v>
      </c>
      <c r="L36" s="4" t="n">
        <f aca="false">ROUND(ABS(淡江大學_p4!L48),0)</f>
        <v>174440</v>
      </c>
      <c r="M36" s="4" t="n">
        <f aca="false">ROUND(ABS(淡江大學_p4!M48),0)</f>
        <v>174440</v>
      </c>
      <c r="N36" s="4" t="n">
        <f aca="false">ROUND(ABS(淡江大學_p4!N48),0)</f>
        <v>174440</v>
      </c>
      <c r="O36" s="4" t="n">
        <f aca="false">ROUND(ABS(淡江大學_p4!O48),0)</f>
        <v>174440</v>
      </c>
      <c r="P36" s="4" t="n">
        <f aca="false">ROUND(ABS(淡江大學_p4!P48),0)</f>
        <v>174440</v>
      </c>
      <c r="Q36" s="4" t="n">
        <f aca="false">ROUND(ABS(淡江大學_p4!Q48),0)</f>
        <v>174440</v>
      </c>
      <c r="R36" s="4" t="n">
        <f aca="false">ROUND(ABS(淡江大學_p4!R48),0)</f>
        <v>174440</v>
      </c>
      <c r="S36" s="4" t="n">
        <f aca="false">ROUND(ABS(淡江大學_p4!S48),0)</f>
        <v>174440</v>
      </c>
      <c r="T36" s="4" t="n">
        <f aca="false">ROUND(ABS(淡江大學_p4!T48),0)</f>
        <v>174440</v>
      </c>
      <c r="U36" s="4" t="n">
        <f aca="false">ROUND(ABS(淡江大學_p4!U48),0)</f>
        <v>174440</v>
      </c>
      <c r="V36" s="4" t="n">
        <f aca="false">ROUND(ABS(淡江大學_p4!V48),0)</f>
        <v>174440</v>
      </c>
      <c r="W36" s="4" t="n">
        <f aca="false">ROUND(ABS(淡江大學_p4!W48),0)</f>
        <v>174440</v>
      </c>
      <c r="X36" s="2"/>
    </row>
    <row r="37" customFormat="false" ht="15" hidden="false" customHeight="true" outlineLevel="0" collapsed="false">
      <c r="A37" s="2"/>
      <c r="B37" s="2" t="s">
        <v>2</v>
      </c>
      <c r="C37" s="2"/>
      <c r="D37" s="4" t="n">
        <f aca="false">ROUND(ABS(淡江大學_p3!D48),0)</f>
        <v>174440</v>
      </c>
      <c r="E37" s="4" t="n">
        <f aca="false">ROUND(ABS(淡江大學_p3!E48),0)</f>
        <v>174440</v>
      </c>
      <c r="F37" s="4" t="n">
        <f aca="false">ROUND(ABS(淡江大學_p3!F48),0)</f>
        <v>174440</v>
      </c>
      <c r="G37" s="4" t="n">
        <f aca="false">ROUND(ABS(淡江大學_p3!G48),0)</f>
        <v>174440</v>
      </c>
      <c r="H37" s="4" t="n">
        <f aca="false">ROUND(ABS(淡江大學_p3!H48),0)</f>
        <v>174440</v>
      </c>
      <c r="I37" s="4" t="n">
        <f aca="false">ROUND(ABS(淡江大學_p3!I48),0)</f>
        <v>174440</v>
      </c>
      <c r="J37" s="4" t="n">
        <f aca="false">ROUND(ABS(淡江大學_p3!J48),0)</f>
        <v>174440</v>
      </c>
      <c r="K37" s="4" t="n">
        <f aca="false">ROUND(ABS(淡江大學_p3!K48),0)</f>
        <v>174440</v>
      </c>
      <c r="L37" s="4" t="n">
        <f aca="false">ROUND(ABS(淡江大學_p3!L48),0)</f>
        <v>174440</v>
      </c>
      <c r="M37" s="4" t="n">
        <f aca="false">ROUND(ABS(淡江大學_p3!M48),0)</f>
        <v>174440</v>
      </c>
      <c r="N37" s="4" t="n">
        <f aca="false">ROUND(ABS(淡江大學_p3!N48),0)</f>
        <v>174440</v>
      </c>
      <c r="O37" s="4" t="n">
        <f aca="false">ROUND(ABS(淡江大學_p3!O48),0)</f>
        <v>174440</v>
      </c>
      <c r="P37" s="4" t="n">
        <f aca="false">ROUND(ABS(淡江大學_p3!P48),0)</f>
        <v>174440</v>
      </c>
      <c r="Q37" s="4" t="n">
        <f aca="false">ROUND(ABS(淡江大學_p3!Q48),0)</f>
        <v>174440</v>
      </c>
      <c r="R37" s="4" t="n">
        <f aca="false">ROUND(ABS(淡江大學_p3!R48),0)</f>
        <v>174440</v>
      </c>
      <c r="S37" s="4" t="n">
        <f aca="false">ROUND(ABS(淡江大學_p3!S48),0)</f>
        <v>174440</v>
      </c>
      <c r="T37" s="4" t="n">
        <f aca="false">ROUND(ABS(淡江大學_p3!T48),0)</f>
        <v>174440</v>
      </c>
      <c r="U37" s="4" t="n">
        <f aca="false">ROUND(ABS(淡江大學_p3!U48),0)</f>
        <v>174440</v>
      </c>
      <c r="V37" s="4" t="n">
        <f aca="false">ROUND(ABS(淡江大學_p3!V48),0)</f>
        <v>174440</v>
      </c>
      <c r="W37" s="4" t="n">
        <f aca="false">ROUND(ABS(淡江大學_p3!W48),0)</f>
        <v>174440</v>
      </c>
      <c r="X37" s="2"/>
    </row>
    <row r="38" customFormat="false" ht="15" hidden="false" customHeight="true" outlineLevel="0" collapsed="false">
      <c r="A38" s="2"/>
      <c r="B38" s="2" t="s">
        <v>2</v>
      </c>
      <c r="C38" s="2"/>
      <c r="D38" s="4" t="n">
        <f aca="false">ROUND(ABS(淡江大學_p6!D48),0)</f>
        <v>174440</v>
      </c>
      <c r="E38" s="4" t="n">
        <f aca="false">ROUND(ABS(淡江大學_p6!E48),0)</f>
        <v>174440</v>
      </c>
      <c r="F38" s="4" t="n">
        <f aca="false">ROUND(ABS(淡江大學_p6!F48),0)</f>
        <v>174440</v>
      </c>
      <c r="G38" s="4" t="n">
        <f aca="false">ROUND(ABS(淡江大學_p6!G48),0)</f>
        <v>174440</v>
      </c>
      <c r="H38" s="4" t="n">
        <f aca="false">ROUND(ABS(淡江大學_p6!H48),0)</f>
        <v>174440</v>
      </c>
      <c r="I38" s="4" t="n">
        <f aca="false">ROUND(ABS(淡江大學_p6!I48),0)</f>
        <v>174440</v>
      </c>
      <c r="J38" s="4" t="n">
        <f aca="false">ROUND(ABS(淡江大學_p6!J48),0)</f>
        <v>174440</v>
      </c>
      <c r="K38" s="4" t="n">
        <f aca="false">ROUND(ABS(淡江大學_p6!K48),0)</f>
        <v>174440</v>
      </c>
      <c r="L38" s="4" t="n">
        <f aca="false">ROUND(ABS(淡江大學_p6!L48),0)</f>
        <v>174440</v>
      </c>
      <c r="M38" s="4" t="n">
        <f aca="false">ROUND(ABS(淡江大學_p6!M48),0)</f>
        <v>174440</v>
      </c>
      <c r="N38" s="4" t="n">
        <f aca="false">ROUND(ABS(淡江大學_p6!N48),0)</f>
        <v>174440</v>
      </c>
      <c r="O38" s="4" t="n">
        <f aca="false">ROUND(ABS(淡江大學_p6!O48),0)</f>
        <v>174440</v>
      </c>
      <c r="P38" s="4" t="n">
        <f aca="false">ROUND(ABS(淡江大學_p6!P48),0)</f>
        <v>174440</v>
      </c>
      <c r="Q38" s="4" t="n">
        <f aca="false">ROUND(ABS(淡江大學_p6!Q48),0)</f>
        <v>174440</v>
      </c>
      <c r="R38" s="4" t="n">
        <f aca="false">ROUND(ABS(淡江大學_p6!R48),0)</f>
        <v>174440</v>
      </c>
      <c r="S38" s="4" t="n">
        <f aca="false">ROUND(ABS(淡江大學_p6!S48),0)</f>
        <v>174440</v>
      </c>
      <c r="T38" s="4" t="n">
        <f aca="false">ROUND(ABS(淡江大學_p6!T48),0)</f>
        <v>174440</v>
      </c>
      <c r="U38" s="4" t="n">
        <f aca="false">ROUND(ABS(淡江大學_p6!U48),0)</f>
        <v>174440</v>
      </c>
      <c r="V38" s="4" t="n">
        <f aca="false">ROUND(ABS(淡江大學_p6!V48),0)</f>
        <v>174440</v>
      </c>
      <c r="W38" s="4" t="n">
        <f aca="false">ROUND(ABS(淡江大學_p6!W48),0)</f>
        <v>174440</v>
      </c>
      <c r="X38" s="2"/>
    </row>
    <row r="39" customFormat="false" ht="15" hidden="false" customHeight="true" outlineLevel="0" collapsed="false">
      <c r="A39" s="2"/>
      <c r="B39" s="2"/>
      <c r="C39" s="12" t="s">
        <v>9</v>
      </c>
      <c r="D39" s="13" t="n">
        <f aca="false">SUM(D33:D38)</f>
        <v>1046640</v>
      </c>
      <c r="E39" s="13" t="n">
        <f aca="false">SUM(E33:E38)</f>
        <v>1046640</v>
      </c>
      <c r="F39" s="13" t="n">
        <f aca="false">SUM(F33:F38)</f>
        <v>1046640</v>
      </c>
      <c r="G39" s="13" t="n">
        <f aca="false">SUM(G33:G38)</f>
        <v>1046640</v>
      </c>
      <c r="H39" s="13" t="n">
        <f aca="false">SUM(H33:H38)</f>
        <v>1046640</v>
      </c>
      <c r="I39" s="13" t="n">
        <f aca="false">SUM(I33:I38)</f>
        <v>1046640</v>
      </c>
      <c r="J39" s="13" t="n">
        <f aca="false">SUM(J33:J38)</f>
        <v>1046640</v>
      </c>
      <c r="K39" s="13" t="n">
        <f aca="false">SUM(K33:K38)</f>
        <v>1046640</v>
      </c>
      <c r="L39" s="13" t="n">
        <f aca="false">SUM(L33:L38)</f>
        <v>1046640</v>
      </c>
      <c r="M39" s="13" t="n">
        <f aca="false">SUM(M33:M38)</f>
        <v>1046640</v>
      </c>
      <c r="N39" s="13" t="n">
        <f aca="false">SUM(N33:N38)</f>
        <v>1046640</v>
      </c>
      <c r="O39" s="13" t="n">
        <f aca="false">SUM(O33:O38)</f>
        <v>1046640</v>
      </c>
      <c r="P39" s="13" t="n">
        <f aca="false">SUM(P33:P38)</f>
        <v>1046640</v>
      </c>
      <c r="Q39" s="13" t="n">
        <f aca="false">SUM(Q33:Q38)</f>
        <v>1046640</v>
      </c>
      <c r="R39" s="13" t="n">
        <f aca="false">SUM(R33:R38)</f>
        <v>1046640</v>
      </c>
      <c r="S39" s="13" t="n">
        <f aca="false">SUM(S33:S38)</f>
        <v>1046640</v>
      </c>
      <c r="T39" s="13" t="n">
        <f aca="false">SUM(T33:T38)</f>
        <v>1046640</v>
      </c>
      <c r="U39" s="13" t="n">
        <f aca="false">SUM(U33:U38)</f>
        <v>1046640</v>
      </c>
      <c r="V39" s="13" t="n">
        <f aca="false">SUM(V33:V38)</f>
        <v>1046640</v>
      </c>
      <c r="W39" s="13" t="n">
        <f aca="false">SUM(W33:W38)</f>
        <v>1046640</v>
      </c>
      <c r="X39" s="2"/>
    </row>
    <row r="40" customFormat="false" ht="15" hidden="false" customHeight="true" outlineLevel="0" collapsed="false">
      <c r="A40" s="2"/>
      <c r="B40" s="2"/>
      <c r="C40" s="3" t="s">
        <v>0</v>
      </c>
      <c r="D40" s="7" t="n">
        <v>2020</v>
      </c>
      <c r="E40" s="7" t="n">
        <v>2021</v>
      </c>
      <c r="F40" s="7" t="n">
        <v>2022</v>
      </c>
      <c r="G40" s="7" t="n">
        <v>2023</v>
      </c>
      <c r="H40" s="7" t="n">
        <v>2024</v>
      </c>
      <c r="I40" s="7" t="n">
        <v>2025</v>
      </c>
      <c r="J40" s="7" t="n">
        <v>2026</v>
      </c>
      <c r="K40" s="7" t="n">
        <v>2027</v>
      </c>
      <c r="L40" s="7" t="n">
        <v>2028</v>
      </c>
      <c r="M40" s="7" t="n">
        <v>2029</v>
      </c>
      <c r="N40" s="7" t="n">
        <v>2030</v>
      </c>
      <c r="O40" s="7" t="n">
        <v>2031</v>
      </c>
      <c r="P40" s="7" t="n">
        <v>2032</v>
      </c>
      <c r="Q40" s="7" t="n">
        <v>2033</v>
      </c>
      <c r="R40" s="7" t="n">
        <v>2034</v>
      </c>
      <c r="S40" s="7" t="n">
        <v>2035</v>
      </c>
      <c r="T40" s="7" t="n">
        <v>2036</v>
      </c>
      <c r="U40" s="7" t="n">
        <v>2037</v>
      </c>
      <c r="V40" s="7" t="n">
        <v>2038</v>
      </c>
      <c r="W40" s="7" t="n">
        <v>2039</v>
      </c>
      <c r="X40" s="2"/>
    </row>
    <row r="41" customFormat="false" ht="15" hidden="false" customHeight="true" outlineLevel="0" collapsed="false">
      <c r="A41" s="2"/>
      <c r="B41" s="2"/>
      <c r="C41" s="2" t="s">
        <v>10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2"/>
    </row>
    <row r="42" customFormat="false" ht="15" hidden="false" customHeight="true" outlineLevel="0" collapsed="false">
      <c r="A42" s="2"/>
      <c r="B42" s="2" t="s">
        <v>2</v>
      </c>
      <c r="C42" s="2"/>
      <c r="D42" s="4" t="n">
        <f aca="false">ROUND(ABS(淡江大學_p8!D49),0)</f>
        <v>27474</v>
      </c>
      <c r="E42" s="4" t="n">
        <f aca="false">ROUND(ABS(淡江大學_p8!E49),0)</f>
        <v>27474</v>
      </c>
      <c r="F42" s="4" t="n">
        <f aca="false">ROUND(ABS(淡江大學_p8!F49),0)</f>
        <v>27474</v>
      </c>
      <c r="G42" s="4" t="n">
        <f aca="false">ROUND(ABS(淡江大學_p8!G49),0)</f>
        <v>27474</v>
      </c>
      <c r="H42" s="4" t="n">
        <f aca="false">ROUND(ABS(淡江大學_p8!H49),0)</f>
        <v>27474</v>
      </c>
      <c r="I42" s="4" t="n">
        <f aca="false">ROUND(ABS(淡江大學_p8!I49),0)</f>
        <v>27474</v>
      </c>
      <c r="J42" s="4" t="n">
        <f aca="false">ROUND(ABS(淡江大學_p8!J49),0)</f>
        <v>27474</v>
      </c>
      <c r="K42" s="4" t="n">
        <f aca="false">ROUND(ABS(淡江大學_p8!K49),0)</f>
        <v>27474</v>
      </c>
      <c r="L42" s="4" t="n">
        <f aca="false">ROUND(ABS(淡江大學_p8!L49),0)</f>
        <v>27474</v>
      </c>
      <c r="M42" s="4" t="n">
        <f aca="false">ROUND(ABS(淡江大學_p8!M49),0)</f>
        <v>27474</v>
      </c>
      <c r="N42" s="4" t="n">
        <f aca="false">ROUND(ABS(淡江大學_p8!N49),0)</f>
        <v>27474</v>
      </c>
      <c r="O42" s="4" t="n">
        <f aca="false">ROUND(ABS(淡江大學_p8!O49),0)</f>
        <v>27474</v>
      </c>
      <c r="P42" s="4" t="n">
        <f aca="false">ROUND(ABS(淡江大學_p8!P49),0)</f>
        <v>27474</v>
      </c>
      <c r="Q42" s="4" t="n">
        <f aca="false">ROUND(ABS(淡江大學_p8!Q49),0)</f>
        <v>27474</v>
      </c>
      <c r="R42" s="4" t="n">
        <f aca="false">ROUND(ABS(淡江大學_p8!R49),0)</f>
        <v>27474</v>
      </c>
      <c r="S42" s="4" t="n">
        <f aca="false">ROUND(ABS(淡江大學_p8!S49),0)</f>
        <v>27474</v>
      </c>
      <c r="T42" s="4" t="n">
        <f aca="false">ROUND(ABS(淡江大學_p8!T49),0)</f>
        <v>27474</v>
      </c>
      <c r="U42" s="4" t="n">
        <f aca="false">ROUND(ABS(淡江大學_p8!U49),0)</f>
        <v>27474</v>
      </c>
      <c r="V42" s="4" t="n">
        <f aca="false">ROUND(ABS(淡江大學_p8!V49),0)</f>
        <v>27474</v>
      </c>
      <c r="W42" s="4" t="n">
        <f aca="false">ROUND(ABS(淡江大學_p8!W49),0)</f>
        <v>27474</v>
      </c>
      <c r="X42" s="2"/>
    </row>
    <row r="43" customFormat="false" ht="15" hidden="false" customHeight="true" outlineLevel="0" collapsed="false">
      <c r="A43" s="2"/>
      <c r="B43" s="2" t="s">
        <v>2</v>
      </c>
      <c r="C43" s="2"/>
      <c r="D43" s="4" t="n">
        <f aca="false">ROUND(ABS(淡江大學_p7!D49),0)</f>
        <v>30091</v>
      </c>
      <c r="E43" s="4" t="n">
        <f aca="false">ROUND(ABS(淡江大學_p7!E49),0)</f>
        <v>30091</v>
      </c>
      <c r="F43" s="4" t="n">
        <f aca="false">ROUND(ABS(淡江大學_p7!F49),0)</f>
        <v>30091</v>
      </c>
      <c r="G43" s="4" t="n">
        <f aca="false">ROUND(ABS(淡江大學_p7!G49),0)</f>
        <v>30091</v>
      </c>
      <c r="H43" s="4" t="n">
        <f aca="false">ROUND(ABS(淡江大學_p7!H49),0)</f>
        <v>30091</v>
      </c>
      <c r="I43" s="4" t="n">
        <f aca="false">ROUND(ABS(淡江大學_p7!I49),0)</f>
        <v>30091</v>
      </c>
      <c r="J43" s="4" t="n">
        <f aca="false">ROUND(ABS(淡江大學_p7!J49),0)</f>
        <v>30091</v>
      </c>
      <c r="K43" s="4" t="n">
        <f aca="false">ROUND(ABS(淡江大學_p7!K49),0)</f>
        <v>30091</v>
      </c>
      <c r="L43" s="4" t="n">
        <f aca="false">ROUND(ABS(淡江大學_p7!L49),0)</f>
        <v>30091</v>
      </c>
      <c r="M43" s="4" t="n">
        <f aca="false">ROUND(ABS(淡江大學_p7!M49),0)</f>
        <v>30091</v>
      </c>
      <c r="N43" s="4" t="n">
        <f aca="false">ROUND(ABS(淡江大學_p7!N49),0)</f>
        <v>30091</v>
      </c>
      <c r="O43" s="4" t="n">
        <f aca="false">ROUND(ABS(淡江大學_p7!O49),0)</f>
        <v>30091</v>
      </c>
      <c r="P43" s="4" t="n">
        <f aca="false">ROUND(ABS(淡江大學_p7!P49),0)</f>
        <v>30091</v>
      </c>
      <c r="Q43" s="4" t="n">
        <f aca="false">ROUND(ABS(淡江大學_p7!Q49),0)</f>
        <v>30091</v>
      </c>
      <c r="R43" s="4" t="n">
        <f aca="false">ROUND(ABS(淡江大學_p7!R49),0)</f>
        <v>30091</v>
      </c>
      <c r="S43" s="4" t="n">
        <f aca="false">ROUND(ABS(淡江大學_p7!S49),0)</f>
        <v>30091</v>
      </c>
      <c r="T43" s="4" t="n">
        <f aca="false">ROUND(ABS(淡江大學_p7!T49),0)</f>
        <v>30091</v>
      </c>
      <c r="U43" s="4" t="n">
        <f aca="false">ROUND(ABS(淡江大學_p7!U49),0)</f>
        <v>30091</v>
      </c>
      <c r="V43" s="4" t="n">
        <f aca="false">ROUND(ABS(淡江大學_p7!V49),0)</f>
        <v>30091</v>
      </c>
      <c r="W43" s="4" t="n">
        <f aca="false">ROUND(ABS(淡江大學_p7!W49),0)</f>
        <v>30091</v>
      </c>
      <c r="X43" s="2"/>
    </row>
    <row r="44" customFormat="false" ht="15" hidden="false" customHeight="true" outlineLevel="0" collapsed="false">
      <c r="A44" s="2"/>
      <c r="B44" s="2" t="s">
        <v>2</v>
      </c>
      <c r="C44" s="2"/>
      <c r="D44" s="4" t="n">
        <f aca="false">ROUND(ABS(淡江大學_p5!D49),0)</f>
        <v>35324</v>
      </c>
      <c r="E44" s="4" t="n">
        <f aca="false">ROUND(ABS(淡江大學_p5!E49),0)</f>
        <v>35324</v>
      </c>
      <c r="F44" s="4" t="n">
        <f aca="false">ROUND(ABS(淡江大學_p5!F49),0)</f>
        <v>35324</v>
      </c>
      <c r="G44" s="4" t="n">
        <f aca="false">ROUND(ABS(淡江大學_p5!G49),0)</f>
        <v>35324</v>
      </c>
      <c r="H44" s="4" t="n">
        <f aca="false">ROUND(ABS(淡江大學_p5!H49),0)</f>
        <v>35324</v>
      </c>
      <c r="I44" s="4" t="n">
        <f aca="false">ROUND(ABS(淡江大學_p5!I49),0)</f>
        <v>35324</v>
      </c>
      <c r="J44" s="4" t="n">
        <f aca="false">ROUND(ABS(淡江大學_p5!J49),0)</f>
        <v>35324</v>
      </c>
      <c r="K44" s="4" t="n">
        <f aca="false">ROUND(ABS(淡江大學_p5!K49),0)</f>
        <v>35324</v>
      </c>
      <c r="L44" s="4" t="n">
        <f aca="false">ROUND(ABS(淡江大學_p5!L49),0)</f>
        <v>35324</v>
      </c>
      <c r="M44" s="4" t="n">
        <f aca="false">ROUND(ABS(淡江大學_p5!M49),0)</f>
        <v>35324</v>
      </c>
      <c r="N44" s="4" t="n">
        <f aca="false">ROUND(ABS(淡江大學_p5!N49),0)</f>
        <v>35324</v>
      </c>
      <c r="O44" s="4" t="n">
        <f aca="false">ROUND(ABS(淡江大學_p5!O49),0)</f>
        <v>35324</v>
      </c>
      <c r="P44" s="4" t="n">
        <f aca="false">ROUND(ABS(淡江大學_p5!P49),0)</f>
        <v>35324</v>
      </c>
      <c r="Q44" s="4" t="n">
        <f aca="false">ROUND(ABS(淡江大學_p5!Q49),0)</f>
        <v>35324</v>
      </c>
      <c r="R44" s="4" t="n">
        <f aca="false">ROUND(ABS(淡江大學_p5!R49),0)</f>
        <v>35324</v>
      </c>
      <c r="S44" s="4" t="n">
        <f aca="false">ROUND(ABS(淡江大學_p5!S49),0)</f>
        <v>35324</v>
      </c>
      <c r="T44" s="4" t="n">
        <f aca="false">ROUND(ABS(淡江大學_p5!T49),0)</f>
        <v>35324</v>
      </c>
      <c r="U44" s="4" t="n">
        <f aca="false">ROUND(ABS(淡江大學_p5!U49),0)</f>
        <v>35324</v>
      </c>
      <c r="V44" s="4" t="n">
        <f aca="false">ROUND(ABS(淡江大學_p5!V49),0)</f>
        <v>35324</v>
      </c>
      <c r="W44" s="4" t="n">
        <f aca="false">ROUND(ABS(淡江大學_p5!W49),0)</f>
        <v>35324</v>
      </c>
      <c r="X44" s="2"/>
    </row>
    <row r="45" customFormat="false" ht="15" hidden="false" customHeight="true" outlineLevel="0" collapsed="false">
      <c r="A45" s="2"/>
      <c r="B45" s="2" t="s">
        <v>2</v>
      </c>
      <c r="C45" s="2"/>
      <c r="D45" s="4" t="n">
        <f aca="false">ROUND(ABS(淡江大學_p4!D49),0)</f>
        <v>37941</v>
      </c>
      <c r="E45" s="4" t="n">
        <f aca="false">ROUND(ABS(淡江大學_p4!E49),0)</f>
        <v>37941</v>
      </c>
      <c r="F45" s="4" t="n">
        <f aca="false">ROUND(ABS(淡江大學_p4!F49),0)</f>
        <v>37941</v>
      </c>
      <c r="G45" s="4" t="n">
        <f aca="false">ROUND(ABS(淡江大學_p4!G49),0)</f>
        <v>37941</v>
      </c>
      <c r="H45" s="4" t="n">
        <f aca="false">ROUND(ABS(淡江大學_p4!H49),0)</f>
        <v>37941</v>
      </c>
      <c r="I45" s="4" t="n">
        <f aca="false">ROUND(ABS(淡江大學_p4!I49),0)</f>
        <v>37941</v>
      </c>
      <c r="J45" s="4" t="n">
        <f aca="false">ROUND(ABS(淡江大學_p4!J49),0)</f>
        <v>37941</v>
      </c>
      <c r="K45" s="4" t="n">
        <f aca="false">ROUND(ABS(淡江大學_p4!K49),0)</f>
        <v>37941</v>
      </c>
      <c r="L45" s="4" t="n">
        <f aca="false">ROUND(ABS(淡江大學_p4!L49),0)</f>
        <v>37941</v>
      </c>
      <c r="M45" s="4" t="n">
        <f aca="false">ROUND(ABS(淡江大學_p4!M49),0)</f>
        <v>37941</v>
      </c>
      <c r="N45" s="4" t="n">
        <f aca="false">ROUND(ABS(淡江大學_p4!N49),0)</f>
        <v>37941</v>
      </c>
      <c r="O45" s="4" t="n">
        <f aca="false">ROUND(ABS(淡江大學_p4!O49),0)</f>
        <v>37941</v>
      </c>
      <c r="P45" s="4" t="n">
        <f aca="false">ROUND(ABS(淡江大學_p4!P49),0)</f>
        <v>37941</v>
      </c>
      <c r="Q45" s="4" t="n">
        <f aca="false">ROUND(ABS(淡江大學_p4!Q49),0)</f>
        <v>37941</v>
      </c>
      <c r="R45" s="4" t="n">
        <f aca="false">ROUND(ABS(淡江大學_p4!R49),0)</f>
        <v>37941</v>
      </c>
      <c r="S45" s="4" t="n">
        <f aca="false">ROUND(ABS(淡江大學_p4!S49),0)</f>
        <v>37941</v>
      </c>
      <c r="T45" s="4" t="n">
        <f aca="false">ROUND(ABS(淡江大學_p4!T49),0)</f>
        <v>37941</v>
      </c>
      <c r="U45" s="4" t="n">
        <f aca="false">ROUND(ABS(淡江大學_p4!U49),0)</f>
        <v>37941</v>
      </c>
      <c r="V45" s="4" t="n">
        <f aca="false">ROUND(ABS(淡江大學_p4!V49),0)</f>
        <v>37941</v>
      </c>
      <c r="W45" s="4" t="n">
        <f aca="false">ROUND(ABS(淡江大學_p4!W49),0)</f>
        <v>37941</v>
      </c>
      <c r="X45" s="2"/>
    </row>
    <row r="46" customFormat="false" ht="15" hidden="false" customHeight="true" outlineLevel="0" collapsed="false">
      <c r="A46" s="2"/>
      <c r="B46" s="2" t="s">
        <v>2</v>
      </c>
      <c r="C46" s="2"/>
      <c r="D46" s="4" t="n">
        <f aca="false">ROUND(ABS(淡江大學_p3!D49),0)</f>
        <v>40557</v>
      </c>
      <c r="E46" s="4" t="n">
        <f aca="false">ROUND(ABS(淡江大學_p3!E49),0)</f>
        <v>40557</v>
      </c>
      <c r="F46" s="4" t="n">
        <f aca="false">ROUND(ABS(淡江大學_p3!F49),0)</f>
        <v>40557</v>
      </c>
      <c r="G46" s="4" t="n">
        <f aca="false">ROUND(ABS(淡江大學_p3!G49),0)</f>
        <v>40557</v>
      </c>
      <c r="H46" s="4" t="n">
        <f aca="false">ROUND(ABS(淡江大學_p3!H49),0)</f>
        <v>40557</v>
      </c>
      <c r="I46" s="4" t="n">
        <f aca="false">ROUND(ABS(淡江大學_p3!I49),0)</f>
        <v>40557</v>
      </c>
      <c r="J46" s="4" t="n">
        <f aca="false">ROUND(ABS(淡江大學_p3!J49),0)</f>
        <v>40557</v>
      </c>
      <c r="K46" s="4" t="n">
        <f aca="false">ROUND(ABS(淡江大學_p3!K49),0)</f>
        <v>40557</v>
      </c>
      <c r="L46" s="4" t="n">
        <f aca="false">ROUND(ABS(淡江大學_p3!L49),0)</f>
        <v>40557</v>
      </c>
      <c r="M46" s="4" t="n">
        <f aca="false">ROUND(ABS(淡江大學_p3!M49),0)</f>
        <v>40557</v>
      </c>
      <c r="N46" s="4" t="n">
        <f aca="false">ROUND(ABS(淡江大學_p3!N49),0)</f>
        <v>40557</v>
      </c>
      <c r="O46" s="4" t="n">
        <f aca="false">ROUND(ABS(淡江大學_p3!O49),0)</f>
        <v>40557</v>
      </c>
      <c r="P46" s="4" t="n">
        <f aca="false">ROUND(ABS(淡江大學_p3!P49),0)</f>
        <v>40557</v>
      </c>
      <c r="Q46" s="4" t="n">
        <f aca="false">ROUND(ABS(淡江大學_p3!Q49),0)</f>
        <v>40557</v>
      </c>
      <c r="R46" s="4" t="n">
        <f aca="false">ROUND(ABS(淡江大學_p3!R49),0)</f>
        <v>40557</v>
      </c>
      <c r="S46" s="4" t="n">
        <f aca="false">ROUND(ABS(淡江大學_p3!S49),0)</f>
        <v>40557</v>
      </c>
      <c r="T46" s="4" t="n">
        <f aca="false">ROUND(ABS(淡江大學_p3!T49),0)</f>
        <v>40557</v>
      </c>
      <c r="U46" s="4" t="n">
        <f aca="false">ROUND(ABS(淡江大學_p3!U49),0)</f>
        <v>40557</v>
      </c>
      <c r="V46" s="4" t="n">
        <f aca="false">ROUND(ABS(淡江大學_p3!V49),0)</f>
        <v>40557</v>
      </c>
      <c r="W46" s="4" t="n">
        <f aca="false">ROUND(ABS(淡江大學_p3!W49),0)</f>
        <v>40557</v>
      </c>
      <c r="X46" s="2"/>
    </row>
    <row r="47" customFormat="false" ht="15" hidden="false" customHeight="true" outlineLevel="0" collapsed="false">
      <c r="A47" s="2"/>
      <c r="B47" s="2" t="s">
        <v>2</v>
      </c>
      <c r="C47" s="2"/>
      <c r="D47" s="4" t="n">
        <f aca="false">ROUND(ABS(淡江大學_p6!D49),0)</f>
        <v>32708</v>
      </c>
      <c r="E47" s="4" t="n">
        <f aca="false">ROUND(ABS(淡江大學_p6!E49),0)</f>
        <v>32708</v>
      </c>
      <c r="F47" s="4" t="n">
        <f aca="false">ROUND(ABS(淡江大學_p6!F49),0)</f>
        <v>32708</v>
      </c>
      <c r="G47" s="4" t="n">
        <f aca="false">ROUND(ABS(淡江大學_p6!G49),0)</f>
        <v>32708</v>
      </c>
      <c r="H47" s="4" t="n">
        <f aca="false">ROUND(ABS(淡江大學_p6!H49),0)</f>
        <v>32708</v>
      </c>
      <c r="I47" s="4" t="n">
        <f aca="false">ROUND(ABS(淡江大學_p6!I49),0)</f>
        <v>32708</v>
      </c>
      <c r="J47" s="4" t="n">
        <f aca="false">ROUND(ABS(淡江大學_p6!J49),0)</f>
        <v>32708</v>
      </c>
      <c r="K47" s="4" t="n">
        <f aca="false">ROUND(ABS(淡江大學_p6!K49),0)</f>
        <v>32708</v>
      </c>
      <c r="L47" s="4" t="n">
        <f aca="false">ROUND(ABS(淡江大學_p6!L49),0)</f>
        <v>32708</v>
      </c>
      <c r="M47" s="4" t="n">
        <f aca="false">ROUND(ABS(淡江大學_p6!M49),0)</f>
        <v>32708</v>
      </c>
      <c r="N47" s="4" t="n">
        <f aca="false">ROUND(ABS(淡江大學_p6!N49),0)</f>
        <v>32708</v>
      </c>
      <c r="O47" s="4" t="n">
        <f aca="false">ROUND(ABS(淡江大學_p6!O49),0)</f>
        <v>32708</v>
      </c>
      <c r="P47" s="4" t="n">
        <f aca="false">ROUND(ABS(淡江大學_p6!P49),0)</f>
        <v>32708</v>
      </c>
      <c r="Q47" s="4" t="n">
        <f aca="false">ROUND(ABS(淡江大學_p6!Q49),0)</f>
        <v>32708</v>
      </c>
      <c r="R47" s="4" t="n">
        <f aca="false">ROUND(ABS(淡江大學_p6!R49),0)</f>
        <v>32708</v>
      </c>
      <c r="S47" s="4" t="n">
        <f aca="false">ROUND(ABS(淡江大學_p6!S49),0)</f>
        <v>32708</v>
      </c>
      <c r="T47" s="4" t="n">
        <f aca="false">ROUND(ABS(淡江大學_p6!T49),0)</f>
        <v>32708</v>
      </c>
      <c r="U47" s="4" t="n">
        <f aca="false">ROUND(ABS(淡江大學_p6!U49),0)</f>
        <v>32708</v>
      </c>
      <c r="V47" s="4" t="n">
        <f aca="false">ROUND(ABS(淡江大學_p6!V49),0)</f>
        <v>32708</v>
      </c>
      <c r="W47" s="4" t="n">
        <f aca="false">ROUND(ABS(淡江大學_p6!W49),0)</f>
        <v>32708</v>
      </c>
      <c r="X47" s="2"/>
    </row>
    <row r="48" customFormat="false" ht="15" hidden="false" customHeight="true" outlineLevel="0" collapsed="false">
      <c r="A48" s="2"/>
      <c r="B48" s="2"/>
      <c r="C48" s="14" t="s">
        <v>11</v>
      </c>
      <c r="D48" s="15" t="n">
        <f aca="false">SUM(D42:D47)</f>
        <v>204095</v>
      </c>
      <c r="E48" s="15" t="n">
        <f aca="false">SUM(E42:E47)</f>
        <v>204095</v>
      </c>
      <c r="F48" s="15" t="n">
        <f aca="false">SUM(F42:F47)</f>
        <v>204095</v>
      </c>
      <c r="G48" s="15" t="n">
        <f aca="false">SUM(G42:G47)</f>
        <v>204095</v>
      </c>
      <c r="H48" s="15" t="n">
        <f aca="false">SUM(H42:H47)</f>
        <v>204095</v>
      </c>
      <c r="I48" s="15" t="n">
        <f aca="false">SUM(I42:I47)</f>
        <v>204095</v>
      </c>
      <c r="J48" s="15" t="n">
        <f aca="false">SUM(J42:J47)</f>
        <v>204095</v>
      </c>
      <c r="K48" s="15" t="n">
        <f aca="false">SUM(K42:K47)</f>
        <v>204095</v>
      </c>
      <c r="L48" s="15" t="n">
        <f aca="false">SUM(L42:L47)</f>
        <v>204095</v>
      </c>
      <c r="M48" s="15" t="n">
        <f aca="false">SUM(M42:M47)</f>
        <v>204095</v>
      </c>
      <c r="N48" s="15" t="n">
        <f aca="false">SUM(N42:N47)</f>
        <v>204095</v>
      </c>
      <c r="O48" s="15" t="n">
        <f aca="false">SUM(O42:O47)</f>
        <v>204095</v>
      </c>
      <c r="P48" s="15" t="n">
        <f aca="false">SUM(P42:P47)</f>
        <v>204095</v>
      </c>
      <c r="Q48" s="15" t="n">
        <f aca="false">SUM(Q42:Q47)</f>
        <v>204095</v>
      </c>
      <c r="R48" s="15" t="n">
        <f aca="false">SUM(R42:R47)</f>
        <v>204095</v>
      </c>
      <c r="S48" s="15" t="n">
        <f aca="false">SUM(S42:S47)</f>
        <v>204095</v>
      </c>
      <c r="T48" s="15" t="n">
        <f aca="false">SUM(T42:T47)</f>
        <v>204095</v>
      </c>
      <c r="U48" s="15" t="n">
        <f aca="false">SUM(U42:U47)</f>
        <v>204095</v>
      </c>
      <c r="V48" s="15" t="n">
        <f aca="false">SUM(V42:V47)</f>
        <v>204095</v>
      </c>
      <c r="W48" s="15" t="n">
        <f aca="false">SUM(W42:W47)</f>
        <v>204095</v>
      </c>
      <c r="X48" s="2"/>
    </row>
    <row r="49" customFormat="false" ht="15" hidden="false" customHeight="true" outlineLevel="0" collapsed="false">
      <c r="A49" s="2"/>
      <c r="B49" s="2"/>
      <c r="C49" s="3" t="s">
        <v>0</v>
      </c>
      <c r="D49" s="7" t="n">
        <v>2020</v>
      </c>
      <c r="E49" s="7" t="n">
        <v>2021</v>
      </c>
      <c r="F49" s="7" t="n">
        <v>2022</v>
      </c>
      <c r="G49" s="7" t="n">
        <v>2023</v>
      </c>
      <c r="H49" s="7" t="n">
        <v>2024</v>
      </c>
      <c r="I49" s="7" t="n">
        <v>2025</v>
      </c>
      <c r="J49" s="7" t="n">
        <v>2026</v>
      </c>
      <c r="K49" s="7" t="n">
        <v>2027</v>
      </c>
      <c r="L49" s="7" t="n">
        <v>2028</v>
      </c>
      <c r="M49" s="7" t="n">
        <v>2029</v>
      </c>
      <c r="N49" s="7" t="n">
        <v>2030</v>
      </c>
      <c r="O49" s="7" t="n">
        <v>2031</v>
      </c>
      <c r="P49" s="7" t="n">
        <v>2032</v>
      </c>
      <c r="Q49" s="7" t="n">
        <v>2033</v>
      </c>
      <c r="R49" s="7" t="n">
        <v>2034</v>
      </c>
      <c r="S49" s="7" t="n">
        <v>2035</v>
      </c>
      <c r="T49" s="7" t="n">
        <v>2036</v>
      </c>
      <c r="U49" s="7" t="n">
        <v>2037</v>
      </c>
      <c r="V49" s="7" t="n">
        <v>2038</v>
      </c>
      <c r="W49" s="7" t="n">
        <v>2039</v>
      </c>
      <c r="X49" s="2"/>
    </row>
    <row r="50" customFormat="false" ht="15" hidden="false" customHeight="true" outlineLevel="0" collapsed="false">
      <c r="A50" s="2"/>
      <c r="B50" s="2"/>
      <c r="C50" s="2" t="s">
        <v>12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2"/>
    </row>
    <row r="51" customFormat="false" ht="15" hidden="false" customHeight="true" outlineLevel="0" collapsed="false">
      <c r="A51" s="2"/>
      <c r="B51" s="2" t="s">
        <v>2</v>
      </c>
      <c r="C51" s="2"/>
      <c r="D51" s="4" t="n">
        <f aca="false">ROUND(ABS(淡江大學_p8!D50),0)</f>
        <v>43610</v>
      </c>
      <c r="E51" s="4" t="n">
        <f aca="false">ROUND(ABS(淡江大學_p8!E50),0)</f>
        <v>43610</v>
      </c>
      <c r="F51" s="4" t="n">
        <f aca="false">ROUND(ABS(淡江大學_p8!F50),0)</f>
        <v>43610</v>
      </c>
      <c r="G51" s="4" t="n">
        <f aca="false">ROUND(ABS(淡江大學_p8!G50),0)</f>
        <v>43610</v>
      </c>
      <c r="H51" s="4" t="n">
        <f aca="false">ROUND(ABS(淡江大學_p8!H50),0)</f>
        <v>43610</v>
      </c>
      <c r="I51" s="4" t="n">
        <f aca="false">ROUND(ABS(淡江大學_p8!I50),0)</f>
        <v>43610</v>
      </c>
      <c r="J51" s="4" t="n">
        <f aca="false">ROUND(ABS(淡江大學_p8!J50),0)</f>
        <v>43610</v>
      </c>
      <c r="K51" s="4" t="n">
        <f aca="false">ROUND(ABS(淡江大學_p8!K50),0)</f>
        <v>43610</v>
      </c>
      <c r="L51" s="4" t="n">
        <f aca="false">ROUND(ABS(淡江大學_p8!L50),0)</f>
        <v>43610</v>
      </c>
      <c r="M51" s="4" t="n">
        <f aca="false">ROUND(ABS(淡江大學_p8!M50),0)</f>
        <v>43610</v>
      </c>
      <c r="N51" s="4" t="n">
        <f aca="false">ROUND(ABS(淡江大學_p8!N50),0)</f>
        <v>0</v>
      </c>
      <c r="O51" s="4" t="n">
        <f aca="false">ROUND(ABS(淡江大學_p8!O50),0)</f>
        <v>0</v>
      </c>
      <c r="P51" s="4" t="n">
        <f aca="false">ROUND(ABS(淡江大學_p8!P50),0)</f>
        <v>0</v>
      </c>
      <c r="Q51" s="4" t="n">
        <f aca="false">ROUND(ABS(淡江大學_p8!Q50),0)</f>
        <v>0</v>
      </c>
      <c r="R51" s="4" t="n">
        <f aca="false">ROUND(ABS(淡江大學_p8!R50),0)</f>
        <v>0</v>
      </c>
      <c r="S51" s="4" t="n">
        <f aca="false">ROUND(ABS(淡江大學_p8!S50),0)</f>
        <v>0</v>
      </c>
      <c r="T51" s="4" t="n">
        <f aca="false">ROUND(ABS(淡江大學_p8!T50),0)</f>
        <v>0</v>
      </c>
      <c r="U51" s="4" t="n">
        <f aca="false">ROUND(ABS(淡江大學_p8!U50),0)</f>
        <v>0</v>
      </c>
      <c r="V51" s="4" t="n">
        <f aca="false">ROUND(ABS(淡江大學_p8!V50),0)</f>
        <v>0</v>
      </c>
      <c r="W51" s="4" t="n">
        <f aca="false">ROUND(ABS(淡江大學_p8!W50),0)</f>
        <v>0</v>
      </c>
      <c r="X51" s="2"/>
    </row>
    <row r="52" customFormat="false" ht="15" hidden="false" customHeight="true" outlineLevel="0" collapsed="false">
      <c r="A52" s="2"/>
      <c r="B52" s="2" t="s">
        <v>2</v>
      </c>
      <c r="C52" s="2"/>
      <c r="D52" s="4" t="n">
        <f aca="false">ROUND(ABS(淡江大學_p7!D50),0)</f>
        <v>43610</v>
      </c>
      <c r="E52" s="4" t="n">
        <f aca="false">ROUND(ABS(淡江大學_p7!E50),0)</f>
        <v>43610</v>
      </c>
      <c r="F52" s="4" t="n">
        <f aca="false">ROUND(ABS(淡江大學_p7!F50),0)</f>
        <v>43610</v>
      </c>
      <c r="G52" s="4" t="n">
        <f aca="false">ROUND(ABS(淡江大學_p7!G50),0)</f>
        <v>43610</v>
      </c>
      <c r="H52" s="4" t="n">
        <f aca="false">ROUND(ABS(淡江大學_p7!H50),0)</f>
        <v>43610</v>
      </c>
      <c r="I52" s="4" t="n">
        <f aca="false">ROUND(ABS(淡江大學_p7!I50),0)</f>
        <v>43610</v>
      </c>
      <c r="J52" s="4" t="n">
        <f aca="false">ROUND(ABS(淡江大學_p7!J50),0)</f>
        <v>43610</v>
      </c>
      <c r="K52" s="4" t="n">
        <f aca="false">ROUND(ABS(淡江大學_p7!K50),0)</f>
        <v>43610</v>
      </c>
      <c r="L52" s="4" t="n">
        <f aca="false">ROUND(ABS(淡江大學_p7!L50),0)</f>
        <v>43610</v>
      </c>
      <c r="M52" s="4" t="n">
        <f aca="false">ROUND(ABS(淡江大學_p7!M50),0)</f>
        <v>43610</v>
      </c>
      <c r="N52" s="4" t="n">
        <f aca="false">ROUND(ABS(淡江大學_p7!N50),0)</f>
        <v>0</v>
      </c>
      <c r="O52" s="4" t="n">
        <f aca="false">ROUND(ABS(淡江大學_p7!O50),0)</f>
        <v>0</v>
      </c>
      <c r="P52" s="4" t="n">
        <f aca="false">ROUND(ABS(淡江大學_p7!P50),0)</f>
        <v>0</v>
      </c>
      <c r="Q52" s="4" t="n">
        <f aca="false">ROUND(ABS(淡江大學_p7!Q50),0)</f>
        <v>0</v>
      </c>
      <c r="R52" s="4" t="n">
        <f aca="false">ROUND(ABS(淡江大學_p7!R50),0)</f>
        <v>0</v>
      </c>
      <c r="S52" s="4" t="n">
        <f aca="false">ROUND(ABS(淡江大學_p7!S50),0)</f>
        <v>0</v>
      </c>
      <c r="T52" s="4" t="n">
        <f aca="false">ROUND(ABS(淡江大學_p7!T50),0)</f>
        <v>0</v>
      </c>
      <c r="U52" s="4" t="n">
        <f aca="false">ROUND(ABS(淡江大學_p7!U50),0)</f>
        <v>0</v>
      </c>
      <c r="V52" s="4" t="n">
        <f aca="false">ROUND(ABS(淡江大學_p7!V50),0)</f>
        <v>0</v>
      </c>
      <c r="W52" s="4" t="n">
        <f aca="false">ROUND(ABS(淡江大學_p7!W50),0)</f>
        <v>0</v>
      </c>
      <c r="X52" s="2"/>
    </row>
    <row r="53" customFormat="false" ht="15" hidden="false" customHeight="true" outlineLevel="0" collapsed="false">
      <c r="A53" s="2"/>
      <c r="B53" s="2" t="s">
        <v>2</v>
      </c>
      <c r="C53" s="2"/>
      <c r="D53" s="4" t="n">
        <f aca="false">ROUND(ABS(淡江大學_p5!D50),0)</f>
        <v>43610</v>
      </c>
      <c r="E53" s="4" t="n">
        <f aca="false">ROUND(ABS(淡江大學_p5!E50),0)</f>
        <v>43610</v>
      </c>
      <c r="F53" s="4" t="n">
        <f aca="false">ROUND(ABS(淡江大學_p5!F50),0)</f>
        <v>43610</v>
      </c>
      <c r="G53" s="4" t="n">
        <f aca="false">ROUND(ABS(淡江大學_p5!G50),0)</f>
        <v>43610</v>
      </c>
      <c r="H53" s="4" t="n">
        <f aca="false">ROUND(ABS(淡江大學_p5!H50),0)</f>
        <v>43610</v>
      </c>
      <c r="I53" s="4" t="n">
        <f aca="false">ROUND(ABS(淡江大學_p5!I50),0)</f>
        <v>43610</v>
      </c>
      <c r="J53" s="4" t="n">
        <f aca="false">ROUND(ABS(淡江大學_p5!J50),0)</f>
        <v>43610</v>
      </c>
      <c r="K53" s="4" t="n">
        <f aca="false">ROUND(ABS(淡江大學_p5!K50),0)</f>
        <v>43610</v>
      </c>
      <c r="L53" s="4" t="n">
        <f aca="false">ROUND(ABS(淡江大學_p5!L50),0)</f>
        <v>43610</v>
      </c>
      <c r="M53" s="4" t="n">
        <f aca="false">ROUND(ABS(淡江大學_p5!M50),0)</f>
        <v>43610</v>
      </c>
      <c r="N53" s="4" t="n">
        <f aca="false">ROUND(ABS(淡江大學_p5!N50),0)</f>
        <v>0</v>
      </c>
      <c r="O53" s="4" t="n">
        <f aca="false">ROUND(ABS(淡江大學_p5!O50),0)</f>
        <v>0</v>
      </c>
      <c r="P53" s="4" t="n">
        <f aca="false">ROUND(ABS(淡江大學_p5!P50),0)</f>
        <v>0</v>
      </c>
      <c r="Q53" s="4" t="n">
        <f aca="false">ROUND(ABS(淡江大學_p5!Q50),0)</f>
        <v>0</v>
      </c>
      <c r="R53" s="4" t="n">
        <f aca="false">ROUND(ABS(淡江大學_p5!R50),0)</f>
        <v>0</v>
      </c>
      <c r="S53" s="4" t="n">
        <f aca="false">ROUND(ABS(淡江大學_p5!S50),0)</f>
        <v>0</v>
      </c>
      <c r="T53" s="4" t="n">
        <f aca="false">ROUND(ABS(淡江大學_p5!T50),0)</f>
        <v>0</v>
      </c>
      <c r="U53" s="4" t="n">
        <f aca="false">ROUND(ABS(淡江大學_p5!U50),0)</f>
        <v>0</v>
      </c>
      <c r="V53" s="4" t="n">
        <f aca="false">ROUND(ABS(淡江大學_p5!V50),0)</f>
        <v>0</v>
      </c>
      <c r="W53" s="4" t="n">
        <f aca="false">ROUND(ABS(淡江大學_p5!W50),0)</f>
        <v>0</v>
      </c>
      <c r="X53" s="2"/>
    </row>
    <row r="54" customFormat="false" ht="15" hidden="false" customHeight="true" outlineLevel="0" collapsed="false">
      <c r="A54" s="2"/>
      <c r="B54" s="2" t="s">
        <v>2</v>
      </c>
      <c r="C54" s="2"/>
      <c r="D54" s="4" t="n">
        <f aca="false">ROUND(ABS(淡江大學_p4!D50),0)</f>
        <v>43610</v>
      </c>
      <c r="E54" s="4" t="n">
        <f aca="false">ROUND(ABS(淡江大學_p4!E50),0)</f>
        <v>43610</v>
      </c>
      <c r="F54" s="4" t="n">
        <f aca="false">ROUND(ABS(淡江大學_p4!F50),0)</f>
        <v>43610</v>
      </c>
      <c r="G54" s="4" t="n">
        <f aca="false">ROUND(ABS(淡江大學_p4!G50),0)</f>
        <v>43610</v>
      </c>
      <c r="H54" s="4" t="n">
        <f aca="false">ROUND(ABS(淡江大學_p4!H50),0)</f>
        <v>43610</v>
      </c>
      <c r="I54" s="4" t="n">
        <f aca="false">ROUND(ABS(淡江大學_p4!I50),0)</f>
        <v>43610</v>
      </c>
      <c r="J54" s="4" t="n">
        <f aca="false">ROUND(ABS(淡江大學_p4!J50),0)</f>
        <v>43610</v>
      </c>
      <c r="K54" s="4" t="n">
        <f aca="false">ROUND(ABS(淡江大學_p4!K50),0)</f>
        <v>43610</v>
      </c>
      <c r="L54" s="4" t="n">
        <f aca="false">ROUND(ABS(淡江大學_p4!L50),0)</f>
        <v>43610</v>
      </c>
      <c r="M54" s="4" t="n">
        <f aca="false">ROUND(ABS(淡江大學_p4!M50),0)</f>
        <v>43610</v>
      </c>
      <c r="N54" s="4" t="n">
        <f aca="false">ROUND(ABS(淡江大學_p4!N50),0)</f>
        <v>0</v>
      </c>
      <c r="O54" s="4" t="n">
        <f aca="false">ROUND(ABS(淡江大學_p4!O50),0)</f>
        <v>0</v>
      </c>
      <c r="P54" s="4" t="n">
        <f aca="false">ROUND(ABS(淡江大學_p4!P50),0)</f>
        <v>0</v>
      </c>
      <c r="Q54" s="4" t="n">
        <f aca="false">ROUND(ABS(淡江大學_p4!Q50),0)</f>
        <v>0</v>
      </c>
      <c r="R54" s="4" t="n">
        <f aca="false">ROUND(ABS(淡江大學_p4!R50),0)</f>
        <v>0</v>
      </c>
      <c r="S54" s="4" t="n">
        <f aca="false">ROUND(ABS(淡江大學_p4!S50),0)</f>
        <v>0</v>
      </c>
      <c r="T54" s="4" t="n">
        <f aca="false">ROUND(ABS(淡江大學_p4!T50),0)</f>
        <v>0</v>
      </c>
      <c r="U54" s="4" t="n">
        <f aca="false">ROUND(ABS(淡江大學_p4!U50),0)</f>
        <v>0</v>
      </c>
      <c r="V54" s="4" t="n">
        <f aca="false">ROUND(ABS(淡江大學_p4!V50),0)</f>
        <v>0</v>
      </c>
      <c r="W54" s="4" t="n">
        <f aca="false">ROUND(ABS(淡江大學_p4!W50),0)</f>
        <v>0</v>
      </c>
      <c r="X54" s="2"/>
    </row>
    <row r="55" customFormat="false" ht="15" hidden="false" customHeight="true" outlineLevel="0" collapsed="false">
      <c r="A55" s="2"/>
      <c r="B55" s="2" t="s">
        <v>2</v>
      </c>
      <c r="C55" s="2"/>
      <c r="D55" s="4" t="n">
        <f aca="false">ROUND(ABS(淡江大學_p3!D50),0)</f>
        <v>43610</v>
      </c>
      <c r="E55" s="4" t="n">
        <f aca="false">ROUND(ABS(淡江大學_p3!E50),0)</f>
        <v>43610</v>
      </c>
      <c r="F55" s="4" t="n">
        <f aca="false">ROUND(ABS(淡江大學_p3!F50),0)</f>
        <v>43610</v>
      </c>
      <c r="G55" s="4" t="n">
        <f aca="false">ROUND(ABS(淡江大學_p3!G50),0)</f>
        <v>43610</v>
      </c>
      <c r="H55" s="4" t="n">
        <f aca="false">ROUND(ABS(淡江大學_p3!H50),0)</f>
        <v>43610</v>
      </c>
      <c r="I55" s="4" t="n">
        <f aca="false">ROUND(ABS(淡江大學_p3!I50),0)</f>
        <v>43610</v>
      </c>
      <c r="J55" s="4" t="n">
        <f aca="false">ROUND(ABS(淡江大學_p3!J50),0)</f>
        <v>43610</v>
      </c>
      <c r="K55" s="4" t="n">
        <f aca="false">ROUND(ABS(淡江大學_p3!K50),0)</f>
        <v>43610</v>
      </c>
      <c r="L55" s="4" t="n">
        <f aca="false">ROUND(ABS(淡江大學_p3!L50),0)</f>
        <v>43610</v>
      </c>
      <c r="M55" s="4" t="n">
        <f aca="false">ROUND(ABS(淡江大學_p3!M50),0)</f>
        <v>43610</v>
      </c>
      <c r="N55" s="4" t="n">
        <f aca="false">ROUND(ABS(淡江大學_p3!N50),0)</f>
        <v>0</v>
      </c>
      <c r="O55" s="4" t="n">
        <f aca="false">ROUND(ABS(淡江大學_p3!O50),0)</f>
        <v>0</v>
      </c>
      <c r="P55" s="4" t="n">
        <f aca="false">ROUND(ABS(淡江大學_p3!P50),0)</f>
        <v>0</v>
      </c>
      <c r="Q55" s="4" t="n">
        <f aca="false">ROUND(ABS(淡江大學_p3!Q50),0)</f>
        <v>0</v>
      </c>
      <c r="R55" s="4" t="n">
        <f aca="false">ROUND(ABS(淡江大學_p3!R50),0)</f>
        <v>0</v>
      </c>
      <c r="S55" s="4" t="n">
        <f aca="false">ROUND(ABS(淡江大學_p3!S50),0)</f>
        <v>0</v>
      </c>
      <c r="T55" s="4" t="n">
        <f aca="false">ROUND(ABS(淡江大學_p3!T50),0)</f>
        <v>0</v>
      </c>
      <c r="U55" s="4" t="n">
        <f aca="false">ROUND(ABS(淡江大學_p3!U50),0)</f>
        <v>0</v>
      </c>
      <c r="V55" s="4" t="n">
        <f aca="false">ROUND(ABS(淡江大學_p3!V50),0)</f>
        <v>0</v>
      </c>
      <c r="W55" s="4" t="n">
        <f aca="false">ROUND(ABS(淡江大學_p3!W50),0)</f>
        <v>0</v>
      </c>
      <c r="X55" s="2"/>
    </row>
    <row r="56" customFormat="false" ht="15" hidden="false" customHeight="true" outlineLevel="0" collapsed="false">
      <c r="A56" s="2"/>
      <c r="B56" s="2" t="s">
        <v>2</v>
      </c>
      <c r="C56" s="2"/>
      <c r="D56" s="4" t="n">
        <f aca="false">ROUND(ABS(淡江大學_p6!D50),0)</f>
        <v>43610</v>
      </c>
      <c r="E56" s="4" t="n">
        <f aca="false">ROUND(ABS(淡江大學_p6!E50),0)</f>
        <v>43610</v>
      </c>
      <c r="F56" s="4" t="n">
        <f aca="false">ROUND(ABS(淡江大學_p6!F50),0)</f>
        <v>43610</v>
      </c>
      <c r="G56" s="4" t="n">
        <f aca="false">ROUND(ABS(淡江大學_p6!G50),0)</f>
        <v>43610</v>
      </c>
      <c r="H56" s="4" t="n">
        <f aca="false">ROUND(ABS(淡江大學_p6!H50),0)</f>
        <v>43610</v>
      </c>
      <c r="I56" s="4" t="n">
        <f aca="false">ROUND(ABS(淡江大學_p6!I50),0)</f>
        <v>43610</v>
      </c>
      <c r="J56" s="4" t="n">
        <f aca="false">ROUND(ABS(淡江大學_p6!J50),0)</f>
        <v>43610</v>
      </c>
      <c r="K56" s="4" t="n">
        <f aca="false">ROUND(ABS(淡江大學_p6!K50),0)</f>
        <v>43610</v>
      </c>
      <c r="L56" s="4" t="n">
        <f aca="false">ROUND(ABS(淡江大學_p6!L50),0)</f>
        <v>43610</v>
      </c>
      <c r="M56" s="4" t="n">
        <f aca="false">ROUND(ABS(淡江大學_p6!M50),0)</f>
        <v>43610</v>
      </c>
      <c r="N56" s="4" t="n">
        <f aca="false">ROUND(ABS(淡江大學_p6!N50),0)</f>
        <v>0</v>
      </c>
      <c r="O56" s="4" t="n">
        <f aca="false">ROUND(ABS(淡江大學_p6!O50),0)</f>
        <v>0</v>
      </c>
      <c r="P56" s="4" t="n">
        <f aca="false">ROUND(ABS(淡江大學_p6!P50),0)</f>
        <v>0</v>
      </c>
      <c r="Q56" s="4" t="n">
        <f aca="false">ROUND(ABS(淡江大學_p6!Q50),0)</f>
        <v>0</v>
      </c>
      <c r="R56" s="4" t="n">
        <f aca="false">ROUND(ABS(淡江大學_p6!R50),0)</f>
        <v>0</v>
      </c>
      <c r="S56" s="4" t="n">
        <f aca="false">ROUND(ABS(淡江大學_p6!S50),0)</f>
        <v>0</v>
      </c>
      <c r="T56" s="4" t="n">
        <f aca="false">ROUND(ABS(淡江大學_p6!T50),0)</f>
        <v>0</v>
      </c>
      <c r="U56" s="4" t="n">
        <f aca="false">ROUND(ABS(淡江大學_p6!U50),0)</f>
        <v>0</v>
      </c>
      <c r="V56" s="4" t="n">
        <f aca="false">ROUND(ABS(淡江大學_p6!V50),0)</f>
        <v>0</v>
      </c>
      <c r="W56" s="4" t="n">
        <f aca="false">ROUND(ABS(淡江大學_p6!W50),0)</f>
        <v>0</v>
      </c>
      <c r="X56" s="2"/>
    </row>
    <row r="57" customFormat="false" ht="15" hidden="false" customHeight="true" outlineLevel="0" collapsed="false">
      <c r="A57" s="2"/>
      <c r="B57" s="2"/>
      <c r="C57" s="8" t="s">
        <v>13</v>
      </c>
      <c r="D57" s="9" t="n">
        <f aca="false">SUM(D51:D56)</f>
        <v>261660</v>
      </c>
      <c r="E57" s="9" t="n">
        <f aca="false">SUM(E51:E56)</f>
        <v>261660</v>
      </c>
      <c r="F57" s="9" t="n">
        <f aca="false">SUM(F51:F56)</f>
        <v>261660</v>
      </c>
      <c r="G57" s="9" t="n">
        <f aca="false">SUM(G51:G56)</f>
        <v>261660</v>
      </c>
      <c r="H57" s="9" t="n">
        <f aca="false">SUM(H51:H56)</f>
        <v>261660</v>
      </c>
      <c r="I57" s="9" t="n">
        <f aca="false">SUM(I51:I56)</f>
        <v>261660</v>
      </c>
      <c r="J57" s="9" t="n">
        <f aca="false">SUM(J51:J56)</f>
        <v>261660</v>
      </c>
      <c r="K57" s="9" t="n">
        <f aca="false">SUM(K51:K56)</f>
        <v>261660</v>
      </c>
      <c r="L57" s="9" t="n">
        <f aca="false">SUM(L51:L56)</f>
        <v>261660</v>
      </c>
      <c r="M57" s="9" t="n">
        <f aca="false">SUM(M51:M56)</f>
        <v>261660</v>
      </c>
      <c r="N57" s="9" t="n">
        <f aca="false">SUM(N51:N56)</f>
        <v>0</v>
      </c>
      <c r="O57" s="9" t="n">
        <f aca="false">SUM(O51:O56)</f>
        <v>0</v>
      </c>
      <c r="P57" s="9" t="n">
        <f aca="false">SUM(P51:P56)</f>
        <v>0</v>
      </c>
      <c r="Q57" s="9" t="n">
        <f aca="false">SUM(Q51:Q56)</f>
        <v>0</v>
      </c>
      <c r="R57" s="9" t="n">
        <f aca="false">SUM(R51:R56)</f>
        <v>0</v>
      </c>
      <c r="S57" s="9" t="n">
        <f aca="false">SUM(S51:S56)</f>
        <v>0</v>
      </c>
      <c r="T57" s="9" t="n">
        <f aca="false">SUM(T51:T56)</f>
        <v>0</v>
      </c>
      <c r="U57" s="9" t="n">
        <f aca="false">SUM(U51:U56)</f>
        <v>0</v>
      </c>
      <c r="V57" s="9" t="n">
        <f aca="false">SUM(V51:V56)</f>
        <v>0</v>
      </c>
      <c r="W57" s="9" t="n">
        <f aca="false">SUM(W51:W56)</f>
        <v>0</v>
      </c>
      <c r="X57" s="2"/>
    </row>
    <row r="58" customFormat="false" ht="18.75" hidden="false" customHeight="true" outlineLevel="0" collapsed="false">
      <c r="A58" s="2"/>
      <c r="B58" s="16"/>
      <c r="C58" s="17" t="s">
        <v>0</v>
      </c>
      <c r="D58" s="18" t="n">
        <v>2020</v>
      </c>
      <c r="E58" s="18" t="n">
        <v>2021</v>
      </c>
      <c r="F58" s="18" t="n">
        <v>2022</v>
      </c>
      <c r="G58" s="18" t="n">
        <v>2023</v>
      </c>
      <c r="H58" s="18" t="n">
        <v>2024</v>
      </c>
      <c r="I58" s="18" t="n">
        <v>2025</v>
      </c>
      <c r="J58" s="18" t="n">
        <v>2026</v>
      </c>
      <c r="K58" s="18" t="n">
        <v>2027</v>
      </c>
      <c r="L58" s="18" t="n">
        <v>2028</v>
      </c>
      <c r="M58" s="18" t="n">
        <v>2029</v>
      </c>
      <c r="N58" s="18" t="n">
        <v>2030</v>
      </c>
      <c r="O58" s="18" t="n">
        <v>2031</v>
      </c>
      <c r="P58" s="18" t="n">
        <v>2032</v>
      </c>
      <c r="Q58" s="18" t="n">
        <v>2033</v>
      </c>
      <c r="R58" s="18" t="n">
        <v>2034</v>
      </c>
      <c r="S58" s="18" t="n">
        <v>2035</v>
      </c>
      <c r="T58" s="18" t="n">
        <v>2036</v>
      </c>
      <c r="U58" s="18" t="n">
        <v>2037</v>
      </c>
      <c r="V58" s="18" t="n">
        <v>2038</v>
      </c>
      <c r="W58" s="18" t="n">
        <v>2039</v>
      </c>
      <c r="X58" s="2"/>
    </row>
    <row r="59" customFormat="false" ht="18.75" hidden="false" customHeight="true" outlineLevel="0" collapsed="false">
      <c r="A59" s="2"/>
      <c r="B59" s="19"/>
      <c r="C59" s="20" t="s">
        <v>14</v>
      </c>
      <c r="D59" s="21"/>
      <c r="E59" s="21"/>
      <c r="F59" s="22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3"/>
      <c r="U59" s="21"/>
      <c r="V59" s="21"/>
      <c r="W59" s="21"/>
      <c r="X59" s="2"/>
    </row>
    <row r="60" customFormat="false" ht="18.75" hidden="false" customHeight="true" outlineLevel="0" collapsed="false">
      <c r="A60" s="2"/>
      <c r="B60" s="24" t="s">
        <v>2</v>
      </c>
      <c r="C60" s="25"/>
      <c r="D60" s="26" t="n">
        <f aca="false">ROUND(ABS(淡江大學_p8!D54),0)</f>
        <v>244569</v>
      </c>
      <c r="E60" s="26" t="n">
        <f aca="false">ROUND(ABS(淡江大學_p8!E54),0)</f>
        <v>184778</v>
      </c>
      <c r="F60" s="26" t="n">
        <f aca="false">ROUND(ABS(淡江大學_p8!F54),0)</f>
        <v>183028</v>
      </c>
      <c r="G60" s="26" t="n">
        <f aca="false">ROUND(ABS(淡江大學_p8!G54),0)</f>
        <v>181277</v>
      </c>
      <c r="H60" s="26" t="n">
        <f aca="false">ROUND(ABS(淡江大學_p8!H54),0)</f>
        <v>179527</v>
      </c>
      <c r="I60" s="26" t="n">
        <f aca="false">ROUND(ABS(淡江大學_p8!I54),0)</f>
        <v>177776</v>
      </c>
      <c r="J60" s="26" t="n">
        <f aca="false">ROUND(ABS(淡江大學_p8!J54),0)</f>
        <v>176026</v>
      </c>
      <c r="K60" s="26" t="n">
        <f aca="false">ROUND(ABS(淡江大學_p8!K54),0)</f>
        <v>174276</v>
      </c>
      <c r="L60" s="26" t="n">
        <f aca="false">ROUND(ABS(淡江大學_p8!L54),0)</f>
        <v>172525</v>
      </c>
      <c r="M60" s="26" t="n">
        <f aca="false">ROUND(ABS(淡江大學_p8!M54),0)</f>
        <v>170775</v>
      </c>
      <c r="N60" s="26" t="n">
        <f aca="false">ROUND(ABS(淡江大學_p8!N54),0)</f>
        <v>177746</v>
      </c>
      <c r="O60" s="26" t="n">
        <f aca="false">ROUND(ABS(淡江大學_p8!O54),0)</f>
        <v>175996</v>
      </c>
      <c r="P60" s="26" t="n">
        <f aca="false">ROUND(ABS(淡江大學_p8!P54),0)</f>
        <v>174246</v>
      </c>
      <c r="Q60" s="26" t="n">
        <f aca="false">ROUND(ABS(淡江大學_p8!Q54),0)</f>
        <v>172495</v>
      </c>
      <c r="R60" s="26" t="n">
        <f aca="false">ROUND(ABS(淡江大學_p8!R54),0)</f>
        <v>170745</v>
      </c>
      <c r="S60" s="26" t="n">
        <f aca="false">ROUND(ABS(淡江大學_p8!S54),0)</f>
        <v>168994</v>
      </c>
      <c r="T60" s="26" t="n">
        <f aca="false">ROUND(ABS(淡江大學_p8!T54),0)</f>
        <v>167244</v>
      </c>
      <c r="U60" s="26" t="n">
        <f aca="false">ROUND(ABS(淡江大學_p8!U54),0)</f>
        <v>165494</v>
      </c>
      <c r="V60" s="26" t="n">
        <f aca="false">ROUND(ABS(淡江大學_p8!V54),0)</f>
        <v>163743</v>
      </c>
      <c r="W60" s="26" t="n">
        <f aca="false">ROUND(ABS(淡江大學_p8!W54),0)</f>
        <v>161993</v>
      </c>
      <c r="X60" s="2"/>
    </row>
    <row r="61" customFormat="false" ht="18.75" hidden="false" customHeight="true" outlineLevel="0" collapsed="false">
      <c r="A61" s="2"/>
      <c r="B61" s="27" t="s">
        <v>2</v>
      </c>
      <c r="C61" s="28"/>
      <c r="D61" s="26" t="n">
        <f aca="false">ROUND(ABS(淡江大學_p7!D54),0)</f>
        <v>231585</v>
      </c>
      <c r="E61" s="26" t="n">
        <f aca="false">ROUND(ABS(淡江大學_p7!E54),0)</f>
        <v>171795</v>
      </c>
      <c r="F61" s="26" t="n">
        <f aca="false">ROUND(ABS(淡江大學_p7!F54),0)</f>
        <v>170044</v>
      </c>
      <c r="G61" s="26" t="n">
        <f aca="false">ROUND(ABS(淡江大學_p7!G54),0)</f>
        <v>168294</v>
      </c>
      <c r="H61" s="26" t="n">
        <f aca="false">ROUND(ABS(淡江大學_p7!H54),0)</f>
        <v>166544</v>
      </c>
      <c r="I61" s="26" t="n">
        <f aca="false">ROUND(ABS(淡江大學_p7!I54),0)</f>
        <v>164793</v>
      </c>
      <c r="J61" s="26" t="n">
        <f aca="false">ROUND(ABS(淡江大學_p7!J54),0)</f>
        <v>163043</v>
      </c>
      <c r="K61" s="26" t="n">
        <f aca="false">ROUND(ABS(淡江大學_p7!K54),0)</f>
        <v>161292</v>
      </c>
      <c r="L61" s="26" t="n">
        <f aca="false">ROUND(ABS(淡江大學_p7!L54),0)</f>
        <v>159542</v>
      </c>
      <c r="M61" s="26" t="n">
        <f aca="false">ROUND(ABS(淡江大學_p7!M54),0)</f>
        <v>157792</v>
      </c>
      <c r="N61" s="26" t="n">
        <f aca="false">ROUND(ABS(淡江大學_p7!N54),0)</f>
        <v>164763</v>
      </c>
      <c r="O61" s="26" t="n">
        <f aca="false">ROUND(ABS(淡江大學_p7!O54),0)</f>
        <v>163013</v>
      </c>
      <c r="P61" s="26" t="n">
        <f aca="false">ROUND(ABS(淡江大學_p7!P54),0)</f>
        <v>161262</v>
      </c>
      <c r="Q61" s="26" t="n">
        <f aca="false">ROUND(ABS(淡江大學_p7!Q54),0)</f>
        <v>159512</v>
      </c>
      <c r="R61" s="26" t="n">
        <f aca="false">ROUND(ABS(淡江大學_p7!R54),0)</f>
        <v>157762</v>
      </c>
      <c r="S61" s="26" t="n">
        <f aca="false">ROUND(ABS(淡江大學_p7!S54),0)</f>
        <v>156011</v>
      </c>
      <c r="T61" s="26" t="n">
        <f aca="false">ROUND(ABS(淡江大學_p7!T54),0)</f>
        <v>154261</v>
      </c>
      <c r="U61" s="26" t="n">
        <f aca="false">ROUND(ABS(淡江大學_p7!U54),0)</f>
        <v>152510</v>
      </c>
      <c r="V61" s="26" t="n">
        <f aca="false">ROUND(ABS(淡江大學_p7!V54),0)</f>
        <v>150760</v>
      </c>
      <c r="W61" s="26" t="n">
        <f aca="false">ROUND(ABS(淡江大學_p7!W54),0)</f>
        <v>149009</v>
      </c>
      <c r="X61" s="2"/>
    </row>
    <row r="62" customFormat="false" ht="18.75" hidden="false" customHeight="true" outlineLevel="0" collapsed="false">
      <c r="A62" s="2"/>
      <c r="B62" s="29" t="s">
        <v>2</v>
      </c>
      <c r="C62" s="30"/>
      <c r="D62" s="31" t="n">
        <f aca="false">ROUND(ABS(淡江大學_p5!D54),0)</f>
        <v>205619</v>
      </c>
      <c r="E62" s="31" t="n">
        <f aca="false">ROUND(ABS(淡江大學_p5!E54),0)</f>
        <v>145828</v>
      </c>
      <c r="F62" s="31" t="n">
        <f aca="false">ROUND(ABS(淡江大學_p5!F54),0)</f>
        <v>144078</v>
      </c>
      <c r="G62" s="31" t="n">
        <f aca="false">ROUND(ABS(淡江大學_p5!G54),0)</f>
        <v>142327</v>
      </c>
      <c r="H62" s="31" t="n">
        <f aca="false">ROUND(ABS(淡江大學_p5!H54),0)</f>
        <v>140577</v>
      </c>
      <c r="I62" s="31" t="n">
        <f aca="false">ROUND(ABS(淡江大學_p5!I54),0)</f>
        <v>138827</v>
      </c>
      <c r="J62" s="31" t="n">
        <f aca="false">ROUND(ABS(淡江大學_p5!J54),0)</f>
        <v>137076</v>
      </c>
      <c r="K62" s="31" t="n">
        <f aca="false">ROUND(ABS(淡江大學_p5!K54),0)</f>
        <v>135326</v>
      </c>
      <c r="L62" s="31" t="n">
        <f aca="false">ROUND(ABS(淡江大學_p5!L54),0)</f>
        <v>133575</v>
      </c>
      <c r="M62" s="31" t="n">
        <f aca="false">ROUND(ABS(淡江大學_p5!M54),0)</f>
        <v>131825</v>
      </c>
      <c r="N62" s="31" t="n">
        <f aca="false">ROUND(ABS(淡江大學_p5!N54),0)</f>
        <v>138797</v>
      </c>
      <c r="O62" s="31" t="n">
        <f aca="false">ROUND(ABS(淡江大學_p5!O54),0)</f>
        <v>137046</v>
      </c>
      <c r="P62" s="31" t="n">
        <f aca="false">ROUND(ABS(淡江大學_p5!P54),0)</f>
        <v>135296</v>
      </c>
      <c r="Q62" s="31" t="n">
        <f aca="false">ROUND(ABS(淡江大學_p5!Q54),0)</f>
        <v>133545</v>
      </c>
      <c r="R62" s="31" t="n">
        <f aca="false">ROUND(ABS(淡江大學_p5!R54),0)</f>
        <v>131795</v>
      </c>
      <c r="S62" s="31" t="n">
        <f aca="false">ROUND(ABS(淡江大學_p5!S54),0)</f>
        <v>130044</v>
      </c>
      <c r="T62" s="31" t="n">
        <f aca="false">ROUND(ABS(淡江大學_p5!T54),0)</f>
        <v>128294</v>
      </c>
      <c r="U62" s="31" t="n">
        <f aca="false">ROUND(ABS(淡江大學_p5!U54),0)</f>
        <v>126544</v>
      </c>
      <c r="V62" s="31" t="n">
        <f aca="false">ROUND(ABS(淡江大學_p5!V54),0)</f>
        <v>124793</v>
      </c>
      <c r="W62" s="31" t="n">
        <f aca="false">ROUND(ABS(淡江大學_p5!W54),0)</f>
        <v>123043</v>
      </c>
      <c r="X62" s="2"/>
    </row>
    <row r="63" customFormat="false" ht="18.75" hidden="false" customHeight="true" outlineLevel="0" collapsed="false">
      <c r="A63" s="2"/>
      <c r="B63" s="32" t="s">
        <v>2</v>
      </c>
      <c r="C63" s="33"/>
      <c r="D63" s="26" t="n">
        <f aca="false">ROUND(ABS(淡江大學_p4!D54),0)</f>
        <v>192635</v>
      </c>
      <c r="E63" s="26" t="n">
        <f aca="false">ROUND(ABS(淡江大學_p4!E54),0)</f>
        <v>132845</v>
      </c>
      <c r="F63" s="26" t="n">
        <f aca="false">ROUND(ABS(淡江大學_p4!F54),0)</f>
        <v>131094</v>
      </c>
      <c r="G63" s="26" t="n">
        <f aca="false">ROUND(ABS(淡江大學_p4!G54),0)</f>
        <v>129344</v>
      </c>
      <c r="H63" s="26" t="n">
        <f aca="false">ROUND(ABS(淡江大學_p4!H54),0)</f>
        <v>127594</v>
      </c>
      <c r="I63" s="26" t="n">
        <f aca="false">ROUND(ABS(淡江大學_p4!I54),0)</f>
        <v>125843</v>
      </c>
      <c r="J63" s="26" t="n">
        <f aca="false">ROUND(ABS(淡江大學_p4!J54),0)</f>
        <v>124093</v>
      </c>
      <c r="K63" s="26" t="n">
        <f aca="false">ROUND(ABS(淡江大學_p4!K54),0)</f>
        <v>122342</v>
      </c>
      <c r="L63" s="26" t="n">
        <f aca="false">ROUND(ABS(淡江大學_p4!L54),0)</f>
        <v>120592</v>
      </c>
      <c r="M63" s="26" t="n">
        <f aca="false">ROUND(ABS(淡江大學_p4!M54),0)</f>
        <v>118842</v>
      </c>
      <c r="N63" s="26" t="n">
        <f aca="false">ROUND(ABS(淡江大學_p4!N54),0)</f>
        <v>125813</v>
      </c>
      <c r="O63" s="26" t="n">
        <f aca="false">ROUND(ABS(淡江大學_p4!O54),0)</f>
        <v>124063</v>
      </c>
      <c r="P63" s="26" t="n">
        <f aca="false">ROUND(ABS(淡江大學_p4!P54),0)</f>
        <v>122312</v>
      </c>
      <c r="Q63" s="26" t="n">
        <f aca="false">ROUND(ABS(淡江大學_p4!Q54),0)</f>
        <v>120562</v>
      </c>
      <c r="R63" s="26" t="n">
        <f aca="false">ROUND(ABS(淡江大學_p4!R54),0)</f>
        <v>118812</v>
      </c>
      <c r="S63" s="26" t="n">
        <f aca="false">ROUND(ABS(淡江大學_p4!S54),0)</f>
        <v>117061</v>
      </c>
      <c r="T63" s="26" t="n">
        <f aca="false">ROUND(ABS(淡江大學_p4!T54),0)</f>
        <v>115311</v>
      </c>
      <c r="U63" s="26" t="n">
        <f aca="false">ROUND(ABS(淡江大學_p4!U54),0)</f>
        <v>113560</v>
      </c>
      <c r="V63" s="26" t="n">
        <f aca="false">ROUND(ABS(淡江大學_p4!V54),0)</f>
        <v>111810</v>
      </c>
      <c r="W63" s="26" t="n">
        <f aca="false">ROUND(ABS(淡江大學_p4!W54),0)</f>
        <v>110060</v>
      </c>
      <c r="X63" s="2"/>
    </row>
    <row r="64" customFormat="false" ht="18.75" hidden="false" customHeight="true" outlineLevel="0" collapsed="false">
      <c r="A64" s="2"/>
      <c r="B64" s="34" t="s">
        <v>2</v>
      </c>
      <c r="C64" s="35"/>
      <c r="D64" s="36" t="n">
        <f aca="false">ROUND(ABS(淡江大學_p3!D54),0)</f>
        <v>179652</v>
      </c>
      <c r="E64" s="36" t="n">
        <f aca="false">ROUND(ABS(淡江大學_p3!E54),0)</f>
        <v>119862</v>
      </c>
      <c r="F64" s="36" t="n">
        <f aca="false">ROUND(ABS(淡江大學_p3!F54),0)</f>
        <v>118111</v>
      </c>
      <c r="G64" s="36" t="n">
        <f aca="false">ROUND(ABS(淡江大學_p3!G54),0)</f>
        <v>116361</v>
      </c>
      <c r="H64" s="36" t="n">
        <f aca="false">ROUND(ABS(淡江大學_p3!H54),0)</f>
        <v>114610</v>
      </c>
      <c r="I64" s="36" t="n">
        <f aca="false">ROUND(ABS(淡江大學_p3!I54),0)</f>
        <v>112860</v>
      </c>
      <c r="J64" s="36" t="n">
        <f aca="false">ROUND(ABS(淡江大學_p3!J54),0)</f>
        <v>111109</v>
      </c>
      <c r="K64" s="36" t="n">
        <f aca="false">ROUND(ABS(淡江大學_p3!K54),0)</f>
        <v>109359</v>
      </c>
      <c r="L64" s="36" t="n">
        <f aca="false">ROUND(ABS(淡江大學_p3!L54),0)</f>
        <v>107609</v>
      </c>
      <c r="M64" s="36" t="n">
        <f aca="false">ROUND(ABS(淡江大學_p3!M54),0)</f>
        <v>105858</v>
      </c>
      <c r="N64" s="36" t="n">
        <f aca="false">ROUND(ABS(淡江大學_p3!N54),0)</f>
        <v>112830</v>
      </c>
      <c r="O64" s="36" t="n">
        <f aca="false">ROUND(ABS(淡江大學_p3!O54),0)</f>
        <v>111079</v>
      </c>
      <c r="P64" s="36" t="n">
        <f aca="false">ROUND(ABS(淡江大學_p3!P54),0)</f>
        <v>109329</v>
      </c>
      <c r="Q64" s="36" t="n">
        <f aca="false">ROUND(ABS(淡江大學_p3!Q54),0)</f>
        <v>107579</v>
      </c>
      <c r="R64" s="36" t="n">
        <f aca="false">ROUND(ABS(淡江大學_p3!R54),0)</f>
        <v>105828</v>
      </c>
      <c r="S64" s="36" t="n">
        <f aca="false">ROUND(ABS(淡江大學_p3!S54),0)</f>
        <v>104078</v>
      </c>
      <c r="T64" s="36" t="n">
        <f aca="false">ROUND(ABS(淡江大學_p3!T54),0)</f>
        <v>102327</v>
      </c>
      <c r="U64" s="36" t="n">
        <f aca="false">ROUND(ABS(淡江大學_p3!U54),0)</f>
        <v>100577</v>
      </c>
      <c r="V64" s="36" t="n">
        <f aca="false">ROUND(ABS(淡江大學_p3!V54),0)</f>
        <v>98827</v>
      </c>
      <c r="W64" s="36" t="n">
        <f aca="false">ROUND(ABS(淡江大學_p3!W54),0)</f>
        <v>97076</v>
      </c>
      <c r="X64" s="2"/>
    </row>
    <row r="65" customFormat="false" ht="18.75" hidden="false" customHeight="true" outlineLevel="0" collapsed="false">
      <c r="A65" s="2"/>
      <c r="B65" s="32" t="s">
        <v>2</v>
      </c>
      <c r="C65" s="37"/>
      <c r="D65" s="26" t="n">
        <f aca="false">ROUND(ABS(淡江大學_p6!D54),0)</f>
        <v>218602</v>
      </c>
      <c r="E65" s="26" t="n">
        <f aca="false">ROUND(ABS(淡江大學_p6!E54),0)</f>
        <v>158811</v>
      </c>
      <c r="F65" s="26" t="n">
        <f aca="false">ROUND(ABS(淡江大學_p6!F54),0)</f>
        <v>157061</v>
      </c>
      <c r="G65" s="26" t="n">
        <f aca="false">ROUND(ABS(淡江大學_p6!G54),0)</f>
        <v>155311</v>
      </c>
      <c r="H65" s="26" t="n">
        <f aca="false">ROUND(ABS(淡江大學_p6!H54),0)</f>
        <v>153560</v>
      </c>
      <c r="I65" s="26" t="n">
        <f aca="false">ROUND(ABS(淡江大學_p6!I54),0)</f>
        <v>151810</v>
      </c>
      <c r="J65" s="26" t="n">
        <f aca="false">ROUND(ABS(淡江大學_p6!J54),0)</f>
        <v>150059</v>
      </c>
      <c r="K65" s="26" t="n">
        <f aca="false">ROUND(ABS(淡江大學_p6!K54),0)</f>
        <v>148309</v>
      </c>
      <c r="L65" s="26" t="n">
        <f aca="false">ROUND(ABS(淡江大學_p6!L54),0)</f>
        <v>146559</v>
      </c>
      <c r="M65" s="26" t="n">
        <f aca="false">ROUND(ABS(淡江大學_p6!M54),0)</f>
        <v>144808</v>
      </c>
      <c r="N65" s="26" t="n">
        <f aca="false">ROUND(ABS(淡江大學_p6!N54),0)</f>
        <v>151780</v>
      </c>
      <c r="O65" s="26" t="n">
        <f aca="false">ROUND(ABS(淡江大學_p6!O54),0)</f>
        <v>150029</v>
      </c>
      <c r="P65" s="26" t="n">
        <f aca="false">ROUND(ABS(淡江大學_p6!P54),0)</f>
        <v>148279</v>
      </c>
      <c r="Q65" s="26" t="n">
        <f aca="false">ROUND(ABS(淡江大學_p6!Q54),0)</f>
        <v>146529</v>
      </c>
      <c r="R65" s="26" t="n">
        <f aca="false">ROUND(ABS(淡江大學_p6!R54),0)</f>
        <v>144778</v>
      </c>
      <c r="S65" s="26" t="n">
        <f aca="false">ROUND(ABS(淡江大學_p6!S54),0)</f>
        <v>143028</v>
      </c>
      <c r="T65" s="26" t="n">
        <f aca="false">ROUND(ABS(淡江大學_p6!T54),0)</f>
        <v>141277</v>
      </c>
      <c r="U65" s="26" t="n">
        <f aca="false">ROUND(ABS(淡江大學_p6!U54),0)</f>
        <v>139527</v>
      </c>
      <c r="V65" s="26" t="n">
        <f aca="false">ROUND(ABS(淡江大學_p6!V54),0)</f>
        <v>137777</v>
      </c>
      <c r="W65" s="26" t="n">
        <f aca="false">ROUND(ABS(淡江大學_p6!W54),0)</f>
        <v>136026</v>
      </c>
      <c r="X65" s="2"/>
    </row>
    <row r="66" customFormat="false" ht="18.75" hidden="false" customHeight="true" outlineLevel="0" collapsed="false">
      <c r="A66" s="2"/>
      <c r="B66" s="16"/>
      <c r="C66" s="38" t="s">
        <v>15</v>
      </c>
      <c r="D66" s="39" t="n">
        <f aca="false">SUM(D60:D65)</f>
        <v>1272662</v>
      </c>
      <c r="E66" s="39" t="n">
        <f aca="false">SUM(E60:E65)</f>
        <v>913919</v>
      </c>
      <c r="F66" s="39" t="n">
        <f aca="false">SUM(F60:F65)</f>
        <v>903416</v>
      </c>
      <c r="G66" s="39" t="n">
        <f aca="false">SUM(G60:G65)</f>
        <v>892914</v>
      </c>
      <c r="H66" s="39" t="n">
        <f aca="false">SUM(H60:H65)</f>
        <v>882412</v>
      </c>
      <c r="I66" s="39" t="n">
        <f aca="false">SUM(I60:I65)</f>
        <v>871909</v>
      </c>
      <c r="J66" s="39" t="n">
        <f aca="false">SUM(J60:J65)</f>
        <v>861406</v>
      </c>
      <c r="K66" s="39" t="n">
        <f aca="false">SUM(K60:K65)</f>
        <v>850904</v>
      </c>
      <c r="L66" s="39" t="n">
        <f aca="false">SUM(L60:L65)</f>
        <v>840402</v>
      </c>
      <c r="M66" s="39" t="n">
        <f aca="false">SUM(M60:M65)</f>
        <v>829900</v>
      </c>
      <c r="N66" s="39" t="n">
        <f aca="false">SUM(N60:N65)</f>
        <v>871729</v>
      </c>
      <c r="O66" s="39" t="n">
        <f aca="false">SUM(O60:O65)</f>
        <v>861226</v>
      </c>
      <c r="P66" s="39" t="n">
        <f aca="false">SUM(P60:P65)</f>
        <v>850724</v>
      </c>
      <c r="Q66" s="39" t="n">
        <f aca="false">SUM(Q60:Q65)</f>
        <v>840222</v>
      </c>
      <c r="R66" s="39" t="n">
        <f aca="false">SUM(R60:R65)</f>
        <v>829720</v>
      </c>
      <c r="S66" s="39" t="n">
        <f aca="false">SUM(S60:S65)</f>
        <v>819216</v>
      </c>
      <c r="T66" s="39" t="n">
        <f aca="false">SUM(T60:T65)</f>
        <v>808714</v>
      </c>
      <c r="U66" s="39" t="n">
        <f aca="false">SUM(U60:U65)</f>
        <v>798212</v>
      </c>
      <c r="V66" s="39" t="n">
        <f aca="false">SUM(V60:V65)</f>
        <v>787710</v>
      </c>
      <c r="W66" s="39" t="n">
        <f aca="false">SUM(W60:W65)</f>
        <v>777207</v>
      </c>
      <c r="X66" s="2"/>
    </row>
    <row r="67" customFormat="false" ht="18.75" hidden="false" customHeight="true" outlineLevel="0" collapsed="false">
      <c r="A67" s="2"/>
      <c r="B67" s="19"/>
      <c r="C67" s="40" t="s">
        <v>0</v>
      </c>
      <c r="D67" s="41" t="n">
        <v>2020</v>
      </c>
      <c r="E67" s="41" t="n">
        <v>2021</v>
      </c>
      <c r="F67" s="42" t="n">
        <v>2022</v>
      </c>
      <c r="G67" s="41" t="n">
        <v>2023</v>
      </c>
      <c r="H67" s="41" t="n">
        <v>2024</v>
      </c>
      <c r="I67" s="41" t="n">
        <v>2025</v>
      </c>
      <c r="J67" s="41" t="n">
        <v>2026</v>
      </c>
      <c r="K67" s="41" t="n">
        <v>2027</v>
      </c>
      <c r="L67" s="41" t="n">
        <v>2028</v>
      </c>
      <c r="M67" s="41" t="n">
        <v>2029</v>
      </c>
      <c r="N67" s="41" t="n">
        <v>2030</v>
      </c>
      <c r="O67" s="41" t="n">
        <v>2031</v>
      </c>
      <c r="P67" s="41" t="n">
        <v>2032</v>
      </c>
      <c r="Q67" s="41" t="n">
        <v>2033</v>
      </c>
      <c r="R67" s="41" t="n">
        <v>2034</v>
      </c>
      <c r="S67" s="41" t="n">
        <v>2035</v>
      </c>
      <c r="T67" s="43" t="n">
        <v>2036</v>
      </c>
      <c r="U67" s="41" t="n">
        <v>2037</v>
      </c>
      <c r="V67" s="41" t="n">
        <v>2038</v>
      </c>
      <c r="W67" s="41" t="n">
        <v>2039</v>
      </c>
      <c r="X67" s="2"/>
    </row>
    <row r="68" customFormat="false" ht="18.75" hidden="false" customHeight="true" outlineLevel="0" collapsed="false">
      <c r="A68" s="2"/>
      <c r="B68" s="24"/>
      <c r="C68" s="25" t="s">
        <v>16</v>
      </c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2"/>
    </row>
    <row r="69" customFormat="false" ht="18.75" hidden="false" customHeight="true" outlineLevel="0" collapsed="false">
      <c r="A69" s="2"/>
      <c r="B69" s="27" t="s">
        <v>2</v>
      </c>
      <c r="C69" s="28"/>
      <c r="D69" s="26" t="n">
        <f aca="false">ROUND(ABS(淡江大學_p8!D67),0)</f>
        <v>697760</v>
      </c>
      <c r="E69" s="26" t="n">
        <f aca="false">ROUND(ABS(淡江大學_p8!E67),0)</f>
        <v>697760</v>
      </c>
      <c r="F69" s="26" t="n">
        <f aca="false">ROUND(ABS(淡江大學_p8!F67),0)</f>
        <v>697760</v>
      </c>
      <c r="G69" s="26" t="n">
        <f aca="false">ROUND(ABS(淡江大學_p8!G67),0)</f>
        <v>697760</v>
      </c>
      <c r="H69" s="26" t="n">
        <f aca="false">ROUND(ABS(淡江大學_p8!H67),0)</f>
        <v>697760</v>
      </c>
      <c r="I69" s="26" t="n">
        <f aca="false">ROUND(ABS(淡江大學_p8!I67),0)</f>
        <v>697760</v>
      </c>
      <c r="J69" s="26" t="n">
        <f aca="false">ROUND(ABS(淡江大學_p8!J67),0)</f>
        <v>697760</v>
      </c>
      <c r="K69" s="26" t="n">
        <f aca="false">ROUND(ABS(淡江大學_p8!K67),0)</f>
        <v>697760</v>
      </c>
      <c r="L69" s="26" t="n">
        <f aca="false">ROUND(ABS(淡江大學_p8!L67),0)</f>
        <v>697760</v>
      </c>
      <c r="M69" s="26" t="n">
        <f aca="false">ROUND(ABS(淡江大學_p8!M67),0)</f>
        <v>697760</v>
      </c>
      <c r="N69" s="26" t="n">
        <f aca="false">ROUND(ABS(淡江大學_p8!N67),0)</f>
        <v>697760</v>
      </c>
      <c r="O69" s="26" t="n">
        <f aca="false">ROUND(ABS(淡江大學_p8!O67),0)</f>
        <v>697760</v>
      </c>
      <c r="P69" s="26" t="n">
        <f aca="false">ROUND(ABS(淡江大學_p8!P67),0)</f>
        <v>697760</v>
      </c>
      <c r="Q69" s="26" t="n">
        <f aca="false">ROUND(ABS(淡江大學_p8!Q67),0)</f>
        <v>697760</v>
      </c>
      <c r="R69" s="26" t="n">
        <f aca="false">ROUND(ABS(淡江大學_p8!R67),0)</f>
        <v>697760</v>
      </c>
      <c r="S69" s="26" t="n">
        <f aca="false">ROUND(ABS(淡江大學_p8!S67),0)</f>
        <v>697760</v>
      </c>
      <c r="T69" s="26" t="n">
        <f aca="false">ROUND(ABS(淡江大學_p8!T67),0)</f>
        <v>697760</v>
      </c>
      <c r="U69" s="26" t="n">
        <f aca="false">ROUND(ABS(淡江大學_p8!U67),0)</f>
        <v>697760</v>
      </c>
      <c r="V69" s="26" t="n">
        <f aca="false">ROUND(ABS(淡江大學_p8!V67),0)</f>
        <v>697760</v>
      </c>
      <c r="W69" s="26" t="n">
        <f aca="false">ROUND(ABS(淡江大學_p8!W67),0)</f>
        <v>697760</v>
      </c>
      <c r="X69" s="2"/>
    </row>
    <row r="70" customFormat="false" ht="18.75" hidden="false" customHeight="true" outlineLevel="0" collapsed="false">
      <c r="A70" s="2"/>
      <c r="B70" s="29" t="s">
        <v>2</v>
      </c>
      <c r="C70" s="30"/>
      <c r="D70" s="31" t="n">
        <f aca="false">ROUND(ABS(淡江大學_p7!D67),0)</f>
        <v>760060</v>
      </c>
      <c r="E70" s="31" t="n">
        <f aca="false">ROUND(ABS(淡江大學_p7!E67),0)</f>
        <v>760060</v>
      </c>
      <c r="F70" s="31" t="n">
        <f aca="false">ROUND(ABS(淡江大學_p7!F67),0)</f>
        <v>760060</v>
      </c>
      <c r="G70" s="31" t="n">
        <f aca="false">ROUND(ABS(淡江大學_p7!G67),0)</f>
        <v>760060</v>
      </c>
      <c r="H70" s="31" t="n">
        <f aca="false">ROUND(ABS(淡江大學_p7!H67),0)</f>
        <v>760060</v>
      </c>
      <c r="I70" s="31" t="n">
        <f aca="false">ROUND(ABS(淡江大學_p7!I67),0)</f>
        <v>760060</v>
      </c>
      <c r="J70" s="31" t="n">
        <f aca="false">ROUND(ABS(淡江大學_p7!J67),0)</f>
        <v>760060</v>
      </c>
      <c r="K70" s="31" t="n">
        <f aca="false">ROUND(ABS(淡江大學_p7!K67),0)</f>
        <v>760060</v>
      </c>
      <c r="L70" s="31" t="n">
        <f aca="false">ROUND(ABS(淡江大學_p7!L67),0)</f>
        <v>760060</v>
      </c>
      <c r="M70" s="31" t="n">
        <f aca="false">ROUND(ABS(淡江大學_p7!M67),0)</f>
        <v>760060</v>
      </c>
      <c r="N70" s="31" t="n">
        <f aca="false">ROUND(ABS(淡江大學_p7!N67),0)</f>
        <v>760060</v>
      </c>
      <c r="O70" s="31" t="n">
        <f aca="false">ROUND(ABS(淡江大學_p7!O67),0)</f>
        <v>760060</v>
      </c>
      <c r="P70" s="31" t="n">
        <f aca="false">ROUND(ABS(淡江大學_p7!P67),0)</f>
        <v>760060</v>
      </c>
      <c r="Q70" s="31" t="n">
        <f aca="false">ROUND(ABS(淡江大學_p7!Q67),0)</f>
        <v>760060</v>
      </c>
      <c r="R70" s="31" t="n">
        <f aca="false">ROUND(ABS(淡江大學_p7!R67),0)</f>
        <v>760060</v>
      </c>
      <c r="S70" s="31" t="n">
        <f aca="false">ROUND(ABS(淡江大學_p7!S67),0)</f>
        <v>760060</v>
      </c>
      <c r="T70" s="31" t="n">
        <f aca="false">ROUND(ABS(淡江大學_p7!T67),0)</f>
        <v>760060</v>
      </c>
      <c r="U70" s="31" t="n">
        <f aca="false">ROUND(ABS(淡江大學_p7!U67),0)</f>
        <v>760060</v>
      </c>
      <c r="V70" s="31" t="n">
        <f aca="false">ROUND(ABS(淡江大學_p7!V67),0)</f>
        <v>760060</v>
      </c>
      <c r="W70" s="31" t="n">
        <f aca="false">ROUND(ABS(淡江大學_p7!W67),0)</f>
        <v>760060</v>
      </c>
      <c r="X70" s="2"/>
    </row>
    <row r="71" customFormat="false" ht="18.75" hidden="false" customHeight="true" outlineLevel="0" collapsed="false">
      <c r="A71" s="2"/>
      <c r="B71" s="32" t="s">
        <v>2</v>
      </c>
      <c r="C71" s="33"/>
      <c r="D71" s="26" t="n">
        <f aca="false">ROUND(ABS(淡江大學_p5!D67),0)</f>
        <v>884660</v>
      </c>
      <c r="E71" s="26" t="n">
        <f aca="false">ROUND(ABS(淡江大學_p5!E67),0)</f>
        <v>884660</v>
      </c>
      <c r="F71" s="26" t="n">
        <f aca="false">ROUND(ABS(淡江大學_p5!F67),0)</f>
        <v>884660</v>
      </c>
      <c r="G71" s="26" t="n">
        <f aca="false">ROUND(ABS(淡江大學_p5!G67),0)</f>
        <v>884660</v>
      </c>
      <c r="H71" s="26" t="n">
        <f aca="false">ROUND(ABS(淡江大學_p5!H67),0)</f>
        <v>884660</v>
      </c>
      <c r="I71" s="26" t="n">
        <f aca="false">ROUND(ABS(淡江大學_p5!I67),0)</f>
        <v>884660</v>
      </c>
      <c r="J71" s="26" t="n">
        <f aca="false">ROUND(ABS(淡江大學_p5!J67),0)</f>
        <v>884660</v>
      </c>
      <c r="K71" s="26" t="n">
        <f aca="false">ROUND(ABS(淡江大學_p5!K67),0)</f>
        <v>884660</v>
      </c>
      <c r="L71" s="26" t="n">
        <f aca="false">ROUND(ABS(淡江大學_p5!L67),0)</f>
        <v>884660</v>
      </c>
      <c r="M71" s="26" t="n">
        <f aca="false">ROUND(ABS(淡江大學_p5!M67),0)</f>
        <v>884660</v>
      </c>
      <c r="N71" s="26" t="n">
        <f aca="false">ROUND(ABS(淡江大學_p5!N67),0)</f>
        <v>884660</v>
      </c>
      <c r="O71" s="26" t="n">
        <f aca="false">ROUND(ABS(淡江大學_p5!O67),0)</f>
        <v>884660</v>
      </c>
      <c r="P71" s="26" t="n">
        <f aca="false">ROUND(ABS(淡江大學_p5!P67),0)</f>
        <v>884660</v>
      </c>
      <c r="Q71" s="26" t="n">
        <f aca="false">ROUND(ABS(淡江大學_p5!Q67),0)</f>
        <v>884660</v>
      </c>
      <c r="R71" s="26" t="n">
        <f aca="false">ROUND(ABS(淡江大學_p5!R67),0)</f>
        <v>884660</v>
      </c>
      <c r="S71" s="26" t="n">
        <f aca="false">ROUND(ABS(淡江大學_p5!S67),0)</f>
        <v>884660</v>
      </c>
      <c r="T71" s="26" t="n">
        <f aca="false">ROUND(ABS(淡江大學_p5!T67),0)</f>
        <v>884660</v>
      </c>
      <c r="U71" s="26" t="n">
        <f aca="false">ROUND(ABS(淡江大學_p5!U67),0)</f>
        <v>884660</v>
      </c>
      <c r="V71" s="26" t="n">
        <f aca="false">ROUND(ABS(淡江大學_p5!V67),0)</f>
        <v>884660</v>
      </c>
      <c r="W71" s="26" t="n">
        <f aca="false">ROUND(ABS(淡江大學_p5!W67),0)</f>
        <v>884660</v>
      </c>
      <c r="X71" s="2"/>
    </row>
    <row r="72" customFormat="false" ht="18.75" hidden="false" customHeight="true" outlineLevel="0" collapsed="false">
      <c r="A72" s="2"/>
      <c r="B72" s="34" t="s">
        <v>2</v>
      </c>
      <c r="C72" s="35"/>
      <c r="D72" s="36" t="n">
        <f aca="false">ROUND(ABS(淡江大學_p4!D67),0)</f>
        <v>946960</v>
      </c>
      <c r="E72" s="36" t="n">
        <f aca="false">ROUND(ABS(淡江大學_p4!E67),0)</f>
        <v>946960</v>
      </c>
      <c r="F72" s="36" t="n">
        <f aca="false">ROUND(ABS(淡江大學_p4!F67),0)</f>
        <v>946960</v>
      </c>
      <c r="G72" s="36" t="n">
        <f aca="false">ROUND(ABS(淡江大學_p4!G67),0)</f>
        <v>946960</v>
      </c>
      <c r="H72" s="36" t="n">
        <f aca="false">ROUND(ABS(淡江大學_p4!H67),0)</f>
        <v>946960</v>
      </c>
      <c r="I72" s="36" t="n">
        <f aca="false">ROUND(ABS(淡江大學_p4!I67),0)</f>
        <v>946960</v>
      </c>
      <c r="J72" s="36" t="n">
        <f aca="false">ROUND(ABS(淡江大學_p4!J67),0)</f>
        <v>946960</v>
      </c>
      <c r="K72" s="36" t="n">
        <f aca="false">ROUND(ABS(淡江大學_p4!K67),0)</f>
        <v>946960</v>
      </c>
      <c r="L72" s="36" t="n">
        <f aca="false">ROUND(ABS(淡江大學_p4!L67),0)</f>
        <v>946960</v>
      </c>
      <c r="M72" s="36" t="n">
        <f aca="false">ROUND(ABS(淡江大學_p4!M67),0)</f>
        <v>946960</v>
      </c>
      <c r="N72" s="36" t="n">
        <f aca="false">ROUND(ABS(淡江大學_p4!N67),0)</f>
        <v>946960</v>
      </c>
      <c r="O72" s="36" t="n">
        <f aca="false">ROUND(ABS(淡江大學_p4!O67),0)</f>
        <v>946960</v>
      </c>
      <c r="P72" s="36" t="n">
        <f aca="false">ROUND(ABS(淡江大學_p4!P67),0)</f>
        <v>946960</v>
      </c>
      <c r="Q72" s="36" t="n">
        <f aca="false">ROUND(ABS(淡江大學_p4!Q67),0)</f>
        <v>946960</v>
      </c>
      <c r="R72" s="36" t="n">
        <f aca="false">ROUND(ABS(淡江大學_p4!R67),0)</f>
        <v>946960</v>
      </c>
      <c r="S72" s="36" t="n">
        <f aca="false">ROUND(ABS(淡江大學_p4!S67),0)</f>
        <v>946960</v>
      </c>
      <c r="T72" s="36" t="n">
        <f aca="false">ROUND(ABS(淡江大學_p4!T67),0)</f>
        <v>946960</v>
      </c>
      <c r="U72" s="36" t="n">
        <f aca="false">ROUND(ABS(淡江大學_p4!U67),0)</f>
        <v>946960</v>
      </c>
      <c r="V72" s="36" t="n">
        <f aca="false">ROUND(ABS(淡江大學_p4!V67),0)</f>
        <v>946960</v>
      </c>
      <c r="W72" s="36" t="n">
        <f aca="false">ROUND(ABS(淡江大學_p4!W67),0)</f>
        <v>946960</v>
      </c>
      <c r="X72" s="2"/>
    </row>
    <row r="73" customFormat="false" ht="18.75" hidden="false" customHeight="true" outlineLevel="0" collapsed="false">
      <c r="A73" s="2"/>
      <c r="B73" s="32" t="s">
        <v>2</v>
      </c>
      <c r="C73" s="37"/>
      <c r="D73" s="26" t="n">
        <f aca="false">ROUND(ABS(淡江大學_p3!D67),0)</f>
        <v>1009260</v>
      </c>
      <c r="E73" s="26" t="n">
        <f aca="false">ROUND(ABS(淡江大學_p3!E67),0)</f>
        <v>1009260</v>
      </c>
      <c r="F73" s="26" t="n">
        <f aca="false">ROUND(ABS(淡江大學_p3!F67),0)</f>
        <v>1009260</v>
      </c>
      <c r="G73" s="26" t="n">
        <f aca="false">ROUND(ABS(淡江大學_p3!G67),0)</f>
        <v>1009260</v>
      </c>
      <c r="H73" s="26" t="n">
        <f aca="false">ROUND(ABS(淡江大學_p3!H67),0)</f>
        <v>1009260</v>
      </c>
      <c r="I73" s="26" t="n">
        <f aca="false">ROUND(ABS(淡江大學_p3!I67),0)</f>
        <v>1009260</v>
      </c>
      <c r="J73" s="26" t="n">
        <f aca="false">ROUND(ABS(淡江大學_p3!J67),0)</f>
        <v>1009260</v>
      </c>
      <c r="K73" s="26" t="n">
        <f aca="false">ROUND(ABS(淡江大學_p3!K67),0)</f>
        <v>1009260</v>
      </c>
      <c r="L73" s="26" t="n">
        <f aca="false">ROUND(ABS(淡江大學_p3!L67),0)</f>
        <v>1009260</v>
      </c>
      <c r="M73" s="26" t="n">
        <f aca="false">ROUND(ABS(淡江大學_p3!M67),0)</f>
        <v>1009260</v>
      </c>
      <c r="N73" s="26" t="n">
        <f aca="false">ROUND(ABS(淡江大學_p3!N67),0)</f>
        <v>1009260</v>
      </c>
      <c r="O73" s="26" t="n">
        <f aca="false">ROUND(ABS(淡江大學_p3!O67),0)</f>
        <v>1009260</v>
      </c>
      <c r="P73" s="26" t="n">
        <f aca="false">ROUND(ABS(淡江大學_p3!P67),0)</f>
        <v>1009260</v>
      </c>
      <c r="Q73" s="26" t="n">
        <f aca="false">ROUND(ABS(淡江大學_p3!Q67),0)</f>
        <v>1009260</v>
      </c>
      <c r="R73" s="26" t="n">
        <f aca="false">ROUND(ABS(淡江大學_p3!R67),0)</f>
        <v>1009260</v>
      </c>
      <c r="S73" s="26" t="n">
        <f aca="false">ROUND(ABS(淡江大學_p3!S67),0)</f>
        <v>1009260</v>
      </c>
      <c r="T73" s="26" t="n">
        <f aca="false">ROUND(ABS(淡江大學_p3!T67),0)</f>
        <v>1009260</v>
      </c>
      <c r="U73" s="26" t="n">
        <f aca="false">ROUND(ABS(淡江大學_p3!U67),0)</f>
        <v>1009260</v>
      </c>
      <c r="V73" s="26" t="n">
        <f aca="false">ROUND(ABS(淡江大學_p3!V67),0)</f>
        <v>1009260</v>
      </c>
      <c r="W73" s="26" t="n">
        <f aca="false">ROUND(ABS(淡江大學_p3!W67),0)</f>
        <v>1009260</v>
      </c>
      <c r="X73" s="2"/>
    </row>
    <row r="74" customFormat="false" ht="18.75" hidden="false" customHeight="true" outlineLevel="0" collapsed="false">
      <c r="A74" s="2"/>
      <c r="B74" s="16" t="s">
        <v>2</v>
      </c>
      <c r="C74" s="45"/>
      <c r="D74" s="46" t="n">
        <f aca="false">ROUND(ABS(淡江大學_p6!D67),0)</f>
        <v>822360</v>
      </c>
      <c r="E74" s="46" t="n">
        <f aca="false">ROUND(ABS(淡江大學_p6!E67),0)</f>
        <v>822360</v>
      </c>
      <c r="F74" s="46" t="n">
        <f aca="false">ROUND(ABS(淡江大學_p6!F67),0)</f>
        <v>822360</v>
      </c>
      <c r="G74" s="46" t="n">
        <f aca="false">ROUND(ABS(淡江大學_p6!G67),0)</f>
        <v>822360</v>
      </c>
      <c r="H74" s="46" t="n">
        <f aca="false">ROUND(ABS(淡江大學_p6!H67),0)</f>
        <v>822360</v>
      </c>
      <c r="I74" s="46" t="n">
        <f aca="false">ROUND(ABS(淡江大學_p6!I67),0)</f>
        <v>822360</v>
      </c>
      <c r="J74" s="46" t="n">
        <f aca="false">ROUND(ABS(淡江大學_p6!J67),0)</f>
        <v>822360</v>
      </c>
      <c r="K74" s="46" t="n">
        <f aca="false">ROUND(ABS(淡江大學_p6!K67),0)</f>
        <v>822360</v>
      </c>
      <c r="L74" s="46" t="n">
        <f aca="false">ROUND(ABS(淡江大學_p6!L67),0)</f>
        <v>822360</v>
      </c>
      <c r="M74" s="46" t="n">
        <f aca="false">ROUND(ABS(淡江大學_p6!M67),0)</f>
        <v>822360</v>
      </c>
      <c r="N74" s="46" t="n">
        <f aca="false">ROUND(ABS(淡江大學_p6!N67),0)</f>
        <v>822360</v>
      </c>
      <c r="O74" s="46" t="n">
        <f aca="false">ROUND(ABS(淡江大學_p6!O67),0)</f>
        <v>822360</v>
      </c>
      <c r="P74" s="46" t="n">
        <f aca="false">ROUND(ABS(淡江大學_p6!P67),0)</f>
        <v>822360</v>
      </c>
      <c r="Q74" s="46" t="n">
        <f aca="false">ROUND(ABS(淡江大學_p6!Q67),0)</f>
        <v>822360</v>
      </c>
      <c r="R74" s="46" t="n">
        <f aca="false">ROUND(ABS(淡江大學_p6!R67),0)</f>
        <v>822360</v>
      </c>
      <c r="S74" s="46" t="n">
        <f aca="false">ROUND(ABS(淡江大學_p6!S67),0)</f>
        <v>822360</v>
      </c>
      <c r="T74" s="46" t="n">
        <f aca="false">ROUND(ABS(淡江大學_p6!T67),0)</f>
        <v>822360</v>
      </c>
      <c r="U74" s="46" t="n">
        <f aca="false">ROUND(ABS(淡江大學_p6!U67),0)</f>
        <v>822360</v>
      </c>
      <c r="V74" s="46" t="n">
        <f aca="false">ROUND(ABS(淡江大學_p6!V67),0)</f>
        <v>822360</v>
      </c>
      <c r="W74" s="46" t="n">
        <f aca="false">ROUND(ABS(淡江大學_p6!W67),0)</f>
        <v>822360</v>
      </c>
      <c r="X74" s="2"/>
    </row>
    <row r="75" customFormat="false" ht="18.75" hidden="false" customHeight="true" outlineLevel="0" collapsed="false">
      <c r="A75" s="2"/>
      <c r="B75" s="19"/>
      <c r="C75" s="47" t="s">
        <v>17</v>
      </c>
      <c r="D75" s="48" t="n">
        <f aca="false">SUM(D69:D74)</f>
        <v>5121060</v>
      </c>
      <c r="E75" s="48" t="n">
        <f aca="false">SUM(E69:E74)</f>
        <v>5121060</v>
      </c>
      <c r="F75" s="49" t="n">
        <f aca="false">SUM(F69:F74)</f>
        <v>5121060</v>
      </c>
      <c r="G75" s="48" t="n">
        <f aca="false">SUM(G69:G74)</f>
        <v>5121060</v>
      </c>
      <c r="H75" s="48" t="n">
        <f aca="false">SUM(H69:H74)</f>
        <v>5121060</v>
      </c>
      <c r="I75" s="48" t="n">
        <f aca="false">SUM(I69:I74)</f>
        <v>5121060</v>
      </c>
      <c r="J75" s="48" t="n">
        <f aca="false">SUM(J69:J74)</f>
        <v>5121060</v>
      </c>
      <c r="K75" s="48" t="n">
        <f aca="false">SUM(K69:K74)</f>
        <v>5121060</v>
      </c>
      <c r="L75" s="48" t="n">
        <f aca="false">SUM(L69:L74)</f>
        <v>5121060</v>
      </c>
      <c r="M75" s="48" t="n">
        <f aca="false">SUM(M69:M74)</f>
        <v>5121060</v>
      </c>
      <c r="N75" s="48" t="n">
        <f aca="false">SUM(N69:N74)</f>
        <v>5121060</v>
      </c>
      <c r="O75" s="48" t="n">
        <f aca="false">SUM(O69:O74)</f>
        <v>5121060</v>
      </c>
      <c r="P75" s="48" t="n">
        <f aca="false">SUM(P69:P74)</f>
        <v>5121060</v>
      </c>
      <c r="Q75" s="48" t="n">
        <f aca="false">SUM(Q69:Q74)</f>
        <v>5121060</v>
      </c>
      <c r="R75" s="48" t="n">
        <f aca="false">SUM(R69:R74)</f>
        <v>5121060</v>
      </c>
      <c r="S75" s="48" t="n">
        <f aca="false">SUM(S69:S74)</f>
        <v>5121060</v>
      </c>
      <c r="T75" s="50" t="n">
        <f aca="false">SUM(T69:T74)</f>
        <v>5121060</v>
      </c>
      <c r="U75" s="48" t="n">
        <f aca="false">SUM(U69:U74)</f>
        <v>5121060</v>
      </c>
      <c r="V75" s="48" t="n">
        <f aca="false">SUM(V69:V74)</f>
        <v>5121060</v>
      </c>
      <c r="W75" s="48" t="n">
        <f aca="false">SUM(W69:W74)</f>
        <v>5121060</v>
      </c>
      <c r="X75" s="2"/>
    </row>
    <row r="76" customFormat="false" ht="18.75" hidden="false" customHeight="true" outlineLevel="0" collapsed="false">
      <c r="A76" s="2"/>
      <c r="B76" s="24"/>
      <c r="C76" s="25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2"/>
    </row>
    <row r="77" customFormat="false" ht="18.75" hidden="false" customHeight="true" outlineLevel="0" collapsed="false">
      <c r="A77" s="2"/>
      <c r="B77" s="27" t="s">
        <v>18</v>
      </c>
      <c r="C77" s="28" t="n">
        <v>0.85</v>
      </c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2"/>
    </row>
    <row r="78" customFormat="false" ht="18.75" hidden="false" customHeight="true" outlineLevel="0" collapsed="false">
      <c r="A78" s="2"/>
      <c r="B78" s="29" t="s">
        <v>19</v>
      </c>
      <c r="C78" s="30" t="n">
        <v>10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2"/>
    </row>
    <row r="79" customFormat="false" ht="18.75" hidden="false" customHeight="true" outlineLevel="0" collapsed="false">
      <c r="A79" s="2"/>
      <c r="B79" s="32" t="s">
        <v>20</v>
      </c>
      <c r="C79" s="33" t="n">
        <v>0.9</v>
      </c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2"/>
    </row>
    <row r="80" customFormat="false" ht="18.75" hidden="false" customHeight="true" outlineLevel="0" collapsed="false">
      <c r="A80" s="2"/>
      <c r="B80" s="34" t="s">
        <v>21</v>
      </c>
      <c r="C80" s="35" t="n">
        <v>4</v>
      </c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2"/>
    </row>
    <row r="81" customFormat="false" ht="18.75" hidden="false" customHeight="true" outlineLevel="0" collapsed="false">
      <c r="A81" s="2"/>
      <c r="B81" s="32" t="s">
        <v>22</v>
      </c>
      <c r="C81" s="37" t="n">
        <v>0.03</v>
      </c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2"/>
    </row>
    <row r="82" customFormat="false" ht="18.75" hidden="false" customHeight="true" outlineLevel="0" collapsed="false">
      <c r="A82" s="2"/>
      <c r="B82" s="56"/>
      <c r="C82" s="57" t="s">
        <v>0</v>
      </c>
      <c r="D82" s="57" t="n">
        <v>2020</v>
      </c>
      <c r="E82" s="57" t="n">
        <v>2021</v>
      </c>
      <c r="F82" s="57" t="n">
        <v>2022</v>
      </c>
      <c r="G82" s="57" t="n">
        <v>2023</v>
      </c>
      <c r="H82" s="57" t="n">
        <v>2024</v>
      </c>
      <c r="I82" s="57" t="n">
        <v>2025</v>
      </c>
      <c r="J82" s="57" t="n">
        <v>2026</v>
      </c>
      <c r="K82" s="57" t="n">
        <v>2027</v>
      </c>
      <c r="L82" s="57" t="n">
        <v>2028</v>
      </c>
      <c r="M82" s="57" t="n">
        <v>2029</v>
      </c>
      <c r="N82" s="57" t="n">
        <v>2030</v>
      </c>
      <c r="O82" s="57" t="n">
        <v>2031</v>
      </c>
      <c r="P82" s="57" t="n">
        <v>2032</v>
      </c>
      <c r="Q82" s="57" t="n">
        <v>2033</v>
      </c>
      <c r="R82" s="57" t="n">
        <v>2034</v>
      </c>
      <c r="S82" s="57" t="n">
        <v>2035</v>
      </c>
      <c r="T82" s="57" t="n">
        <v>2036</v>
      </c>
      <c r="U82" s="57" t="n">
        <v>2037</v>
      </c>
      <c r="V82" s="57" t="n">
        <v>2038</v>
      </c>
      <c r="W82" s="57" t="n">
        <v>2039</v>
      </c>
      <c r="X82" s="2"/>
    </row>
    <row r="83" customFormat="false" ht="18.75" hidden="false" customHeight="true" outlineLevel="0" collapsed="false">
      <c r="A83" s="2"/>
      <c r="B83" s="58" t="n">
        <v>0</v>
      </c>
      <c r="C83" s="59"/>
      <c r="D83" s="60"/>
      <c r="E83" s="60"/>
      <c r="F83" s="61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3"/>
      <c r="U83" s="62"/>
      <c r="V83" s="62"/>
      <c r="W83" s="62"/>
      <c r="X83" s="2"/>
    </row>
    <row r="84" customFormat="false" ht="18.75" hidden="false" customHeight="true" outlineLevel="0" collapsed="false">
      <c r="A84" s="2"/>
      <c r="B84" s="64" t="s">
        <v>23</v>
      </c>
      <c r="C84" s="65" t="n">
        <v>0</v>
      </c>
      <c r="D84" s="66" t="n">
        <v>1</v>
      </c>
      <c r="E84" s="66" t="n">
        <v>2</v>
      </c>
      <c r="F84" s="66" t="n">
        <v>3</v>
      </c>
      <c r="G84" s="66" t="n">
        <v>4</v>
      </c>
      <c r="H84" s="66" t="n">
        <v>5</v>
      </c>
      <c r="I84" s="66" t="n">
        <v>6</v>
      </c>
      <c r="J84" s="66" t="n">
        <v>7</v>
      </c>
      <c r="K84" s="66" t="n">
        <v>8</v>
      </c>
      <c r="L84" s="66" t="n">
        <v>9</v>
      </c>
      <c r="M84" s="66" t="n">
        <v>10</v>
      </c>
      <c r="N84" s="66" t="n">
        <v>11</v>
      </c>
      <c r="O84" s="66" t="n">
        <v>12</v>
      </c>
      <c r="P84" s="66" t="n">
        <v>13</v>
      </c>
      <c r="Q84" s="66" t="n">
        <v>14</v>
      </c>
      <c r="R84" s="66" t="n">
        <v>15</v>
      </c>
      <c r="S84" s="66" t="n">
        <v>16</v>
      </c>
      <c r="T84" s="67" t="n">
        <v>17</v>
      </c>
      <c r="U84" s="66" t="n">
        <v>18</v>
      </c>
      <c r="V84" s="66" t="n">
        <v>19</v>
      </c>
      <c r="W84" s="66" t="n">
        <v>20</v>
      </c>
      <c r="X84" s="2"/>
    </row>
    <row r="85" customFormat="false" ht="18.75" hidden="false" customHeight="true" outlineLevel="0" collapsed="false">
      <c r="A85" s="2"/>
      <c r="B85" s="68" t="s">
        <v>24</v>
      </c>
      <c r="C85" s="69" t="n">
        <v>0</v>
      </c>
      <c r="D85" s="70" t="n">
        <f aca="false">D12</f>
        <v>3249192</v>
      </c>
      <c r="E85" s="70" t="n">
        <f aca="false">E12</f>
        <v>3236064</v>
      </c>
      <c r="F85" s="70" t="n">
        <f aca="false">F12</f>
        <v>3222936</v>
      </c>
      <c r="G85" s="70" t="n">
        <f aca="false">G12</f>
        <v>3209808</v>
      </c>
      <c r="H85" s="70" t="n">
        <f aca="false">H12</f>
        <v>3196680</v>
      </c>
      <c r="I85" s="70" t="n">
        <f aca="false">I12</f>
        <v>3183552</v>
      </c>
      <c r="J85" s="70" t="n">
        <f aca="false">J12</f>
        <v>3170424</v>
      </c>
      <c r="K85" s="70" t="n">
        <f aca="false">K12</f>
        <v>3157296</v>
      </c>
      <c r="L85" s="70" t="n">
        <f aca="false">L12</f>
        <v>3144168</v>
      </c>
      <c r="M85" s="70" t="n">
        <f aca="false">M12</f>
        <v>3131040</v>
      </c>
      <c r="N85" s="70" t="n">
        <f aca="false">N12</f>
        <v>3117912</v>
      </c>
      <c r="O85" s="70" t="n">
        <f aca="false">O12</f>
        <v>3104784</v>
      </c>
      <c r="P85" s="70" t="n">
        <f aca="false">P12</f>
        <v>3091656</v>
      </c>
      <c r="Q85" s="70" t="n">
        <f aca="false">Q12</f>
        <v>3078528</v>
      </c>
      <c r="R85" s="70" t="n">
        <f aca="false">R12</f>
        <v>3065400</v>
      </c>
      <c r="S85" s="70" t="n">
        <f aca="false">S12</f>
        <v>3052272</v>
      </c>
      <c r="T85" s="70" t="n">
        <f aca="false">T12</f>
        <v>3039144</v>
      </c>
      <c r="U85" s="70" t="n">
        <f aca="false">U12</f>
        <v>3026016</v>
      </c>
      <c r="V85" s="70" t="n">
        <f aca="false">V12</f>
        <v>3012888</v>
      </c>
      <c r="W85" s="70" t="n">
        <f aca="false">W12</f>
        <v>2999760</v>
      </c>
      <c r="X85" s="2"/>
    </row>
    <row r="86" customFormat="false" ht="18.75" hidden="false" customHeight="true" outlineLevel="0" collapsed="false">
      <c r="A86" s="2"/>
      <c r="B86" s="71" t="s">
        <v>25</v>
      </c>
      <c r="C86" s="72" t="s">
        <v>26</v>
      </c>
      <c r="D86" s="73" t="n">
        <f aca="false">D21</f>
        <v>12996768</v>
      </c>
      <c r="E86" s="73" t="n">
        <f aca="false">E21</f>
        <v>12944256</v>
      </c>
      <c r="F86" s="73" t="n">
        <f aca="false">F21</f>
        <v>12891744</v>
      </c>
      <c r="G86" s="73" t="n">
        <f aca="false">G21</f>
        <v>12839232</v>
      </c>
      <c r="H86" s="73" t="n">
        <f aca="false">H21</f>
        <v>12786720</v>
      </c>
      <c r="I86" s="73" t="n">
        <f aca="false">I21</f>
        <v>12734208</v>
      </c>
      <c r="J86" s="73" t="n">
        <f aca="false">J21</f>
        <v>12681696</v>
      </c>
      <c r="K86" s="73" t="n">
        <f aca="false">K21</f>
        <v>12629184</v>
      </c>
      <c r="L86" s="73" t="n">
        <f aca="false">L21</f>
        <v>12576672</v>
      </c>
      <c r="M86" s="73" t="n">
        <f aca="false">M21</f>
        <v>12524160</v>
      </c>
      <c r="N86" s="73" t="n">
        <f aca="false">N21</f>
        <v>12471648</v>
      </c>
      <c r="O86" s="73" t="n">
        <f aca="false">O21</f>
        <v>12419136</v>
      </c>
      <c r="P86" s="73" t="n">
        <f aca="false">P21</f>
        <v>12366624</v>
      </c>
      <c r="Q86" s="73" t="n">
        <f aca="false">Q21</f>
        <v>12314112</v>
      </c>
      <c r="R86" s="73" t="n">
        <f aca="false">R21</f>
        <v>12261594</v>
      </c>
      <c r="S86" s="73" t="n">
        <f aca="false">S21</f>
        <v>12209082</v>
      </c>
      <c r="T86" s="73" t="n">
        <f aca="false">T21</f>
        <v>12156570</v>
      </c>
      <c r="U86" s="73" t="n">
        <f aca="false">U21</f>
        <v>12104058</v>
      </c>
      <c r="V86" s="73" t="n">
        <f aca="false">V21</f>
        <v>12051546</v>
      </c>
      <c r="W86" s="73" t="n">
        <f aca="false">W21</f>
        <v>11999034</v>
      </c>
      <c r="X86" s="2"/>
    </row>
    <row r="87" customFormat="false" ht="18.75" hidden="false" customHeight="true" outlineLevel="0" collapsed="false">
      <c r="A87" s="2"/>
      <c r="B87" s="74" t="s">
        <v>27</v>
      </c>
      <c r="C87" s="75" t="s">
        <v>26</v>
      </c>
      <c r="D87" s="76"/>
      <c r="E87" s="76"/>
      <c r="F87" s="76"/>
      <c r="G87" s="77" t="s">
        <v>26</v>
      </c>
      <c r="H87" s="77" t="s">
        <v>26</v>
      </c>
      <c r="I87" s="77" t="s">
        <v>26</v>
      </c>
      <c r="J87" s="77" t="s">
        <v>26</v>
      </c>
      <c r="K87" s="77" t="s">
        <v>26</v>
      </c>
      <c r="L87" s="77" t="s">
        <v>26</v>
      </c>
      <c r="M87" s="77" t="s">
        <v>26</v>
      </c>
      <c r="N87" s="77" t="s">
        <v>26</v>
      </c>
      <c r="O87" s="77" t="s">
        <v>26</v>
      </c>
      <c r="P87" s="77" t="s">
        <v>26</v>
      </c>
      <c r="Q87" s="77" t="s">
        <v>26</v>
      </c>
      <c r="R87" s="77" t="s">
        <v>26</v>
      </c>
      <c r="S87" s="77" t="s">
        <v>26</v>
      </c>
      <c r="T87" s="77" t="s">
        <v>26</v>
      </c>
      <c r="U87" s="77" t="s">
        <v>26</v>
      </c>
      <c r="V87" s="77" t="s">
        <v>26</v>
      </c>
      <c r="W87" s="77" t="s">
        <v>26</v>
      </c>
      <c r="X87" s="2"/>
    </row>
    <row r="88" customFormat="false" ht="18.75" hidden="false" customHeight="true" outlineLevel="0" collapsed="false">
      <c r="A88" s="2"/>
      <c r="B88" s="78" t="s">
        <v>28</v>
      </c>
      <c r="C88" s="79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2"/>
    </row>
    <row r="89" customFormat="false" ht="18.75" hidden="false" customHeight="true" outlineLevel="0" collapsed="false">
      <c r="A89" s="2"/>
      <c r="B89" s="81" t="s">
        <v>29</v>
      </c>
      <c r="C89" s="82" t="n">
        <f aca="false">-SUM(D75:W75)</f>
        <v>-102421200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2"/>
    </row>
    <row r="90" customFormat="false" ht="18.75" hidden="false" customHeight="true" outlineLevel="0" collapsed="false">
      <c r="A90" s="2"/>
      <c r="B90" s="81" t="s">
        <v>30</v>
      </c>
      <c r="C90" s="75" t="s">
        <v>26</v>
      </c>
      <c r="D90" s="55" t="n">
        <f aca="false">-D30</f>
        <v>-1741206</v>
      </c>
      <c r="E90" s="83" t="n">
        <f aca="false">-E30</f>
        <v>-1741206</v>
      </c>
      <c r="F90" s="83" t="n">
        <f aca="false">-F30</f>
        <v>-1741206</v>
      </c>
      <c r="G90" s="83" t="n">
        <f aca="false">-G30</f>
        <v>-1741206</v>
      </c>
      <c r="H90" s="83" t="n">
        <f aca="false">-H30</f>
        <v>-1741206</v>
      </c>
      <c r="I90" s="83" t="n">
        <f aca="false">-I30</f>
        <v>-1741206</v>
      </c>
      <c r="J90" s="83" t="n">
        <f aca="false">-J30</f>
        <v>-1741206</v>
      </c>
      <c r="K90" s="83" t="n">
        <f aca="false">-K30</f>
        <v>-1741206</v>
      </c>
      <c r="L90" s="83" t="n">
        <f aca="false">-L30</f>
        <v>-1741206</v>
      </c>
      <c r="M90" s="83" t="n">
        <f aca="false">-M30</f>
        <v>-1741206</v>
      </c>
      <c r="N90" s="83" t="n">
        <f aca="false">-N30</f>
        <v>-1741206</v>
      </c>
      <c r="O90" s="83" t="n">
        <f aca="false">-O30</f>
        <v>-1741206</v>
      </c>
      <c r="P90" s="83" t="n">
        <f aca="false">-P30</f>
        <v>-1741206</v>
      </c>
      <c r="Q90" s="83" t="n">
        <f aca="false">-Q30</f>
        <v>-1741206</v>
      </c>
      <c r="R90" s="83" t="n">
        <f aca="false">-R30</f>
        <v>-1741206</v>
      </c>
      <c r="S90" s="83" t="n">
        <f aca="false">-S30</f>
        <v>-1741206</v>
      </c>
      <c r="T90" s="83" t="n">
        <f aca="false">-T30</f>
        <v>-1741206</v>
      </c>
      <c r="U90" s="83" t="n">
        <f aca="false">-U30</f>
        <v>-1741206</v>
      </c>
      <c r="V90" s="83" t="n">
        <f aca="false">-V30</f>
        <v>-1741206</v>
      </c>
      <c r="W90" s="83" t="n">
        <f aca="false">-W30</f>
        <v>-1741206</v>
      </c>
      <c r="X90" s="2"/>
    </row>
    <row r="91" customFormat="false" ht="18.75" hidden="false" customHeight="true" outlineLevel="0" collapsed="false">
      <c r="A91" s="2"/>
      <c r="B91" s="81" t="s">
        <v>31</v>
      </c>
      <c r="C91" s="75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2"/>
    </row>
    <row r="92" customFormat="false" ht="18.75" hidden="false" customHeight="true" outlineLevel="0" collapsed="false">
      <c r="A92" s="2"/>
      <c r="B92" s="81" t="s">
        <v>32</v>
      </c>
      <c r="C92" s="75" t="s">
        <v>26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2"/>
    </row>
    <row r="93" customFormat="false" ht="18.75" hidden="false" customHeight="true" outlineLevel="0" collapsed="false">
      <c r="A93" s="2"/>
      <c r="B93" s="81" t="s">
        <v>33</v>
      </c>
      <c r="C93" s="75" t="s">
        <v>26</v>
      </c>
      <c r="D93" s="83" t="n">
        <f aca="false">-D39</f>
        <v>-1046640</v>
      </c>
      <c r="E93" s="83" t="n">
        <f aca="false">-E39</f>
        <v>-1046640</v>
      </c>
      <c r="F93" s="83" t="n">
        <f aca="false">-F39</f>
        <v>-1046640</v>
      </c>
      <c r="G93" s="83" t="n">
        <f aca="false">-G39</f>
        <v>-1046640</v>
      </c>
      <c r="H93" s="83" t="n">
        <f aca="false">-H39</f>
        <v>-1046640</v>
      </c>
      <c r="I93" s="83" t="n">
        <f aca="false">-I39</f>
        <v>-1046640</v>
      </c>
      <c r="J93" s="83" t="n">
        <f aca="false">-J39</f>
        <v>-1046640</v>
      </c>
      <c r="K93" s="83" t="n">
        <f aca="false">-K39</f>
        <v>-1046640</v>
      </c>
      <c r="L93" s="83" t="n">
        <f aca="false">-L39</f>
        <v>-1046640</v>
      </c>
      <c r="M93" s="83" t="n">
        <f aca="false">-M39</f>
        <v>-1046640</v>
      </c>
      <c r="N93" s="83" t="n">
        <f aca="false">-N39</f>
        <v>-1046640</v>
      </c>
      <c r="O93" s="83" t="n">
        <f aca="false">-O39</f>
        <v>-1046640</v>
      </c>
      <c r="P93" s="83" t="n">
        <f aca="false">-P39</f>
        <v>-1046640</v>
      </c>
      <c r="Q93" s="83" t="n">
        <f aca="false">-Q39</f>
        <v>-1046640</v>
      </c>
      <c r="R93" s="83" t="n">
        <f aca="false">-R39</f>
        <v>-1046640</v>
      </c>
      <c r="S93" s="83" t="n">
        <f aca="false">-S39</f>
        <v>-1046640</v>
      </c>
      <c r="T93" s="83" t="n">
        <f aca="false">-T39</f>
        <v>-1046640</v>
      </c>
      <c r="U93" s="83" t="n">
        <f aca="false">-U39</f>
        <v>-1046640</v>
      </c>
      <c r="V93" s="83" t="n">
        <f aca="false">-V39</f>
        <v>-1046640</v>
      </c>
      <c r="W93" s="83" t="n">
        <f aca="false">-W39</f>
        <v>-1046640</v>
      </c>
      <c r="X93" s="2"/>
    </row>
    <row r="94" customFormat="false" ht="18.75" hidden="false" customHeight="true" outlineLevel="0" collapsed="false">
      <c r="A94" s="2"/>
      <c r="B94" s="81" t="s">
        <v>34</v>
      </c>
      <c r="C94" s="75" t="s">
        <v>26</v>
      </c>
      <c r="D94" s="83" t="n">
        <f aca="false">-D48</f>
        <v>-204095</v>
      </c>
      <c r="E94" s="83" t="n">
        <f aca="false">-E48</f>
        <v>-204095</v>
      </c>
      <c r="F94" s="83" t="n">
        <f aca="false">-F48</f>
        <v>-204095</v>
      </c>
      <c r="G94" s="83" t="n">
        <f aca="false">-G48</f>
        <v>-204095</v>
      </c>
      <c r="H94" s="83" t="n">
        <f aca="false">-H48</f>
        <v>-204095</v>
      </c>
      <c r="I94" s="83" t="n">
        <f aca="false">-I48</f>
        <v>-204095</v>
      </c>
      <c r="J94" s="83" t="n">
        <f aca="false">-J48</f>
        <v>-204095</v>
      </c>
      <c r="K94" s="83" t="n">
        <f aca="false">-K48</f>
        <v>-204095</v>
      </c>
      <c r="L94" s="83" t="n">
        <f aca="false">-L48</f>
        <v>-204095</v>
      </c>
      <c r="M94" s="83" t="n">
        <f aca="false">-M48</f>
        <v>-204095</v>
      </c>
      <c r="N94" s="83" t="n">
        <f aca="false">-N48</f>
        <v>-204095</v>
      </c>
      <c r="O94" s="83" t="n">
        <f aca="false">-O48</f>
        <v>-204095</v>
      </c>
      <c r="P94" s="83" t="n">
        <f aca="false">-P48</f>
        <v>-204095</v>
      </c>
      <c r="Q94" s="83" t="n">
        <f aca="false">-Q48</f>
        <v>-204095</v>
      </c>
      <c r="R94" s="83" t="n">
        <f aca="false">-R48</f>
        <v>-204095</v>
      </c>
      <c r="S94" s="83" t="n">
        <f aca="false">-S48</f>
        <v>-204095</v>
      </c>
      <c r="T94" s="83" t="n">
        <f aca="false">-T48</f>
        <v>-204095</v>
      </c>
      <c r="U94" s="83" t="n">
        <f aca="false">-U48</f>
        <v>-204095</v>
      </c>
      <c r="V94" s="83" t="n">
        <f aca="false">-V48</f>
        <v>-204095</v>
      </c>
      <c r="W94" s="83" t="n">
        <f aca="false">-W48</f>
        <v>-204095</v>
      </c>
      <c r="X94" s="2"/>
    </row>
    <row r="95" customFormat="false" ht="18.75" hidden="false" customHeight="true" outlineLevel="0" collapsed="false">
      <c r="A95" s="2"/>
      <c r="B95" s="81" t="s">
        <v>35</v>
      </c>
      <c r="C95" s="75"/>
      <c r="D95" s="83" t="n">
        <f aca="false">-D57</f>
        <v>-261660</v>
      </c>
      <c r="E95" s="83" t="n">
        <f aca="false">-E57</f>
        <v>-261660</v>
      </c>
      <c r="F95" s="83" t="n">
        <f aca="false">-F57</f>
        <v>-261660</v>
      </c>
      <c r="G95" s="83" t="n">
        <f aca="false">-G57</f>
        <v>-261660</v>
      </c>
      <c r="H95" s="83" t="n">
        <f aca="false">-H57</f>
        <v>-261660</v>
      </c>
      <c r="I95" s="83" t="n">
        <f aca="false">-I57</f>
        <v>-261660</v>
      </c>
      <c r="J95" s="83" t="n">
        <f aca="false">-J57</f>
        <v>-261660</v>
      </c>
      <c r="K95" s="83" t="n">
        <f aca="false">-K57</f>
        <v>-261660</v>
      </c>
      <c r="L95" s="83" t="n">
        <f aca="false">-L57</f>
        <v>-261660</v>
      </c>
      <c r="M95" s="83" t="n">
        <f aca="false">-M57</f>
        <v>-261660</v>
      </c>
      <c r="N95" s="83" t="n">
        <f aca="false">-N57</f>
        <v>-0</v>
      </c>
      <c r="O95" s="83" t="n">
        <f aca="false">-O57</f>
        <v>-0</v>
      </c>
      <c r="P95" s="83" t="n">
        <f aca="false">-P57</f>
        <v>-0</v>
      </c>
      <c r="Q95" s="83" t="n">
        <f aca="false">-Q57</f>
        <v>-0</v>
      </c>
      <c r="R95" s="83" t="n">
        <f aca="false">-R57</f>
        <v>-0</v>
      </c>
      <c r="S95" s="83" t="n">
        <f aca="false">-S57</f>
        <v>-0</v>
      </c>
      <c r="T95" s="83" t="n">
        <f aca="false">-T57</f>
        <v>-0</v>
      </c>
      <c r="U95" s="83" t="n">
        <f aca="false">-U57</f>
        <v>-0</v>
      </c>
      <c r="V95" s="83" t="n">
        <f aca="false">-V57</f>
        <v>-0</v>
      </c>
      <c r="W95" s="83" t="n">
        <f aca="false">-W57</f>
        <v>-0</v>
      </c>
      <c r="X95" s="2"/>
    </row>
    <row r="96" customFormat="false" ht="18.75" hidden="false" customHeight="true" outlineLevel="0" collapsed="false">
      <c r="A96" s="2"/>
      <c r="B96" s="81" t="s">
        <v>36</v>
      </c>
      <c r="C96" s="84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2"/>
    </row>
    <row r="97" customFormat="false" ht="18.75" hidden="false" customHeight="true" outlineLevel="0" collapsed="false">
      <c r="A97" s="2"/>
      <c r="B97" s="81" t="s">
        <v>37</v>
      </c>
      <c r="C97" s="84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2"/>
    </row>
    <row r="98" customFormat="false" ht="18.75" hidden="false" customHeight="true" outlineLevel="0" collapsed="false">
      <c r="A98" s="2"/>
      <c r="B98" s="85" t="s">
        <v>38</v>
      </c>
      <c r="C98" s="84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2"/>
    </row>
    <row r="99" customFormat="false" ht="18.75" hidden="false" customHeight="true" outlineLevel="0" collapsed="false">
      <c r="A99" s="2"/>
      <c r="B99" s="85" t="s">
        <v>39</v>
      </c>
      <c r="C99" s="84"/>
      <c r="D99" s="83" t="n">
        <f aca="false">-D122</f>
        <v>-402073.28</v>
      </c>
      <c r="E99" s="83" t="n">
        <f aca="false">-E122</f>
        <v>-443805.692</v>
      </c>
      <c r="F99" s="83" t="n">
        <f aca="false">-F122</f>
        <v>-485538.104</v>
      </c>
      <c r="G99" s="83" t="n">
        <f aca="false">-G122</f>
        <v>-527270.516</v>
      </c>
      <c r="H99" s="83" t="n">
        <f aca="false">-H122</f>
        <v>-569002.928</v>
      </c>
      <c r="I99" s="83" t="n">
        <f aca="false">-I122</f>
        <v>-610735.34</v>
      </c>
      <c r="J99" s="83" t="n">
        <f aca="false">-J122</f>
        <v>-652467.752</v>
      </c>
      <c r="K99" s="83" t="n">
        <f aca="false">-K122</f>
        <v>-694200.164</v>
      </c>
      <c r="L99" s="83" t="n">
        <f aca="false">-L122</f>
        <v>-735932.576</v>
      </c>
      <c r="M99" s="83" t="n">
        <f aca="false">-M122</f>
        <v>-777664.988</v>
      </c>
      <c r="N99" s="83" t="n">
        <f aca="false">-N122</f>
        <v>-871729.4</v>
      </c>
      <c r="O99" s="83" t="n">
        <f aca="false">-O122</f>
        <v>-861227</v>
      </c>
      <c r="P99" s="83" t="n">
        <f aca="false">-P122</f>
        <v>-850724.6</v>
      </c>
      <c r="Q99" s="83" t="n">
        <f aca="false">-Q122</f>
        <v>-840222.2</v>
      </c>
      <c r="R99" s="83" t="n">
        <f aca="false">-R122</f>
        <v>-829718.6</v>
      </c>
      <c r="S99" s="83" t="n">
        <f aca="false">-S122</f>
        <v>-819216.2</v>
      </c>
      <c r="T99" s="83" t="n">
        <f aca="false">-T122</f>
        <v>-808713.8</v>
      </c>
      <c r="U99" s="83" t="n">
        <f aca="false">-U122</f>
        <v>-798211.4</v>
      </c>
      <c r="V99" s="83" t="n">
        <f aca="false">-V122</f>
        <v>-787709</v>
      </c>
      <c r="W99" s="83" t="n">
        <f aca="false">-W122</f>
        <v>-777206.6</v>
      </c>
      <c r="X99" s="2"/>
    </row>
    <row r="100" customFormat="false" ht="18.75" hidden="false" customHeight="true" outlineLevel="0" collapsed="false">
      <c r="A100" s="2"/>
      <c r="B100" s="86" t="s">
        <v>40</v>
      </c>
      <c r="C100" s="87" t="n">
        <f aca="false">C89</f>
        <v>-102421200</v>
      </c>
      <c r="D100" s="88" t="n">
        <f aca="false">SUM(D86:D99)</f>
        <v>9341093.72</v>
      </c>
      <c r="E100" s="88" t="n">
        <f aca="false">SUM(E86:E99)</f>
        <v>9246849.308</v>
      </c>
      <c r="F100" s="88" t="n">
        <f aca="false">SUM(F86:F99)</f>
        <v>9152604.896</v>
      </c>
      <c r="G100" s="88" t="n">
        <f aca="false">SUM(G86:G99)</f>
        <v>9058360.484</v>
      </c>
      <c r="H100" s="88" t="n">
        <f aca="false">SUM(H86:H99)</f>
        <v>8964116.072</v>
      </c>
      <c r="I100" s="88" t="n">
        <f aca="false">SUM(I86:I99)</f>
        <v>8869871.66</v>
      </c>
      <c r="J100" s="88" t="n">
        <f aca="false">SUM(J86:J99)</f>
        <v>8775627.248</v>
      </c>
      <c r="K100" s="88" t="n">
        <f aca="false">SUM(K86:K99)</f>
        <v>8681382.836</v>
      </c>
      <c r="L100" s="88" t="n">
        <f aca="false">SUM(L86:L99)</f>
        <v>8587138.424</v>
      </c>
      <c r="M100" s="88" t="n">
        <f aca="false">SUM(M86:M99)</f>
        <v>8492894.012</v>
      </c>
      <c r="N100" s="88" t="n">
        <f aca="false">SUM(N86:N99)</f>
        <v>8607977.6</v>
      </c>
      <c r="O100" s="88" t="n">
        <f aca="false">SUM(O86:O99)</f>
        <v>8565968</v>
      </c>
      <c r="P100" s="88" t="n">
        <f aca="false">SUM(P86:P99)</f>
        <v>8523958.4</v>
      </c>
      <c r="Q100" s="88" t="n">
        <f aca="false">SUM(Q86:Q99)</f>
        <v>8481948.8</v>
      </c>
      <c r="R100" s="88" t="n">
        <f aca="false">SUM(R86:R99)</f>
        <v>8439934.4</v>
      </c>
      <c r="S100" s="88" t="n">
        <f aca="false">SUM(S86:S99)</f>
        <v>8397924.8</v>
      </c>
      <c r="T100" s="88" t="n">
        <f aca="false">SUM(T86:T99)</f>
        <v>8355915.2</v>
      </c>
      <c r="U100" s="88" t="n">
        <f aca="false">SUM(U86:U99)</f>
        <v>8313905.6</v>
      </c>
      <c r="V100" s="88" t="n">
        <f aca="false">SUM(V86:V99)</f>
        <v>8271896</v>
      </c>
      <c r="W100" s="88" t="n">
        <f aca="false">SUM(W86:W99)</f>
        <v>8229886.4</v>
      </c>
      <c r="X100" s="2"/>
    </row>
    <row r="101" customFormat="false" ht="18.75" hidden="false" customHeight="true" outlineLevel="0" collapsed="false">
      <c r="A101" s="2"/>
      <c r="B101" s="89" t="s">
        <v>41</v>
      </c>
      <c r="C101" s="30"/>
      <c r="D101" s="90" t="n">
        <f aca="false">C55+D55</f>
        <v>43610</v>
      </c>
      <c r="E101" s="90" t="n">
        <f aca="false">D56+E55</f>
        <v>87220</v>
      </c>
      <c r="F101" s="90" t="n">
        <f aca="false">E56+F55</f>
        <v>87220</v>
      </c>
      <c r="G101" s="90" t="n">
        <f aca="false">F56+G55</f>
        <v>87220</v>
      </c>
      <c r="H101" s="90" t="n">
        <f aca="false">G56+H55</f>
        <v>87220</v>
      </c>
      <c r="I101" s="90" t="n">
        <f aca="false">H56+I55</f>
        <v>87220</v>
      </c>
      <c r="J101" s="90" t="n">
        <f aca="false">I56+J55</f>
        <v>87220</v>
      </c>
      <c r="K101" s="90" t="n">
        <f aca="false">J56+K55</f>
        <v>87220</v>
      </c>
      <c r="L101" s="90" t="n">
        <f aca="false">K56+L55</f>
        <v>87220</v>
      </c>
      <c r="M101" s="90" t="n">
        <f aca="false">L56+M55</f>
        <v>87220</v>
      </c>
      <c r="N101" s="90" t="n">
        <f aca="false">M56+N55</f>
        <v>43610</v>
      </c>
      <c r="O101" s="90" t="n">
        <f aca="false">N56+O55</f>
        <v>0</v>
      </c>
      <c r="P101" s="90" t="n">
        <f aca="false">O56+P55</f>
        <v>0</v>
      </c>
      <c r="Q101" s="90" t="n">
        <f aca="false">P56+Q55</f>
        <v>0</v>
      </c>
      <c r="R101" s="90" t="n">
        <f aca="false">Q56+R55</f>
        <v>0</v>
      </c>
      <c r="S101" s="90" t="n">
        <f aca="false">R56+S55</f>
        <v>0</v>
      </c>
      <c r="T101" s="90" t="n">
        <f aca="false">S56+T55</f>
        <v>0</v>
      </c>
      <c r="U101" s="90" t="n">
        <f aca="false">T56+U55</f>
        <v>0</v>
      </c>
      <c r="V101" s="90" t="n">
        <f aca="false">U56+V55</f>
        <v>0</v>
      </c>
      <c r="W101" s="90" t="n">
        <f aca="false">V56+W55</f>
        <v>0</v>
      </c>
      <c r="X101" s="2"/>
    </row>
    <row r="102" customFormat="false" ht="18.75" hidden="false" customHeight="true" outlineLevel="0" collapsed="false">
      <c r="A102" s="2"/>
      <c r="B102" s="91" t="s">
        <v>42</v>
      </c>
      <c r="C102" s="92"/>
      <c r="D102" s="93" t="str">
        <f aca="false">IF((D56)&gt;0,"回收","未回收")</f>
        <v>回收</v>
      </c>
      <c r="E102" s="94" t="str">
        <f aca="false">IF((E56)&gt;0,"回收","未回收")</f>
        <v>回收</v>
      </c>
      <c r="F102" s="94" t="str">
        <f aca="false">IF((F56)&gt;0,"回收","未回收")</f>
        <v>回收</v>
      </c>
      <c r="G102" s="94" t="str">
        <f aca="false">IF((G56)&gt;0,"回收","未回收")</f>
        <v>回收</v>
      </c>
      <c r="H102" s="94" t="str">
        <f aca="false">IF((H56)&gt;0,"回收","未回收")</f>
        <v>回收</v>
      </c>
      <c r="I102" s="94" t="str">
        <f aca="false">IF((I56)&gt;0,"回收","未回收")</f>
        <v>回收</v>
      </c>
      <c r="J102" s="94" t="str">
        <f aca="false">IF((J56)&gt;0,"回收","未回收")</f>
        <v>回收</v>
      </c>
      <c r="K102" s="94" t="str">
        <f aca="false">IF((K56)&gt;0,"回收","未回收")</f>
        <v>回收</v>
      </c>
      <c r="L102" s="94" t="str">
        <f aca="false">IF((L56)&gt;0,"回收","未回收")</f>
        <v>回收</v>
      </c>
      <c r="M102" s="94" t="str">
        <f aca="false">IF((M56)&gt;0,"回收","未回收")</f>
        <v>回收</v>
      </c>
      <c r="N102" s="94" t="str">
        <f aca="false">IF((N56)&gt;0,"回收","未回收")</f>
        <v>未回收</v>
      </c>
      <c r="O102" s="94" t="str">
        <f aca="false">IF((O56)&gt;0,"回收","未回收")</f>
        <v>未回收</v>
      </c>
      <c r="P102" s="94" t="str">
        <f aca="false">IF((P56)&gt;0,"回收","未回收")</f>
        <v>未回收</v>
      </c>
      <c r="Q102" s="94" t="str">
        <f aca="false">IF((Q56)&gt;0,"回收","未回收")</f>
        <v>未回收</v>
      </c>
      <c r="R102" s="94" t="str">
        <f aca="false">IF((R56)&gt;0,"回收","未回收")</f>
        <v>未回收</v>
      </c>
      <c r="S102" s="94" t="str">
        <f aca="false">IF((S56)&gt;0,"回收","未回收")</f>
        <v>未回收</v>
      </c>
      <c r="T102" s="94" t="str">
        <f aca="false">IF((T56)&gt;0,"回收","未回收")</f>
        <v>未回收</v>
      </c>
      <c r="U102" s="94" t="str">
        <f aca="false">IF((U56)&gt;0,"回收","未回收")</f>
        <v>未回收</v>
      </c>
      <c r="V102" s="94" t="str">
        <f aca="false">IF((V56)&gt;0,"回收","未回收")</f>
        <v>未回收</v>
      </c>
      <c r="W102" s="94" t="str">
        <f aca="false">IF((W56)&gt;0,"回收","未回收")</f>
        <v>未回收</v>
      </c>
      <c r="X102" s="45"/>
    </row>
    <row r="103" customFormat="false" ht="18.75" hidden="false" customHeight="true" outlineLevel="0" collapsed="false">
      <c r="A103" s="2"/>
      <c r="B103" s="95" t="s">
        <v>43</v>
      </c>
      <c r="C103" s="96" t="n">
        <f aca="false">IRR(C100:W100)</f>
        <v>0.0578018141231991</v>
      </c>
      <c r="D103" s="97"/>
      <c r="E103" s="97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2"/>
    </row>
    <row r="104" customFormat="false" ht="18.75" hidden="false" customHeight="true" outlineLevel="0" collapsed="false">
      <c r="A104" s="2"/>
      <c r="B104" s="98"/>
      <c r="C104" s="97"/>
      <c r="D104" s="97"/>
      <c r="E104" s="97"/>
      <c r="F104" s="98"/>
      <c r="G104" s="98"/>
      <c r="H104" s="98"/>
      <c r="I104" s="98"/>
      <c r="J104" s="98"/>
      <c r="K104" s="98"/>
      <c r="L104" s="98"/>
      <c r="M104" s="97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44"/>
    </row>
    <row r="105" customFormat="false" ht="18.75" hidden="false" customHeight="true" outlineLevel="0" collapsed="false">
      <c r="A105" s="2"/>
      <c r="B105" s="56"/>
      <c r="C105" s="57" t="s">
        <v>0</v>
      </c>
      <c r="D105" s="57" t="n">
        <v>2020</v>
      </c>
      <c r="E105" s="57" t="n">
        <v>2021</v>
      </c>
      <c r="F105" s="57" t="n">
        <v>2022</v>
      </c>
      <c r="G105" s="57" t="n">
        <v>2023</v>
      </c>
      <c r="H105" s="57" t="n">
        <v>2024</v>
      </c>
      <c r="I105" s="57" t="n">
        <v>2025</v>
      </c>
      <c r="J105" s="57" t="n">
        <v>2026</v>
      </c>
      <c r="K105" s="57" t="n">
        <v>2027</v>
      </c>
      <c r="L105" s="57" t="n">
        <v>2028</v>
      </c>
      <c r="M105" s="57" t="n">
        <v>2029</v>
      </c>
      <c r="N105" s="57" t="n">
        <v>2030</v>
      </c>
      <c r="O105" s="57" t="n">
        <v>2031</v>
      </c>
      <c r="P105" s="57" t="n">
        <v>2032</v>
      </c>
      <c r="Q105" s="57" t="n">
        <v>2033</v>
      </c>
      <c r="R105" s="57" t="n">
        <v>2034</v>
      </c>
      <c r="S105" s="57" t="n">
        <v>2035</v>
      </c>
      <c r="T105" s="57" t="n">
        <v>2036</v>
      </c>
      <c r="U105" s="57" t="n">
        <v>2037</v>
      </c>
      <c r="V105" s="57" t="n">
        <v>2038</v>
      </c>
      <c r="W105" s="57" t="n">
        <v>2039</v>
      </c>
      <c r="X105" s="55"/>
    </row>
    <row r="106" customFormat="false" ht="18.75" hidden="false" customHeight="true" outlineLevel="0" collapsed="false">
      <c r="A106" s="2"/>
      <c r="B106" s="58" t="n">
        <v>0</v>
      </c>
      <c r="C106" s="59"/>
      <c r="D106" s="60"/>
      <c r="E106" s="60"/>
      <c r="F106" s="61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99" t="s">
        <v>44</v>
      </c>
      <c r="U106" s="62"/>
      <c r="V106" s="62"/>
      <c r="W106" s="62"/>
      <c r="X106" s="100"/>
    </row>
    <row r="107" customFormat="false" ht="18.75" hidden="false" customHeight="true" outlineLevel="0" collapsed="false">
      <c r="A107" s="2"/>
      <c r="B107" s="64" t="s">
        <v>23</v>
      </c>
      <c r="C107" s="65" t="n">
        <v>0</v>
      </c>
      <c r="D107" s="66" t="n">
        <v>1</v>
      </c>
      <c r="E107" s="66" t="n">
        <v>2</v>
      </c>
      <c r="F107" s="66" t="n">
        <v>3</v>
      </c>
      <c r="G107" s="66" t="n">
        <v>4</v>
      </c>
      <c r="H107" s="66" t="n">
        <v>5</v>
      </c>
      <c r="I107" s="66" t="n">
        <v>6</v>
      </c>
      <c r="J107" s="66" t="n">
        <v>7</v>
      </c>
      <c r="K107" s="66" t="n">
        <v>8</v>
      </c>
      <c r="L107" s="66" t="n">
        <v>9</v>
      </c>
      <c r="M107" s="66" t="n">
        <v>10</v>
      </c>
      <c r="N107" s="66" t="n">
        <v>11</v>
      </c>
      <c r="O107" s="66" t="n">
        <v>12</v>
      </c>
      <c r="P107" s="66" t="n">
        <v>13</v>
      </c>
      <c r="Q107" s="66" t="n">
        <v>14</v>
      </c>
      <c r="R107" s="66" t="n">
        <v>15</v>
      </c>
      <c r="S107" s="66" t="n">
        <v>16</v>
      </c>
      <c r="T107" s="101" t="n">
        <v>17</v>
      </c>
      <c r="U107" s="66" t="n">
        <v>18</v>
      </c>
      <c r="V107" s="66" t="n">
        <v>19</v>
      </c>
      <c r="W107" s="66" t="n">
        <v>20</v>
      </c>
      <c r="X107" s="102"/>
    </row>
    <row r="108" customFormat="false" ht="18.75" hidden="false" customHeight="true" outlineLevel="0" collapsed="false">
      <c r="A108" s="2"/>
      <c r="B108" s="68" t="s">
        <v>24</v>
      </c>
      <c r="C108" s="69" t="n">
        <v>0</v>
      </c>
      <c r="D108" s="70" t="n">
        <f aca="false">D12</f>
        <v>3249192</v>
      </c>
      <c r="E108" s="70" t="n">
        <f aca="false">E12</f>
        <v>3236064</v>
      </c>
      <c r="F108" s="70" t="n">
        <f aca="false">F12</f>
        <v>3222936</v>
      </c>
      <c r="G108" s="70" t="n">
        <f aca="false">G12</f>
        <v>3209808</v>
      </c>
      <c r="H108" s="70" t="n">
        <f aca="false">H12</f>
        <v>3196680</v>
      </c>
      <c r="I108" s="70" t="n">
        <f aca="false">I12</f>
        <v>3183552</v>
      </c>
      <c r="J108" s="70" t="n">
        <f aca="false">J12</f>
        <v>3170424</v>
      </c>
      <c r="K108" s="70" t="n">
        <f aca="false">K12</f>
        <v>3157296</v>
      </c>
      <c r="L108" s="70" t="n">
        <f aca="false">L12</f>
        <v>3144168</v>
      </c>
      <c r="M108" s="70" t="n">
        <f aca="false">M12</f>
        <v>3131040</v>
      </c>
      <c r="N108" s="70" t="n">
        <f aca="false">N12</f>
        <v>3117912</v>
      </c>
      <c r="O108" s="70" t="n">
        <f aca="false">O12</f>
        <v>3104784</v>
      </c>
      <c r="P108" s="70" t="n">
        <f aca="false">P12</f>
        <v>3091656</v>
      </c>
      <c r="Q108" s="70" t="n">
        <f aca="false">Q12</f>
        <v>3078528</v>
      </c>
      <c r="R108" s="70" t="n">
        <f aca="false">R12</f>
        <v>3065400</v>
      </c>
      <c r="S108" s="70" t="n">
        <f aca="false">S12</f>
        <v>3052272</v>
      </c>
      <c r="T108" s="70" t="n">
        <f aca="false">T12</f>
        <v>3039144</v>
      </c>
      <c r="U108" s="70" t="n">
        <f aca="false">U12</f>
        <v>3026016</v>
      </c>
      <c r="V108" s="70" t="n">
        <f aca="false">V12</f>
        <v>3012888</v>
      </c>
      <c r="W108" s="70" t="n">
        <f aca="false">W12</f>
        <v>2999760</v>
      </c>
      <c r="X108" s="103"/>
    </row>
    <row r="109" customFormat="false" ht="18.75" hidden="false" customHeight="true" outlineLevel="0" collapsed="false">
      <c r="A109" s="2"/>
      <c r="B109" s="71" t="s">
        <v>25</v>
      </c>
      <c r="C109" s="72" t="s">
        <v>26</v>
      </c>
      <c r="D109" s="73" t="n">
        <f aca="false">D21</f>
        <v>12996768</v>
      </c>
      <c r="E109" s="73" t="n">
        <f aca="false">E21</f>
        <v>12944256</v>
      </c>
      <c r="F109" s="73" t="n">
        <f aca="false">F21</f>
        <v>12891744</v>
      </c>
      <c r="G109" s="73" t="n">
        <f aca="false">G21</f>
        <v>12839232</v>
      </c>
      <c r="H109" s="73" t="n">
        <f aca="false">H21</f>
        <v>12786720</v>
      </c>
      <c r="I109" s="73" t="n">
        <f aca="false">I21</f>
        <v>12734208</v>
      </c>
      <c r="J109" s="73" t="n">
        <f aca="false">J21</f>
        <v>12681696</v>
      </c>
      <c r="K109" s="73" t="n">
        <f aca="false">K21</f>
        <v>12629184</v>
      </c>
      <c r="L109" s="73" t="n">
        <f aca="false">L21</f>
        <v>12576672</v>
      </c>
      <c r="M109" s="73" t="n">
        <f aca="false">M21</f>
        <v>12524160</v>
      </c>
      <c r="N109" s="73" t="n">
        <f aca="false">N21</f>
        <v>12471648</v>
      </c>
      <c r="O109" s="73" t="n">
        <f aca="false">O21</f>
        <v>12419136</v>
      </c>
      <c r="P109" s="73" t="n">
        <f aca="false">P21</f>
        <v>12366624</v>
      </c>
      <c r="Q109" s="73" t="n">
        <f aca="false">Q21</f>
        <v>12314112</v>
      </c>
      <c r="R109" s="73" t="n">
        <f aca="false">R21</f>
        <v>12261594</v>
      </c>
      <c r="S109" s="73" t="n">
        <f aca="false">S21</f>
        <v>12209082</v>
      </c>
      <c r="T109" s="73" t="n">
        <f aca="false">T21</f>
        <v>12156570</v>
      </c>
      <c r="U109" s="73" t="n">
        <f aca="false">U21</f>
        <v>12104058</v>
      </c>
      <c r="V109" s="73" t="n">
        <f aca="false">V21</f>
        <v>12051546</v>
      </c>
      <c r="W109" s="73" t="n">
        <f aca="false">W21</f>
        <v>11999034</v>
      </c>
      <c r="X109" s="104"/>
    </row>
    <row r="110" customFormat="false" ht="18.75" hidden="false" customHeight="true" outlineLevel="0" collapsed="false">
      <c r="A110" s="2"/>
      <c r="B110" s="74" t="s">
        <v>27</v>
      </c>
      <c r="C110" s="75" t="s">
        <v>26</v>
      </c>
      <c r="D110" s="77"/>
      <c r="E110" s="77"/>
      <c r="F110" s="77"/>
      <c r="G110" s="77" t="s">
        <v>26</v>
      </c>
      <c r="H110" s="77" t="s">
        <v>26</v>
      </c>
      <c r="I110" s="77" t="s">
        <v>26</v>
      </c>
      <c r="J110" s="77" t="s">
        <v>26</v>
      </c>
      <c r="K110" s="77" t="s">
        <v>26</v>
      </c>
      <c r="L110" s="77" t="s">
        <v>26</v>
      </c>
      <c r="M110" s="77" t="s">
        <v>26</v>
      </c>
      <c r="N110" s="77" t="s">
        <v>26</v>
      </c>
      <c r="O110" s="77" t="s">
        <v>26</v>
      </c>
      <c r="P110" s="77" t="s">
        <v>26</v>
      </c>
      <c r="Q110" s="77" t="s">
        <v>26</v>
      </c>
      <c r="R110" s="77" t="s">
        <v>26</v>
      </c>
      <c r="S110" s="77" t="s">
        <v>26</v>
      </c>
      <c r="T110" s="77" t="s">
        <v>26</v>
      </c>
      <c r="U110" s="77" t="s">
        <v>26</v>
      </c>
      <c r="V110" s="77" t="s">
        <v>26</v>
      </c>
      <c r="W110" s="77" t="s">
        <v>26</v>
      </c>
      <c r="X110" s="45"/>
    </row>
    <row r="111" customFormat="false" ht="18.75" hidden="false" customHeight="true" outlineLevel="0" collapsed="false">
      <c r="A111" s="2"/>
      <c r="B111" s="78" t="s">
        <v>28</v>
      </c>
      <c r="C111" s="79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103"/>
    </row>
    <row r="112" customFormat="false" ht="18.75" hidden="false" customHeight="true" outlineLevel="0" collapsed="false">
      <c r="A112" s="2"/>
      <c r="B112" s="81" t="s">
        <v>45</v>
      </c>
      <c r="C112" s="75"/>
      <c r="D112" s="105" t="n">
        <f aca="false">-D75</f>
        <v>-5121060</v>
      </c>
      <c r="E112" s="105" t="n">
        <f aca="false">-E75</f>
        <v>-5121060</v>
      </c>
      <c r="F112" s="105" t="n">
        <f aca="false">-F75</f>
        <v>-5121060</v>
      </c>
      <c r="G112" s="105" t="n">
        <f aca="false">-G75</f>
        <v>-5121060</v>
      </c>
      <c r="H112" s="105" t="n">
        <f aca="false">-H75</f>
        <v>-5121060</v>
      </c>
      <c r="I112" s="105" t="n">
        <f aca="false">-I75</f>
        <v>-5121060</v>
      </c>
      <c r="J112" s="105" t="n">
        <f aca="false">-J75</f>
        <v>-5121060</v>
      </c>
      <c r="K112" s="105" t="n">
        <f aca="false">-K75</f>
        <v>-5121060</v>
      </c>
      <c r="L112" s="105" t="n">
        <f aca="false">-L75</f>
        <v>-5121060</v>
      </c>
      <c r="M112" s="105" t="n">
        <f aca="false">-M75</f>
        <v>-5121060</v>
      </c>
      <c r="N112" s="105" t="n">
        <f aca="false">-N75</f>
        <v>-5121060</v>
      </c>
      <c r="O112" s="105" t="n">
        <f aca="false">-O75</f>
        <v>-5121060</v>
      </c>
      <c r="P112" s="105" t="n">
        <f aca="false">-P75</f>
        <v>-5121060</v>
      </c>
      <c r="Q112" s="105" t="n">
        <f aca="false">-Q75</f>
        <v>-5121060</v>
      </c>
      <c r="R112" s="105" t="n">
        <f aca="false">-R75</f>
        <v>-5121060</v>
      </c>
      <c r="S112" s="105" t="n">
        <f aca="false">-S75</f>
        <v>-5121060</v>
      </c>
      <c r="T112" s="105" t="n">
        <f aca="false">-T75</f>
        <v>-5121060</v>
      </c>
      <c r="U112" s="105" t="n">
        <f aca="false">-U75</f>
        <v>-5121060</v>
      </c>
      <c r="V112" s="105" t="n">
        <f aca="false">-V75</f>
        <v>-5121060</v>
      </c>
      <c r="W112" s="105" t="n">
        <f aca="false">-W75</f>
        <v>-5121060</v>
      </c>
      <c r="X112" s="44"/>
    </row>
    <row r="113" customFormat="false" ht="18.75" hidden="false" customHeight="true" outlineLevel="0" collapsed="false">
      <c r="A113" s="2"/>
      <c r="B113" s="81" t="s">
        <v>30</v>
      </c>
      <c r="C113" s="75" t="s">
        <v>26</v>
      </c>
      <c r="D113" s="83" t="n">
        <f aca="false">-D30</f>
        <v>-1741206</v>
      </c>
      <c r="E113" s="83" t="n">
        <f aca="false">-E30</f>
        <v>-1741206</v>
      </c>
      <c r="F113" s="83" t="n">
        <f aca="false">-F30</f>
        <v>-1741206</v>
      </c>
      <c r="G113" s="83" t="n">
        <f aca="false">-G30</f>
        <v>-1741206</v>
      </c>
      <c r="H113" s="83" t="n">
        <f aca="false">-H30</f>
        <v>-1741206</v>
      </c>
      <c r="I113" s="83" t="n">
        <f aca="false">-I30</f>
        <v>-1741206</v>
      </c>
      <c r="J113" s="83" t="n">
        <f aca="false">-J30</f>
        <v>-1741206</v>
      </c>
      <c r="K113" s="83" t="n">
        <f aca="false">-K30</f>
        <v>-1741206</v>
      </c>
      <c r="L113" s="83" t="n">
        <f aca="false">-L30</f>
        <v>-1741206</v>
      </c>
      <c r="M113" s="83" t="n">
        <f aca="false">-M30</f>
        <v>-1741206</v>
      </c>
      <c r="N113" s="83" t="n">
        <f aca="false">-N30</f>
        <v>-1741206</v>
      </c>
      <c r="O113" s="83" t="n">
        <f aca="false">-O30</f>
        <v>-1741206</v>
      </c>
      <c r="P113" s="83" t="n">
        <f aca="false">-P30</f>
        <v>-1741206</v>
      </c>
      <c r="Q113" s="83" t="n">
        <f aca="false">-Q30</f>
        <v>-1741206</v>
      </c>
      <c r="R113" s="83" t="n">
        <f aca="false">-R30</f>
        <v>-1741206</v>
      </c>
      <c r="S113" s="83" t="n">
        <f aca="false">-S30</f>
        <v>-1741206</v>
      </c>
      <c r="T113" s="83" t="n">
        <f aca="false">-T30</f>
        <v>-1741206</v>
      </c>
      <c r="U113" s="83" t="n">
        <f aca="false">-U30</f>
        <v>-1741206</v>
      </c>
      <c r="V113" s="83" t="n">
        <f aca="false">-V30</f>
        <v>-1741206</v>
      </c>
      <c r="W113" s="83" t="n">
        <f aca="false">-W30</f>
        <v>-1741206</v>
      </c>
      <c r="X113" s="55"/>
    </row>
    <row r="114" customFormat="false" ht="18.75" hidden="false" customHeight="true" outlineLevel="0" collapsed="false">
      <c r="A114" s="2"/>
      <c r="B114" s="81" t="s">
        <v>31</v>
      </c>
      <c r="C114" s="75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100"/>
    </row>
    <row r="115" customFormat="false" ht="18.75" hidden="false" customHeight="true" outlineLevel="0" collapsed="false">
      <c r="A115" s="2"/>
      <c r="B115" s="81" t="s">
        <v>32</v>
      </c>
      <c r="C115" s="75" t="s">
        <v>26</v>
      </c>
      <c r="D115" s="83" t="n">
        <f aca="false">-D153*C81</f>
        <v>-2611740.6</v>
      </c>
      <c r="E115" s="83" t="n">
        <f aca="false">-E153*C81</f>
        <v>-2350566.54</v>
      </c>
      <c r="F115" s="83" t="n">
        <f aca="false">-F153*C81</f>
        <v>-2089392.48</v>
      </c>
      <c r="G115" s="83" t="n">
        <f aca="false">-G153*C81</f>
        <v>-1828218.42</v>
      </c>
      <c r="H115" s="83" t="n">
        <f aca="false">-H153*C81</f>
        <v>-1567044.36</v>
      </c>
      <c r="I115" s="83" t="n">
        <f aca="false">-I153*C81</f>
        <v>-1305870.3</v>
      </c>
      <c r="J115" s="83" t="n">
        <f aca="false">-J153*C81</f>
        <v>-1044696.24</v>
      </c>
      <c r="K115" s="83" t="n">
        <f aca="false">-K153*C81</f>
        <v>-783522.18</v>
      </c>
      <c r="L115" s="83" t="n">
        <f aca="false">-L153*C81</f>
        <v>-522348.12</v>
      </c>
      <c r="M115" s="83" t="n">
        <f aca="false">-M153*C81</f>
        <v>-261174.06</v>
      </c>
      <c r="N115" s="83" t="n">
        <f aca="false">-N153*C81</f>
        <v>-0</v>
      </c>
      <c r="O115" s="83" t="n">
        <f aca="false">-O153*C81</f>
        <v>-0</v>
      </c>
      <c r="P115" s="83" t="n">
        <f aca="false">-P153*C81</f>
        <v>-0</v>
      </c>
      <c r="Q115" s="83" t="n">
        <f aca="false">-Q153*C81</f>
        <v>-0</v>
      </c>
      <c r="R115" s="83" t="n">
        <f aca="false">-R153*C81</f>
        <v>-0</v>
      </c>
      <c r="S115" s="83" t="n">
        <f aca="false">-S153*C81</f>
        <v>-0</v>
      </c>
      <c r="T115" s="83" t="n">
        <f aca="false">-T153*C81</f>
        <v>-0</v>
      </c>
      <c r="U115" s="83" t="n">
        <f aca="false">-U153*C81</f>
        <v>-0</v>
      </c>
      <c r="V115" s="83" t="n">
        <f aca="false">-V153*C81</f>
        <v>-0</v>
      </c>
      <c r="W115" s="83" t="n">
        <f aca="false">-W153*C81</f>
        <v>-0</v>
      </c>
      <c r="X115" s="102"/>
    </row>
    <row r="116" customFormat="false" ht="18.75" hidden="false" customHeight="true" outlineLevel="0" collapsed="false">
      <c r="A116" s="2"/>
      <c r="B116" s="81" t="s">
        <v>33</v>
      </c>
      <c r="C116" s="75" t="s">
        <v>26</v>
      </c>
      <c r="D116" s="83" t="n">
        <f aca="false">-D39</f>
        <v>-1046640</v>
      </c>
      <c r="E116" s="83" t="n">
        <f aca="false">-E39</f>
        <v>-1046640</v>
      </c>
      <c r="F116" s="83" t="n">
        <f aca="false">-F39</f>
        <v>-1046640</v>
      </c>
      <c r="G116" s="83" t="n">
        <f aca="false">-G39</f>
        <v>-1046640</v>
      </c>
      <c r="H116" s="83" t="n">
        <f aca="false">-H39</f>
        <v>-1046640</v>
      </c>
      <c r="I116" s="83" t="n">
        <f aca="false">-I39</f>
        <v>-1046640</v>
      </c>
      <c r="J116" s="83" t="n">
        <f aca="false">-J39</f>
        <v>-1046640</v>
      </c>
      <c r="K116" s="83" t="n">
        <f aca="false">-K39</f>
        <v>-1046640</v>
      </c>
      <c r="L116" s="83" t="n">
        <f aca="false">-L39</f>
        <v>-1046640</v>
      </c>
      <c r="M116" s="83" t="n">
        <f aca="false">-M39</f>
        <v>-1046640</v>
      </c>
      <c r="N116" s="83" t="n">
        <f aca="false">-N39</f>
        <v>-1046640</v>
      </c>
      <c r="O116" s="83" t="n">
        <f aca="false">-O39</f>
        <v>-1046640</v>
      </c>
      <c r="P116" s="83" t="n">
        <f aca="false">-P39</f>
        <v>-1046640</v>
      </c>
      <c r="Q116" s="83" t="n">
        <f aca="false">-Q39</f>
        <v>-1046640</v>
      </c>
      <c r="R116" s="83" t="n">
        <f aca="false">-R39</f>
        <v>-1046640</v>
      </c>
      <c r="S116" s="83" t="n">
        <f aca="false">-S39</f>
        <v>-1046640</v>
      </c>
      <c r="T116" s="83" t="n">
        <f aca="false">-T39</f>
        <v>-1046640</v>
      </c>
      <c r="U116" s="83" t="n">
        <f aca="false">-U39</f>
        <v>-1046640</v>
      </c>
      <c r="V116" s="83" t="n">
        <f aca="false">-V39</f>
        <v>-1046640</v>
      </c>
      <c r="W116" s="83" t="n">
        <f aca="false">-W39</f>
        <v>-1046640</v>
      </c>
      <c r="X116" s="103"/>
    </row>
    <row r="117" customFormat="false" ht="18.75" hidden="false" customHeight="true" outlineLevel="0" collapsed="false">
      <c r="A117" s="2"/>
      <c r="B117" s="81" t="s">
        <v>34</v>
      </c>
      <c r="C117" s="75" t="s">
        <v>26</v>
      </c>
      <c r="D117" s="83" t="n">
        <f aca="false">-D48</f>
        <v>-204095</v>
      </c>
      <c r="E117" s="83" t="n">
        <f aca="false">-E48</f>
        <v>-204095</v>
      </c>
      <c r="F117" s="83" t="n">
        <f aca="false">-F48</f>
        <v>-204095</v>
      </c>
      <c r="G117" s="83" t="n">
        <f aca="false">-G48</f>
        <v>-204095</v>
      </c>
      <c r="H117" s="83" t="n">
        <f aca="false">-H48</f>
        <v>-204095</v>
      </c>
      <c r="I117" s="83" t="n">
        <f aca="false">-I48</f>
        <v>-204095</v>
      </c>
      <c r="J117" s="83" t="n">
        <f aca="false">-J48</f>
        <v>-204095</v>
      </c>
      <c r="K117" s="83" t="n">
        <f aca="false">-K48</f>
        <v>-204095</v>
      </c>
      <c r="L117" s="83" t="n">
        <f aca="false">-L48</f>
        <v>-204095</v>
      </c>
      <c r="M117" s="83" t="n">
        <f aca="false">-M48</f>
        <v>-204095</v>
      </c>
      <c r="N117" s="83" t="n">
        <f aca="false">-N48</f>
        <v>-204095</v>
      </c>
      <c r="O117" s="83" t="n">
        <f aca="false">-O48</f>
        <v>-204095</v>
      </c>
      <c r="P117" s="83" t="n">
        <f aca="false">-P48</f>
        <v>-204095</v>
      </c>
      <c r="Q117" s="83" t="n">
        <f aca="false">-Q48</f>
        <v>-204095</v>
      </c>
      <c r="R117" s="83" t="n">
        <f aca="false">-R48</f>
        <v>-204095</v>
      </c>
      <c r="S117" s="83" t="n">
        <f aca="false">-S48</f>
        <v>-204095</v>
      </c>
      <c r="T117" s="83" t="n">
        <f aca="false">-T48</f>
        <v>-204095</v>
      </c>
      <c r="U117" s="83" t="n">
        <f aca="false">-U48</f>
        <v>-204095</v>
      </c>
      <c r="V117" s="83" t="n">
        <f aca="false">-V48</f>
        <v>-204095</v>
      </c>
      <c r="W117" s="83" t="n">
        <f aca="false">-W48</f>
        <v>-204095</v>
      </c>
      <c r="X117" s="104"/>
    </row>
    <row r="118" customFormat="false" ht="18.75" hidden="false" customHeight="true" outlineLevel="0" collapsed="false">
      <c r="A118" s="2"/>
      <c r="B118" s="81" t="s">
        <v>35</v>
      </c>
      <c r="C118" s="75"/>
      <c r="D118" s="83" t="n">
        <f aca="false">-D57</f>
        <v>-261660</v>
      </c>
      <c r="E118" s="83" t="n">
        <f aca="false">-E57</f>
        <v>-261660</v>
      </c>
      <c r="F118" s="83" t="n">
        <f aca="false">-F57</f>
        <v>-261660</v>
      </c>
      <c r="G118" s="83" t="n">
        <f aca="false">-G57</f>
        <v>-261660</v>
      </c>
      <c r="H118" s="83" t="n">
        <f aca="false">-H57</f>
        <v>-261660</v>
      </c>
      <c r="I118" s="83" t="n">
        <f aca="false">-I57</f>
        <v>-261660</v>
      </c>
      <c r="J118" s="83" t="n">
        <f aca="false">-J57</f>
        <v>-261660</v>
      </c>
      <c r="K118" s="83" t="n">
        <f aca="false">-K57</f>
        <v>-261660</v>
      </c>
      <c r="L118" s="83" t="n">
        <f aca="false">-L57</f>
        <v>-261660</v>
      </c>
      <c r="M118" s="83" t="n">
        <f aca="false">-M57</f>
        <v>-261660</v>
      </c>
      <c r="N118" s="83" t="n">
        <f aca="false">-N57</f>
        <v>-0</v>
      </c>
      <c r="O118" s="83" t="n">
        <f aca="false">-O57</f>
        <v>-0</v>
      </c>
      <c r="P118" s="83" t="n">
        <f aca="false">-P57</f>
        <v>-0</v>
      </c>
      <c r="Q118" s="83" t="n">
        <f aca="false">-Q57</f>
        <v>-0</v>
      </c>
      <c r="R118" s="83" t="n">
        <f aca="false">-R57</f>
        <v>-0</v>
      </c>
      <c r="S118" s="83" t="n">
        <f aca="false">-S57</f>
        <v>-0</v>
      </c>
      <c r="T118" s="83" t="n">
        <f aca="false">-T57</f>
        <v>-0</v>
      </c>
      <c r="U118" s="83" t="n">
        <f aca="false">-U57</f>
        <v>-0</v>
      </c>
      <c r="V118" s="83" t="n">
        <f aca="false">-V57</f>
        <v>-0</v>
      </c>
      <c r="W118" s="83" t="n">
        <f aca="false">-W57</f>
        <v>-0</v>
      </c>
      <c r="X118" s="45"/>
    </row>
    <row r="119" customFormat="false" ht="18.75" hidden="false" customHeight="true" outlineLevel="0" collapsed="false">
      <c r="A119" s="2"/>
      <c r="B119" s="81" t="s">
        <v>36</v>
      </c>
      <c r="C119" s="84"/>
      <c r="D119" s="106"/>
      <c r="E119" s="10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103"/>
    </row>
    <row r="120" customFormat="false" ht="18.75" hidden="false" customHeight="true" outlineLevel="0" collapsed="false">
      <c r="A120" s="2"/>
      <c r="B120" s="81" t="s">
        <v>37</v>
      </c>
      <c r="C120" s="84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44"/>
    </row>
    <row r="121" customFormat="false" ht="18.75" hidden="false" customHeight="true" outlineLevel="0" collapsed="false">
      <c r="A121" s="2"/>
      <c r="B121" s="86" t="s">
        <v>46</v>
      </c>
      <c r="C121" s="108"/>
      <c r="D121" s="88" t="n">
        <f aca="false">SUM(D109:D120)</f>
        <v>2010366.4</v>
      </c>
      <c r="E121" s="88" t="n">
        <f aca="false">SUM(E109:E120)</f>
        <v>2219028.46</v>
      </c>
      <c r="F121" s="88" t="n">
        <f aca="false">SUM(F109:F120)</f>
        <v>2427690.52</v>
      </c>
      <c r="G121" s="88" t="n">
        <f aca="false">SUM(G109:G120)</f>
        <v>2636352.58</v>
      </c>
      <c r="H121" s="88" t="n">
        <f aca="false">SUM(H109:H120)</f>
        <v>2845014.64</v>
      </c>
      <c r="I121" s="88" t="n">
        <f aca="false">SUM(I109:I120)</f>
        <v>3053676.7</v>
      </c>
      <c r="J121" s="88" t="n">
        <f aca="false">SUM(J109:J120)</f>
        <v>3262338.76</v>
      </c>
      <c r="K121" s="88" t="n">
        <f aca="false">SUM(K109:K120)</f>
        <v>3471000.82</v>
      </c>
      <c r="L121" s="88" t="n">
        <f aca="false">SUM(L109:L120)</f>
        <v>3679662.88</v>
      </c>
      <c r="M121" s="88" t="n">
        <f aca="false">SUM(M109:M120)</f>
        <v>3888324.94</v>
      </c>
      <c r="N121" s="88" t="n">
        <f aca="false">SUM(N109:N120)</f>
        <v>4358647</v>
      </c>
      <c r="O121" s="88" t="n">
        <f aca="false">SUM(O109:O120)</f>
        <v>4306135</v>
      </c>
      <c r="P121" s="88" t="n">
        <f aca="false">SUM(P109:P120)</f>
        <v>4253623</v>
      </c>
      <c r="Q121" s="88" t="n">
        <f aca="false">SUM(Q109:Q120)</f>
        <v>4201111</v>
      </c>
      <c r="R121" s="88" t="n">
        <f aca="false">SUM(R109:R120)</f>
        <v>4148593</v>
      </c>
      <c r="S121" s="88" t="n">
        <f aca="false">SUM(S109:S120)</f>
        <v>4096081</v>
      </c>
      <c r="T121" s="88" t="n">
        <f aca="false">SUM(T109:T120)</f>
        <v>4043569</v>
      </c>
      <c r="U121" s="88" t="n">
        <f aca="false">SUM(U109:U120)</f>
        <v>3991057</v>
      </c>
      <c r="V121" s="88" t="n">
        <f aca="false">SUM(V109:V120)</f>
        <v>3938545</v>
      </c>
      <c r="W121" s="88" t="n">
        <f aca="false">SUM(W109:W120)</f>
        <v>3886033</v>
      </c>
      <c r="X121" s="55"/>
    </row>
    <row r="122" customFormat="false" ht="18.75" hidden="false" customHeight="true" outlineLevel="0" collapsed="false">
      <c r="A122" s="2"/>
      <c r="B122" s="85" t="s">
        <v>39</v>
      </c>
      <c r="C122" s="84"/>
      <c r="D122" s="83" t="n">
        <f aca="false">D121*0.2</f>
        <v>402073.28</v>
      </c>
      <c r="E122" s="83" t="n">
        <f aca="false">E121*0.2</f>
        <v>443805.692</v>
      </c>
      <c r="F122" s="83" t="n">
        <f aca="false">F121*0.2</f>
        <v>485538.104</v>
      </c>
      <c r="G122" s="83" t="n">
        <f aca="false">G121*0.2</f>
        <v>527270.516</v>
      </c>
      <c r="H122" s="83" t="n">
        <f aca="false">H121*0.2</f>
        <v>569002.928</v>
      </c>
      <c r="I122" s="83" t="n">
        <f aca="false">I121*0.2</f>
        <v>610735.34</v>
      </c>
      <c r="J122" s="83" t="n">
        <f aca="false">J121*0.2</f>
        <v>652467.752</v>
      </c>
      <c r="K122" s="83" t="n">
        <f aca="false">K121*0.2</f>
        <v>694200.164</v>
      </c>
      <c r="L122" s="83" t="n">
        <f aca="false">L121*0.2</f>
        <v>735932.576</v>
      </c>
      <c r="M122" s="83" t="n">
        <f aca="false">M121*0.2</f>
        <v>777664.988</v>
      </c>
      <c r="N122" s="83" t="n">
        <f aca="false">N121*0.2</f>
        <v>871729.4</v>
      </c>
      <c r="O122" s="83" t="n">
        <f aca="false">O121*0.2</f>
        <v>861227</v>
      </c>
      <c r="P122" s="83" t="n">
        <f aca="false">P121*0.2</f>
        <v>850724.6</v>
      </c>
      <c r="Q122" s="83" t="n">
        <f aca="false">Q121*0.2</f>
        <v>840222.2</v>
      </c>
      <c r="R122" s="83" t="n">
        <f aca="false">R121*0.2</f>
        <v>829718.6</v>
      </c>
      <c r="S122" s="83" t="n">
        <f aca="false">S121*0.2</f>
        <v>819216.2</v>
      </c>
      <c r="T122" s="83" t="n">
        <f aca="false">T121*0.2</f>
        <v>808713.8</v>
      </c>
      <c r="U122" s="83" t="n">
        <f aca="false">U121*0.2</f>
        <v>798211.4</v>
      </c>
      <c r="V122" s="83" t="n">
        <f aca="false">V121*0.2</f>
        <v>787709</v>
      </c>
      <c r="W122" s="83" t="n">
        <f aca="false">W121*0.2</f>
        <v>777206.6</v>
      </c>
      <c r="X122" s="100"/>
    </row>
    <row r="123" customFormat="false" ht="15.75" hidden="false" customHeight="true" outlineLevel="0" collapsed="false">
      <c r="A123" s="2"/>
      <c r="B123" s="109" t="s">
        <v>47</v>
      </c>
      <c r="C123" s="103"/>
      <c r="D123" s="83" t="n">
        <f aca="false">D121-D122</f>
        <v>1608293.12</v>
      </c>
      <c r="E123" s="83" t="n">
        <f aca="false">E121-E122</f>
        <v>1775222.768</v>
      </c>
      <c r="F123" s="83" t="n">
        <f aca="false">F121-F122</f>
        <v>1942152.416</v>
      </c>
      <c r="G123" s="83" t="n">
        <f aca="false">G121-G122</f>
        <v>2109082.064</v>
      </c>
      <c r="H123" s="83" t="n">
        <f aca="false">H121-H122</f>
        <v>2276011.712</v>
      </c>
      <c r="I123" s="83" t="n">
        <f aca="false">I121-I122</f>
        <v>2442941.36</v>
      </c>
      <c r="J123" s="83" t="n">
        <f aca="false">J121-J122</f>
        <v>2609871.008</v>
      </c>
      <c r="K123" s="83" t="n">
        <f aca="false">K121-K122</f>
        <v>2776800.656</v>
      </c>
      <c r="L123" s="83" t="n">
        <f aca="false">L121-L122</f>
        <v>2943730.304</v>
      </c>
      <c r="M123" s="83" t="n">
        <f aca="false">M121-M122</f>
        <v>3110659.952</v>
      </c>
      <c r="N123" s="83" t="n">
        <f aca="false">N121-N122</f>
        <v>3486917.6</v>
      </c>
      <c r="O123" s="83" t="n">
        <f aca="false">O121-O122</f>
        <v>3444908</v>
      </c>
      <c r="P123" s="83" t="n">
        <f aca="false">P121-P122</f>
        <v>3402898.4</v>
      </c>
      <c r="Q123" s="83" t="n">
        <f aca="false">Q121-Q122</f>
        <v>3360888.8</v>
      </c>
      <c r="R123" s="83" t="n">
        <f aca="false">R121-R122</f>
        <v>3318874.4</v>
      </c>
      <c r="S123" s="83" t="n">
        <f aca="false">S121-S122</f>
        <v>3276864.8</v>
      </c>
      <c r="T123" s="83" t="n">
        <f aca="false">T121-T122</f>
        <v>3234855.2</v>
      </c>
      <c r="U123" s="83" t="n">
        <f aca="false">U121-U122</f>
        <v>3192845.6</v>
      </c>
      <c r="V123" s="83" t="n">
        <f aca="false">V121-V122</f>
        <v>3150836</v>
      </c>
      <c r="W123" s="83" t="n">
        <f aca="false">W121-W122</f>
        <v>3108826.4</v>
      </c>
      <c r="X123" s="102"/>
    </row>
    <row r="124" customFormat="false" ht="18.75" hidden="false" customHeight="true" outlineLevel="0" collapsed="false">
      <c r="A124" s="2"/>
      <c r="B124" s="89" t="s">
        <v>41</v>
      </c>
      <c r="C124" s="110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03"/>
    </row>
    <row r="125" customFormat="false" ht="18.75" hidden="false" customHeight="true" outlineLevel="0" collapsed="false">
      <c r="A125" s="2"/>
      <c r="B125" s="112" t="s">
        <v>42</v>
      </c>
      <c r="C125" s="113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04"/>
    </row>
    <row r="126" customFormat="false" ht="18.75" hidden="false" customHeight="true" outlineLevel="0" collapsed="false">
      <c r="A126" s="2"/>
      <c r="B126" s="103"/>
      <c r="C126" s="115" t="s">
        <v>0</v>
      </c>
      <c r="D126" s="116" t="n">
        <v>2020</v>
      </c>
      <c r="E126" s="116" t="n">
        <v>2021</v>
      </c>
      <c r="F126" s="116" t="n">
        <v>2022</v>
      </c>
      <c r="G126" s="116" t="n">
        <v>2023</v>
      </c>
      <c r="H126" s="116" t="n">
        <v>2024</v>
      </c>
      <c r="I126" s="116" t="n">
        <v>2025</v>
      </c>
      <c r="J126" s="116" t="n">
        <v>2026</v>
      </c>
      <c r="K126" s="116" t="n">
        <v>2027</v>
      </c>
      <c r="L126" s="116" t="n">
        <v>2028</v>
      </c>
      <c r="M126" s="116" t="n">
        <v>2029</v>
      </c>
      <c r="N126" s="116" t="n">
        <v>2030</v>
      </c>
      <c r="O126" s="116" t="n">
        <v>2031</v>
      </c>
      <c r="P126" s="116" t="n">
        <v>2032</v>
      </c>
      <c r="Q126" s="116" t="n">
        <v>2033</v>
      </c>
      <c r="R126" s="116" t="n">
        <v>2034</v>
      </c>
      <c r="S126" s="116" t="n">
        <v>2035</v>
      </c>
      <c r="T126" s="116" t="n">
        <v>2036</v>
      </c>
      <c r="U126" s="116" t="n">
        <v>2037</v>
      </c>
      <c r="V126" s="116" t="n">
        <v>2038</v>
      </c>
      <c r="W126" s="116" t="n">
        <v>2039</v>
      </c>
      <c r="X126" s="116"/>
    </row>
    <row r="127" customFormat="false" ht="18.75" hidden="false" customHeight="true" outlineLevel="0" collapsed="false">
      <c r="A127" s="2"/>
      <c r="B127" s="103"/>
      <c r="C127" s="103"/>
      <c r="D127" s="103"/>
      <c r="E127" s="103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03"/>
    </row>
    <row r="128" customFormat="false" ht="18.75" hidden="false" customHeight="true" outlineLevel="0" collapsed="false">
      <c r="A128" s="2"/>
      <c r="B128" s="118" t="s">
        <v>23</v>
      </c>
      <c r="C128" s="118" t="n">
        <v>0</v>
      </c>
      <c r="D128" s="118" t="n">
        <v>1</v>
      </c>
      <c r="E128" s="118" t="n">
        <v>2</v>
      </c>
      <c r="F128" s="118" t="n">
        <v>3</v>
      </c>
      <c r="G128" s="118" t="n">
        <v>4</v>
      </c>
      <c r="H128" s="118" t="n">
        <v>5</v>
      </c>
      <c r="I128" s="118" t="n">
        <v>6</v>
      </c>
      <c r="J128" s="118" t="n">
        <v>7</v>
      </c>
      <c r="K128" s="118" t="n">
        <v>8</v>
      </c>
      <c r="L128" s="118" t="n">
        <v>9</v>
      </c>
      <c r="M128" s="118" t="n">
        <v>10</v>
      </c>
      <c r="N128" s="118" t="n">
        <v>11</v>
      </c>
      <c r="O128" s="118" t="n">
        <v>12</v>
      </c>
      <c r="P128" s="118" t="n">
        <v>13</v>
      </c>
      <c r="Q128" s="118" t="n">
        <v>14</v>
      </c>
      <c r="R128" s="118" t="n">
        <v>15</v>
      </c>
      <c r="S128" s="118" t="n">
        <v>16</v>
      </c>
      <c r="T128" s="118" t="n">
        <v>17</v>
      </c>
      <c r="U128" s="118" t="n">
        <v>18</v>
      </c>
      <c r="V128" s="118" t="n">
        <v>19</v>
      </c>
      <c r="W128" s="118" t="n">
        <v>20</v>
      </c>
      <c r="X128" s="118"/>
    </row>
    <row r="129" customFormat="false" ht="18.75" hidden="false" customHeight="true" outlineLevel="0" collapsed="false">
      <c r="A129" s="2"/>
      <c r="B129" s="119" t="s">
        <v>47</v>
      </c>
      <c r="C129" s="119"/>
      <c r="D129" s="120" t="n">
        <f aca="false">D123</f>
        <v>1608293.12</v>
      </c>
      <c r="E129" s="120" t="n">
        <f aca="false">E123</f>
        <v>1775222.768</v>
      </c>
      <c r="F129" s="120" t="n">
        <f aca="false">F123</f>
        <v>1942152.416</v>
      </c>
      <c r="G129" s="120" t="n">
        <f aca="false">G123</f>
        <v>2109082.064</v>
      </c>
      <c r="H129" s="120" t="n">
        <f aca="false">H123</f>
        <v>2276011.712</v>
      </c>
      <c r="I129" s="120" t="n">
        <f aca="false">I123</f>
        <v>2442941.36</v>
      </c>
      <c r="J129" s="120" t="n">
        <f aca="false">J123</f>
        <v>2609871.008</v>
      </c>
      <c r="K129" s="120" t="n">
        <f aca="false">K123</f>
        <v>2776800.656</v>
      </c>
      <c r="L129" s="120" t="n">
        <f aca="false">L123</f>
        <v>2943730.304</v>
      </c>
      <c r="M129" s="120" t="n">
        <f aca="false">M123</f>
        <v>3110659.952</v>
      </c>
      <c r="N129" s="120" t="n">
        <f aca="false">N123</f>
        <v>3486917.6</v>
      </c>
      <c r="O129" s="120" t="n">
        <f aca="false">O123</f>
        <v>3444908</v>
      </c>
      <c r="P129" s="120" t="n">
        <f aca="false">P123</f>
        <v>3402898.4</v>
      </c>
      <c r="Q129" s="120" t="n">
        <f aca="false">Q123</f>
        <v>3360888.8</v>
      </c>
      <c r="R129" s="120" t="n">
        <f aca="false">R123</f>
        <v>3318874.4</v>
      </c>
      <c r="S129" s="120" t="n">
        <f aca="false">S123</f>
        <v>3276864.8</v>
      </c>
      <c r="T129" s="120" t="n">
        <f aca="false">T123</f>
        <v>3234855.2</v>
      </c>
      <c r="U129" s="120" t="n">
        <f aca="false">U123</f>
        <v>3192845.6</v>
      </c>
      <c r="V129" s="120" t="n">
        <f aca="false">V123</f>
        <v>3150836</v>
      </c>
      <c r="W129" s="120" t="n">
        <f aca="false">W123</f>
        <v>3108826.4</v>
      </c>
      <c r="X129" s="120"/>
    </row>
    <row r="130" customFormat="false" ht="15.75" hidden="false" customHeight="true" outlineLevel="0" collapsed="false">
      <c r="A130" s="2"/>
      <c r="B130" s="119" t="s">
        <v>16</v>
      </c>
      <c r="C130" s="119"/>
      <c r="D130" s="121" t="n">
        <f aca="false">D75</f>
        <v>5121060</v>
      </c>
      <c r="E130" s="121" t="n">
        <f aca="false">E75</f>
        <v>5121060</v>
      </c>
      <c r="F130" s="121" t="n">
        <f aca="false">F75</f>
        <v>5121060</v>
      </c>
      <c r="G130" s="121" t="n">
        <f aca="false">G75</f>
        <v>5121060</v>
      </c>
      <c r="H130" s="121" t="n">
        <f aca="false">H75</f>
        <v>5121060</v>
      </c>
      <c r="I130" s="121" t="n">
        <f aca="false">I75</f>
        <v>5121060</v>
      </c>
      <c r="J130" s="121" t="n">
        <f aca="false">J75</f>
        <v>5121060</v>
      </c>
      <c r="K130" s="121" t="n">
        <f aca="false">K75</f>
        <v>5121060</v>
      </c>
      <c r="L130" s="121" t="n">
        <f aca="false">L75</f>
        <v>5121060</v>
      </c>
      <c r="M130" s="121" t="n">
        <f aca="false">M75</f>
        <v>5121060</v>
      </c>
      <c r="N130" s="121" t="n">
        <f aca="false">N75</f>
        <v>5121060</v>
      </c>
      <c r="O130" s="121" t="n">
        <f aca="false">O75</f>
        <v>5121060</v>
      </c>
      <c r="P130" s="121" t="n">
        <f aca="false">P75</f>
        <v>5121060</v>
      </c>
      <c r="Q130" s="121" t="n">
        <f aca="false">Q75</f>
        <v>5121060</v>
      </c>
      <c r="R130" s="121" t="n">
        <f aca="false">R75</f>
        <v>5121060</v>
      </c>
      <c r="S130" s="121" t="n">
        <f aca="false">S75</f>
        <v>5121060</v>
      </c>
      <c r="T130" s="121" t="n">
        <f aca="false">T75</f>
        <v>5121060</v>
      </c>
      <c r="U130" s="121" t="n">
        <f aca="false">U75</f>
        <v>5121060</v>
      </c>
      <c r="V130" s="121" t="n">
        <f aca="false">V75</f>
        <v>5121060</v>
      </c>
      <c r="W130" s="121" t="n">
        <f aca="false">W75</f>
        <v>5121060</v>
      </c>
      <c r="X130" s="121"/>
    </row>
    <row r="131" customFormat="false" ht="15.75" hidden="false" customHeight="true" outlineLevel="0" collapsed="false">
      <c r="A131" s="2"/>
      <c r="B131" s="119" t="s">
        <v>48</v>
      </c>
      <c r="C131" s="119"/>
      <c r="D131" s="122" t="n">
        <f aca="false">D129+D130</f>
        <v>6729353.12</v>
      </c>
      <c r="E131" s="122" t="n">
        <f aca="false">E129+E130</f>
        <v>6896282.768</v>
      </c>
      <c r="F131" s="122" t="n">
        <f aca="false">F129+F130</f>
        <v>7063212.416</v>
      </c>
      <c r="G131" s="122" t="n">
        <f aca="false">G129+G130</f>
        <v>7230142.064</v>
      </c>
      <c r="H131" s="122" t="n">
        <f aca="false">H129+H130</f>
        <v>7397071.712</v>
      </c>
      <c r="I131" s="122" t="n">
        <f aca="false">I129+I130</f>
        <v>7564001.36</v>
      </c>
      <c r="J131" s="122" t="n">
        <f aca="false">J129+J130</f>
        <v>7730931.008</v>
      </c>
      <c r="K131" s="122" t="n">
        <f aca="false">K129+K130</f>
        <v>7897860.656</v>
      </c>
      <c r="L131" s="122" t="n">
        <f aca="false">L129+L130</f>
        <v>8064790.304</v>
      </c>
      <c r="M131" s="122" t="n">
        <f aca="false">M129+M130</f>
        <v>8231719.952</v>
      </c>
      <c r="N131" s="122" t="n">
        <f aca="false">N129+N130</f>
        <v>8607977.6</v>
      </c>
      <c r="O131" s="122" t="n">
        <f aca="false">O129+O130</f>
        <v>8565968</v>
      </c>
      <c r="P131" s="122" t="n">
        <f aca="false">P129+P130</f>
        <v>8523958.4</v>
      </c>
      <c r="Q131" s="122" t="n">
        <f aca="false">Q129+Q130</f>
        <v>8481948.8</v>
      </c>
      <c r="R131" s="122" t="n">
        <f aca="false">R129+R130</f>
        <v>8439934.4</v>
      </c>
      <c r="S131" s="122" t="n">
        <f aca="false">S129+S130</f>
        <v>8397924.8</v>
      </c>
      <c r="T131" s="122" t="n">
        <f aca="false">T129+T130</f>
        <v>8355915.2</v>
      </c>
      <c r="U131" s="122" t="n">
        <f aca="false">U129+U130</f>
        <v>8313905.6</v>
      </c>
      <c r="V131" s="122" t="n">
        <f aca="false">V129+V130</f>
        <v>8271896</v>
      </c>
      <c r="W131" s="122" t="n">
        <f aca="false">W129+W130</f>
        <v>8229886.4</v>
      </c>
      <c r="X131" s="122"/>
    </row>
    <row r="132" customFormat="false" ht="15.75" hidden="false" customHeight="true" outlineLevel="0" collapsed="false">
      <c r="A132" s="2"/>
      <c r="B132" s="119"/>
      <c r="C132" s="119"/>
      <c r="D132" s="119"/>
      <c r="E132" s="119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19"/>
    </row>
    <row r="133" customFormat="false" ht="15.75" hidden="false" customHeight="true" outlineLevel="0" collapsed="false">
      <c r="A133" s="2"/>
      <c r="B133" s="124" t="s">
        <v>49</v>
      </c>
      <c r="C133" s="125"/>
      <c r="D133" s="126" t="n">
        <f aca="false">C89</f>
        <v>-102421200</v>
      </c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</row>
    <row r="134" customFormat="false" ht="15.75" hidden="false" customHeight="true" outlineLevel="0" collapsed="false">
      <c r="A134" s="2"/>
      <c r="B134" s="119"/>
      <c r="C134" s="119"/>
      <c r="D134" s="119"/>
      <c r="E134" s="119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19"/>
    </row>
    <row r="135" customFormat="false" ht="15.75" hidden="false" customHeight="true" outlineLevel="0" collapsed="false">
      <c r="A135" s="2"/>
      <c r="B135" s="119"/>
      <c r="C135" s="119"/>
      <c r="D135" s="119"/>
      <c r="E135" s="119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19"/>
    </row>
    <row r="136" customFormat="false" ht="15.75" hidden="false" customHeight="true" outlineLevel="0" collapsed="false">
      <c r="A136" s="2"/>
      <c r="B136" s="124" t="s">
        <v>50</v>
      </c>
      <c r="C136" s="125"/>
      <c r="D136" s="126" t="n">
        <f aca="false">-D133*C77</f>
        <v>87058020</v>
      </c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</row>
    <row r="137" customFormat="false" ht="15.75" hidden="false" customHeight="true" outlineLevel="0" collapsed="false">
      <c r="A137" s="2"/>
      <c r="B137" s="119" t="s">
        <v>51</v>
      </c>
      <c r="C137" s="119"/>
      <c r="D137" s="127"/>
      <c r="E137" s="127" t="n">
        <f aca="false">-D136/C78</f>
        <v>-8705802</v>
      </c>
      <c r="F137" s="127" t="n">
        <f aca="false">-D136/C78</f>
        <v>-8705802</v>
      </c>
      <c r="G137" s="127" t="n">
        <f aca="false">-D136/C78</f>
        <v>-8705802</v>
      </c>
      <c r="H137" s="127" t="n">
        <f aca="false">-D136/C78</f>
        <v>-8705802</v>
      </c>
      <c r="I137" s="127" t="n">
        <f aca="false">-D136/C78</f>
        <v>-8705802</v>
      </c>
      <c r="J137" s="127" t="n">
        <f aca="false">-D136/C78</f>
        <v>-8705802</v>
      </c>
      <c r="K137" s="127" t="n">
        <f aca="false">-D136/C78</f>
        <v>-8705802</v>
      </c>
      <c r="L137" s="127" t="n">
        <f aca="false">-D136/C78</f>
        <v>-8705802</v>
      </c>
      <c r="M137" s="127" t="n">
        <f aca="false">-D136/C78</f>
        <v>-8705802</v>
      </c>
      <c r="N137" s="127" t="n">
        <f aca="false">-D136/C78</f>
        <v>-8705802</v>
      </c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</row>
    <row r="138" customFormat="false" ht="15.75" hidden="false" customHeight="true" outlineLevel="0" collapsed="false">
      <c r="A138" s="128"/>
      <c r="B138" s="119" t="s">
        <v>52</v>
      </c>
      <c r="C138" s="123"/>
      <c r="D138" s="120" t="n">
        <f aca="false">-D133*(1-C77)</f>
        <v>15363180</v>
      </c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</row>
    <row r="139" customFormat="false" ht="15.75" hidden="false" customHeight="true" outlineLevel="0" collapsed="false">
      <c r="A139" s="128"/>
      <c r="B139" s="119" t="s">
        <v>53</v>
      </c>
      <c r="C139" s="123"/>
      <c r="D139" s="123"/>
      <c r="E139" s="129" t="n">
        <f aca="false">-D129*C79</f>
        <v>-1447463.808</v>
      </c>
      <c r="F139" s="129" t="n">
        <f aca="false">-E129*C79</f>
        <v>-1597700.4912</v>
      </c>
      <c r="G139" s="129" t="n">
        <f aca="false">-F129*C79</f>
        <v>-1747937.1744</v>
      </c>
      <c r="H139" s="129" t="n">
        <f aca="false">-G129*C79</f>
        <v>-1898173.8576</v>
      </c>
      <c r="I139" s="129" t="n">
        <f aca="false">-H129*C79</f>
        <v>-2048410.5408</v>
      </c>
      <c r="J139" s="129" t="n">
        <f aca="false">-I129*C79</f>
        <v>-2198647.224</v>
      </c>
      <c r="K139" s="129" t="n">
        <f aca="false">-J129*C79</f>
        <v>-2348883.9072</v>
      </c>
      <c r="L139" s="129" t="n">
        <f aca="false">-K129*C79</f>
        <v>-2499120.5904</v>
      </c>
      <c r="M139" s="129" t="n">
        <f aca="false">-L129*C79</f>
        <v>-2649357.2736</v>
      </c>
      <c r="N139" s="129" t="n">
        <f aca="false">-M129*C79</f>
        <v>-2799593.9568</v>
      </c>
      <c r="O139" s="129" t="n">
        <f aca="false">-N129*C79</f>
        <v>-3138225.84</v>
      </c>
      <c r="P139" s="129" t="n">
        <f aca="false">-O129*C79</f>
        <v>-3100417.2</v>
      </c>
      <c r="Q139" s="129" t="n">
        <f aca="false">-P129*C79</f>
        <v>-3062608.56</v>
      </c>
      <c r="R139" s="129" t="n">
        <f aca="false">-Q129*C79</f>
        <v>-3024799.92</v>
      </c>
      <c r="S139" s="129" t="n">
        <f aca="false">-R129*C79</f>
        <v>-2986986.96</v>
      </c>
      <c r="T139" s="129" t="n">
        <f aca="false">-S129*C79</f>
        <v>-2949178.32</v>
      </c>
      <c r="U139" s="129" t="n">
        <f aca="false">-T129*C79</f>
        <v>-2911369.68</v>
      </c>
      <c r="V139" s="129" t="n">
        <f aca="false">-U129*C79</f>
        <v>-2873561.04</v>
      </c>
      <c r="W139" s="129" t="n">
        <f aca="false">-V129*C79</f>
        <v>-2835752.4</v>
      </c>
      <c r="X139" s="129"/>
    </row>
    <row r="140" customFormat="false" ht="15.75" hidden="false" customHeight="true" outlineLevel="0" collapsed="false">
      <c r="A140" s="128"/>
      <c r="B140" s="130" t="s">
        <v>54</v>
      </c>
      <c r="C140" s="131"/>
      <c r="D140" s="131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 t="n">
        <f aca="false">-D138/C80</f>
        <v>-3840795</v>
      </c>
      <c r="U140" s="132" t="n">
        <f aca="false">-D138/C80</f>
        <v>-3840795</v>
      </c>
      <c r="V140" s="132" t="n">
        <f aca="false">-D138/C80</f>
        <v>-3840795</v>
      </c>
      <c r="W140" s="132" t="n">
        <f aca="false">-D138/C80</f>
        <v>-3840795</v>
      </c>
      <c r="X140" s="132"/>
    </row>
    <row r="141" customFormat="false" ht="15.75" hidden="false" customHeight="true" outlineLevel="0" collapsed="false">
      <c r="A141" s="128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</row>
    <row r="142" customFormat="false" ht="15.75" hidden="false" customHeight="true" outlineLevel="0" collapsed="false">
      <c r="A142" s="128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</row>
    <row r="143" customFormat="false" ht="15.75" hidden="false" customHeight="true" outlineLevel="0" collapsed="false">
      <c r="A143" s="128"/>
      <c r="B143" s="119" t="s">
        <v>55</v>
      </c>
      <c r="C143" s="120" t="n">
        <v>0</v>
      </c>
      <c r="D143" s="120" t="n">
        <f aca="false">SUM(D131:D140)</f>
        <v>6729353.12</v>
      </c>
      <c r="E143" s="120" t="n">
        <f aca="false">SUM(E131:E140)</f>
        <v>-3256983.04</v>
      </c>
      <c r="F143" s="120" t="n">
        <f aca="false">SUM(F131:F140)</f>
        <v>-3240290.0752</v>
      </c>
      <c r="G143" s="120" t="n">
        <f aca="false">SUM(G131:G140)</f>
        <v>-3223597.1104</v>
      </c>
      <c r="H143" s="120" t="n">
        <f aca="false">SUM(H131:H140)</f>
        <v>-3206904.1456</v>
      </c>
      <c r="I143" s="120" t="n">
        <f aca="false">SUM(I131:I140)</f>
        <v>-3190211.1808</v>
      </c>
      <c r="J143" s="120" t="n">
        <f aca="false">SUM(J131:J140)</f>
        <v>-3173518.216</v>
      </c>
      <c r="K143" s="120" t="n">
        <f aca="false">SUM(K131:K140)</f>
        <v>-3156825.2512</v>
      </c>
      <c r="L143" s="120" t="n">
        <f aca="false">SUM(L131:L140)</f>
        <v>-3140132.2864</v>
      </c>
      <c r="M143" s="120" t="n">
        <f aca="false">SUM(M131:M140)</f>
        <v>-3123439.3216</v>
      </c>
      <c r="N143" s="120" t="n">
        <f aca="false">SUM(N131:N140)</f>
        <v>-2897418.3568</v>
      </c>
      <c r="O143" s="120" t="n">
        <f aca="false">SUM(O131:O140)</f>
        <v>5427742.16</v>
      </c>
      <c r="P143" s="120" t="n">
        <f aca="false">SUM(P131:P140)</f>
        <v>5423541.2</v>
      </c>
      <c r="Q143" s="120" t="n">
        <f aca="false">SUM(Q131:Q140)</f>
        <v>5419340.24</v>
      </c>
      <c r="R143" s="120" t="n">
        <f aca="false">SUM(R131:R140)</f>
        <v>5415134.48</v>
      </c>
      <c r="S143" s="120" t="n">
        <f aca="false">SUM(S131:S140)</f>
        <v>5410937.84</v>
      </c>
      <c r="T143" s="120" t="n">
        <f aca="false">SUM(T131:T140)</f>
        <v>1565941.88</v>
      </c>
      <c r="U143" s="120" t="n">
        <f aca="false">SUM(U131:U140)</f>
        <v>1561740.92</v>
      </c>
      <c r="V143" s="120" t="n">
        <f aca="false">SUM(V131:V140)</f>
        <v>1557539.96</v>
      </c>
      <c r="W143" s="120" t="n">
        <f aca="false">SUM(W131:W140)</f>
        <v>1553339</v>
      </c>
      <c r="X143" s="120"/>
    </row>
    <row r="144" customFormat="false" ht="15.75" hidden="false" customHeight="true" outlineLevel="0" collapsed="false">
      <c r="A144" s="128"/>
      <c r="B144" s="119" t="s">
        <v>56</v>
      </c>
      <c r="C144" s="120" t="n">
        <v>0</v>
      </c>
      <c r="D144" s="120" t="n">
        <v>0</v>
      </c>
      <c r="E144" s="120" t="n">
        <f aca="false">D145</f>
        <v>6729353.12</v>
      </c>
      <c r="F144" s="120" t="n">
        <f aca="false">E145</f>
        <v>3472370.08</v>
      </c>
      <c r="G144" s="120" t="n">
        <f aca="false">F145</f>
        <v>232080.004800003</v>
      </c>
      <c r="H144" s="120" t="n">
        <f aca="false">G145</f>
        <v>-2991517.1056</v>
      </c>
      <c r="I144" s="120" t="n">
        <f aca="false">H145</f>
        <v>-6198421.2512</v>
      </c>
      <c r="J144" s="120" t="n">
        <f aca="false">I145</f>
        <v>-9388632.432</v>
      </c>
      <c r="K144" s="120" t="n">
        <f aca="false">J145</f>
        <v>-12562150.648</v>
      </c>
      <c r="L144" s="120" t="n">
        <f aca="false">K145</f>
        <v>-15718975.8992</v>
      </c>
      <c r="M144" s="120" t="n">
        <f aca="false">L145</f>
        <v>-18859108.1856</v>
      </c>
      <c r="N144" s="120" t="n">
        <f aca="false">M145</f>
        <v>-21982547.5072</v>
      </c>
      <c r="O144" s="120" t="n">
        <f aca="false">N145</f>
        <v>-24879965.864</v>
      </c>
      <c r="P144" s="120" t="n">
        <f aca="false">O145</f>
        <v>-19452223.704</v>
      </c>
      <c r="Q144" s="120" t="n">
        <f aca="false">P145</f>
        <v>-14028682.504</v>
      </c>
      <c r="R144" s="120" t="n">
        <f aca="false">Q145</f>
        <v>-8609342.264</v>
      </c>
      <c r="S144" s="120" t="n">
        <f aca="false">R145</f>
        <v>-3194207.784</v>
      </c>
      <c r="T144" s="120" t="n">
        <f aca="false">S145</f>
        <v>2216730.056</v>
      </c>
      <c r="U144" s="120" t="n">
        <f aca="false">T145</f>
        <v>3782671.936</v>
      </c>
      <c r="V144" s="120" t="n">
        <f aca="false">U145</f>
        <v>5344412.856</v>
      </c>
      <c r="W144" s="120" t="n">
        <f aca="false">V145</f>
        <v>6901952.816</v>
      </c>
      <c r="X144" s="120"/>
    </row>
    <row r="145" customFormat="false" ht="15.75" hidden="false" customHeight="true" outlineLevel="0" collapsed="false">
      <c r="A145" s="128"/>
      <c r="B145" s="119" t="s">
        <v>57</v>
      </c>
      <c r="C145" s="120" t="n">
        <v>0</v>
      </c>
      <c r="D145" s="120" t="n">
        <f aca="false">D143+D144</f>
        <v>6729353.12</v>
      </c>
      <c r="E145" s="120" t="n">
        <f aca="false">E143+E144</f>
        <v>3472370.08</v>
      </c>
      <c r="F145" s="120" t="n">
        <f aca="false">F143+F144</f>
        <v>232080.004800003</v>
      </c>
      <c r="G145" s="120" t="n">
        <f aca="false">G143+G144</f>
        <v>-2991517.1056</v>
      </c>
      <c r="H145" s="120" t="n">
        <f aca="false">H143+H144</f>
        <v>-6198421.2512</v>
      </c>
      <c r="I145" s="120" t="n">
        <f aca="false">I143+I144</f>
        <v>-9388632.432</v>
      </c>
      <c r="J145" s="120" t="n">
        <f aca="false">J143+J144</f>
        <v>-12562150.648</v>
      </c>
      <c r="K145" s="120" t="n">
        <f aca="false">K143+K144</f>
        <v>-15718975.8992</v>
      </c>
      <c r="L145" s="120" t="n">
        <f aca="false">L143+L144</f>
        <v>-18859108.1856</v>
      </c>
      <c r="M145" s="120" t="n">
        <f aca="false">M143+M144</f>
        <v>-21982547.5072</v>
      </c>
      <c r="N145" s="120" t="n">
        <f aca="false">N143+N144</f>
        <v>-24879965.864</v>
      </c>
      <c r="O145" s="120" t="n">
        <f aca="false">O143+O144</f>
        <v>-19452223.704</v>
      </c>
      <c r="P145" s="120" t="n">
        <f aca="false">P143+P144</f>
        <v>-14028682.504</v>
      </c>
      <c r="Q145" s="120" t="n">
        <f aca="false">Q143+Q144</f>
        <v>-8609342.264</v>
      </c>
      <c r="R145" s="120" t="n">
        <f aca="false">R143+R144</f>
        <v>-3194207.784</v>
      </c>
      <c r="S145" s="120" t="n">
        <f aca="false">S143+S144</f>
        <v>2216730.056</v>
      </c>
      <c r="T145" s="120" t="n">
        <f aca="false">T143+T144</f>
        <v>3782671.936</v>
      </c>
      <c r="U145" s="120" t="n">
        <f aca="false">U143+U144</f>
        <v>5344412.856</v>
      </c>
      <c r="V145" s="120" t="n">
        <f aca="false">V143+V144</f>
        <v>6901952.816</v>
      </c>
      <c r="W145" s="120" t="n">
        <f aca="false">W143+W144</f>
        <v>8455291.816</v>
      </c>
      <c r="X145" s="120"/>
    </row>
    <row r="146" customFormat="false" ht="15.75" hidden="false" customHeight="true" outlineLevel="0" collapsed="false"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</row>
    <row r="147" customFormat="false" ht="15.75" hidden="false" customHeight="true" outlineLevel="0" collapsed="false">
      <c r="B147" s="119"/>
      <c r="C147" s="119"/>
      <c r="D147" s="119"/>
      <c r="E147" s="119"/>
      <c r="F147" s="123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</row>
    <row r="148" customFormat="false" ht="15.75" hidden="false" customHeight="true" outlineLevel="0" collapsed="false">
      <c r="B148" s="133" t="s">
        <v>58</v>
      </c>
      <c r="C148" s="134"/>
      <c r="D148" s="135" t="n">
        <f aca="false">-D138</f>
        <v>-15363180</v>
      </c>
      <c r="E148" s="122" t="n">
        <f aca="false">-E139-E140</f>
        <v>1447463.808</v>
      </c>
      <c r="F148" s="122" t="n">
        <f aca="false">-F139-F140</f>
        <v>1597700.4912</v>
      </c>
      <c r="G148" s="122" t="n">
        <f aca="false">-G139-G140</f>
        <v>1747937.1744</v>
      </c>
      <c r="H148" s="122" t="n">
        <f aca="false">-H139-H140</f>
        <v>1898173.8576</v>
      </c>
      <c r="I148" s="122" t="n">
        <f aca="false">-I139-I140</f>
        <v>2048410.5408</v>
      </c>
      <c r="J148" s="122" t="n">
        <f aca="false">-J139-J140</f>
        <v>2198647.224</v>
      </c>
      <c r="K148" s="122" t="n">
        <f aca="false">-K139-K140</f>
        <v>2348883.9072</v>
      </c>
      <c r="L148" s="122" t="n">
        <f aca="false">-L139-L140</f>
        <v>2499120.5904</v>
      </c>
      <c r="M148" s="122" t="n">
        <f aca="false">-M139-M140</f>
        <v>2649357.2736</v>
      </c>
      <c r="N148" s="122" t="n">
        <f aca="false">-N139-N140</f>
        <v>2799593.9568</v>
      </c>
      <c r="O148" s="122" t="n">
        <f aca="false">-O139-O140</f>
        <v>3138225.84</v>
      </c>
      <c r="P148" s="122" t="n">
        <f aca="false">-P139-P140</f>
        <v>3100417.2</v>
      </c>
      <c r="Q148" s="122" t="n">
        <f aca="false">-Q139-Q140</f>
        <v>3062608.56</v>
      </c>
      <c r="R148" s="122" t="n">
        <f aca="false">-R139-R140</f>
        <v>3024799.92</v>
      </c>
      <c r="S148" s="122" t="n">
        <f aca="false">-S139-S140</f>
        <v>2986986.96</v>
      </c>
      <c r="T148" s="122" t="n">
        <f aca="false">-T139-T140</f>
        <v>6789973.32</v>
      </c>
      <c r="U148" s="122" t="n">
        <f aca="false">-U139-U140</f>
        <v>6752164.68</v>
      </c>
      <c r="V148" s="122" t="n">
        <f aca="false">-V139-V140</f>
        <v>6714356.04</v>
      </c>
      <c r="W148" s="122" t="n">
        <f aca="false">-W139-W140</f>
        <v>6676547.4</v>
      </c>
      <c r="X148" s="122"/>
    </row>
    <row r="149" customFormat="false" ht="15.75" hidden="false" customHeight="true" outlineLevel="0" collapsed="false">
      <c r="B149" s="119" t="s">
        <v>59</v>
      </c>
      <c r="C149" s="136" t="n">
        <f aca="false">IRR(D148:W148)</f>
        <v>0.14419105189294</v>
      </c>
      <c r="D149" s="123"/>
      <c r="E149" s="123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23"/>
    </row>
    <row r="150" customFormat="false" ht="15.75" hidden="false" customHeight="true" outlineLevel="0" collapsed="false">
      <c r="B150" s="133" t="s">
        <v>60</v>
      </c>
      <c r="C150" s="134"/>
      <c r="D150" s="135" t="n">
        <f aca="false">D129-D138</f>
        <v>-13754886.88</v>
      </c>
      <c r="E150" s="122" t="n">
        <f aca="false">E129-E140</f>
        <v>1775222.768</v>
      </c>
      <c r="F150" s="122" t="n">
        <f aca="false">F129-F140</f>
        <v>1942152.416</v>
      </c>
      <c r="G150" s="122" t="n">
        <f aca="false">G129-G140</f>
        <v>2109082.064</v>
      </c>
      <c r="H150" s="122" t="n">
        <f aca="false">H129-H140</f>
        <v>2276011.712</v>
      </c>
      <c r="I150" s="122" t="n">
        <f aca="false">I129-I140</f>
        <v>2442941.36</v>
      </c>
      <c r="J150" s="122" t="n">
        <f aca="false">J129-J140</f>
        <v>2609871.008</v>
      </c>
      <c r="K150" s="122" t="n">
        <f aca="false">K129-K140</f>
        <v>2776800.656</v>
      </c>
      <c r="L150" s="122" t="n">
        <f aca="false">L129-L140</f>
        <v>2943730.304</v>
      </c>
      <c r="M150" s="122" t="n">
        <f aca="false">M129-M140</f>
        <v>3110659.952</v>
      </c>
      <c r="N150" s="122" t="n">
        <f aca="false">N129-N140</f>
        <v>3486917.6</v>
      </c>
      <c r="O150" s="122" t="n">
        <f aca="false">O129-O140</f>
        <v>3444908</v>
      </c>
      <c r="P150" s="122" t="n">
        <f aca="false">P129-P140</f>
        <v>3402898.4</v>
      </c>
      <c r="Q150" s="122" t="n">
        <f aca="false">Q129-Q140</f>
        <v>3360888.8</v>
      </c>
      <c r="R150" s="122" t="n">
        <f aca="false">R129-R140</f>
        <v>3318874.4</v>
      </c>
      <c r="S150" s="122" t="n">
        <f aca="false">S129-S140</f>
        <v>3276864.8</v>
      </c>
      <c r="T150" s="122" t="n">
        <f aca="false">T129-T140</f>
        <v>7075650.2</v>
      </c>
      <c r="U150" s="122" t="n">
        <f aca="false">U129-U140</f>
        <v>7033640.6</v>
      </c>
      <c r="V150" s="122" t="n">
        <f aca="false">V129-V140</f>
        <v>6991631</v>
      </c>
      <c r="W150" s="122" t="n">
        <f aca="false">W129-W140</f>
        <v>6949621.4</v>
      </c>
      <c r="X150" s="122"/>
    </row>
    <row r="151" customFormat="false" ht="15.75" hidden="false" customHeight="true" outlineLevel="0" collapsed="false">
      <c r="B151" s="133" t="s">
        <v>61</v>
      </c>
      <c r="C151" s="136" t="n">
        <f aca="false">IRR(D150:W150)</f>
        <v>0.182964441156574</v>
      </c>
      <c r="D151" s="123"/>
      <c r="E151" s="123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23"/>
    </row>
    <row r="152" customFormat="false" ht="15.75" hidden="false" customHeight="true" outlineLevel="0" collapsed="false"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</row>
    <row r="153" customFormat="false" ht="15.75" hidden="false" customHeight="true" outlineLevel="0" collapsed="false">
      <c r="B153" s="119" t="s">
        <v>62</v>
      </c>
      <c r="C153" s="120" t="n">
        <v>0</v>
      </c>
      <c r="D153" s="120" t="n">
        <f aca="false">D136</f>
        <v>87058020</v>
      </c>
      <c r="E153" s="120" t="n">
        <f aca="false">D153+E137</f>
        <v>78352218</v>
      </c>
      <c r="F153" s="120" t="n">
        <f aca="false">E153+F137</f>
        <v>69646416</v>
      </c>
      <c r="G153" s="120" t="n">
        <f aca="false">F153+G137</f>
        <v>60940614</v>
      </c>
      <c r="H153" s="120" t="n">
        <f aca="false">G153+H137</f>
        <v>52234812</v>
      </c>
      <c r="I153" s="120" t="n">
        <f aca="false">H153+I137</f>
        <v>43529010</v>
      </c>
      <c r="J153" s="120" t="n">
        <f aca="false">I153+J137</f>
        <v>34823208</v>
      </c>
      <c r="K153" s="120" t="n">
        <f aca="false">J153+K137</f>
        <v>26117406</v>
      </c>
      <c r="L153" s="120" t="n">
        <f aca="false">K153+L137</f>
        <v>17411604</v>
      </c>
      <c r="M153" s="120" t="n">
        <f aca="false">L153+M137</f>
        <v>8705802</v>
      </c>
      <c r="N153" s="120" t="n">
        <f aca="false">M153+N137</f>
        <v>0</v>
      </c>
      <c r="O153" s="120" t="n">
        <f aca="false">N153+O137</f>
        <v>0</v>
      </c>
      <c r="P153" s="120" t="n">
        <f aca="false">O153+P137</f>
        <v>0</v>
      </c>
      <c r="Q153" s="120" t="n">
        <f aca="false">P153+Q137</f>
        <v>0</v>
      </c>
      <c r="R153" s="120" t="n">
        <f aca="false">Q153+R137</f>
        <v>0</v>
      </c>
      <c r="S153" s="120" t="n">
        <f aca="false">R153+S137</f>
        <v>0</v>
      </c>
      <c r="T153" s="120" t="n">
        <f aca="false">S153+T137</f>
        <v>0</v>
      </c>
      <c r="U153" s="120" t="n">
        <f aca="false">T153+U137</f>
        <v>0</v>
      </c>
      <c r="V153" s="120" t="n">
        <f aca="false">U153+V137</f>
        <v>0</v>
      </c>
      <c r="W153" s="120" t="n">
        <f aca="false">V153+W137</f>
        <v>0</v>
      </c>
      <c r="X153" s="1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45.49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137" t="s">
        <v>63</v>
      </c>
      <c r="C1" s="138"/>
      <c r="D1" s="138"/>
      <c r="E1" s="139"/>
      <c r="F1" s="140" t="s">
        <v>64</v>
      </c>
      <c r="P1" s="141" t="n">
        <f aca="false">1-D11</f>
        <v>0.99</v>
      </c>
      <c r="Q1" s="141" t="n">
        <f aca="false">P1-$D12</f>
        <v>0.986</v>
      </c>
      <c r="R1" s="141" t="n">
        <f aca="false">Q1-$D12</f>
        <v>0.982</v>
      </c>
      <c r="S1" s="141" t="n">
        <f aca="false">R1-$D12</f>
        <v>0.978</v>
      </c>
      <c r="T1" s="141" t="n">
        <f aca="false">S1-$D12</f>
        <v>0.974</v>
      </c>
      <c r="U1" s="141" t="n">
        <f aca="false">T1-$D12</f>
        <v>0.97</v>
      </c>
      <c r="V1" s="141" t="n">
        <f aca="false">U1-$D12</f>
        <v>0.966</v>
      </c>
      <c r="W1" s="141" t="n">
        <f aca="false">V1-$D12</f>
        <v>0.962</v>
      </c>
      <c r="X1" s="141" t="n">
        <f aca="false">W1-$D12</f>
        <v>0.958</v>
      </c>
      <c r="Y1" s="141" t="n">
        <f aca="false">X1-$D12</f>
        <v>0.954</v>
      </c>
      <c r="Z1" s="141" t="n">
        <f aca="false">Y1-$D12</f>
        <v>0.95</v>
      </c>
      <c r="AA1" s="141" t="n">
        <f aca="false">Z1-$D12</f>
        <v>0.946</v>
      </c>
      <c r="AB1" s="141" t="n">
        <f aca="false">AA1-$D12</f>
        <v>0.942</v>
      </c>
      <c r="AC1" s="141" t="n">
        <f aca="false">AB1-$D12</f>
        <v>0.938</v>
      </c>
      <c r="AD1" s="141" t="n">
        <f aca="false">AC1-$D12</f>
        <v>0.934</v>
      </c>
      <c r="AE1" s="141" t="n">
        <f aca="false">AD1-$D12</f>
        <v>0.93</v>
      </c>
      <c r="AF1" s="141" t="n">
        <f aca="false">AE1-$D12</f>
        <v>0.926</v>
      </c>
      <c r="AG1" s="141" t="n">
        <f aca="false">AF1-$D12</f>
        <v>0.922</v>
      </c>
      <c r="AH1" s="141" t="n">
        <f aca="false">AG1-$D12</f>
        <v>0.918</v>
      </c>
      <c r="AI1" s="141" t="n">
        <f aca="false">AH1-$D12</f>
        <v>0.914</v>
      </c>
    </row>
    <row r="2" customFormat="false" ht="21.75" hidden="false" customHeight="true" outlineLevel="0" collapsed="false">
      <c r="B2" s="142" t="s">
        <v>65</v>
      </c>
      <c r="C2" s="143" t="s">
        <v>2</v>
      </c>
      <c r="D2" s="144" t="s">
        <v>26</v>
      </c>
      <c r="E2" s="145" t="s">
        <v>26</v>
      </c>
      <c r="F2" s="146" t="s">
        <v>66</v>
      </c>
    </row>
    <row r="3" customFormat="false" ht="21.75" hidden="false" customHeight="true" outlineLevel="0" collapsed="false">
      <c r="B3" s="147" t="s">
        <v>67</v>
      </c>
      <c r="C3" s="148" t="n">
        <v>20</v>
      </c>
      <c r="D3" s="149" t="s">
        <v>26</v>
      </c>
      <c r="E3" s="150" t="s">
        <v>26</v>
      </c>
      <c r="F3" s="151" t="s">
        <v>68</v>
      </c>
    </row>
    <row r="4" customFormat="false" ht="21.75" hidden="false" customHeight="true" outlineLevel="0" collapsed="false">
      <c r="B4" s="147" t="s">
        <v>69</v>
      </c>
      <c r="C4" s="148" t="n">
        <v>436.1</v>
      </c>
      <c r="D4" s="149" t="s">
        <v>26</v>
      </c>
      <c r="E4" s="150" t="s">
        <v>26</v>
      </c>
      <c r="F4" s="151" t="s">
        <v>70</v>
      </c>
      <c r="M4" s="152" t="s">
        <v>71</v>
      </c>
    </row>
    <row r="5" customFormat="false" ht="22.5" hidden="false" customHeight="true" outlineLevel="0" collapsed="false">
      <c r="B5" s="153" t="s">
        <v>72</v>
      </c>
      <c r="C5" s="148" t="n">
        <v>2020</v>
      </c>
      <c r="D5" s="153" t="s">
        <v>73</v>
      </c>
      <c r="E5" s="154" t="n">
        <v>2039</v>
      </c>
      <c r="F5" s="151" t="s">
        <v>74</v>
      </c>
      <c r="M5" s="152" t="s">
        <v>75</v>
      </c>
    </row>
    <row r="6" customFormat="false" ht="20.25" hidden="false" customHeight="true" outlineLevel="0" collapsed="false">
      <c r="B6" s="155"/>
      <c r="C6" s="155"/>
      <c r="D6" s="155"/>
      <c r="E6" s="155"/>
      <c r="M6" s="152" t="s">
        <v>76</v>
      </c>
    </row>
    <row r="7" customFormat="false" ht="22.5" hidden="false" customHeight="true" outlineLevel="0" collapsed="false">
      <c r="B7" s="137" t="s">
        <v>77</v>
      </c>
      <c r="C7" s="138"/>
      <c r="D7" s="138"/>
      <c r="E7" s="139"/>
      <c r="M7" s="152" t="s">
        <v>78</v>
      </c>
    </row>
    <row r="8" customFormat="false" ht="22.5" hidden="false" customHeight="true" outlineLevel="0" collapsed="false">
      <c r="B8" s="156" t="s">
        <v>79</v>
      </c>
      <c r="E8" s="157"/>
      <c r="M8" s="152" t="s">
        <v>80</v>
      </c>
    </row>
    <row r="9" customFormat="false" ht="22.5" hidden="false" customHeight="true" outlineLevel="0" collapsed="false">
      <c r="B9" s="158" t="s">
        <v>81</v>
      </c>
      <c r="C9" s="159" t="s">
        <v>82</v>
      </c>
      <c r="D9" s="159" t="s">
        <v>83</v>
      </c>
      <c r="E9" s="160" t="s">
        <v>84</v>
      </c>
      <c r="F9" s="140" t="s">
        <v>64</v>
      </c>
      <c r="M9" s="152" t="s">
        <v>85</v>
      </c>
    </row>
    <row r="10" customFormat="false" ht="30" hidden="false" customHeight="true" outlineLevel="0" collapsed="false">
      <c r="B10" s="161" t="s">
        <v>86</v>
      </c>
      <c r="C10" s="162" t="s">
        <v>87</v>
      </c>
      <c r="D10" s="163" t="n">
        <v>547002</v>
      </c>
      <c r="E10" s="164" t="n">
        <v>20</v>
      </c>
      <c r="F10" s="151" t="s">
        <v>88</v>
      </c>
      <c r="M10" s="152" t="s">
        <v>89</v>
      </c>
    </row>
    <row r="11" customFormat="false" ht="30" hidden="false" customHeight="true" outlineLevel="0" collapsed="false">
      <c r="B11" s="165"/>
      <c r="C11" s="153" t="s">
        <v>90</v>
      </c>
      <c r="D11" s="166" t="n">
        <v>0.01</v>
      </c>
      <c r="E11" s="167"/>
      <c r="F11" s="151" t="s">
        <v>91</v>
      </c>
    </row>
    <row r="12" customFormat="false" ht="30" hidden="false" customHeight="true" outlineLevel="0" collapsed="false">
      <c r="B12" s="165"/>
      <c r="C12" s="153" t="s">
        <v>92</v>
      </c>
      <c r="D12" s="168" t="n">
        <v>0.004</v>
      </c>
      <c r="E12" s="167"/>
      <c r="F12" s="151" t="s">
        <v>93</v>
      </c>
    </row>
    <row r="13" customFormat="false" ht="22.5" hidden="false" customHeight="true" outlineLevel="0" collapsed="false">
      <c r="B13" s="165"/>
      <c r="C13" s="169" t="s">
        <v>94</v>
      </c>
      <c r="D13" s="170" t="n">
        <v>4</v>
      </c>
      <c r="E13" s="167"/>
      <c r="F13" s="151" t="s">
        <v>95</v>
      </c>
    </row>
    <row r="14" customFormat="false" ht="22.5" hidden="false" customHeight="true" outlineLevel="0" collapsed="false">
      <c r="B14" s="171" t="s">
        <v>96</v>
      </c>
      <c r="C14" s="138"/>
      <c r="D14" s="138"/>
      <c r="E14" s="139"/>
    </row>
    <row r="15" customFormat="false" ht="22.5" hidden="false" customHeight="true" outlineLevel="0" collapsed="false">
      <c r="B15" s="158" t="s">
        <v>81</v>
      </c>
      <c r="C15" s="159" t="s">
        <v>82</v>
      </c>
      <c r="D15" s="159" t="s">
        <v>83</v>
      </c>
      <c r="E15" s="160" t="s">
        <v>97</v>
      </c>
      <c r="F15" s="140" t="s">
        <v>64</v>
      </c>
    </row>
    <row r="16" customFormat="false" ht="21.75" hidden="false" customHeight="true" outlineLevel="0" collapsed="false">
      <c r="B16" s="162" t="s">
        <v>98</v>
      </c>
      <c r="C16" s="162" t="s">
        <v>99</v>
      </c>
      <c r="D16" s="172" t="n">
        <v>31000</v>
      </c>
      <c r="E16" s="145" t="n">
        <v>20</v>
      </c>
      <c r="F16" s="151" t="s">
        <v>100</v>
      </c>
    </row>
    <row r="17" customFormat="false" ht="21.75" hidden="false" customHeight="true" outlineLevel="0" collapsed="false">
      <c r="B17" s="165"/>
      <c r="C17" s="153" t="s">
        <v>101</v>
      </c>
      <c r="D17" s="173" t="n">
        <v>0.3</v>
      </c>
      <c r="E17" s="167"/>
      <c r="F17" s="151" t="s">
        <v>102</v>
      </c>
    </row>
    <row r="18" customFormat="false" ht="21.75" hidden="false" customHeight="true" outlineLevel="0" collapsed="false">
      <c r="B18" s="174"/>
      <c r="C18" s="153" t="s">
        <v>103</v>
      </c>
      <c r="D18" s="175" t="n">
        <v>2000</v>
      </c>
      <c r="E18" s="176"/>
      <c r="F18" s="151" t="s">
        <v>104</v>
      </c>
    </row>
    <row r="19" customFormat="false" ht="54" hidden="false" customHeight="true" outlineLevel="0" collapsed="false">
      <c r="B19" s="153" t="s">
        <v>105</v>
      </c>
      <c r="C19" s="177" t="s">
        <v>106</v>
      </c>
      <c r="D19" s="173" t="n">
        <v>1</v>
      </c>
      <c r="E19" s="145" t="n">
        <v>20</v>
      </c>
      <c r="F19" s="151" t="s">
        <v>107</v>
      </c>
    </row>
    <row r="20" customFormat="false" ht="20.25" hidden="false" customHeight="true" outlineLevel="0" collapsed="false">
      <c r="B20" s="165"/>
      <c r="C20" s="178" t="s">
        <v>108</v>
      </c>
      <c r="D20" s="175" t="n">
        <v>290201</v>
      </c>
      <c r="E20" s="145" t="n">
        <v>20</v>
      </c>
      <c r="F20" s="151" t="s">
        <v>109</v>
      </c>
    </row>
    <row r="21" customFormat="false" ht="30" hidden="false" customHeight="true" outlineLevel="0" collapsed="false">
      <c r="B21" s="174"/>
      <c r="C21" s="153" t="s">
        <v>110</v>
      </c>
      <c r="D21" s="173" t="n">
        <v>0</v>
      </c>
      <c r="E21" s="150" t="n">
        <v>20</v>
      </c>
      <c r="F21" s="151" t="s">
        <v>111</v>
      </c>
    </row>
    <row r="22" customFormat="false" ht="30" hidden="false" customHeight="true" outlineLevel="0" collapsed="false">
      <c r="B22" s="153" t="s">
        <v>112</v>
      </c>
      <c r="C22" s="153" t="s">
        <v>113</v>
      </c>
      <c r="D22" s="179" t="n">
        <v>400</v>
      </c>
      <c r="E22" s="150" t="n">
        <v>20</v>
      </c>
      <c r="F22" s="151" t="s">
        <v>114</v>
      </c>
    </row>
    <row r="23" customFormat="false" ht="30" hidden="false" customHeight="true" outlineLevel="0" collapsed="false">
      <c r="B23" s="153" t="s">
        <v>115</v>
      </c>
      <c r="C23" s="153" t="s">
        <v>116</v>
      </c>
      <c r="D23" s="173" t="n">
        <v>0.003</v>
      </c>
      <c r="E23" s="150" t="n">
        <v>20</v>
      </c>
      <c r="F23" s="151" t="s">
        <v>117</v>
      </c>
    </row>
    <row r="24" customFormat="false" ht="30" hidden="false" customHeight="true" outlineLevel="0" collapsed="false">
      <c r="B24" s="153" t="s">
        <v>118</v>
      </c>
      <c r="C24" s="153" t="s">
        <v>119</v>
      </c>
      <c r="D24" s="179" t="n">
        <v>1000</v>
      </c>
      <c r="E24" s="180" t="n">
        <v>10</v>
      </c>
      <c r="F24" s="151" t="s">
        <v>120</v>
      </c>
    </row>
    <row r="25" customFormat="false" ht="30" hidden="false" customHeight="true" outlineLevel="0" collapsed="false">
      <c r="B25" s="153" t="s">
        <v>121</v>
      </c>
      <c r="C25" s="153" t="s">
        <v>122</v>
      </c>
      <c r="D25" s="181" t="n">
        <v>0.0256</v>
      </c>
      <c r="E25" s="150" t="n">
        <v>20</v>
      </c>
      <c r="F25" s="151" t="s">
        <v>123</v>
      </c>
    </row>
    <row r="26" customFormat="false" ht="30" hidden="false" customHeight="true" outlineLevel="0" collapsed="false">
      <c r="B26" s="153" t="s">
        <v>14</v>
      </c>
      <c r="C26" s="153" t="s">
        <v>124</v>
      </c>
      <c r="D26" s="173" t="n">
        <v>0.2</v>
      </c>
      <c r="E26" s="150" t="n">
        <v>20</v>
      </c>
      <c r="F26" s="151" t="s">
        <v>125</v>
      </c>
    </row>
    <row r="27" customFormat="false" ht="20.25" hidden="false" customHeight="true" outlineLevel="0" collapsed="false">
      <c r="B27" s="155"/>
      <c r="C27" s="155"/>
      <c r="D27" s="155"/>
      <c r="E27" s="155"/>
    </row>
    <row r="28" customFormat="false" ht="20.25" hidden="false" customHeight="true" outlineLevel="0" collapsed="false">
      <c r="B28" s="155"/>
      <c r="C28" s="155"/>
      <c r="D28" s="155"/>
      <c r="E28" s="155"/>
    </row>
    <row r="29" customFormat="false" ht="22.5" hidden="false" customHeight="true" outlineLevel="0" collapsed="false">
      <c r="B29" s="137" t="s">
        <v>126</v>
      </c>
      <c r="C29" s="138"/>
      <c r="D29" s="139"/>
      <c r="E29" s="155"/>
    </row>
    <row r="30" customFormat="false" ht="22.5" hidden="false" customHeight="true" outlineLevel="0" collapsed="false">
      <c r="B30" s="158" t="s">
        <v>127</v>
      </c>
      <c r="C30" s="182" t="s">
        <v>82</v>
      </c>
      <c r="D30" s="183" t="s">
        <v>83</v>
      </c>
      <c r="E30" s="155"/>
      <c r="F30" s="140" t="s">
        <v>64</v>
      </c>
    </row>
    <row r="31" customFormat="false" ht="30" hidden="false" customHeight="true" outlineLevel="0" collapsed="false">
      <c r="B31" s="162" t="s">
        <v>128</v>
      </c>
      <c r="C31" s="142" t="s">
        <v>129</v>
      </c>
      <c r="D31" s="184" t="n">
        <v>0.8</v>
      </c>
      <c r="E31" s="155"/>
      <c r="F31" s="151" t="s">
        <v>130</v>
      </c>
    </row>
    <row r="32" customFormat="false" ht="18.75" hidden="false" customHeight="true" outlineLevel="0" collapsed="false">
      <c r="B32" s="162" t="s">
        <v>131</v>
      </c>
      <c r="C32" s="142" t="s">
        <v>132</v>
      </c>
      <c r="D32" s="184" t="n">
        <v>15</v>
      </c>
      <c r="E32" s="155"/>
      <c r="F32" s="151" t="s">
        <v>133</v>
      </c>
    </row>
    <row r="33" customFormat="false" ht="18.75" hidden="false" customHeight="true" outlineLevel="0" collapsed="false">
      <c r="B33" s="153" t="s">
        <v>53</v>
      </c>
      <c r="C33" s="147" t="s">
        <v>134</v>
      </c>
      <c r="D33" s="173" t="n">
        <v>0.9</v>
      </c>
      <c r="E33" s="155"/>
      <c r="F33" s="151" t="s">
        <v>135</v>
      </c>
    </row>
    <row r="34" customFormat="false" ht="30" hidden="false" customHeight="true" outlineLevel="0" collapsed="false">
      <c r="B34" s="153" t="s">
        <v>54</v>
      </c>
      <c r="C34" s="147" t="s">
        <v>132</v>
      </c>
      <c r="D34" s="173" t="n">
        <v>4</v>
      </c>
      <c r="E34" s="155"/>
      <c r="F34" s="151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56"/>
      <c r="C37" s="57" t="s">
        <v>0</v>
      </c>
      <c r="D37" s="57" t="n">
        <v>2020</v>
      </c>
      <c r="E37" s="57" t="n">
        <v>2021</v>
      </c>
      <c r="F37" s="57" t="n">
        <v>2022</v>
      </c>
      <c r="G37" s="57" t="n">
        <v>2023</v>
      </c>
      <c r="H37" s="57" t="n">
        <v>2024</v>
      </c>
      <c r="I37" s="57" t="n">
        <v>2025</v>
      </c>
      <c r="J37" s="57" t="n">
        <v>2026</v>
      </c>
      <c r="K37" s="57" t="n">
        <v>2027</v>
      </c>
      <c r="L37" s="57" t="n">
        <v>2028</v>
      </c>
      <c r="M37" s="57" t="n">
        <v>2029</v>
      </c>
      <c r="N37" s="57" t="n">
        <v>2030</v>
      </c>
      <c r="O37" s="57" t="n">
        <v>2031</v>
      </c>
      <c r="P37" s="57" t="n">
        <v>2032</v>
      </c>
      <c r="Q37" s="57" t="n">
        <v>2033</v>
      </c>
      <c r="R37" s="57" t="n">
        <v>2034</v>
      </c>
      <c r="S37" s="57" t="n">
        <v>2035</v>
      </c>
      <c r="T37" s="57" t="n">
        <v>2036</v>
      </c>
      <c r="U37" s="57" t="n">
        <v>2037</v>
      </c>
      <c r="V37" s="57" t="n">
        <v>2038</v>
      </c>
      <c r="W37" s="57" t="n">
        <v>2039</v>
      </c>
      <c r="X37" s="57"/>
    </row>
    <row r="38" customFormat="false" ht="18.75" hidden="false" customHeight="true" outlineLevel="0" collapsed="false">
      <c r="B38" s="58" t="n">
        <v>0</v>
      </c>
      <c r="C38" s="59"/>
      <c r="D38" s="60"/>
      <c r="E38" s="60"/>
      <c r="F38" s="61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3"/>
      <c r="U38" s="62"/>
      <c r="V38" s="62"/>
      <c r="W38" s="62"/>
      <c r="X38" s="185"/>
    </row>
    <row r="39" customFormat="false" ht="18.75" hidden="false" customHeight="true" outlineLevel="0" collapsed="false">
      <c r="B39" s="64" t="s">
        <v>23</v>
      </c>
      <c r="C39" s="65" t="n">
        <v>0</v>
      </c>
      <c r="D39" s="66" t="n">
        <v>1</v>
      </c>
      <c r="E39" s="66" t="n">
        <v>2</v>
      </c>
      <c r="F39" s="66" t="n">
        <v>3</v>
      </c>
      <c r="G39" s="66" t="n">
        <v>4</v>
      </c>
      <c r="H39" s="66" t="n">
        <v>5</v>
      </c>
      <c r="I39" s="66" t="n">
        <v>6</v>
      </c>
      <c r="J39" s="66" t="n">
        <v>7</v>
      </c>
      <c r="K39" s="66" t="n">
        <v>8</v>
      </c>
      <c r="L39" s="66" t="n">
        <v>9</v>
      </c>
      <c r="M39" s="66" t="n">
        <v>10</v>
      </c>
      <c r="N39" s="66" t="n">
        <v>11</v>
      </c>
      <c r="O39" s="66" t="n">
        <v>12</v>
      </c>
      <c r="P39" s="66" t="n">
        <v>13</v>
      </c>
      <c r="Q39" s="66" t="n">
        <v>14</v>
      </c>
      <c r="R39" s="66" t="n">
        <v>15</v>
      </c>
      <c r="S39" s="66" t="n">
        <v>16</v>
      </c>
      <c r="T39" s="67" t="n">
        <v>17</v>
      </c>
      <c r="U39" s="66" t="n">
        <v>18</v>
      </c>
      <c r="V39" s="66" t="n">
        <v>19</v>
      </c>
      <c r="W39" s="66" t="n">
        <v>20</v>
      </c>
      <c r="X39" s="186"/>
    </row>
    <row r="40" customFormat="false" ht="18.75" hidden="false" customHeight="true" outlineLevel="0" collapsed="false">
      <c r="B40" s="187" t="s">
        <v>137</v>
      </c>
      <c r="C40" s="69" t="n">
        <v>0</v>
      </c>
      <c r="D40" s="70" t="n">
        <f aca="false">$D$10*P1</f>
        <v>541531.98</v>
      </c>
      <c r="E40" s="70" t="n">
        <f aca="false">$D$10*Q1</f>
        <v>539343.972</v>
      </c>
      <c r="F40" s="70" t="n">
        <f aca="false">$D$10*R1</f>
        <v>537155.964</v>
      </c>
      <c r="G40" s="70" t="n">
        <f aca="false">$D$10*S1</f>
        <v>534967.956</v>
      </c>
      <c r="H40" s="70" t="n">
        <f aca="false">$D$10*T1</f>
        <v>532779.948</v>
      </c>
      <c r="I40" s="70" t="n">
        <f aca="false">$D$10*U1</f>
        <v>530591.94</v>
      </c>
      <c r="J40" s="70" t="n">
        <f aca="false">$D$10*V1</f>
        <v>528403.932</v>
      </c>
      <c r="K40" s="70" t="n">
        <f aca="false">$D$10*W1</f>
        <v>526215.924</v>
      </c>
      <c r="L40" s="70" t="n">
        <f aca="false">$D$10*X1</f>
        <v>524027.916</v>
      </c>
      <c r="M40" s="70" t="n">
        <f aca="false">$D$10*Y1</f>
        <v>521839.908</v>
      </c>
      <c r="N40" s="70" t="n">
        <f aca="false">$D$10*Z1</f>
        <v>519651.9</v>
      </c>
      <c r="O40" s="70" t="n">
        <f aca="false">$D$10*AA1</f>
        <v>517463.892</v>
      </c>
      <c r="P40" s="70" t="n">
        <f aca="false">$D$10*AB1</f>
        <v>515275.884</v>
      </c>
      <c r="Q40" s="70" t="n">
        <f aca="false">$D$10*AC1</f>
        <v>513087.876</v>
      </c>
      <c r="R40" s="70" t="n">
        <f aca="false">$D$10*AD1</f>
        <v>510899.868</v>
      </c>
      <c r="S40" s="70" t="n">
        <f aca="false">$D$10*AE1</f>
        <v>508711.86</v>
      </c>
      <c r="T40" s="70" t="n">
        <f aca="false">$D$10*AF1</f>
        <v>506523.852</v>
      </c>
      <c r="U40" s="70" t="n">
        <f aca="false">$D$10*AG1</f>
        <v>504335.844</v>
      </c>
      <c r="V40" s="70" t="n">
        <f aca="false">$D$10*AH1</f>
        <v>502147.836</v>
      </c>
      <c r="W40" s="70" t="n">
        <f aca="false">$D$10*AI1</f>
        <v>499959.828</v>
      </c>
      <c r="X40" s="188"/>
    </row>
    <row r="41" customFormat="false" ht="18.75" hidden="false" customHeight="true" outlineLevel="0" collapsed="false">
      <c r="B41" s="189" t="s">
        <v>25</v>
      </c>
      <c r="C41" s="190" t="s">
        <v>26</v>
      </c>
      <c r="D41" s="191" t="n">
        <f aca="false">D40*$D$13</f>
        <v>2166127.92</v>
      </c>
      <c r="E41" s="191" t="n">
        <f aca="false">E40*$D$13</f>
        <v>2157375.888</v>
      </c>
      <c r="F41" s="191" t="n">
        <f aca="false">F40*$D$13</f>
        <v>2148623.856</v>
      </c>
      <c r="G41" s="191" t="n">
        <f aca="false">G40*$D$13</f>
        <v>2139871.824</v>
      </c>
      <c r="H41" s="191" t="n">
        <f aca="false">H40*$D$13</f>
        <v>2131119.792</v>
      </c>
      <c r="I41" s="191" t="n">
        <f aca="false">I40*$D$13</f>
        <v>2122367.76</v>
      </c>
      <c r="J41" s="191" t="n">
        <f aca="false">J40*$D$13</f>
        <v>2113615.728</v>
      </c>
      <c r="K41" s="191" t="n">
        <f aca="false">K40*$D$13</f>
        <v>2104863.696</v>
      </c>
      <c r="L41" s="191" t="n">
        <f aca="false">L40*$D$13</f>
        <v>2096111.664</v>
      </c>
      <c r="M41" s="191" t="n">
        <f aca="false">M40*$D$13</f>
        <v>2087359.632</v>
      </c>
      <c r="N41" s="191" t="n">
        <f aca="false">N40*$D$13</f>
        <v>2078607.6</v>
      </c>
      <c r="O41" s="191" t="n">
        <f aca="false">O40*$D$13</f>
        <v>2069855.568</v>
      </c>
      <c r="P41" s="191" t="n">
        <f aca="false">P40*$D$13</f>
        <v>2061103.536</v>
      </c>
      <c r="Q41" s="191" t="n">
        <f aca="false">Q40*$D$13</f>
        <v>2052351.504</v>
      </c>
      <c r="R41" s="191" t="n">
        <f aca="false">R40*$D$13</f>
        <v>2043599.472</v>
      </c>
      <c r="S41" s="191" t="n">
        <f aca="false">S40*$D$13</f>
        <v>2034847.44</v>
      </c>
      <c r="T41" s="191" t="n">
        <f aca="false">T40*$D$13</f>
        <v>2026095.408</v>
      </c>
      <c r="U41" s="191" t="n">
        <f aca="false">U40*$D$13</f>
        <v>2017343.376</v>
      </c>
      <c r="V41" s="191" t="n">
        <f aca="false">V40*$D$13</f>
        <v>2008591.344</v>
      </c>
      <c r="W41" s="191" t="n">
        <f aca="false">W40*$D$13</f>
        <v>1999839.312</v>
      </c>
      <c r="X41" s="192"/>
    </row>
    <row r="42" customFormat="false" ht="18.75" hidden="false" customHeight="true" outlineLevel="0" collapsed="false">
      <c r="B42" s="193" t="s">
        <v>27</v>
      </c>
      <c r="C42" s="194" t="s">
        <v>26</v>
      </c>
      <c r="D42" s="195"/>
      <c r="E42" s="195"/>
      <c r="F42" s="195"/>
      <c r="G42" s="196" t="s">
        <v>26</v>
      </c>
      <c r="H42" s="196" t="s">
        <v>26</v>
      </c>
      <c r="I42" s="196" t="s">
        <v>26</v>
      </c>
      <c r="J42" s="196" t="s">
        <v>26</v>
      </c>
      <c r="K42" s="196" t="s">
        <v>26</v>
      </c>
      <c r="L42" s="196" t="s">
        <v>26</v>
      </c>
      <c r="M42" s="196" t="s">
        <v>26</v>
      </c>
      <c r="N42" s="196" t="s">
        <v>26</v>
      </c>
      <c r="O42" s="196" t="s">
        <v>26</v>
      </c>
      <c r="P42" s="196" t="s">
        <v>26</v>
      </c>
      <c r="Q42" s="196" t="s">
        <v>26</v>
      </c>
      <c r="R42" s="196" t="s">
        <v>26</v>
      </c>
      <c r="S42" s="196" t="s">
        <v>26</v>
      </c>
      <c r="T42" s="196" t="s">
        <v>26</v>
      </c>
      <c r="U42" s="196" t="s">
        <v>26</v>
      </c>
      <c r="V42" s="196" t="s">
        <v>26</v>
      </c>
      <c r="W42" s="196" t="s">
        <v>26</v>
      </c>
      <c r="X42" s="197"/>
    </row>
    <row r="43" customFormat="false" ht="18.75" hidden="false" customHeight="true" outlineLevel="0" collapsed="false">
      <c r="B43" s="198" t="s">
        <v>28</v>
      </c>
      <c r="C43" s="199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1"/>
    </row>
    <row r="44" customFormat="false" ht="18.75" hidden="false" customHeight="true" outlineLevel="0" collapsed="false">
      <c r="B44" s="202" t="s">
        <v>29</v>
      </c>
      <c r="C44" s="203" t="n">
        <f aca="false">-(D16/(1-D17)+D18)*C4</f>
        <v>-20185200</v>
      </c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</row>
    <row r="45" customFormat="false" ht="18.75" hidden="false" customHeight="true" outlineLevel="0" collapsed="false">
      <c r="B45" s="202" t="s">
        <v>30</v>
      </c>
      <c r="C45" s="194" t="s">
        <v>26</v>
      </c>
      <c r="D45" s="152" t="n">
        <v>-290201</v>
      </c>
      <c r="E45" s="204" t="n">
        <v>-290201</v>
      </c>
      <c r="F45" s="204" t="n">
        <v>-290201</v>
      </c>
      <c r="G45" s="204" t="n">
        <v>-290201</v>
      </c>
      <c r="H45" s="204" t="n">
        <v>-290201</v>
      </c>
      <c r="I45" s="204" t="n">
        <v>-290201</v>
      </c>
      <c r="J45" s="204" t="n">
        <v>-290201</v>
      </c>
      <c r="K45" s="204" t="n">
        <v>-290201</v>
      </c>
      <c r="L45" s="204" t="n">
        <v>-290201</v>
      </c>
      <c r="M45" s="204" t="n">
        <v>-290201</v>
      </c>
      <c r="N45" s="204" t="n">
        <v>-290201</v>
      </c>
      <c r="O45" s="204" t="n">
        <v>-290201</v>
      </c>
      <c r="P45" s="204" t="n">
        <v>-290201</v>
      </c>
      <c r="Q45" s="204" t="n">
        <v>-290201</v>
      </c>
      <c r="R45" s="204" t="n">
        <v>-290201</v>
      </c>
      <c r="S45" s="204" t="n">
        <v>-290201</v>
      </c>
      <c r="T45" s="204" t="n">
        <v>-290201</v>
      </c>
      <c r="U45" s="204" t="n">
        <v>-290201</v>
      </c>
      <c r="V45" s="204" t="n">
        <v>-290201</v>
      </c>
      <c r="W45" s="204" t="n">
        <v>-290201</v>
      </c>
      <c r="X45" s="204"/>
    </row>
    <row r="46" customFormat="false" ht="18.75" hidden="false" customHeight="true" outlineLevel="0" collapsed="false">
      <c r="B46" s="202" t="s">
        <v>31</v>
      </c>
      <c r="C46" s="19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</row>
    <row r="47" customFormat="false" ht="18.75" hidden="false" customHeight="true" outlineLevel="0" collapsed="false">
      <c r="B47" s="202" t="s">
        <v>32</v>
      </c>
      <c r="C47" s="194" t="s">
        <v>26</v>
      </c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</row>
    <row r="48" customFormat="false" ht="18.75" hidden="false" customHeight="true" outlineLevel="0" collapsed="false">
      <c r="B48" s="202" t="s">
        <v>33</v>
      </c>
      <c r="C48" s="194" t="s">
        <v>26</v>
      </c>
      <c r="D48" s="204" t="n">
        <v>-174440</v>
      </c>
      <c r="E48" s="204" t="n">
        <v>-174440</v>
      </c>
      <c r="F48" s="204" t="n">
        <v>-174440</v>
      </c>
      <c r="G48" s="204" t="n">
        <v>-174440</v>
      </c>
      <c r="H48" s="204" t="n">
        <v>-174440</v>
      </c>
      <c r="I48" s="204" t="n">
        <v>-174440</v>
      </c>
      <c r="J48" s="204" t="n">
        <v>-174440</v>
      </c>
      <c r="K48" s="204" t="n">
        <v>-174440</v>
      </c>
      <c r="L48" s="204" t="n">
        <v>-174440</v>
      </c>
      <c r="M48" s="204" t="n">
        <v>-174440</v>
      </c>
      <c r="N48" s="204" t="n">
        <v>-174440</v>
      </c>
      <c r="O48" s="204" t="n">
        <v>-174440</v>
      </c>
      <c r="P48" s="204" t="n">
        <v>-174440</v>
      </c>
      <c r="Q48" s="204" t="n">
        <v>-174440</v>
      </c>
      <c r="R48" s="204" t="n">
        <v>-174440</v>
      </c>
      <c r="S48" s="204" t="n">
        <v>-174440</v>
      </c>
      <c r="T48" s="204" t="n">
        <v>-174440</v>
      </c>
      <c r="U48" s="204" t="n">
        <v>-174440</v>
      </c>
      <c r="V48" s="204" t="n">
        <v>-174440</v>
      </c>
      <c r="W48" s="204" t="n">
        <v>-174440</v>
      </c>
      <c r="X48" s="204"/>
    </row>
    <row r="49" customFormat="false" ht="18.75" hidden="false" customHeight="true" outlineLevel="0" collapsed="false">
      <c r="B49" s="202" t="s">
        <v>34</v>
      </c>
      <c r="C49" s="194" t="s">
        <v>26</v>
      </c>
      <c r="D49" s="204" t="n">
        <v>-40557.3</v>
      </c>
      <c r="E49" s="204" t="n">
        <v>-40557.3</v>
      </c>
      <c r="F49" s="204" t="n">
        <v>-40557.3</v>
      </c>
      <c r="G49" s="204" t="n">
        <v>-40557.3</v>
      </c>
      <c r="H49" s="204" t="n">
        <v>-40557.3</v>
      </c>
      <c r="I49" s="204" t="n">
        <v>-40557.3</v>
      </c>
      <c r="J49" s="204" t="n">
        <v>-40557.3</v>
      </c>
      <c r="K49" s="204" t="n">
        <v>-40557.3</v>
      </c>
      <c r="L49" s="204" t="n">
        <v>-40557.3</v>
      </c>
      <c r="M49" s="204" t="n">
        <v>-40557.3</v>
      </c>
      <c r="N49" s="204" t="n">
        <v>-40557.3</v>
      </c>
      <c r="O49" s="204" t="n">
        <v>-40557.3</v>
      </c>
      <c r="P49" s="204" t="n">
        <v>-40557.3</v>
      </c>
      <c r="Q49" s="204" t="n">
        <v>-40557.3</v>
      </c>
      <c r="R49" s="204" t="n">
        <v>-40557.3</v>
      </c>
      <c r="S49" s="204" t="n">
        <v>-40557.3</v>
      </c>
      <c r="T49" s="204" t="n">
        <v>-40557.3</v>
      </c>
      <c r="U49" s="204" t="n">
        <v>-40557.3</v>
      </c>
      <c r="V49" s="204" t="n">
        <v>-40557.3</v>
      </c>
      <c r="W49" s="204" t="n">
        <v>-40557.3</v>
      </c>
      <c r="X49" s="204"/>
    </row>
    <row r="50" customFormat="false" ht="18.75" hidden="false" customHeight="true" outlineLevel="0" collapsed="false">
      <c r="B50" s="202" t="s">
        <v>35</v>
      </c>
      <c r="C50" s="194"/>
      <c r="D50" s="204" t="n">
        <v>-43610</v>
      </c>
      <c r="E50" s="204" t="n">
        <v>-43610</v>
      </c>
      <c r="F50" s="204" t="n">
        <v>-43610</v>
      </c>
      <c r="G50" s="204" t="n">
        <v>-43610</v>
      </c>
      <c r="H50" s="204" t="n">
        <v>-43610</v>
      </c>
      <c r="I50" s="204" t="n">
        <v>-43610</v>
      </c>
      <c r="J50" s="204" t="n">
        <v>-43610</v>
      </c>
      <c r="K50" s="204" t="n">
        <v>-43610</v>
      </c>
      <c r="L50" s="204" t="n">
        <v>-43610</v>
      </c>
      <c r="M50" s="204" t="n">
        <v>-43610</v>
      </c>
      <c r="N50" s="204" t="n">
        <v>0</v>
      </c>
      <c r="O50" s="204" t="n">
        <v>0</v>
      </c>
      <c r="P50" s="204" t="n">
        <v>0</v>
      </c>
      <c r="Q50" s="204" t="n">
        <v>0</v>
      </c>
      <c r="R50" s="204" t="n">
        <v>0</v>
      </c>
      <c r="S50" s="204" t="n">
        <v>0</v>
      </c>
      <c r="T50" s="204" t="n">
        <v>0</v>
      </c>
      <c r="U50" s="204" t="n">
        <v>0</v>
      </c>
      <c r="V50" s="204" t="n">
        <v>0</v>
      </c>
      <c r="W50" s="204" t="n">
        <v>0</v>
      </c>
      <c r="X50" s="204"/>
    </row>
    <row r="51" customFormat="false" ht="18.75" hidden="false" customHeight="true" outlineLevel="0" collapsed="false">
      <c r="B51" s="202" t="s">
        <v>36</v>
      </c>
      <c r="C51" s="205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</row>
    <row r="52" customFormat="false" ht="18.75" hidden="false" customHeight="true" outlineLevel="0" collapsed="false">
      <c r="B52" s="202" t="s">
        <v>37</v>
      </c>
      <c r="C52" s="205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</row>
    <row r="53" customFormat="false" ht="18.75" hidden="false" customHeight="true" outlineLevel="0" collapsed="false">
      <c r="B53" s="206" t="s">
        <v>38</v>
      </c>
      <c r="C53" s="205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</row>
    <row r="54" customFormat="false" ht="18.75" hidden="false" customHeight="true" outlineLevel="0" collapsed="false">
      <c r="B54" s="206" t="s">
        <v>39</v>
      </c>
      <c r="C54" s="205"/>
      <c r="D54" s="204" t="n">
        <f aca="false">D77</f>
        <v>-179652.124</v>
      </c>
      <c r="E54" s="204" t="n">
        <f aca="false">E77</f>
        <v>-119861.5176</v>
      </c>
      <c r="F54" s="204" t="n">
        <f aca="false">F77</f>
        <v>-118111.1112</v>
      </c>
      <c r="G54" s="204" t="n">
        <f aca="false">G77</f>
        <v>-116360.7048</v>
      </c>
      <c r="H54" s="204" t="n">
        <f aca="false">H77</f>
        <v>-114610.2984</v>
      </c>
      <c r="I54" s="204" t="n">
        <f aca="false">I77</f>
        <v>-112859.892</v>
      </c>
      <c r="J54" s="204" t="n">
        <f aca="false">J77</f>
        <v>-111109.4856</v>
      </c>
      <c r="K54" s="204" t="n">
        <f aca="false">K77</f>
        <v>-109359.0792</v>
      </c>
      <c r="L54" s="204" t="n">
        <f aca="false">L77</f>
        <v>-107608.6728</v>
      </c>
      <c r="M54" s="204" t="n">
        <f aca="false">M77</f>
        <v>-105858.2664</v>
      </c>
      <c r="N54" s="204" t="n">
        <f aca="false">N77</f>
        <v>-112829.86</v>
      </c>
      <c r="O54" s="204" t="n">
        <f aca="false">O77</f>
        <v>-111079.4536</v>
      </c>
      <c r="P54" s="204" t="n">
        <f aca="false">P77</f>
        <v>-109329.0472</v>
      </c>
      <c r="Q54" s="204" t="n">
        <f aca="false">Q77</f>
        <v>-107578.6408</v>
      </c>
      <c r="R54" s="204" t="n">
        <f aca="false">R77</f>
        <v>-105828.2344</v>
      </c>
      <c r="S54" s="204" t="n">
        <f aca="false">S77</f>
        <v>-104077.828</v>
      </c>
      <c r="T54" s="204" t="n">
        <f aca="false">T77</f>
        <v>-102327.4216</v>
      </c>
      <c r="U54" s="204" t="n">
        <f aca="false">U77</f>
        <v>-100577.0152</v>
      </c>
      <c r="V54" s="204" t="n">
        <f aca="false">V77</f>
        <v>-98826.6087999999</v>
      </c>
      <c r="W54" s="204" t="n">
        <f aca="false">W77</f>
        <v>-97076.2024</v>
      </c>
      <c r="X54" s="195"/>
    </row>
    <row r="55" customFormat="false" ht="18.75" hidden="false" customHeight="true" outlineLevel="0" collapsed="false">
      <c r="B55" s="207" t="s">
        <v>40</v>
      </c>
      <c r="C55" s="208" t="n">
        <f aca="false">C44</f>
        <v>-20185200</v>
      </c>
      <c r="D55" s="209" t="n">
        <f aca="false">SUM(D41:D54)</f>
        <v>1437667.496</v>
      </c>
      <c r="E55" s="209" t="n">
        <f aca="false">SUM(E41:E54)</f>
        <v>1488706.0704</v>
      </c>
      <c r="F55" s="209" t="n">
        <f aca="false">SUM(F41:F54)</f>
        <v>1481704.4448</v>
      </c>
      <c r="G55" s="209" t="n">
        <f aca="false">SUM(G41:G54)</f>
        <v>1474702.8192</v>
      </c>
      <c r="H55" s="209" t="n">
        <f aca="false">SUM(H41:H54)</f>
        <v>1467701.1936</v>
      </c>
      <c r="I55" s="209" t="n">
        <f aca="false">SUM(I41:I54)</f>
        <v>1460699.568</v>
      </c>
      <c r="J55" s="209" t="n">
        <f aca="false">SUM(J41:J54)</f>
        <v>1453697.9424</v>
      </c>
      <c r="K55" s="209" t="n">
        <f aca="false">SUM(K41:K54)</f>
        <v>1446696.3168</v>
      </c>
      <c r="L55" s="209" t="n">
        <f aca="false">SUM(L41:L54)</f>
        <v>1439694.6912</v>
      </c>
      <c r="M55" s="209" t="n">
        <f aca="false">SUM(M41:M54)</f>
        <v>1432693.0656</v>
      </c>
      <c r="N55" s="209" t="n">
        <f aca="false">SUM(N41:N54)</f>
        <v>1460579.44</v>
      </c>
      <c r="O55" s="209" t="n">
        <f aca="false">SUM(O41:O54)</f>
        <v>1453577.8144</v>
      </c>
      <c r="P55" s="209" t="n">
        <f aca="false">SUM(P41:P54)</f>
        <v>1446576.1888</v>
      </c>
      <c r="Q55" s="209" t="n">
        <f aca="false">SUM(Q41:Q54)</f>
        <v>1439574.5632</v>
      </c>
      <c r="R55" s="209" t="n">
        <f aca="false">SUM(R41:R54)</f>
        <v>1432572.9376</v>
      </c>
      <c r="S55" s="209" t="n">
        <f aca="false">SUM(S41:S54)</f>
        <v>1425571.312</v>
      </c>
      <c r="T55" s="209" t="n">
        <f aca="false">SUM(T41:T54)</f>
        <v>1418569.6864</v>
      </c>
      <c r="U55" s="209" t="n">
        <f aca="false">SUM(U41:U54)</f>
        <v>1411568.0608</v>
      </c>
      <c r="V55" s="209" t="n">
        <f aca="false">SUM(V41:V54)</f>
        <v>1404566.4352</v>
      </c>
      <c r="W55" s="209" t="n">
        <f aca="false">SUM(W41:W54)</f>
        <v>1397564.8096</v>
      </c>
      <c r="X55" s="210"/>
      <c r="Y55" s="211"/>
      <c r="Z55" s="212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</row>
    <row r="56" customFormat="false" ht="18.75" hidden="false" customHeight="true" outlineLevel="0" collapsed="false">
      <c r="B56" s="213" t="s">
        <v>41</v>
      </c>
      <c r="D56" s="214" t="n">
        <f aca="false">C55+D55</f>
        <v>-18747532.504</v>
      </c>
      <c r="E56" s="214" t="n">
        <f aca="false">D56+E55</f>
        <v>-17258826.4336</v>
      </c>
      <c r="F56" s="214" t="n">
        <f aca="false">E56+F55</f>
        <v>-15777121.9888</v>
      </c>
      <c r="G56" s="214" t="n">
        <f aca="false">F56+G55</f>
        <v>-14302419.1696</v>
      </c>
      <c r="H56" s="214" t="n">
        <f aca="false">G56+H55</f>
        <v>-12834717.976</v>
      </c>
      <c r="I56" s="214" t="n">
        <f aca="false">H56+I55</f>
        <v>-11374018.408</v>
      </c>
      <c r="J56" s="214" t="n">
        <f aca="false">I56+J55</f>
        <v>-9920320.4656</v>
      </c>
      <c r="K56" s="214" t="n">
        <f aca="false">J56+K55</f>
        <v>-8473624.1488</v>
      </c>
      <c r="L56" s="214" t="n">
        <f aca="false">K56+L55</f>
        <v>-7033929.4576</v>
      </c>
      <c r="M56" s="214" t="n">
        <f aca="false">L56+M55</f>
        <v>-5601236.392</v>
      </c>
      <c r="N56" s="214" t="n">
        <f aca="false">M56+N55</f>
        <v>-4140656.952</v>
      </c>
      <c r="O56" s="214" t="n">
        <f aca="false">N56+O55</f>
        <v>-2687079.1376</v>
      </c>
      <c r="P56" s="214" t="n">
        <f aca="false">O56+P55</f>
        <v>-1240502.9488</v>
      </c>
      <c r="Q56" s="214" t="n">
        <f aca="false">P56+Q55</f>
        <v>199071.614399998</v>
      </c>
      <c r="R56" s="214" t="n">
        <f aca="false">Q56+R55</f>
        <v>1631644.552</v>
      </c>
      <c r="S56" s="214" t="n">
        <f aca="false">R56+S55</f>
        <v>3057215.864</v>
      </c>
      <c r="T56" s="214" t="n">
        <f aca="false">S56+T55</f>
        <v>4475785.5504</v>
      </c>
      <c r="U56" s="214" t="n">
        <f aca="false">T56+U55</f>
        <v>5887353.6112</v>
      </c>
      <c r="V56" s="214" t="n">
        <f aca="false">U56+V55</f>
        <v>7291920.0464</v>
      </c>
      <c r="W56" s="214" t="n">
        <f aca="false">V56+W55</f>
        <v>8689484.856</v>
      </c>
      <c r="X56" s="214" t="n">
        <f aca="false">W56+X55</f>
        <v>8689484.856</v>
      </c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</row>
    <row r="57" customFormat="false" ht="18.75" hidden="false" customHeight="true" outlineLevel="0" collapsed="false">
      <c r="B57" s="215" t="s">
        <v>42</v>
      </c>
      <c r="C57" s="216"/>
      <c r="D57" s="217" t="str">
        <f aca="false">IF((D56)&gt;0,"回收","未回收")</f>
        <v>未回收</v>
      </c>
      <c r="E57" s="218" t="str">
        <f aca="false">IF((E56)&gt;0,"回收","未回收")</f>
        <v>未回收</v>
      </c>
      <c r="F57" s="218" t="str">
        <f aca="false">IF((F56)&gt;0,"回收","未回收")</f>
        <v>未回收</v>
      </c>
      <c r="G57" s="218" t="str">
        <f aca="false">IF((G56)&gt;0,"回收","未回收")</f>
        <v>未回收</v>
      </c>
      <c r="H57" s="218" t="str">
        <f aca="false">IF((H56)&gt;0,"回收","未回收")</f>
        <v>未回收</v>
      </c>
      <c r="I57" s="218" t="str">
        <f aca="false">IF((I56)&gt;0,"回收","未回收")</f>
        <v>未回收</v>
      </c>
      <c r="J57" s="218" t="str">
        <f aca="false">IF((J56)&gt;0,"回收","未回收")</f>
        <v>未回收</v>
      </c>
      <c r="K57" s="218" t="str">
        <f aca="false">IF((K56)&gt;0,"回收","未回收")</f>
        <v>未回收</v>
      </c>
      <c r="L57" s="218" t="str">
        <f aca="false">IF((L56)&gt;0,"回收","未回收")</f>
        <v>未回收</v>
      </c>
      <c r="M57" s="218" t="str">
        <f aca="false">IF((M56)&gt;0,"回收","未回收")</f>
        <v>未回收</v>
      </c>
      <c r="N57" s="218" t="str">
        <f aca="false">IF((N56)&gt;0,"回收","未回收")</f>
        <v>未回收</v>
      </c>
      <c r="O57" s="218" t="str">
        <f aca="false">IF((O56)&gt;0,"回收","未回收")</f>
        <v>未回收</v>
      </c>
      <c r="P57" s="218" t="str">
        <f aca="false">IF((P56)&gt;0,"回收","未回收")</f>
        <v>未回收</v>
      </c>
      <c r="Q57" s="218" t="str">
        <f aca="false">IF((Q56)&gt;0,"回收","未回收")</f>
        <v>回收</v>
      </c>
      <c r="R57" s="218" t="str">
        <f aca="false">IF((R56)&gt;0,"回收","未回收")</f>
        <v>回收</v>
      </c>
      <c r="S57" s="218" t="str">
        <f aca="false">IF((S56)&gt;0,"回收","未回收")</f>
        <v>回收</v>
      </c>
      <c r="T57" s="218" t="str">
        <f aca="false">IF((T56)&gt;0,"回收","未回收")</f>
        <v>回收</v>
      </c>
      <c r="U57" s="218" t="str">
        <f aca="false">IF((U56)&gt;0,"回收","未回收")</f>
        <v>回收</v>
      </c>
      <c r="V57" s="218" t="str">
        <f aca="false">IF((V56)&gt;0,"回收","未回收")</f>
        <v>回收</v>
      </c>
      <c r="W57" s="218" t="str">
        <f aca="false">IF((W56)&gt;0,"回收","未回收")</f>
        <v>回收</v>
      </c>
      <c r="X57" s="218" t="str">
        <f aca="false">IF((X56)&gt;0,"回收","未回收")</f>
        <v>回收</v>
      </c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</row>
    <row r="58" customFormat="false" ht="18.75" hidden="false" customHeight="true" outlineLevel="0" collapsed="false">
      <c r="B58" s="95" t="s">
        <v>43</v>
      </c>
      <c r="C58" s="96" t="n">
        <f aca="false">IRR(C55:W55)</f>
        <v>0.0371399186458842</v>
      </c>
      <c r="D58" s="97"/>
      <c r="E58" s="97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19"/>
      <c r="AJ58" s="219"/>
    </row>
    <row r="59" customFormat="false" ht="18.75" hidden="false" customHeight="true" outlineLevel="0" collapsed="false">
      <c r="B59" s="98"/>
      <c r="C59" s="97"/>
      <c r="D59" s="97"/>
      <c r="E59" s="97"/>
      <c r="F59" s="98"/>
      <c r="G59" s="98"/>
      <c r="H59" s="98"/>
      <c r="I59" s="98"/>
      <c r="J59" s="98"/>
      <c r="K59" s="98"/>
      <c r="L59" s="98"/>
      <c r="M59" s="97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</row>
    <row r="60" customFormat="false" ht="18.75" hidden="false" customHeight="true" outlineLevel="0" collapsed="false">
      <c r="B60" s="56"/>
      <c r="C60" s="57" t="s">
        <v>0</v>
      </c>
      <c r="D60" s="57" t="n">
        <f aca="false">D37</f>
        <v>2020</v>
      </c>
      <c r="E60" s="57" t="n">
        <f aca="false">E37</f>
        <v>2021</v>
      </c>
      <c r="F60" s="57" t="n">
        <f aca="false">F37</f>
        <v>2022</v>
      </c>
      <c r="G60" s="57" t="n">
        <f aca="false">G37</f>
        <v>2023</v>
      </c>
      <c r="H60" s="57" t="n">
        <f aca="false">H37</f>
        <v>2024</v>
      </c>
      <c r="I60" s="57" t="n">
        <f aca="false">I37</f>
        <v>2025</v>
      </c>
      <c r="J60" s="57" t="n">
        <f aca="false">J37</f>
        <v>2026</v>
      </c>
      <c r="K60" s="57" t="n">
        <f aca="false">K37</f>
        <v>2027</v>
      </c>
      <c r="L60" s="57" t="n">
        <f aca="false">L37</f>
        <v>2028</v>
      </c>
      <c r="M60" s="57" t="n">
        <f aca="false">M37</f>
        <v>2029</v>
      </c>
      <c r="N60" s="57" t="n">
        <f aca="false">N37</f>
        <v>2030</v>
      </c>
      <c r="O60" s="57" t="n">
        <f aca="false">O37</f>
        <v>2031</v>
      </c>
      <c r="P60" s="57" t="n">
        <f aca="false">P37</f>
        <v>2032</v>
      </c>
      <c r="Q60" s="57" t="n">
        <f aca="false">Q37</f>
        <v>2033</v>
      </c>
      <c r="R60" s="57" t="n">
        <f aca="false">R37</f>
        <v>2034</v>
      </c>
      <c r="S60" s="57" t="n">
        <f aca="false">S37</f>
        <v>2035</v>
      </c>
      <c r="T60" s="57" t="n">
        <f aca="false">T37</f>
        <v>2036</v>
      </c>
      <c r="U60" s="57" t="n">
        <f aca="false">U37</f>
        <v>2037</v>
      </c>
      <c r="V60" s="57" t="n">
        <f aca="false">V37</f>
        <v>2038</v>
      </c>
      <c r="W60" s="57" t="n">
        <f aca="false">W37</f>
        <v>2039</v>
      </c>
      <c r="X60" s="57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</row>
    <row r="61" customFormat="false" ht="18.75" hidden="false" customHeight="true" outlineLevel="0" collapsed="false">
      <c r="B61" s="58" t="n">
        <v>0</v>
      </c>
      <c r="C61" s="59"/>
      <c r="D61" s="60"/>
      <c r="E61" s="60"/>
      <c r="F61" s="61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99" t="s">
        <v>44</v>
      </c>
      <c r="U61" s="62"/>
      <c r="V61" s="62"/>
      <c r="W61" s="62"/>
      <c r="X61" s="185"/>
    </row>
    <row r="62" customFormat="false" ht="18.75" hidden="false" customHeight="true" outlineLevel="0" collapsed="false">
      <c r="B62" s="64" t="s">
        <v>23</v>
      </c>
      <c r="C62" s="65" t="n">
        <v>0</v>
      </c>
      <c r="D62" s="66" t="n">
        <v>1</v>
      </c>
      <c r="E62" s="66" t="n">
        <v>2</v>
      </c>
      <c r="F62" s="66" t="n">
        <v>3</v>
      </c>
      <c r="G62" s="66" t="n">
        <v>4</v>
      </c>
      <c r="H62" s="66" t="n">
        <v>5</v>
      </c>
      <c r="I62" s="66" t="n">
        <v>6</v>
      </c>
      <c r="J62" s="66" t="n">
        <v>7</v>
      </c>
      <c r="K62" s="66" t="n">
        <v>8</v>
      </c>
      <c r="L62" s="66" t="n">
        <v>9</v>
      </c>
      <c r="M62" s="66" t="n">
        <v>10</v>
      </c>
      <c r="N62" s="66" t="n">
        <v>11</v>
      </c>
      <c r="O62" s="66" t="n">
        <v>12</v>
      </c>
      <c r="P62" s="66" t="n">
        <v>13</v>
      </c>
      <c r="Q62" s="66" t="n">
        <v>14</v>
      </c>
      <c r="R62" s="66" t="n">
        <v>15</v>
      </c>
      <c r="S62" s="66" t="n">
        <v>16</v>
      </c>
      <c r="T62" s="101" t="n">
        <v>17</v>
      </c>
      <c r="U62" s="66" t="n">
        <v>18</v>
      </c>
      <c r="V62" s="66" t="n">
        <v>19</v>
      </c>
      <c r="W62" s="66" t="n">
        <v>20</v>
      </c>
      <c r="X62" s="186"/>
    </row>
    <row r="63" customFormat="false" ht="18.75" hidden="false" customHeight="true" outlineLevel="0" collapsed="false">
      <c r="B63" s="187" t="s">
        <v>137</v>
      </c>
      <c r="C63" s="69" t="n">
        <v>0</v>
      </c>
      <c r="D63" s="70" t="n">
        <f aca="false">D40</f>
        <v>541531.98</v>
      </c>
      <c r="E63" s="70" t="n">
        <f aca="false">E40</f>
        <v>539343.972</v>
      </c>
      <c r="F63" s="70" t="n">
        <f aca="false">F40</f>
        <v>537155.964</v>
      </c>
      <c r="G63" s="70" t="n">
        <f aca="false">G40</f>
        <v>534967.956</v>
      </c>
      <c r="H63" s="70" t="n">
        <f aca="false">H40</f>
        <v>532779.948</v>
      </c>
      <c r="I63" s="70" t="n">
        <f aca="false">I40</f>
        <v>530591.94</v>
      </c>
      <c r="J63" s="70" t="n">
        <f aca="false">J40</f>
        <v>528403.932</v>
      </c>
      <c r="K63" s="70" t="n">
        <f aca="false">K40</f>
        <v>526215.924</v>
      </c>
      <c r="L63" s="70" t="n">
        <f aca="false">L40</f>
        <v>524027.916</v>
      </c>
      <c r="M63" s="70" t="n">
        <f aca="false">M40</f>
        <v>521839.908</v>
      </c>
      <c r="N63" s="70" t="n">
        <f aca="false">N40</f>
        <v>519651.9</v>
      </c>
      <c r="O63" s="70" t="n">
        <f aca="false">O40</f>
        <v>517463.892</v>
      </c>
      <c r="P63" s="70" t="n">
        <f aca="false">P40</f>
        <v>515275.884</v>
      </c>
      <c r="Q63" s="70" t="n">
        <f aca="false">Q40</f>
        <v>513087.876</v>
      </c>
      <c r="R63" s="70" t="n">
        <f aca="false">R40</f>
        <v>510899.868</v>
      </c>
      <c r="S63" s="70" t="n">
        <f aca="false">S40</f>
        <v>508711.86</v>
      </c>
      <c r="T63" s="70" t="n">
        <f aca="false">T40</f>
        <v>506523.852</v>
      </c>
      <c r="U63" s="70" t="n">
        <f aca="false">U40</f>
        <v>504335.844</v>
      </c>
      <c r="V63" s="70" t="n">
        <f aca="false">V40</f>
        <v>502147.836</v>
      </c>
      <c r="W63" s="70" t="n">
        <f aca="false">W40</f>
        <v>499959.828</v>
      </c>
      <c r="X63" s="188"/>
    </row>
    <row r="64" customFormat="false" ht="18.75" hidden="false" customHeight="true" outlineLevel="0" collapsed="false">
      <c r="B64" s="189" t="s">
        <v>25</v>
      </c>
      <c r="C64" s="190" t="s">
        <v>26</v>
      </c>
      <c r="D64" s="191" t="n">
        <f aca="false">D41</f>
        <v>2166127.92</v>
      </c>
      <c r="E64" s="191" t="n">
        <f aca="false">E41</f>
        <v>2157375.888</v>
      </c>
      <c r="F64" s="191" t="n">
        <f aca="false">F41</f>
        <v>2148623.856</v>
      </c>
      <c r="G64" s="191" t="n">
        <f aca="false">G41</f>
        <v>2139871.824</v>
      </c>
      <c r="H64" s="191" t="n">
        <f aca="false">H41</f>
        <v>2131119.792</v>
      </c>
      <c r="I64" s="191" t="n">
        <f aca="false">I41</f>
        <v>2122367.76</v>
      </c>
      <c r="J64" s="191" t="n">
        <f aca="false">J41</f>
        <v>2113615.728</v>
      </c>
      <c r="K64" s="191" t="n">
        <f aca="false">K41</f>
        <v>2104863.696</v>
      </c>
      <c r="L64" s="191" t="n">
        <f aca="false">L41</f>
        <v>2096111.664</v>
      </c>
      <c r="M64" s="191" t="n">
        <f aca="false">M41</f>
        <v>2087359.632</v>
      </c>
      <c r="N64" s="191" t="n">
        <f aca="false">N41</f>
        <v>2078607.6</v>
      </c>
      <c r="O64" s="191" t="n">
        <f aca="false">O41</f>
        <v>2069855.568</v>
      </c>
      <c r="P64" s="191" t="n">
        <f aca="false">P41</f>
        <v>2061103.536</v>
      </c>
      <c r="Q64" s="191" t="n">
        <f aca="false">Q41</f>
        <v>2052351.504</v>
      </c>
      <c r="R64" s="191" t="n">
        <f aca="false">R41</f>
        <v>2043599.472</v>
      </c>
      <c r="S64" s="191" t="n">
        <f aca="false">S41</f>
        <v>2034847.44</v>
      </c>
      <c r="T64" s="191" t="n">
        <f aca="false">T41</f>
        <v>2026095.408</v>
      </c>
      <c r="U64" s="191" t="n">
        <f aca="false">U41</f>
        <v>2017343.376</v>
      </c>
      <c r="V64" s="191" t="n">
        <f aca="false">V41</f>
        <v>2008591.344</v>
      </c>
      <c r="W64" s="191" t="n">
        <f aca="false">W41</f>
        <v>1999839.312</v>
      </c>
      <c r="X64" s="192"/>
    </row>
    <row r="65" customFormat="false" ht="18.75" hidden="false" customHeight="true" outlineLevel="0" collapsed="false">
      <c r="B65" s="193" t="s">
        <v>27</v>
      </c>
      <c r="C65" s="194" t="s">
        <v>26</v>
      </c>
      <c r="D65" s="195"/>
      <c r="E65" s="195"/>
      <c r="F65" s="195"/>
      <c r="G65" s="196" t="s">
        <v>26</v>
      </c>
      <c r="H65" s="196" t="s">
        <v>26</v>
      </c>
      <c r="I65" s="196" t="s">
        <v>26</v>
      </c>
      <c r="J65" s="196" t="s">
        <v>26</v>
      </c>
      <c r="K65" s="196" t="s">
        <v>26</v>
      </c>
      <c r="L65" s="196" t="s">
        <v>26</v>
      </c>
      <c r="M65" s="196" t="s">
        <v>26</v>
      </c>
      <c r="N65" s="196" t="s">
        <v>26</v>
      </c>
      <c r="O65" s="196" t="s">
        <v>26</v>
      </c>
      <c r="P65" s="196" t="s">
        <v>26</v>
      </c>
      <c r="Q65" s="196" t="s">
        <v>26</v>
      </c>
      <c r="R65" s="196" t="s">
        <v>26</v>
      </c>
      <c r="S65" s="196" t="s">
        <v>26</v>
      </c>
      <c r="T65" s="196" t="s">
        <v>26</v>
      </c>
      <c r="U65" s="196" t="s">
        <v>26</v>
      </c>
      <c r="V65" s="196" t="s">
        <v>26</v>
      </c>
      <c r="W65" s="196" t="s">
        <v>26</v>
      </c>
      <c r="X65" s="197"/>
    </row>
    <row r="66" customFormat="false" ht="18.75" hidden="false" customHeight="true" outlineLevel="0" collapsed="false">
      <c r="B66" s="198" t="s">
        <v>28</v>
      </c>
      <c r="C66" s="199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1"/>
    </row>
    <row r="67" customFormat="false" ht="18.75" hidden="false" customHeight="true" outlineLevel="0" collapsed="false">
      <c r="B67" s="202" t="s">
        <v>45</v>
      </c>
      <c r="C67" s="194"/>
      <c r="D67" s="221" t="n">
        <f aca="false">$C$44/$E$16</f>
        <v>-1009260</v>
      </c>
      <c r="E67" s="221" t="n">
        <f aca="false">$C$44/$E$16</f>
        <v>-1009260</v>
      </c>
      <c r="F67" s="221" t="n">
        <f aca="false">$C$44/$E$16</f>
        <v>-1009260</v>
      </c>
      <c r="G67" s="221" t="n">
        <f aca="false">$C$44/$E$16</f>
        <v>-1009260</v>
      </c>
      <c r="H67" s="221" t="n">
        <f aca="false">$C$44/$E$16</f>
        <v>-1009260</v>
      </c>
      <c r="I67" s="221" t="n">
        <f aca="false">$C$44/$E$16</f>
        <v>-1009260</v>
      </c>
      <c r="J67" s="221" t="n">
        <f aca="false">$C$44/$E$16</f>
        <v>-1009260</v>
      </c>
      <c r="K67" s="221" t="n">
        <f aca="false">$C$44/$E$16</f>
        <v>-1009260</v>
      </c>
      <c r="L67" s="221" t="n">
        <f aca="false">$C$44/$E$16</f>
        <v>-1009260</v>
      </c>
      <c r="M67" s="221" t="n">
        <f aca="false">$C$44/$E$16</f>
        <v>-1009260</v>
      </c>
      <c r="N67" s="221" t="n">
        <f aca="false">$C$44/$E$16</f>
        <v>-1009260</v>
      </c>
      <c r="O67" s="221" t="n">
        <f aca="false">$C$44/$E$16</f>
        <v>-1009260</v>
      </c>
      <c r="P67" s="221" t="n">
        <f aca="false">$C$44/$E$16</f>
        <v>-1009260</v>
      </c>
      <c r="Q67" s="221" t="n">
        <f aca="false">$C$44/$E$16</f>
        <v>-1009260</v>
      </c>
      <c r="R67" s="221" t="n">
        <f aca="false">$C$44/$E$16</f>
        <v>-1009260</v>
      </c>
      <c r="S67" s="221" t="n">
        <f aca="false">$C$44/$E$16</f>
        <v>-1009260</v>
      </c>
      <c r="T67" s="221" t="n">
        <f aca="false">$C$44/$E$16</f>
        <v>-1009260</v>
      </c>
      <c r="U67" s="221" t="n">
        <f aca="false">$C$44/$E$16</f>
        <v>-1009260</v>
      </c>
      <c r="V67" s="221" t="n">
        <f aca="false">$C$44/$E$16</f>
        <v>-1009260</v>
      </c>
      <c r="W67" s="221" t="n">
        <f aca="false">$C$44/$E$16</f>
        <v>-1009260</v>
      </c>
      <c r="X67" s="197"/>
    </row>
    <row r="68" customFormat="false" ht="18.75" hidden="false" customHeight="true" outlineLevel="0" collapsed="false">
      <c r="B68" s="202" t="s">
        <v>30</v>
      </c>
      <c r="C68" s="194" t="s">
        <v>26</v>
      </c>
      <c r="D68" s="204" t="n">
        <f aca="false">D44</f>
        <v>0</v>
      </c>
      <c r="E68" s="204" t="n">
        <f aca="false">E45</f>
        <v>-290201</v>
      </c>
      <c r="F68" s="204" t="n">
        <f aca="false">F45</f>
        <v>-290201</v>
      </c>
      <c r="G68" s="204" t="n">
        <f aca="false">G45</f>
        <v>-290201</v>
      </c>
      <c r="H68" s="204" t="n">
        <f aca="false">H45</f>
        <v>-290201</v>
      </c>
      <c r="I68" s="204" t="n">
        <f aca="false">I45</f>
        <v>-290201</v>
      </c>
      <c r="J68" s="204" t="n">
        <f aca="false">J45</f>
        <v>-290201</v>
      </c>
      <c r="K68" s="204" t="n">
        <f aca="false">K45</f>
        <v>-290201</v>
      </c>
      <c r="L68" s="204" t="n">
        <f aca="false">L45</f>
        <v>-290201</v>
      </c>
      <c r="M68" s="204" t="n">
        <f aca="false">M45</f>
        <v>-290201</v>
      </c>
      <c r="N68" s="204" t="n">
        <f aca="false">N45</f>
        <v>-290201</v>
      </c>
      <c r="O68" s="204" t="n">
        <f aca="false">O45</f>
        <v>-290201</v>
      </c>
      <c r="P68" s="204" t="n">
        <f aca="false">P45</f>
        <v>-290201</v>
      </c>
      <c r="Q68" s="204" t="n">
        <f aca="false">Q45</f>
        <v>-290201</v>
      </c>
      <c r="R68" s="204" t="n">
        <f aca="false">R45</f>
        <v>-290201</v>
      </c>
      <c r="S68" s="204" t="n">
        <f aca="false">S45</f>
        <v>-290201</v>
      </c>
      <c r="T68" s="204" t="n">
        <f aca="false">T45</f>
        <v>-290201</v>
      </c>
      <c r="U68" s="204" t="n">
        <f aca="false">U45</f>
        <v>-290201</v>
      </c>
      <c r="V68" s="204" t="n">
        <f aca="false">V45</f>
        <v>-290201</v>
      </c>
      <c r="W68" s="204" t="n">
        <f aca="false">W45</f>
        <v>-290201</v>
      </c>
      <c r="X68" s="197"/>
    </row>
    <row r="69" customFormat="false" ht="18.75" hidden="false" customHeight="true" outlineLevel="0" collapsed="false">
      <c r="B69" s="202" t="s">
        <v>31</v>
      </c>
      <c r="C69" s="194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7"/>
    </row>
    <row r="70" customFormat="false" ht="18.75" hidden="false" customHeight="true" outlineLevel="0" collapsed="false">
      <c r="B70" s="202" t="s">
        <v>32</v>
      </c>
      <c r="C70" s="194" t="s">
        <v>26</v>
      </c>
      <c r="D70" s="204" t="n">
        <v>0</v>
      </c>
      <c r="E70" s="204" t="n">
        <v>0</v>
      </c>
      <c r="F70" s="204" t="n">
        <v>0</v>
      </c>
      <c r="G70" s="204" t="n">
        <v>0</v>
      </c>
      <c r="H70" s="204" t="n">
        <v>0</v>
      </c>
      <c r="I70" s="204" t="n">
        <v>0</v>
      </c>
      <c r="J70" s="204" t="n">
        <v>0</v>
      </c>
      <c r="K70" s="204" t="n">
        <v>0</v>
      </c>
      <c r="L70" s="204" t="n">
        <v>0</v>
      </c>
      <c r="M70" s="204" t="n">
        <v>0</v>
      </c>
      <c r="N70" s="204" t="n">
        <v>0</v>
      </c>
      <c r="O70" s="204" t="n">
        <v>0</v>
      </c>
      <c r="P70" s="204" t="n">
        <v>0</v>
      </c>
      <c r="Q70" s="204" t="n">
        <v>0</v>
      </c>
      <c r="R70" s="204" t="n">
        <v>0</v>
      </c>
      <c r="S70" s="204" t="n">
        <v>0</v>
      </c>
      <c r="T70" s="204" t="n">
        <v>0</v>
      </c>
      <c r="U70" s="204" t="n">
        <v>0</v>
      </c>
      <c r="V70" s="204" t="n">
        <v>0</v>
      </c>
      <c r="W70" s="204" t="n">
        <v>0</v>
      </c>
      <c r="X70" s="197"/>
    </row>
    <row r="71" customFormat="false" ht="18.75" hidden="false" customHeight="true" outlineLevel="0" collapsed="false">
      <c r="B71" s="202" t="s">
        <v>33</v>
      </c>
      <c r="C71" s="194" t="s">
        <v>26</v>
      </c>
      <c r="D71" s="204" t="n">
        <f aca="false">D48</f>
        <v>-174440</v>
      </c>
      <c r="E71" s="204" t="n">
        <f aca="false">E48</f>
        <v>-174440</v>
      </c>
      <c r="F71" s="204" t="n">
        <f aca="false">F48</f>
        <v>-174440</v>
      </c>
      <c r="G71" s="204" t="n">
        <f aca="false">G48</f>
        <v>-174440</v>
      </c>
      <c r="H71" s="204" t="n">
        <f aca="false">H48</f>
        <v>-174440</v>
      </c>
      <c r="I71" s="204" t="n">
        <f aca="false">I48</f>
        <v>-174440</v>
      </c>
      <c r="J71" s="204" t="n">
        <f aca="false">J48</f>
        <v>-174440</v>
      </c>
      <c r="K71" s="204" t="n">
        <f aca="false">K48</f>
        <v>-174440</v>
      </c>
      <c r="L71" s="204" t="n">
        <f aca="false">L48</f>
        <v>-174440</v>
      </c>
      <c r="M71" s="204" t="n">
        <f aca="false">M48</f>
        <v>-174440</v>
      </c>
      <c r="N71" s="204" t="n">
        <f aca="false">N48</f>
        <v>-174440</v>
      </c>
      <c r="O71" s="204" t="n">
        <f aca="false">O48</f>
        <v>-174440</v>
      </c>
      <c r="P71" s="204" t="n">
        <f aca="false">P48</f>
        <v>-174440</v>
      </c>
      <c r="Q71" s="204" t="n">
        <f aca="false">Q48</f>
        <v>-174440</v>
      </c>
      <c r="R71" s="204" t="n">
        <f aca="false">R48</f>
        <v>-174440</v>
      </c>
      <c r="S71" s="204" t="n">
        <f aca="false">S48</f>
        <v>-174440</v>
      </c>
      <c r="T71" s="204" t="n">
        <f aca="false">T48</f>
        <v>-174440</v>
      </c>
      <c r="U71" s="204" t="n">
        <f aca="false">U48</f>
        <v>-174440</v>
      </c>
      <c r="V71" s="204" t="n">
        <f aca="false">V48</f>
        <v>-174440</v>
      </c>
      <c r="W71" s="204" t="n">
        <f aca="false">W48</f>
        <v>-174440</v>
      </c>
      <c r="X71" s="197"/>
    </row>
    <row r="72" customFormat="false" ht="18.75" hidden="false" customHeight="true" outlineLevel="0" collapsed="false">
      <c r="B72" s="202" t="s">
        <v>34</v>
      </c>
      <c r="C72" s="194" t="s">
        <v>26</v>
      </c>
      <c r="D72" s="204" t="n">
        <f aca="false">D49</f>
        <v>-40557.3</v>
      </c>
      <c r="E72" s="204" t="n">
        <f aca="false">E49</f>
        <v>-40557.3</v>
      </c>
      <c r="F72" s="204" t="n">
        <f aca="false">F49</f>
        <v>-40557.3</v>
      </c>
      <c r="G72" s="204" t="n">
        <f aca="false">G49</f>
        <v>-40557.3</v>
      </c>
      <c r="H72" s="204" t="n">
        <f aca="false">H49</f>
        <v>-40557.3</v>
      </c>
      <c r="I72" s="204" t="n">
        <f aca="false">I49</f>
        <v>-40557.3</v>
      </c>
      <c r="J72" s="204" t="n">
        <f aca="false">J49</f>
        <v>-40557.3</v>
      </c>
      <c r="K72" s="204" t="n">
        <f aca="false">K49</f>
        <v>-40557.3</v>
      </c>
      <c r="L72" s="204" t="n">
        <f aca="false">L49</f>
        <v>-40557.3</v>
      </c>
      <c r="M72" s="204" t="n">
        <f aca="false">M49</f>
        <v>-40557.3</v>
      </c>
      <c r="N72" s="204" t="n">
        <f aca="false">N49</f>
        <v>-40557.3</v>
      </c>
      <c r="O72" s="204" t="n">
        <f aca="false">O49</f>
        <v>-40557.3</v>
      </c>
      <c r="P72" s="204" t="n">
        <f aca="false">P49</f>
        <v>-40557.3</v>
      </c>
      <c r="Q72" s="204" t="n">
        <f aca="false">Q49</f>
        <v>-40557.3</v>
      </c>
      <c r="R72" s="204" t="n">
        <f aca="false">R49</f>
        <v>-40557.3</v>
      </c>
      <c r="S72" s="204" t="n">
        <f aca="false">S49</f>
        <v>-40557.3</v>
      </c>
      <c r="T72" s="204" t="n">
        <f aca="false">T49</f>
        <v>-40557.3</v>
      </c>
      <c r="U72" s="204" t="n">
        <f aca="false">U49</f>
        <v>-40557.3</v>
      </c>
      <c r="V72" s="204" t="n">
        <f aca="false">V49</f>
        <v>-40557.3</v>
      </c>
      <c r="W72" s="204" t="n">
        <f aca="false">W49</f>
        <v>-40557.3</v>
      </c>
      <c r="X72" s="197"/>
    </row>
    <row r="73" customFormat="false" ht="18.75" hidden="false" customHeight="true" outlineLevel="0" collapsed="false">
      <c r="B73" s="202" t="s">
        <v>35</v>
      </c>
      <c r="C73" s="194"/>
      <c r="D73" s="204" t="n">
        <f aca="false">D50</f>
        <v>-43610</v>
      </c>
      <c r="E73" s="204" t="n">
        <f aca="false">E50</f>
        <v>-43610</v>
      </c>
      <c r="F73" s="204" t="n">
        <f aca="false">F50</f>
        <v>-43610</v>
      </c>
      <c r="G73" s="204" t="n">
        <f aca="false">G50</f>
        <v>-43610</v>
      </c>
      <c r="H73" s="204" t="n">
        <f aca="false">H50</f>
        <v>-43610</v>
      </c>
      <c r="I73" s="204" t="n">
        <f aca="false">I50</f>
        <v>-43610</v>
      </c>
      <c r="J73" s="204" t="n">
        <f aca="false">J50</f>
        <v>-43610</v>
      </c>
      <c r="K73" s="204" t="n">
        <f aca="false">K50</f>
        <v>-43610</v>
      </c>
      <c r="L73" s="204" t="n">
        <f aca="false">L50</f>
        <v>-43610</v>
      </c>
      <c r="M73" s="204" t="n">
        <f aca="false">M50</f>
        <v>-43610</v>
      </c>
      <c r="N73" s="204" t="n">
        <f aca="false">N50</f>
        <v>0</v>
      </c>
      <c r="O73" s="204" t="n">
        <f aca="false">O50</f>
        <v>0</v>
      </c>
      <c r="P73" s="204" t="n">
        <f aca="false">P50</f>
        <v>0</v>
      </c>
      <c r="Q73" s="204" t="n">
        <f aca="false">Q50</f>
        <v>0</v>
      </c>
      <c r="R73" s="204" t="n">
        <f aca="false">R50</f>
        <v>0</v>
      </c>
      <c r="S73" s="204" t="n">
        <f aca="false">S50</f>
        <v>0</v>
      </c>
      <c r="T73" s="204" t="n">
        <f aca="false">T50</f>
        <v>0</v>
      </c>
      <c r="U73" s="204" t="n">
        <f aca="false">U50</f>
        <v>0</v>
      </c>
      <c r="V73" s="204" t="n">
        <f aca="false">V50</f>
        <v>0</v>
      </c>
      <c r="W73" s="204" t="n">
        <f aca="false">W50</f>
        <v>0</v>
      </c>
      <c r="X73" s="197"/>
    </row>
    <row r="74" customFormat="false" ht="18.75" hidden="false" customHeight="true" outlineLevel="0" collapsed="false">
      <c r="B74" s="202" t="s">
        <v>36</v>
      </c>
      <c r="C74" s="205"/>
      <c r="D74" s="222"/>
      <c r="E74" s="223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7"/>
    </row>
    <row r="75" customFormat="false" ht="18.75" hidden="false" customHeight="true" outlineLevel="0" collapsed="false">
      <c r="B75" s="202" t="s">
        <v>37</v>
      </c>
      <c r="C75" s="20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7"/>
    </row>
    <row r="76" customFormat="false" ht="18.75" hidden="false" customHeight="true" outlineLevel="0" collapsed="false">
      <c r="B76" s="207" t="s">
        <v>46</v>
      </c>
      <c r="C76" s="224"/>
      <c r="D76" s="209" t="n">
        <f aca="false">SUM(D64:D75)</f>
        <v>898260.62</v>
      </c>
      <c r="E76" s="209" t="n">
        <f aca="false">SUM(E64:E75)</f>
        <v>599307.588</v>
      </c>
      <c r="F76" s="209" t="n">
        <f aca="false">SUM(F64:F75)</f>
        <v>590555.556</v>
      </c>
      <c r="G76" s="209" t="n">
        <f aca="false">SUM(G64:G75)</f>
        <v>581803.524</v>
      </c>
      <c r="H76" s="209" t="n">
        <f aca="false">SUM(H64:H75)</f>
        <v>573051.492</v>
      </c>
      <c r="I76" s="209" t="n">
        <f aca="false">SUM(I64:I75)</f>
        <v>564299.46</v>
      </c>
      <c r="J76" s="209" t="n">
        <f aca="false">SUM(J64:J75)</f>
        <v>555547.428</v>
      </c>
      <c r="K76" s="209" t="n">
        <f aca="false">SUM(K64:K75)</f>
        <v>546795.396</v>
      </c>
      <c r="L76" s="209" t="n">
        <f aca="false">SUM(L64:L75)</f>
        <v>538043.364</v>
      </c>
      <c r="M76" s="209" t="n">
        <f aca="false">SUM(M64:M75)</f>
        <v>529291.332</v>
      </c>
      <c r="N76" s="209" t="n">
        <f aca="false">SUM(N64:N75)</f>
        <v>564149.3</v>
      </c>
      <c r="O76" s="209" t="n">
        <f aca="false">SUM(O64:O75)</f>
        <v>555397.268</v>
      </c>
      <c r="P76" s="209" t="n">
        <f aca="false">SUM(P64:P75)</f>
        <v>546645.236</v>
      </c>
      <c r="Q76" s="209" t="n">
        <f aca="false">SUM(Q64:Q75)</f>
        <v>537893.204</v>
      </c>
      <c r="R76" s="209" t="n">
        <f aca="false">SUM(R64:R75)</f>
        <v>529141.172</v>
      </c>
      <c r="S76" s="209" t="n">
        <f aca="false">SUM(S64:S75)</f>
        <v>520389.14</v>
      </c>
      <c r="T76" s="209" t="n">
        <f aca="false">SUM(T64:T75)</f>
        <v>511637.108</v>
      </c>
      <c r="U76" s="209" t="n">
        <f aca="false">SUM(U64:U75)</f>
        <v>502885.076</v>
      </c>
      <c r="V76" s="209" t="n">
        <f aca="false">SUM(V64:V75)</f>
        <v>494133.044</v>
      </c>
      <c r="W76" s="209" t="n">
        <f aca="false">SUM(W64:W75)</f>
        <v>485381.012</v>
      </c>
      <c r="X76" s="209" t="n">
        <f aca="false">SUM(X64:X75)</f>
        <v>0</v>
      </c>
    </row>
    <row r="77" customFormat="false" ht="18.75" hidden="false" customHeight="true" outlineLevel="0" collapsed="false">
      <c r="B77" s="206" t="s">
        <v>39</v>
      </c>
      <c r="C77" s="205"/>
      <c r="D77" s="204" t="n">
        <f aca="false">-D76*0.2</f>
        <v>-179652.124</v>
      </c>
      <c r="E77" s="204" t="n">
        <f aca="false">-E76*0.2</f>
        <v>-119861.5176</v>
      </c>
      <c r="F77" s="204" t="n">
        <f aca="false">-F76*0.2</f>
        <v>-118111.1112</v>
      </c>
      <c r="G77" s="204" t="n">
        <f aca="false">-G76*0.2</f>
        <v>-116360.7048</v>
      </c>
      <c r="H77" s="204" t="n">
        <f aca="false">-H76*0.2</f>
        <v>-114610.2984</v>
      </c>
      <c r="I77" s="204" t="n">
        <f aca="false">-I76*0.2</f>
        <v>-112859.892</v>
      </c>
      <c r="J77" s="204" t="n">
        <f aca="false">-J76*0.2</f>
        <v>-111109.4856</v>
      </c>
      <c r="K77" s="204" t="n">
        <f aca="false">-K76*0.2</f>
        <v>-109359.0792</v>
      </c>
      <c r="L77" s="204" t="n">
        <f aca="false">-L76*0.2</f>
        <v>-107608.6728</v>
      </c>
      <c r="M77" s="204" t="n">
        <f aca="false">-M76*0.2</f>
        <v>-105858.2664</v>
      </c>
      <c r="N77" s="204" t="n">
        <f aca="false">-N76*0.2</f>
        <v>-112829.86</v>
      </c>
      <c r="O77" s="204" t="n">
        <f aca="false">-O76*0.2</f>
        <v>-111079.4536</v>
      </c>
      <c r="P77" s="204" t="n">
        <f aca="false">-P76*0.2</f>
        <v>-109329.0472</v>
      </c>
      <c r="Q77" s="204" t="n">
        <f aca="false">-Q76*0.2</f>
        <v>-107578.6408</v>
      </c>
      <c r="R77" s="204" t="n">
        <f aca="false">-R76*0.2</f>
        <v>-105828.2344</v>
      </c>
      <c r="S77" s="204" t="n">
        <f aca="false">-S76*0.2</f>
        <v>-104077.828</v>
      </c>
      <c r="T77" s="204" t="n">
        <f aca="false">-T76*0.2</f>
        <v>-102327.4216</v>
      </c>
      <c r="U77" s="204" t="n">
        <f aca="false">-U76*0.2</f>
        <v>-100577.0152</v>
      </c>
      <c r="V77" s="204" t="n">
        <f aca="false">-V76*0.2</f>
        <v>-98826.6087999999</v>
      </c>
      <c r="W77" s="204" t="n">
        <f aca="false">-W76*0.2</f>
        <v>-97076.2024</v>
      </c>
      <c r="X77" s="204" t="n">
        <f aca="false">-X76*0.2</f>
        <v>-0</v>
      </c>
    </row>
    <row r="78" customFormat="false" ht="15.75" hidden="false" customHeight="true" outlineLevel="0" collapsed="false">
      <c r="B78" s="225" t="s">
        <v>47</v>
      </c>
      <c r="D78" s="204" t="n">
        <f aca="false">SUM(D76:D77)</f>
        <v>718608.496</v>
      </c>
      <c r="E78" s="204" t="n">
        <f aca="false">SUM(E76:E77)</f>
        <v>479446.0704</v>
      </c>
      <c r="F78" s="204" t="n">
        <f aca="false">SUM(F76:F77)</f>
        <v>472444.4448</v>
      </c>
      <c r="G78" s="204" t="n">
        <f aca="false">SUM(G76:G77)</f>
        <v>465442.8192</v>
      </c>
      <c r="H78" s="204" t="n">
        <f aca="false">SUM(H76:H77)</f>
        <v>458441.1936</v>
      </c>
      <c r="I78" s="204" t="n">
        <f aca="false">SUM(I76:I77)</f>
        <v>451439.568</v>
      </c>
      <c r="J78" s="204" t="n">
        <f aca="false">SUM(J76:J77)</f>
        <v>444437.9424</v>
      </c>
      <c r="K78" s="204" t="n">
        <f aca="false">SUM(K76:K77)</f>
        <v>437436.3168</v>
      </c>
      <c r="L78" s="204" t="n">
        <f aca="false">SUM(L76:L77)</f>
        <v>430434.6912</v>
      </c>
      <c r="M78" s="204" t="n">
        <f aca="false">SUM(M76:M77)</f>
        <v>423433.0656</v>
      </c>
      <c r="N78" s="204" t="n">
        <f aca="false">SUM(N76:N77)</f>
        <v>451319.44</v>
      </c>
      <c r="O78" s="204" t="n">
        <f aca="false">SUM(O76:O77)</f>
        <v>444317.8144</v>
      </c>
      <c r="P78" s="204" t="n">
        <f aca="false">SUM(P76:P77)</f>
        <v>437316.1888</v>
      </c>
      <c r="Q78" s="204" t="n">
        <f aca="false">SUM(Q76:Q77)</f>
        <v>430314.5632</v>
      </c>
      <c r="R78" s="204" t="n">
        <f aca="false">SUM(R76:R77)</f>
        <v>423312.9376</v>
      </c>
      <c r="S78" s="204" t="n">
        <f aca="false">SUM(S76:S77)</f>
        <v>416311.312</v>
      </c>
      <c r="T78" s="204" t="n">
        <f aca="false">SUM(T76:T77)</f>
        <v>409309.6864</v>
      </c>
      <c r="U78" s="204" t="n">
        <f aca="false">SUM(U76:U77)</f>
        <v>402308.0608</v>
      </c>
      <c r="V78" s="204" t="n">
        <f aca="false">SUM(V76:V77)</f>
        <v>395306.4352</v>
      </c>
      <c r="W78" s="204" t="n">
        <f aca="false">SUM(W76:W77)</f>
        <v>388304.8096</v>
      </c>
      <c r="X78" s="204" t="n">
        <f aca="false">SUM(X76:X77)</f>
        <v>0</v>
      </c>
    </row>
    <row r="79" customFormat="false" ht="18.75" hidden="false" customHeight="true" outlineLevel="0" collapsed="false">
      <c r="B79" s="213" t="s">
        <v>41</v>
      </c>
      <c r="C79" s="21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7"/>
    </row>
    <row r="80" customFormat="false" ht="18.75" hidden="false" customHeight="true" outlineLevel="0" collapsed="false">
      <c r="B80" s="112" t="s">
        <v>42</v>
      </c>
      <c r="C80" s="113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9"/>
    </row>
    <row r="81" customFormat="false" ht="18.75" hidden="false" customHeight="true" outlineLevel="0" collapsed="false">
      <c r="B81" s="98"/>
      <c r="C81" s="97"/>
      <c r="D81" s="97"/>
      <c r="E81" s="97"/>
      <c r="F81" s="98"/>
      <c r="G81" s="98"/>
      <c r="H81" s="98"/>
      <c r="I81" s="98"/>
      <c r="J81" s="98"/>
      <c r="K81" s="98"/>
      <c r="L81" s="98"/>
      <c r="M81" s="97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45.49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137" t="s">
        <v>63</v>
      </c>
      <c r="C1" s="138"/>
      <c r="D1" s="138"/>
      <c r="E1" s="139"/>
      <c r="F1" s="140" t="s">
        <v>64</v>
      </c>
      <c r="P1" s="141" t="n">
        <f aca="false">1-D11</f>
        <v>0.99</v>
      </c>
      <c r="Q1" s="141" t="n">
        <f aca="false">P1-$D12</f>
        <v>0.986</v>
      </c>
      <c r="R1" s="141" t="n">
        <f aca="false">Q1-$D12</f>
        <v>0.982</v>
      </c>
      <c r="S1" s="141" t="n">
        <f aca="false">R1-$D12</f>
        <v>0.978</v>
      </c>
      <c r="T1" s="141" t="n">
        <f aca="false">S1-$D12</f>
        <v>0.974</v>
      </c>
      <c r="U1" s="141" t="n">
        <f aca="false">T1-$D12</f>
        <v>0.97</v>
      </c>
      <c r="V1" s="141" t="n">
        <f aca="false">U1-$D12</f>
        <v>0.966</v>
      </c>
      <c r="W1" s="141" t="n">
        <f aca="false">V1-$D12</f>
        <v>0.962</v>
      </c>
      <c r="X1" s="141" t="n">
        <f aca="false">W1-$D12</f>
        <v>0.958</v>
      </c>
      <c r="Y1" s="141" t="n">
        <f aca="false">X1-$D12</f>
        <v>0.954</v>
      </c>
      <c r="Z1" s="141" t="n">
        <f aca="false">Y1-$D12</f>
        <v>0.95</v>
      </c>
      <c r="AA1" s="141" t="n">
        <f aca="false">Z1-$D12</f>
        <v>0.946</v>
      </c>
      <c r="AB1" s="141" t="n">
        <f aca="false">AA1-$D12</f>
        <v>0.942</v>
      </c>
      <c r="AC1" s="141" t="n">
        <f aca="false">AB1-$D12</f>
        <v>0.938</v>
      </c>
      <c r="AD1" s="141" t="n">
        <f aca="false">AC1-$D12</f>
        <v>0.934</v>
      </c>
      <c r="AE1" s="141" t="n">
        <f aca="false">AD1-$D12</f>
        <v>0.93</v>
      </c>
      <c r="AF1" s="141" t="n">
        <f aca="false">AE1-$D12</f>
        <v>0.926</v>
      </c>
      <c r="AG1" s="141" t="n">
        <f aca="false">AF1-$D12</f>
        <v>0.922</v>
      </c>
      <c r="AH1" s="141" t="n">
        <f aca="false">AG1-$D12</f>
        <v>0.918</v>
      </c>
      <c r="AI1" s="141" t="n">
        <f aca="false">AH1-$D12</f>
        <v>0.914</v>
      </c>
    </row>
    <row r="2" customFormat="false" ht="21.75" hidden="false" customHeight="true" outlineLevel="0" collapsed="false">
      <c r="B2" s="142" t="s">
        <v>65</v>
      </c>
      <c r="C2" s="143" t="s">
        <v>2</v>
      </c>
      <c r="D2" s="144" t="s">
        <v>26</v>
      </c>
      <c r="E2" s="145" t="s">
        <v>26</v>
      </c>
      <c r="F2" s="146" t="s">
        <v>66</v>
      </c>
    </row>
    <row r="3" customFormat="false" ht="21.75" hidden="false" customHeight="true" outlineLevel="0" collapsed="false">
      <c r="B3" s="147" t="s">
        <v>67</v>
      </c>
      <c r="C3" s="148" t="n">
        <v>20</v>
      </c>
      <c r="D3" s="149" t="s">
        <v>26</v>
      </c>
      <c r="E3" s="150" t="s">
        <v>26</v>
      </c>
      <c r="F3" s="151" t="s">
        <v>68</v>
      </c>
    </row>
    <row r="4" customFormat="false" ht="21.75" hidden="false" customHeight="true" outlineLevel="0" collapsed="false">
      <c r="B4" s="147" t="s">
        <v>69</v>
      </c>
      <c r="C4" s="148" t="n">
        <v>436.1</v>
      </c>
      <c r="D4" s="149" t="s">
        <v>26</v>
      </c>
      <c r="E4" s="150" t="s">
        <v>26</v>
      </c>
      <c r="F4" s="151" t="s">
        <v>70</v>
      </c>
      <c r="M4" s="152" t="s">
        <v>138</v>
      </c>
    </row>
    <row r="5" customFormat="false" ht="22.5" hidden="false" customHeight="true" outlineLevel="0" collapsed="false">
      <c r="B5" s="153" t="s">
        <v>72</v>
      </c>
      <c r="C5" s="148" t="n">
        <v>2020</v>
      </c>
      <c r="D5" s="153" t="s">
        <v>73</v>
      </c>
      <c r="E5" s="154" t="n">
        <v>2039</v>
      </c>
      <c r="F5" s="151" t="s">
        <v>74</v>
      </c>
      <c r="M5" s="152" t="s">
        <v>139</v>
      </c>
    </row>
    <row r="6" customFormat="false" ht="20.25" hidden="false" customHeight="true" outlineLevel="0" collapsed="false">
      <c r="B6" s="155"/>
      <c r="C6" s="155"/>
      <c r="D6" s="155"/>
      <c r="E6" s="155"/>
      <c r="M6" s="152" t="s">
        <v>140</v>
      </c>
    </row>
    <row r="7" customFormat="false" ht="22.5" hidden="false" customHeight="true" outlineLevel="0" collapsed="false">
      <c r="B7" s="137" t="s">
        <v>77</v>
      </c>
      <c r="C7" s="138"/>
      <c r="D7" s="138"/>
      <c r="E7" s="139"/>
      <c r="M7" s="152" t="s">
        <v>141</v>
      </c>
    </row>
    <row r="8" customFormat="false" ht="22.5" hidden="false" customHeight="true" outlineLevel="0" collapsed="false">
      <c r="B8" s="156" t="s">
        <v>79</v>
      </c>
      <c r="E8" s="157"/>
      <c r="M8" s="152" t="s">
        <v>142</v>
      </c>
    </row>
    <row r="9" customFormat="false" ht="22.5" hidden="false" customHeight="true" outlineLevel="0" collapsed="false">
      <c r="B9" s="158" t="s">
        <v>81</v>
      </c>
      <c r="C9" s="159" t="s">
        <v>82</v>
      </c>
      <c r="D9" s="159" t="s">
        <v>83</v>
      </c>
      <c r="E9" s="160" t="s">
        <v>84</v>
      </c>
      <c r="F9" s="140" t="s">
        <v>64</v>
      </c>
      <c r="M9" s="152" t="s">
        <v>85</v>
      </c>
    </row>
    <row r="10" customFormat="false" ht="30" hidden="false" customHeight="true" outlineLevel="0" collapsed="false">
      <c r="B10" s="161" t="s">
        <v>86</v>
      </c>
      <c r="C10" s="162" t="s">
        <v>87</v>
      </c>
      <c r="D10" s="163" t="n">
        <v>547002</v>
      </c>
      <c r="E10" s="164" t="n">
        <v>20</v>
      </c>
      <c r="F10" s="151" t="s">
        <v>88</v>
      </c>
      <c r="M10" s="152" t="s">
        <v>143</v>
      </c>
    </row>
    <row r="11" customFormat="false" ht="30" hidden="false" customHeight="true" outlineLevel="0" collapsed="false">
      <c r="B11" s="165"/>
      <c r="C11" s="153" t="s">
        <v>90</v>
      </c>
      <c r="D11" s="166" t="n">
        <v>0.01</v>
      </c>
      <c r="E11" s="167"/>
      <c r="F11" s="151" t="s">
        <v>91</v>
      </c>
    </row>
    <row r="12" customFormat="false" ht="30" hidden="false" customHeight="true" outlineLevel="0" collapsed="false">
      <c r="B12" s="165"/>
      <c r="C12" s="153" t="s">
        <v>92</v>
      </c>
      <c r="D12" s="168" t="n">
        <v>0.004</v>
      </c>
      <c r="E12" s="167"/>
      <c r="F12" s="151" t="s">
        <v>93</v>
      </c>
    </row>
    <row r="13" customFormat="false" ht="22.5" hidden="false" customHeight="true" outlineLevel="0" collapsed="false">
      <c r="B13" s="165"/>
      <c r="C13" s="169" t="s">
        <v>94</v>
      </c>
      <c r="D13" s="170" t="n">
        <v>4</v>
      </c>
      <c r="E13" s="167"/>
      <c r="F13" s="151" t="s">
        <v>95</v>
      </c>
    </row>
    <row r="14" customFormat="false" ht="22.5" hidden="false" customHeight="true" outlineLevel="0" collapsed="false">
      <c r="B14" s="171" t="s">
        <v>96</v>
      </c>
      <c r="C14" s="138"/>
      <c r="D14" s="138"/>
      <c r="E14" s="139"/>
    </row>
    <row r="15" customFormat="false" ht="22.5" hidden="false" customHeight="true" outlineLevel="0" collapsed="false">
      <c r="B15" s="158" t="s">
        <v>81</v>
      </c>
      <c r="C15" s="159" t="s">
        <v>82</v>
      </c>
      <c r="D15" s="159" t="s">
        <v>83</v>
      </c>
      <c r="E15" s="160" t="s">
        <v>97</v>
      </c>
      <c r="F15" s="140" t="s">
        <v>64</v>
      </c>
    </row>
    <row r="16" customFormat="false" ht="21.75" hidden="false" customHeight="true" outlineLevel="0" collapsed="false">
      <c r="B16" s="162" t="s">
        <v>98</v>
      </c>
      <c r="C16" s="162" t="s">
        <v>99</v>
      </c>
      <c r="D16" s="172" t="n">
        <v>29000</v>
      </c>
      <c r="E16" s="145" t="n">
        <v>20</v>
      </c>
      <c r="F16" s="151" t="s">
        <v>100</v>
      </c>
    </row>
    <row r="17" customFormat="false" ht="21.75" hidden="false" customHeight="true" outlineLevel="0" collapsed="false">
      <c r="B17" s="165"/>
      <c r="C17" s="153" t="s">
        <v>101</v>
      </c>
      <c r="D17" s="173" t="n">
        <v>0.3</v>
      </c>
      <c r="E17" s="167"/>
      <c r="F17" s="151" t="s">
        <v>102</v>
      </c>
    </row>
    <row r="18" customFormat="false" ht="21.75" hidden="false" customHeight="true" outlineLevel="0" collapsed="false">
      <c r="B18" s="174"/>
      <c r="C18" s="153" t="s">
        <v>103</v>
      </c>
      <c r="D18" s="175" t="n">
        <v>2000</v>
      </c>
      <c r="E18" s="176"/>
      <c r="F18" s="151" t="s">
        <v>104</v>
      </c>
    </row>
    <row r="19" customFormat="false" ht="54" hidden="false" customHeight="true" outlineLevel="0" collapsed="false">
      <c r="B19" s="153" t="s">
        <v>105</v>
      </c>
      <c r="C19" s="177" t="s">
        <v>106</v>
      </c>
      <c r="D19" s="173" t="n">
        <v>1</v>
      </c>
      <c r="E19" s="145" t="n">
        <v>20</v>
      </c>
      <c r="F19" s="151" t="s">
        <v>107</v>
      </c>
    </row>
    <row r="20" customFormat="false" ht="20.25" hidden="false" customHeight="true" outlineLevel="0" collapsed="false">
      <c r="B20" s="165"/>
      <c r="C20" s="178" t="s">
        <v>108</v>
      </c>
      <c r="D20" s="175" t="n">
        <v>290201</v>
      </c>
      <c r="E20" s="145" t="n">
        <v>20</v>
      </c>
      <c r="F20" s="151" t="s">
        <v>109</v>
      </c>
    </row>
    <row r="21" customFormat="false" ht="30" hidden="false" customHeight="true" outlineLevel="0" collapsed="false">
      <c r="B21" s="174"/>
      <c r="C21" s="153" t="s">
        <v>110</v>
      </c>
      <c r="D21" s="173" t="n">
        <v>0</v>
      </c>
      <c r="E21" s="150" t="n">
        <v>20</v>
      </c>
      <c r="F21" s="151" t="s">
        <v>111</v>
      </c>
    </row>
    <row r="22" customFormat="false" ht="30" hidden="false" customHeight="true" outlineLevel="0" collapsed="false">
      <c r="B22" s="153" t="s">
        <v>112</v>
      </c>
      <c r="C22" s="153" t="s">
        <v>113</v>
      </c>
      <c r="D22" s="179" t="n">
        <v>400</v>
      </c>
      <c r="E22" s="150" t="n">
        <v>20</v>
      </c>
      <c r="F22" s="151" t="s">
        <v>114</v>
      </c>
    </row>
    <row r="23" customFormat="false" ht="30" hidden="false" customHeight="true" outlineLevel="0" collapsed="false">
      <c r="B23" s="153" t="s">
        <v>115</v>
      </c>
      <c r="C23" s="153" t="s">
        <v>116</v>
      </c>
      <c r="D23" s="173" t="n">
        <v>0.003</v>
      </c>
      <c r="E23" s="150" t="n">
        <v>20</v>
      </c>
      <c r="F23" s="151" t="s">
        <v>117</v>
      </c>
    </row>
    <row r="24" customFormat="false" ht="30" hidden="false" customHeight="true" outlineLevel="0" collapsed="false">
      <c r="B24" s="153" t="s">
        <v>118</v>
      </c>
      <c r="C24" s="153" t="s">
        <v>119</v>
      </c>
      <c r="D24" s="179" t="n">
        <v>1000</v>
      </c>
      <c r="E24" s="180" t="n">
        <v>10</v>
      </c>
      <c r="F24" s="151" t="s">
        <v>120</v>
      </c>
    </row>
    <row r="25" customFormat="false" ht="30" hidden="false" customHeight="true" outlineLevel="0" collapsed="false">
      <c r="B25" s="153" t="s">
        <v>121</v>
      </c>
      <c r="C25" s="153" t="s">
        <v>122</v>
      </c>
      <c r="D25" s="181" t="n">
        <v>0.0256</v>
      </c>
      <c r="E25" s="150" t="n">
        <v>20</v>
      </c>
      <c r="F25" s="151" t="s">
        <v>123</v>
      </c>
    </row>
    <row r="26" customFormat="false" ht="30" hidden="false" customHeight="true" outlineLevel="0" collapsed="false">
      <c r="B26" s="153" t="s">
        <v>14</v>
      </c>
      <c r="C26" s="153" t="s">
        <v>124</v>
      </c>
      <c r="D26" s="173" t="n">
        <v>0.2</v>
      </c>
      <c r="E26" s="150" t="n">
        <v>20</v>
      </c>
      <c r="F26" s="151" t="s">
        <v>125</v>
      </c>
    </row>
    <row r="27" customFormat="false" ht="20.25" hidden="false" customHeight="true" outlineLevel="0" collapsed="false">
      <c r="B27" s="155"/>
      <c r="C27" s="155"/>
      <c r="D27" s="155"/>
      <c r="E27" s="155"/>
    </row>
    <row r="28" customFormat="false" ht="20.25" hidden="false" customHeight="true" outlineLevel="0" collapsed="false">
      <c r="B28" s="155"/>
      <c r="C28" s="155"/>
      <c r="D28" s="155"/>
      <c r="E28" s="155"/>
    </row>
    <row r="29" customFormat="false" ht="22.5" hidden="false" customHeight="true" outlineLevel="0" collapsed="false">
      <c r="B29" s="137" t="s">
        <v>126</v>
      </c>
      <c r="C29" s="138"/>
      <c r="D29" s="139"/>
      <c r="E29" s="155"/>
    </row>
    <row r="30" customFormat="false" ht="22.5" hidden="false" customHeight="true" outlineLevel="0" collapsed="false">
      <c r="B30" s="158" t="s">
        <v>127</v>
      </c>
      <c r="C30" s="182" t="s">
        <v>82</v>
      </c>
      <c r="D30" s="183" t="s">
        <v>83</v>
      </c>
      <c r="E30" s="155"/>
      <c r="F30" s="140" t="s">
        <v>64</v>
      </c>
    </row>
    <row r="31" customFormat="false" ht="30" hidden="false" customHeight="true" outlineLevel="0" collapsed="false">
      <c r="B31" s="162" t="s">
        <v>128</v>
      </c>
      <c r="C31" s="142" t="s">
        <v>129</v>
      </c>
      <c r="D31" s="184" t="n">
        <v>0.8</v>
      </c>
      <c r="E31" s="155"/>
      <c r="F31" s="151" t="s">
        <v>130</v>
      </c>
    </row>
    <row r="32" customFormat="false" ht="18.75" hidden="false" customHeight="true" outlineLevel="0" collapsed="false">
      <c r="B32" s="162" t="s">
        <v>131</v>
      </c>
      <c r="C32" s="142" t="s">
        <v>132</v>
      </c>
      <c r="D32" s="184" t="n">
        <v>15</v>
      </c>
      <c r="E32" s="155"/>
      <c r="F32" s="151" t="s">
        <v>133</v>
      </c>
    </row>
    <row r="33" customFormat="false" ht="18.75" hidden="false" customHeight="true" outlineLevel="0" collapsed="false">
      <c r="B33" s="153" t="s">
        <v>53</v>
      </c>
      <c r="C33" s="147" t="s">
        <v>134</v>
      </c>
      <c r="D33" s="173" t="n">
        <v>0.9</v>
      </c>
      <c r="E33" s="155"/>
      <c r="F33" s="151" t="s">
        <v>135</v>
      </c>
    </row>
    <row r="34" customFormat="false" ht="30" hidden="false" customHeight="true" outlineLevel="0" collapsed="false">
      <c r="B34" s="153" t="s">
        <v>54</v>
      </c>
      <c r="C34" s="147" t="s">
        <v>132</v>
      </c>
      <c r="D34" s="173" t="n">
        <v>4</v>
      </c>
      <c r="E34" s="155"/>
      <c r="F34" s="151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56"/>
      <c r="C37" s="57" t="s">
        <v>0</v>
      </c>
      <c r="D37" s="57" t="n">
        <v>2020</v>
      </c>
      <c r="E37" s="57" t="n">
        <v>2021</v>
      </c>
      <c r="F37" s="57" t="n">
        <v>2022</v>
      </c>
      <c r="G37" s="57" t="n">
        <v>2023</v>
      </c>
      <c r="H37" s="57" t="n">
        <v>2024</v>
      </c>
      <c r="I37" s="57" t="n">
        <v>2025</v>
      </c>
      <c r="J37" s="57" t="n">
        <v>2026</v>
      </c>
      <c r="K37" s="57" t="n">
        <v>2027</v>
      </c>
      <c r="L37" s="57" t="n">
        <v>2028</v>
      </c>
      <c r="M37" s="57" t="n">
        <v>2029</v>
      </c>
      <c r="N37" s="57" t="n">
        <v>2030</v>
      </c>
      <c r="O37" s="57" t="n">
        <v>2031</v>
      </c>
      <c r="P37" s="57" t="n">
        <v>2032</v>
      </c>
      <c r="Q37" s="57" t="n">
        <v>2033</v>
      </c>
      <c r="R37" s="57" t="n">
        <v>2034</v>
      </c>
      <c r="S37" s="57" t="n">
        <v>2035</v>
      </c>
      <c r="T37" s="57" t="n">
        <v>2036</v>
      </c>
      <c r="U37" s="57" t="n">
        <v>2037</v>
      </c>
      <c r="V37" s="57" t="n">
        <v>2038</v>
      </c>
      <c r="W37" s="57" t="n">
        <v>2039</v>
      </c>
      <c r="X37" s="57"/>
    </row>
    <row r="38" customFormat="false" ht="18.75" hidden="false" customHeight="true" outlineLevel="0" collapsed="false">
      <c r="B38" s="58" t="n">
        <v>0</v>
      </c>
      <c r="C38" s="59"/>
      <c r="D38" s="60"/>
      <c r="E38" s="60"/>
      <c r="F38" s="61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3"/>
      <c r="U38" s="62"/>
      <c r="V38" s="62"/>
      <c r="W38" s="62"/>
      <c r="X38" s="185"/>
    </row>
    <row r="39" customFormat="false" ht="18.75" hidden="false" customHeight="true" outlineLevel="0" collapsed="false">
      <c r="B39" s="64" t="s">
        <v>23</v>
      </c>
      <c r="C39" s="65" t="n">
        <v>0</v>
      </c>
      <c r="D39" s="66" t="n">
        <v>1</v>
      </c>
      <c r="E39" s="66" t="n">
        <v>2</v>
      </c>
      <c r="F39" s="66" t="n">
        <v>3</v>
      </c>
      <c r="G39" s="66" t="n">
        <v>4</v>
      </c>
      <c r="H39" s="66" t="n">
        <v>5</v>
      </c>
      <c r="I39" s="66" t="n">
        <v>6</v>
      </c>
      <c r="J39" s="66" t="n">
        <v>7</v>
      </c>
      <c r="K39" s="66" t="n">
        <v>8</v>
      </c>
      <c r="L39" s="66" t="n">
        <v>9</v>
      </c>
      <c r="M39" s="66" t="n">
        <v>10</v>
      </c>
      <c r="N39" s="66" t="n">
        <v>11</v>
      </c>
      <c r="O39" s="66" t="n">
        <v>12</v>
      </c>
      <c r="P39" s="66" t="n">
        <v>13</v>
      </c>
      <c r="Q39" s="66" t="n">
        <v>14</v>
      </c>
      <c r="R39" s="66" t="n">
        <v>15</v>
      </c>
      <c r="S39" s="66" t="n">
        <v>16</v>
      </c>
      <c r="T39" s="67" t="n">
        <v>17</v>
      </c>
      <c r="U39" s="66" t="n">
        <v>18</v>
      </c>
      <c r="V39" s="66" t="n">
        <v>19</v>
      </c>
      <c r="W39" s="66" t="n">
        <v>20</v>
      </c>
      <c r="X39" s="186"/>
    </row>
    <row r="40" customFormat="false" ht="18.75" hidden="false" customHeight="true" outlineLevel="0" collapsed="false">
      <c r="B40" s="187" t="s">
        <v>137</v>
      </c>
      <c r="C40" s="69" t="n">
        <v>0</v>
      </c>
      <c r="D40" s="70" t="n">
        <f aca="false">$D$10*P1</f>
        <v>541531.98</v>
      </c>
      <c r="E40" s="70" t="n">
        <f aca="false">$D$10*Q1</f>
        <v>539343.972</v>
      </c>
      <c r="F40" s="70" t="n">
        <f aca="false">$D$10*R1</f>
        <v>537155.964</v>
      </c>
      <c r="G40" s="70" t="n">
        <f aca="false">$D$10*S1</f>
        <v>534967.956</v>
      </c>
      <c r="H40" s="70" t="n">
        <f aca="false">$D$10*T1</f>
        <v>532779.948</v>
      </c>
      <c r="I40" s="70" t="n">
        <f aca="false">$D$10*U1</f>
        <v>530591.94</v>
      </c>
      <c r="J40" s="70" t="n">
        <f aca="false">$D$10*V1</f>
        <v>528403.932</v>
      </c>
      <c r="K40" s="70" t="n">
        <f aca="false">$D$10*W1</f>
        <v>526215.924</v>
      </c>
      <c r="L40" s="70" t="n">
        <f aca="false">$D$10*X1</f>
        <v>524027.916</v>
      </c>
      <c r="M40" s="70" t="n">
        <f aca="false">$D$10*Y1</f>
        <v>521839.908</v>
      </c>
      <c r="N40" s="70" t="n">
        <f aca="false">$D$10*Z1</f>
        <v>519651.9</v>
      </c>
      <c r="O40" s="70" t="n">
        <f aca="false">$D$10*AA1</f>
        <v>517463.892</v>
      </c>
      <c r="P40" s="70" t="n">
        <f aca="false">$D$10*AB1</f>
        <v>515275.884</v>
      </c>
      <c r="Q40" s="70" t="n">
        <f aca="false">$D$10*AC1</f>
        <v>513087.876</v>
      </c>
      <c r="R40" s="70" t="n">
        <f aca="false">$D$10*AD1</f>
        <v>510899.868</v>
      </c>
      <c r="S40" s="70" t="n">
        <f aca="false">$D$10*AE1</f>
        <v>508711.86</v>
      </c>
      <c r="T40" s="70" t="n">
        <f aca="false">$D$10*AF1</f>
        <v>506523.852</v>
      </c>
      <c r="U40" s="70" t="n">
        <f aca="false">$D$10*AG1</f>
        <v>504335.844</v>
      </c>
      <c r="V40" s="70" t="n">
        <f aca="false">$D$10*AH1</f>
        <v>502147.836</v>
      </c>
      <c r="W40" s="70" t="n">
        <f aca="false">$D$10*AI1</f>
        <v>499959.828</v>
      </c>
      <c r="X40" s="188"/>
    </row>
    <row r="41" customFormat="false" ht="18.75" hidden="false" customHeight="true" outlineLevel="0" collapsed="false">
      <c r="B41" s="189" t="s">
        <v>25</v>
      </c>
      <c r="C41" s="190" t="s">
        <v>26</v>
      </c>
      <c r="D41" s="191" t="n">
        <f aca="false">D40*$D$13</f>
        <v>2166127.92</v>
      </c>
      <c r="E41" s="191" t="n">
        <f aca="false">E40*$D$13</f>
        <v>2157375.888</v>
      </c>
      <c r="F41" s="191" t="n">
        <f aca="false">F40*$D$13</f>
        <v>2148623.856</v>
      </c>
      <c r="G41" s="191" t="n">
        <f aca="false">G40*$D$13</f>
        <v>2139871.824</v>
      </c>
      <c r="H41" s="191" t="n">
        <f aca="false">H40*$D$13</f>
        <v>2131119.792</v>
      </c>
      <c r="I41" s="191" t="n">
        <f aca="false">I40*$D$13</f>
        <v>2122367.76</v>
      </c>
      <c r="J41" s="191" t="n">
        <f aca="false">J40*$D$13</f>
        <v>2113615.728</v>
      </c>
      <c r="K41" s="191" t="n">
        <f aca="false">K40*$D$13</f>
        <v>2104863.696</v>
      </c>
      <c r="L41" s="191" t="n">
        <f aca="false">L40*$D$13</f>
        <v>2096111.664</v>
      </c>
      <c r="M41" s="191" t="n">
        <f aca="false">M40*$D$13</f>
        <v>2087359.632</v>
      </c>
      <c r="N41" s="191" t="n">
        <f aca="false">N40*$D$13</f>
        <v>2078607.6</v>
      </c>
      <c r="O41" s="191" t="n">
        <f aca="false">O40*$D$13</f>
        <v>2069855.568</v>
      </c>
      <c r="P41" s="191" t="n">
        <f aca="false">P40*$D$13</f>
        <v>2061103.536</v>
      </c>
      <c r="Q41" s="191" t="n">
        <f aca="false">Q40*$D$13</f>
        <v>2052351.504</v>
      </c>
      <c r="R41" s="191" t="n">
        <f aca="false">R40*$D$13</f>
        <v>2043599.472</v>
      </c>
      <c r="S41" s="191" t="n">
        <f aca="false">S40*$D$13</f>
        <v>2034847.44</v>
      </c>
      <c r="T41" s="191" t="n">
        <f aca="false">T40*$D$13</f>
        <v>2026095.408</v>
      </c>
      <c r="U41" s="191" t="n">
        <f aca="false">U40*$D$13</f>
        <v>2017343.376</v>
      </c>
      <c r="V41" s="191" t="n">
        <f aca="false">V40*$D$13</f>
        <v>2008591.344</v>
      </c>
      <c r="W41" s="191" t="n">
        <f aca="false">W40*$D$13</f>
        <v>1999839.312</v>
      </c>
      <c r="X41" s="192"/>
    </row>
    <row r="42" customFormat="false" ht="18.75" hidden="false" customHeight="true" outlineLevel="0" collapsed="false">
      <c r="B42" s="193" t="s">
        <v>27</v>
      </c>
      <c r="C42" s="194" t="s">
        <v>26</v>
      </c>
      <c r="D42" s="195"/>
      <c r="E42" s="195"/>
      <c r="F42" s="195"/>
      <c r="G42" s="196" t="s">
        <v>26</v>
      </c>
      <c r="H42" s="196" t="s">
        <v>26</v>
      </c>
      <c r="I42" s="196" t="s">
        <v>26</v>
      </c>
      <c r="J42" s="196" t="s">
        <v>26</v>
      </c>
      <c r="K42" s="196" t="s">
        <v>26</v>
      </c>
      <c r="L42" s="196" t="s">
        <v>26</v>
      </c>
      <c r="M42" s="196" t="s">
        <v>26</v>
      </c>
      <c r="N42" s="196" t="s">
        <v>26</v>
      </c>
      <c r="O42" s="196" t="s">
        <v>26</v>
      </c>
      <c r="P42" s="196" t="s">
        <v>26</v>
      </c>
      <c r="Q42" s="196" t="s">
        <v>26</v>
      </c>
      <c r="R42" s="196" t="s">
        <v>26</v>
      </c>
      <c r="S42" s="196" t="s">
        <v>26</v>
      </c>
      <c r="T42" s="196" t="s">
        <v>26</v>
      </c>
      <c r="U42" s="196" t="s">
        <v>26</v>
      </c>
      <c r="V42" s="196" t="s">
        <v>26</v>
      </c>
      <c r="W42" s="196" t="s">
        <v>26</v>
      </c>
      <c r="X42" s="197"/>
    </row>
    <row r="43" customFormat="false" ht="18.75" hidden="false" customHeight="true" outlineLevel="0" collapsed="false">
      <c r="B43" s="198" t="s">
        <v>28</v>
      </c>
      <c r="C43" s="199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1"/>
    </row>
    <row r="44" customFormat="false" ht="18.75" hidden="false" customHeight="true" outlineLevel="0" collapsed="false">
      <c r="B44" s="202" t="s">
        <v>29</v>
      </c>
      <c r="C44" s="203" t="n">
        <f aca="false">-(D16/(1-D17)+D18)*C4</f>
        <v>-18939200</v>
      </c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</row>
    <row r="45" customFormat="false" ht="18.75" hidden="false" customHeight="true" outlineLevel="0" collapsed="false">
      <c r="B45" s="202" t="s">
        <v>30</v>
      </c>
      <c r="C45" s="194" t="s">
        <v>26</v>
      </c>
      <c r="D45" s="152" t="n">
        <v>-290201</v>
      </c>
      <c r="E45" s="204" t="n">
        <v>-290201</v>
      </c>
      <c r="F45" s="204" t="n">
        <v>-290201</v>
      </c>
      <c r="G45" s="204" t="n">
        <v>-290201</v>
      </c>
      <c r="H45" s="204" t="n">
        <v>-290201</v>
      </c>
      <c r="I45" s="204" t="n">
        <v>-290201</v>
      </c>
      <c r="J45" s="204" t="n">
        <v>-290201</v>
      </c>
      <c r="K45" s="204" t="n">
        <v>-290201</v>
      </c>
      <c r="L45" s="204" t="n">
        <v>-290201</v>
      </c>
      <c r="M45" s="204" t="n">
        <v>-290201</v>
      </c>
      <c r="N45" s="204" t="n">
        <v>-290201</v>
      </c>
      <c r="O45" s="204" t="n">
        <v>-290201</v>
      </c>
      <c r="P45" s="204" t="n">
        <v>-290201</v>
      </c>
      <c r="Q45" s="204" t="n">
        <v>-290201</v>
      </c>
      <c r="R45" s="204" t="n">
        <v>-290201</v>
      </c>
      <c r="S45" s="204" t="n">
        <v>-290201</v>
      </c>
      <c r="T45" s="204" t="n">
        <v>-290201</v>
      </c>
      <c r="U45" s="204" t="n">
        <v>-290201</v>
      </c>
      <c r="V45" s="204" t="n">
        <v>-290201</v>
      </c>
      <c r="W45" s="204" t="n">
        <v>-290201</v>
      </c>
      <c r="X45" s="204"/>
    </row>
    <row r="46" customFormat="false" ht="18.75" hidden="false" customHeight="true" outlineLevel="0" collapsed="false">
      <c r="B46" s="202" t="s">
        <v>31</v>
      </c>
      <c r="C46" s="19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</row>
    <row r="47" customFormat="false" ht="18.75" hidden="false" customHeight="true" outlineLevel="0" collapsed="false">
      <c r="B47" s="202" t="s">
        <v>32</v>
      </c>
      <c r="C47" s="194" t="s">
        <v>26</v>
      </c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</row>
    <row r="48" customFormat="false" ht="18.75" hidden="false" customHeight="true" outlineLevel="0" collapsed="false">
      <c r="B48" s="202" t="s">
        <v>33</v>
      </c>
      <c r="C48" s="194" t="s">
        <v>26</v>
      </c>
      <c r="D48" s="204" t="n">
        <v>-174440</v>
      </c>
      <c r="E48" s="204" t="n">
        <v>-174440</v>
      </c>
      <c r="F48" s="204" t="n">
        <v>-174440</v>
      </c>
      <c r="G48" s="204" t="n">
        <v>-174440</v>
      </c>
      <c r="H48" s="204" t="n">
        <v>-174440</v>
      </c>
      <c r="I48" s="204" t="n">
        <v>-174440</v>
      </c>
      <c r="J48" s="204" t="n">
        <v>-174440</v>
      </c>
      <c r="K48" s="204" t="n">
        <v>-174440</v>
      </c>
      <c r="L48" s="204" t="n">
        <v>-174440</v>
      </c>
      <c r="M48" s="204" t="n">
        <v>-174440</v>
      </c>
      <c r="N48" s="204" t="n">
        <v>-174440</v>
      </c>
      <c r="O48" s="204" t="n">
        <v>-174440</v>
      </c>
      <c r="P48" s="204" t="n">
        <v>-174440</v>
      </c>
      <c r="Q48" s="204" t="n">
        <v>-174440</v>
      </c>
      <c r="R48" s="204" t="n">
        <v>-174440</v>
      </c>
      <c r="S48" s="204" t="n">
        <v>-174440</v>
      </c>
      <c r="T48" s="204" t="n">
        <v>-174440</v>
      </c>
      <c r="U48" s="204" t="n">
        <v>-174440</v>
      </c>
      <c r="V48" s="204" t="n">
        <v>-174440</v>
      </c>
      <c r="W48" s="204" t="n">
        <v>-174440</v>
      </c>
      <c r="X48" s="204"/>
    </row>
    <row r="49" customFormat="false" ht="18.75" hidden="false" customHeight="true" outlineLevel="0" collapsed="false">
      <c r="B49" s="202" t="s">
        <v>34</v>
      </c>
      <c r="C49" s="194" t="s">
        <v>26</v>
      </c>
      <c r="D49" s="204" t="n">
        <v>-37940.7</v>
      </c>
      <c r="E49" s="204" t="n">
        <v>-37940.7</v>
      </c>
      <c r="F49" s="204" t="n">
        <v>-37940.7</v>
      </c>
      <c r="G49" s="204" t="n">
        <v>-37940.7</v>
      </c>
      <c r="H49" s="204" t="n">
        <v>-37940.7</v>
      </c>
      <c r="I49" s="204" t="n">
        <v>-37940.7</v>
      </c>
      <c r="J49" s="204" t="n">
        <v>-37940.7</v>
      </c>
      <c r="K49" s="204" t="n">
        <v>-37940.7</v>
      </c>
      <c r="L49" s="204" t="n">
        <v>-37940.7</v>
      </c>
      <c r="M49" s="204" t="n">
        <v>-37940.7</v>
      </c>
      <c r="N49" s="204" t="n">
        <v>-37940.7</v>
      </c>
      <c r="O49" s="204" t="n">
        <v>-37940.7</v>
      </c>
      <c r="P49" s="204" t="n">
        <v>-37940.7</v>
      </c>
      <c r="Q49" s="204" t="n">
        <v>-37940.7</v>
      </c>
      <c r="R49" s="204" t="n">
        <v>-37940.7</v>
      </c>
      <c r="S49" s="204" t="n">
        <v>-37940.7</v>
      </c>
      <c r="T49" s="204" t="n">
        <v>-37940.7</v>
      </c>
      <c r="U49" s="204" t="n">
        <v>-37940.7</v>
      </c>
      <c r="V49" s="204" t="n">
        <v>-37940.7</v>
      </c>
      <c r="W49" s="204" t="n">
        <v>-37940.7</v>
      </c>
      <c r="X49" s="204"/>
    </row>
    <row r="50" customFormat="false" ht="18.75" hidden="false" customHeight="true" outlineLevel="0" collapsed="false">
      <c r="B50" s="202" t="s">
        <v>35</v>
      </c>
      <c r="C50" s="194"/>
      <c r="D50" s="204" t="n">
        <v>-43610</v>
      </c>
      <c r="E50" s="204" t="n">
        <v>-43610</v>
      </c>
      <c r="F50" s="204" t="n">
        <v>-43610</v>
      </c>
      <c r="G50" s="204" t="n">
        <v>-43610</v>
      </c>
      <c r="H50" s="204" t="n">
        <v>-43610</v>
      </c>
      <c r="I50" s="204" t="n">
        <v>-43610</v>
      </c>
      <c r="J50" s="204" t="n">
        <v>-43610</v>
      </c>
      <c r="K50" s="204" t="n">
        <v>-43610</v>
      </c>
      <c r="L50" s="204" t="n">
        <v>-43610</v>
      </c>
      <c r="M50" s="204" t="n">
        <v>-43610</v>
      </c>
      <c r="N50" s="204" t="n">
        <v>0</v>
      </c>
      <c r="O50" s="204" t="n">
        <v>0</v>
      </c>
      <c r="P50" s="204" t="n">
        <v>0</v>
      </c>
      <c r="Q50" s="204" t="n">
        <v>0</v>
      </c>
      <c r="R50" s="204" t="n">
        <v>0</v>
      </c>
      <c r="S50" s="204" t="n">
        <v>0</v>
      </c>
      <c r="T50" s="204" t="n">
        <v>0</v>
      </c>
      <c r="U50" s="204" t="n">
        <v>0</v>
      </c>
      <c r="V50" s="204" t="n">
        <v>0</v>
      </c>
      <c r="W50" s="204" t="n">
        <v>0</v>
      </c>
      <c r="X50" s="204"/>
    </row>
    <row r="51" customFormat="false" ht="18.75" hidden="false" customHeight="true" outlineLevel="0" collapsed="false">
      <c r="B51" s="202" t="s">
        <v>36</v>
      </c>
      <c r="C51" s="205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</row>
    <row r="52" customFormat="false" ht="18.75" hidden="false" customHeight="true" outlineLevel="0" collapsed="false">
      <c r="B52" s="202" t="s">
        <v>37</v>
      </c>
      <c r="C52" s="205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</row>
    <row r="53" customFormat="false" ht="18.75" hidden="false" customHeight="true" outlineLevel="0" collapsed="false">
      <c r="B53" s="206" t="s">
        <v>38</v>
      </c>
      <c r="C53" s="205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</row>
    <row r="54" customFormat="false" ht="18.75" hidden="false" customHeight="true" outlineLevel="0" collapsed="false">
      <c r="B54" s="206" t="s">
        <v>39</v>
      </c>
      <c r="C54" s="205"/>
      <c r="D54" s="204" t="n">
        <f aca="false">D77</f>
        <v>-192635.444</v>
      </c>
      <c r="E54" s="204" t="n">
        <f aca="false">E77</f>
        <v>-132844.8376</v>
      </c>
      <c r="F54" s="204" t="n">
        <f aca="false">F77</f>
        <v>-131094.4312</v>
      </c>
      <c r="G54" s="204" t="n">
        <f aca="false">G77</f>
        <v>-129344.0248</v>
      </c>
      <c r="H54" s="204" t="n">
        <f aca="false">H77</f>
        <v>-127593.6184</v>
      </c>
      <c r="I54" s="204" t="n">
        <f aca="false">I77</f>
        <v>-125843.212</v>
      </c>
      <c r="J54" s="204" t="n">
        <f aca="false">J77</f>
        <v>-124092.8056</v>
      </c>
      <c r="K54" s="204" t="n">
        <f aca="false">K77</f>
        <v>-122342.3992</v>
      </c>
      <c r="L54" s="204" t="n">
        <f aca="false">L77</f>
        <v>-120591.9928</v>
      </c>
      <c r="M54" s="204" t="n">
        <f aca="false">M77</f>
        <v>-118841.5864</v>
      </c>
      <c r="N54" s="204" t="n">
        <f aca="false">N77</f>
        <v>-125813.18</v>
      </c>
      <c r="O54" s="204" t="n">
        <f aca="false">O77</f>
        <v>-124062.7736</v>
      </c>
      <c r="P54" s="204" t="n">
        <f aca="false">P77</f>
        <v>-122312.3672</v>
      </c>
      <c r="Q54" s="204" t="n">
        <f aca="false">Q77</f>
        <v>-120561.9608</v>
      </c>
      <c r="R54" s="204" t="n">
        <f aca="false">R77</f>
        <v>-118811.5544</v>
      </c>
      <c r="S54" s="204" t="n">
        <f aca="false">S77</f>
        <v>-117061.148</v>
      </c>
      <c r="T54" s="204" t="n">
        <f aca="false">T77</f>
        <v>-115310.7416</v>
      </c>
      <c r="U54" s="204" t="n">
        <f aca="false">U77</f>
        <v>-113560.3352</v>
      </c>
      <c r="V54" s="204" t="n">
        <f aca="false">V77</f>
        <v>-111809.9288</v>
      </c>
      <c r="W54" s="204" t="n">
        <f aca="false">W77</f>
        <v>-110059.5224</v>
      </c>
      <c r="X54" s="195"/>
    </row>
    <row r="55" customFormat="false" ht="18.75" hidden="false" customHeight="true" outlineLevel="0" collapsed="false">
      <c r="B55" s="207" t="s">
        <v>40</v>
      </c>
      <c r="C55" s="208" t="n">
        <f aca="false">C44</f>
        <v>-18939200</v>
      </c>
      <c r="D55" s="209" t="n">
        <f aca="false">SUM(D41:D54)</f>
        <v>1427300.776</v>
      </c>
      <c r="E55" s="209" t="n">
        <f aca="false">SUM(E41:E54)</f>
        <v>1478339.3504</v>
      </c>
      <c r="F55" s="209" t="n">
        <f aca="false">SUM(F41:F54)</f>
        <v>1471337.7248</v>
      </c>
      <c r="G55" s="209" t="n">
        <f aca="false">SUM(G41:G54)</f>
        <v>1464336.0992</v>
      </c>
      <c r="H55" s="209" t="n">
        <f aca="false">SUM(H41:H54)</f>
        <v>1457334.4736</v>
      </c>
      <c r="I55" s="209" t="n">
        <f aca="false">SUM(I41:I54)</f>
        <v>1450332.848</v>
      </c>
      <c r="J55" s="209" t="n">
        <f aca="false">SUM(J41:J54)</f>
        <v>1443331.2224</v>
      </c>
      <c r="K55" s="209" t="n">
        <f aca="false">SUM(K41:K54)</f>
        <v>1436329.5968</v>
      </c>
      <c r="L55" s="209" t="n">
        <f aca="false">SUM(L41:L54)</f>
        <v>1429327.9712</v>
      </c>
      <c r="M55" s="209" t="n">
        <f aca="false">SUM(M41:M54)</f>
        <v>1422326.3456</v>
      </c>
      <c r="N55" s="209" t="n">
        <f aca="false">SUM(N41:N54)</f>
        <v>1450212.72</v>
      </c>
      <c r="O55" s="209" t="n">
        <f aca="false">SUM(O41:O54)</f>
        <v>1443211.0944</v>
      </c>
      <c r="P55" s="209" t="n">
        <f aca="false">SUM(P41:P54)</f>
        <v>1436209.4688</v>
      </c>
      <c r="Q55" s="209" t="n">
        <f aca="false">SUM(Q41:Q54)</f>
        <v>1429207.8432</v>
      </c>
      <c r="R55" s="209" t="n">
        <f aca="false">SUM(R41:R54)</f>
        <v>1422206.2176</v>
      </c>
      <c r="S55" s="209" t="n">
        <f aca="false">SUM(S41:S54)</f>
        <v>1415204.592</v>
      </c>
      <c r="T55" s="209" t="n">
        <f aca="false">SUM(T41:T54)</f>
        <v>1408202.9664</v>
      </c>
      <c r="U55" s="209" t="n">
        <f aca="false">SUM(U41:U54)</f>
        <v>1401201.3408</v>
      </c>
      <c r="V55" s="209" t="n">
        <f aca="false">SUM(V41:V54)</f>
        <v>1394199.7152</v>
      </c>
      <c r="W55" s="209" t="n">
        <f aca="false">SUM(W41:W54)</f>
        <v>1387198.0896</v>
      </c>
      <c r="X55" s="210"/>
      <c r="Y55" s="211"/>
      <c r="Z55" s="212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</row>
    <row r="56" customFormat="false" ht="18.75" hidden="false" customHeight="true" outlineLevel="0" collapsed="false">
      <c r="B56" s="213" t="s">
        <v>41</v>
      </c>
      <c r="D56" s="214" t="n">
        <f aca="false">C55+D55</f>
        <v>-17511899.224</v>
      </c>
      <c r="E56" s="214" t="n">
        <f aca="false">D56+E55</f>
        <v>-16033559.8736</v>
      </c>
      <c r="F56" s="214" t="n">
        <f aca="false">E56+F55</f>
        <v>-14562222.1488</v>
      </c>
      <c r="G56" s="214" t="n">
        <f aca="false">F56+G55</f>
        <v>-13097886.0496</v>
      </c>
      <c r="H56" s="214" t="n">
        <f aca="false">G56+H55</f>
        <v>-11640551.576</v>
      </c>
      <c r="I56" s="214" t="n">
        <f aca="false">H56+I55</f>
        <v>-10190218.728</v>
      </c>
      <c r="J56" s="214" t="n">
        <f aca="false">I56+J55</f>
        <v>-8746887.5056</v>
      </c>
      <c r="K56" s="214" t="n">
        <f aca="false">J56+K55</f>
        <v>-7310557.9088</v>
      </c>
      <c r="L56" s="214" t="n">
        <f aca="false">K56+L55</f>
        <v>-5881229.9376</v>
      </c>
      <c r="M56" s="214" t="n">
        <f aca="false">L56+M55</f>
        <v>-4458903.592</v>
      </c>
      <c r="N56" s="214" t="n">
        <f aca="false">M56+N55</f>
        <v>-3008690.872</v>
      </c>
      <c r="O56" s="214" t="n">
        <f aca="false">N56+O55</f>
        <v>-1565479.7776</v>
      </c>
      <c r="P56" s="214" t="n">
        <f aca="false">O56+P55</f>
        <v>-129270.308800002</v>
      </c>
      <c r="Q56" s="214" t="n">
        <f aca="false">P56+Q55</f>
        <v>1299937.5344</v>
      </c>
      <c r="R56" s="214" t="n">
        <f aca="false">Q56+R55</f>
        <v>2722143.752</v>
      </c>
      <c r="S56" s="214" t="n">
        <f aca="false">R56+S55</f>
        <v>4137348.344</v>
      </c>
      <c r="T56" s="214" t="n">
        <f aca="false">S56+T55</f>
        <v>5545551.3104</v>
      </c>
      <c r="U56" s="214" t="n">
        <f aca="false">T56+U55</f>
        <v>6946752.6512</v>
      </c>
      <c r="V56" s="214" t="n">
        <f aca="false">U56+V55</f>
        <v>8340952.3664</v>
      </c>
      <c r="W56" s="214" t="n">
        <f aca="false">V56+W55</f>
        <v>9728150.456</v>
      </c>
      <c r="X56" s="214" t="n">
        <f aca="false">W56+X55</f>
        <v>9728150.456</v>
      </c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</row>
    <row r="57" customFormat="false" ht="18.75" hidden="false" customHeight="true" outlineLevel="0" collapsed="false">
      <c r="B57" s="215" t="s">
        <v>42</v>
      </c>
      <c r="C57" s="216"/>
      <c r="D57" s="217" t="str">
        <f aca="false">IF((D56)&gt;0,"回收","未回收")</f>
        <v>未回收</v>
      </c>
      <c r="E57" s="218" t="str">
        <f aca="false">IF((E56)&gt;0,"回收","未回收")</f>
        <v>未回收</v>
      </c>
      <c r="F57" s="218" t="str">
        <f aca="false">IF((F56)&gt;0,"回收","未回收")</f>
        <v>未回收</v>
      </c>
      <c r="G57" s="218" t="str">
        <f aca="false">IF((G56)&gt;0,"回收","未回收")</f>
        <v>未回收</v>
      </c>
      <c r="H57" s="218" t="str">
        <f aca="false">IF((H56)&gt;0,"回收","未回收")</f>
        <v>未回收</v>
      </c>
      <c r="I57" s="218" t="str">
        <f aca="false">IF((I56)&gt;0,"回收","未回收")</f>
        <v>未回收</v>
      </c>
      <c r="J57" s="218" t="str">
        <f aca="false">IF((J56)&gt;0,"回收","未回收")</f>
        <v>未回收</v>
      </c>
      <c r="K57" s="218" t="str">
        <f aca="false">IF((K56)&gt;0,"回收","未回收")</f>
        <v>未回收</v>
      </c>
      <c r="L57" s="218" t="str">
        <f aca="false">IF((L56)&gt;0,"回收","未回收")</f>
        <v>未回收</v>
      </c>
      <c r="M57" s="218" t="str">
        <f aca="false">IF((M56)&gt;0,"回收","未回收")</f>
        <v>未回收</v>
      </c>
      <c r="N57" s="218" t="str">
        <f aca="false">IF((N56)&gt;0,"回收","未回收")</f>
        <v>未回收</v>
      </c>
      <c r="O57" s="218" t="str">
        <f aca="false">IF((O56)&gt;0,"回收","未回收")</f>
        <v>未回收</v>
      </c>
      <c r="P57" s="218" t="str">
        <f aca="false">IF((P56)&gt;0,"回收","未回收")</f>
        <v>未回收</v>
      </c>
      <c r="Q57" s="218" t="str">
        <f aca="false">IF((Q56)&gt;0,"回收","未回收")</f>
        <v>回收</v>
      </c>
      <c r="R57" s="218" t="str">
        <f aca="false">IF((R56)&gt;0,"回收","未回收")</f>
        <v>回收</v>
      </c>
      <c r="S57" s="218" t="str">
        <f aca="false">IF((S56)&gt;0,"回收","未回收")</f>
        <v>回收</v>
      </c>
      <c r="T57" s="218" t="str">
        <f aca="false">IF((T56)&gt;0,"回收","未回收")</f>
        <v>回收</v>
      </c>
      <c r="U57" s="218" t="str">
        <f aca="false">IF((U56)&gt;0,"回收","未回收")</f>
        <v>回收</v>
      </c>
      <c r="V57" s="218" t="str">
        <f aca="false">IF((V56)&gt;0,"回收","未回收")</f>
        <v>回收</v>
      </c>
      <c r="W57" s="218" t="str">
        <f aca="false">IF((W56)&gt;0,"回收","未回收")</f>
        <v>回收</v>
      </c>
      <c r="X57" s="218" t="str">
        <f aca="false">IF((X56)&gt;0,"回收","未回收")</f>
        <v>回收</v>
      </c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</row>
    <row r="58" customFormat="false" ht="18.75" hidden="false" customHeight="true" outlineLevel="0" collapsed="false">
      <c r="B58" s="95" t="s">
        <v>43</v>
      </c>
      <c r="C58" s="96" t="n">
        <f aca="false">IRR(C55:W55)</f>
        <v>0.0435864672657961</v>
      </c>
      <c r="D58" s="97"/>
      <c r="E58" s="97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19"/>
      <c r="AJ58" s="219"/>
    </row>
    <row r="59" customFormat="false" ht="18.75" hidden="false" customHeight="true" outlineLevel="0" collapsed="false">
      <c r="B59" s="98"/>
      <c r="C59" s="97"/>
      <c r="D59" s="97"/>
      <c r="E59" s="97"/>
      <c r="F59" s="98"/>
      <c r="G59" s="98"/>
      <c r="H59" s="98"/>
      <c r="I59" s="98"/>
      <c r="J59" s="98"/>
      <c r="K59" s="98"/>
      <c r="L59" s="98"/>
      <c r="M59" s="97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</row>
    <row r="60" customFormat="false" ht="18.75" hidden="false" customHeight="true" outlineLevel="0" collapsed="false">
      <c r="B60" s="56"/>
      <c r="C60" s="57" t="s">
        <v>0</v>
      </c>
      <c r="D60" s="57" t="n">
        <f aca="false">D37</f>
        <v>2020</v>
      </c>
      <c r="E60" s="57" t="n">
        <f aca="false">E37</f>
        <v>2021</v>
      </c>
      <c r="F60" s="57" t="n">
        <f aca="false">F37</f>
        <v>2022</v>
      </c>
      <c r="G60" s="57" t="n">
        <f aca="false">G37</f>
        <v>2023</v>
      </c>
      <c r="H60" s="57" t="n">
        <f aca="false">H37</f>
        <v>2024</v>
      </c>
      <c r="I60" s="57" t="n">
        <f aca="false">I37</f>
        <v>2025</v>
      </c>
      <c r="J60" s="57" t="n">
        <f aca="false">J37</f>
        <v>2026</v>
      </c>
      <c r="K60" s="57" t="n">
        <f aca="false">K37</f>
        <v>2027</v>
      </c>
      <c r="L60" s="57" t="n">
        <f aca="false">L37</f>
        <v>2028</v>
      </c>
      <c r="M60" s="57" t="n">
        <f aca="false">M37</f>
        <v>2029</v>
      </c>
      <c r="N60" s="57" t="n">
        <f aca="false">N37</f>
        <v>2030</v>
      </c>
      <c r="O60" s="57" t="n">
        <f aca="false">O37</f>
        <v>2031</v>
      </c>
      <c r="P60" s="57" t="n">
        <f aca="false">P37</f>
        <v>2032</v>
      </c>
      <c r="Q60" s="57" t="n">
        <f aca="false">Q37</f>
        <v>2033</v>
      </c>
      <c r="R60" s="57" t="n">
        <f aca="false">R37</f>
        <v>2034</v>
      </c>
      <c r="S60" s="57" t="n">
        <f aca="false">S37</f>
        <v>2035</v>
      </c>
      <c r="T60" s="57" t="n">
        <f aca="false">T37</f>
        <v>2036</v>
      </c>
      <c r="U60" s="57" t="n">
        <f aca="false">U37</f>
        <v>2037</v>
      </c>
      <c r="V60" s="57" t="n">
        <f aca="false">V37</f>
        <v>2038</v>
      </c>
      <c r="W60" s="57" t="n">
        <f aca="false">W37</f>
        <v>2039</v>
      </c>
      <c r="X60" s="57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</row>
    <row r="61" customFormat="false" ht="18.75" hidden="false" customHeight="true" outlineLevel="0" collapsed="false">
      <c r="B61" s="58" t="n">
        <v>0</v>
      </c>
      <c r="C61" s="59"/>
      <c r="D61" s="60"/>
      <c r="E61" s="60"/>
      <c r="F61" s="61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99" t="s">
        <v>44</v>
      </c>
      <c r="U61" s="62"/>
      <c r="V61" s="62"/>
      <c r="W61" s="62"/>
      <c r="X61" s="185"/>
    </row>
    <row r="62" customFormat="false" ht="18.75" hidden="false" customHeight="true" outlineLevel="0" collapsed="false">
      <c r="B62" s="64" t="s">
        <v>23</v>
      </c>
      <c r="C62" s="65" t="n">
        <v>0</v>
      </c>
      <c r="D62" s="66" t="n">
        <v>1</v>
      </c>
      <c r="E62" s="66" t="n">
        <v>2</v>
      </c>
      <c r="F62" s="66" t="n">
        <v>3</v>
      </c>
      <c r="G62" s="66" t="n">
        <v>4</v>
      </c>
      <c r="H62" s="66" t="n">
        <v>5</v>
      </c>
      <c r="I62" s="66" t="n">
        <v>6</v>
      </c>
      <c r="J62" s="66" t="n">
        <v>7</v>
      </c>
      <c r="K62" s="66" t="n">
        <v>8</v>
      </c>
      <c r="L62" s="66" t="n">
        <v>9</v>
      </c>
      <c r="M62" s="66" t="n">
        <v>10</v>
      </c>
      <c r="N62" s="66" t="n">
        <v>11</v>
      </c>
      <c r="O62" s="66" t="n">
        <v>12</v>
      </c>
      <c r="P62" s="66" t="n">
        <v>13</v>
      </c>
      <c r="Q62" s="66" t="n">
        <v>14</v>
      </c>
      <c r="R62" s="66" t="n">
        <v>15</v>
      </c>
      <c r="S62" s="66" t="n">
        <v>16</v>
      </c>
      <c r="T62" s="101" t="n">
        <v>17</v>
      </c>
      <c r="U62" s="66" t="n">
        <v>18</v>
      </c>
      <c r="V62" s="66" t="n">
        <v>19</v>
      </c>
      <c r="W62" s="66" t="n">
        <v>20</v>
      </c>
      <c r="X62" s="186"/>
    </row>
    <row r="63" customFormat="false" ht="18.75" hidden="false" customHeight="true" outlineLevel="0" collapsed="false">
      <c r="B63" s="187" t="s">
        <v>137</v>
      </c>
      <c r="C63" s="69" t="n">
        <v>0</v>
      </c>
      <c r="D63" s="70" t="n">
        <f aca="false">D40</f>
        <v>541531.98</v>
      </c>
      <c r="E63" s="70" t="n">
        <f aca="false">E40</f>
        <v>539343.972</v>
      </c>
      <c r="F63" s="70" t="n">
        <f aca="false">F40</f>
        <v>537155.964</v>
      </c>
      <c r="G63" s="70" t="n">
        <f aca="false">G40</f>
        <v>534967.956</v>
      </c>
      <c r="H63" s="70" t="n">
        <f aca="false">H40</f>
        <v>532779.948</v>
      </c>
      <c r="I63" s="70" t="n">
        <f aca="false">I40</f>
        <v>530591.94</v>
      </c>
      <c r="J63" s="70" t="n">
        <f aca="false">J40</f>
        <v>528403.932</v>
      </c>
      <c r="K63" s="70" t="n">
        <f aca="false">K40</f>
        <v>526215.924</v>
      </c>
      <c r="L63" s="70" t="n">
        <f aca="false">L40</f>
        <v>524027.916</v>
      </c>
      <c r="M63" s="70" t="n">
        <f aca="false">M40</f>
        <v>521839.908</v>
      </c>
      <c r="N63" s="70" t="n">
        <f aca="false">N40</f>
        <v>519651.9</v>
      </c>
      <c r="O63" s="70" t="n">
        <f aca="false">O40</f>
        <v>517463.892</v>
      </c>
      <c r="P63" s="70" t="n">
        <f aca="false">P40</f>
        <v>515275.884</v>
      </c>
      <c r="Q63" s="70" t="n">
        <f aca="false">Q40</f>
        <v>513087.876</v>
      </c>
      <c r="R63" s="70" t="n">
        <f aca="false">R40</f>
        <v>510899.868</v>
      </c>
      <c r="S63" s="70" t="n">
        <f aca="false">S40</f>
        <v>508711.86</v>
      </c>
      <c r="T63" s="70" t="n">
        <f aca="false">T40</f>
        <v>506523.852</v>
      </c>
      <c r="U63" s="70" t="n">
        <f aca="false">U40</f>
        <v>504335.844</v>
      </c>
      <c r="V63" s="70" t="n">
        <f aca="false">V40</f>
        <v>502147.836</v>
      </c>
      <c r="W63" s="70" t="n">
        <f aca="false">W40</f>
        <v>499959.828</v>
      </c>
      <c r="X63" s="188"/>
    </row>
    <row r="64" customFormat="false" ht="18.75" hidden="false" customHeight="true" outlineLevel="0" collapsed="false">
      <c r="B64" s="189" t="s">
        <v>25</v>
      </c>
      <c r="C64" s="190" t="s">
        <v>26</v>
      </c>
      <c r="D64" s="191" t="n">
        <f aca="false">D41</f>
        <v>2166127.92</v>
      </c>
      <c r="E64" s="191" t="n">
        <f aca="false">E41</f>
        <v>2157375.888</v>
      </c>
      <c r="F64" s="191" t="n">
        <f aca="false">F41</f>
        <v>2148623.856</v>
      </c>
      <c r="G64" s="191" t="n">
        <f aca="false">G41</f>
        <v>2139871.824</v>
      </c>
      <c r="H64" s="191" t="n">
        <f aca="false">H41</f>
        <v>2131119.792</v>
      </c>
      <c r="I64" s="191" t="n">
        <f aca="false">I41</f>
        <v>2122367.76</v>
      </c>
      <c r="J64" s="191" t="n">
        <f aca="false">J41</f>
        <v>2113615.728</v>
      </c>
      <c r="K64" s="191" t="n">
        <f aca="false">K41</f>
        <v>2104863.696</v>
      </c>
      <c r="L64" s="191" t="n">
        <f aca="false">L41</f>
        <v>2096111.664</v>
      </c>
      <c r="M64" s="191" t="n">
        <f aca="false">M41</f>
        <v>2087359.632</v>
      </c>
      <c r="N64" s="191" t="n">
        <f aca="false">N41</f>
        <v>2078607.6</v>
      </c>
      <c r="O64" s="191" t="n">
        <f aca="false">O41</f>
        <v>2069855.568</v>
      </c>
      <c r="P64" s="191" t="n">
        <f aca="false">P41</f>
        <v>2061103.536</v>
      </c>
      <c r="Q64" s="191" t="n">
        <f aca="false">Q41</f>
        <v>2052351.504</v>
      </c>
      <c r="R64" s="191" t="n">
        <f aca="false">R41</f>
        <v>2043599.472</v>
      </c>
      <c r="S64" s="191" t="n">
        <f aca="false">S41</f>
        <v>2034847.44</v>
      </c>
      <c r="T64" s="191" t="n">
        <f aca="false">T41</f>
        <v>2026095.408</v>
      </c>
      <c r="U64" s="191" t="n">
        <f aca="false">U41</f>
        <v>2017343.376</v>
      </c>
      <c r="V64" s="191" t="n">
        <f aca="false">V41</f>
        <v>2008591.344</v>
      </c>
      <c r="W64" s="191" t="n">
        <f aca="false">W41</f>
        <v>1999839.312</v>
      </c>
      <c r="X64" s="192"/>
    </row>
    <row r="65" customFormat="false" ht="18.75" hidden="false" customHeight="true" outlineLevel="0" collapsed="false">
      <c r="B65" s="193" t="s">
        <v>27</v>
      </c>
      <c r="C65" s="194" t="s">
        <v>26</v>
      </c>
      <c r="D65" s="195"/>
      <c r="E65" s="195"/>
      <c r="F65" s="195"/>
      <c r="G65" s="196" t="s">
        <v>26</v>
      </c>
      <c r="H65" s="196" t="s">
        <v>26</v>
      </c>
      <c r="I65" s="196" t="s">
        <v>26</v>
      </c>
      <c r="J65" s="196" t="s">
        <v>26</v>
      </c>
      <c r="K65" s="196" t="s">
        <v>26</v>
      </c>
      <c r="L65" s="196" t="s">
        <v>26</v>
      </c>
      <c r="M65" s="196" t="s">
        <v>26</v>
      </c>
      <c r="N65" s="196" t="s">
        <v>26</v>
      </c>
      <c r="O65" s="196" t="s">
        <v>26</v>
      </c>
      <c r="P65" s="196" t="s">
        <v>26</v>
      </c>
      <c r="Q65" s="196" t="s">
        <v>26</v>
      </c>
      <c r="R65" s="196" t="s">
        <v>26</v>
      </c>
      <c r="S65" s="196" t="s">
        <v>26</v>
      </c>
      <c r="T65" s="196" t="s">
        <v>26</v>
      </c>
      <c r="U65" s="196" t="s">
        <v>26</v>
      </c>
      <c r="V65" s="196" t="s">
        <v>26</v>
      </c>
      <c r="W65" s="196" t="s">
        <v>26</v>
      </c>
      <c r="X65" s="197"/>
    </row>
    <row r="66" customFormat="false" ht="18.75" hidden="false" customHeight="true" outlineLevel="0" collapsed="false">
      <c r="B66" s="198" t="s">
        <v>28</v>
      </c>
      <c r="C66" s="199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1"/>
    </row>
    <row r="67" customFormat="false" ht="18.75" hidden="false" customHeight="true" outlineLevel="0" collapsed="false">
      <c r="B67" s="202" t="s">
        <v>45</v>
      </c>
      <c r="C67" s="194"/>
      <c r="D67" s="221" t="n">
        <f aca="false">$C$44/$E$16</f>
        <v>-946960</v>
      </c>
      <c r="E67" s="221" t="n">
        <f aca="false">$C$44/$E$16</f>
        <v>-946960</v>
      </c>
      <c r="F67" s="221" t="n">
        <f aca="false">$C$44/$E$16</f>
        <v>-946960</v>
      </c>
      <c r="G67" s="221" t="n">
        <f aca="false">$C$44/$E$16</f>
        <v>-946960</v>
      </c>
      <c r="H67" s="221" t="n">
        <f aca="false">$C$44/$E$16</f>
        <v>-946960</v>
      </c>
      <c r="I67" s="221" t="n">
        <f aca="false">$C$44/$E$16</f>
        <v>-946960</v>
      </c>
      <c r="J67" s="221" t="n">
        <f aca="false">$C$44/$E$16</f>
        <v>-946960</v>
      </c>
      <c r="K67" s="221" t="n">
        <f aca="false">$C$44/$E$16</f>
        <v>-946960</v>
      </c>
      <c r="L67" s="221" t="n">
        <f aca="false">$C$44/$E$16</f>
        <v>-946960</v>
      </c>
      <c r="M67" s="221" t="n">
        <f aca="false">$C$44/$E$16</f>
        <v>-946960</v>
      </c>
      <c r="N67" s="221" t="n">
        <f aca="false">$C$44/$E$16</f>
        <v>-946960</v>
      </c>
      <c r="O67" s="221" t="n">
        <f aca="false">$C$44/$E$16</f>
        <v>-946960</v>
      </c>
      <c r="P67" s="221" t="n">
        <f aca="false">$C$44/$E$16</f>
        <v>-946960</v>
      </c>
      <c r="Q67" s="221" t="n">
        <f aca="false">$C$44/$E$16</f>
        <v>-946960</v>
      </c>
      <c r="R67" s="221" t="n">
        <f aca="false">$C$44/$E$16</f>
        <v>-946960</v>
      </c>
      <c r="S67" s="221" t="n">
        <f aca="false">$C$44/$E$16</f>
        <v>-946960</v>
      </c>
      <c r="T67" s="221" t="n">
        <f aca="false">$C$44/$E$16</f>
        <v>-946960</v>
      </c>
      <c r="U67" s="221" t="n">
        <f aca="false">$C$44/$E$16</f>
        <v>-946960</v>
      </c>
      <c r="V67" s="221" t="n">
        <f aca="false">$C$44/$E$16</f>
        <v>-946960</v>
      </c>
      <c r="W67" s="221" t="n">
        <f aca="false">$C$44/$E$16</f>
        <v>-946960</v>
      </c>
      <c r="X67" s="197"/>
    </row>
    <row r="68" customFormat="false" ht="18.75" hidden="false" customHeight="true" outlineLevel="0" collapsed="false">
      <c r="B68" s="202" t="s">
        <v>30</v>
      </c>
      <c r="C68" s="194" t="s">
        <v>26</v>
      </c>
      <c r="D68" s="204" t="n">
        <f aca="false">D44</f>
        <v>0</v>
      </c>
      <c r="E68" s="204" t="n">
        <f aca="false">E45</f>
        <v>-290201</v>
      </c>
      <c r="F68" s="204" t="n">
        <f aca="false">F45</f>
        <v>-290201</v>
      </c>
      <c r="G68" s="204" t="n">
        <f aca="false">G45</f>
        <v>-290201</v>
      </c>
      <c r="H68" s="204" t="n">
        <f aca="false">H45</f>
        <v>-290201</v>
      </c>
      <c r="I68" s="204" t="n">
        <f aca="false">I45</f>
        <v>-290201</v>
      </c>
      <c r="J68" s="204" t="n">
        <f aca="false">J45</f>
        <v>-290201</v>
      </c>
      <c r="K68" s="204" t="n">
        <f aca="false">K45</f>
        <v>-290201</v>
      </c>
      <c r="L68" s="204" t="n">
        <f aca="false">L45</f>
        <v>-290201</v>
      </c>
      <c r="M68" s="204" t="n">
        <f aca="false">M45</f>
        <v>-290201</v>
      </c>
      <c r="N68" s="204" t="n">
        <f aca="false">N45</f>
        <v>-290201</v>
      </c>
      <c r="O68" s="204" t="n">
        <f aca="false">O45</f>
        <v>-290201</v>
      </c>
      <c r="P68" s="204" t="n">
        <f aca="false">P45</f>
        <v>-290201</v>
      </c>
      <c r="Q68" s="204" t="n">
        <f aca="false">Q45</f>
        <v>-290201</v>
      </c>
      <c r="R68" s="204" t="n">
        <f aca="false">R45</f>
        <v>-290201</v>
      </c>
      <c r="S68" s="204" t="n">
        <f aca="false">S45</f>
        <v>-290201</v>
      </c>
      <c r="T68" s="204" t="n">
        <f aca="false">T45</f>
        <v>-290201</v>
      </c>
      <c r="U68" s="204" t="n">
        <f aca="false">U45</f>
        <v>-290201</v>
      </c>
      <c r="V68" s="204" t="n">
        <f aca="false">V45</f>
        <v>-290201</v>
      </c>
      <c r="W68" s="204" t="n">
        <f aca="false">W45</f>
        <v>-290201</v>
      </c>
      <c r="X68" s="197"/>
    </row>
    <row r="69" customFormat="false" ht="18.75" hidden="false" customHeight="true" outlineLevel="0" collapsed="false">
      <c r="B69" s="202" t="s">
        <v>31</v>
      </c>
      <c r="C69" s="194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7"/>
    </row>
    <row r="70" customFormat="false" ht="18.75" hidden="false" customHeight="true" outlineLevel="0" collapsed="false">
      <c r="B70" s="202" t="s">
        <v>32</v>
      </c>
      <c r="C70" s="194" t="s">
        <v>26</v>
      </c>
      <c r="D70" s="204" t="n">
        <v>0</v>
      </c>
      <c r="E70" s="204" t="n">
        <v>0</v>
      </c>
      <c r="F70" s="204" t="n">
        <v>0</v>
      </c>
      <c r="G70" s="204" t="n">
        <v>0</v>
      </c>
      <c r="H70" s="204" t="n">
        <v>0</v>
      </c>
      <c r="I70" s="204" t="n">
        <v>0</v>
      </c>
      <c r="J70" s="204" t="n">
        <v>0</v>
      </c>
      <c r="K70" s="204" t="n">
        <v>0</v>
      </c>
      <c r="L70" s="204" t="n">
        <v>0</v>
      </c>
      <c r="M70" s="204" t="n">
        <v>0</v>
      </c>
      <c r="N70" s="204" t="n">
        <v>0</v>
      </c>
      <c r="O70" s="204" t="n">
        <v>0</v>
      </c>
      <c r="P70" s="204" t="n">
        <v>0</v>
      </c>
      <c r="Q70" s="204" t="n">
        <v>0</v>
      </c>
      <c r="R70" s="204" t="n">
        <v>0</v>
      </c>
      <c r="S70" s="204" t="n">
        <v>0</v>
      </c>
      <c r="T70" s="204" t="n">
        <v>0</v>
      </c>
      <c r="U70" s="204" t="n">
        <v>0</v>
      </c>
      <c r="V70" s="204" t="n">
        <v>0</v>
      </c>
      <c r="W70" s="204" t="n">
        <v>0</v>
      </c>
      <c r="X70" s="197"/>
    </row>
    <row r="71" customFormat="false" ht="18.75" hidden="false" customHeight="true" outlineLevel="0" collapsed="false">
      <c r="B71" s="202" t="s">
        <v>33</v>
      </c>
      <c r="C71" s="194" t="s">
        <v>26</v>
      </c>
      <c r="D71" s="204" t="n">
        <f aca="false">D48</f>
        <v>-174440</v>
      </c>
      <c r="E71" s="204" t="n">
        <f aca="false">E48</f>
        <v>-174440</v>
      </c>
      <c r="F71" s="204" t="n">
        <f aca="false">F48</f>
        <v>-174440</v>
      </c>
      <c r="G71" s="204" t="n">
        <f aca="false">G48</f>
        <v>-174440</v>
      </c>
      <c r="H71" s="204" t="n">
        <f aca="false">H48</f>
        <v>-174440</v>
      </c>
      <c r="I71" s="204" t="n">
        <f aca="false">I48</f>
        <v>-174440</v>
      </c>
      <c r="J71" s="204" t="n">
        <f aca="false">J48</f>
        <v>-174440</v>
      </c>
      <c r="K71" s="204" t="n">
        <f aca="false">K48</f>
        <v>-174440</v>
      </c>
      <c r="L71" s="204" t="n">
        <f aca="false">L48</f>
        <v>-174440</v>
      </c>
      <c r="M71" s="204" t="n">
        <f aca="false">M48</f>
        <v>-174440</v>
      </c>
      <c r="N71" s="204" t="n">
        <f aca="false">N48</f>
        <v>-174440</v>
      </c>
      <c r="O71" s="204" t="n">
        <f aca="false">O48</f>
        <v>-174440</v>
      </c>
      <c r="P71" s="204" t="n">
        <f aca="false">P48</f>
        <v>-174440</v>
      </c>
      <c r="Q71" s="204" t="n">
        <f aca="false">Q48</f>
        <v>-174440</v>
      </c>
      <c r="R71" s="204" t="n">
        <f aca="false">R48</f>
        <v>-174440</v>
      </c>
      <c r="S71" s="204" t="n">
        <f aca="false">S48</f>
        <v>-174440</v>
      </c>
      <c r="T71" s="204" t="n">
        <f aca="false">T48</f>
        <v>-174440</v>
      </c>
      <c r="U71" s="204" t="n">
        <f aca="false">U48</f>
        <v>-174440</v>
      </c>
      <c r="V71" s="204" t="n">
        <f aca="false">V48</f>
        <v>-174440</v>
      </c>
      <c r="W71" s="204" t="n">
        <f aca="false">W48</f>
        <v>-174440</v>
      </c>
      <c r="X71" s="197"/>
    </row>
    <row r="72" customFormat="false" ht="18.75" hidden="false" customHeight="true" outlineLevel="0" collapsed="false">
      <c r="B72" s="202" t="s">
        <v>34</v>
      </c>
      <c r="C72" s="194" t="s">
        <v>26</v>
      </c>
      <c r="D72" s="204" t="n">
        <f aca="false">D49</f>
        <v>-37940.7</v>
      </c>
      <c r="E72" s="204" t="n">
        <f aca="false">E49</f>
        <v>-37940.7</v>
      </c>
      <c r="F72" s="204" t="n">
        <f aca="false">F49</f>
        <v>-37940.7</v>
      </c>
      <c r="G72" s="204" t="n">
        <f aca="false">G49</f>
        <v>-37940.7</v>
      </c>
      <c r="H72" s="204" t="n">
        <f aca="false">H49</f>
        <v>-37940.7</v>
      </c>
      <c r="I72" s="204" t="n">
        <f aca="false">I49</f>
        <v>-37940.7</v>
      </c>
      <c r="J72" s="204" t="n">
        <f aca="false">J49</f>
        <v>-37940.7</v>
      </c>
      <c r="K72" s="204" t="n">
        <f aca="false">K49</f>
        <v>-37940.7</v>
      </c>
      <c r="L72" s="204" t="n">
        <f aca="false">L49</f>
        <v>-37940.7</v>
      </c>
      <c r="M72" s="204" t="n">
        <f aca="false">M49</f>
        <v>-37940.7</v>
      </c>
      <c r="N72" s="204" t="n">
        <f aca="false">N49</f>
        <v>-37940.7</v>
      </c>
      <c r="O72" s="204" t="n">
        <f aca="false">O49</f>
        <v>-37940.7</v>
      </c>
      <c r="P72" s="204" t="n">
        <f aca="false">P49</f>
        <v>-37940.7</v>
      </c>
      <c r="Q72" s="204" t="n">
        <f aca="false">Q49</f>
        <v>-37940.7</v>
      </c>
      <c r="R72" s="204" t="n">
        <f aca="false">R49</f>
        <v>-37940.7</v>
      </c>
      <c r="S72" s="204" t="n">
        <f aca="false">S49</f>
        <v>-37940.7</v>
      </c>
      <c r="T72" s="204" t="n">
        <f aca="false">T49</f>
        <v>-37940.7</v>
      </c>
      <c r="U72" s="204" t="n">
        <f aca="false">U49</f>
        <v>-37940.7</v>
      </c>
      <c r="V72" s="204" t="n">
        <f aca="false">V49</f>
        <v>-37940.7</v>
      </c>
      <c r="W72" s="204" t="n">
        <f aca="false">W49</f>
        <v>-37940.7</v>
      </c>
      <c r="X72" s="197"/>
    </row>
    <row r="73" customFormat="false" ht="18.75" hidden="false" customHeight="true" outlineLevel="0" collapsed="false">
      <c r="B73" s="202" t="s">
        <v>35</v>
      </c>
      <c r="C73" s="194"/>
      <c r="D73" s="204" t="n">
        <f aca="false">D50</f>
        <v>-43610</v>
      </c>
      <c r="E73" s="204" t="n">
        <f aca="false">E50</f>
        <v>-43610</v>
      </c>
      <c r="F73" s="204" t="n">
        <f aca="false">F50</f>
        <v>-43610</v>
      </c>
      <c r="G73" s="204" t="n">
        <f aca="false">G50</f>
        <v>-43610</v>
      </c>
      <c r="H73" s="204" t="n">
        <f aca="false">H50</f>
        <v>-43610</v>
      </c>
      <c r="I73" s="204" t="n">
        <f aca="false">I50</f>
        <v>-43610</v>
      </c>
      <c r="J73" s="204" t="n">
        <f aca="false">J50</f>
        <v>-43610</v>
      </c>
      <c r="K73" s="204" t="n">
        <f aca="false">K50</f>
        <v>-43610</v>
      </c>
      <c r="L73" s="204" t="n">
        <f aca="false">L50</f>
        <v>-43610</v>
      </c>
      <c r="M73" s="204" t="n">
        <f aca="false">M50</f>
        <v>-43610</v>
      </c>
      <c r="N73" s="204" t="n">
        <f aca="false">N50</f>
        <v>0</v>
      </c>
      <c r="O73" s="204" t="n">
        <f aca="false">O50</f>
        <v>0</v>
      </c>
      <c r="P73" s="204" t="n">
        <f aca="false">P50</f>
        <v>0</v>
      </c>
      <c r="Q73" s="204" t="n">
        <f aca="false">Q50</f>
        <v>0</v>
      </c>
      <c r="R73" s="204" t="n">
        <f aca="false">R50</f>
        <v>0</v>
      </c>
      <c r="S73" s="204" t="n">
        <f aca="false">S50</f>
        <v>0</v>
      </c>
      <c r="T73" s="204" t="n">
        <f aca="false">T50</f>
        <v>0</v>
      </c>
      <c r="U73" s="204" t="n">
        <f aca="false">U50</f>
        <v>0</v>
      </c>
      <c r="V73" s="204" t="n">
        <f aca="false">V50</f>
        <v>0</v>
      </c>
      <c r="W73" s="204" t="n">
        <f aca="false">W50</f>
        <v>0</v>
      </c>
      <c r="X73" s="197"/>
    </row>
    <row r="74" customFormat="false" ht="18.75" hidden="false" customHeight="true" outlineLevel="0" collapsed="false">
      <c r="B74" s="202" t="s">
        <v>36</v>
      </c>
      <c r="C74" s="205"/>
      <c r="D74" s="222"/>
      <c r="E74" s="223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7"/>
    </row>
    <row r="75" customFormat="false" ht="18.75" hidden="false" customHeight="true" outlineLevel="0" collapsed="false">
      <c r="B75" s="202" t="s">
        <v>37</v>
      </c>
      <c r="C75" s="20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7"/>
    </row>
    <row r="76" customFormat="false" ht="18.75" hidden="false" customHeight="true" outlineLevel="0" collapsed="false">
      <c r="B76" s="207" t="s">
        <v>46</v>
      </c>
      <c r="C76" s="224"/>
      <c r="D76" s="209" t="n">
        <f aca="false">SUM(D64:D75)</f>
        <v>963177.22</v>
      </c>
      <c r="E76" s="209" t="n">
        <f aca="false">SUM(E64:E75)</f>
        <v>664224.188</v>
      </c>
      <c r="F76" s="209" t="n">
        <f aca="false">SUM(F64:F75)</f>
        <v>655472.156</v>
      </c>
      <c r="G76" s="209" t="n">
        <f aca="false">SUM(G64:G75)</f>
        <v>646720.124</v>
      </c>
      <c r="H76" s="209" t="n">
        <f aca="false">SUM(H64:H75)</f>
        <v>637968.092</v>
      </c>
      <c r="I76" s="209" t="n">
        <f aca="false">SUM(I64:I75)</f>
        <v>629216.06</v>
      </c>
      <c r="J76" s="209" t="n">
        <f aca="false">SUM(J64:J75)</f>
        <v>620464.028</v>
      </c>
      <c r="K76" s="209" t="n">
        <f aca="false">SUM(K64:K75)</f>
        <v>611711.996</v>
      </c>
      <c r="L76" s="209" t="n">
        <f aca="false">SUM(L64:L75)</f>
        <v>602959.964</v>
      </c>
      <c r="M76" s="209" t="n">
        <f aca="false">SUM(M64:M75)</f>
        <v>594207.932</v>
      </c>
      <c r="N76" s="209" t="n">
        <f aca="false">SUM(N64:N75)</f>
        <v>629065.9</v>
      </c>
      <c r="O76" s="209" t="n">
        <f aca="false">SUM(O64:O75)</f>
        <v>620313.868</v>
      </c>
      <c r="P76" s="209" t="n">
        <f aca="false">SUM(P64:P75)</f>
        <v>611561.836</v>
      </c>
      <c r="Q76" s="209" t="n">
        <f aca="false">SUM(Q64:Q75)</f>
        <v>602809.804</v>
      </c>
      <c r="R76" s="209" t="n">
        <f aca="false">SUM(R64:R75)</f>
        <v>594057.772</v>
      </c>
      <c r="S76" s="209" t="n">
        <f aca="false">SUM(S64:S75)</f>
        <v>585305.74</v>
      </c>
      <c r="T76" s="209" t="n">
        <f aca="false">SUM(T64:T75)</f>
        <v>576553.708</v>
      </c>
      <c r="U76" s="209" t="n">
        <f aca="false">SUM(U64:U75)</f>
        <v>567801.676</v>
      </c>
      <c r="V76" s="209" t="n">
        <f aca="false">SUM(V64:V75)</f>
        <v>559049.644</v>
      </c>
      <c r="W76" s="209" t="n">
        <f aca="false">SUM(W64:W75)</f>
        <v>550297.612</v>
      </c>
      <c r="X76" s="209" t="n">
        <f aca="false">SUM(X64:X75)</f>
        <v>0</v>
      </c>
    </row>
    <row r="77" customFormat="false" ht="18.75" hidden="false" customHeight="true" outlineLevel="0" collapsed="false">
      <c r="B77" s="206" t="s">
        <v>39</v>
      </c>
      <c r="C77" s="205"/>
      <c r="D77" s="204" t="n">
        <f aca="false">-D76*0.2</f>
        <v>-192635.444</v>
      </c>
      <c r="E77" s="204" t="n">
        <f aca="false">-E76*0.2</f>
        <v>-132844.8376</v>
      </c>
      <c r="F77" s="204" t="n">
        <f aca="false">-F76*0.2</f>
        <v>-131094.4312</v>
      </c>
      <c r="G77" s="204" t="n">
        <f aca="false">-G76*0.2</f>
        <v>-129344.0248</v>
      </c>
      <c r="H77" s="204" t="n">
        <f aca="false">-H76*0.2</f>
        <v>-127593.6184</v>
      </c>
      <c r="I77" s="204" t="n">
        <f aca="false">-I76*0.2</f>
        <v>-125843.212</v>
      </c>
      <c r="J77" s="204" t="n">
        <f aca="false">-J76*0.2</f>
        <v>-124092.8056</v>
      </c>
      <c r="K77" s="204" t="n">
        <f aca="false">-K76*0.2</f>
        <v>-122342.3992</v>
      </c>
      <c r="L77" s="204" t="n">
        <f aca="false">-L76*0.2</f>
        <v>-120591.9928</v>
      </c>
      <c r="M77" s="204" t="n">
        <f aca="false">-M76*0.2</f>
        <v>-118841.5864</v>
      </c>
      <c r="N77" s="204" t="n">
        <f aca="false">-N76*0.2</f>
        <v>-125813.18</v>
      </c>
      <c r="O77" s="204" t="n">
        <f aca="false">-O76*0.2</f>
        <v>-124062.7736</v>
      </c>
      <c r="P77" s="204" t="n">
        <f aca="false">-P76*0.2</f>
        <v>-122312.3672</v>
      </c>
      <c r="Q77" s="204" t="n">
        <f aca="false">-Q76*0.2</f>
        <v>-120561.9608</v>
      </c>
      <c r="R77" s="204" t="n">
        <f aca="false">-R76*0.2</f>
        <v>-118811.5544</v>
      </c>
      <c r="S77" s="204" t="n">
        <f aca="false">-S76*0.2</f>
        <v>-117061.148</v>
      </c>
      <c r="T77" s="204" t="n">
        <f aca="false">-T76*0.2</f>
        <v>-115310.7416</v>
      </c>
      <c r="U77" s="204" t="n">
        <f aca="false">-U76*0.2</f>
        <v>-113560.3352</v>
      </c>
      <c r="V77" s="204" t="n">
        <f aca="false">-V76*0.2</f>
        <v>-111809.9288</v>
      </c>
      <c r="W77" s="204" t="n">
        <f aca="false">-W76*0.2</f>
        <v>-110059.5224</v>
      </c>
      <c r="X77" s="204" t="n">
        <f aca="false">-X76*0.2</f>
        <v>-0</v>
      </c>
    </row>
    <row r="78" customFormat="false" ht="15.75" hidden="false" customHeight="true" outlineLevel="0" collapsed="false">
      <c r="B78" s="225" t="s">
        <v>47</v>
      </c>
      <c r="D78" s="204" t="n">
        <f aca="false">SUM(D76:D77)</f>
        <v>770541.776</v>
      </c>
      <c r="E78" s="204" t="n">
        <f aca="false">SUM(E76:E77)</f>
        <v>531379.3504</v>
      </c>
      <c r="F78" s="204" t="n">
        <f aca="false">SUM(F76:F77)</f>
        <v>524377.7248</v>
      </c>
      <c r="G78" s="204" t="n">
        <f aca="false">SUM(G76:G77)</f>
        <v>517376.0992</v>
      </c>
      <c r="H78" s="204" t="n">
        <f aca="false">SUM(H76:H77)</f>
        <v>510374.4736</v>
      </c>
      <c r="I78" s="204" t="n">
        <f aca="false">SUM(I76:I77)</f>
        <v>503372.848</v>
      </c>
      <c r="J78" s="204" t="n">
        <f aca="false">SUM(J76:J77)</f>
        <v>496371.2224</v>
      </c>
      <c r="K78" s="204" t="n">
        <f aca="false">SUM(K76:K77)</f>
        <v>489369.5968</v>
      </c>
      <c r="L78" s="204" t="n">
        <f aca="false">SUM(L76:L77)</f>
        <v>482367.9712</v>
      </c>
      <c r="M78" s="204" t="n">
        <f aca="false">SUM(M76:M77)</f>
        <v>475366.3456</v>
      </c>
      <c r="N78" s="204" t="n">
        <f aca="false">SUM(N76:N77)</f>
        <v>503252.72</v>
      </c>
      <c r="O78" s="204" t="n">
        <f aca="false">SUM(O76:O77)</f>
        <v>496251.0944</v>
      </c>
      <c r="P78" s="204" t="n">
        <f aca="false">SUM(P76:P77)</f>
        <v>489249.4688</v>
      </c>
      <c r="Q78" s="204" t="n">
        <f aca="false">SUM(Q76:Q77)</f>
        <v>482247.8432</v>
      </c>
      <c r="R78" s="204" t="n">
        <f aca="false">SUM(R76:R77)</f>
        <v>475246.2176</v>
      </c>
      <c r="S78" s="204" t="n">
        <f aca="false">SUM(S76:S77)</f>
        <v>468244.592</v>
      </c>
      <c r="T78" s="204" t="n">
        <f aca="false">SUM(T76:T77)</f>
        <v>461242.9664</v>
      </c>
      <c r="U78" s="204" t="n">
        <f aca="false">SUM(U76:U77)</f>
        <v>454241.3408</v>
      </c>
      <c r="V78" s="204" t="n">
        <f aca="false">SUM(V76:V77)</f>
        <v>447239.7152</v>
      </c>
      <c r="W78" s="204" t="n">
        <f aca="false">SUM(W76:W77)</f>
        <v>440238.0896</v>
      </c>
      <c r="X78" s="204" t="n">
        <f aca="false">SUM(X76:X77)</f>
        <v>0</v>
      </c>
    </row>
    <row r="79" customFormat="false" ht="18.75" hidden="false" customHeight="true" outlineLevel="0" collapsed="false">
      <c r="B79" s="213" t="s">
        <v>41</v>
      </c>
      <c r="C79" s="21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7"/>
    </row>
    <row r="80" customFormat="false" ht="18.75" hidden="false" customHeight="true" outlineLevel="0" collapsed="false">
      <c r="B80" s="112" t="s">
        <v>42</v>
      </c>
      <c r="C80" s="113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9"/>
    </row>
    <row r="81" customFormat="false" ht="18.75" hidden="false" customHeight="true" outlineLevel="0" collapsed="false">
      <c r="B81" s="98"/>
      <c r="C81" s="97"/>
      <c r="D81" s="97"/>
      <c r="E81" s="97"/>
      <c r="F81" s="98"/>
      <c r="G81" s="98"/>
      <c r="H81" s="98"/>
      <c r="I81" s="98"/>
      <c r="J81" s="98"/>
      <c r="K81" s="98"/>
      <c r="L81" s="98"/>
      <c r="M81" s="97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30.93"/>
    <col collapsed="false" customWidth="true" hidden="false" outlineLevel="0" max="3" min="3" style="1" width="24.56"/>
    <col collapsed="false" customWidth="true" hidden="false" outlineLevel="0" max="4" min="4" style="1" width="33.66"/>
    <col collapsed="false" customWidth="true" hidden="false" outlineLevel="0" max="6" min="6" style="1" width="45.49"/>
    <col collapsed="false" customWidth="true" hidden="false" outlineLevel="0" max="7" min="7" style="1" width="33.66"/>
    <col collapsed="false" customWidth="true" hidden="false" outlineLevel="0" max="13" min="13" style="1" width="45.49"/>
    <col collapsed="false" customWidth="true" hidden="false" outlineLevel="0" max="14" min="14" style="1" width="33.66"/>
    <col collapsed="false" customWidth="true" hidden="false" outlineLevel="0" max="24" min="24" style="1" width="27.31"/>
    <col collapsed="false" customWidth="true" hidden="false" outlineLevel="0" max="25" min="25" style="1" width="9.1"/>
    <col collapsed="false" customWidth="true" hidden="false" outlineLevel="0" max="28" min="28" style="1" width="10.01"/>
    <col collapsed="false" customWidth="true" hidden="false" outlineLevel="0" max="36" min="36" style="1" width="7.28"/>
    <col collapsed="false" customWidth="true" hidden="false" outlineLevel="0" max="37" min="37" style="1" width="8.32"/>
  </cols>
  <sheetData>
    <row r="1" customFormat="false" ht="22.5" hidden="false" customHeight="true" outlineLevel="0" collapsed="false">
      <c r="B1" s="137" t="s">
        <v>63</v>
      </c>
      <c r="C1" s="138"/>
      <c r="D1" s="138"/>
      <c r="E1" s="139"/>
      <c r="F1" s="140" t="s">
        <v>64</v>
      </c>
      <c r="P1" s="141" t="n">
        <f aca="false">1-D11</f>
        <v>0.99</v>
      </c>
      <c r="Q1" s="141" t="n">
        <f aca="false">P1-$D12</f>
        <v>0.986</v>
      </c>
      <c r="R1" s="141" t="n">
        <f aca="false">Q1-$D12</f>
        <v>0.982</v>
      </c>
      <c r="S1" s="141" t="n">
        <f aca="false">R1-$D12</f>
        <v>0.978</v>
      </c>
      <c r="T1" s="141" t="n">
        <f aca="false">S1-$D12</f>
        <v>0.974</v>
      </c>
      <c r="U1" s="141" t="n">
        <f aca="false">T1-$D12</f>
        <v>0.97</v>
      </c>
      <c r="V1" s="141" t="n">
        <f aca="false">U1-$D12</f>
        <v>0.966</v>
      </c>
      <c r="W1" s="141" t="n">
        <f aca="false">V1-$D12</f>
        <v>0.962</v>
      </c>
      <c r="X1" s="141" t="n">
        <f aca="false">W1-$D12</f>
        <v>0.958</v>
      </c>
      <c r="Y1" s="141" t="n">
        <f aca="false">X1-$D12</f>
        <v>0.954</v>
      </c>
      <c r="Z1" s="141" t="n">
        <f aca="false">Y1-$D12</f>
        <v>0.95</v>
      </c>
      <c r="AA1" s="141" t="n">
        <f aca="false">Z1-$D12</f>
        <v>0.946</v>
      </c>
      <c r="AB1" s="141" t="n">
        <f aca="false">AA1-$D12</f>
        <v>0.942</v>
      </c>
      <c r="AC1" s="141" t="n">
        <f aca="false">AB1-$D12</f>
        <v>0.938</v>
      </c>
      <c r="AD1" s="141" t="n">
        <f aca="false">AC1-$D12</f>
        <v>0.934</v>
      </c>
      <c r="AE1" s="141" t="n">
        <f aca="false">AD1-$D12</f>
        <v>0.93</v>
      </c>
      <c r="AF1" s="141" t="n">
        <f aca="false">AE1-$D12</f>
        <v>0.926</v>
      </c>
      <c r="AG1" s="141" t="n">
        <f aca="false">AF1-$D12</f>
        <v>0.922</v>
      </c>
      <c r="AH1" s="141" t="n">
        <f aca="false">AG1-$D12</f>
        <v>0.918</v>
      </c>
      <c r="AI1" s="141" t="n">
        <f aca="false">AH1-$D12</f>
        <v>0.914</v>
      </c>
    </row>
    <row r="2" customFormat="false" ht="21.75" hidden="false" customHeight="true" outlineLevel="0" collapsed="false">
      <c r="B2" s="142" t="s">
        <v>65</v>
      </c>
      <c r="C2" s="143" t="s">
        <v>2</v>
      </c>
      <c r="D2" s="144" t="s">
        <v>26</v>
      </c>
      <c r="E2" s="145" t="s">
        <v>26</v>
      </c>
      <c r="F2" s="146" t="s">
        <v>66</v>
      </c>
    </row>
    <row r="3" customFormat="false" ht="21.75" hidden="false" customHeight="true" outlineLevel="0" collapsed="false">
      <c r="B3" s="147" t="s">
        <v>67</v>
      </c>
      <c r="C3" s="148" t="n">
        <v>20</v>
      </c>
      <c r="D3" s="149" t="s">
        <v>26</v>
      </c>
      <c r="E3" s="150" t="s">
        <v>26</v>
      </c>
      <c r="F3" s="151" t="s">
        <v>68</v>
      </c>
    </row>
    <row r="4" customFormat="false" ht="21.75" hidden="false" customHeight="true" outlineLevel="0" collapsed="false">
      <c r="B4" s="147" t="s">
        <v>69</v>
      </c>
      <c r="C4" s="148" t="n">
        <v>436.1</v>
      </c>
      <c r="D4" s="149" t="s">
        <v>26</v>
      </c>
      <c r="E4" s="150" t="s">
        <v>26</v>
      </c>
      <c r="F4" s="151" t="s">
        <v>70</v>
      </c>
      <c r="M4" s="152" t="s">
        <v>144</v>
      </c>
    </row>
    <row r="5" customFormat="false" ht="22.5" hidden="false" customHeight="true" outlineLevel="0" collapsed="false">
      <c r="B5" s="153" t="s">
        <v>72</v>
      </c>
      <c r="C5" s="148" t="n">
        <v>2020</v>
      </c>
      <c r="D5" s="153" t="s">
        <v>73</v>
      </c>
      <c r="E5" s="154" t="n">
        <v>2039</v>
      </c>
      <c r="F5" s="151" t="s">
        <v>74</v>
      </c>
      <c r="M5" s="152" t="s">
        <v>145</v>
      </c>
    </row>
    <row r="6" customFormat="false" ht="20.25" hidden="false" customHeight="true" outlineLevel="0" collapsed="false">
      <c r="B6" s="155"/>
      <c r="C6" s="155"/>
      <c r="D6" s="155"/>
      <c r="E6" s="155"/>
      <c r="M6" s="152" t="s">
        <v>146</v>
      </c>
    </row>
    <row r="7" customFormat="false" ht="22.5" hidden="false" customHeight="true" outlineLevel="0" collapsed="false">
      <c r="B7" s="137" t="s">
        <v>77</v>
      </c>
      <c r="C7" s="138"/>
      <c r="D7" s="138"/>
      <c r="E7" s="139"/>
      <c r="M7" s="152" t="s">
        <v>147</v>
      </c>
    </row>
    <row r="8" customFormat="false" ht="22.5" hidden="false" customHeight="true" outlineLevel="0" collapsed="false">
      <c r="B8" s="156" t="s">
        <v>79</v>
      </c>
      <c r="E8" s="157"/>
      <c r="M8" s="152" t="s">
        <v>148</v>
      </c>
    </row>
    <row r="9" customFormat="false" ht="22.5" hidden="false" customHeight="true" outlineLevel="0" collapsed="false">
      <c r="B9" s="158" t="s">
        <v>81</v>
      </c>
      <c r="C9" s="159" t="s">
        <v>82</v>
      </c>
      <c r="D9" s="159" t="s">
        <v>83</v>
      </c>
      <c r="E9" s="160" t="s">
        <v>84</v>
      </c>
      <c r="F9" s="140" t="s">
        <v>64</v>
      </c>
      <c r="M9" s="152" t="s">
        <v>85</v>
      </c>
    </row>
    <row r="10" customFormat="false" ht="30" hidden="false" customHeight="true" outlineLevel="0" collapsed="false">
      <c r="B10" s="161" t="s">
        <v>86</v>
      </c>
      <c r="C10" s="162" t="s">
        <v>87</v>
      </c>
      <c r="D10" s="163" t="n">
        <v>547002</v>
      </c>
      <c r="E10" s="164" t="n">
        <v>20</v>
      </c>
      <c r="F10" s="151" t="s">
        <v>88</v>
      </c>
      <c r="M10" s="152" t="s">
        <v>149</v>
      </c>
    </row>
    <row r="11" customFormat="false" ht="30" hidden="false" customHeight="true" outlineLevel="0" collapsed="false">
      <c r="B11" s="165"/>
      <c r="C11" s="153" t="s">
        <v>90</v>
      </c>
      <c r="D11" s="166" t="n">
        <v>0.01</v>
      </c>
      <c r="E11" s="167"/>
      <c r="F11" s="151" t="s">
        <v>91</v>
      </c>
    </row>
    <row r="12" customFormat="false" ht="30" hidden="false" customHeight="true" outlineLevel="0" collapsed="false">
      <c r="B12" s="165"/>
      <c r="C12" s="153" t="s">
        <v>92</v>
      </c>
      <c r="D12" s="168" t="n">
        <v>0.004</v>
      </c>
      <c r="E12" s="167"/>
      <c r="F12" s="151" t="s">
        <v>93</v>
      </c>
    </row>
    <row r="13" customFormat="false" ht="22.5" hidden="false" customHeight="true" outlineLevel="0" collapsed="false">
      <c r="B13" s="165"/>
      <c r="C13" s="169" t="s">
        <v>94</v>
      </c>
      <c r="D13" s="170" t="n">
        <v>4</v>
      </c>
      <c r="E13" s="167"/>
      <c r="F13" s="151" t="s">
        <v>95</v>
      </c>
    </row>
    <row r="14" customFormat="false" ht="22.5" hidden="false" customHeight="true" outlineLevel="0" collapsed="false">
      <c r="B14" s="171" t="s">
        <v>96</v>
      </c>
      <c r="C14" s="138"/>
      <c r="D14" s="138"/>
      <c r="E14" s="139"/>
    </row>
    <row r="15" customFormat="false" ht="22.5" hidden="false" customHeight="true" outlineLevel="0" collapsed="false">
      <c r="B15" s="158" t="s">
        <v>81</v>
      </c>
      <c r="C15" s="159" t="s">
        <v>82</v>
      </c>
      <c r="D15" s="159" t="s">
        <v>83</v>
      </c>
      <c r="E15" s="160" t="s">
        <v>97</v>
      </c>
      <c r="F15" s="140" t="s">
        <v>64</v>
      </c>
    </row>
    <row r="16" customFormat="false" ht="21.75" hidden="false" customHeight="true" outlineLevel="0" collapsed="false">
      <c r="B16" s="162" t="s">
        <v>98</v>
      </c>
      <c r="C16" s="162" t="s">
        <v>99</v>
      </c>
      <c r="D16" s="172" t="n">
        <v>27000</v>
      </c>
      <c r="E16" s="145" t="n">
        <v>20</v>
      </c>
      <c r="F16" s="151" t="s">
        <v>100</v>
      </c>
    </row>
    <row r="17" customFormat="false" ht="21.75" hidden="false" customHeight="true" outlineLevel="0" collapsed="false">
      <c r="B17" s="165"/>
      <c r="C17" s="153" t="s">
        <v>101</v>
      </c>
      <c r="D17" s="173" t="n">
        <v>0.3</v>
      </c>
      <c r="E17" s="167"/>
      <c r="F17" s="151" t="s">
        <v>102</v>
      </c>
    </row>
    <row r="18" customFormat="false" ht="21.75" hidden="false" customHeight="true" outlineLevel="0" collapsed="false">
      <c r="B18" s="174"/>
      <c r="C18" s="153" t="s">
        <v>103</v>
      </c>
      <c r="D18" s="175" t="n">
        <v>2000</v>
      </c>
      <c r="E18" s="176"/>
      <c r="F18" s="151" t="s">
        <v>104</v>
      </c>
    </row>
    <row r="19" customFormat="false" ht="54" hidden="false" customHeight="true" outlineLevel="0" collapsed="false">
      <c r="B19" s="153" t="s">
        <v>105</v>
      </c>
      <c r="C19" s="177" t="s">
        <v>106</v>
      </c>
      <c r="D19" s="173" t="n">
        <v>1</v>
      </c>
      <c r="E19" s="145" t="n">
        <v>20</v>
      </c>
      <c r="F19" s="151" t="s">
        <v>107</v>
      </c>
    </row>
    <row r="20" customFormat="false" ht="20.25" hidden="false" customHeight="true" outlineLevel="0" collapsed="false">
      <c r="B20" s="165"/>
      <c r="C20" s="178" t="s">
        <v>108</v>
      </c>
      <c r="D20" s="175" t="n">
        <v>290201</v>
      </c>
      <c r="E20" s="145" t="n">
        <v>20</v>
      </c>
      <c r="F20" s="151" t="s">
        <v>109</v>
      </c>
    </row>
    <row r="21" customFormat="false" ht="30" hidden="false" customHeight="true" outlineLevel="0" collapsed="false">
      <c r="B21" s="174"/>
      <c r="C21" s="153" t="s">
        <v>110</v>
      </c>
      <c r="D21" s="173" t="n">
        <v>0</v>
      </c>
      <c r="E21" s="150" t="n">
        <v>20</v>
      </c>
      <c r="F21" s="151" t="s">
        <v>111</v>
      </c>
    </row>
    <row r="22" customFormat="false" ht="30" hidden="false" customHeight="true" outlineLevel="0" collapsed="false">
      <c r="B22" s="153" t="s">
        <v>112</v>
      </c>
      <c r="C22" s="153" t="s">
        <v>113</v>
      </c>
      <c r="D22" s="179" t="n">
        <v>400</v>
      </c>
      <c r="E22" s="150" t="n">
        <v>20</v>
      </c>
      <c r="F22" s="151" t="s">
        <v>114</v>
      </c>
    </row>
    <row r="23" customFormat="false" ht="30" hidden="false" customHeight="true" outlineLevel="0" collapsed="false">
      <c r="B23" s="153" t="s">
        <v>115</v>
      </c>
      <c r="C23" s="153" t="s">
        <v>116</v>
      </c>
      <c r="D23" s="173" t="n">
        <v>0.003</v>
      </c>
      <c r="E23" s="150" t="n">
        <v>20</v>
      </c>
      <c r="F23" s="151" t="s">
        <v>117</v>
      </c>
    </row>
    <row r="24" customFormat="false" ht="30" hidden="false" customHeight="true" outlineLevel="0" collapsed="false">
      <c r="B24" s="153" t="s">
        <v>118</v>
      </c>
      <c r="C24" s="153" t="s">
        <v>119</v>
      </c>
      <c r="D24" s="179" t="n">
        <v>1000</v>
      </c>
      <c r="E24" s="180" t="n">
        <v>10</v>
      </c>
      <c r="F24" s="151" t="s">
        <v>120</v>
      </c>
    </row>
    <row r="25" customFormat="false" ht="30" hidden="false" customHeight="true" outlineLevel="0" collapsed="false">
      <c r="B25" s="153" t="s">
        <v>121</v>
      </c>
      <c r="C25" s="153" t="s">
        <v>122</v>
      </c>
      <c r="D25" s="181" t="n">
        <v>0.0256</v>
      </c>
      <c r="E25" s="150" t="n">
        <v>20</v>
      </c>
      <c r="F25" s="151" t="s">
        <v>123</v>
      </c>
    </row>
    <row r="26" customFormat="false" ht="30" hidden="false" customHeight="true" outlineLevel="0" collapsed="false">
      <c r="B26" s="153" t="s">
        <v>14</v>
      </c>
      <c r="C26" s="153" t="s">
        <v>124</v>
      </c>
      <c r="D26" s="173" t="n">
        <v>0.2</v>
      </c>
      <c r="E26" s="150" t="n">
        <v>20</v>
      </c>
      <c r="F26" s="151" t="s">
        <v>125</v>
      </c>
    </row>
    <row r="27" customFormat="false" ht="20.25" hidden="false" customHeight="true" outlineLevel="0" collapsed="false">
      <c r="B27" s="155"/>
      <c r="C27" s="155"/>
      <c r="D27" s="155"/>
      <c r="E27" s="155"/>
    </row>
    <row r="28" customFormat="false" ht="20.25" hidden="false" customHeight="true" outlineLevel="0" collapsed="false">
      <c r="B28" s="155"/>
      <c r="C28" s="155"/>
      <c r="D28" s="155"/>
      <c r="E28" s="155"/>
    </row>
    <row r="29" customFormat="false" ht="22.5" hidden="false" customHeight="true" outlineLevel="0" collapsed="false">
      <c r="B29" s="137" t="s">
        <v>126</v>
      </c>
      <c r="C29" s="138"/>
      <c r="D29" s="139"/>
      <c r="E29" s="155"/>
    </row>
    <row r="30" customFormat="false" ht="22.5" hidden="false" customHeight="true" outlineLevel="0" collapsed="false">
      <c r="B30" s="158" t="s">
        <v>127</v>
      </c>
      <c r="C30" s="182" t="s">
        <v>82</v>
      </c>
      <c r="D30" s="183" t="s">
        <v>83</v>
      </c>
      <c r="E30" s="155"/>
      <c r="F30" s="140" t="s">
        <v>64</v>
      </c>
    </row>
    <row r="31" customFormat="false" ht="30" hidden="false" customHeight="true" outlineLevel="0" collapsed="false">
      <c r="B31" s="162" t="s">
        <v>128</v>
      </c>
      <c r="C31" s="142" t="s">
        <v>129</v>
      </c>
      <c r="D31" s="184" t="n">
        <v>0.8</v>
      </c>
      <c r="E31" s="155"/>
      <c r="F31" s="151" t="s">
        <v>130</v>
      </c>
    </row>
    <row r="32" customFormat="false" ht="18.75" hidden="false" customHeight="true" outlineLevel="0" collapsed="false">
      <c r="B32" s="162" t="s">
        <v>131</v>
      </c>
      <c r="C32" s="142" t="s">
        <v>132</v>
      </c>
      <c r="D32" s="184" t="n">
        <v>15</v>
      </c>
      <c r="E32" s="155"/>
      <c r="F32" s="151" t="s">
        <v>133</v>
      </c>
    </row>
    <row r="33" customFormat="false" ht="18.75" hidden="false" customHeight="true" outlineLevel="0" collapsed="false">
      <c r="B33" s="153" t="s">
        <v>53</v>
      </c>
      <c r="C33" s="147" t="s">
        <v>134</v>
      </c>
      <c r="D33" s="173" t="n">
        <v>0.9</v>
      </c>
      <c r="E33" s="155"/>
      <c r="F33" s="151" t="s">
        <v>135</v>
      </c>
    </row>
    <row r="34" customFormat="false" ht="30" hidden="false" customHeight="true" outlineLevel="0" collapsed="false">
      <c r="B34" s="153" t="s">
        <v>54</v>
      </c>
      <c r="C34" s="147" t="s">
        <v>132</v>
      </c>
      <c r="D34" s="173" t="n">
        <v>4</v>
      </c>
      <c r="E34" s="155"/>
      <c r="F34" s="151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56"/>
      <c r="C37" s="57" t="s">
        <v>0</v>
      </c>
      <c r="D37" s="57" t="n">
        <v>2020</v>
      </c>
      <c r="E37" s="57" t="n">
        <v>2021</v>
      </c>
      <c r="F37" s="57" t="n">
        <v>2022</v>
      </c>
      <c r="G37" s="57" t="n">
        <v>2023</v>
      </c>
      <c r="H37" s="57" t="n">
        <v>2024</v>
      </c>
      <c r="I37" s="57" t="n">
        <v>2025</v>
      </c>
      <c r="J37" s="57" t="n">
        <v>2026</v>
      </c>
      <c r="K37" s="57" t="n">
        <v>2027</v>
      </c>
      <c r="L37" s="57" t="n">
        <v>2028</v>
      </c>
      <c r="M37" s="57" t="n">
        <v>2029</v>
      </c>
      <c r="N37" s="57" t="n">
        <v>2030</v>
      </c>
      <c r="O37" s="57" t="n">
        <v>2031</v>
      </c>
      <c r="P37" s="57" t="n">
        <v>2032</v>
      </c>
      <c r="Q37" s="57" t="n">
        <v>2033</v>
      </c>
      <c r="R37" s="57" t="n">
        <v>2034</v>
      </c>
      <c r="S37" s="57" t="n">
        <v>2035</v>
      </c>
      <c r="T37" s="57" t="n">
        <v>2036</v>
      </c>
      <c r="U37" s="57" t="n">
        <v>2037</v>
      </c>
      <c r="V37" s="57" t="n">
        <v>2038</v>
      </c>
      <c r="W37" s="57" t="n">
        <v>2039</v>
      </c>
      <c r="X37" s="57"/>
    </row>
    <row r="38" customFormat="false" ht="18.75" hidden="false" customHeight="true" outlineLevel="0" collapsed="false">
      <c r="B38" s="58" t="n">
        <v>0</v>
      </c>
      <c r="C38" s="59"/>
      <c r="D38" s="60"/>
      <c r="E38" s="60"/>
      <c r="F38" s="61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3"/>
      <c r="U38" s="62"/>
      <c r="V38" s="62"/>
      <c r="W38" s="62"/>
      <c r="X38" s="185"/>
    </row>
    <row r="39" customFormat="false" ht="18.75" hidden="false" customHeight="true" outlineLevel="0" collapsed="false">
      <c r="B39" s="64" t="s">
        <v>23</v>
      </c>
      <c r="C39" s="65" t="n">
        <v>0</v>
      </c>
      <c r="D39" s="66" t="n">
        <v>1</v>
      </c>
      <c r="E39" s="66" t="n">
        <v>2</v>
      </c>
      <c r="F39" s="66" t="n">
        <v>3</v>
      </c>
      <c r="G39" s="66" t="n">
        <v>4</v>
      </c>
      <c r="H39" s="66" t="n">
        <v>5</v>
      </c>
      <c r="I39" s="66" t="n">
        <v>6</v>
      </c>
      <c r="J39" s="66" t="n">
        <v>7</v>
      </c>
      <c r="K39" s="66" t="n">
        <v>8</v>
      </c>
      <c r="L39" s="66" t="n">
        <v>9</v>
      </c>
      <c r="M39" s="66" t="n">
        <v>10</v>
      </c>
      <c r="N39" s="66" t="n">
        <v>11</v>
      </c>
      <c r="O39" s="66" t="n">
        <v>12</v>
      </c>
      <c r="P39" s="66" t="n">
        <v>13</v>
      </c>
      <c r="Q39" s="66" t="n">
        <v>14</v>
      </c>
      <c r="R39" s="66" t="n">
        <v>15</v>
      </c>
      <c r="S39" s="66" t="n">
        <v>16</v>
      </c>
      <c r="T39" s="67" t="n">
        <v>17</v>
      </c>
      <c r="U39" s="66" t="n">
        <v>18</v>
      </c>
      <c r="V39" s="66" t="n">
        <v>19</v>
      </c>
      <c r="W39" s="66" t="n">
        <v>20</v>
      </c>
      <c r="X39" s="186"/>
    </row>
    <row r="40" customFormat="false" ht="18.75" hidden="false" customHeight="true" outlineLevel="0" collapsed="false">
      <c r="B40" s="187" t="s">
        <v>137</v>
      </c>
      <c r="C40" s="69" t="n">
        <v>0</v>
      </c>
      <c r="D40" s="70" t="n">
        <f aca="false">$D$10*P1</f>
        <v>541531.98</v>
      </c>
      <c r="E40" s="70" t="n">
        <f aca="false">$D$10*Q1</f>
        <v>539343.972</v>
      </c>
      <c r="F40" s="70" t="n">
        <f aca="false">$D$10*R1</f>
        <v>537155.964</v>
      </c>
      <c r="G40" s="70" t="n">
        <f aca="false">$D$10*S1</f>
        <v>534967.956</v>
      </c>
      <c r="H40" s="70" t="n">
        <f aca="false">$D$10*T1</f>
        <v>532779.948</v>
      </c>
      <c r="I40" s="70" t="n">
        <f aca="false">$D$10*U1</f>
        <v>530591.94</v>
      </c>
      <c r="J40" s="70" t="n">
        <f aca="false">$D$10*V1</f>
        <v>528403.932</v>
      </c>
      <c r="K40" s="70" t="n">
        <f aca="false">$D$10*W1</f>
        <v>526215.924</v>
      </c>
      <c r="L40" s="70" t="n">
        <f aca="false">$D$10*X1</f>
        <v>524027.916</v>
      </c>
      <c r="M40" s="70" t="n">
        <f aca="false">$D$10*Y1</f>
        <v>521839.908</v>
      </c>
      <c r="N40" s="70" t="n">
        <f aca="false">$D$10*Z1</f>
        <v>519651.9</v>
      </c>
      <c r="O40" s="70" t="n">
        <f aca="false">$D$10*AA1</f>
        <v>517463.892</v>
      </c>
      <c r="P40" s="70" t="n">
        <f aca="false">$D$10*AB1</f>
        <v>515275.884</v>
      </c>
      <c r="Q40" s="70" t="n">
        <f aca="false">$D$10*AC1</f>
        <v>513087.876</v>
      </c>
      <c r="R40" s="70" t="n">
        <f aca="false">$D$10*AD1</f>
        <v>510899.868</v>
      </c>
      <c r="S40" s="70" t="n">
        <f aca="false">$D$10*AE1</f>
        <v>508711.86</v>
      </c>
      <c r="T40" s="70" t="n">
        <f aca="false">$D$10*AF1</f>
        <v>506523.852</v>
      </c>
      <c r="U40" s="70" t="n">
        <f aca="false">$D$10*AG1</f>
        <v>504335.844</v>
      </c>
      <c r="V40" s="70" t="n">
        <f aca="false">$D$10*AH1</f>
        <v>502147.836</v>
      </c>
      <c r="W40" s="70" t="n">
        <f aca="false">$D$10*AI1</f>
        <v>499959.828</v>
      </c>
      <c r="X40" s="188"/>
    </row>
    <row r="41" customFormat="false" ht="18.75" hidden="false" customHeight="true" outlineLevel="0" collapsed="false">
      <c r="B41" s="189" t="s">
        <v>25</v>
      </c>
      <c r="C41" s="190" t="s">
        <v>26</v>
      </c>
      <c r="D41" s="191" t="n">
        <f aca="false">D40*$D$13</f>
        <v>2166127.92</v>
      </c>
      <c r="E41" s="191" t="n">
        <f aca="false">E40*$D$13</f>
        <v>2157375.888</v>
      </c>
      <c r="F41" s="191" t="n">
        <f aca="false">F40*$D$13</f>
        <v>2148623.856</v>
      </c>
      <c r="G41" s="191" t="n">
        <f aca="false">G40*$D$13</f>
        <v>2139871.824</v>
      </c>
      <c r="H41" s="191" t="n">
        <f aca="false">H40*$D$13</f>
        <v>2131119.792</v>
      </c>
      <c r="I41" s="191" t="n">
        <f aca="false">I40*$D$13</f>
        <v>2122367.76</v>
      </c>
      <c r="J41" s="191" t="n">
        <f aca="false">J40*$D$13</f>
        <v>2113615.728</v>
      </c>
      <c r="K41" s="191" t="n">
        <f aca="false">K40*$D$13</f>
        <v>2104863.696</v>
      </c>
      <c r="L41" s="191" t="n">
        <f aca="false">L40*$D$13</f>
        <v>2096111.664</v>
      </c>
      <c r="M41" s="191" t="n">
        <f aca="false">M40*$D$13</f>
        <v>2087359.632</v>
      </c>
      <c r="N41" s="191" t="n">
        <f aca="false">N40*$D$13</f>
        <v>2078607.6</v>
      </c>
      <c r="O41" s="191" t="n">
        <f aca="false">O40*$D$13</f>
        <v>2069855.568</v>
      </c>
      <c r="P41" s="191" t="n">
        <f aca="false">P40*$D$13</f>
        <v>2061103.536</v>
      </c>
      <c r="Q41" s="191" t="n">
        <f aca="false">Q40*$D$13</f>
        <v>2052351.504</v>
      </c>
      <c r="R41" s="191" t="n">
        <f aca="false">R40*$D$13</f>
        <v>2043599.472</v>
      </c>
      <c r="S41" s="191" t="n">
        <f aca="false">S40*$D$13</f>
        <v>2034847.44</v>
      </c>
      <c r="T41" s="191" t="n">
        <f aca="false">T40*$D$13</f>
        <v>2026095.408</v>
      </c>
      <c r="U41" s="191" t="n">
        <f aca="false">U40*$D$13</f>
        <v>2017343.376</v>
      </c>
      <c r="V41" s="191" t="n">
        <f aca="false">V40*$D$13</f>
        <v>2008591.344</v>
      </c>
      <c r="W41" s="191" t="n">
        <f aca="false">W40*$D$13</f>
        <v>1999839.312</v>
      </c>
      <c r="X41" s="192"/>
    </row>
    <row r="42" customFormat="false" ht="18.75" hidden="false" customHeight="true" outlineLevel="0" collapsed="false">
      <c r="B42" s="193" t="s">
        <v>27</v>
      </c>
      <c r="C42" s="194" t="s">
        <v>26</v>
      </c>
      <c r="D42" s="195"/>
      <c r="E42" s="195"/>
      <c r="F42" s="195"/>
      <c r="G42" s="196" t="s">
        <v>26</v>
      </c>
      <c r="H42" s="196" t="s">
        <v>26</v>
      </c>
      <c r="I42" s="196" t="s">
        <v>26</v>
      </c>
      <c r="J42" s="196" t="s">
        <v>26</v>
      </c>
      <c r="K42" s="196" t="s">
        <v>26</v>
      </c>
      <c r="L42" s="196" t="s">
        <v>26</v>
      </c>
      <c r="M42" s="196" t="s">
        <v>26</v>
      </c>
      <c r="N42" s="196" t="s">
        <v>26</v>
      </c>
      <c r="O42" s="196" t="s">
        <v>26</v>
      </c>
      <c r="P42" s="196" t="s">
        <v>26</v>
      </c>
      <c r="Q42" s="196" t="s">
        <v>26</v>
      </c>
      <c r="R42" s="196" t="s">
        <v>26</v>
      </c>
      <c r="S42" s="196" t="s">
        <v>26</v>
      </c>
      <c r="T42" s="196" t="s">
        <v>26</v>
      </c>
      <c r="U42" s="196" t="s">
        <v>26</v>
      </c>
      <c r="V42" s="196" t="s">
        <v>26</v>
      </c>
      <c r="W42" s="196" t="s">
        <v>26</v>
      </c>
      <c r="X42" s="197"/>
    </row>
    <row r="43" customFormat="false" ht="18.75" hidden="false" customHeight="true" outlineLevel="0" collapsed="false">
      <c r="B43" s="198" t="s">
        <v>28</v>
      </c>
      <c r="C43" s="199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1"/>
    </row>
    <row r="44" customFormat="false" ht="18.75" hidden="false" customHeight="true" outlineLevel="0" collapsed="false">
      <c r="B44" s="202" t="s">
        <v>29</v>
      </c>
      <c r="C44" s="203" t="n">
        <f aca="false">-(D16/(1-D17)+D18)*C4</f>
        <v>-17693200</v>
      </c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</row>
    <row r="45" customFormat="false" ht="18.75" hidden="false" customHeight="true" outlineLevel="0" collapsed="false">
      <c r="B45" s="202" t="s">
        <v>30</v>
      </c>
      <c r="C45" s="194" t="s">
        <v>26</v>
      </c>
      <c r="D45" s="152" t="n">
        <v>-290201</v>
      </c>
      <c r="E45" s="204" t="n">
        <v>-290201</v>
      </c>
      <c r="F45" s="204" t="n">
        <v>-290201</v>
      </c>
      <c r="G45" s="204" t="n">
        <v>-290201</v>
      </c>
      <c r="H45" s="204" t="n">
        <v>-290201</v>
      </c>
      <c r="I45" s="204" t="n">
        <v>-290201</v>
      </c>
      <c r="J45" s="204" t="n">
        <v>-290201</v>
      </c>
      <c r="K45" s="204" t="n">
        <v>-290201</v>
      </c>
      <c r="L45" s="204" t="n">
        <v>-290201</v>
      </c>
      <c r="M45" s="204" t="n">
        <v>-290201</v>
      </c>
      <c r="N45" s="204" t="n">
        <v>-290201</v>
      </c>
      <c r="O45" s="204" t="n">
        <v>-290201</v>
      </c>
      <c r="P45" s="204" t="n">
        <v>-290201</v>
      </c>
      <c r="Q45" s="204" t="n">
        <v>-290201</v>
      </c>
      <c r="R45" s="204" t="n">
        <v>-290201</v>
      </c>
      <c r="S45" s="204" t="n">
        <v>-290201</v>
      </c>
      <c r="T45" s="204" t="n">
        <v>-290201</v>
      </c>
      <c r="U45" s="204" t="n">
        <v>-290201</v>
      </c>
      <c r="V45" s="204" t="n">
        <v>-290201</v>
      </c>
      <c r="W45" s="204" t="n">
        <v>-290201</v>
      </c>
      <c r="X45" s="204"/>
    </row>
    <row r="46" customFormat="false" ht="18.75" hidden="false" customHeight="true" outlineLevel="0" collapsed="false">
      <c r="B46" s="202" t="s">
        <v>31</v>
      </c>
      <c r="C46" s="19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</row>
    <row r="47" customFormat="false" ht="18.75" hidden="false" customHeight="true" outlineLevel="0" collapsed="false">
      <c r="B47" s="202" t="s">
        <v>32</v>
      </c>
      <c r="C47" s="194" t="s">
        <v>26</v>
      </c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</row>
    <row r="48" customFormat="false" ht="18.75" hidden="false" customHeight="true" outlineLevel="0" collapsed="false">
      <c r="B48" s="202" t="s">
        <v>33</v>
      </c>
      <c r="C48" s="194" t="s">
        <v>26</v>
      </c>
      <c r="D48" s="204" t="n">
        <v>-174440</v>
      </c>
      <c r="E48" s="204" t="n">
        <v>-174440</v>
      </c>
      <c r="F48" s="204" t="n">
        <v>-174440</v>
      </c>
      <c r="G48" s="204" t="n">
        <v>-174440</v>
      </c>
      <c r="H48" s="204" t="n">
        <v>-174440</v>
      </c>
      <c r="I48" s="204" t="n">
        <v>-174440</v>
      </c>
      <c r="J48" s="204" t="n">
        <v>-174440</v>
      </c>
      <c r="K48" s="204" t="n">
        <v>-174440</v>
      </c>
      <c r="L48" s="204" t="n">
        <v>-174440</v>
      </c>
      <c r="M48" s="204" t="n">
        <v>-174440</v>
      </c>
      <c r="N48" s="204" t="n">
        <v>-174440</v>
      </c>
      <c r="O48" s="204" t="n">
        <v>-174440</v>
      </c>
      <c r="P48" s="204" t="n">
        <v>-174440</v>
      </c>
      <c r="Q48" s="204" t="n">
        <v>-174440</v>
      </c>
      <c r="R48" s="204" t="n">
        <v>-174440</v>
      </c>
      <c r="S48" s="204" t="n">
        <v>-174440</v>
      </c>
      <c r="T48" s="204" t="n">
        <v>-174440</v>
      </c>
      <c r="U48" s="204" t="n">
        <v>-174440</v>
      </c>
      <c r="V48" s="204" t="n">
        <v>-174440</v>
      </c>
      <c r="W48" s="204" t="n">
        <v>-174440</v>
      </c>
      <c r="X48" s="204"/>
    </row>
    <row r="49" customFormat="false" ht="18.75" hidden="false" customHeight="true" outlineLevel="0" collapsed="false">
      <c r="B49" s="202" t="s">
        <v>34</v>
      </c>
      <c r="C49" s="194" t="s">
        <v>26</v>
      </c>
      <c r="D49" s="204" t="n">
        <v>-35324.1</v>
      </c>
      <c r="E49" s="204" t="n">
        <v>-35324.1</v>
      </c>
      <c r="F49" s="204" t="n">
        <v>-35324.1</v>
      </c>
      <c r="G49" s="204" t="n">
        <v>-35324.1</v>
      </c>
      <c r="H49" s="204" t="n">
        <v>-35324.1</v>
      </c>
      <c r="I49" s="204" t="n">
        <v>-35324.1</v>
      </c>
      <c r="J49" s="204" t="n">
        <v>-35324.1</v>
      </c>
      <c r="K49" s="204" t="n">
        <v>-35324.1</v>
      </c>
      <c r="L49" s="204" t="n">
        <v>-35324.1</v>
      </c>
      <c r="M49" s="204" t="n">
        <v>-35324.1</v>
      </c>
      <c r="N49" s="204" t="n">
        <v>-35324.1</v>
      </c>
      <c r="O49" s="204" t="n">
        <v>-35324.1</v>
      </c>
      <c r="P49" s="204" t="n">
        <v>-35324.1</v>
      </c>
      <c r="Q49" s="204" t="n">
        <v>-35324.1</v>
      </c>
      <c r="R49" s="204" t="n">
        <v>-35324.1</v>
      </c>
      <c r="S49" s="204" t="n">
        <v>-35324.1</v>
      </c>
      <c r="T49" s="204" t="n">
        <v>-35324.1</v>
      </c>
      <c r="U49" s="204" t="n">
        <v>-35324.1</v>
      </c>
      <c r="V49" s="204" t="n">
        <v>-35324.1</v>
      </c>
      <c r="W49" s="204" t="n">
        <v>-35324.1</v>
      </c>
      <c r="X49" s="204"/>
    </row>
    <row r="50" customFormat="false" ht="18.75" hidden="false" customHeight="true" outlineLevel="0" collapsed="false">
      <c r="B50" s="202" t="s">
        <v>35</v>
      </c>
      <c r="C50" s="194"/>
      <c r="D50" s="204" t="n">
        <v>-43610</v>
      </c>
      <c r="E50" s="204" t="n">
        <v>-43610</v>
      </c>
      <c r="F50" s="204" t="n">
        <v>-43610</v>
      </c>
      <c r="G50" s="204" t="n">
        <v>-43610</v>
      </c>
      <c r="H50" s="204" t="n">
        <v>-43610</v>
      </c>
      <c r="I50" s="204" t="n">
        <v>-43610</v>
      </c>
      <c r="J50" s="204" t="n">
        <v>-43610</v>
      </c>
      <c r="K50" s="204" t="n">
        <v>-43610</v>
      </c>
      <c r="L50" s="204" t="n">
        <v>-43610</v>
      </c>
      <c r="M50" s="204" t="n">
        <v>-43610</v>
      </c>
      <c r="N50" s="204" t="n">
        <v>0</v>
      </c>
      <c r="O50" s="204" t="n">
        <v>0</v>
      </c>
      <c r="P50" s="204" t="n">
        <v>0</v>
      </c>
      <c r="Q50" s="204" t="n">
        <v>0</v>
      </c>
      <c r="R50" s="204" t="n">
        <v>0</v>
      </c>
      <c r="S50" s="204" t="n">
        <v>0</v>
      </c>
      <c r="T50" s="204" t="n">
        <v>0</v>
      </c>
      <c r="U50" s="204" t="n">
        <v>0</v>
      </c>
      <c r="V50" s="204" t="n">
        <v>0</v>
      </c>
      <c r="W50" s="204" t="n">
        <v>0</v>
      </c>
      <c r="X50" s="204"/>
    </row>
    <row r="51" customFormat="false" ht="18.75" hidden="false" customHeight="true" outlineLevel="0" collapsed="false">
      <c r="B51" s="202" t="s">
        <v>36</v>
      </c>
      <c r="C51" s="205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</row>
    <row r="52" customFormat="false" ht="18.75" hidden="false" customHeight="true" outlineLevel="0" collapsed="false">
      <c r="B52" s="202" t="s">
        <v>37</v>
      </c>
      <c r="C52" s="205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</row>
    <row r="53" customFormat="false" ht="18.75" hidden="false" customHeight="true" outlineLevel="0" collapsed="false">
      <c r="B53" s="206" t="s">
        <v>38</v>
      </c>
      <c r="C53" s="205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</row>
    <row r="54" customFormat="false" ht="18.75" hidden="false" customHeight="true" outlineLevel="0" collapsed="false">
      <c r="B54" s="206" t="s">
        <v>39</v>
      </c>
      <c r="C54" s="205"/>
      <c r="D54" s="204" t="n">
        <f aca="false">D77</f>
        <v>-205618.764</v>
      </c>
      <c r="E54" s="204" t="n">
        <f aca="false">E77</f>
        <v>-145828.1576</v>
      </c>
      <c r="F54" s="204" t="n">
        <f aca="false">F77</f>
        <v>-144077.7512</v>
      </c>
      <c r="G54" s="204" t="n">
        <f aca="false">G77</f>
        <v>-142327.3448</v>
      </c>
      <c r="H54" s="204" t="n">
        <f aca="false">H77</f>
        <v>-140576.9384</v>
      </c>
      <c r="I54" s="204" t="n">
        <f aca="false">I77</f>
        <v>-138826.532</v>
      </c>
      <c r="J54" s="204" t="n">
        <f aca="false">J77</f>
        <v>-137076.1256</v>
      </c>
      <c r="K54" s="204" t="n">
        <f aca="false">K77</f>
        <v>-135325.7192</v>
      </c>
      <c r="L54" s="204" t="n">
        <f aca="false">L77</f>
        <v>-133575.3128</v>
      </c>
      <c r="M54" s="204" t="n">
        <f aca="false">M77</f>
        <v>-131824.9064</v>
      </c>
      <c r="N54" s="204" t="n">
        <f aca="false">N77</f>
        <v>-138796.5</v>
      </c>
      <c r="O54" s="204" t="n">
        <f aca="false">O77</f>
        <v>-137046.0936</v>
      </c>
      <c r="P54" s="204" t="n">
        <f aca="false">P77</f>
        <v>-135295.6872</v>
      </c>
      <c r="Q54" s="204" t="n">
        <f aca="false">Q77</f>
        <v>-133545.2808</v>
      </c>
      <c r="R54" s="204" t="n">
        <f aca="false">R77</f>
        <v>-131794.8744</v>
      </c>
      <c r="S54" s="204" t="n">
        <f aca="false">S77</f>
        <v>-130044.468</v>
      </c>
      <c r="T54" s="204" t="n">
        <f aca="false">T77</f>
        <v>-128294.0616</v>
      </c>
      <c r="U54" s="204" t="n">
        <f aca="false">U77</f>
        <v>-126543.6552</v>
      </c>
      <c r="V54" s="204" t="n">
        <f aca="false">V77</f>
        <v>-124793.2488</v>
      </c>
      <c r="W54" s="204" t="n">
        <f aca="false">W77</f>
        <v>-123042.8424</v>
      </c>
      <c r="X54" s="195"/>
    </row>
    <row r="55" customFormat="false" ht="18.75" hidden="false" customHeight="true" outlineLevel="0" collapsed="false">
      <c r="B55" s="207" t="s">
        <v>40</v>
      </c>
      <c r="C55" s="208" t="n">
        <f aca="false">C44</f>
        <v>-17693200</v>
      </c>
      <c r="D55" s="209" t="n">
        <f aca="false">SUM(D41:D54)</f>
        <v>1416934.056</v>
      </c>
      <c r="E55" s="209" t="n">
        <f aca="false">SUM(E41:E54)</f>
        <v>1467972.6304</v>
      </c>
      <c r="F55" s="209" t="n">
        <f aca="false">SUM(F41:F54)</f>
        <v>1460971.0048</v>
      </c>
      <c r="G55" s="209" t="n">
        <f aca="false">SUM(G41:G54)</f>
        <v>1453969.3792</v>
      </c>
      <c r="H55" s="209" t="n">
        <f aca="false">SUM(H41:H54)</f>
        <v>1446967.7536</v>
      </c>
      <c r="I55" s="209" t="n">
        <f aca="false">SUM(I41:I54)</f>
        <v>1439966.128</v>
      </c>
      <c r="J55" s="209" t="n">
        <f aca="false">SUM(J41:J54)</f>
        <v>1432964.5024</v>
      </c>
      <c r="K55" s="209" t="n">
        <f aca="false">SUM(K41:K54)</f>
        <v>1425962.8768</v>
      </c>
      <c r="L55" s="209" t="n">
        <f aca="false">SUM(L41:L54)</f>
        <v>1418961.2512</v>
      </c>
      <c r="M55" s="209" t="n">
        <f aca="false">SUM(M41:M54)</f>
        <v>1411959.6256</v>
      </c>
      <c r="N55" s="209" t="n">
        <f aca="false">SUM(N41:N54)</f>
        <v>1439846</v>
      </c>
      <c r="O55" s="209" t="n">
        <f aca="false">SUM(O41:O54)</f>
        <v>1432844.3744</v>
      </c>
      <c r="P55" s="209" t="n">
        <f aca="false">SUM(P41:P54)</f>
        <v>1425842.7488</v>
      </c>
      <c r="Q55" s="209" t="n">
        <f aca="false">SUM(Q41:Q54)</f>
        <v>1418841.1232</v>
      </c>
      <c r="R55" s="209" t="n">
        <f aca="false">SUM(R41:R54)</f>
        <v>1411839.4976</v>
      </c>
      <c r="S55" s="209" t="n">
        <f aca="false">SUM(S41:S54)</f>
        <v>1404837.872</v>
      </c>
      <c r="T55" s="209" t="n">
        <f aca="false">SUM(T41:T54)</f>
        <v>1397836.2464</v>
      </c>
      <c r="U55" s="209" t="n">
        <f aca="false">SUM(U41:U54)</f>
        <v>1390834.6208</v>
      </c>
      <c r="V55" s="209" t="n">
        <f aca="false">SUM(V41:V54)</f>
        <v>1383832.9952</v>
      </c>
      <c r="W55" s="209" t="n">
        <f aca="false">SUM(W41:W54)</f>
        <v>1376831.3696</v>
      </c>
      <c r="X55" s="210"/>
      <c r="Y55" s="211"/>
      <c r="Z55" s="212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</row>
    <row r="56" customFormat="false" ht="18.75" hidden="false" customHeight="true" outlineLevel="0" collapsed="false">
      <c r="B56" s="213" t="s">
        <v>41</v>
      </c>
      <c r="D56" s="214" t="n">
        <f aca="false">C55+D55</f>
        <v>-16276265.944</v>
      </c>
      <c r="E56" s="214" t="n">
        <f aca="false">D56+E55</f>
        <v>-14808293.3136</v>
      </c>
      <c r="F56" s="214" t="n">
        <f aca="false">E56+F55</f>
        <v>-13347322.3088</v>
      </c>
      <c r="G56" s="214" t="n">
        <f aca="false">F56+G55</f>
        <v>-11893352.9296</v>
      </c>
      <c r="H56" s="214" t="n">
        <f aca="false">G56+H55</f>
        <v>-10446385.176</v>
      </c>
      <c r="I56" s="214" t="n">
        <f aca="false">H56+I55</f>
        <v>-9006419.048</v>
      </c>
      <c r="J56" s="214" t="n">
        <f aca="false">I56+J55</f>
        <v>-7573454.5456</v>
      </c>
      <c r="K56" s="214" t="n">
        <f aca="false">J56+K55</f>
        <v>-6147491.6688</v>
      </c>
      <c r="L56" s="214" t="n">
        <f aca="false">K56+L55</f>
        <v>-4728530.4176</v>
      </c>
      <c r="M56" s="214" t="n">
        <f aca="false">L56+M55</f>
        <v>-3316570.792</v>
      </c>
      <c r="N56" s="214" t="n">
        <f aca="false">M56+N55</f>
        <v>-1876724.792</v>
      </c>
      <c r="O56" s="214" t="n">
        <f aca="false">N56+O55</f>
        <v>-443880.417600002</v>
      </c>
      <c r="P56" s="214" t="n">
        <f aca="false">O56+P55</f>
        <v>981962.331199998</v>
      </c>
      <c r="Q56" s="214" t="n">
        <f aca="false">P56+Q55</f>
        <v>2400803.4544</v>
      </c>
      <c r="R56" s="214" t="n">
        <f aca="false">Q56+R55</f>
        <v>3812642.952</v>
      </c>
      <c r="S56" s="214" t="n">
        <f aca="false">R56+S55</f>
        <v>5217480.824</v>
      </c>
      <c r="T56" s="214" t="n">
        <f aca="false">S56+T55</f>
        <v>6615317.0704</v>
      </c>
      <c r="U56" s="214" t="n">
        <f aca="false">T56+U55</f>
        <v>8006151.6912</v>
      </c>
      <c r="V56" s="214" t="n">
        <f aca="false">U56+V55</f>
        <v>9389984.6864</v>
      </c>
      <c r="W56" s="214" t="n">
        <f aca="false">V56+W55</f>
        <v>10766816.056</v>
      </c>
      <c r="X56" s="214" t="n">
        <f aca="false">W56+X55</f>
        <v>10766816.056</v>
      </c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</row>
    <row r="57" customFormat="false" ht="18.75" hidden="false" customHeight="true" outlineLevel="0" collapsed="false">
      <c r="B57" s="215" t="s">
        <v>42</v>
      </c>
      <c r="C57" s="216"/>
      <c r="D57" s="217" t="str">
        <f aca="false">IF((D56)&gt;0,"回收","未回收")</f>
        <v>未回收</v>
      </c>
      <c r="E57" s="218" t="str">
        <f aca="false">IF((E56)&gt;0,"回收","未回收")</f>
        <v>未回收</v>
      </c>
      <c r="F57" s="218" t="str">
        <f aca="false">IF((F56)&gt;0,"回收","未回收")</f>
        <v>未回收</v>
      </c>
      <c r="G57" s="218" t="str">
        <f aca="false">IF((G56)&gt;0,"回收","未回收")</f>
        <v>未回收</v>
      </c>
      <c r="H57" s="218" t="str">
        <f aca="false">IF((H56)&gt;0,"回收","未回收")</f>
        <v>未回收</v>
      </c>
      <c r="I57" s="218" t="str">
        <f aca="false">IF((I56)&gt;0,"回收","未回收")</f>
        <v>未回收</v>
      </c>
      <c r="J57" s="218" t="str">
        <f aca="false">IF((J56)&gt;0,"回收","未回收")</f>
        <v>未回收</v>
      </c>
      <c r="K57" s="218" t="str">
        <f aca="false">IF((K56)&gt;0,"回收","未回收")</f>
        <v>未回收</v>
      </c>
      <c r="L57" s="218" t="str">
        <f aca="false">IF((L56)&gt;0,"回收","未回收")</f>
        <v>未回收</v>
      </c>
      <c r="M57" s="218" t="str">
        <f aca="false">IF((M56)&gt;0,"回收","未回收")</f>
        <v>未回收</v>
      </c>
      <c r="N57" s="218" t="str">
        <f aca="false">IF((N56)&gt;0,"回收","未回收")</f>
        <v>未回收</v>
      </c>
      <c r="O57" s="218" t="str">
        <f aca="false">IF((O56)&gt;0,"回收","未回收")</f>
        <v>未回收</v>
      </c>
      <c r="P57" s="218" t="str">
        <f aca="false">IF((P56)&gt;0,"回收","未回收")</f>
        <v>回收</v>
      </c>
      <c r="Q57" s="218" t="str">
        <f aca="false">IF((Q56)&gt;0,"回收","未回收")</f>
        <v>回收</v>
      </c>
      <c r="R57" s="218" t="str">
        <f aca="false">IF((R56)&gt;0,"回收","未回收")</f>
        <v>回收</v>
      </c>
      <c r="S57" s="218" t="str">
        <f aca="false">IF((S56)&gt;0,"回收","未回收")</f>
        <v>回收</v>
      </c>
      <c r="T57" s="218" t="str">
        <f aca="false">IF((T56)&gt;0,"回收","未回收")</f>
        <v>回收</v>
      </c>
      <c r="U57" s="218" t="str">
        <f aca="false">IF((U56)&gt;0,"回收","未回收")</f>
        <v>回收</v>
      </c>
      <c r="V57" s="218" t="str">
        <f aca="false">IF((V56)&gt;0,"回收","未回收")</f>
        <v>回收</v>
      </c>
      <c r="W57" s="218" t="str">
        <f aca="false">IF((W56)&gt;0,"回收","未回收")</f>
        <v>回收</v>
      </c>
      <c r="X57" s="218" t="str">
        <f aca="false">IF((X56)&gt;0,"回收","未回收")</f>
        <v>回收</v>
      </c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</row>
    <row r="58" customFormat="false" ht="18.75" hidden="false" customHeight="true" outlineLevel="0" collapsed="false">
      <c r="B58" s="95" t="s">
        <v>43</v>
      </c>
      <c r="C58" s="96" t="n">
        <f aca="false">IRR(C55:W55)</f>
        <v>0.050729974712442</v>
      </c>
      <c r="D58" s="97"/>
      <c r="E58" s="97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19"/>
      <c r="AJ58" s="219"/>
    </row>
    <row r="59" customFormat="false" ht="18.75" hidden="false" customHeight="true" outlineLevel="0" collapsed="false">
      <c r="B59" s="98"/>
      <c r="C59" s="97"/>
      <c r="D59" s="97"/>
      <c r="E59" s="97"/>
      <c r="F59" s="98"/>
      <c r="G59" s="98"/>
      <c r="H59" s="98"/>
      <c r="I59" s="98"/>
      <c r="J59" s="98"/>
      <c r="K59" s="98"/>
      <c r="L59" s="98"/>
      <c r="M59" s="97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</row>
    <row r="60" customFormat="false" ht="18.75" hidden="false" customHeight="true" outlineLevel="0" collapsed="false">
      <c r="B60" s="56"/>
      <c r="C60" s="57" t="s">
        <v>0</v>
      </c>
      <c r="D60" s="57" t="n">
        <f aca="false">D37</f>
        <v>2020</v>
      </c>
      <c r="E60" s="57" t="n">
        <f aca="false">E37</f>
        <v>2021</v>
      </c>
      <c r="F60" s="57" t="n">
        <f aca="false">F37</f>
        <v>2022</v>
      </c>
      <c r="G60" s="57" t="n">
        <f aca="false">G37</f>
        <v>2023</v>
      </c>
      <c r="H60" s="57" t="n">
        <f aca="false">H37</f>
        <v>2024</v>
      </c>
      <c r="I60" s="57" t="n">
        <f aca="false">I37</f>
        <v>2025</v>
      </c>
      <c r="J60" s="57" t="n">
        <f aca="false">J37</f>
        <v>2026</v>
      </c>
      <c r="K60" s="57" t="n">
        <f aca="false">K37</f>
        <v>2027</v>
      </c>
      <c r="L60" s="57" t="n">
        <f aca="false">L37</f>
        <v>2028</v>
      </c>
      <c r="M60" s="57" t="n">
        <f aca="false">M37</f>
        <v>2029</v>
      </c>
      <c r="N60" s="57" t="n">
        <f aca="false">N37</f>
        <v>2030</v>
      </c>
      <c r="O60" s="57" t="n">
        <f aca="false">O37</f>
        <v>2031</v>
      </c>
      <c r="P60" s="57" t="n">
        <f aca="false">P37</f>
        <v>2032</v>
      </c>
      <c r="Q60" s="57" t="n">
        <f aca="false">Q37</f>
        <v>2033</v>
      </c>
      <c r="R60" s="57" t="n">
        <f aca="false">R37</f>
        <v>2034</v>
      </c>
      <c r="S60" s="57" t="n">
        <f aca="false">S37</f>
        <v>2035</v>
      </c>
      <c r="T60" s="57" t="n">
        <f aca="false">T37</f>
        <v>2036</v>
      </c>
      <c r="U60" s="57" t="n">
        <f aca="false">U37</f>
        <v>2037</v>
      </c>
      <c r="V60" s="57" t="n">
        <f aca="false">V37</f>
        <v>2038</v>
      </c>
      <c r="W60" s="57" t="n">
        <f aca="false">W37</f>
        <v>2039</v>
      </c>
      <c r="X60" s="57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</row>
    <row r="61" customFormat="false" ht="18.75" hidden="false" customHeight="true" outlineLevel="0" collapsed="false">
      <c r="B61" s="58" t="n">
        <v>0</v>
      </c>
      <c r="C61" s="59"/>
      <c r="D61" s="60"/>
      <c r="E61" s="60"/>
      <c r="F61" s="61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99" t="s">
        <v>44</v>
      </c>
      <c r="U61" s="62"/>
      <c r="V61" s="62"/>
      <c r="W61" s="62"/>
      <c r="X61" s="185"/>
    </row>
    <row r="62" customFormat="false" ht="18.75" hidden="false" customHeight="true" outlineLevel="0" collapsed="false">
      <c r="B62" s="64" t="s">
        <v>23</v>
      </c>
      <c r="C62" s="65" t="n">
        <v>0</v>
      </c>
      <c r="D62" s="66" t="n">
        <v>1</v>
      </c>
      <c r="E62" s="66" t="n">
        <v>2</v>
      </c>
      <c r="F62" s="66" t="n">
        <v>3</v>
      </c>
      <c r="G62" s="66" t="n">
        <v>4</v>
      </c>
      <c r="H62" s="66" t="n">
        <v>5</v>
      </c>
      <c r="I62" s="66" t="n">
        <v>6</v>
      </c>
      <c r="J62" s="66" t="n">
        <v>7</v>
      </c>
      <c r="K62" s="66" t="n">
        <v>8</v>
      </c>
      <c r="L62" s="66" t="n">
        <v>9</v>
      </c>
      <c r="M62" s="66" t="n">
        <v>10</v>
      </c>
      <c r="N62" s="66" t="n">
        <v>11</v>
      </c>
      <c r="O62" s="66" t="n">
        <v>12</v>
      </c>
      <c r="P62" s="66" t="n">
        <v>13</v>
      </c>
      <c r="Q62" s="66" t="n">
        <v>14</v>
      </c>
      <c r="R62" s="66" t="n">
        <v>15</v>
      </c>
      <c r="S62" s="66" t="n">
        <v>16</v>
      </c>
      <c r="T62" s="101" t="n">
        <v>17</v>
      </c>
      <c r="U62" s="66" t="n">
        <v>18</v>
      </c>
      <c r="V62" s="66" t="n">
        <v>19</v>
      </c>
      <c r="W62" s="66" t="n">
        <v>20</v>
      </c>
      <c r="X62" s="186"/>
    </row>
    <row r="63" customFormat="false" ht="18.75" hidden="false" customHeight="true" outlineLevel="0" collapsed="false">
      <c r="B63" s="187" t="s">
        <v>137</v>
      </c>
      <c r="C63" s="69" t="n">
        <v>0</v>
      </c>
      <c r="D63" s="70" t="n">
        <f aca="false">D40</f>
        <v>541531.98</v>
      </c>
      <c r="E63" s="70" t="n">
        <f aca="false">E40</f>
        <v>539343.972</v>
      </c>
      <c r="F63" s="70" t="n">
        <f aca="false">F40</f>
        <v>537155.964</v>
      </c>
      <c r="G63" s="70" t="n">
        <f aca="false">G40</f>
        <v>534967.956</v>
      </c>
      <c r="H63" s="70" t="n">
        <f aca="false">H40</f>
        <v>532779.948</v>
      </c>
      <c r="I63" s="70" t="n">
        <f aca="false">I40</f>
        <v>530591.94</v>
      </c>
      <c r="J63" s="70" t="n">
        <f aca="false">J40</f>
        <v>528403.932</v>
      </c>
      <c r="K63" s="70" t="n">
        <f aca="false">K40</f>
        <v>526215.924</v>
      </c>
      <c r="L63" s="70" t="n">
        <f aca="false">L40</f>
        <v>524027.916</v>
      </c>
      <c r="M63" s="70" t="n">
        <f aca="false">M40</f>
        <v>521839.908</v>
      </c>
      <c r="N63" s="70" t="n">
        <f aca="false">N40</f>
        <v>519651.9</v>
      </c>
      <c r="O63" s="70" t="n">
        <f aca="false">O40</f>
        <v>517463.892</v>
      </c>
      <c r="P63" s="70" t="n">
        <f aca="false">P40</f>
        <v>515275.884</v>
      </c>
      <c r="Q63" s="70" t="n">
        <f aca="false">Q40</f>
        <v>513087.876</v>
      </c>
      <c r="R63" s="70" t="n">
        <f aca="false">R40</f>
        <v>510899.868</v>
      </c>
      <c r="S63" s="70" t="n">
        <f aca="false">S40</f>
        <v>508711.86</v>
      </c>
      <c r="T63" s="70" t="n">
        <f aca="false">T40</f>
        <v>506523.852</v>
      </c>
      <c r="U63" s="70" t="n">
        <f aca="false">U40</f>
        <v>504335.844</v>
      </c>
      <c r="V63" s="70" t="n">
        <f aca="false">V40</f>
        <v>502147.836</v>
      </c>
      <c r="W63" s="70" t="n">
        <f aca="false">W40</f>
        <v>499959.828</v>
      </c>
      <c r="X63" s="188"/>
    </row>
    <row r="64" customFormat="false" ht="18.75" hidden="false" customHeight="true" outlineLevel="0" collapsed="false">
      <c r="B64" s="189" t="s">
        <v>25</v>
      </c>
      <c r="C64" s="190" t="s">
        <v>26</v>
      </c>
      <c r="D64" s="191" t="n">
        <f aca="false">D41</f>
        <v>2166127.92</v>
      </c>
      <c r="E64" s="191" t="n">
        <f aca="false">E41</f>
        <v>2157375.888</v>
      </c>
      <c r="F64" s="191" t="n">
        <f aca="false">F41</f>
        <v>2148623.856</v>
      </c>
      <c r="G64" s="191" t="n">
        <f aca="false">G41</f>
        <v>2139871.824</v>
      </c>
      <c r="H64" s="191" t="n">
        <f aca="false">H41</f>
        <v>2131119.792</v>
      </c>
      <c r="I64" s="191" t="n">
        <f aca="false">I41</f>
        <v>2122367.76</v>
      </c>
      <c r="J64" s="191" t="n">
        <f aca="false">J41</f>
        <v>2113615.728</v>
      </c>
      <c r="K64" s="191" t="n">
        <f aca="false">K41</f>
        <v>2104863.696</v>
      </c>
      <c r="L64" s="191" t="n">
        <f aca="false">L41</f>
        <v>2096111.664</v>
      </c>
      <c r="M64" s="191" t="n">
        <f aca="false">M41</f>
        <v>2087359.632</v>
      </c>
      <c r="N64" s="191" t="n">
        <f aca="false">N41</f>
        <v>2078607.6</v>
      </c>
      <c r="O64" s="191" t="n">
        <f aca="false">O41</f>
        <v>2069855.568</v>
      </c>
      <c r="P64" s="191" t="n">
        <f aca="false">P41</f>
        <v>2061103.536</v>
      </c>
      <c r="Q64" s="191" t="n">
        <f aca="false">Q41</f>
        <v>2052351.504</v>
      </c>
      <c r="R64" s="191" t="n">
        <f aca="false">R41</f>
        <v>2043599.472</v>
      </c>
      <c r="S64" s="191" t="n">
        <f aca="false">S41</f>
        <v>2034847.44</v>
      </c>
      <c r="T64" s="191" t="n">
        <f aca="false">T41</f>
        <v>2026095.408</v>
      </c>
      <c r="U64" s="191" t="n">
        <f aca="false">U41</f>
        <v>2017343.376</v>
      </c>
      <c r="V64" s="191" t="n">
        <f aca="false">V41</f>
        <v>2008591.344</v>
      </c>
      <c r="W64" s="191" t="n">
        <f aca="false">W41</f>
        <v>1999839.312</v>
      </c>
      <c r="X64" s="192"/>
    </row>
    <row r="65" customFormat="false" ht="18.75" hidden="false" customHeight="true" outlineLevel="0" collapsed="false">
      <c r="B65" s="193" t="s">
        <v>27</v>
      </c>
      <c r="C65" s="194" t="s">
        <v>26</v>
      </c>
      <c r="D65" s="195"/>
      <c r="E65" s="195"/>
      <c r="F65" s="195"/>
      <c r="G65" s="196" t="s">
        <v>26</v>
      </c>
      <c r="H65" s="196" t="s">
        <v>26</v>
      </c>
      <c r="I65" s="196" t="s">
        <v>26</v>
      </c>
      <c r="J65" s="196" t="s">
        <v>26</v>
      </c>
      <c r="K65" s="196" t="s">
        <v>26</v>
      </c>
      <c r="L65" s="196" t="s">
        <v>26</v>
      </c>
      <c r="M65" s="196" t="s">
        <v>26</v>
      </c>
      <c r="N65" s="196" t="s">
        <v>26</v>
      </c>
      <c r="O65" s="196" t="s">
        <v>26</v>
      </c>
      <c r="P65" s="196" t="s">
        <v>26</v>
      </c>
      <c r="Q65" s="196" t="s">
        <v>26</v>
      </c>
      <c r="R65" s="196" t="s">
        <v>26</v>
      </c>
      <c r="S65" s="196" t="s">
        <v>26</v>
      </c>
      <c r="T65" s="196" t="s">
        <v>26</v>
      </c>
      <c r="U65" s="196" t="s">
        <v>26</v>
      </c>
      <c r="V65" s="196" t="s">
        <v>26</v>
      </c>
      <c r="W65" s="196" t="s">
        <v>26</v>
      </c>
      <c r="X65" s="197"/>
    </row>
    <row r="66" customFormat="false" ht="18.75" hidden="false" customHeight="true" outlineLevel="0" collapsed="false">
      <c r="B66" s="198" t="s">
        <v>28</v>
      </c>
      <c r="C66" s="199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1"/>
    </row>
    <row r="67" customFormat="false" ht="18.75" hidden="false" customHeight="true" outlineLevel="0" collapsed="false">
      <c r="B67" s="202" t="s">
        <v>45</v>
      </c>
      <c r="C67" s="194"/>
      <c r="D67" s="221" t="n">
        <f aca="false">$C$44/$E$16</f>
        <v>-884660</v>
      </c>
      <c r="E67" s="221" t="n">
        <f aca="false">$C$44/$E$16</f>
        <v>-884660</v>
      </c>
      <c r="F67" s="221" t="n">
        <f aca="false">$C$44/$E$16</f>
        <v>-884660</v>
      </c>
      <c r="G67" s="221" t="n">
        <f aca="false">$C$44/$E$16</f>
        <v>-884660</v>
      </c>
      <c r="H67" s="221" t="n">
        <f aca="false">$C$44/$E$16</f>
        <v>-884660</v>
      </c>
      <c r="I67" s="221" t="n">
        <f aca="false">$C$44/$E$16</f>
        <v>-884660</v>
      </c>
      <c r="J67" s="221" t="n">
        <f aca="false">$C$44/$E$16</f>
        <v>-884660</v>
      </c>
      <c r="K67" s="221" t="n">
        <f aca="false">$C$44/$E$16</f>
        <v>-884660</v>
      </c>
      <c r="L67" s="221" t="n">
        <f aca="false">$C$44/$E$16</f>
        <v>-884660</v>
      </c>
      <c r="M67" s="221" t="n">
        <f aca="false">$C$44/$E$16</f>
        <v>-884660</v>
      </c>
      <c r="N67" s="221" t="n">
        <f aca="false">$C$44/$E$16</f>
        <v>-884660</v>
      </c>
      <c r="O67" s="221" t="n">
        <f aca="false">$C$44/$E$16</f>
        <v>-884660</v>
      </c>
      <c r="P67" s="221" t="n">
        <f aca="false">$C$44/$E$16</f>
        <v>-884660</v>
      </c>
      <c r="Q67" s="221" t="n">
        <f aca="false">$C$44/$E$16</f>
        <v>-884660</v>
      </c>
      <c r="R67" s="221" t="n">
        <f aca="false">$C$44/$E$16</f>
        <v>-884660</v>
      </c>
      <c r="S67" s="221" t="n">
        <f aca="false">$C$44/$E$16</f>
        <v>-884660</v>
      </c>
      <c r="T67" s="221" t="n">
        <f aca="false">$C$44/$E$16</f>
        <v>-884660</v>
      </c>
      <c r="U67" s="221" t="n">
        <f aca="false">$C$44/$E$16</f>
        <v>-884660</v>
      </c>
      <c r="V67" s="221" t="n">
        <f aca="false">$C$44/$E$16</f>
        <v>-884660</v>
      </c>
      <c r="W67" s="221" t="n">
        <f aca="false">$C$44/$E$16</f>
        <v>-884660</v>
      </c>
      <c r="X67" s="197"/>
    </row>
    <row r="68" customFormat="false" ht="18.75" hidden="false" customHeight="true" outlineLevel="0" collapsed="false">
      <c r="B68" s="202" t="s">
        <v>30</v>
      </c>
      <c r="C68" s="194" t="s">
        <v>26</v>
      </c>
      <c r="D68" s="204" t="n">
        <f aca="false">D44</f>
        <v>0</v>
      </c>
      <c r="E68" s="204" t="n">
        <f aca="false">E45</f>
        <v>-290201</v>
      </c>
      <c r="F68" s="204" t="n">
        <f aca="false">F45</f>
        <v>-290201</v>
      </c>
      <c r="G68" s="204" t="n">
        <f aca="false">G45</f>
        <v>-290201</v>
      </c>
      <c r="H68" s="204" t="n">
        <f aca="false">H45</f>
        <v>-290201</v>
      </c>
      <c r="I68" s="204" t="n">
        <f aca="false">I45</f>
        <v>-290201</v>
      </c>
      <c r="J68" s="204" t="n">
        <f aca="false">J45</f>
        <v>-290201</v>
      </c>
      <c r="K68" s="204" t="n">
        <f aca="false">K45</f>
        <v>-290201</v>
      </c>
      <c r="L68" s="204" t="n">
        <f aca="false">L45</f>
        <v>-290201</v>
      </c>
      <c r="M68" s="204" t="n">
        <f aca="false">M45</f>
        <v>-290201</v>
      </c>
      <c r="N68" s="204" t="n">
        <f aca="false">N45</f>
        <v>-290201</v>
      </c>
      <c r="O68" s="204" t="n">
        <f aca="false">O45</f>
        <v>-290201</v>
      </c>
      <c r="P68" s="204" t="n">
        <f aca="false">P45</f>
        <v>-290201</v>
      </c>
      <c r="Q68" s="204" t="n">
        <f aca="false">Q45</f>
        <v>-290201</v>
      </c>
      <c r="R68" s="204" t="n">
        <f aca="false">R45</f>
        <v>-290201</v>
      </c>
      <c r="S68" s="204" t="n">
        <f aca="false">S45</f>
        <v>-290201</v>
      </c>
      <c r="T68" s="204" t="n">
        <f aca="false">T45</f>
        <v>-290201</v>
      </c>
      <c r="U68" s="204" t="n">
        <f aca="false">U45</f>
        <v>-290201</v>
      </c>
      <c r="V68" s="204" t="n">
        <f aca="false">V45</f>
        <v>-290201</v>
      </c>
      <c r="W68" s="204" t="n">
        <f aca="false">W45</f>
        <v>-290201</v>
      </c>
      <c r="X68" s="197"/>
    </row>
    <row r="69" customFormat="false" ht="18.75" hidden="false" customHeight="true" outlineLevel="0" collapsed="false">
      <c r="B69" s="202" t="s">
        <v>31</v>
      </c>
      <c r="C69" s="194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7"/>
    </row>
    <row r="70" customFormat="false" ht="18.75" hidden="false" customHeight="true" outlineLevel="0" collapsed="false">
      <c r="B70" s="202" t="s">
        <v>32</v>
      </c>
      <c r="C70" s="194" t="s">
        <v>26</v>
      </c>
      <c r="D70" s="204" t="n">
        <v>0</v>
      </c>
      <c r="E70" s="204" t="n">
        <v>0</v>
      </c>
      <c r="F70" s="204" t="n">
        <v>0</v>
      </c>
      <c r="G70" s="204" t="n">
        <v>0</v>
      </c>
      <c r="H70" s="204" t="n">
        <v>0</v>
      </c>
      <c r="I70" s="204" t="n">
        <v>0</v>
      </c>
      <c r="J70" s="204" t="n">
        <v>0</v>
      </c>
      <c r="K70" s="204" t="n">
        <v>0</v>
      </c>
      <c r="L70" s="204" t="n">
        <v>0</v>
      </c>
      <c r="M70" s="204" t="n">
        <v>0</v>
      </c>
      <c r="N70" s="204" t="n">
        <v>0</v>
      </c>
      <c r="O70" s="204" t="n">
        <v>0</v>
      </c>
      <c r="P70" s="204" t="n">
        <v>0</v>
      </c>
      <c r="Q70" s="204" t="n">
        <v>0</v>
      </c>
      <c r="R70" s="204" t="n">
        <v>0</v>
      </c>
      <c r="S70" s="204" t="n">
        <v>0</v>
      </c>
      <c r="T70" s="204" t="n">
        <v>0</v>
      </c>
      <c r="U70" s="204" t="n">
        <v>0</v>
      </c>
      <c r="V70" s="204" t="n">
        <v>0</v>
      </c>
      <c r="W70" s="204" t="n">
        <v>0</v>
      </c>
      <c r="X70" s="197"/>
    </row>
    <row r="71" customFormat="false" ht="18.75" hidden="false" customHeight="true" outlineLevel="0" collapsed="false">
      <c r="B71" s="202" t="s">
        <v>33</v>
      </c>
      <c r="C71" s="194" t="s">
        <v>26</v>
      </c>
      <c r="D71" s="204" t="n">
        <f aca="false">D48</f>
        <v>-174440</v>
      </c>
      <c r="E71" s="204" t="n">
        <f aca="false">E48</f>
        <v>-174440</v>
      </c>
      <c r="F71" s="204" t="n">
        <f aca="false">F48</f>
        <v>-174440</v>
      </c>
      <c r="G71" s="204" t="n">
        <f aca="false">G48</f>
        <v>-174440</v>
      </c>
      <c r="H71" s="204" t="n">
        <f aca="false">H48</f>
        <v>-174440</v>
      </c>
      <c r="I71" s="204" t="n">
        <f aca="false">I48</f>
        <v>-174440</v>
      </c>
      <c r="J71" s="204" t="n">
        <f aca="false">J48</f>
        <v>-174440</v>
      </c>
      <c r="K71" s="204" t="n">
        <f aca="false">K48</f>
        <v>-174440</v>
      </c>
      <c r="L71" s="204" t="n">
        <f aca="false">L48</f>
        <v>-174440</v>
      </c>
      <c r="M71" s="204" t="n">
        <f aca="false">M48</f>
        <v>-174440</v>
      </c>
      <c r="N71" s="204" t="n">
        <f aca="false">N48</f>
        <v>-174440</v>
      </c>
      <c r="O71" s="204" t="n">
        <f aca="false">O48</f>
        <v>-174440</v>
      </c>
      <c r="P71" s="204" t="n">
        <f aca="false">P48</f>
        <v>-174440</v>
      </c>
      <c r="Q71" s="204" t="n">
        <f aca="false">Q48</f>
        <v>-174440</v>
      </c>
      <c r="R71" s="204" t="n">
        <f aca="false">R48</f>
        <v>-174440</v>
      </c>
      <c r="S71" s="204" t="n">
        <f aca="false">S48</f>
        <v>-174440</v>
      </c>
      <c r="T71" s="204" t="n">
        <f aca="false">T48</f>
        <v>-174440</v>
      </c>
      <c r="U71" s="204" t="n">
        <f aca="false">U48</f>
        <v>-174440</v>
      </c>
      <c r="V71" s="204" t="n">
        <f aca="false">V48</f>
        <v>-174440</v>
      </c>
      <c r="W71" s="204" t="n">
        <f aca="false">W48</f>
        <v>-174440</v>
      </c>
      <c r="X71" s="197"/>
    </row>
    <row r="72" customFormat="false" ht="18.75" hidden="false" customHeight="true" outlineLevel="0" collapsed="false">
      <c r="B72" s="202" t="s">
        <v>34</v>
      </c>
      <c r="C72" s="194" t="s">
        <v>26</v>
      </c>
      <c r="D72" s="204" t="n">
        <f aca="false">D49</f>
        <v>-35324.1</v>
      </c>
      <c r="E72" s="204" t="n">
        <f aca="false">E49</f>
        <v>-35324.1</v>
      </c>
      <c r="F72" s="204" t="n">
        <f aca="false">F49</f>
        <v>-35324.1</v>
      </c>
      <c r="G72" s="204" t="n">
        <f aca="false">G49</f>
        <v>-35324.1</v>
      </c>
      <c r="H72" s="204" t="n">
        <f aca="false">H49</f>
        <v>-35324.1</v>
      </c>
      <c r="I72" s="204" t="n">
        <f aca="false">I49</f>
        <v>-35324.1</v>
      </c>
      <c r="J72" s="204" t="n">
        <f aca="false">J49</f>
        <v>-35324.1</v>
      </c>
      <c r="K72" s="204" t="n">
        <f aca="false">K49</f>
        <v>-35324.1</v>
      </c>
      <c r="L72" s="204" t="n">
        <f aca="false">L49</f>
        <v>-35324.1</v>
      </c>
      <c r="M72" s="204" t="n">
        <f aca="false">M49</f>
        <v>-35324.1</v>
      </c>
      <c r="N72" s="204" t="n">
        <f aca="false">N49</f>
        <v>-35324.1</v>
      </c>
      <c r="O72" s="204" t="n">
        <f aca="false">O49</f>
        <v>-35324.1</v>
      </c>
      <c r="P72" s="204" t="n">
        <f aca="false">P49</f>
        <v>-35324.1</v>
      </c>
      <c r="Q72" s="204" t="n">
        <f aca="false">Q49</f>
        <v>-35324.1</v>
      </c>
      <c r="R72" s="204" t="n">
        <f aca="false">R49</f>
        <v>-35324.1</v>
      </c>
      <c r="S72" s="204" t="n">
        <f aca="false">S49</f>
        <v>-35324.1</v>
      </c>
      <c r="T72" s="204" t="n">
        <f aca="false">T49</f>
        <v>-35324.1</v>
      </c>
      <c r="U72" s="204" t="n">
        <f aca="false">U49</f>
        <v>-35324.1</v>
      </c>
      <c r="V72" s="204" t="n">
        <f aca="false">V49</f>
        <v>-35324.1</v>
      </c>
      <c r="W72" s="204" t="n">
        <f aca="false">W49</f>
        <v>-35324.1</v>
      </c>
      <c r="X72" s="197"/>
    </row>
    <row r="73" customFormat="false" ht="18.75" hidden="false" customHeight="true" outlineLevel="0" collapsed="false">
      <c r="B73" s="202" t="s">
        <v>35</v>
      </c>
      <c r="C73" s="194"/>
      <c r="D73" s="204" t="n">
        <f aca="false">D50</f>
        <v>-43610</v>
      </c>
      <c r="E73" s="204" t="n">
        <f aca="false">E50</f>
        <v>-43610</v>
      </c>
      <c r="F73" s="204" t="n">
        <f aca="false">F50</f>
        <v>-43610</v>
      </c>
      <c r="G73" s="204" t="n">
        <f aca="false">G50</f>
        <v>-43610</v>
      </c>
      <c r="H73" s="204" t="n">
        <f aca="false">H50</f>
        <v>-43610</v>
      </c>
      <c r="I73" s="204" t="n">
        <f aca="false">I50</f>
        <v>-43610</v>
      </c>
      <c r="J73" s="204" t="n">
        <f aca="false">J50</f>
        <v>-43610</v>
      </c>
      <c r="K73" s="204" t="n">
        <f aca="false">K50</f>
        <v>-43610</v>
      </c>
      <c r="L73" s="204" t="n">
        <f aca="false">L50</f>
        <v>-43610</v>
      </c>
      <c r="M73" s="204" t="n">
        <f aca="false">M50</f>
        <v>-43610</v>
      </c>
      <c r="N73" s="204" t="n">
        <f aca="false">N50</f>
        <v>0</v>
      </c>
      <c r="O73" s="204" t="n">
        <f aca="false">O50</f>
        <v>0</v>
      </c>
      <c r="P73" s="204" t="n">
        <f aca="false">P50</f>
        <v>0</v>
      </c>
      <c r="Q73" s="204" t="n">
        <f aca="false">Q50</f>
        <v>0</v>
      </c>
      <c r="R73" s="204" t="n">
        <f aca="false">R50</f>
        <v>0</v>
      </c>
      <c r="S73" s="204" t="n">
        <f aca="false">S50</f>
        <v>0</v>
      </c>
      <c r="T73" s="204" t="n">
        <f aca="false">T50</f>
        <v>0</v>
      </c>
      <c r="U73" s="204" t="n">
        <f aca="false">U50</f>
        <v>0</v>
      </c>
      <c r="V73" s="204" t="n">
        <f aca="false">V50</f>
        <v>0</v>
      </c>
      <c r="W73" s="204" t="n">
        <f aca="false">W50</f>
        <v>0</v>
      </c>
      <c r="X73" s="197"/>
    </row>
    <row r="74" customFormat="false" ht="18.75" hidden="false" customHeight="true" outlineLevel="0" collapsed="false">
      <c r="B74" s="202" t="s">
        <v>36</v>
      </c>
      <c r="C74" s="205"/>
      <c r="D74" s="222"/>
      <c r="E74" s="223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7"/>
    </row>
    <row r="75" customFormat="false" ht="18.75" hidden="false" customHeight="true" outlineLevel="0" collapsed="false">
      <c r="B75" s="202" t="s">
        <v>37</v>
      </c>
      <c r="C75" s="20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7"/>
    </row>
    <row r="76" customFormat="false" ht="18.75" hidden="false" customHeight="true" outlineLevel="0" collapsed="false">
      <c r="B76" s="207" t="s">
        <v>46</v>
      </c>
      <c r="C76" s="224"/>
      <c r="D76" s="209" t="n">
        <f aca="false">SUM(D64:D75)</f>
        <v>1028093.82</v>
      </c>
      <c r="E76" s="209" t="n">
        <f aca="false">SUM(E64:E75)</f>
        <v>729140.788</v>
      </c>
      <c r="F76" s="209" t="n">
        <f aca="false">SUM(F64:F75)</f>
        <v>720388.756</v>
      </c>
      <c r="G76" s="209" t="n">
        <f aca="false">SUM(G64:G75)</f>
        <v>711636.724</v>
      </c>
      <c r="H76" s="209" t="n">
        <f aca="false">SUM(H64:H75)</f>
        <v>702884.692</v>
      </c>
      <c r="I76" s="209" t="n">
        <f aca="false">SUM(I64:I75)</f>
        <v>694132.66</v>
      </c>
      <c r="J76" s="209" t="n">
        <f aca="false">SUM(J64:J75)</f>
        <v>685380.628</v>
      </c>
      <c r="K76" s="209" t="n">
        <f aca="false">SUM(K64:K75)</f>
        <v>676628.596</v>
      </c>
      <c r="L76" s="209" t="n">
        <f aca="false">SUM(L64:L75)</f>
        <v>667876.564</v>
      </c>
      <c r="M76" s="209" t="n">
        <f aca="false">SUM(M64:M75)</f>
        <v>659124.532</v>
      </c>
      <c r="N76" s="209" t="n">
        <f aca="false">SUM(N64:N75)</f>
        <v>693982.5</v>
      </c>
      <c r="O76" s="209" t="n">
        <f aca="false">SUM(O64:O75)</f>
        <v>685230.468</v>
      </c>
      <c r="P76" s="209" t="n">
        <f aca="false">SUM(P64:P75)</f>
        <v>676478.436</v>
      </c>
      <c r="Q76" s="209" t="n">
        <f aca="false">SUM(Q64:Q75)</f>
        <v>667726.404</v>
      </c>
      <c r="R76" s="209" t="n">
        <f aca="false">SUM(R64:R75)</f>
        <v>658974.372</v>
      </c>
      <c r="S76" s="209" t="n">
        <f aca="false">SUM(S64:S75)</f>
        <v>650222.34</v>
      </c>
      <c r="T76" s="209" t="n">
        <f aca="false">SUM(T64:T75)</f>
        <v>641470.308</v>
      </c>
      <c r="U76" s="209" t="n">
        <f aca="false">SUM(U64:U75)</f>
        <v>632718.276</v>
      </c>
      <c r="V76" s="209" t="n">
        <f aca="false">SUM(V64:V75)</f>
        <v>623966.244</v>
      </c>
      <c r="W76" s="209" t="n">
        <f aca="false">SUM(W64:W75)</f>
        <v>615214.212</v>
      </c>
      <c r="X76" s="209" t="n">
        <f aca="false">SUM(X64:X75)</f>
        <v>0</v>
      </c>
    </row>
    <row r="77" customFormat="false" ht="18.75" hidden="false" customHeight="true" outlineLevel="0" collapsed="false">
      <c r="B77" s="206" t="s">
        <v>39</v>
      </c>
      <c r="C77" s="205"/>
      <c r="D77" s="204" t="n">
        <f aca="false">-D76*0.2</f>
        <v>-205618.764</v>
      </c>
      <c r="E77" s="204" t="n">
        <f aca="false">-E76*0.2</f>
        <v>-145828.1576</v>
      </c>
      <c r="F77" s="204" t="n">
        <f aca="false">-F76*0.2</f>
        <v>-144077.7512</v>
      </c>
      <c r="G77" s="204" t="n">
        <f aca="false">-G76*0.2</f>
        <v>-142327.3448</v>
      </c>
      <c r="H77" s="204" t="n">
        <f aca="false">-H76*0.2</f>
        <v>-140576.9384</v>
      </c>
      <c r="I77" s="204" t="n">
        <f aca="false">-I76*0.2</f>
        <v>-138826.532</v>
      </c>
      <c r="J77" s="204" t="n">
        <f aca="false">-J76*0.2</f>
        <v>-137076.1256</v>
      </c>
      <c r="K77" s="204" t="n">
        <f aca="false">-K76*0.2</f>
        <v>-135325.7192</v>
      </c>
      <c r="L77" s="204" t="n">
        <f aca="false">-L76*0.2</f>
        <v>-133575.3128</v>
      </c>
      <c r="M77" s="204" t="n">
        <f aca="false">-M76*0.2</f>
        <v>-131824.9064</v>
      </c>
      <c r="N77" s="204" t="n">
        <f aca="false">-N76*0.2</f>
        <v>-138796.5</v>
      </c>
      <c r="O77" s="204" t="n">
        <f aca="false">-O76*0.2</f>
        <v>-137046.0936</v>
      </c>
      <c r="P77" s="204" t="n">
        <f aca="false">-P76*0.2</f>
        <v>-135295.6872</v>
      </c>
      <c r="Q77" s="204" t="n">
        <f aca="false">-Q76*0.2</f>
        <v>-133545.2808</v>
      </c>
      <c r="R77" s="204" t="n">
        <f aca="false">-R76*0.2</f>
        <v>-131794.8744</v>
      </c>
      <c r="S77" s="204" t="n">
        <f aca="false">-S76*0.2</f>
        <v>-130044.468</v>
      </c>
      <c r="T77" s="204" t="n">
        <f aca="false">-T76*0.2</f>
        <v>-128294.0616</v>
      </c>
      <c r="U77" s="204" t="n">
        <f aca="false">-U76*0.2</f>
        <v>-126543.6552</v>
      </c>
      <c r="V77" s="204" t="n">
        <f aca="false">-V76*0.2</f>
        <v>-124793.2488</v>
      </c>
      <c r="W77" s="204" t="n">
        <f aca="false">-W76*0.2</f>
        <v>-123042.8424</v>
      </c>
      <c r="X77" s="204" t="n">
        <f aca="false">-X76*0.2</f>
        <v>-0</v>
      </c>
    </row>
    <row r="78" customFormat="false" ht="15.75" hidden="false" customHeight="true" outlineLevel="0" collapsed="false">
      <c r="B78" s="225" t="s">
        <v>47</v>
      </c>
      <c r="D78" s="204" t="n">
        <f aca="false">SUM(D76:D77)</f>
        <v>822475.056</v>
      </c>
      <c r="E78" s="204" t="n">
        <f aca="false">SUM(E76:E77)</f>
        <v>583312.6304</v>
      </c>
      <c r="F78" s="204" t="n">
        <f aca="false">SUM(F76:F77)</f>
        <v>576311.0048</v>
      </c>
      <c r="G78" s="204" t="n">
        <f aca="false">SUM(G76:G77)</f>
        <v>569309.3792</v>
      </c>
      <c r="H78" s="204" t="n">
        <f aca="false">SUM(H76:H77)</f>
        <v>562307.7536</v>
      </c>
      <c r="I78" s="204" t="n">
        <f aca="false">SUM(I76:I77)</f>
        <v>555306.128</v>
      </c>
      <c r="J78" s="204" t="n">
        <f aca="false">SUM(J76:J77)</f>
        <v>548304.5024</v>
      </c>
      <c r="K78" s="204" t="n">
        <f aca="false">SUM(K76:K77)</f>
        <v>541302.8768</v>
      </c>
      <c r="L78" s="204" t="n">
        <f aca="false">SUM(L76:L77)</f>
        <v>534301.2512</v>
      </c>
      <c r="M78" s="204" t="n">
        <f aca="false">SUM(M76:M77)</f>
        <v>527299.6256</v>
      </c>
      <c r="N78" s="204" t="n">
        <f aca="false">SUM(N76:N77)</f>
        <v>555186</v>
      </c>
      <c r="O78" s="204" t="n">
        <f aca="false">SUM(O76:O77)</f>
        <v>548184.3744</v>
      </c>
      <c r="P78" s="204" t="n">
        <f aca="false">SUM(P76:P77)</f>
        <v>541182.7488</v>
      </c>
      <c r="Q78" s="204" t="n">
        <f aca="false">SUM(Q76:Q77)</f>
        <v>534181.1232</v>
      </c>
      <c r="R78" s="204" t="n">
        <f aca="false">SUM(R76:R77)</f>
        <v>527179.4976</v>
      </c>
      <c r="S78" s="204" t="n">
        <f aca="false">SUM(S76:S77)</f>
        <v>520177.872</v>
      </c>
      <c r="T78" s="204" t="n">
        <f aca="false">SUM(T76:T77)</f>
        <v>513176.2464</v>
      </c>
      <c r="U78" s="204" t="n">
        <f aca="false">SUM(U76:U77)</f>
        <v>506174.6208</v>
      </c>
      <c r="V78" s="204" t="n">
        <f aca="false">SUM(V76:V77)</f>
        <v>499172.9952</v>
      </c>
      <c r="W78" s="204" t="n">
        <f aca="false">SUM(W76:W77)</f>
        <v>492171.3696</v>
      </c>
      <c r="X78" s="204" t="n">
        <f aca="false">SUM(X76:X77)</f>
        <v>0</v>
      </c>
    </row>
    <row r="79" customFormat="false" ht="18.75" hidden="false" customHeight="true" outlineLevel="0" collapsed="false">
      <c r="B79" s="213" t="s">
        <v>41</v>
      </c>
      <c r="C79" s="21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7"/>
    </row>
    <row r="80" customFormat="false" ht="18.75" hidden="false" customHeight="true" outlineLevel="0" collapsed="false">
      <c r="B80" s="112" t="s">
        <v>42</v>
      </c>
      <c r="C80" s="113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9"/>
    </row>
    <row r="81" customFormat="false" ht="18.75" hidden="false" customHeight="true" outlineLevel="0" collapsed="false">
      <c r="B81" s="98"/>
      <c r="C81" s="97"/>
      <c r="D81" s="97"/>
      <c r="E81" s="97"/>
      <c r="F81" s="98"/>
      <c r="G81" s="98"/>
      <c r="H81" s="98"/>
      <c r="I81" s="98"/>
      <c r="J81" s="98"/>
      <c r="K81" s="98"/>
      <c r="L81" s="98"/>
      <c r="M81" s="97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37"/>
    <col collapsed="false" customWidth="true" hidden="false" outlineLevel="0" max="6" min="6" style="1" width="50"/>
    <col collapsed="false" customWidth="true" hidden="false" outlineLevel="0" max="7" min="7" style="1" width="37"/>
    <col collapsed="false" customWidth="true" hidden="false" outlineLevel="0" max="13" min="13" style="1" width="50"/>
    <col collapsed="false" customWidth="true" hidden="false" outlineLevel="0" max="14" min="14" style="1" width="37"/>
    <col collapsed="false" customWidth="true" hidden="false" outlineLevel="0" max="24" min="24" style="1" width="30"/>
    <col collapsed="false" customWidth="true" hidden="false" outlineLevel="0" max="25" min="25" style="1" width="10"/>
    <col collapsed="false" customWidth="true" hidden="false" outlineLevel="0" max="28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137" t="s">
        <v>63</v>
      </c>
      <c r="C1" s="138"/>
      <c r="D1" s="138"/>
      <c r="E1" s="139"/>
      <c r="F1" s="140" t="s">
        <v>64</v>
      </c>
      <c r="P1" s="141" t="n">
        <f aca="false">1-D11</f>
        <v>0.99</v>
      </c>
      <c r="Q1" s="141" t="n">
        <f aca="false">P1-$D12</f>
        <v>0.986</v>
      </c>
      <c r="R1" s="141" t="n">
        <f aca="false">Q1-$D12</f>
        <v>0.982</v>
      </c>
      <c r="S1" s="141" t="n">
        <f aca="false">R1-$D12</f>
        <v>0.978</v>
      </c>
      <c r="T1" s="141" t="n">
        <f aca="false">S1-$D12</f>
        <v>0.974</v>
      </c>
      <c r="U1" s="141" t="n">
        <f aca="false">T1-$D12</f>
        <v>0.97</v>
      </c>
      <c r="V1" s="141" t="n">
        <f aca="false">U1-$D12</f>
        <v>0.966</v>
      </c>
      <c r="W1" s="141" t="n">
        <f aca="false">V1-$D12</f>
        <v>0.962</v>
      </c>
      <c r="X1" s="141" t="n">
        <f aca="false">W1-$D12</f>
        <v>0.958</v>
      </c>
      <c r="Y1" s="141" t="n">
        <f aca="false">X1-$D12</f>
        <v>0.954</v>
      </c>
      <c r="Z1" s="141" t="n">
        <f aca="false">Y1-$D12</f>
        <v>0.95</v>
      </c>
      <c r="AA1" s="141" t="n">
        <f aca="false">Z1-$D12</f>
        <v>0.946</v>
      </c>
      <c r="AB1" s="141" t="n">
        <f aca="false">AA1-$D12</f>
        <v>0.942</v>
      </c>
      <c r="AC1" s="141" t="n">
        <f aca="false">AB1-$D12</f>
        <v>0.938</v>
      </c>
      <c r="AD1" s="141" t="n">
        <f aca="false">AC1-$D12</f>
        <v>0.934</v>
      </c>
      <c r="AE1" s="141" t="n">
        <f aca="false">AD1-$D12</f>
        <v>0.93</v>
      </c>
      <c r="AF1" s="141" t="n">
        <f aca="false">AE1-$D12</f>
        <v>0.926</v>
      </c>
      <c r="AG1" s="141" t="n">
        <f aca="false">AF1-$D12</f>
        <v>0.922</v>
      </c>
      <c r="AH1" s="141" t="n">
        <f aca="false">AG1-$D12</f>
        <v>0.918</v>
      </c>
      <c r="AI1" s="141" t="n">
        <f aca="false">AH1-$D12</f>
        <v>0.914</v>
      </c>
    </row>
    <row r="2" customFormat="false" ht="21.75" hidden="false" customHeight="true" outlineLevel="0" collapsed="false">
      <c r="B2" s="142" t="s">
        <v>65</v>
      </c>
      <c r="C2" s="143" t="s">
        <v>2</v>
      </c>
      <c r="D2" s="144" t="s">
        <v>26</v>
      </c>
      <c r="E2" s="145" t="s">
        <v>26</v>
      </c>
      <c r="F2" s="146" t="s">
        <v>66</v>
      </c>
    </row>
    <row r="3" customFormat="false" ht="21.75" hidden="false" customHeight="true" outlineLevel="0" collapsed="false">
      <c r="B3" s="147" t="s">
        <v>67</v>
      </c>
      <c r="C3" s="148" t="n">
        <v>20</v>
      </c>
      <c r="D3" s="149" t="s">
        <v>26</v>
      </c>
      <c r="E3" s="150" t="s">
        <v>26</v>
      </c>
      <c r="F3" s="151" t="s">
        <v>68</v>
      </c>
    </row>
    <row r="4" customFormat="false" ht="21.75" hidden="false" customHeight="true" outlineLevel="0" collapsed="false">
      <c r="B4" s="147" t="s">
        <v>69</v>
      </c>
      <c r="C4" s="148" t="n">
        <v>436.1</v>
      </c>
      <c r="D4" s="149" t="s">
        <v>26</v>
      </c>
      <c r="E4" s="150" t="s">
        <v>26</v>
      </c>
      <c r="F4" s="151" t="s">
        <v>70</v>
      </c>
      <c r="M4" s="152" t="s">
        <v>150</v>
      </c>
    </row>
    <row r="5" customFormat="false" ht="22.5" hidden="false" customHeight="true" outlineLevel="0" collapsed="false">
      <c r="B5" s="153" t="s">
        <v>72</v>
      </c>
      <c r="C5" s="148" t="n">
        <v>2020</v>
      </c>
      <c r="D5" s="153" t="s">
        <v>73</v>
      </c>
      <c r="E5" s="154" t="n">
        <v>2039</v>
      </c>
      <c r="F5" s="151" t="s">
        <v>74</v>
      </c>
      <c r="M5" s="152" t="s">
        <v>151</v>
      </c>
    </row>
    <row r="6" customFormat="false" ht="20.25" hidden="false" customHeight="true" outlineLevel="0" collapsed="false">
      <c r="B6" s="155"/>
      <c r="C6" s="155"/>
      <c r="D6" s="155"/>
      <c r="E6" s="155"/>
      <c r="M6" s="152" t="s">
        <v>152</v>
      </c>
    </row>
    <row r="7" customFormat="false" ht="22.5" hidden="false" customHeight="true" outlineLevel="0" collapsed="false">
      <c r="B7" s="137" t="s">
        <v>77</v>
      </c>
      <c r="C7" s="138"/>
      <c r="D7" s="138"/>
      <c r="E7" s="139"/>
      <c r="M7" s="152" t="s">
        <v>153</v>
      </c>
    </row>
    <row r="8" customFormat="false" ht="22.5" hidden="false" customHeight="true" outlineLevel="0" collapsed="false">
      <c r="B8" s="156" t="s">
        <v>79</v>
      </c>
      <c r="E8" s="157"/>
      <c r="M8" s="152" t="s">
        <v>154</v>
      </c>
    </row>
    <row r="9" customFormat="false" ht="22.5" hidden="false" customHeight="true" outlineLevel="0" collapsed="false">
      <c r="B9" s="158" t="s">
        <v>81</v>
      </c>
      <c r="C9" s="159" t="s">
        <v>82</v>
      </c>
      <c r="D9" s="159" t="s">
        <v>83</v>
      </c>
      <c r="E9" s="160" t="s">
        <v>84</v>
      </c>
      <c r="F9" s="140" t="s">
        <v>64</v>
      </c>
      <c r="M9" s="152" t="s">
        <v>85</v>
      </c>
    </row>
    <row r="10" customFormat="false" ht="30" hidden="false" customHeight="true" outlineLevel="0" collapsed="false">
      <c r="B10" s="161" t="s">
        <v>86</v>
      </c>
      <c r="C10" s="162" t="s">
        <v>87</v>
      </c>
      <c r="D10" s="163" t="n">
        <v>547002</v>
      </c>
      <c r="E10" s="164" t="n">
        <v>20</v>
      </c>
      <c r="F10" s="151" t="s">
        <v>88</v>
      </c>
      <c r="M10" s="152" t="s">
        <v>155</v>
      </c>
    </row>
    <row r="11" customFormat="false" ht="30" hidden="false" customHeight="true" outlineLevel="0" collapsed="false">
      <c r="B11" s="165"/>
      <c r="C11" s="153" t="s">
        <v>90</v>
      </c>
      <c r="D11" s="166" t="n">
        <v>0.01</v>
      </c>
      <c r="E11" s="167"/>
      <c r="F11" s="151" t="s">
        <v>91</v>
      </c>
    </row>
    <row r="12" customFormat="false" ht="30" hidden="false" customHeight="true" outlineLevel="0" collapsed="false">
      <c r="B12" s="165"/>
      <c r="C12" s="153" t="s">
        <v>92</v>
      </c>
      <c r="D12" s="168" t="n">
        <v>0.004</v>
      </c>
      <c r="E12" s="167"/>
      <c r="F12" s="151" t="s">
        <v>93</v>
      </c>
    </row>
    <row r="13" customFormat="false" ht="22.5" hidden="false" customHeight="true" outlineLevel="0" collapsed="false">
      <c r="B13" s="165"/>
      <c r="C13" s="169" t="s">
        <v>94</v>
      </c>
      <c r="D13" s="170" t="n">
        <v>4</v>
      </c>
      <c r="E13" s="167"/>
      <c r="F13" s="151" t="s">
        <v>95</v>
      </c>
    </row>
    <row r="14" customFormat="false" ht="22.5" hidden="false" customHeight="true" outlineLevel="0" collapsed="false">
      <c r="B14" s="171" t="s">
        <v>96</v>
      </c>
      <c r="C14" s="138"/>
      <c r="D14" s="138"/>
      <c r="E14" s="139"/>
    </row>
    <row r="15" customFormat="false" ht="22.5" hidden="false" customHeight="true" outlineLevel="0" collapsed="false">
      <c r="B15" s="158" t="s">
        <v>81</v>
      </c>
      <c r="C15" s="159" t="s">
        <v>82</v>
      </c>
      <c r="D15" s="159" t="s">
        <v>83</v>
      </c>
      <c r="E15" s="160" t="s">
        <v>97</v>
      </c>
      <c r="F15" s="140" t="s">
        <v>64</v>
      </c>
    </row>
    <row r="16" customFormat="false" ht="21.75" hidden="false" customHeight="true" outlineLevel="0" collapsed="false">
      <c r="B16" s="162" t="s">
        <v>98</v>
      </c>
      <c r="C16" s="162" t="s">
        <v>99</v>
      </c>
      <c r="D16" s="172" t="n">
        <v>23000</v>
      </c>
      <c r="E16" s="145" t="n">
        <v>20</v>
      </c>
      <c r="F16" s="151" t="s">
        <v>100</v>
      </c>
    </row>
    <row r="17" customFormat="false" ht="21.75" hidden="false" customHeight="true" outlineLevel="0" collapsed="false">
      <c r="B17" s="165"/>
      <c r="C17" s="153" t="s">
        <v>101</v>
      </c>
      <c r="D17" s="173" t="n">
        <v>0.3</v>
      </c>
      <c r="E17" s="167"/>
      <c r="F17" s="151" t="s">
        <v>102</v>
      </c>
    </row>
    <row r="18" customFormat="false" ht="21.75" hidden="false" customHeight="true" outlineLevel="0" collapsed="false">
      <c r="B18" s="174"/>
      <c r="C18" s="153" t="s">
        <v>103</v>
      </c>
      <c r="D18" s="175" t="n">
        <v>2000</v>
      </c>
      <c r="E18" s="176"/>
      <c r="F18" s="151" t="s">
        <v>104</v>
      </c>
    </row>
    <row r="19" customFormat="false" ht="54" hidden="false" customHeight="true" outlineLevel="0" collapsed="false">
      <c r="B19" s="153" t="s">
        <v>105</v>
      </c>
      <c r="C19" s="177" t="s">
        <v>106</v>
      </c>
      <c r="D19" s="173" t="n">
        <v>1</v>
      </c>
      <c r="E19" s="145" t="n">
        <v>20</v>
      </c>
      <c r="F19" s="151" t="s">
        <v>107</v>
      </c>
    </row>
    <row r="20" customFormat="false" ht="20.25" hidden="false" customHeight="true" outlineLevel="0" collapsed="false">
      <c r="B20" s="165"/>
      <c r="C20" s="178" t="s">
        <v>108</v>
      </c>
      <c r="D20" s="175" t="n">
        <v>290201</v>
      </c>
      <c r="E20" s="145" t="n">
        <v>20</v>
      </c>
      <c r="F20" s="151" t="s">
        <v>109</v>
      </c>
    </row>
    <row r="21" customFormat="false" ht="30" hidden="false" customHeight="true" outlineLevel="0" collapsed="false">
      <c r="B21" s="174"/>
      <c r="C21" s="153" t="s">
        <v>110</v>
      </c>
      <c r="D21" s="173" t="n">
        <v>0</v>
      </c>
      <c r="E21" s="150" t="n">
        <v>20</v>
      </c>
      <c r="F21" s="151" t="s">
        <v>111</v>
      </c>
    </row>
    <row r="22" customFormat="false" ht="30" hidden="false" customHeight="true" outlineLevel="0" collapsed="false">
      <c r="B22" s="153" t="s">
        <v>112</v>
      </c>
      <c r="C22" s="153" t="s">
        <v>113</v>
      </c>
      <c r="D22" s="179" t="n">
        <v>400</v>
      </c>
      <c r="E22" s="150" t="n">
        <v>20</v>
      </c>
      <c r="F22" s="151" t="s">
        <v>114</v>
      </c>
    </row>
    <row r="23" customFormat="false" ht="30" hidden="false" customHeight="true" outlineLevel="0" collapsed="false">
      <c r="B23" s="153" t="s">
        <v>115</v>
      </c>
      <c r="C23" s="153" t="s">
        <v>116</v>
      </c>
      <c r="D23" s="173" t="n">
        <v>0.003</v>
      </c>
      <c r="E23" s="150" t="n">
        <v>20</v>
      </c>
      <c r="F23" s="151" t="s">
        <v>117</v>
      </c>
    </row>
    <row r="24" customFormat="false" ht="30" hidden="false" customHeight="true" outlineLevel="0" collapsed="false">
      <c r="B24" s="153" t="s">
        <v>118</v>
      </c>
      <c r="C24" s="153" t="s">
        <v>119</v>
      </c>
      <c r="D24" s="179" t="n">
        <v>1000</v>
      </c>
      <c r="E24" s="180" t="n">
        <v>10</v>
      </c>
      <c r="F24" s="151" t="s">
        <v>120</v>
      </c>
    </row>
    <row r="25" customFormat="false" ht="30" hidden="false" customHeight="true" outlineLevel="0" collapsed="false">
      <c r="B25" s="153" t="s">
        <v>121</v>
      </c>
      <c r="C25" s="153" t="s">
        <v>122</v>
      </c>
      <c r="D25" s="181" t="n">
        <v>0.0256</v>
      </c>
      <c r="E25" s="150" t="n">
        <v>20</v>
      </c>
      <c r="F25" s="151" t="s">
        <v>123</v>
      </c>
    </row>
    <row r="26" customFormat="false" ht="30" hidden="false" customHeight="true" outlineLevel="0" collapsed="false">
      <c r="B26" s="153" t="s">
        <v>14</v>
      </c>
      <c r="C26" s="153" t="s">
        <v>124</v>
      </c>
      <c r="D26" s="173" t="n">
        <v>0.2</v>
      </c>
      <c r="E26" s="150" t="n">
        <v>20</v>
      </c>
      <c r="F26" s="151" t="s">
        <v>125</v>
      </c>
    </row>
    <row r="27" customFormat="false" ht="20.25" hidden="false" customHeight="true" outlineLevel="0" collapsed="false">
      <c r="B27" s="155"/>
      <c r="C27" s="155"/>
      <c r="D27" s="155"/>
      <c r="E27" s="155"/>
    </row>
    <row r="28" customFormat="false" ht="20.25" hidden="false" customHeight="true" outlineLevel="0" collapsed="false">
      <c r="B28" s="155"/>
      <c r="C28" s="155"/>
      <c r="D28" s="155"/>
      <c r="E28" s="155"/>
    </row>
    <row r="29" customFormat="false" ht="22.5" hidden="false" customHeight="true" outlineLevel="0" collapsed="false">
      <c r="B29" s="137" t="s">
        <v>126</v>
      </c>
      <c r="C29" s="138"/>
      <c r="D29" s="139"/>
      <c r="E29" s="155"/>
    </row>
    <row r="30" customFormat="false" ht="22.5" hidden="false" customHeight="true" outlineLevel="0" collapsed="false">
      <c r="B30" s="158" t="s">
        <v>127</v>
      </c>
      <c r="C30" s="182" t="s">
        <v>82</v>
      </c>
      <c r="D30" s="183" t="s">
        <v>83</v>
      </c>
      <c r="E30" s="155"/>
      <c r="F30" s="140" t="s">
        <v>64</v>
      </c>
    </row>
    <row r="31" customFormat="false" ht="30" hidden="false" customHeight="true" outlineLevel="0" collapsed="false">
      <c r="B31" s="162" t="s">
        <v>128</v>
      </c>
      <c r="C31" s="142" t="s">
        <v>129</v>
      </c>
      <c r="D31" s="184" t="n">
        <v>0.8</v>
      </c>
      <c r="E31" s="155"/>
      <c r="F31" s="151" t="s">
        <v>130</v>
      </c>
    </row>
    <row r="32" customFormat="false" ht="18.75" hidden="false" customHeight="true" outlineLevel="0" collapsed="false">
      <c r="B32" s="162" t="s">
        <v>131</v>
      </c>
      <c r="C32" s="142" t="s">
        <v>132</v>
      </c>
      <c r="D32" s="184" t="n">
        <v>15</v>
      </c>
      <c r="E32" s="155"/>
      <c r="F32" s="151" t="s">
        <v>133</v>
      </c>
    </row>
    <row r="33" customFormat="false" ht="18.75" hidden="false" customHeight="true" outlineLevel="0" collapsed="false">
      <c r="B33" s="153" t="s">
        <v>53</v>
      </c>
      <c r="C33" s="147" t="s">
        <v>134</v>
      </c>
      <c r="D33" s="173" t="n">
        <v>0.9</v>
      </c>
      <c r="E33" s="155"/>
      <c r="F33" s="151" t="s">
        <v>135</v>
      </c>
    </row>
    <row r="34" customFormat="false" ht="30" hidden="false" customHeight="true" outlineLevel="0" collapsed="false">
      <c r="B34" s="153" t="s">
        <v>54</v>
      </c>
      <c r="C34" s="147" t="s">
        <v>132</v>
      </c>
      <c r="D34" s="173" t="n">
        <v>4</v>
      </c>
      <c r="E34" s="155"/>
      <c r="F34" s="151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56"/>
      <c r="C37" s="57" t="s">
        <v>0</v>
      </c>
      <c r="D37" s="57" t="n">
        <v>2020</v>
      </c>
      <c r="E37" s="57" t="n">
        <v>2021</v>
      </c>
      <c r="F37" s="57" t="n">
        <v>2022</v>
      </c>
      <c r="G37" s="57" t="n">
        <v>2023</v>
      </c>
      <c r="H37" s="57" t="n">
        <v>2024</v>
      </c>
      <c r="I37" s="57" t="n">
        <v>2025</v>
      </c>
      <c r="J37" s="57" t="n">
        <v>2026</v>
      </c>
      <c r="K37" s="57" t="n">
        <v>2027</v>
      </c>
      <c r="L37" s="57" t="n">
        <v>2028</v>
      </c>
      <c r="M37" s="57" t="n">
        <v>2029</v>
      </c>
      <c r="N37" s="57" t="n">
        <v>2030</v>
      </c>
      <c r="O37" s="57" t="n">
        <v>2031</v>
      </c>
      <c r="P37" s="57" t="n">
        <v>2032</v>
      </c>
      <c r="Q37" s="57" t="n">
        <v>2033</v>
      </c>
      <c r="R37" s="57" t="n">
        <v>2034</v>
      </c>
      <c r="S37" s="57" t="n">
        <v>2035</v>
      </c>
      <c r="T37" s="57" t="n">
        <v>2036</v>
      </c>
      <c r="U37" s="57" t="n">
        <v>2037</v>
      </c>
      <c r="V37" s="57" t="n">
        <v>2038</v>
      </c>
      <c r="W37" s="57" t="n">
        <v>2039</v>
      </c>
      <c r="X37" s="57"/>
    </row>
    <row r="38" customFormat="false" ht="18.75" hidden="false" customHeight="true" outlineLevel="0" collapsed="false">
      <c r="B38" s="58" t="n">
        <v>0</v>
      </c>
      <c r="C38" s="59"/>
      <c r="D38" s="60"/>
      <c r="E38" s="60"/>
      <c r="F38" s="61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3"/>
      <c r="U38" s="62"/>
      <c r="V38" s="62"/>
      <c r="W38" s="62"/>
      <c r="X38" s="185"/>
    </row>
    <row r="39" customFormat="false" ht="18.75" hidden="false" customHeight="true" outlineLevel="0" collapsed="false">
      <c r="B39" s="64" t="s">
        <v>23</v>
      </c>
      <c r="C39" s="65" t="n">
        <v>0</v>
      </c>
      <c r="D39" s="66" t="n">
        <v>1</v>
      </c>
      <c r="E39" s="66" t="n">
        <v>2</v>
      </c>
      <c r="F39" s="66" t="n">
        <v>3</v>
      </c>
      <c r="G39" s="66" t="n">
        <v>4</v>
      </c>
      <c r="H39" s="66" t="n">
        <v>5</v>
      </c>
      <c r="I39" s="66" t="n">
        <v>6</v>
      </c>
      <c r="J39" s="66" t="n">
        <v>7</v>
      </c>
      <c r="K39" s="66" t="n">
        <v>8</v>
      </c>
      <c r="L39" s="66" t="n">
        <v>9</v>
      </c>
      <c r="M39" s="66" t="n">
        <v>10</v>
      </c>
      <c r="N39" s="66" t="n">
        <v>11</v>
      </c>
      <c r="O39" s="66" t="n">
        <v>12</v>
      </c>
      <c r="P39" s="66" t="n">
        <v>13</v>
      </c>
      <c r="Q39" s="66" t="n">
        <v>14</v>
      </c>
      <c r="R39" s="66" t="n">
        <v>15</v>
      </c>
      <c r="S39" s="66" t="n">
        <v>16</v>
      </c>
      <c r="T39" s="67" t="n">
        <v>17</v>
      </c>
      <c r="U39" s="66" t="n">
        <v>18</v>
      </c>
      <c r="V39" s="66" t="n">
        <v>19</v>
      </c>
      <c r="W39" s="66" t="n">
        <v>20</v>
      </c>
      <c r="X39" s="186"/>
    </row>
    <row r="40" customFormat="false" ht="18.75" hidden="false" customHeight="true" outlineLevel="0" collapsed="false">
      <c r="B40" s="187" t="s">
        <v>137</v>
      </c>
      <c r="C40" s="69" t="n">
        <v>0</v>
      </c>
      <c r="D40" s="70" t="n">
        <f aca="false">$D$10*P1</f>
        <v>541531.98</v>
      </c>
      <c r="E40" s="70" t="n">
        <f aca="false">$D$10*Q1</f>
        <v>539343.972</v>
      </c>
      <c r="F40" s="70" t="n">
        <f aca="false">$D$10*R1</f>
        <v>537155.964</v>
      </c>
      <c r="G40" s="70" t="n">
        <f aca="false">$D$10*S1</f>
        <v>534967.956</v>
      </c>
      <c r="H40" s="70" t="n">
        <f aca="false">$D$10*T1</f>
        <v>532779.948</v>
      </c>
      <c r="I40" s="70" t="n">
        <f aca="false">$D$10*U1</f>
        <v>530591.94</v>
      </c>
      <c r="J40" s="70" t="n">
        <f aca="false">$D$10*V1</f>
        <v>528403.932</v>
      </c>
      <c r="K40" s="70" t="n">
        <f aca="false">$D$10*W1</f>
        <v>526215.924</v>
      </c>
      <c r="L40" s="70" t="n">
        <f aca="false">$D$10*X1</f>
        <v>524027.916</v>
      </c>
      <c r="M40" s="70" t="n">
        <f aca="false">$D$10*Y1</f>
        <v>521839.908</v>
      </c>
      <c r="N40" s="70" t="n">
        <f aca="false">$D$10*Z1</f>
        <v>519651.9</v>
      </c>
      <c r="O40" s="70" t="n">
        <f aca="false">$D$10*AA1</f>
        <v>517463.892</v>
      </c>
      <c r="P40" s="70" t="n">
        <f aca="false">$D$10*AB1</f>
        <v>515275.884</v>
      </c>
      <c r="Q40" s="70" t="n">
        <f aca="false">$D$10*AC1</f>
        <v>513087.876</v>
      </c>
      <c r="R40" s="70" t="n">
        <f aca="false">$D$10*AD1</f>
        <v>510899.868</v>
      </c>
      <c r="S40" s="70" t="n">
        <f aca="false">$D$10*AE1</f>
        <v>508711.86</v>
      </c>
      <c r="T40" s="70" t="n">
        <f aca="false">$D$10*AF1</f>
        <v>506523.852</v>
      </c>
      <c r="U40" s="70" t="n">
        <f aca="false">$D$10*AG1</f>
        <v>504335.844</v>
      </c>
      <c r="V40" s="70" t="n">
        <f aca="false">$D$10*AH1</f>
        <v>502147.836</v>
      </c>
      <c r="W40" s="70" t="n">
        <f aca="false">$D$10*AI1</f>
        <v>499959.828</v>
      </c>
      <c r="X40" s="188"/>
    </row>
    <row r="41" customFormat="false" ht="18.75" hidden="false" customHeight="true" outlineLevel="0" collapsed="false">
      <c r="B41" s="189" t="s">
        <v>25</v>
      </c>
      <c r="C41" s="190" t="s">
        <v>26</v>
      </c>
      <c r="D41" s="191" t="n">
        <f aca="false">D40*$D$13</f>
        <v>2166127.92</v>
      </c>
      <c r="E41" s="191" t="n">
        <f aca="false">E40*$D$13</f>
        <v>2157375.888</v>
      </c>
      <c r="F41" s="191" t="n">
        <f aca="false">F40*$D$13</f>
        <v>2148623.856</v>
      </c>
      <c r="G41" s="191" t="n">
        <f aca="false">G40*$D$13</f>
        <v>2139871.824</v>
      </c>
      <c r="H41" s="191" t="n">
        <f aca="false">H40*$D$13</f>
        <v>2131119.792</v>
      </c>
      <c r="I41" s="191" t="n">
        <f aca="false">I40*$D$13</f>
        <v>2122367.76</v>
      </c>
      <c r="J41" s="191" t="n">
        <f aca="false">J40*$D$13</f>
        <v>2113615.728</v>
      </c>
      <c r="K41" s="191" t="n">
        <f aca="false">K40*$D$13</f>
        <v>2104863.696</v>
      </c>
      <c r="L41" s="191" t="n">
        <f aca="false">L40*$D$13</f>
        <v>2096111.664</v>
      </c>
      <c r="M41" s="191" t="n">
        <f aca="false">M40*$D$13</f>
        <v>2087359.632</v>
      </c>
      <c r="N41" s="191" t="n">
        <f aca="false">N40*$D$13</f>
        <v>2078607.6</v>
      </c>
      <c r="O41" s="191" t="n">
        <f aca="false">O40*$D$13</f>
        <v>2069855.568</v>
      </c>
      <c r="P41" s="191" t="n">
        <f aca="false">P40*$D$13</f>
        <v>2061103.536</v>
      </c>
      <c r="Q41" s="191" t="n">
        <f aca="false">Q40*$D$13</f>
        <v>2052351.504</v>
      </c>
      <c r="R41" s="191" t="n">
        <f aca="false">R40*$D$13</f>
        <v>2043599.472</v>
      </c>
      <c r="S41" s="191" t="n">
        <f aca="false">S40*$D$13</f>
        <v>2034847.44</v>
      </c>
      <c r="T41" s="191" t="n">
        <f aca="false">T40*$D$13</f>
        <v>2026095.408</v>
      </c>
      <c r="U41" s="191" t="n">
        <f aca="false">U40*$D$13</f>
        <v>2017343.376</v>
      </c>
      <c r="V41" s="191" t="n">
        <f aca="false">V40*$D$13</f>
        <v>2008591.344</v>
      </c>
      <c r="W41" s="191" t="n">
        <f aca="false">W40*$D$13</f>
        <v>1999839.312</v>
      </c>
      <c r="X41" s="192"/>
    </row>
    <row r="42" customFormat="false" ht="18.75" hidden="false" customHeight="true" outlineLevel="0" collapsed="false">
      <c r="B42" s="193" t="s">
        <v>27</v>
      </c>
      <c r="C42" s="194" t="s">
        <v>26</v>
      </c>
      <c r="D42" s="195"/>
      <c r="E42" s="195"/>
      <c r="F42" s="195"/>
      <c r="G42" s="196" t="s">
        <v>26</v>
      </c>
      <c r="H42" s="196" t="s">
        <v>26</v>
      </c>
      <c r="I42" s="196" t="s">
        <v>26</v>
      </c>
      <c r="J42" s="196" t="s">
        <v>26</v>
      </c>
      <c r="K42" s="196" t="s">
        <v>26</v>
      </c>
      <c r="L42" s="196" t="s">
        <v>26</v>
      </c>
      <c r="M42" s="196" t="s">
        <v>26</v>
      </c>
      <c r="N42" s="196" t="s">
        <v>26</v>
      </c>
      <c r="O42" s="196" t="s">
        <v>26</v>
      </c>
      <c r="P42" s="196" t="s">
        <v>26</v>
      </c>
      <c r="Q42" s="196" t="s">
        <v>26</v>
      </c>
      <c r="R42" s="196" t="s">
        <v>26</v>
      </c>
      <c r="S42" s="196" t="s">
        <v>26</v>
      </c>
      <c r="T42" s="196" t="s">
        <v>26</v>
      </c>
      <c r="U42" s="196" t="s">
        <v>26</v>
      </c>
      <c r="V42" s="196" t="s">
        <v>26</v>
      </c>
      <c r="W42" s="196" t="s">
        <v>26</v>
      </c>
      <c r="X42" s="197"/>
    </row>
    <row r="43" customFormat="false" ht="18.75" hidden="false" customHeight="true" outlineLevel="0" collapsed="false">
      <c r="B43" s="198" t="s">
        <v>28</v>
      </c>
      <c r="C43" s="199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1"/>
    </row>
    <row r="44" customFormat="false" ht="18.75" hidden="false" customHeight="true" outlineLevel="0" collapsed="false">
      <c r="B44" s="202" t="s">
        <v>29</v>
      </c>
      <c r="C44" s="203" t="n">
        <f aca="false">-(D16/(1-D17)+D18)*C4</f>
        <v>-15201200</v>
      </c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</row>
    <row r="45" customFormat="false" ht="18.75" hidden="false" customHeight="true" outlineLevel="0" collapsed="false">
      <c r="B45" s="202" t="s">
        <v>30</v>
      </c>
      <c r="C45" s="194" t="s">
        <v>26</v>
      </c>
      <c r="D45" s="152" t="n">
        <v>-290201</v>
      </c>
      <c r="E45" s="204" t="n">
        <v>-290201</v>
      </c>
      <c r="F45" s="204" t="n">
        <v>-290201</v>
      </c>
      <c r="G45" s="204" t="n">
        <v>-290201</v>
      </c>
      <c r="H45" s="204" t="n">
        <v>-290201</v>
      </c>
      <c r="I45" s="204" t="n">
        <v>-290201</v>
      </c>
      <c r="J45" s="204" t="n">
        <v>-290201</v>
      </c>
      <c r="K45" s="204" t="n">
        <v>-290201</v>
      </c>
      <c r="L45" s="204" t="n">
        <v>-290201</v>
      </c>
      <c r="M45" s="204" t="n">
        <v>-290201</v>
      </c>
      <c r="N45" s="204" t="n">
        <v>-290201</v>
      </c>
      <c r="O45" s="204" t="n">
        <v>-290201</v>
      </c>
      <c r="P45" s="204" t="n">
        <v>-290201</v>
      </c>
      <c r="Q45" s="204" t="n">
        <v>-290201</v>
      </c>
      <c r="R45" s="204" t="n">
        <v>-290201</v>
      </c>
      <c r="S45" s="204" t="n">
        <v>-290201</v>
      </c>
      <c r="T45" s="204" t="n">
        <v>-290201</v>
      </c>
      <c r="U45" s="204" t="n">
        <v>-290201</v>
      </c>
      <c r="V45" s="204" t="n">
        <v>-290201</v>
      </c>
      <c r="W45" s="204" t="n">
        <v>-290201</v>
      </c>
      <c r="X45" s="204"/>
    </row>
    <row r="46" customFormat="false" ht="18.75" hidden="false" customHeight="true" outlineLevel="0" collapsed="false">
      <c r="B46" s="202" t="s">
        <v>31</v>
      </c>
      <c r="C46" s="19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</row>
    <row r="47" customFormat="false" ht="18.75" hidden="false" customHeight="true" outlineLevel="0" collapsed="false">
      <c r="B47" s="202" t="s">
        <v>32</v>
      </c>
      <c r="C47" s="194" t="s">
        <v>26</v>
      </c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</row>
    <row r="48" customFormat="false" ht="18.75" hidden="false" customHeight="true" outlineLevel="0" collapsed="false">
      <c r="B48" s="202" t="s">
        <v>33</v>
      </c>
      <c r="C48" s="194" t="s">
        <v>26</v>
      </c>
      <c r="D48" s="204" t="n">
        <v>-174440</v>
      </c>
      <c r="E48" s="204" t="n">
        <v>-174440</v>
      </c>
      <c r="F48" s="204" t="n">
        <v>-174440</v>
      </c>
      <c r="G48" s="204" t="n">
        <v>-174440</v>
      </c>
      <c r="H48" s="204" t="n">
        <v>-174440</v>
      </c>
      <c r="I48" s="204" t="n">
        <v>-174440</v>
      </c>
      <c r="J48" s="204" t="n">
        <v>-174440</v>
      </c>
      <c r="K48" s="204" t="n">
        <v>-174440</v>
      </c>
      <c r="L48" s="204" t="n">
        <v>-174440</v>
      </c>
      <c r="M48" s="204" t="n">
        <v>-174440</v>
      </c>
      <c r="N48" s="204" t="n">
        <v>-174440</v>
      </c>
      <c r="O48" s="204" t="n">
        <v>-174440</v>
      </c>
      <c r="P48" s="204" t="n">
        <v>-174440</v>
      </c>
      <c r="Q48" s="204" t="n">
        <v>-174440</v>
      </c>
      <c r="R48" s="204" t="n">
        <v>-174440</v>
      </c>
      <c r="S48" s="204" t="n">
        <v>-174440</v>
      </c>
      <c r="T48" s="204" t="n">
        <v>-174440</v>
      </c>
      <c r="U48" s="204" t="n">
        <v>-174440</v>
      </c>
      <c r="V48" s="204" t="n">
        <v>-174440</v>
      </c>
      <c r="W48" s="204" t="n">
        <v>-174440</v>
      </c>
      <c r="X48" s="204"/>
    </row>
    <row r="49" customFormat="false" ht="18.75" hidden="false" customHeight="true" outlineLevel="0" collapsed="false">
      <c r="B49" s="202" t="s">
        <v>34</v>
      </c>
      <c r="C49" s="194" t="s">
        <v>26</v>
      </c>
      <c r="D49" s="204" t="n">
        <v>-30090.9</v>
      </c>
      <c r="E49" s="204" t="n">
        <v>-30090.9</v>
      </c>
      <c r="F49" s="204" t="n">
        <v>-30090.9</v>
      </c>
      <c r="G49" s="204" t="n">
        <v>-30090.9</v>
      </c>
      <c r="H49" s="204" t="n">
        <v>-30090.9</v>
      </c>
      <c r="I49" s="204" t="n">
        <v>-30090.9</v>
      </c>
      <c r="J49" s="204" t="n">
        <v>-30090.9</v>
      </c>
      <c r="K49" s="204" t="n">
        <v>-30090.9</v>
      </c>
      <c r="L49" s="204" t="n">
        <v>-30090.9</v>
      </c>
      <c r="M49" s="204" t="n">
        <v>-30090.9</v>
      </c>
      <c r="N49" s="204" t="n">
        <v>-30090.9</v>
      </c>
      <c r="O49" s="204" t="n">
        <v>-30090.9</v>
      </c>
      <c r="P49" s="204" t="n">
        <v>-30090.9</v>
      </c>
      <c r="Q49" s="204" t="n">
        <v>-30090.9</v>
      </c>
      <c r="R49" s="204" t="n">
        <v>-30090.9</v>
      </c>
      <c r="S49" s="204" t="n">
        <v>-30090.9</v>
      </c>
      <c r="T49" s="204" t="n">
        <v>-30090.9</v>
      </c>
      <c r="U49" s="204" t="n">
        <v>-30090.9</v>
      </c>
      <c r="V49" s="204" t="n">
        <v>-30090.9</v>
      </c>
      <c r="W49" s="204" t="n">
        <v>-30090.9</v>
      </c>
      <c r="X49" s="204"/>
    </row>
    <row r="50" customFormat="false" ht="18.75" hidden="false" customHeight="true" outlineLevel="0" collapsed="false">
      <c r="B50" s="202" t="s">
        <v>35</v>
      </c>
      <c r="C50" s="194"/>
      <c r="D50" s="204" t="n">
        <v>-43610</v>
      </c>
      <c r="E50" s="204" t="n">
        <v>-43610</v>
      </c>
      <c r="F50" s="204" t="n">
        <v>-43610</v>
      </c>
      <c r="G50" s="204" t="n">
        <v>-43610</v>
      </c>
      <c r="H50" s="204" t="n">
        <v>-43610</v>
      </c>
      <c r="I50" s="204" t="n">
        <v>-43610</v>
      </c>
      <c r="J50" s="204" t="n">
        <v>-43610</v>
      </c>
      <c r="K50" s="204" t="n">
        <v>-43610</v>
      </c>
      <c r="L50" s="204" t="n">
        <v>-43610</v>
      </c>
      <c r="M50" s="204" t="n">
        <v>-43610</v>
      </c>
      <c r="N50" s="204" t="n">
        <v>0</v>
      </c>
      <c r="O50" s="204" t="n">
        <v>0</v>
      </c>
      <c r="P50" s="204" t="n">
        <v>0</v>
      </c>
      <c r="Q50" s="204" t="n">
        <v>0</v>
      </c>
      <c r="R50" s="204" t="n">
        <v>0</v>
      </c>
      <c r="S50" s="204" t="n">
        <v>0</v>
      </c>
      <c r="T50" s="204" t="n">
        <v>0</v>
      </c>
      <c r="U50" s="204" t="n">
        <v>0</v>
      </c>
      <c r="V50" s="204" t="n">
        <v>0</v>
      </c>
      <c r="W50" s="204" t="n">
        <v>0</v>
      </c>
      <c r="X50" s="204"/>
    </row>
    <row r="51" customFormat="false" ht="18.75" hidden="false" customHeight="true" outlineLevel="0" collapsed="false">
      <c r="B51" s="202" t="s">
        <v>36</v>
      </c>
      <c r="C51" s="205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</row>
    <row r="52" customFormat="false" ht="18.75" hidden="false" customHeight="true" outlineLevel="0" collapsed="false">
      <c r="B52" s="202" t="s">
        <v>37</v>
      </c>
      <c r="C52" s="205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</row>
    <row r="53" customFormat="false" ht="18.75" hidden="false" customHeight="true" outlineLevel="0" collapsed="false">
      <c r="B53" s="206" t="s">
        <v>38</v>
      </c>
      <c r="C53" s="205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</row>
    <row r="54" customFormat="false" ht="18.75" hidden="false" customHeight="true" outlineLevel="0" collapsed="false">
      <c r="B54" s="206" t="s">
        <v>39</v>
      </c>
      <c r="C54" s="205"/>
      <c r="D54" s="204" t="n">
        <f aca="false">D77</f>
        <v>-231585.404</v>
      </c>
      <c r="E54" s="204" t="n">
        <f aca="false">E77</f>
        <v>-171794.7976</v>
      </c>
      <c r="F54" s="204" t="n">
        <f aca="false">F77</f>
        <v>-170044.3912</v>
      </c>
      <c r="G54" s="204" t="n">
        <f aca="false">G77</f>
        <v>-168293.9848</v>
      </c>
      <c r="H54" s="204" t="n">
        <f aca="false">H77</f>
        <v>-166543.5784</v>
      </c>
      <c r="I54" s="204" t="n">
        <f aca="false">I77</f>
        <v>-164793.172</v>
      </c>
      <c r="J54" s="204" t="n">
        <f aca="false">J77</f>
        <v>-163042.7656</v>
      </c>
      <c r="K54" s="204" t="n">
        <f aca="false">K77</f>
        <v>-161292.3592</v>
      </c>
      <c r="L54" s="204" t="n">
        <f aca="false">L77</f>
        <v>-159541.9528</v>
      </c>
      <c r="M54" s="204" t="n">
        <f aca="false">M77</f>
        <v>-157791.5464</v>
      </c>
      <c r="N54" s="204" t="n">
        <f aca="false">N77</f>
        <v>-164763.14</v>
      </c>
      <c r="O54" s="204" t="n">
        <f aca="false">O77</f>
        <v>-163012.7336</v>
      </c>
      <c r="P54" s="204" t="n">
        <f aca="false">P77</f>
        <v>-161262.3272</v>
      </c>
      <c r="Q54" s="204" t="n">
        <f aca="false">Q77</f>
        <v>-159511.9208</v>
      </c>
      <c r="R54" s="204" t="n">
        <f aca="false">R77</f>
        <v>-157761.5144</v>
      </c>
      <c r="S54" s="204" t="n">
        <f aca="false">S77</f>
        <v>-156011.108</v>
      </c>
      <c r="T54" s="204" t="n">
        <f aca="false">T77</f>
        <v>-154260.7016</v>
      </c>
      <c r="U54" s="204" t="n">
        <f aca="false">U77</f>
        <v>-152510.2952</v>
      </c>
      <c r="V54" s="204" t="n">
        <f aca="false">V77</f>
        <v>-150759.8888</v>
      </c>
      <c r="W54" s="204" t="n">
        <f aca="false">W77</f>
        <v>-149009.4824</v>
      </c>
      <c r="X54" s="195"/>
    </row>
    <row r="55" customFormat="false" ht="18.75" hidden="false" customHeight="true" outlineLevel="0" collapsed="false">
      <c r="B55" s="207" t="s">
        <v>40</v>
      </c>
      <c r="C55" s="208" t="n">
        <f aca="false">C44</f>
        <v>-15201200</v>
      </c>
      <c r="D55" s="209" t="n">
        <f aca="false">SUM(D41:D54)</f>
        <v>1396200.616</v>
      </c>
      <c r="E55" s="209" t="n">
        <f aca="false">SUM(E41:E54)</f>
        <v>1447239.1904</v>
      </c>
      <c r="F55" s="209" t="n">
        <f aca="false">SUM(F41:F54)</f>
        <v>1440237.5648</v>
      </c>
      <c r="G55" s="209" t="n">
        <f aca="false">SUM(G41:G54)</f>
        <v>1433235.9392</v>
      </c>
      <c r="H55" s="209" t="n">
        <f aca="false">SUM(H41:H54)</f>
        <v>1426234.3136</v>
      </c>
      <c r="I55" s="209" t="n">
        <f aca="false">SUM(I41:I54)</f>
        <v>1419232.688</v>
      </c>
      <c r="J55" s="209" t="n">
        <f aca="false">SUM(J41:J54)</f>
        <v>1412231.0624</v>
      </c>
      <c r="K55" s="209" t="n">
        <f aca="false">SUM(K41:K54)</f>
        <v>1405229.4368</v>
      </c>
      <c r="L55" s="209" t="n">
        <f aca="false">SUM(L41:L54)</f>
        <v>1398227.8112</v>
      </c>
      <c r="M55" s="209" t="n">
        <f aca="false">SUM(M41:M54)</f>
        <v>1391226.1856</v>
      </c>
      <c r="N55" s="209" t="n">
        <f aca="false">SUM(N41:N54)</f>
        <v>1419112.56</v>
      </c>
      <c r="O55" s="209" t="n">
        <f aca="false">SUM(O41:O54)</f>
        <v>1412110.9344</v>
      </c>
      <c r="P55" s="209" t="n">
        <f aca="false">SUM(P41:P54)</f>
        <v>1405109.3088</v>
      </c>
      <c r="Q55" s="209" t="n">
        <f aca="false">SUM(Q41:Q54)</f>
        <v>1398107.6832</v>
      </c>
      <c r="R55" s="209" t="n">
        <f aca="false">SUM(R41:R54)</f>
        <v>1391106.0576</v>
      </c>
      <c r="S55" s="209" t="n">
        <f aca="false">SUM(S41:S54)</f>
        <v>1384104.432</v>
      </c>
      <c r="T55" s="209" t="n">
        <f aca="false">SUM(T41:T54)</f>
        <v>1377102.8064</v>
      </c>
      <c r="U55" s="209" t="n">
        <f aca="false">SUM(U41:U54)</f>
        <v>1370101.1808</v>
      </c>
      <c r="V55" s="209" t="n">
        <f aca="false">SUM(V41:V54)</f>
        <v>1363099.5552</v>
      </c>
      <c r="W55" s="209" t="n">
        <f aca="false">SUM(W41:W54)</f>
        <v>1356097.9296</v>
      </c>
      <c r="X55" s="210"/>
      <c r="Y55" s="211"/>
      <c r="Z55" s="212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</row>
    <row r="56" customFormat="false" ht="18.75" hidden="false" customHeight="true" outlineLevel="0" collapsed="false">
      <c r="B56" s="213" t="s">
        <v>41</v>
      </c>
      <c r="D56" s="214" t="n">
        <f aca="false">C55+D55</f>
        <v>-13804999.384</v>
      </c>
      <c r="E56" s="214" t="n">
        <f aca="false">D56+E55</f>
        <v>-12357760.1936</v>
      </c>
      <c r="F56" s="214" t="n">
        <f aca="false">E56+F55</f>
        <v>-10917522.6288</v>
      </c>
      <c r="G56" s="214" t="n">
        <f aca="false">F56+G55</f>
        <v>-9484286.6896</v>
      </c>
      <c r="H56" s="214" t="n">
        <f aca="false">G56+H55</f>
        <v>-8058052.376</v>
      </c>
      <c r="I56" s="214" t="n">
        <f aca="false">H56+I55</f>
        <v>-6638819.688</v>
      </c>
      <c r="J56" s="214" t="n">
        <f aca="false">I56+J55</f>
        <v>-5226588.6256</v>
      </c>
      <c r="K56" s="214" t="n">
        <f aca="false">J56+K55</f>
        <v>-3821359.1888</v>
      </c>
      <c r="L56" s="214" t="n">
        <f aca="false">K56+L55</f>
        <v>-2423131.3776</v>
      </c>
      <c r="M56" s="214" t="n">
        <f aca="false">L56+M55</f>
        <v>-1031905.192</v>
      </c>
      <c r="N56" s="214" t="n">
        <f aca="false">M56+N55</f>
        <v>387207.367999999</v>
      </c>
      <c r="O56" s="214" t="n">
        <f aca="false">N56+O55</f>
        <v>1799318.3024</v>
      </c>
      <c r="P56" s="214" t="n">
        <f aca="false">O56+P55</f>
        <v>3204427.6112</v>
      </c>
      <c r="Q56" s="214" t="n">
        <f aca="false">P56+Q55</f>
        <v>4602535.2944</v>
      </c>
      <c r="R56" s="214" t="n">
        <f aca="false">Q56+R55</f>
        <v>5993641.352</v>
      </c>
      <c r="S56" s="214" t="n">
        <f aca="false">R56+S55</f>
        <v>7377745.784</v>
      </c>
      <c r="T56" s="214" t="n">
        <f aca="false">S56+T55</f>
        <v>8754848.5904</v>
      </c>
      <c r="U56" s="214" t="n">
        <f aca="false">T56+U55</f>
        <v>10124949.7712</v>
      </c>
      <c r="V56" s="214" t="n">
        <f aca="false">U56+V55</f>
        <v>11488049.3264</v>
      </c>
      <c r="W56" s="214" t="n">
        <f aca="false">V56+W55</f>
        <v>12844147.256</v>
      </c>
      <c r="X56" s="214" t="n">
        <f aca="false">W56+X55</f>
        <v>12844147.256</v>
      </c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</row>
    <row r="57" customFormat="false" ht="18.75" hidden="false" customHeight="true" outlineLevel="0" collapsed="false">
      <c r="B57" s="215" t="s">
        <v>42</v>
      </c>
      <c r="C57" s="216"/>
      <c r="D57" s="217" t="str">
        <f aca="false">IF((D56)&gt;0,"回收","未回收")</f>
        <v>未回收</v>
      </c>
      <c r="E57" s="218" t="str">
        <f aca="false">IF((E56)&gt;0,"回收","未回收")</f>
        <v>未回收</v>
      </c>
      <c r="F57" s="218" t="str">
        <f aca="false">IF((F56)&gt;0,"回收","未回收")</f>
        <v>未回收</v>
      </c>
      <c r="G57" s="218" t="str">
        <f aca="false">IF((G56)&gt;0,"回收","未回收")</f>
        <v>未回收</v>
      </c>
      <c r="H57" s="218" t="str">
        <f aca="false">IF((H56)&gt;0,"回收","未回收")</f>
        <v>未回收</v>
      </c>
      <c r="I57" s="218" t="str">
        <f aca="false">IF((I56)&gt;0,"回收","未回收")</f>
        <v>未回收</v>
      </c>
      <c r="J57" s="218" t="str">
        <f aca="false">IF((J56)&gt;0,"回收","未回收")</f>
        <v>未回收</v>
      </c>
      <c r="K57" s="218" t="str">
        <f aca="false">IF((K56)&gt;0,"回收","未回收")</f>
        <v>未回收</v>
      </c>
      <c r="L57" s="218" t="str">
        <f aca="false">IF((L56)&gt;0,"回收","未回收")</f>
        <v>未回收</v>
      </c>
      <c r="M57" s="218" t="str">
        <f aca="false">IF((M56)&gt;0,"回收","未回收")</f>
        <v>未回收</v>
      </c>
      <c r="N57" s="218" t="str">
        <f aca="false">IF((N56)&gt;0,"回收","未回收")</f>
        <v>回收</v>
      </c>
      <c r="O57" s="218" t="str">
        <f aca="false">IF((O56)&gt;0,"回收","未回收")</f>
        <v>回收</v>
      </c>
      <c r="P57" s="218" t="str">
        <f aca="false">IF((P56)&gt;0,"回收","未回收")</f>
        <v>回收</v>
      </c>
      <c r="Q57" s="218" t="str">
        <f aca="false">IF((Q56)&gt;0,"回收","未回收")</f>
        <v>回收</v>
      </c>
      <c r="R57" s="218" t="str">
        <f aca="false">IF((R56)&gt;0,"回收","未回收")</f>
        <v>回收</v>
      </c>
      <c r="S57" s="218" t="str">
        <f aca="false">IF((S56)&gt;0,"回收","未回收")</f>
        <v>回收</v>
      </c>
      <c r="T57" s="218" t="str">
        <f aca="false">IF((T56)&gt;0,"回收","未回收")</f>
        <v>回收</v>
      </c>
      <c r="U57" s="218" t="str">
        <f aca="false">IF((U56)&gt;0,"回收","未回收")</f>
        <v>回收</v>
      </c>
      <c r="V57" s="218" t="str">
        <f aca="false">IF((V56)&gt;0,"回收","未回收")</f>
        <v>回收</v>
      </c>
      <c r="W57" s="218" t="str">
        <f aca="false">IF((W56)&gt;0,"回收","未回收")</f>
        <v>回收</v>
      </c>
      <c r="X57" s="218" t="str">
        <f aca="false">IF((X56)&gt;0,"回收","未回收")</f>
        <v>回收</v>
      </c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</row>
    <row r="58" customFormat="false" ht="18.75" hidden="false" customHeight="true" outlineLevel="0" collapsed="false">
      <c r="B58" s="95" t="s">
        <v>43</v>
      </c>
      <c r="C58" s="96" t="n">
        <f aca="false">IRR(C55:W55)</f>
        <v>0.067709579236254</v>
      </c>
      <c r="D58" s="97"/>
      <c r="E58" s="97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19"/>
      <c r="AJ58" s="219"/>
    </row>
    <row r="59" customFormat="false" ht="18.75" hidden="false" customHeight="true" outlineLevel="0" collapsed="false">
      <c r="B59" s="98"/>
      <c r="C59" s="97"/>
      <c r="D59" s="97"/>
      <c r="E59" s="97"/>
      <c r="F59" s="98"/>
      <c r="G59" s="98"/>
      <c r="H59" s="98"/>
      <c r="I59" s="98"/>
      <c r="J59" s="98"/>
      <c r="K59" s="98"/>
      <c r="L59" s="98"/>
      <c r="M59" s="97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</row>
    <row r="60" customFormat="false" ht="18.75" hidden="false" customHeight="true" outlineLevel="0" collapsed="false">
      <c r="B60" s="56"/>
      <c r="C60" s="57" t="s">
        <v>0</v>
      </c>
      <c r="D60" s="57" t="n">
        <f aca="false">D37</f>
        <v>2020</v>
      </c>
      <c r="E60" s="57" t="n">
        <f aca="false">E37</f>
        <v>2021</v>
      </c>
      <c r="F60" s="57" t="n">
        <f aca="false">F37</f>
        <v>2022</v>
      </c>
      <c r="G60" s="57" t="n">
        <f aca="false">G37</f>
        <v>2023</v>
      </c>
      <c r="H60" s="57" t="n">
        <f aca="false">H37</f>
        <v>2024</v>
      </c>
      <c r="I60" s="57" t="n">
        <f aca="false">I37</f>
        <v>2025</v>
      </c>
      <c r="J60" s="57" t="n">
        <f aca="false">J37</f>
        <v>2026</v>
      </c>
      <c r="K60" s="57" t="n">
        <f aca="false">K37</f>
        <v>2027</v>
      </c>
      <c r="L60" s="57" t="n">
        <f aca="false">L37</f>
        <v>2028</v>
      </c>
      <c r="M60" s="57" t="n">
        <f aca="false">M37</f>
        <v>2029</v>
      </c>
      <c r="N60" s="57" t="n">
        <f aca="false">N37</f>
        <v>2030</v>
      </c>
      <c r="O60" s="57" t="n">
        <f aca="false">O37</f>
        <v>2031</v>
      </c>
      <c r="P60" s="57" t="n">
        <f aca="false">P37</f>
        <v>2032</v>
      </c>
      <c r="Q60" s="57" t="n">
        <f aca="false">Q37</f>
        <v>2033</v>
      </c>
      <c r="R60" s="57" t="n">
        <f aca="false">R37</f>
        <v>2034</v>
      </c>
      <c r="S60" s="57" t="n">
        <f aca="false">S37</f>
        <v>2035</v>
      </c>
      <c r="T60" s="57" t="n">
        <f aca="false">T37</f>
        <v>2036</v>
      </c>
      <c r="U60" s="57" t="n">
        <f aca="false">U37</f>
        <v>2037</v>
      </c>
      <c r="V60" s="57" t="n">
        <f aca="false">V37</f>
        <v>2038</v>
      </c>
      <c r="W60" s="57" t="n">
        <f aca="false">W37</f>
        <v>2039</v>
      </c>
      <c r="X60" s="57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</row>
    <row r="61" customFormat="false" ht="18.75" hidden="false" customHeight="true" outlineLevel="0" collapsed="false">
      <c r="B61" s="58" t="n">
        <v>0</v>
      </c>
      <c r="C61" s="59"/>
      <c r="D61" s="60"/>
      <c r="E61" s="60"/>
      <c r="F61" s="61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99" t="s">
        <v>44</v>
      </c>
      <c r="U61" s="62"/>
      <c r="V61" s="62"/>
      <c r="W61" s="62"/>
      <c r="X61" s="185"/>
    </row>
    <row r="62" customFormat="false" ht="18.75" hidden="false" customHeight="true" outlineLevel="0" collapsed="false">
      <c r="B62" s="64" t="s">
        <v>23</v>
      </c>
      <c r="C62" s="65" t="n">
        <v>0</v>
      </c>
      <c r="D62" s="66" t="n">
        <v>1</v>
      </c>
      <c r="E62" s="66" t="n">
        <v>2</v>
      </c>
      <c r="F62" s="66" t="n">
        <v>3</v>
      </c>
      <c r="G62" s="66" t="n">
        <v>4</v>
      </c>
      <c r="H62" s="66" t="n">
        <v>5</v>
      </c>
      <c r="I62" s="66" t="n">
        <v>6</v>
      </c>
      <c r="J62" s="66" t="n">
        <v>7</v>
      </c>
      <c r="K62" s="66" t="n">
        <v>8</v>
      </c>
      <c r="L62" s="66" t="n">
        <v>9</v>
      </c>
      <c r="M62" s="66" t="n">
        <v>10</v>
      </c>
      <c r="N62" s="66" t="n">
        <v>11</v>
      </c>
      <c r="O62" s="66" t="n">
        <v>12</v>
      </c>
      <c r="P62" s="66" t="n">
        <v>13</v>
      </c>
      <c r="Q62" s="66" t="n">
        <v>14</v>
      </c>
      <c r="R62" s="66" t="n">
        <v>15</v>
      </c>
      <c r="S62" s="66" t="n">
        <v>16</v>
      </c>
      <c r="T62" s="101" t="n">
        <v>17</v>
      </c>
      <c r="U62" s="66" t="n">
        <v>18</v>
      </c>
      <c r="V62" s="66" t="n">
        <v>19</v>
      </c>
      <c r="W62" s="66" t="n">
        <v>20</v>
      </c>
      <c r="X62" s="186"/>
    </row>
    <row r="63" customFormat="false" ht="18.75" hidden="false" customHeight="true" outlineLevel="0" collapsed="false">
      <c r="B63" s="187" t="s">
        <v>137</v>
      </c>
      <c r="C63" s="69" t="n">
        <v>0</v>
      </c>
      <c r="D63" s="70" t="n">
        <f aca="false">D40</f>
        <v>541531.98</v>
      </c>
      <c r="E63" s="70" t="n">
        <f aca="false">E40</f>
        <v>539343.972</v>
      </c>
      <c r="F63" s="70" t="n">
        <f aca="false">F40</f>
        <v>537155.964</v>
      </c>
      <c r="G63" s="70" t="n">
        <f aca="false">G40</f>
        <v>534967.956</v>
      </c>
      <c r="H63" s="70" t="n">
        <f aca="false">H40</f>
        <v>532779.948</v>
      </c>
      <c r="I63" s="70" t="n">
        <f aca="false">I40</f>
        <v>530591.94</v>
      </c>
      <c r="J63" s="70" t="n">
        <f aca="false">J40</f>
        <v>528403.932</v>
      </c>
      <c r="K63" s="70" t="n">
        <f aca="false">K40</f>
        <v>526215.924</v>
      </c>
      <c r="L63" s="70" t="n">
        <f aca="false">L40</f>
        <v>524027.916</v>
      </c>
      <c r="M63" s="70" t="n">
        <f aca="false">M40</f>
        <v>521839.908</v>
      </c>
      <c r="N63" s="70" t="n">
        <f aca="false">N40</f>
        <v>519651.9</v>
      </c>
      <c r="O63" s="70" t="n">
        <f aca="false">O40</f>
        <v>517463.892</v>
      </c>
      <c r="P63" s="70" t="n">
        <f aca="false">P40</f>
        <v>515275.884</v>
      </c>
      <c r="Q63" s="70" t="n">
        <f aca="false">Q40</f>
        <v>513087.876</v>
      </c>
      <c r="R63" s="70" t="n">
        <f aca="false">R40</f>
        <v>510899.868</v>
      </c>
      <c r="S63" s="70" t="n">
        <f aca="false">S40</f>
        <v>508711.86</v>
      </c>
      <c r="T63" s="70" t="n">
        <f aca="false">T40</f>
        <v>506523.852</v>
      </c>
      <c r="U63" s="70" t="n">
        <f aca="false">U40</f>
        <v>504335.844</v>
      </c>
      <c r="V63" s="70" t="n">
        <f aca="false">V40</f>
        <v>502147.836</v>
      </c>
      <c r="W63" s="70" t="n">
        <f aca="false">W40</f>
        <v>499959.828</v>
      </c>
      <c r="X63" s="188"/>
    </row>
    <row r="64" customFormat="false" ht="18.75" hidden="false" customHeight="true" outlineLevel="0" collapsed="false">
      <c r="B64" s="189" t="s">
        <v>25</v>
      </c>
      <c r="C64" s="190" t="s">
        <v>26</v>
      </c>
      <c r="D64" s="191" t="n">
        <f aca="false">D41</f>
        <v>2166127.92</v>
      </c>
      <c r="E64" s="191" t="n">
        <f aca="false">E41</f>
        <v>2157375.888</v>
      </c>
      <c r="F64" s="191" t="n">
        <f aca="false">F41</f>
        <v>2148623.856</v>
      </c>
      <c r="G64" s="191" t="n">
        <f aca="false">G41</f>
        <v>2139871.824</v>
      </c>
      <c r="H64" s="191" t="n">
        <f aca="false">H41</f>
        <v>2131119.792</v>
      </c>
      <c r="I64" s="191" t="n">
        <f aca="false">I41</f>
        <v>2122367.76</v>
      </c>
      <c r="J64" s="191" t="n">
        <f aca="false">J41</f>
        <v>2113615.728</v>
      </c>
      <c r="K64" s="191" t="n">
        <f aca="false">K41</f>
        <v>2104863.696</v>
      </c>
      <c r="L64" s="191" t="n">
        <f aca="false">L41</f>
        <v>2096111.664</v>
      </c>
      <c r="M64" s="191" t="n">
        <f aca="false">M41</f>
        <v>2087359.632</v>
      </c>
      <c r="N64" s="191" t="n">
        <f aca="false">N41</f>
        <v>2078607.6</v>
      </c>
      <c r="O64" s="191" t="n">
        <f aca="false">O41</f>
        <v>2069855.568</v>
      </c>
      <c r="P64" s="191" t="n">
        <f aca="false">P41</f>
        <v>2061103.536</v>
      </c>
      <c r="Q64" s="191" t="n">
        <f aca="false">Q41</f>
        <v>2052351.504</v>
      </c>
      <c r="R64" s="191" t="n">
        <f aca="false">R41</f>
        <v>2043599.472</v>
      </c>
      <c r="S64" s="191" t="n">
        <f aca="false">S41</f>
        <v>2034847.44</v>
      </c>
      <c r="T64" s="191" t="n">
        <f aca="false">T41</f>
        <v>2026095.408</v>
      </c>
      <c r="U64" s="191" t="n">
        <f aca="false">U41</f>
        <v>2017343.376</v>
      </c>
      <c r="V64" s="191" t="n">
        <f aca="false">V41</f>
        <v>2008591.344</v>
      </c>
      <c r="W64" s="191" t="n">
        <f aca="false">W41</f>
        <v>1999839.312</v>
      </c>
      <c r="X64" s="192"/>
    </row>
    <row r="65" customFormat="false" ht="18.75" hidden="false" customHeight="true" outlineLevel="0" collapsed="false">
      <c r="B65" s="193" t="s">
        <v>27</v>
      </c>
      <c r="C65" s="194" t="s">
        <v>26</v>
      </c>
      <c r="D65" s="195"/>
      <c r="E65" s="195"/>
      <c r="F65" s="195"/>
      <c r="G65" s="196" t="s">
        <v>26</v>
      </c>
      <c r="H65" s="196" t="s">
        <v>26</v>
      </c>
      <c r="I65" s="196" t="s">
        <v>26</v>
      </c>
      <c r="J65" s="196" t="s">
        <v>26</v>
      </c>
      <c r="K65" s="196" t="s">
        <v>26</v>
      </c>
      <c r="L65" s="196" t="s">
        <v>26</v>
      </c>
      <c r="M65" s="196" t="s">
        <v>26</v>
      </c>
      <c r="N65" s="196" t="s">
        <v>26</v>
      </c>
      <c r="O65" s="196" t="s">
        <v>26</v>
      </c>
      <c r="P65" s="196" t="s">
        <v>26</v>
      </c>
      <c r="Q65" s="196" t="s">
        <v>26</v>
      </c>
      <c r="R65" s="196" t="s">
        <v>26</v>
      </c>
      <c r="S65" s="196" t="s">
        <v>26</v>
      </c>
      <c r="T65" s="196" t="s">
        <v>26</v>
      </c>
      <c r="U65" s="196" t="s">
        <v>26</v>
      </c>
      <c r="V65" s="196" t="s">
        <v>26</v>
      </c>
      <c r="W65" s="196" t="s">
        <v>26</v>
      </c>
      <c r="X65" s="197"/>
    </row>
    <row r="66" customFormat="false" ht="18.75" hidden="false" customHeight="true" outlineLevel="0" collapsed="false">
      <c r="B66" s="198" t="s">
        <v>28</v>
      </c>
      <c r="C66" s="199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1"/>
    </row>
    <row r="67" customFormat="false" ht="18.75" hidden="false" customHeight="true" outlineLevel="0" collapsed="false">
      <c r="B67" s="202" t="s">
        <v>45</v>
      </c>
      <c r="C67" s="194"/>
      <c r="D67" s="221" t="n">
        <f aca="false">$C$44/$E$16</f>
        <v>-760060</v>
      </c>
      <c r="E67" s="221" t="n">
        <f aca="false">$C$44/$E$16</f>
        <v>-760060</v>
      </c>
      <c r="F67" s="221" t="n">
        <f aca="false">$C$44/$E$16</f>
        <v>-760060</v>
      </c>
      <c r="G67" s="221" t="n">
        <f aca="false">$C$44/$E$16</f>
        <v>-760060</v>
      </c>
      <c r="H67" s="221" t="n">
        <f aca="false">$C$44/$E$16</f>
        <v>-760060</v>
      </c>
      <c r="I67" s="221" t="n">
        <f aca="false">$C$44/$E$16</f>
        <v>-760060</v>
      </c>
      <c r="J67" s="221" t="n">
        <f aca="false">$C$44/$E$16</f>
        <v>-760060</v>
      </c>
      <c r="K67" s="221" t="n">
        <f aca="false">$C$44/$E$16</f>
        <v>-760060</v>
      </c>
      <c r="L67" s="221" t="n">
        <f aca="false">$C$44/$E$16</f>
        <v>-760060</v>
      </c>
      <c r="M67" s="221" t="n">
        <f aca="false">$C$44/$E$16</f>
        <v>-760060</v>
      </c>
      <c r="N67" s="221" t="n">
        <f aca="false">$C$44/$E$16</f>
        <v>-760060</v>
      </c>
      <c r="O67" s="221" t="n">
        <f aca="false">$C$44/$E$16</f>
        <v>-760060</v>
      </c>
      <c r="P67" s="221" t="n">
        <f aca="false">$C$44/$E$16</f>
        <v>-760060</v>
      </c>
      <c r="Q67" s="221" t="n">
        <f aca="false">$C$44/$E$16</f>
        <v>-760060</v>
      </c>
      <c r="R67" s="221" t="n">
        <f aca="false">$C$44/$E$16</f>
        <v>-760060</v>
      </c>
      <c r="S67" s="221" t="n">
        <f aca="false">$C$44/$E$16</f>
        <v>-760060</v>
      </c>
      <c r="T67" s="221" t="n">
        <f aca="false">$C$44/$E$16</f>
        <v>-760060</v>
      </c>
      <c r="U67" s="221" t="n">
        <f aca="false">$C$44/$E$16</f>
        <v>-760060</v>
      </c>
      <c r="V67" s="221" t="n">
        <f aca="false">$C$44/$E$16</f>
        <v>-760060</v>
      </c>
      <c r="W67" s="221" t="n">
        <f aca="false">$C$44/$E$16</f>
        <v>-760060</v>
      </c>
      <c r="X67" s="197"/>
    </row>
    <row r="68" customFormat="false" ht="18.75" hidden="false" customHeight="true" outlineLevel="0" collapsed="false">
      <c r="B68" s="202" t="s">
        <v>30</v>
      </c>
      <c r="C68" s="194" t="s">
        <v>26</v>
      </c>
      <c r="D68" s="204" t="n">
        <f aca="false">D44</f>
        <v>0</v>
      </c>
      <c r="E68" s="204" t="n">
        <f aca="false">E45</f>
        <v>-290201</v>
      </c>
      <c r="F68" s="204" t="n">
        <f aca="false">F45</f>
        <v>-290201</v>
      </c>
      <c r="G68" s="204" t="n">
        <f aca="false">G45</f>
        <v>-290201</v>
      </c>
      <c r="H68" s="204" t="n">
        <f aca="false">H45</f>
        <v>-290201</v>
      </c>
      <c r="I68" s="204" t="n">
        <f aca="false">I45</f>
        <v>-290201</v>
      </c>
      <c r="J68" s="204" t="n">
        <f aca="false">J45</f>
        <v>-290201</v>
      </c>
      <c r="K68" s="204" t="n">
        <f aca="false">K45</f>
        <v>-290201</v>
      </c>
      <c r="L68" s="204" t="n">
        <f aca="false">L45</f>
        <v>-290201</v>
      </c>
      <c r="M68" s="204" t="n">
        <f aca="false">M45</f>
        <v>-290201</v>
      </c>
      <c r="N68" s="204" t="n">
        <f aca="false">N45</f>
        <v>-290201</v>
      </c>
      <c r="O68" s="204" t="n">
        <f aca="false">O45</f>
        <v>-290201</v>
      </c>
      <c r="P68" s="204" t="n">
        <f aca="false">P45</f>
        <v>-290201</v>
      </c>
      <c r="Q68" s="204" t="n">
        <f aca="false">Q45</f>
        <v>-290201</v>
      </c>
      <c r="R68" s="204" t="n">
        <f aca="false">R45</f>
        <v>-290201</v>
      </c>
      <c r="S68" s="204" t="n">
        <f aca="false">S45</f>
        <v>-290201</v>
      </c>
      <c r="T68" s="204" t="n">
        <f aca="false">T45</f>
        <v>-290201</v>
      </c>
      <c r="U68" s="204" t="n">
        <f aca="false">U45</f>
        <v>-290201</v>
      </c>
      <c r="V68" s="204" t="n">
        <f aca="false">V45</f>
        <v>-290201</v>
      </c>
      <c r="W68" s="204" t="n">
        <f aca="false">W45</f>
        <v>-290201</v>
      </c>
      <c r="X68" s="197"/>
    </row>
    <row r="69" customFormat="false" ht="18.75" hidden="false" customHeight="true" outlineLevel="0" collapsed="false">
      <c r="B69" s="202" t="s">
        <v>31</v>
      </c>
      <c r="C69" s="194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7"/>
    </row>
    <row r="70" customFormat="false" ht="18.75" hidden="false" customHeight="true" outlineLevel="0" collapsed="false">
      <c r="B70" s="202" t="s">
        <v>32</v>
      </c>
      <c r="C70" s="194" t="s">
        <v>26</v>
      </c>
      <c r="D70" s="204" t="n">
        <v>0</v>
      </c>
      <c r="E70" s="204" t="n">
        <v>0</v>
      </c>
      <c r="F70" s="204" t="n">
        <v>0</v>
      </c>
      <c r="G70" s="204" t="n">
        <v>0</v>
      </c>
      <c r="H70" s="204" t="n">
        <v>0</v>
      </c>
      <c r="I70" s="204" t="n">
        <v>0</v>
      </c>
      <c r="J70" s="204" t="n">
        <v>0</v>
      </c>
      <c r="K70" s="204" t="n">
        <v>0</v>
      </c>
      <c r="L70" s="204" t="n">
        <v>0</v>
      </c>
      <c r="M70" s="204" t="n">
        <v>0</v>
      </c>
      <c r="N70" s="204" t="n">
        <v>0</v>
      </c>
      <c r="O70" s="204" t="n">
        <v>0</v>
      </c>
      <c r="P70" s="204" t="n">
        <v>0</v>
      </c>
      <c r="Q70" s="204" t="n">
        <v>0</v>
      </c>
      <c r="R70" s="204" t="n">
        <v>0</v>
      </c>
      <c r="S70" s="204" t="n">
        <v>0</v>
      </c>
      <c r="T70" s="204" t="n">
        <v>0</v>
      </c>
      <c r="U70" s="204" t="n">
        <v>0</v>
      </c>
      <c r="V70" s="204" t="n">
        <v>0</v>
      </c>
      <c r="W70" s="204" t="n">
        <v>0</v>
      </c>
      <c r="X70" s="197"/>
    </row>
    <row r="71" customFormat="false" ht="18.75" hidden="false" customHeight="true" outlineLevel="0" collapsed="false">
      <c r="B71" s="202" t="s">
        <v>33</v>
      </c>
      <c r="C71" s="194" t="s">
        <v>26</v>
      </c>
      <c r="D71" s="204" t="n">
        <f aca="false">D48</f>
        <v>-174440</v>
      </c>
      <c r="E71" s="204" t="n">
        <f aca="false">E48</f>
        <v>-174440</v>
      </c>
      <c r="F71" s="204" t="n">
        <f aca="false">F48</f>
        <v>-174440</v>
      </c>
      <c r="G71" s="204" t="n">
        <f aca="false">G48</f>
        <v>-174440</v>
      </c>
      <c r="H71" s="204" t="n">
        <f aca="false">H48</f>
        <v>-174440</v>
      </c>
      <c r="I71" s="204" t="n">
        <f aca="false">I48</f>
        <v>-174440</v>
      </c>
      <c r="J71" s="204" t="n">
        <f aca="false">J48</f>
        <v>-174440</v>
      </c>
      <c r="K71" s="204" t="n">
        <f aca="false">K48</f>
        <v>-174440</v>
      </c>
      <c r="L71" s="204" t="n">
        <f aca="false">L48</f>
        <v>-174440</v>
      </c>
      <c r="M71" s="204" t="n">
        <f aca="false">M48</f>
        <v>-174440</v>
      </c>
      <c r="N71" s="204" t="n">
        <f aca="false">N48</f>
        <v>-174440</v>
      </c>
      <c r="O71" s="204" t="n">
        <f aca="false">O48</f>
        <v>-174440</v>
      </c>
      <c r="P71" s="204" t="n">
        <f aca="false">P48</f>
        <v>-174440</v>
      </c>
      <c r="Q71" s="204" t="n">
        <f aca="false">Q48</f>
        <v>-174440</v>
      </c>
      <c r="R71" s="204" t="n">
        <f aca="false">R48</f>
        <v>-174440</v>
      </c>
      <c r="S71" s="204" t="n">
        <f aca="false">S48</f>
        <v>-174440</v>
      </c>
      <c r="T71" s="204" t="n">
        <f aca="false">T48</f>
        <v>-174440</v>
      </c>
      <c r="U71" s="204" t="n">
        <f aca="false">U48</f>
        <v>-174440</v>
      </c>
      <c r="V71" s="204" t="n">
        <f aca="false">V48</f>
        <v>-174440</v>
      </c>
      <c r="W71" s="204" t="n">
        <f aca="false">W48</f>
        <v>-174440</v>
      </c>
      <c r="X71" s="197"/>
    </row>
    <row r="72" customFormat="false" ht="18.75" hidden="false" customHeight="true" outlineLevel="0" collapsed="false">
      <c r="B72" s="202" t="s">
        <v>34</v>
      </c>
      <c r="C72" s="194" t="s">
        <v>26</v>
      </c>
      <c r="D72" s="204" t="n">
        <f aca="false">D49</f>
        <v>-30090.9</v>
      </c>
      <c r="E72" s="204" t="n">
        <f aca="false">E49</f>
        <v>-30090.9</v>
      </c>
      <c r="F72" s="204" t="n">
        <f aca="false">F49</f>
        <v>-30090.9</v>
      </c>
      <c r="G72" s="204" t="n">
        <f aca="false">G49</f>
        <v>-30090.9</v>
      </c>
      <c r="H72" s="204" t="n">
        <f aca="false">H49</f>
        <v>-30090.9</v>
      </c>
      <c r="I72" s="204" t="n">
        <f aca="false">I49</f>
        <v>-30090.9</v>
      </c>
      <c r="J72" s="204" t="n">
        <f aca="false">J49</f>
        <v>-30090.9</v>
      </c>
      <c r="K72" s="204" t="n">
        <f aca="false">K49</f>
        <v>-30090.9</v>
      </c>
      <c r="L72" s="204" t="n">
        <f aca="false">L49</f>
        <v>-30090.9</v>
      </c>
      <c r="M72" s="204" t="n">
        <f aca="false">M49</f>
        <v>-30090.9</v>
      </c>
      <c r="N72" s="204" t="n">
        <f aca="false">N49</f>
        <v>-30090.9</v>
      </c>
      <c r="O72" s="204" t="n">
        <f aca="false">O49</f>
        <v>-30090.9</v>
      </c>
      <c r="P72" s="204" t="n">
        <f aca="false">P49</f>
        <v>-30090.9</v>
      </c>
      <c r="Q72" s="204" t="n">
        <f aca="false">Q49</f>
        <v>-30090.9</v>
      </c>
      <c r="R72" s="204" t="n">
        <f aca="false">R49</f>
        <v>-30090.9</v>
      </c>
      <c r="S72" s="204" t="n">
        <f aca="false">S49</f>
        <v>-30090.9</v>
      </c>
      <c r="T72" s="204" t="n">
        <f aca="false">T49</f>
        <v>-30090.9</v>
      </c>
      <c r="U72" s="204" t="n">
        <f aca="false">U49</f>
        <v>-30090.9</v>
      </c>
      <c r="V72" s="204" t="n">
        <f aca="false">V49</f>
        <v>-30090.9</v>
      </c>
      <c r="W72" s="204" t="n">
        <f aca="false">W49</f>
        <v>-30090.9</v>
      </c>
      <c r="X72" s="197"/>
    </row>
    <row r="73" customFormat="false" ht="18.75" hidden="false" customHeight="true" outlineLevel="0" collapsed="false">
      <c r="B73" s="202" t="s">
        <v>35</v>
      </c>
      <c r="C73" s="194"/>
      <c r="D73" s="204" t="n">
        <f aca="false">D50</f>
        <v>-43610</v>
      </c>
      <c r="E73" s="204" t="n">
        <f aca="false">E50</f>
        <v>-43610</v>
      </c>
      <c r="F73" s="204" t="n">
        <f aca="false">F50</f>
        <v>-43610</v>
      </c>
      <c r="G73" s="204" t="n">
        <f aca="false">G50</f>
        <v>-43610</v>
      </c>
      <c r="H73" s="204" t="n">
        <f aca="false">H50</f>
        <v>-43610</v>
      </c>
      <c r="I73" s="204" t="n">
        <f aca="false">I50</f>
        <v>-43610</v>
      </c>
      <c r="J73" s="204" t="n">
        <f aca="false">J50</f>
        <v>-43610</v>
      </c>
      <c r="K73" s="204" t="n">
        <f aca="false">K50</f>
        <v>-43610</v>
      </c>
      <c r="L73" s="204" t="n">
        <f aca="false">L50</f>
        <v>-43610</v>
      </c>
      <c r="M73" s="204" t="n">
        <f aca="false">M50</f>
        <v>-43610</v>
      </c>
      <c r="N73" s="204" t="n">
        <f aca="false">N50</f>
        <v>0</v>
      </c>
      <c r="O73" s="204" t="n">
        <f aca="false">O50</f>
        <v>0</v>
      </c>
      <c r="P73" s="204" t="n">
        <f aca="false">P50</f>
        <v>0</v>
      </c>
      <c r="Q73" s="204" t="n">
        <f aca="false">Q50</f>
        <v>0</v>
      </c>
      <c r="R73" s="204" t="n">
        <f aca="false">R50</f>
        <v>0</v>
      </c>
      <c r="S73" s="204" t="n">
        <f aca="false">S50</f>
        <v>0</v>
      </c>
      <c r="T73" s="204" t="n">
        <f aca="false">T50</f>
        <v>0</v>
      </c>
      <c r="U73" s="204" t="n">
        <f aca="false">U50</f>
        <v>0</v>
      </c>
      <c r="V73" s="204" t="n">
        <f aca="false">V50</f>
        <v>0</v>
      </c>
      <c r="W73" s="204" t="n">
        <f aca="false">W50</f>
        <v>0</v>
      </c>
      <c r="X73" s="197"/>
    </row>
    <row r="74" customFormat="false" ht="18.75" hidden="false" customHeight="true" outlineLevel="0" collapsed="false">
      <c r="B74" s="202" t="s">
        <v>36</v>
      </c>
      <c r="C74" s="205"/>
      <c r="D74" s="222"/>
      <c r="E74" s="223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7"/>
    </row>
    <row r="75" customFormat="false" ht="18.75" hidden="false" customHeight="true" outlineLevel="0" collapsed="false">
      <c r="B75" s="202" t="s">
        <v>37</v>
      </c>
      <c r="C75" s="20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7"/>
    </row>
    <row r="76" customFormat="false" ht="18.75" hidden="false" customHeight="true" outlineLevel="0" collapsed="false">
      <c r="B76" s="207" t="s">
        <v>46</v>
      </c>
      <c r="C76" s="224"/>
      <c r="D76" s="209" t="n">
        <f aca="false">SUM(D64:D75)</f>
        <v>1157927.02</v>
      </c>
      <c r="E76" s="209" t="n">
        <f aca="false">SUM(E64:E75)</f>
        <v>858973.988</v>
      </c>
      <c r="F76" s="209" t="n">
        <f aca="false">SUM(F64:F75)</f>
        <v>850221.956</v>
      </c>
      <c r="G76" s="209" t="n">
        <f aca="false">SUM(G64:G75)</f>
        <v>841469.924</v>
      </c>
      <c r="H76" s="209" t="n">
        <f aca="false">SUM(H64:H75)</f>
        <v>832717.892</v>
      </c>
      <c r="I76" s="209" t="n">
        <f aca="false">SUM(I64:I75)</f>
        <v>823965.86</v>
      </c>
      <c r="J76" s="209" t="n">
        <f aca="false">SUM(J64:J75)</f>
        <v>815213.828</v>
      </c>
      <c r="K76" s="209" t="n">
        <f aca="false">SUM(K64:K75)</f>
        <v>806461.796</v>
      </c>
      <c r="L76" s="209" t="n">
        <f aca="false">SUM(L64:L75)</f>
        <v>797709.764</v>
      </c>
      <c r="M76" s="209" t="n">
        <f aca="false">SUM(M64:M75)</f>
        <v>788957.732</v>
      </c>
      <c r="N76" s="209" t="n">
        <f aca="false">SUM(N64:N75)</f>
        <v>823815.7</v>
      </c>
      <c r="O76" s="209" t="n">
        <f aca="false">SUM(O64:O75)</f>
        <v>815063.668</v>
      </c>
      <c r="P76" s="209" t="n">
        <f aca="false">SUM(P64:P75)</f>
        <v>806311.636</v>
      </c>
      <c r="Q76" s="209" t="n">
        <f aca="false">SUM(Q64:Q75)</f>
        <v>797559.604</v>
      </c>
      <c r="R76" s="209" t="n">
        <f aca="false">SUM(R64:R75)</f>
        <v>788807.572</v>
      </c>
      <c r="S76" s="209" t="n">
        <f aca="false">SUM(S64:S75)</f>
        <v>780055.54</v>
      </c>
      <c r="T76" s="209" t="n">
        <f aca="false">SUM(T64:T75)</f>
        <v>771303.508</v>
      </c>
      <c r="U76" s="209" t="n">
        <f aca="false">SUM(U64:U75)</f>
        <v>762551.476</v>
      </c>
      <c r="V76" s="209" t="n">
        <f aca="false">SUM(V64:V75)</f>
        <v>753799.444</v>
      </c>
      <c r="W76" s="209" t="n">
        <f aca="false">SUM(W64:W75)</f>
        <v>745047.412</v>
      </c>
      <c r="X76" s="209" t="n">
        <f aca="false">SUM(X64:X75)</f>
        <v>0</v>
      </c>
    </row>
    <row r="77" customFormat="false" ht="18.75" hidden="false" customHeight="true" outlineLevel="0" collapsed="false">
      <c r="B77" s="206" t="s">
        <v>39</v>
      </c>
      <c r="C77" s="205"/>
      <c r="D77" s="204" t="n">
        <f aca="false">-D76*0.2</f>
        <v>-231585.404</v>
      </c>
      <c r="E77" s="204" t="n">
        <f aca="false">-E76*0.2</f>
        <v>-171794.7976</v>
      </c>
      <c r="F77" s="204" t="n">
        <f aca="false">-F76*0.2</f>
        <v>-170044.3912</v>
      </c>
      <c r="G77" s="204" t="n">
        <f aca="false">-G76*0.2</f>
        <v>-168293.9848</v>
      </c>
      <c r="H77" s="204" t="n">
        <f aca="false">-H76*0.2</f>
        <v>-166543.5784</v>
      </c>
      <c r="I77" s="204" t="n">
        <f aca="false">-I76*0.2</f>
        <v>-164793.172</v>
      </c>
      <c r="J77" s="204" t="n">
        <f aca="false">-J76*0.2</f>
        <v>-163042.7656</v>
      </c>
      <c r="K77" s="204" t="n">
        <f aca="false">-K76*0.2</f>
        <v>-161292.3592</v>
      </c>
      <c r="L77" s="204" t="n">
        <f aca="false">-L76*0.2</f>
        <v>-159541.9528</v>
      </c>
      <c r="M77" s="204" t="n">
        <f aca="false">-M76*0.2</f>
        <v>-157791.5464</v>
      </c>
      <c r="N77" s="204" t="n">
        <f aca="false">-N76*0.2</f>
        <v>-164763.14</v>
      </c>
      <c r="O77" s="204" t="n">
        <f aca="false">-O76*0.2</f>
        <v>-163012.7336</v>
      </c>
      <c r="P77" s="204" t="n">
        <f aca="false">-P76*0.2</f>
        <v>-161262.3272</v>
      </c>
      <c r="Q77" s="204" t="n">
        <f aca="false">-Q76*0.2</f>
        <v>-159511.9208</v>
      </c>
      <c r="R77" s="204" t="n">
        <f aca="false">-R76*0.2</f>
        <v>-157761.5144</v>
      </c>
      <c r="S77" s="204" t="n">
        <f aca="false">-S76*0.2</f>
        <v>-156011.108</v>
      </c>
      <c r="T77" s="204" t="n">
        <f aca="false">-T76*0.2</f>
        <v>-154260.7016</v>
      </c>
      <c r="U77" s="204" t="n">
        <f aca="false">-U76*0.2</f>
        <v>-152510.2952</v>
      </c>
      <c r="V77" s="204" t="n">
        <f aca="false">-V76*0.2</f>
        <v>-150759.8888</v>
      </c>
      <c r="W77" s="204" t="n">
        <f aca="false">-W76*0.2</f>
        <v>-149009.4824</v>
      </c>
      <c r="X77" s="204" t="n">
        <f aca="false">-X76*0.2</f>
        <v>-0</v>
      </c>
    </row>
    <row r="78" customFormat="false" ht="15.75" hidden="false" customHeight="true" outlineLevel="0" collapsed="false">
      <c r="B78" s="225" t="s">
        <v>47</v>
      </c>
      <c r="D78" s="204" t="n">
        <f aca="false">SUM(D76:D77)</f>
        <v>926341.616</v>
      </c>
      <c r="E78" s="204" t="n">
        <f aca="false">SUM(E76:E77)</f>
        <v>687179.1904</v>
      </c>
      <c r="F78" s="204" t="n">
        <f aca="false">SUM(F76:F77)</f>
        <v>680177.5648</v>
      </c>
      <c r="G78" s="204" t="n">
        <f aca="false">SUM(G76:G77)</f>
        <v>673175.9392</v>
      </c>
      <c r="H78" s="204" t="n">
        <f aca="false">SUM(H76:H77)</f>
        <v>666174.3136</v>
      </c>
      <c r="I78" s="204" t="n">
        <f aca="false">SUM(I76:I77)</f>
        <v>659172.688</v>
      </c>
      <c r="J78" s="204" t="n">
        <f aca="false">SUM(J76:J77)</f>
        <v>652171.0624</v>
      </c>
      <c r="K78" s="204" t="n">
        <f aca="false">SUM(K76:K77)</f>
        <v>645169.4368</v>
      </c>
      <c r="L78" s="204" t="n">
        <f aca="false">SUM(L76:L77)</f>
        <v>638167.8112</v>
      </c>
      <c r="M78" s="204" t="n">
        <f aca="false">SUM(M76:M77)</f>
        <v>631166.1856</v>
      </c>
      <c r="N78" s="204" t="n">
        <f aca="false">SUM(N76:N77)</f>
        <v>659052.56</v>
      </c>
      <c r="O78" s="204" t="n">
        <f aca="false">SUM(O76:O77)</f>
        <v>652050.9344</v>
      </c>
      <c r="P78" s="204" t="n">
        <f aca="false">SUM(P76:P77)</f>
        <v>645049.3088</v>
      </c>
      <c r="Q78" s="204" t="n">
        <f aca="false">SUM(Q76:Q77)</f>
        <v>638047.6832</v>
      </c>
      <c r="R78" s="204" t="n">
        <f aca="false">SUM(R76:R77)</f>
        <v>631046.0576</v>
      </c>
      <c r="S78" s="204" t="n">
        <f aca="false">SUM(S76:S77)</f>
        <v>624044.432</v>
      </c>
      <c r="T78" s="204" t="n">
        <f aca="false">SUM(T76:T77)</f>
        <v>617042.8064</v>
      </c>
      <c r="U78" s="204" t="n">
        <f aca="false">SUM(U76:U77)</f>
        <v>610041.1808</v>
      </c>
      <c r="V78" s="204" t="n">
        <f aca="false">SUM(V76:V77)</f>
        <v>603039.5552</v>
      </c>
      <c r="W78" s="204" t="n">
        <f aca="false">SUM(W76:W77)</f>
        <v>596037.9296</v>
      </c>
      <c r="X78" s="204" t="n">
        <f aca="false">SUM(X76:X77)</f>
        <v>0</v>
      </c>
    </row>
    <row r="79" customFormat="false" ht="18.75" hidden="false" customHeight="true" outlineLevel="0" collapsed="false">
      <c r="B79" s="213" t="s">
        <v>41</v>
      </c>
      <c r="C79" s="21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7"/>
    </row>
    <row r="80" customFormat="false" ht="18.75" hidden="false" customHeight="true" outlineLevel="0" collapsed="false">
      <c r="B80" s="112" t="s">
        <v>42</v>
      </c>
      <c r="C80" s="113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9"/>
    </row>
    <row r="81" customFormat="false" ht="18.75" hidden="false" customHeight="true" outlineLevel="0" collapsed="false">
      <c r="B81" s="98"/>
      <c r="C81" s="97"/>
      <c r="D81" s="97"/>
      <c r="E81" s="97"/>
      <c r="F81" s="98"/>
      <c r="G81" s="98"/>
      <c r="H81" s="98"/>
      <c r="I81" s="98"/>
      <c r="J81" s="98"/>
      <c r="K81" s="98"/>
      <c r="L81" s="98"/>
      <c r="M81" s="97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37"/>
    <col collapsed="false" customWidth="true" hidden="false" outlineLevel="0" max="6" min="6" style="1" width="50"/>
    <col collapsed="false" customWidth="true" hidden="false" outlineLevel="0" max="7" min="7" style="1" width="37"/>
    <col collapsed="false" customWidth="true" hidden="false" outlineLevel="0" max="13" min="13" style="1" width="50"/>
    <col collapsed="false" customWidth="true" hidden="false" outlineLevel="0" max="14" min="14" style="1" width="37"/>
    <col collapsed="false" customWidth="true" hidden="false" outlineLevel="0" max="24" min="24" style="1" width="30"/>
    <col collapsed="false" customWidth="true" hidden="false" outlineLevel="0" max="25" min="25" style="1" width="10"/>
    <col collapsed="false" customWidth="true" hidden="false" outlineLevel="0" max="28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137" t="s">
        <v>63</v>
      </c>
      <c r="C1" s="138"/>
      <c r="D1" s="138"/>
      <c r="E1" s="139"/>
      <c r="F1" s="140" t="s">
        <v>64</v>
      </c>
      <c r="P1" s="141" t="n">
        <f aca="false">1-D11</f>
        <v>0.99</v>
      </c>
      <c r="Q1" s="141" t="n">
        <f aca="false">P1-$D12</f>
        <v>0.986</v>
      </c>
      <c r="R1" s="141" t="n">
        <f aca="false">Q1-$D12</f>
        <v>0.982</v>
      </c>
      <c r="S1" s="141" t="n">
        <f aca="false">R1-$D12</f>
        <v>0.978</v>
      </c>
      <c r="T1" s="141" t="n">
        <f aca="false">S1-$D12</f>
        <v>0.974</v>
      </c>
      <c r="U1" s="141" t="n">
        <f aca="false">T1-$D12</f>
        <v>0.97</v>
      </c>
      <c r="V1" s="141" t="n">
        <f aca="false">U1-$D12</f>
        <v>0.966</v>
      </c>
      <c r="W1" s="141" t="n">
        <f aca="false">V1-$D12</f>
        <v>0.962</v>
      </c>
      <c r="X1" s="141" t="n">
        <f aca="false">W1-$D12</f>
        <v>0.958</v>
      </c>
      <c r="Y1" s="141" t="n">
        <f aca="false">X1-$D12</f>
        <v>0.954</v>
      </c>
      <c r="Z1" s="141" t="n">
        <f aca="false">Y1-$D12</f>
        <v>0.95</v>
      </c>
      <c r="AA1" s="141" t="n">
        <f aca="false">Z1-$D12</f>
        <v>0.946</v>
      </c>
      <c r="AB1" s="141" t="n">
        <f aca="false">AA1-$D12</f>
        <v>0.942</v>
      </c>
      <c r="AC1" s="141" t="n">
        <f aca="false">AB1-$D12</f>
        <v>0.938</v>
      </c>
      <c r="AD1" s="141" t="n">
        <f aca="false">AC1-$D12</f>
        <v>0.934</v>
      </c>
      <c r="AE1" s="141" t="n">
        <f aca="false">AD1-$D12</f>
        <v>0.93</v>
      </c>
      <c r="AF1" s="141" t="n">
        <f aca="false">AE1-$D12</f>
        <v>0.926</v>
      </c>
      <c r="AG1" s="141" t="n">
        <f aca="false">AF1-$D12</f>
        <v>0.922</v>
      </c>
      <c r="AH1" s="141" t="n">
        <f aca="false">AG1-$D12</f>
        <v>0.918</v>
      </c>
      <c r="AI1" s="141" t="n">
        <f aca="false">AH1-$D12</f>
        <v>0.914</v>
      </c>
    </row>
    <row r="2" customFormat="false" ht="21.75" hidden="false" customHeight="true" outlineLevel="0" collapsed="false">
      <c r="B2" s="142" t="s">
        <v>65</v>
      </c>
      <c r="C2" s="143" t="s">
        <v>2</v>
      </c>
      <c r="D2" s="144" t="s">
        <v>26</v>
      </c>
      <c r="E2" s="145" t="s">
        <v>26</v>
      </c>
      <c r="F2" s="146" t="s">
        <v>66</v>
      </c>
    </row>
    <row r="3" customFormat="false" ht="21.75" hidden="false" customHeight="true" outlineLevel="0" collapsed="false">
      <c r="B3" s="147" t="s">
        <v>67</v>
      </c>
      <c r="C3" s="148" t="n">
        <v>20</v>
      </c>
      <c r="D3" s="149" t="s">
        <v>26</v>
      </c>
      <c r="E3" s="150" t="s">
        <v>26</v>
      </c>
      <c r="F3" s="151" t="s">
        <v>68</v>
      </c>
    </row>
    <row r="4" customFormat="false" ht="21.75" hidden="false" customHeight="true" outlineLevel="0" collapsed="false">
      <c r="B4" s="147" t="s">
        <v>69</v>
      </c>
      <c r="C4" s="148" t="n">
        <v>436.1</v>
      </c>
      <c r="D4" s="149" t="s">
        <v>26</v>
      </c>
      <c r="E4" s="150" t="s">
        <v>26</v>
      </c>
      <c r="F4" s="151" t="s">
        <v>70</v>
      </c>
      <c r="M4" s="152" t="s">
        <v>156</v>
      </c>
    </row>
    <row r="5" customFormat="false" ht="22.5" hidden="false" customHeight="true" outlineLevel="0" collapsed="false">
      <c r="B5" s="153" t="s">
        <v>72</v>
      </c>
      <c r="C5" s="148" t="n">
        <v>2020</v>
      </c>
      <c r="D5" s="153" t="s">
        <v>73</v>
      </c>
      <c r="E5" s="154" t="n">
        <v>2039</v>
      </c>
      <c r="F5" s="151" t="s">
        <v>74</v>
      </c>
      <c r="M5" s="152" t="s">
        <v>157</v>
      </c>
    </row>
    <row r="6" customFormat="false" ht="20.25" hidden="false" customHeight="true" outlineLevel="0" collapsed="false">
      <c r="B6" s="155"/>
      <c r="C6" s="155"/>
      <c r="D6" s="155"/>
      <c r="E6" s="155"/>
      <c r="M6" s="152" t="s">
        <v>158</v>
      </c>
    </row>
    <row r="7" customFormat="false" ht="22.5" hidden="false" customHeight="true" outlineLevel="0" collapsed="false">
      <c r="B7" s="137" t="s">
        <v>77</v>
      </c>
      <c r="C7" s="138"/>
      <c r="D7" s="138"/>
      <c r="E7" s="139"/>
      <c r="M7" s="152" t="s">
        <v>159</v>
      </c>
    </row>
    <row r="8" customFormat="false" ht="22.5" hidden="false" customHeight="true" outlineLevel="0" collapsed="false">
      <c r="B8" s="156" t="s">
        <v>79</v>
      </c>
      <c r="E8" s="157"/>
      <c r="M8" s="152" t="s">
        <v>160</v>
      </c>
    </row>
    <row r="9" customFormat="false" ht="22.5" hidden="false" customHeight="true" outlineLevel="0" collapsed="false">
      <c r="B9" s="158" t="s">
        <v>81</v>
      </c>
      <c r="C9" s="159" t="s">
        <v>82</v>
      </c>
      <c r="D9" s="159" t="s">
        <v>83</v>
      </c>
      <c r="E9" s="160" t="s">
        <v>84</v>
      </c>
      <c r="F9" s="140" t="s">
        <v>64</v>
      </c>
      <c r="M9" s="152" t="s">
        <v>85</v>
      </c>
    </row>
    <row r="10" customFormat="false" ht="30" hidden="false" customHeight="true" outlineLevel="0" collapsed="false">
      <c r="B10" s="161" t="s">
        <v>86</v>
      </c>
      <c r="C10" s="162" t="s">
        <v>87</v>
      </c>
      <c r="D10" s="163" t="n">
        <v>547002</v>
      </c>
      <c r="E10" s="164" t="n">
        <v>20</v>
      </c>
      <c r="F10" s="151" t="s">
        <v>88</v>
      </c>
      <c r="M10" s="152" t="s">
        <v>161</v>
      </c>
    </row>
    <row r="11" customFormat="false" ht="30" hidden="false" customHeight="true" outlineLevel="0" collapsed="false">
      <c r="B11" s="165"/>
      <c r="C11" s="153" t="s">
        <v>90</v>
      </c>
      <c r="D11" s="166" t="n">
        <v>0.01</v>
      </c>
      <c r="E11" s="167"/>
      <c r="F11" s="151" t="s">
        <v>91</v>
      </c>
    </row>
    <row r="12" customFormat="false" ht="30" hidden="false" customHeight="true" outlineLevel="0" collapsed="false">
      <c r="B12" s="165"/>
      <c r="C12" s="153" t="s">
        <v>92</v>
      </c>
      <c r="D12" s="168" t="n">
        <v>0.004</v>
      </c>
      <c r="E12" s="167"/>
      <c r="F12" s="151" t="s">
        <v>93</v>
      </c>
    </row>
    <row r="13" customFormat="false" ht="22.5" hidden="false" customHeight="true" outlineLevel="0" collapsed="false">
      <c r="B13" s="165"/>
      <c r="C13" s="169" t="s">
        <v>94</v>
      </c>
      <c r="D13" s="170" t="n">
        <v>4</v>
      </c>
      <c r="E13" s="167"/>
      <c r="F13" s="151" t="s">
        <v>95</v>
      </c>
    </row>
    <row r="14" customFormat="false" ht="22.5" hidden="false" customHeight="true" outlineLevel="0" collapsed="false">
      <c r="B14" s="171" t="s">
        <v>96</v>
      </c>
      <c r="C14" s="138"/>
      <c r="D14" s="138"/>
      <c r="E14" s="139"/>
    </row>
    <row r="15" customFormat="false" ht="22.5" hidden="false" customHeight="true" outlineLevel="0" collapsed="false">
      <c r="B15" s="158" t="s">
        <v>81</v>
      </c>
      <c r="C15" s="159" t="s">
        <v>82</v>
      </c>
      <c r="D15" s="159" t="s">
        <v>83</v>
      </c>
      <c r="E15" s="160" t="s">
        <v>97</v>
      </c>
      <c r="F15" s="140" t="s">
        <v>64</v>
      </c>
    </row>
    <row r="16" customFormat="false" ht="21.75" hidden="false" customHeight="true" outlineLevel="0" collapsed="false">
      <c r="B16" s="162" t="s">
        <v>98</v>
      </c>
      <c r="C16" s="162" t="s">
        <v>99</v>
      </c>
      <c r="D16" s="172" t="n">
        <v>21000</v>
      </c>
      <c r="E16" s="145" t="n">
        <v>20</v>
      </c>
      <c r="F16" s="151" t="s">
        <v>100</v>
      </c>
    </row>
    <row r="17" customFormat="false" ht="21.75" hidden="false" customHeight="true" outlineLevel="0" collapsed="false">
      <c r="B17" s="165"/>
      <c r="C17" s="153" t="s">
        <v>101</v>
      </c>
      <c r="D17" s="173" t="n">
        <v>0.3</v>
      </c>
      <c r="E17" s="167"/>
      <c r="F17" s="151" t="s">
        <v>102</v>
      </c>
    </row>
    <row r="18" customFormat="false" ht="21.75" hidden="false" customHeight="true" outlineLevel="0" collapsed="false">
      <c r="B18" s="174"/>
      <c r="C18" s="153" t="s">
        <v>103</v>
      </c>
      <c r="D18" s="175" t="n">
        <v>2000</v>
      </c>
      <c r="E18" s="176"/>
      <c r="F18" s="151" t="s">
        <v>104</v>
      </c>
    </row>
    <row r="19" customFormat="false" ht="54" hidden="false" customHeight="true" outlineLevel="0" collapsed="false">
      <c r="B19" s="153" t="s">
        <v>105</v>
      </c>
      <c r="C19" s="177" t="s">
        <v>106</v>
      </c>
      <c r="D19" s="173" t="n">
        <v>1</v>
      </c>
      <c r="E19" s="145" t="n">
        <v>20</v>
      </c>
      <c r="F19" s="151" t="s">
        <v>107</v>
      </c>
    </row>
    <row r="20" customFormat="false" ht="20.25" hidden="false" customHeight="true" outlineLevel="0" collapsed="false">
      <c r="B20" s="165"/>
      <c r="C20" s="178" t="s">
        <v>108</v>
      </c>
      <c r="D20" s="175" t="n">
        <v>290201</v>
      </c>
      <c r="E20" s="145" t="n">
        <v>20</v>
      </c>
      <c r="F20" s="151" t="s">
        <v>109</v>
      </c>
    </row>
    <row r="21" customFormat="false" ht="30" hidden="false" customHeight="true" outlineLevel="0" collapsed="false">
      <c r="B21" s="174"/>
      <c r="C21" s="153" t="s">
        <v>110</v>
      </c>
      <c r="D21" s="173" t="n">
        <v>0</v>
      </c>
      <c r="E21" s="150" t="n">
        <v>20</v>
      </c>
      <c r="F21" s="151" t="s">
        <v>111</v>
      </c>
    </row>
    <row r="22" customFormat="false" ht="30" hidden="false" customHeight="true" outlineLevel="0" collapsed="false">
      <c r="B22" s="153" t="s">
        <v>112</v>
      </c>
      <c r="C22" s="153" t="s">
        <v>113</v>
      </c>
      <c r="D22" s="179" t="n">
        <v>400</v>
      </c>
      <c r="E22" s="150" t="n">
        <v>20</v>
      </c>
      <c r="F22" s="151" t="s">
        <v>114</v>
      </c>
    </row>
    <row r="23" customFormat="false" ht="30" hidden="false" customHeight="true" outlineLevel="0" collapsed="false">
      <c r="B23" s="153" t="s">
        <v>115</v>
      </c>
      <c r="C23" s="153" t="s">
        <v>116</v>
      </c>
      <c r="D23" s="173" t="n">
        <v>0.003</v>
      </c>
      <c r="E23" s="150" t="n">
        <v>20</v>
      </c>
      <c r="F23" s="151" t="s">
        <v>117</v>
      </c>
    </row>
    <row r="24" customFormat="false" ht="30" hidden="false" customHeight="true" outlineLevel="0" collapsed="false">
      <c r="B24" s="153" t="s">
        <v>118</v>
      </c>
      <c r="C24" s="153" t="s">
        <v>119</v>
      </c>
      <c r="D24" s="179" t="n">
        <v>1000</v>
      </c>
      <c r="E24" s="180" t="n">
        <v>10</v>
      </c>
      <c r="F24" s="151" t="s">
        <v>120</v>
      </c>
    </row>
    <row r="25" customFormat="false" ht="30" hidden="false" customHeight="true" outlineLevel="0" collapsed="false">
      <c r="B25" s="153" t="s">
        <v>121</v>
      </c>
      <c r="C25" s="153" t="s">
        <v>122</v>
      </c>
      <c r="D25" s="181" t="n">
        <v>0.0256</v>
      </c>
      <c r="E25" s="150" t="n">
        <v>20</v>
      </c>
      <c r="F25" s="151" t="s">
        <v>123</v>
      </c>
    </row>
    <row r="26" customFormat="false" ht="30" hidden="false" customHeight="true" outlineLevel="0" collapsed="false">
      <c r="B26" s="153" t="s">
        <v>14</v>
      </c>
      <c r="C26" s="153" t="s">
        <v>124</v>
      </c>
      <c r="D26" s="173" t="n">
        <v>0.2</v>
      </c>
      <c r="E26" s="150" t="n">
        <v>20</v>
      </c>
      <c r="F26" s="151" t="s">
        <v>125</v>
      </c>
    </row>
    <row r="27" customFormat="false" ht="20.25" hidden="false" customHeight="true" outlineLevel="0" collapsed="false">
      <c r="B27" s="155"/>
      <c r="C27" s="155"/>
      <c r="D27" s="155"/>
      <c r="E27" s="155"/>
    </row>
    <row r="28" customFormat="false" ht="20.25" hidden="false" customHeight="true" outlineLevel="0" collapsed="false">
      <c r="B28" s="155"/>
      <c r="C28" s="155"/>
      <c r="D28" s="155"/>
      <c r="E28" s="155"/>
    </row>
    <row r="29" customFormat="false" ht="22.5" hidden="false" customHeight="true" outlineLevel="0" collapsed="false">
      <c r="B29" s="137" t="s">
        <v>126</v>
      </c>
      <c r="C29" s="138"/>
      <c r="D29" s="139"/>
      <c r="E29" s="155"/>
    </row>
    <row r="30" customFormat="false" ht="22.5" hidden="false" customHeight="true" outlineLevel="0" collapsed="false">
      <c r="B30" s="158" t="s">
        <v>127</v>
      </c>
      <c r="C30" s="182" t="s">
        <v>82</v>
      </c>
      <c r="D30" s="183" t="s">
        <v>83</v>
      </c>
      <c r="E30" s="155"/>
      <c r="F30" s="140" t="s">
        <v>64</v>
      </c>
    </row>
    <row r="31" customFormat="false" ht="30" hidden="false" customHeight="true" outlineLevel="0" collapsed="false">
      <c r="B31" s="162" t="s">
        <v>128</v>
      </c>
      <c r="C31" s="142" t="s">
        <v>129</v>
      </c>
      <c r="D31" s="184" t="n">
        <v>0.8</v>
      </c>
      <c r="E31" s="155"/>
      <c r="F31" s="151" t="s">
        <v>130</v>
      </c>
    </row>
    <row r="32" customFormat="false" ht="18.75" hidden="false" customHeight="true" outlineLevel="0" collapsed="false">
      <c r="B32" s="162" t="s">
        <v>131</v>
      </c>
      <c r="C32" s="142" t="s">
        <v>132</v>
      </c>
      <c r="D32" s="184" t="n">
        <v>15</v>
      </c>
      <c r="E32" s="155"/>
      <c r="F32" s="151" t="s">
        <v>133</v>
      </c>
    </row>
    <row r="33" customFormat="false" ht="18.75" hidden="false" customHeight="true" outlineLevel="0" collapsed="false">
      <c r="B33" s="153" t="s">
        <v>53</v>
      </c>
      <c r="C33" s="147" t="s">
        <v>134</v>
      </c>
      <c r="D33" s="173" t="n">
        <v>0.9</v>
      </c>
      <c r="E33" s="155"/>
      <c r="F33" s="151" t="s">
        <v>135</v>
      </c>
    </row>
    <row r="34" customFormat="false" ht="30" hidden="false" customHeight="true" outlineLevel="0" collapsed="false">
      <c r="B34" s="153" t="s">
        <v>54</v>
      </c>
      <c r="C34" s="147" t="s">
        <v>132</v>
      </c>
      <c r="D34" s="173" t="n">
        <v>4</v>
      </c>
      <c r="E34" s="155"/>
      <c r="F34" s="151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56"/>
      <c r="C37" s="57" t="s">
        <v>0</v>
      </c>
      <c r="D37" s="57" t="n">
        <v>2020</v>
      </c>
      <c r="E37" s="57" t="n">
        <v>2021</v>
      </c>
      <c r="F37" s="57" t="n">
        <v>2022</v>
      </c>
      <c r="G37" s="57" t="n">
        <v>2023</v>
      </c>
      <c r="H37" s="57" t="n">
        <v>2024</v>
      </c>
      <c r="I37" s="57" t="n">
        <v>2025</v>
      </c>
      <c r="J37" s="57" t="n">
        <v>2026</v>
      </c>
      <c r="K37" s="57" t="n">
        <v>2027</v>
      </c>
      <c r="L37" s="57" t="n">
        <v>2028</v>
      </c>
      <c r="M37" s="57" t="n">
        <v>2029</v>
      </c>
      <c r="N37" s="57" t="n">
        <v>2030</v>
      </c>
      <c r="O37" s="57" t="n">
        <v>2031</v>
      </c>
      <c r="P37" s="57" t="n">
        <v>2032</v>
      </c>
      <c r="Q37" s="57" t="n">
        <v>2033</v>
      </c>
      <c r="R37" s="57" t="n">
        <v>2034</v>
      </c>
      <c r="S37" s="57" t="n">
        <v>2035</v>
      </c>
      <c r="T37" s="57" t="n">
        <v>2036</v>
      </c>
      <c r="U37" s="57" t="n">
        <v>2037</v>
      </c>
      <c r="V37" s="57" t="n">
        <v>2038</v>
      </c>
      <c r="W37" s="57" t="n">
        <v>2039</v>
      </c>
      <c r="X37" s="57"/>
    </row>
    <row r="38" customFormat="false" ht="18.75" hidden="false" customHeight="true" outlineLevel="0" collapsed="false">
      <c r="B38" s="58" t="n">
        <v>0</v>
      </c>
      <c r="C38" s="59"/>
      <c r="D38" s="60"/>
      <c r="E38" s="60"/>
      <c r="F38" s="61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3"/>
      <c r="U38" s="62"/>
      <c r="V38" s="62"/>
      <c r="W38" s="62"/>
      <c r="X38" s="185"/>
    </row>
    <row r="39" customFormat="false" ht="18.75" hidden="false" customHeight="true" outlineLevel="0" collapsed="false">
      <c r="B39" s="64" t="s">
        <v>23</v>
      </c>
      <c r="C39" s="65" t="n">
        <v>0</v>
      </c>
      <c r="D39" s="66" t="n">
        <v>1</v>
      </c>
      <c r="E39" s="66" t="n">
        <v>2</v>
      </c>
      <c r="F39" s="66" t="n">
        <v>3</v>
      </c>
      <c r="G39" s="66" t="n">
        <v>4</v>
      </c>
      <c r="H39" s="66" t="n">
        <v>5</v>
      </c>
      <c r="I39" s="66" t="n">
        <v>6</v>
      </c>
      <c r="J39" s="66" t="n">
        <v>7</v>
      </c>
      <c r="K39" s="66" t="n">
        <v>8</v>
      </c>
      <c r="L39" s="66" t="n">
        <v>9</v>
      </c>
      <c r="M39" s="66" t="n">
        <v>10</v>
      </c>
      <c r="N39" s="66" t="n">
        <v>11</v>
      </c>
      <c r="O39" s="66" t="n">
        <v>12</v>
      </c>
      <c r="P39" s="66" t="n">
        <v>13</v>
      </c>
      <c r="Q39" s="66" t="n">
        <v>14</v>
      </c>
      <c r="R39" s="66" t="n">
        <v>15</v>
      </c>
      <c r="S39" s="66" t="n">
        <v>16</v>
      </c>
      <c r="T39" s="67" t="n">
        <v>17</v>
      </c>
      <c r="U39" s="66" t="n">
        <v>18</v>
      </c>
      <c r="V39" s="66" t="n">
        <v>19</v>
      </c>
      <c r="W39" s="66" t="n">
        <v>20</v>
      </c>
      <c r="X39" s="186"/>
    </row>
    <row r="40" customFormat="false" ht="18.75" hidden="false" customHeight="true" outlineLevel="0" collapsed="false">
      <c r="B40" s="187" t="s">
        <v>137</v>
      </c>
      <c r="C40" s="69" t="n">
        <v>0</v>
      </c>
      <c r="D40" s="70" t="n">
        <f aca="false">$D$10*P1</f>
        <v>541531.98</v>
      </c>
      <c r="E40" s="70" t="n">
        <f aca="false">$D$10*Q1</f>
        <v>539343.972</v>
      </c>
      <c r="F40" s="70" t="n">
        <f aca="false">$D$10*R1</f>
        <v>537155.964</v>
      </c>
      <c r="G40" s="70" t="n">
        <f aca="false">$D$10*S1</f>
        <v>534967.956</v>
      </c>
      <c r="H40" s="70" t="n">
        <f aca="false">$D$10*T1</f>
        <v>532779.948</v>
      </c>
      <c r="I40" s="70" t="n">
        <f aca="false">$D$10*U1</f>
        <v>530591.94</v>
      </c>
      <c r="J40" s="70" t="n">
        <f aca="false">$D$10*V1</f>
        <v>528403.932</v>
      </c>
      <c r="K40" s="70" t="n">
        <f aca="false">$D$10*W1</f>
        <v>526215.924</v>
      </c>
      <c r="L40" s="70" t="n">
        <f aca="false">$D$10*X1</f>
        <v>524027.916</v>
      </c>
      <c r="M40" s="70" t="n">
        <f aca="false">$D$10*Y1</f>
        <v>521839.908</v>
      </c>
      <c r="N40" s="70" t="n">
        <f aca="false">$D$10*Z1</f>
        <v>519651.9</v>
      </c>
      <c r="O40" s="70" t="n">
        <f aca="false">$D$10*AA1</f>
        <v>517463.892</v>
      </c>
      <c r="P40" s="70" t="n">
        <f aca="false">$D$10*AB1</f>
        <v>515275.884</v>
      </c>
      <c r="Q40" s="70" t="n">
        <f aca="false">$D$10*AC1</f>
        <v>513087.876</v>
      </c>
      <c r="R40" s="70" t="n">
        <f aca="false">$D$10*AD1</f>
        <v>510899.868</v>
      </c>
      <c r="S40" s="70" t="n">
        <f aca="false">$D$10*AE1</f>
        <v>508711.86</v>
      </c>
      <c r="T40" s="70" t="n">
        <f aca="false">$D$10*AF1</f>
        <v>506523.852</v>
      </c>
      <c r="U40" s="70" t="n">
        <f aca="false">$D$10*AG1</f>
        <v>504335.844</v>
      </c>
      <c r="V40" s="70" t="n">
        <f aca="false">$D$10*AH1</f>
        <v>502147.836</v>
      </c>
      <c r="W40" s="70" t="n">
        <f aca="false">$D$10*AI1</f>
        <v>499959.828</v>
      </c>
      <c r="X40" s="188"/>
    </row>
    <row r="41" customFormat="false" ht="18.75" hidden="false" customHeight="true" outlineLevel="0" collapsed="false">
      <c r="B41" s="189" t="s">
        <v>25</v>
      </c>
      <c r="C41" s="190" t="s">
        <v>26</v>
      </c>
      <c r="D41" s="191" t="n">
        <f aca="false">D40*$D$13</f>
        <v>2166127.92</v>
      </c>
      <c r="E41" s="191" t="n">
        <f aca="false">E40*$D$13</f>
        <v>2157375.888</v>
      </c>
      <c r="F41" s="191" t="n">
        <f aca="false">F40*$D$13</f>
        <v>2148623.856</v>
      </c>
      <c r="G41" s="191" t="n">
        <f aca="false">G40*$D$13</f>
        <v>2139871.824</v>
      </c>
      <c r="H41" s="191" t="n">
        <f aca="false">H40*$D$13</f>
        <v>2131119.792</v>
      </c>
      <c r="I41" s="191" t="n">
        <f aca="false">I40*$D$13</f>
        <v>2122367.76</v>
      </c>
      <c r="J41" s="191" t="n">
        <f aca="false">J40*$D$13</f>
        <v>2113615.728</v>
      </c>
      <c r="K41" s="191" t="n">
        <f aca="false">K40*$D$13</f>
        <v>2104863.696</v>
      </c>
      <c r="L41" s="191" t="n">
        <f aca="false">L40*$D$13</f>
        <v>2096111.664</v>
      </c>
      <c r="M41" s="191" t="n">
        <f aca="false">M40*$D$13</f>
        <v>2087359.632</v>
      </c>
      <c r="N41" s="191" t="n">
        <f aca="false">N40*$D$13</f>
        <v>2078607.6</v>
      </c>
      <c r="O41" s="191" t="n">
        <f aca="false">O40*$D$13</f>
        <v>2069855.568</v>
      </c>
      <c r="P41" s="191" t="n">
        <f aca="false">P40*$D$13</f>
        <v>2061103.536</v>
      </c>
      <c r="Q41" s="191" t="n">
        <f aca="false">Q40*$D$13</f>
        <v>2052351.504</v>
      </c>
      <c r="R41" s="191" t="n">
        <f aca="false">R40*$D$13</f>
        <v>2043599.472</v>
      </c>
      <c r="S41" s="191" t="n">
        <f aca="false">S40*$D$13</f>
        <v>2034847.44</v>
      </c>
      <c r="T41" s="191" t="n">
        <f aca="false">T40*$D$13</f>
        <v>2026095.408</v>
      </c>
      <c r="U41" s="191" t="n">
        <f aca="false">U40*$D$13</f>
        <v>2017343.376</v>
      </c>
      <c r="V41" s="191" t="n">
        <f aca="false">V40*$D$13</f>
        <v>2008591.344</v>
      </c>
      <c r="W41" s="191" t="n">
        <f aca="false">W40*$D$13</f>
        <v>1999839.312</v>
      </c>
      <c r="X41" s="192"/>
    </row>
    <row r="42" customFormat="false" ht="18.75" hidden="false" customHeight="true" outlineLevel="0" collapsed="false">
      <c r="B42" s="193" t="s">
        <v>27</v>
      </c>
      <c r="C42" s="194" t="s">
        <v>26</v>
      </c>
      <c r="D42" s="195"/>
      <c r="E42" s="195"/>
      <c r="F42" s="195"/>
      <c r="G42" s="196" t="s">
        <v>26</v>
      </c>
      <c r="H42" s="196" t="s">
        <v>26</v>
      </c>
      <c r="I42" s="196" t="s">
        <v>26</v>
      </c>
      <c r="J42" s="196" t="s">
        <v>26</v>
      </c>
      <c r="K42" s="196" t="s">
        <v>26</v>
      </c>
      <c r="L42" s="196" t="s">
        <v>26</v>
      </c>
      <c r="M42" s="196" t="s">
        <v>26</v>
      </c>
      <c r="N42" s="196" t="s">
        <v>26</v>
      </c>
      <c r="O42" s="196" t="s">
        <v>26</v>
      </c>
      <c r="P42" s="196" t="s">
        <v>26</v>
      </c>
      <c r="Q42" s="196" t="s">
        <v>26</v>
      </c>
      <c r="R42" s="196" t="s">
        <v>26</v>
      </c>
      <c r="S42" s="196" t="s">
        <v>26</v>
      </c>
      <c r="T42" s="196" t="s">
        <v>26</v>
      </c>
      <c r="U42" s="196" t="s">
        <v>26</v>
      </c>
      <c r="V42" s="196" t="s">
        <v>26</v>
      </c>
      <c r="W42" s="196" t="s">
        <v>26</v>
      </c>
      <c r="X42" s="197"/>
    </row>
    <row r="43" customFormat="false" ht="18.75" hidden="false" customHeight="true" outlineLevel="0" collapsed="false">
      <c r="B43" s="198" t="s">
        <v>28</v>
      </c>
      <c r="C43" s="199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1"/>
    </row>
    <row r="44" customFormat="false" ht="18.75" hidden="false" customHeight="true" outlineLevel="0" collapsed="false">
      <c r="B44" s="202" t="s">
        <v>29</v>
      </c>
      <c r="C44" s="203" t="n">
        <f aca="false">-(D16/(1-D17)+D18)*C4</f>
        <v>-13955200</v>
      </c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</row>
    <row r="45" customFormat="false" ht="18.75" hidden="false" customHeight="true" outlineLevel="0" collapsed="false">
      <c r="B45" s="202" t="s">
        <v>30</v>
      </c>
      <c r="C45" s="194" t="s">
        <v>26</v>
      </c>
      <c r="D45" s="152" t="n">
        <v>-290201</v>
      </c>
      <c r="E45" s="204" t="n">
        <v>-290201</v>
      </c>
      <c r="F45" s="204" t="n">
        <v>-290201</v>
      </c>
      <c r="G45" s="204" t="n">
        <v>-290201</v>
      </c>
      <c r="H45" s="204" t="n">
        <v>-290201</v>
      </c>
      <c r="I45" s="204" t="n">
        <v>-290201</v>
      </c>
      <c r="J45" s="204" t="n">
        <v>-290201</v>
      </c>
      <c r="K45" s="204" t="n">
        <v>-290201</v>
      </c>
      <c r="L45" s="204" t="n">
        <v>-290201</v>
      </c>
      <c r="M45" s="204" t="n">
        <v>-290201</v>
      </c>
      <c r="N45" s="204" t="n">
        <v>-290201</v>
      </c>
      <c r="O45" s="204" t="n">
        <v>-290201</v>
      </c>
      <c r="P45" s="204" t="n">
        <v>-290201</v>
      </c>
      <c r="Q45" s="204" t="n">
        <v>-290201</v>
      </c>
      <c r="R45" s="204" t="n">
        <v>-290201</v>
      </c>
      <c r="S45" s="204" t="n">
        <v>-290201</v>
      </c>
      <c r="T45" s="204" t="n">
        <v>-290201</v>
      </c>
      <c r="U45" s="204" t="n">
        <v>-290201</v>
      </c>
      <c r="V45" s="204" t="n">
        <v>-290201</v>
      </c>
      <c r="W45" s="204" t="n">
        <v>-290201</v>
      </c>
      <c r="X45" s="204"/>
    </row>
    <row r="46" customFormat="false" ht="18.75" hidden="false" customHeight="true" outlineLevel="0" collapsed="false">
      <c r="B46" s="202" t="s">
        <v>31</v>
      </c>
      <c r="C46" s="19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</row>
    <row r="47" customFormat="false" ht="18.75" hidden="false" customHeight="true" outlineLevel="0" collapsed="false">
      <c r="B47" s="202" t="s">
        <v>32</v>
      </c>
      <c r="C47" s="194" t="s">
        <v>26</v>
      </c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</row>
    <row r="48" customFormat="false" ht="18.75" hidden="false" customHeight="true" outlineLevel="0" collapsed="false">
      <c r="B48" s="202" t="s">
        <v>33</v>
      </c>
      <c r="C48" s="194" t="s">
        <v>26</v>
      </c>
      <c r="D48" s="204" t="n">
        <v>-174440</v>
      </c>
      <c r="E48" s="204" t="n">
        <v>-174440</v>
      </c>
      <c r="F48" s="204" t="n">
        <v>-174440</v>
      </c>
      <c r="G48" s="204" t="n">
        <v>-174440</v>
      </c>
      <c r="H48" s="204" t="n">
        <v>-174440</v>
      </c>
      <c r="I48" s="204" t="n">
        <v>-174440</v>
      </c>
      <c r="J48" s="204" t="n">
        <v>-174440</v>
      </c>
      <c r="K48" s="204" t="n">
        <v>-174440</v>
      </c>
      <c r="L48" s="204" t="n">
        <v>-174440</v>
      </c>
      <c r="M48" s="204" t="n">
        <v>-174440</v>
      </c>
      <c r="N48" s="204" t="n">
        <v>-174440</v>
      </c>
      <c r="O48" s="204" t="n">
        <v>-174440</v>
      </c>
      <c r="P48" s="204" t="n">
        <v>-174440</v>
      </c>
      <c r="Q48" s="204" t="n">
        <v>-174440</v>
      </c>
      <c r="R48" s="204" t="n">
        <v>-174440</v>
      </c>
      <c r="S48" s="204" t="n">
        <v>-174440</v>
      </c>
      <c r="T48" s="204" t="n">
        <v>-174440</v>
      </c>
      <c r="U48" s="204" t="n">
        <v>-174440</v>
      </c>
      <c r="V48" s="204" t="n">
        <v>-174440</v>
      </c>
      <c r="W48" s="204" t="n">
        <v>-174440</v>
      </c>
      <c r="X48" s="204"/>
    </row>
    <row r="49" customFormat="false" ht="18.75" hidden="false" customHeight="true" outlineLevel="0" collapsed="false">
      <c r="B49" s="202" t="s">
        <v>34</v>
      </c>
      <c r="C49" s="194" t="s">
        <v>26</v>
      </c>
      <c r="D49" s="204" t="n">
        <v>-27474.3</v>
      </c>
      <c r="E49" s="204" t="n">
        <v>-27474.3</v>
      </c>
      <c r="F49" s="204" t="n">
        <v>-27474.3</v>
      </c>
      <c r="G49" s="204" t="n">
        <v>-27474.3</v>
      </c>
      <c r="H49" s="204" t="n">
        <v>-27474.3</v>
      </c>
      <c r="I49" s="204" t="n">
        <v>-27474.3</v>
      </c>
      <c r="J49" s="204" t="n">
        <v>-27474.3</v>
      </c>
      <c r="K49" s="204" t="n">
        <v>-27474.3</v>
      </c>
      <c r="L49" s="204" t="n">
        <v>-27474.3</v>
      </c>
      <c r="M49" s="204" t="n">
        <v>-27474.3</v>
      </c>
      <c r="N49" s="204" t="n">
        <v>-27474.3</v>
      </c>
      <c r="O49" s="204" t="n">
        <v>-27474.3</v>
      </c>
      <c r="P49" s="204" t="n">
        <v>-27474.3</v>
      </c>
      <c r="Q49" s="204" t="n">
        <v>-27474.3</v>
      </c>
      <c r="R49" s="204" t="n">
        <v>-27474.3</v>
      </c>
      <c r="S49" s="204" t="n">
        <v>-27474.3</v>
      </c>
      <c r="T49" s="204" t="n">
        <v>-27474.3</v>
      </c>
      <c r="U49" s="204" t="n">
        <v>-27474.3</v>
      </c>
      <c r="V49" s="204" t="n">
        <v>-27474.3</v>
      </c>
      <c r="W49" s="204" t="n">
        <v>-27474.3</v>
      </c>
      <c r="X49" s="204"/>
    </row>
    <row r="50" customFormat="false" ht="18.75" hidden="false" customHeight="true" outlineLevel="0" collapsed="false">
      <c r="B50" s="202" t="s">
        <v>35</v>
      </c>
      <c r="C50" s="194"/>
      <c r="D50" s="204" t="n">
        <v>-43610</v>
      </c>
      <c r="E50" s="204" t="n">
        <v>-43610</v>
      </c>
      <c r="F50" s="204" t="n">
        <v>-43610</v>
      </c>
      <c r="G50" s="204" t="n">
        <v>-43610</v>
      </c>
      <c r="H50" s="204" t="n">
        <v>-43610</v>
      </c>
      <c r="I50" s="204" t="n">
        <v>-43610</v>
      </c>
      <c r="J50" s="204" t="n">
        <v>-43610</v>
      </c>
      <c r="K50" s="204" t="n">
        <v>-43610</v>
      </c>
      <c r="L50" s="204" t="n">
        <v>-43610</v>
      </c>
      <c r="M50" s="204" t="n">
        <v>-43610</v>
      </c>
      <c r="N50" s="204" t="n">
        <v>0</v>
      </c>
      <c r="O50" s="204" t="n">
        <v>0</v>
      </c>
      <c r="P50" s="204" t="n">
        <v>0</v>
      </c>
      <c r="Q50" s="204" t="n">
        <v>0</v>
      </c>
      <c r="R50" s="204" t="n">
        <v>0</v>
      </c>
      <c r="S50" s="204" t="n">
        <v>0</v>
      </c>
      <c r="T50" s="204" t="n">
        <v>0</v>
      </c>
      <c r="U50" s="204" t="n">
        <v>0</v>
      </c>
      <c r="V50" s="204" t="n">
        <v>0</v>
      </c>
      <c r="W50" s="204" t="n">
        <v>0</v>
      </c>
      <c r="X50" s="204"/>
    </row>
    <row r="51" customFormat="false" ht="18.75" hidden="false" customHeight="true" outlineLevel="0" collapsed="false">
      <c r="B51" s="202" t="s">
        <v>36</v>
      </c>
      <c r="C51" s="205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</row>
    <row r="52" customFormat="false" ht="18.75" hidden="false" customHeight="true" outlineLevel="0" collapsed="false">
      <c r="B52" s="202" t="s">
        <v>37</v>
      </c>
      <c r="C52" s="205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</row>
    <row r="53" customFormat="false" ht="18.75" hidden="false" customHeight="true" outlineLevel="0" collapsed="false">
      <c r="B53" s="206" t="s">
        <v>38</v>
      </c>
      <c r="C53" s="205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</row>
    <row r="54" customFormat="false" ht="18.75" hidden="false" customHeight="true" outlineLevel="0" collapsed="false">
      <c r="B54" s="206" t="s">
        <v>39</v>
      </c>
      <c r="C54" s="205"/>
      <c r="D54" s="204" t="n">
        <f aca="false">D77</f>
        <v>-244568.724</v>
      </c>
      <c r="E54" s="204" t="n">
        <f aca="false">E77</f>
        <v>-184778.1176</v>
      </c>
      <c r="F54" s="204" t="n">
        <f aca="false">F77</f>
        <v>-183027.7112</v>
      </c>
      <c r="G54" s="204" t="n">
        <f aca="false">G77</f>
        <v>-181277.3048</v>
      </c>
      <c r="H54" s="204" t="n">
        <f aca="false">H77</f>
        <v>-179526.8984</v>
      </c>
      <c r="I54" s="204" t="n">
        <f aca="false">I77</f>
        <v>-177776.492</v>
      </c>
      <c r="J54" s="204" t="n">
        <f aca="false">J77</f>
        <v>-176026.0856</v>
      </c>
      <c r="K54" s="204" t="n">
        <f aca="false">K77</f>
        <v>-174275.6792</v>
      </c>
      <c r="L54" s="204" t="n">
        <f aca="false">L77</f>
        <v>-172525.2728</v>
      </c>
      <c r="M54" s="204" t="n">
        <f aca="false">M77</f>
        <v>-170774.8664</v>
      </c>
      <c r="N54" s="204" t="n">
        <f aca="false">N77</f>
        <v>-177746.46</v>
      </c>
      <c r="O54" s="204" t="n">
        <f aca="false">O77</f>
        <v>-175996.0536</v>
      </c>
      <c r="P54" s="204" t="n">
        <f aca="false">P77</f>
        <v>-174245.6472</v>
      </c>
      <c r="Q54" s="204" t="n">
        <f aca="false">Q77</f>
        <v>-172495.2408</v>
      </c>
      <c r="R54" s="204" t="n">
        <f aca="false">R77</f>
        <v>-170744.8344</v>
      </c>
      <c r="S54" s="204" t="n">
        <f aca="false">S77</f>
        <v>-168994.428</v>
      </c>
      <c r="T54" s="204" t="n">
        <f aca="false">T77</f>
        <v>-167244.0216</v>
      </c>
      <c r="U54" s="204" t="n">
        <f aca="false">U77</f>
        <v>-165493.6152</v>
      </c>
      <c r="V54" s="204" t="n">
        <f aca="false">V77</f>
        <v>-163743.2088</v>
      </c>
      <c r="W54" s="204" t="n">
        <f aca="false">W77</f>
        <v>-161992.8024</v>
      </c>
      <c r="X54" s="195"/>
    </row>
    <row r="55" customFormat="false" ht="18.75" hidden="false" customHeight="true" outlineLevel="0" collapsed="false">
      <c r="B55" s="207" t="s">
        <v>40</v>
      </c>
      <c r="C55" s="208" t="n">
        <f aca="false">C44</f>
        <v>-13955200</v>
      </c>
      <c r="D55" s="209" t="n">
        <f aca="false">SUM(D41:D54)</f>
        <v>1385833.896</v>
      </c>
      <c r="E55" s="209" t="n">
        <f aca="false">SUM(E41:E54)</f>
        <v>1436872.4704</v>
      </c>
      <c r="F55" s="209" t="n">
        <f aca="false">SUM(F41:F54)</f>
        <v>1429870.8448</v>
      </c>
      <c r="G55" s="209" t="n">
        <f aca="false">SUM(G41:G54)</f>
        <v>1422869.2192</v>
      </c>
      <c r="H55" s="209" t="n">
        <f aca="false">SUM(H41:H54)</f>
        <v>1415867.5936</v>
      </c>
      <c r="I55" s="209" t="n">
        <f aca="false">SUM(I41:I54)</f>
        <v>1408865.968</v>
      </c>
      <c r="J55" s="209" t="n">
        <f aca="false">SUM(J41:J54)</f>
        <v>1401864.3424</v>
      </c>
      <c r="K55" s="209" t="n">
        <f aca="false">SUM(K41:K54)</f>
        <v>1394862.7168</v>
      </c>
      <c r="L55" s="209" t="n">
        <f aca="false">SUM(L41:L54)</f>
        <v>1387861.0912</v>
      </c>
      <c r="M55" s="209" t="n">
        <f aca="false">SUM(M41:M54)</f>
        <v>1380859.4656</v>
      </c>
      <c r="N55" s="209" t="n">
        <f aca="false">SUM(N41:N54)</f>
        <v>1408745.84</v>
      </c>
      <c r="O55" s="209" t="n">
        <f aca="false">SUM(O41:O54)</f>
        <v>1401744.2144</v>
      </c>
      <c r="P55" s="209" t="n">
        <f aca="false">SUM(P41:P54)</f>
        <v>1394742.5888</v>
      </c>
      <c r="Q55" s="209" t="n">
        <f aca="false">SUM(Q41:Q54)</f>
        <v>1387740.9632</v>
      </c>
      <c r="R55" s="209" t="n">
        <f aca="false">SUM(R41:R54)</f>
        <v>1380739.3376</v>
      </c>
      <c r="S55" s="209" t="n">
        <f aca="false">SUM(S41:S54)</f>
        <v>1373737.712</v>
      </c>
      <c r="T55" s="209" t="n">
        <f aca="false">SUM(T41:T54)</f>
        <v>1366736.0864</v>
      </c>
      <c r="U55" s="209" t="n">
        <f aca="false">SUM(U41:U54)</f>
        <v>1359734.4608</v>
      </c>
      <c r="V55" s="209" t="n">
        <f aca="false">SUM(V41:V54)</f>
        <v>1352732.8352</v>
      </c>
      <c r="W55" s="209" t="n">
        <f aca="false">SUM(W41:W54)</f>
        <v>1345731.2096</v>
      </c>
      <c r="X55" s="210"/>
      <c r="Y55" s="211"/>
      <c r="Z55" s="212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</row>
    <row r="56" customFormat="false" ht="18.75" hidden="false" customHeight="true" outlineLevel="0" collapsed="false">
      <c r="B56" s="213" t="s">
        <v>41</v>
      </c>
      <c r="D56" s="214" t="n">
        <f aca="false">C55+D55</f>
        <v>-12569366.104</v>
      </c>
      <c r="E56" s="214" t="n">
        <f aca="false">D56+E55</f>
        <v>-11132493.6336</v>
      </c>
      <c r="F56" s="214" t="n">
        <f aca="false">E56+F55</f>
        <v>-9702622.7888</v>
      </c>
      <c r="G56" s="214" t="n">
        <f aca="false">F56+G55</f>
        <v>-8279753.5696</v>
      </c>
      <c r="H56" s="214" t="n">
        <f aca="false">G56+H55</f>
        <v>-6863885.976</v>
      </c>
      <c r="I56" s="214" t="n">
        <f aca="false">H56+I55</f>
        <v>-5455020.008</v>
      </c>
      <c r="J56" s="214" t="n">
        <f aca="false">I56+J55</f>
        <v>-4053155.6656</v>
      </c>
      <c r="K56" s="214" t="n">
        <f aca="false">J56+K55</f>
        <v>-2658292.9488</v>
      </c>
      <c r="L56" s="214" t="n">
        <f aca="false">K56+L55</f>
        <v>-1270431.8576</v>
      </c>
      <c r="M56" s="214" t="n">
        <f aca="false">L56+M55</f>
        <v>110427.607999999</v>
      </c>
      <c r="N56" s="214" t="n">
        <f aca="false">M56+N55</f>
        <v>1519173.448</v>
      </c>
      <c r="O56" s="214" t="n">
        <f aca="false">N56+O55</f>
        <v>2920917.6624</v>
      </c>
      <c r="P56" s="214" t="n">
        <f aca="false">O56+P55</f>
        <v>4315660.2512</v>
      </c>
      <c r="Q56" s="214" t="n">
        <f aca="false">P56+Q55</f>
        <v>5703401.2144</v>
      </c>
      <c r="R56" s="214" t="n">
        <f aca="false">Q56+R55</f>
        <v>7084140.552</v>
      </c>
      <c r="S56" s="214" t="n">
        <f aca="false">R56+S55</f>
        <v>8457878.264</v>
      </c>
      <c r="T56" s="214" t="n">
        <f aca="false">S56+T55</f>
        <v>9824614.3504</v>
      </c>
      <c r="U56" s="214" t="n">
        <f aca="false">T56+U55</f>
        <v>11184348.8112</v>
      </c>
      <c r="V56" s="214" t="n">
        <f aca="false">U56+V55</f>
        <v>12537081.6464</v>
      </c>
      <c r="W56" s="214" t="n">
        <f aca="false">V56+W55</f>
        <v>13882812.856</v>
      </c>
      <c r="X56" s="214" t="n">
        <f aca="false">W56+X55</f>
        <v>13882812.856</v>
      </c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</row>
    <row r="57" customFormat="false" ht="18.75" hidden="false" customHeight="true" outlineLevel="0" collapsed="false">
      <c r="B57" s="215" t="s">
        <v>42</v>
      </c>
      <c r="C57" s="216"/>
      <c r="D57" s="217" t="str">
        <f aca="false">IF((D56)&gt;0,"回收","未回收")</f>
        <v>未回收</v>
      </c>
      <c r="E57" s="218" t="str">
        <f aca="false">IF((E56)&gt;0,"回收","未回收")</f>
        <v>未回收</v>
      </c>
      <c r="F57" s="218" t="str">
        <f aca="false">IF((F56)&gt;0,"回收","未回收")</f>
        <v>未回收</v>
      </c>
      <c r="G57" s="218" t="str">
        <f aca="false">IF((G56)&gt;0,"回收","未回收")</f>
        <v>未回收</v>
      </c>
      <c r="H57" s="218" t="str">
        <f aca="false">IF((H56)&gt;0,"回收","未回收")</f>
        <v>未回收</v>
      </c>
      <c r="I57" s="218" t="str">
        <f aca="false">IF((I56)&gt;0,"回收","未回收")</f>
        <v>未回收</v>
      </c>
      <c r="J57" s="218" t="str">
        <f aca="false">IF((J56)&gt;0,"回收","未回收")</f>
        <v>未回收</v>
      </c>
      <c r="K57" s="218" t="str">
        <f aca="false">IF((K56)&gt;0,"回收","未回收")</f>
        <v>未回收</v>
      </c>
      <c r="L57" s="218" t="str">
        <f aca="false">IF((L56)&gt;0,"回收","未回收")</f>
        <v>未回收</v>
      </c>
      <c r="M57" s="218" t="str">
        <f aca="false">IF((M56)&gt;0,"回收","未回收")</f>
        <v>回收</v>
      </c>
      <c r="N57" s="218" t="str">
        <f aca="false">IF((N56)&gt;0,"回收","未回收")</f>
        <v>回收</v>
      </c>
      <c r="O57" s="218" t="str">
        <f aca="false">IF((O56)&gt;0,"回收","未回收")</f>
        <v>回收</v>
      </c>
      <c r="P57" s="218" t="str">
        <f aca="false">IF((P56)&gt;0,"回收","未回收")</f>
        <v>回收</v>
      </c>
      <c r="Q57" s="218" t="str">
        <f aca="false">IF((Q56)&gt;0,"回收","未回收")</f>
        <v>回收</v>
      </c>
      <c r="R57" s="218" t="str">
        <f aca="false">IF((R56)&gt;0,"回收","未回收")</f>
        <v>回收</v>
      </c>
      <c r="S57" s="218" t="str">
        <f aca="false">IF((S56)&gt;0,"回收","未回收")</f>
        <v>回收</v>
      </c>
      <c r="T57" s="218" t="str">
        <f aca="false">IF((T56)&gt;0,"回收","未回收")</f>
        <v>回收</v>
      </c>
      <c r="U57" s="218" t="str">
        <f aca="false">IF((U56)&gt;0,"回收","未回收")</f>
        <v>回收</v>
      </c>
      <c r="V57" s="218" t="str">
        <f aca="false">IF((V56)&gt;0,"回收","未回收")</f>
        <v>回收</v>
      </c>
      <c r="W57" s="218" t="str">
        <f aca="false">IF((W56)&gt;0,"回收","未回收")</f>
        <v>回收</v>
      </c>
      <c r="X57" s="218" t="str">
        <f aca="false">IF((X56)&gt;0,"回收","未回收")</f>
        <v>回收</v>
      </c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</row>
    <row r="58" customFormat="false" ht="18.75" hidden="false" customHeight="true" outlineLevel="0" collapsed="false">
      <c r="B58" s="95" t="s">
        <v>43</v>
      </c>
      <c r="C58" s="96" t="n">
        <f aca="false">IRR(C55:W55)</f>
        <v>0.0779732543464379</v>
      </c>
      <c r="D58" s="97"/>
      <c r="E58" s="97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19"/>
      <c r="AJ58" s="219"/>
    </row>
    <row r="59" customFormat="false" ht="18.75" hidden="false" customHeight="true" outlineLevel="0" collapsed="false">
      <c r="B59" s="98"/>
      <c r="C59" s="97"/>
      <c r="D59" s="97"/>
      <c r="E59" s="97"/>
      <c r="F59" s="98"/>
      <c r="G59" s="98"/>
      <c r="H59" s="98"/>
      <c r="I59" s="98"/>
      <c r="J59" s="98"/>
      <c r="K59" s="98"/>
      <c r="L59" s="98"/>
      <c r="M59" s="97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</row>
    <row r="60" customFormat="false" ht="18.75" hidden="false" customHeight="true" outlineLevel="0" collapsed="false">
      <c r="B60" s="56"/>
      <c r="C60" s="57" t="s">
        <v>0</v>
      </c>
      <c r="D60" s="57" t="n">
        <f aca="false">D37</f>
        <v>2020</v>
      </c>
      <c r="E60" s="57" t="n">
        <f aca="false">E37</f>
        <v>2021</v>
      </c>
      <c r="F60" s="57" t="n">
        <f aca="false">F37</f>
        <v>2022</v>
      </c>
      <c r="G60" s="57" t="n">
        <f aca="false">G37</f>
        <v>2023</v>
      </c>
      <c r="H60" s="57" t="n">
        <f aca="false">H37</f>
        <v>2024</v>
      </c>
      <c r="I60" s="57" t="n">
        <f aca="false">I37</f>
        <v>2025</v>
      </c>
      <c r="J60" s="57" t="n">
        <f aca="false">J37</f>
        <v>2026</v>
      </c>
      <c r="K60" s="57" t="n">
        <f aca="false">K37</f>
        <v>2027</v>
      </c>
      <c r="L60" s="57" t="n">
        <f aca="false">L37</f>
        <v>2028</v>
      </c>
      <c r="M60" s="57" t="n">
        <f aca="false">M37</f>
        <v>2029</v>
      </c>
      <c r="N60" s="57" t="n">
        <f aca="false">N37</f>
        <v>2030</v>
      </c>
      <c r="O60" s="57" t="n">
        <f aca="false">O37</f>
        <v>2031</v>
      </c>
      <c r="P60" s="57" t="n">
        <f aca="false">P37</f>
        <v>2032</v>
      </c>
      <c r="Q60" s="57" t="n">
        <f aca="false">Q37</f>
        <v>2033</v>
      </c>
      <c r="R60" s="57" t="n">
        <f aca="false">R37</f>
        <v>2034</v>
      </c>
      <c r="S60" s="57" t="n">
        <f aca="false">S37</f>
        <v>2035</v>
      </c>
      <c r="T60" s="57" t="n">
        <f aca="false">T37</f>
        <v>2036</v>
      </c>
      <c r="U60" s="57" t="n">
        <f aca="false">U37</f>
        <v>2037</v>
      </c>
      <c r="V60" s="57" t="n">
        <f aca="false">V37</f>
        <v>2038</v>
      </c>
      <c r="W60" s="57" t="n">
        <f aca="false">W37</f>
        <v>2039</v>
      </c>
      <c r="X60" s="57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</row>
    <row r="61" customFormat="false" ht="18.75" hidden="false" customHeight="true" outlineLevel="0" collapsed="false">
      <c r="B61" s="58" t="n">
        <v>0</v>
      </c>
      <c r="C61" s="59"/>
      <c r="D61" s="60"/>
      <c r="E61" s="60"/>
      <c r="F61" s="61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99" t="s">
        <v>44</v>
      </c>
      <c r="U61" s="62"/>
      <c r="V61" s="62"/>
      <c r="W61" s="62"/>
      <c r="X61" s="185"/>
    </row>
    <row r="62" customFormat="false" ht="18.75" hidden="false" customHeight="true" outlineLevel="0" collapsed="false">
      <c r="B62" s="64" t="s">
        <v>23</v>
      </c>
      <c r="C62" s="65" t="n">
        <v>0</v>
      </c>
      <c r="D62" s="66" t="n">
        <v>1</v>
      </c>
      <c r="E62" s="66" t="n">
        <v>2</v>
      </c>
      <c r="F62" s="66" t="n">
        <v>3</v>
      </c>
      <c r="G62" s="66" t="n">
        <v>4</v>
      </c>
      <c r="H62" s="66" t="n">
        <v>5</v>
      </c>
      <c r="I62" s="66" t="n">
        <v>6</v>
      </c>
      <c r="J62" s="66" t="n">
        <v>7</v>
      </c>
      <c r="K62" s="66" t="n">
        <v>8</v>
      </c>
      <c r="L62" s="66" t="n">
        <v>9</v>
      </c>
      <c r="M62" s="66" t="n">
        <v>10</v>
      </c>
      <c r="N62" s="66" t="n">
        <v>11</v>
      </c>
      <c r="O62" s="66" t="n">
        <v>12</v>
      </c>
      <c r="P62" s="66" t="n">
        <v>13</v>
      </c>
      <c r="Q62" s="66" t="n">
        <v>14</v>
      </c>
      <c r="R62" s="66" t="n">
        <v>15</v>
      </c>
      <c r="S62" s="66" t="n">
        <v>16</v>
      </c>
      <c r="T62" s="101" t="n">
        <v>17</v>
      </c>
      <c r="U62" s="66" t="n">
        <v>18</v>
      </c>
      <c r="V62" s="66" t="n">
        <v>19</v>
      </c>
      <c r="W62" s="66" t="n">
        <v>20</v>
      </c>
      <c r="X62" s="186"/>
    </row>
    <row r="63" customFormat="false" ht="18.75" hidden="false" customHeight="true" outlineLevel="0" collapsed="false">
      <c r="B63" s="187" t="s">
        <v>137</v>
      </c>
      <c r="C63" s="69" t="n">
        <v>0</v>
      </c>
      <c r="D63" s="70" t="n">
        <f aca="false">D40</f>
        <v>541531.98</v>
      </c>
      <c r="E63" s="70" t="n">
        <f aca="false">E40</f>
        <v>539343.972</v>
      </c>
      <c r="F63" s="70" t="n">
        <f aca="false">F40</f>
        <v>537155.964</v>
      </c>
      <c r="G63" s="70" t="n">
        <f aca="false">G40</f>
        <v>534967.956</v>
      </c>
      <c r="H63" s="70" t="n">
        <f aca="false">H40</f>
        <v>532779.948</v>
      </c>
      <c r="I63" s="70" t="n">
        <f aca="false">I40</f>
        <v>530591.94</v>
      </c>
      <c r="J63" s="70" t="n">
        <f aca="false">J40</f>
        <v>528403.932</v>
      </c>
      <c r="K63" s="70" t="n">
        <f aca="false">K40</f>
        <v>526215.924</v>
      </c>
      <c r="L63" s="70" t="n">
        <f aca="false">L40</f>
        <v>524027.916</v>
      </c>
      <c r="M63" s="70" t="n">
        <f aca="false">M40</f>
        <v>521839.908</v>
      </c>
      <c r="N63" s="70" t="n">
        <f aca="false">N40</f>
        <v>519651.9</v>
      </c>
      <c r="O63" s="70" t="n">
        <f aca="false">O40</f>
        <v>517463.892</v>
      </c>
      <c r="P63" s="70" t="n">
        <f aca="false">P40</f>
        <v>515275.884</v>
      </c>
      <c r="Q63" s="70" t="n">
        <f aca="false">Q40</f>
        <v>513087.876</v>
      </c>
      <c r="R63" s="70" t="n">
        <f aca="false">R40</f>
        <v>510899.868</v>
      </c>
      <c r="S63" s="70" t="n">
        <f aca="false">S40</f>
        <v>508711.86</v>
      </c>
      <c r="T63" s="70" t="n">
        <f aca="false">T40</f>
        <v>506523.852</v>
      </c>
      <c r="U63" s="70" t="n">
        <f aca="false">U40</f>
        <v>504335.844</v>
      </c>
      <c r="V63" s="70" t="n">
        <f aca="false">V40</f>
        <v>502147.836</v>
      </c>
      <c r="W63" s="70" t="n">
        <f aca="false">W40</f>
        <v>499959.828</v>
      </c>
      <c r="X63" s="188"/>
    </row>
    <row r="64" customFormat="false" ht="18.75" hidden="false" customHeight="true" outlineLevel="0" collapsed="false">
      <c r="B64" s="189" t="s">
        <v>25</v>
      </c>
      <c r="C64" s="190" t="s">
        <v>26</v>
      </c>
      <c r="D64" s="191" t="n">
        <f aca="false">D41</f>
        <v>2166127.92</v>
      </c>
      <c r="E64" s="191" t="n">
        <f aca="false">E41</f>
        <v>2157375.888</v>
      </c>
      <c r="F64" s="191" t="n">
        <f aca="false">F41</f>
        <v>2148623.856</v>
      </c>
      <c r="G64" s="191" t="n">
        <f aca="false">G41</f>
        <v>2139871.824</v>
      </c>
      <c r="H64" s="191" t="n">
        <f aca="false">H41</f>
        <v>2131119.792</v>
      </c>
      <c r="I64" s="191" t="n">
        <f aca="false">I41</f>
        <v>2122367.76</v>
      </c>
      <c r="J64" s="191" t="n">
        <f aca="false">J41</f>
        <v>2113615.728</v>
      </c>
      <c r="K64" s="191" t="n">
        <f aca="false">K41</f>
        <v>2104863.696</v>
      </c>
      <c r="L64" s="191" t="n">
        <f aca="false">L41</f>
        <v>2096111.664</v>
      </c>
      <c r="M64" s="191" t="n">
        <f aca="false">M41</f>
        <v>2087359.632</v>
      </c>
      <c r="N64" s="191" t="n">
        <f aca="false">N41</f>
        <v>2078607.6</v>
      </c>
      <c r="O64" s="191" t="n">
        <f aca="false">O41</f>
        <v>2069855.568</v>
      </c>
      <c r="P64" s="191" t="n">
        <f aca="false">P41</f>
        <v>2061103.536</v>
      </c>
      <c r="Q64" s="191" t="n">
        <f aca="false">Q41</f>
        <v>2052351.504</v>
      </c>
      <c r="R64" s="191" t="n">
        <f aca="false">R41</f>
        <v>2043599.472</v>
      </c>
      <c r="S64" s="191" t="n">
        <f aca="false">S41</f>
        <v>2034847.44</v>
      </c>
      <c r="T64" s="191" t="n">
        <f aca="false">T41</f>
        <v>2026095.408</v>
      </c>
      <c r="U64" s="191" t="n">
        <f aca="false">U41</f>
        <v>2017343.376</v>
      </c>
      <c r="V64" s="191" t="n">
        <f aca="false">V41</f>
        <v>2008591.344</v>
      </c>
      <c r="W64" s="191" t="n">
        <f aca="false">W41</f>
        <v>1999839.312</v>
      </c>
      <c r="X64" s="192"/>
    </row>
    <row r="65" customFormat="false" ht="18.75" hidden="false" customHeight="true" outlineLevel="0" collapsed="false">
      <c r="B65" s="193" t="s">
        <v>27</v>
      </c>
      <c r="C65" s="194" t="s">
        <v>26</v>
      </c>
      <c r="D65" s="195"/>
      <c r="E65" s="195"/>
      <c r="F65" s="195"/>
      <c r="G65" s="196" t="s">
        <v>26</v>
      </c>
      <c r="H65" s="196" t="s">
        <v>26</v>
      </c>
      <c r="I65" s="196" t="s">
        <v>26</v>
      </c>
      <c r="J65" s="196" t="s">
        <v>26</v>
      </c>
      <c r="K65" s="196" t="s">
        <v>26</v>
      </c>
      <c r="L65" s="196" t="s">
        <v>26</v>
      </c>
      <c r="M65" s="196" t="s">
        <v>26</v>
      </c>
      <c r="N65" s="196" t="s">
        <v>26</v>
      </c>
      <c r="O65" s="196" t="s">
        <v>26</v>
      </c>
      <c r="P65" s="196" t="s">
        <v>26</v>
      </c>
      <c r="Q65" s="196" t="s">
        <v>26</v>
      </c>
      <c r="R65" s="196" t="s">
        <v>26</v>
      </c>
      <c r="S65" s="196" t="s">
        <v>26</v>
      </c>
      <c r="T65" s="196" t="s">
        <v>26</v>
      </c>
      <c r="U65" s="196" t="s">
        <v>26</v>
      </c>
      <c r="V65" s="196" t="s">
        <v>26</v>
      </c>
      <c r="W65" s="196" t="s">
        <v>26</v>
      </c>
      <c r="X65" s="197"/>
    </row>
    <row r="66" customFormat="false" ht="18.75" hidden="false" customHeight="true" outlineLevel="0" collapsed="false">
      <c r="B66" s="198" t="s">
        <v>28</v>
      </c>
      <c r="C66" s="199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1"/>
    </row>
    <row r="67" customFormat="false" ht="18.75" hidden="false" customHeight="true" outlineLevel="0" collapsed="false">
      <c r="B67" s="202" t="s">
        <v>45</v>
      </c>
      <c r="C67" s="194"/>
      <c r="D67" s="221" t="n">
        <f aca="false">$C$44/$E$16</f>
        <v>-697760</v>
      </c>
      <c r="E67" s="221" t="n">
        <f aca="false">$C$44/$E$16</f>
        <v>-697760</v>
      </c>
      <c r="F67" s="221" t="n">
        <f aca="false">$C$44/$E$16</f>
        <v>-697760</v>
      </c>
      <c r="G67" s="221" t="n">
        <f aca="false">$C$44/$E$16</f>
        <v>-697760</v>
      </c>
      <c r="H67" s="221" t="n">
        <f aca="false">$C$44/$E$16</f>
        <v>-697760</v>
      </c>
      <c r="I67" s="221" t="n">
        <f aca="false">$C$44/$E$16</f>
        <v>-697760</v>
      </c>
      <c r="J67" s="221" t="n">
        <f aca="false">$C$44/$E$16</f>
        <v>-697760</v>
      </c>
      <c r="K67" s="221" t="n">
        <f aca="false">$C$44/$E$16</f>
        <v>-697760</v>
      </c>
      <c r="L67" s="221" t="n">
        <f aca="false">$C$44/$E$16</f>
        <v>-697760</v>
      </c>
      <c r="M67" s="221" t="n">
        <f aca="false">$C$44/$E$16</f>
        <v>-697760</v>
      </c>
      <c r="N67" s="221" t="n">
        <f aca="false">$C$44/$E$16</f>
        <v>-697760</v>
      </c>
      <c r="O67" s="221" t="n">
        <f aca="false">$C$44/$E$16</f>
        <v>-697760</v>
      </c>
      <c r="P67" s="221" t="n">
        <f aca="false">$C$44/$E$16</f>
        <v>-697760</v>
      </c>
      <c r="Q67" s="221" t="n">
        <f aca="false">$C$44/$E$16</f>
        <v>-697760</v>
      </c>
      <c r="R67" s="221" t="n">
        <f aca="false">$C$44/$E$16</f>
        <v>-697760</v>
      </c>
      <c r="S67" s="221" t="n">
        <f aca="false">$C$44/$E$16</f>
        <v>-697760</v>
      </c>
      <c r="T67" s="221" t="n">
        <f aca="false">$C$44/$E$16</f>
        <v>-697760</v>
      </c>
      <c r="U67" s="221" t="n">
        <f aca="false">$C$44/$E$16</f>
        <v>-697760</v>
      </c>
      <c r="V67" s="221" t="n">
        <f aca="false">$C$44/$E$16</f>
        <v>-697760</v>
      </c>
      <c r="W67" s="221" t="n">
        <f aca="false">$C$44/$E$16</f>
        <v>-697760</v>
      </c>
      <c r="X67" s="197"/>
    </row>
    <row r="68" customFormat="false" ht="18.75" hidden="false" customHeight="true" outlineLevel="0" collapsed="false">
      <c r="B68" s="202" t="s">
        <v>30</v>
      </c>
      <c r="C68" s="194" t="s">
        <v>26</v>
      </c>
      <c r="D68" s="204" t="n">
        <f aca="false">D44</f>
        <v>0</v>
      </c>
      <c r="E68" s="204" t="n">
        <f aca="false">E45</f>
        <v>-290201</v>
      </c>
      <c r="F68" s="204" t="n">
        <f aca="false">F45</f>
        <v>-290201</v>
      </c>
      <c r="G68" s="204" t="n">
        <f aca="false">G45</f>
        <v>-290201</v>
      </c>
      <c r="H68" s="204" t="n">
        <f aca="false">H45</f>
        <v>-290201</v>
      </c>
      <c r="I68" s="204" t="n">
        <f aca="false">I45</f>
        <v>-290201</v>
      </c>
      <c r="J68" s="204" t="n">
        <f aca="false">J45</f>
        <v>-290201</v>
      </c>
      <c r="K68" s="204" t="n">
        <f aca="false">K45</f>
        <v>-290201</v>
      </c>
      <c r="L68" s="204" t="n">
        <f aca="false">L45</f>
        <v>-290201</v>
      </c>
      <c r="M68" s="204" t="n">
        <f aca="false">M45</f>
        <v>-290201</v>
      </c>
      <c r="N68" s="204" t="n">
        <f aca="false">N45</f>
        <v>-290201</v>
      </c>
      <c r="O68" s="204" t="n">
        <f aca="false">O45</f>
        <v>-290201</v>
      </c>
      <c r="P68" s="204" t="n">
        <f aca="false">P45</f>
        <v>-290201</v>
      </c>
      <c r="Q68" s="204" t="n">
        <f aca="false">Q45</f>
        <v>-290201</v>
      </c>
      <c r="R68" s="204" t="n">
        <f aca="false">R45</f>
        <v>-290201</v>
      </c>
      <c r="S68" s="204" t="n">
        <f aca="false">S45</f>
        <v>-290201</v>
      </c>
      <c r="T68" s="204" t="n">
        <f aca="false">T45</f>
        <v>-290201</v>
      </c>
      <c r="U68" s="204" t="n">
        <f aca="false">U45</f>
        <v>-290201</v>
      </c>
      <c r="V68" s="204" t="n">
        <f aca="false">V45</f>
        <v>-290201</v>
      </c>
      <c r="W68" s="204" t="n">
        <f aca="false">W45</f>
        <v>-290201</v>
      </c>
      <c r="X68" s="197"/>
    </row>
    <row r="69" customFormat="false" ht="18.75" hidden="false" customHeight="true" outlineLevel="0" collapsed="false">
      <c r="B69" s="202" t="s">
        <v>31</v>
      </c>
      <c r="C69" s="194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7"/>
    </row>
    <row r="70" customFormat="false" ht="18.75" hidden="false" customHeight="true" outlineLevel="0" collapsed="false">
      <c r="B70" s="202" t="s">
        <v>32</v>
      </c>
      <c r="C70" s="194" t="s">
        <v>26</v>
      </c>
      <c r="D70" s="204" t="n">
        <v>0</v>
      </c>
      <c r="E70" s="204" t="n">
        <v>0</v>
      </c>
      <c r="F70" s="204" t="n">
        <v>0</v>
      </c>
      <c r="G70" s="204" t="n">
        <v>0</v>
      </c>
      <c r="H70" s="204" t="n">
        <v>0</v>
      </c>
      <c r="I70" s="204" t="n">
        <v>0</v>
      </c>
      <c r="J70" s="204" t="n">
        <v>0</v>
      </c>
      <c r="K70" s="204" t="n">
        <v>0</v>
      </c>
      <c r="L70" s="204" t="n">
        <v>0</v>
      </c>
      <c r="M70" s="204" t="n">
        <v>0</v>
      </c>
      <c r="N70" s="204" t="n">
        <v>0</v>
      </c>
      <c r="O70" s="204" t="n">
        <v>0</v>
      </c>
      <c r="P70" s="204" t="n">
        <v>0</v>
      </c>
      <c r="Q70" s="204" t="n">
        <v>0</v>
      </c>
      <c r="R70" s="204" t="n">
        <v>0</v>
      </c>
      <c r="S70" s="204" t="n">
        <v>0</v>
      </c>
      <c r="T70" s="204" t="n">
        <v>0</v>
      </c>
      <c r="U70" s="204" t="n">
        <v>0</v>
      </c>
      <c r="V70" s="204" t="n">
        <v>0</v>
      </c>
      <c r="W70" s="204" t="n">
        <v>0</v>
      </c>
      <c r="X70" s="197"/>
    </row>
    <row r="71" customFormat="false" ht="18.75" hidden="false" customHeight="true" outlineLevel="0" collapsed="false">
      <c r="B71" s="202" t="s">
        <v>33</v>
      </c>
      <c r="C71" s="194" t="s">
        <v>26</v>
      </c>
      <c r="D71" s="204" t="n">
        <f aca="false">D48</f>
        <v>-174440</v>
      </c>
      <c r="E71" s="204" t="n">
        <f aca="false">E48</f>
        <v>-174440</v>
      </c>
      <c r="F71" s="204" t="n">
        <f aca="false">F48</f>
        <v>-174440</v>
      </c>
      <c r="G71" s="204" t="n">
        <f aca="false">G48</f>
        <v>-174440</v>
      </c>
      <c r="H71" s="204" t="n">
        <f aca="false">H48</f>
        <v>-174440</v>
      </c>
      <c r="I71" s="204" t="n">
        <f aca="false">I48</f>
        <v>-174440</v>
      </c>
      <c r="J71" s="204" t="n">
        <f aca="false">J48</f>
        <v>-174440</v>
      </c>
      <c r="K71" s="204" t="n">
        <f aca="false">K48</f>
        <v>-174440</v>
      </c>
      <c r="L71" s="204" t="n">
        <f aca="false">L48</f>
        <v>-174440</v>
      </c>
      <c r="M71" s="204" t="n">
        <f aca="false">M48</f>
        <v>-174440</v>
      </c>
      <c r="N71" s="204" t="n">
        <f aca="false">N48</f>
        <v>-174440</v>
      </c>
      <c r="O71" s="204" t="n">
        <f aca="false">O48</f>
        <v>-174440</v>
      </c>
      <c r="P71" s="204" t="n">
        <f aca="false">P48</f>
        <v>-174440</v>
      </c>
      <c r="Q71" s="204" t="n">
        <f aca="false">Q48</f>
        <v>-174440</v>
      </c>
      <c r="R71" s="204" t="n">
        <f aca="false">R48</f>
        <v>-174440</v>
      </c>
      <c r="S71" s="204" t="n">
        <f aca="false">S48</f>
        <v>-174440</v>
      </c>
      <c r="T71" s="204" t="n">
        <f aca="false">T48</f>
        <v>-174440</v>
      </c>
      <c r="U71" s="204" t="n">
        <f aca="false">U48</f>
        <v>-174440</v>
      </c>
      <c r="V71" s="204" t="n">
        <f aca="false">V48</f>
        <v>-174440</v>
      </c>
      <c r="W71" s="204" t="n">
        <f aca="false">W48</f>
        <v>-174440</v>
      </c>
      <c r="X71" s="197"/>
    </row>
    <row r="72" customFormat="false" ht="18.75" hidden="false" customHeight="true" outlineLevel="0" collapsed="false">
      <c r="B72" s="202" t="s">
        <v>34</v>
      </c>
      <c r="C72" s="194" t="s">
        <v>26</v>
      </c>
      <c r="D72" s="204" t="n">
        <f aca="false">D49</f>
        <v>-27474.3</v>
      </c>
      <c r="E72" s="204" t="n">
        <f aca="false">E49</f>
        <v>-27474.3</v>
      </c>
      <c r="F72" s="204" t="n">
        <f aca="false">F49</f>
        <v>-27474.3</v>
      </c>
      <c r="G72" s="204" t="n">
        <f aca="false">G49</f>
        <v>-27474.3</v>
      </c>
      <c r="H72" s="204" t="n">
        <f aca="false">H49</f>
        <v>-27474.3</v>
      </c>
      <c r="I72" s="204" t="n">
        <f aca="false">I49</f>
        <v>-27474.3</v>
      </c>
      <c r="J72" s="204" t="n">
        <f aca="false">J49</f>
        <v>-27474.3</v>
      </c>
      <c r="K72" s="204" t="n">
        <f aca="false">K49</f>
        <v>-27474.3</v>
      </c>
      <c r="L72" s="204" t="n">
        <f aca="false">L49</f>
        <v>-27474.3</v>
      </c>
      <c r="M72" s="204" t="n">
        <f aca="false">M49</f>
        <v>-27474.3</v>
      </c>
      <c r="N72" s="204" t="n">
        <f aca="false">N49</f>
        <v>-27474.3</v>
      </c>
      <c r="O72" s="204" t="n">
        <f aca="false">O49</f>
        <v>-27474.3</v>
      </c>
      <c r="P72" s="204" t="n">
        <f aca="false">P49</f>
        <v>-27474.3</v>
      </c>
      <c r="Q72" s="204" t="n">
        <f aca="false">Q49</f>
        <v>-27474.3</v>
      </c>
      <c r="R72" s="204" t="n">
        <f aca="false">R49</f>
        <v>-27474.3</v>
      </c>
      <c r="S72" s="204" t="n">
        <f aca="false">S49</f>
        <v>-27474.3</v>
      </c>
      <c r="T72" s="204" t="n">
        <f aca="false">T49</f>
        <v>-27474.3</v>
      </c>
      <c r="U72" s="204" t="n">
        <f aca="false">U49</f>
        <v>-27474.3</v>
      </c>
      <c r="V72" s="204" t="n">
        <f aca="false">V49</f>
        <v>-27474.3</v>
      </c>
      <c r="W72" s="204" t="n">
        <f aca="false">W49</f>
        <v>-27474.3</v>
      </c>
      <c r="X72" s="197"/>
    </row>
    <row r="73" customFormat="false" ht="18.75" hidden="false" customHeight="true" outlineLevel="0" collapsed="false">
      <c r="B73" s="202" t="s">
        <v>35</v>
      </c>
      <c r="C73" s="194"/>
      <c r="D73" s="204" t="n">
        <f aca="false">D50</f>
        <v>-43610</v>
      </c>
      <c r="E73" s="204" t="n">
        <f aca="false">E50</f>
        <v>-43610</v>
      </c>
      <c r="F73" s="204" t="n">
        <f aca="false">F50</f>
        <v>-43610</v>
      </c>
      <c r="G73" s="204" t="n">
        <f aca="false">G50</f>
        <v>-43610</v>
      </c>
      <c r="H73" s="204" t="n">
        <f aca="false">H50</f>
        <v>-43610</v>
      </c>
      <c r="I73" s="204" t="n">
        <f aca="false">I50</f>
        <v>-43610</v>
      </c>
      <c r="J73" s="204" t="n">
        <f aca="false">J50</f>
        <v>-43610</v>
      </c>
      <c r="K73" s="204" t="n">
        <f aca="false">K50</f>
        <v>-43610</v>
      </c>
      <c r="L73" s="204" t="n">
        <f aca="false">L50</f>
        <v>-43610</v>
      </c>
      <c r="M73" s="204" t="n">
        <f aca="false">M50</f>
        <v>-43610</v>
      </c>
      <c r="N73" s="204" t="n">
        <f aca="false">N50</f>
        <v>0</v>
      </c>
      <c r="O73" s="204" t="n">
        <f aca="false">O50</f>
        <v>0</v>
      </c>
      <c r="P73" s="204" t="n">
        <f aca="false">P50</f>
        <v>0</v>
      </c>
      <c r="Q73" s="204" t="n">
        <f aca="false">Q50</f>
        <v>0</v>
      </c>
      <c r="R73" s="204" t="n">
        <f aca="false">R50</f>
        <v>0</v>
      </c>
      <c r="S73" s="204" t="n">
        <f aca="false">S50</f>
        <v>0</v>
      </c>
      <c r="T73" s="204" t="n">
        <f aca="false">T50</f>
        <v>0</v>
      </c>
      <c r="U73" s="204" t="n">
        <f aca="false">U50</f>
        <v>0</v>
      </c>
      <c r="V73" s="204" t="n">
        <f aca="false">V50</f>
        <v>0</v>
      </c>
      <c r="W73" s="204" t="n">
        <f aca="false">W50</f>
        <v>0</v>
      </c>
      <c r="X73" s="197"/>
    </row>
    <row r="74" customFormat="false" ht="18.75" hidden="false" customHeight="true" outlineLevel="0" collapsed="false">
      <c r="B74" s="202" t="s">
        <v>36</v>
      </c>
      <c r="C74" s="205"/>
      <c r="D74" s="222"/>
      <c r="E74" s="223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7"/>
    </row>
    <row r="75" customFormat="false" ht="18.75" hidden="false" customHeight="true" outlineLevel="0" collapsed="false">
      <c r="B75" s="202" t="s">
        <v>37</v>
      </c>
      <c r="C75" s="20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7"/>
    </row>
    <row r="76" customFormat="false" ht="18.75" hidden="false" customHeight="true" outlineLevel="0" collapsed="false">
      <c r="B76" s="207" t="s">
        <v>46</v>
      </c>
      <c r="C76" s="224"/>
      <c r="D76" s="209" t="n">
        <f aca="false">SUM(D64:D75)</f>
        <v>1222843.62</v>
      </c>
      <c r="E76" s="209" t="n">
        <f aca="false">SUM(E64:E75)</f>
        <v>923890.588</v>
      </c>
      <c r="F76" s="209" t="n">
        <f aca="false">SUM(F64:F75)</f>
        <v>915138.556</v>
      </c>
      <c r="G76" s="209" t="n">
        <f aca="false">SUM(G64:G75)</f>
        <v>906386.524</v>
      </c>
      <c r="H76" s="209" t="n">
        <f aca="false">SUM(H64:H75)</f>
        <v>897634.492</v>
      </c>
      <c r="I76" s="209" t="n">
        <f aca="false">SUM(I64:I75)</f>
        <v>888882.46</v>
      </c>
      <c r="J76" s="209" t="n">
        <f aca="false">SUM(J64:J75)</f>
        <v>880130.428</v>
      </c>
      <c r="K76" s="209" t="n">
        <f aca="false">SUM(K64:K75)</f>
        <v>871378.396</v>
      </c>
      <c r="L76" s="209" t="n">
        <f aca="false">SUM(L64:L75)</f>
        <v>862626.364</v>
      </c>
      <c r="M76" s="209" t="n">
        <f aca="false">SUM(M64:M75)</f>
        <v>853874.332</v>
      </c>
      <c r="N76" s="209" t="n">
        <f aca="false">SUM(N64:N75)</f>
        <v>888732.3</v>
      </c>
      <c r="O76" s="209" t="n">
        <f aca="false">SUM(O64:O75)</f>
        <v>879980.268</v>
      </c>
      <c r="P76" s="209" t="n">
        <f aca="false">SUM(P64:P75)</f>
        <v>871228.236</v>
      </c>
      <c r="Q76" s="209" t="n">
        <f aca="false">SUM(Q64:Q75)</f>
        <v>862476.204</v>
      </c>
      <c r="R76" s="209" t="n">
        <f aca="false">SUM(R64:R75)</f>
        <v>853724.172</v>
      </c>
      <c r="S76" s="209" t="n">
        <f aca="false">SUM(S64:S75)</f>
        <v>844972.14</v>
      </c>
      <c r="T76" s="209" t="n">
        <f aca="false">SUM(T64:T75)</f>
        <v>836220.108</v>
      </c>
      <c r="U76" s="209" t="n">
        <f aca="false">SUM(U64:U75)</f>
        <v>827468.076</v>
      </c>
      <c r="V76" s="209" t="n">
        <f aca="false">SUM(V64:V75)</f>
        <v>818716.044</v>
      </c>
      <c r="W76" s="209" t="n">
        <f aca="false">SUM(W64:W75)</f>
        <v>809964.012</v>
      </c>
      <c r="X76" s="209" t="n">
        <f aca="false">SUM(X64:X75)</f>
        <v>0</v>
      </c>
    </row>
    <row r="77" customFormat="false" ht="18.75" hidden="false" customHeight="true" outlineLevel="0" collapsed="false">
      <c r="B77" s="206" t="s">
        <v>39</v>
      </c>
      <c r="C77" s="205"/>
      <c r="D77" s="204" t="n">
        <f aca="false">-D76*0.2</f>
        <v>-244568.724</v>
      </c>
      <c r="E77" s="204" t="n">
        <f aca="false">-E76*0.2</f>
        <v>-184778.1176</v>
      </c>
      <c r="F77" s="204" t="n">
        <f aca="false">-F76*0.2</f>
        <v>-183027.7112</v>
      </c>
      <c r="G77" s="204" t="n">
        <f aca="false">-G76*0.2</f>
        <v>-181277.3048</v>
      </c>
      <c r="H77" s="204" t="n">
        <f aca="false">-H76*0.2</f>
        <v>-179526.8984</v>
      </c>
      <c r="I77" s="204" t="n">
        <f aca="false">-I76*0.2</f>
        <v>-177776.492</v>
      </c>
      <c r="J77" s="204" t="n">
        <f aca="false">-J76*0.2</f>
        <v>-176026.0856</v>
      </c>
      <c r="K77" s="204" t="n">
        <f aca="false">-K76*0.2</f>
        <v>-174275.6792</v>
      </c>
      <c r="L77" s="204" t="n">
        <f aca="false">-L76*0.2</f>
        <v>-172525.2728</v>
      </c>
      <c r="M77" s="204" t="n">
        <f aca="false">-M76*0.2</f>
        <v>-170774.8664</v>
      </c>
      <c r="N77" s="204" t="n">
        <f aca="false">-N76*0.2</f>
        <v>-177746.46</v>
      </c>
      <c r="O77" s="204" t="n">
        <f aca="false">-O76*0.2</f>
        <v>-175996.0536</v>
      </c>
      <c r="P77" s="204" t="n">
        <f aca="false">-P76*0.2</f>
        <v>-174245.6472</v>
      </c>
      <c r="Q77" s="204" t="n">
        <f aca="false">-Q76*0.2</f>
        <v>-172495.2408</v>
      </c>
      <c r="R77" s="204" t="n">
        <f aca="false">-R76*0.2</f>
        <v>-170744.8344</v>
      </c>
      <c r="S77" s="204" t="n">
        <f aca="false">-S76*0.2</f>
        <v>-168994.428</v>
      </c>
      <c r="T77" s="204" t="n">
        <f aca="false">-T76*0.2</f>
        <v>-167244.0216</v>
      </c>
      <c r="U77" s="204" t="n">
        <f aca="false">-U76*0.2</f>
        <v>-165493.6152</v>
      </c>
      <c r="V77" s="204" t="n">
        <f aca="false">-V76*0.2</f>
        <v>-163743.2088</v>
      </c>
      <c r="W77" s="204" t="n">
        <f aca="false">-W76*0.2</f>
        <v>-161992.8024</v>
      </c>
      <c r="X77" s="204" t="n">
        <f aca="false">-X76*0.2</f>
        <v>-0</v>
      </c>
    </row>
    <row r="78" customFormat="false" ht="15.75" hidden="false" customHeight="true" outlineLevel="0" collapsed="false">
      <c r="B78" s="225" t="s">
        <v>47</v>
      </c>
      <c r="D78" s="204" t="n">
        <f aca="false">SUM(D76:D77)</f>
        <v>978274.896</v>
      </c>
      <c r="E78" s="204" t="n">
        <f aca="false">SUM(E76:E77)</f>
        <v>739112.4704</v>
      </c>
      <c r="F78" s="204" t="n">
        <f aca="false">SUM(F76:F77)</f>
        <v>732110.8448</v>
      </c>
      <c r="G78" s="204" t="n">
        <f aca="false">SUM(G76:G77)</f>
        <v>725109.2192</v>
      </c>
      <c r="H78" s="204" t="n">
        <f aca="false">SUM(H76:H77)</f>
        <v>718107.5936</v>
      </c>
      <c r="I78" s="204" t="n">
        <f aca="false">SUM(I76:I77)</f>
        <v>711105.968</v>
      </c>
      <c r="J78" s="204" t="n">
        <f aca="false">SUM(J76:J77)</f>
        <v>704104.3424</v>
      </c>
      <c r="K78" s="204" t="n">
        <f aca="false">SUM(K76:K77)</f>
        <v>697102.7168</v>
      </c>
      <c r="L78" s="204" t="n">
        <f aca="false">SUM(L76:L77)</f>
        <v>690101.0912</v>
      </c>
      <c r="M78" s="204" t="n">
        <f aca="false">SUM(M76:M77)</f>
        <v>683099.4656</v>
      </c>
      <c r="N78" s="204" t="n">
        <f aca="false">SUM(N76:N77)</f>
        <v>710985.84</v>
      </c>
      <c r="O78" s="204" t="n">
        <f aca="false">SUM(O76:O77)</f>
        <v>703984.2144</v>
      </c>
      <c r="P78" s="204" t="n">
        <f aca="false">SUM(P76:P77)</f>
        <v>696982.5888</v>
      </c>
      <c r="Q78" s="204" t="n">
        <f aca="false">SUM(Q76:Q77)</f>
        <v>689980.9632</v>
      </c>
      <c r="R78" s="204" t="n">
        <f aca="false">SUM(R76:R77)</f>
        <v>682979.3376</v>
      </c>
      <c r="S78" s="204" t="n">
        <f aca="false">SUM(S76:S77)</f>
        <v>675977.712</v>
      </c>
      <c r="T78" s="204" t="n">
        <f aca="false">SUM(T76:T77)</f>
        <v>668976.0864</v>
      </c>
      <c r="U78" s="204" t="n">
        <f aca="false">SUM(U76:U77)</f>
        <v>661974.4608</v>
      </c>
      <c r="V78" s="204" t="n">
        <f aca="false">SUM(V76:V77)</f>
        <v>654972.8352</v>
      </c>
      <c r="W78" s="204" t="n">
        <f aca="false">SUM(W76:W77)</f>
        <v>647971.2096</v>
      </c>
      <c r="X78" s="204" t="n">
        <f aca="false">SUM(X76:X77)</f>
        <v>0</v>
      </c>
    </row>
    <row r="79" customFormat="false" ht="18.75" hidden="false" customHeight="true" outlineLevel="0" collapsed="false">
      <c r="B79" s="213" t="s">
        <v>41</v>
      </c>
      <c r="C79" s="21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7"/>
    </row>
    <row r="80" customFormat="false" ht="18.75" hidden="false" customHeight="true" outlineLevel="0" collapsed="false">
      <c r="B80" s="112" t="s">
        <v>42</v>
      </c>
      <c r="C80" s="113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9"/>
    </row>
    <row r="81" customFormat="false" ht="18.75" hidden="false" customHeight="true" outlineLevel="0" collapsed="false">
      <c r="B81" s="98"/>
      <c r="C81" s="97"/>
      <c r="D81" s="97"/>
      <c r="E81" s="97"/>
      <c r="F81" s="98"/>
      <c r="G81" s="98"/>
      <c r="H81" s="98"/>
      <c r="I81" s="98"/>
      <c r="J81" s="98"/>
      <c r="K81" s="98"/>
      <c r="L81" s="98"/>
      <c r="M81" s="97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37"/>
    <col collapsed="false" customWidth="true" hidden="false" outlineLevel="0" max="6" min="6" style="0" width="50"/>
    <col collapsed="false" customWidth="true" hidden="false" outlineLevel="0" max="7" min="7" style="0" width="37"/>
    <col collapsed="false" customWidth="true" hidden="false" outlineLevel="0" max="13" min="13" style="0" width="50"/>
    <col collapsed="false" customWidth="true" hidden="false" outlineLevel="0" max="14" min="14" style="0" width="37"/>
    <col collapsed="false" customWidth="true" hidden="false" outlineLevel="0" max="24" min="24" style="0" width="30"/>
    <col collapsed="false" customWidth="true" hidden="false" outlineLevel="0" max="25" min="25" style="0" width="10"/>
    <col collapsed="false" customWidth="true" hidden="false" outlineLevel="0" max="28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37" t="s">
        <v>63</v>
      </c>
      <c r="C1" s="138"/>
      <c r="D1" s="138"/>
      <c r="E1" s="139"/>
      <c r="F1" s="140" t="s">
        <v>64</v>
      </c>
      <c r="P1" s="141" t="n">
        <f aca="false">1-D11</f>
        <v>0.99</v>
      </c>
      <c r="Q1" s="141" t="n">
        <f aca="false">P1-$D12</f>
        <v>0.986</v>
      </c>
      <c r="R1" s="141" t="n">
        <f aca="false">Q1-$D12</f>
        <v>0.982</v>
      </c>
      <c r="S1" s="141" t="n">
        <f aca="false">R1-$D12</f>
        <v>0.978</v>
      </c>
      <c r="T1" s="141" t="n">
        <f aca="false">S1-$D12</f>
        <v>0.974</v>
      </c>
      <c r="U1" s="141" t="n">
        <f aca="false">T1-$D12</f>
        <v>0.97</v>
      </c>
      <c r="V1" s="141" t="n">
        <f aca="false">U1-$D12</f>
        <v>0.966</v>
      </c>
      <c r="W1" s="141" t="n">
        <f aca="false">V1-$D12</f>
        <v>0.962</v>
      </c>
      <c r="X1" s="141" t="n">
        <f aca="false">W1-$D12</f>
        <v>0.958</v>
      </c>
      <c r="Y1" s="141" t="n">
        <f aca="false">X1-$D12</f>
        <v>0.954</v>
      </c>
      <c r="Z1" s="141" t="n">
        <f aca="false">Y1-$D12</f>
        <v>0.95</v>
      </c>
      <c r="AA1" s="141" t="n">
        <f aca="false">Z1-$D12</f>
        <v>0.946</v>
      </c>
      <c r="AB1" s="141" t="n">
        <f aca="false">AA1-$D12</f>
        <v>0.942</v>
      </c>
      <c r="AC1" s="141" t="n">
        <f aca="false">AB1-$D12</f>
        <v>0.938</v>
      </c>
      <c r="AD1" s="141" t="n">
        <f aca="false">AC1-$D12</f>
        <v>0.934</v>
      </c>
      <c r="AE1" s="141" t="n">
        <f aca="false">AD1-$D12</f>
        <v>0.93</v>
      </c>
      <c r="AF1" s="141" t="n">
        <f aca="false">AE1-$D12</f>
        <v>0.926</v>
      </c>
      <c r="AG1" s="141" t="n">
        <f aca="false">AF1-$D12</f>
        <v>0.922</v>
      </c>
      <c r="AH1" s="141" t="n">
        <f aca="false">AG1-$D12</f>
        <v>0.918</v>
      </c>
      <c r="AI1" s="141" t="n">
        <f aca="false">AH1-$D12</f>
        <v>0.914</v>
      </c>
    </row>
    <row r="2" customFormat="false" ht="21.75" hidden="false" customHeight="true" outlineLevel="0" collapsed="false">
      <c r="B2" s="142" t="s">
        <v>65</v>
      </c>
      <c r="C2" s="143" t="s">
        <v>2</v>
      </c>
      <c r="D2" s="144" t="s">
        <v>26</v>
      </c>
      <c r="E2" s="145" t="s">
        <v>26</v>
      </c>
      <c r="F2" s="146" t="s">
        <v>66</v>
      </c>
    </row>
    <row r="3" customFormat="false" ht="21.75" hidden="false" customHeight="true" outlineLevel="0" collapsed="false">
      <c r="B3" s="147" t="s">
        <v>67</v>
      </c>
      <c r="C3" s="148" t="n">
        <v>20</v>
      </c>
      <c r="D3" s="149" t="s">
        <v>26</v>
      </c>
      <c r="E3" s="150" t="s">
        <v>26</v>
      </c>
      <c r="F3" s="151" t="s">
        <v>68</v>
      </c>
    </row>
    <row r="4" customFormat="false" ht="21.75" hidden="false" customHeight="true" outlineLevel="0" collapsed="false">
      <c r="B4" s="147" t="s">
        <v>69</v>
      </c>
      <c r="C4" s="148" t="n">
        <v>436.1</v>
      </c>
      <c r="D4" s="149" t="s">
        <v>26</v>
      </c>
      <c r="E4" s="150" t="s">
        <v>26</v>
      </c>
      <c r="F4" s="151" t="s">
        <v>70</v>
      </c>
      <c r="M4" s="152" t="s">
        <v>162</v>
      </c>
    </row>
    <row r="5" customFormat="false" ht="22.5" hidden="false" customHeight="true" outlineLevel="0" collapsed="false">
      <c r="B5" s="153" t="s">
        <v>72</v>
      </c>
      <c r="C5" s="148" t="n">
        <v>2020</v>
      </c>
      <c r="D5" s="153" t="s">
        <v>73</v>
      </c>
      <c r="E5" s="154" t="n">
        <v>2039</v>
      </c>
      <c r="F5" s="151" t="s">
        <v>74</v>
      </c>
      <c r="M5" s="152" t="s">
        <v>163</v>
      </c>
    </row>
    <row r="6" customFormat="false" ht="20.25" hidden="false" customHeight="true" outlineLevel="0" collapsed="false">
      <c r="B6" s="155"/>
      <c r="C6" s="155"/>
      <c r="D6" s="155"/>
      <c r="E6" s="155"/>
      <c r="M6" s="152" t="s">
        <v>164</v>
      </c>
    </row>
    <row r="7" customFormat="false" ht="22.5" hidden="false" customHeight="true" outlineLevel="0" collapsed="false">
      <c r="B7" s="137" t="s">
        <v>77</v>
      </c>
      <c r="C7" s="138"/>
      <c r="D7" s="138"/>
      <c r="E7" s="139"/>
      <c r="M7" s="152" t="s">
        <v>165</v>
      </c>
    </row>
    <row r="8" customFormat="false" ht="22.5" hidden="false" customHeight="true" outlineLevel="0" collapsed="false">
      <c r="B8" s="156" t="s">
        <v>79</v>
      </c>
      <c r="E8" s="157"/>
      <c r="M8" s="152" t="s">
        <v>166</v>
      </c>
    </row>
    <row r="9" customFormat="false" ht="22.5" hidden="false" customHeight="true" outlineLevel="0" collapsed="false">
      <c r="B9" s="158" t="s">
        <v>81</v>
      </c>
      <c r="C9" s="159" t="s">
        <v>82</v>
      </c>
      <c r="D9" s="159" t="s">
        <v>83</v>
      </c>
      <c r="E9" s="160" t="s">
        <v>84</v>
      </c>
      <c r="F9" s="140" t="s">
        <v>64</v>
      </c>
      <c r="M9" s="152" t="s">
        <v>85</v>
      </c>
    </row>
    <row r="10" customFormat="false" ht="30" hidden="false" customHeight="true" outlineLevel="0" collapsed="false">
      <c r="B10" s="161" t="s">
        <v>86</v>
      </c>
      <c r="C10" s="162" t="s">
        <v>87</v>
      </c>
      <c r="D10" s="163" t="n">
        <v>547002</v>
      </c>
      <c r="E10" s="164" t="n">
        <v>20</v>
      </c>
      <c r="F10" s="151" t="s">
        <v>88</v>
      </c>
      <c r="M10" s="152" t="s">
        <v>167</v>
      </c>
    </row>
    <row r="11" customFormat="false" ht="30" hidden="false" customHeight="true" outlineLevel="0" collapsed="false">
      <c r="B11" s="165"/>
      <c r="C11" s="153" t="s">
        <v>90</v>
      </c>
      <c r="D11" s="166" t="n">
        <v>0.01</v>
      </c>
      <c r="E11" s="167"/>
      <c r="F11" s="151" t="s">
        <v>91</v>
      </c>
    </row>
    <row r="12" customFormat="false" ht="30" hidden="false" customHeight="true" outlineLevel="0" collapsed="false">
      <c r="B12" s="165"/>
      <c r="C12" s="153" t="s">
        <v>92</v>
      </c>
      <c r="D12" s="168" t="n">
        <v>0.004</v>
      </c>
      <c r="E12" s="167"/>
      <c r="F12" s="151" t="s">
        <v>93</v>
      </c>
    </row>
    <row r="13" customFormat="false" ht="22.5" hidden="false" customHeight="true" outlineLevel="0" collapsed="false">
      <c r="B13" s="165"/>
      <c r="C13" s="169" t="s">
        <v>94</v>
      </c>
      <c r="D13" s="170" t="n">
        <v>4</v>
      </c>
      <c r="E13" s="167"/>
      <c r="F13" s="151" t="s">
        <v>95</v>
      </c>
    </row>
    <row r="14" customFormat="false" ht="22.5" hidden="false" customHeight="true" outlineLevel="0" collapsed="false">
      <c r="B14" s="171" t="s">
        <v>96</v>
      </c>
      <c r="C14" s="138"/>
      <c r="D14" s="138"/>
      <c r="E14" s="139"/>
    </row>
    <row r="15" customFormat="false" ht="22.5" hidden="false" customHeight="true" outlineLevel="0" collapsed="false">
      <c r="B15" s="158" t="s">
        <v>81</v>
      </c>
      <c r="C15" s="159" t="s">
        <v>82</v>
      </c>
      <c r="D15" s="159" t="s">
        <v>83</v>
      </c>
      <c r="E15" s="160" t="s">
        <v>97</v>
      </c>
      <c r="F15" s="140" t="s">
        <v>64</v>
      </c>
    </row>
    <row r="16" customFormat="false" ht="21.75" hidden="false" customHeight="true" outlineLevel="0" collapsed="false">
      <c r="B16" s="162" t="s">
        <v>98</v>
      </c>
      <c r="C16" s="162" t="s">
        <v>99</v>
      </c>
      <c r="D16" s="172" t="n">
        <v>25000</v>
      </c>
      <c r="E16" s="145" t="n">
        <v>20</v>
      </c>
      <c r="F16" s="151" t="s">
        <v>100</v>
      </c>
    </row>
    <row r="17" customFormat="false" ht="21.75" hidden="false" customHeight="true" outlineLevel="0" collapsed="false">
      <c r="B17" s="165"/>
      <c r="C17" s="153" t="s">
        <v>101</v>
      </c>
      <c r="D17" s="173" t="n">
        <v>0.3</v>
      </c>
      <c r="E17" s="167"/>
      <c r="F17" s="151" t="s">
        <v>102</v>
      </c>
    </row>
    <row r="18" customFormat="false" ht="21.75" hidden="false" customHeight="true" outlineLevel="0" collapsed="false">
      <c r="B18" s="174"/>
      <c r="C18" s="153" t="s">
        <v>103</v>
      </c>
      <c r="D18" s="175" t="n">
        <v>2000</v>
      </c>
      <c r="E18" s="176"/>
      <c r="F18" s="151" t="s">
        <v>104</v>
      </c>
    </row>
    <row r="19" customFormat="false" ht="54" hidden="false" customHeight="true" outlineLevel="0" collapsed="false">
      <c r="B19" s="153" t="s">
        <v>105</v>
      </c>
      <c r="C19" s="177" t="s">
        <v>106</v>
      </c>
      <c r="D19" s="173" t="n">
        <v>1</v>
      </c>
      <c r="E19" s="145" t="n">
        <v>20</v>
      </c>
      <c r="F19" s="151" t="s">
        <v>107</v>
      </c>
    </row>
    <row r="20" customFormat="false" ht="20.25" hidden="false" customHeight="true" outlineLevel="0" collapsed="false">
      <c r="B20" s="165"/>
      <c r="C20" s="178" t="s">
        <v>108</v>
      </c>
      <c r="D20" s="175" t="n">
        <v>290201</v>
      </c>
      <c r="E20" s="145" t="n">
        <v>20</v>
      </c>
      <c r="F20" s="151" t="s">
        <v>109</v>
      </c>
    </row>
    <row r="21" customFormat="false" ht="30" hidden="false" customHeight="true" outlineLevel="0" collapsed="false">
      <c r="B21" s="174"/>
      <c r="C21" s="153" t="s">
        <v>110</v>
      </c>
      <c r="D21" s="173" t="n">
        <v>0</v>
      </c>
      <c r="E21" s="150" t="n">
        <v>20</v>
      </c>
      <c r="F21" s="151" t="s">
        <v>111</v>
      </c>
    </row>
    <row r="22" customFormat="false" ht="30" hidden="false" customHeight="true" outlineLevel="0" collapsed="false">
      <c r="B22" s="153" t="s">
        <v>112</v>
      </c>
      <c r="C22" s="153" t="s">
        <v>113</v>
      </c>
      <c r="D22" s="179" t="n">
        <v>400</v>
      </c>
      <c r="E22" s="150" t="n">
        <v>20</v>
      </c>
      <c r="F22" s="151" t="s">
        <v>114</v>
      </c>
    </row>
    <row r="23" customFormat="false" ht="30" hidden="false" customHeight="true" outlineLevel="0" collapsed="false">
      <c r="B23" s="153" t="s">
        <v>115</v>
      </c>
      <c r="C23" s="153" t="s">
        <v>116</v>
      </c>
      <c r="D23" s="173" t="n">
        <v>0.003</v>
      </c>
      <c r="E23" s="150" t="n">
        <v>20</v>
      </c>
      <c r="F23" s="151" t="s">
        <v>117</v>
      </c>
    </row>
    <row r="24" customFormat="false" ht="30" hidden="false" customHeight="true" outlineLevel="0" collapsed="false">
      <c r="B24" s="153" t="s">
        <v>118</v>
      </c>
      <c r="C24" s="153" t="s">
        <v>119</v>
      </c>
      <c r="D24" s="179" t="n">
        <v>1000</v>
      </c>
      <c r="E24" s="180" t="n">
        <v>10</v>
      </c>
      <c r="F24" s="151" t="s">
        <v>120</v>
      </c>
    </row>
    <row r="25" customFormat="false" ht="30" hidden="false" customHeight="true" outlineLevel="0" collapsed="false">
      <c r="B25" s="153" t="s">
        <v>121</v>
      </c>
      <c r="C25" s="153" t="s">
        <v>122</v>
      </c>
      <c r="D25" s="181" t="n">
        <v>0.0256</v>
      </c>
      <c r="E25" s="150" t="n">
        <v>20</v>
      </c>
      <c r="F25" s="151" t="s">
        <v>123</v>
      </c>
    </row>
    <row r="26" customFormat="false" ht="30" hidden="false" customHeight="true" outlineLevel="0" collapsed="false">
      <c r="B26" s="153" t="s">
        <v>14</v>
      </c>
      <c r="C26" s="153" t="s">
        <v>124</v>
      </c>
      <c r="D26" s="173" t="n">
        <v>0.2</v>
      </c>
      <c r="E26" s="150" t="n">
        <v>20</v>
      </c>
      <c r="F26" s="151" t="s">
        <v>125</v>
      </c>
    </row>
    <row r="27" customFormat="false" ht="20.25" hidden="false" customHeight="true" outlineLevel="0" collapsed="false">
      <c r="B27" s="155"/>
      <c r="C27" s="155"/>
      <c r="D27" s="155"/>
      <c r="E27" s="155"/>
    </row>
    <row r="28" customFormat="false" ht="20.25" hidden="false" customHeight="true" outlineLevel="0" collapsed="false">
      <c r="B28" s="155"/>
      <c r="C28" s="155"/>
      <c r="D28" s="155"/>
      <c r="E28" s="155"/>
    </row>
    <row r="29" customFormat="false" ht="22.5" hidden="false" customHeight="true" outlineLevel="0" collapsed="false">
      <c r="B29" s="137" t="s">
        <v>126</v>
      </c>
      <c r="C29" s="138"/>
      <c r="D29" s="139"/>
      <c r="E29" s="155"/>
    </row>
    <row r="30" customFormat="false" ht="22.5" hidden="false" customHeight="true" outlineLevel="0" collapsed="false">
      <c r="B30" s="158" t="s">
        <v>127</v>
      </c>
      <c r="C30" s="182" t="s">
        <v>82</v>
      </c>
      <c r="D30" s="183" t="s">
        <v>83</v>
      </c>
      <c r="E30" s="155"/>
      <c r="F30" s="140" t="s">
        <v>64</v>
      </c>
    </row>
    <row r="31" customFormat="false" ht="30" hidden="false" customHeight="true" outlineLevel="0" collapsed="false">
      <c r="B31" s="162" t="s">
        <v>128</v>
      </c>
      <c r="C31" s="142" t="s">
        <v>129</v>
      </c>
      <c r="D31" s="184" t="n">
        <v>0.8</v>
      </c>
      <c r="E31" s="155"/>
      <c r="F31" s="151" t="s">
        <v>130</v>
      </c>
    </row>
    <row r="32" customFormat="false" ht="18.75" hidden="false" customHeight="true" outlineLevel="0" collapsed="false">
      <c r="B32" s="162" t="s">
        <v>131</v>
      </c>
      <c r="C32" s="142" t="s">
        <v>132</v>
      </c>
      <c r="D32" s="184" t="n">
        <v>15</v>
      </c>
      <c r="E32" s="155"/>
      <c r="F32" s="151" t="s">
        <v>133</v>
      </c>
    </row>
    <row r="33" customFormat="false" ht="18.75" hidden="false" customHeight="true" outlineLevel="0" collapsed="false">
      <c r="B33" s="153" t="s">
        <v>53</v>
      </c>
      <c r="C33" s="147" t="s">
        <v>134</v>
      </c>
      <c r="D33" s="173" t="n">
        <v>0.9</v>
      </c>
      <c r="E33" s="155"/>
      <c r="F33" s="151" t="s">
        <v>135</v>
      </c>
    </row>
    <row r="34" customFormat="false" ht="30" hidden="false" customHeight="true" outlineLevel="0" collapsed="false">
      <c r="B34" s="153" t="s">
        <v>54</v>
      </c>
      <c r="C34" s="147" t="s">
        <v>132</v>
      </c>
      <c r="D34" s="173" t="n">
        <v>4</v>
      </c>
      <c r="E34" s="155"/>
      <c r="F34" s="151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56"/>
      <c r="C37" s="57" t="s">
        <v>0</v>
      </c>
      <c r="D37" s="57" t="n">
        <v>2020</v>
      </c>
      <c r="E37" s="57" t="n">
        <v>2021</v>
      </c>
      <c r="F37" s="57" t="n">
        <v>2022</v>
      </c>
      <c r="G37" s="57" t="n">
        <v>2023</v>
      </c>
      <c r="H37" s="57" t="n">
        <v>2024</v>
      </c>
      <c r="I37" s="57" t="n">
        <v>2025</v>
      </c>
      <c r="J37" s="57" t="n">
        <v>2026</v>
      </c>
      <c r="K37" s="57" t="n">
        <v>2027</v>
      </c>
      <c r="L37" s="57" t="n">
        <v>2028</v>
      </c>
      <c r="M37" s="57" t="n">
        <v>2029</v>
      </c>
      <c r="N37" s="57" t="n">
        <v>2030</v>
      </c>
      <c r="O37" s="57" t="n">
        <v>2031</v>
      </c>
      <c r="P37" s="57" t="n">
        <v>2032</v>
      </c>
      <c r="Q37" s="57" t="n">
        <v>2033</v>
      </c>
      <c r="R37" s="57" t="n">
        <v>2034</v>
      </c>
      <c r="S37" s="57" t="n">
        <v>2035</v>
      </c>
      <c r="T37" s="57" t="n">
        <v>2036</v>
      </c>
      <c r="U37" s="57" t="n">
        <v>2037</v>
      </c>
      <c r="V37" s="57" t="n">
        <v>2038</v>
      </c>
      <c r="W37" s="57" t="n">
        <v>2039</v>
      </c>
      <c r="X37" s="57"/>
    </row>
    <row r="38" customFormat="false" ht="18.75" hidden="false" customHeight="true" outlineLevel="0" collapsed="false">
      <c r="B38" s="58" t="n">
        <v>0</v>
      </c>
      <c r="C38" s="59"/>
      <c r="D38" s="60"/>
      <c r="E38" s="60"/>
      <c r="F38" s="61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3"/>
      <c r="U38" s="62"/>
      <c r="V38" s="62"/>
      <c r="W38" s="62"/>
      <c r="X38" s="185"/>
    </row>
    <row r="39" customFormat="false" ht="18.75" hidden="false" customHeight="true" outlineLevel="0" collapsed="false">
      <c r="B39" s="64" t="s">
        <v>23</v>
      </c>
      <c r="C39" s="65" t="n">
        <v>0</v>
      </c>
      <c r="D39" s="66" t="n">
        <v>1</v>
      </c>
      <c r="E39" s="66" t="n">
        <v>2</v>
      </c>
      <c r="F39" s="66" t="n">
        <v>3</v>
      </c>
      <c r="G39" s="66" t="n">
        <v>4</v>
      </c>
      <c r="H39" s="66" t="n">
        <v>5</v>
      </c>
      <c r="I39" s="66" t="n">
        <v>6</v>
      </c>
      <c r="J39" s="66" t="n">
        <v>7</v>
      </c>
      <c r="K39" s="66" t="n">
        <v>8</v>
      </c>
      <c r="L39" s="66" t="n">
        <v>9</v>
      </c>
      <c r="M39" s="66" t="n">
        <v>10</v>
      </c>
      <c r="N39" s="66" t="n">
        <v>11</v>
      </c>
      <c r="O39" s="66" t="n">
        <v>12</v>
      </c>
      <c r="P39" s="66" t="n">
        <v>13</v>
      </c>
      <c r="Q39" s="66" t="n">
        <v>14</v>
      </c>
      <c r="R39" s="66" t="n">
        <v>15</v>
      </c>
      <c r="S39" s="66" t="n">
        <v>16</v>
      </c>
      <c r="T39" s="67" t="n">
        <v>17</v>
      </c>
      <c r="U39" s="66" t="n">
        <v>18</v>
      </c>
      <c r="V39" s="66" t="n">
        <v>19</v>
      </c>
      <c r="W39" s="66" t="n">
        <v>20</v>
      </c>
      <c r="X39" s="186"/>
    </row>
    <row r="40" customFormat="false" ht="18.75" hidden="false" customHeight="true" outlineLevel="0" collapsed="false">
      <c r="B40" s="187" t="s">
        <v>137</v>
      </c>
      <c r="C40" s="69" t="n">
        <v>0</v>
      </c>
      <c r="D40" s="70" t="n">
        <f aca="false">$D$10*P1</f>
        <v>541531.98</v>
      </c>
      <c r="E40" s="70" t="n">
        <f aca="false">$D$10*Q1</f>
        <v>539343.972</v>
      </c>
      <c r="F40" s="70" t="n">
        <f aca="false">$D$10*R1</f>
        <v>537155.964</v>
      </c>
      <c r="G40" s="70" t="n">
        <f aca="false">$D$10*S1</f>
        <v>534967.956</v>
      </c>
      <c r="H40" s="70" t="n">
        <f aca="false">$D$10*T1</f>
        <v>532779.948</v>
      </c>
      <c r="I40" s="70" t="n">
        <f aca="false">$D$10*U1</f>
        <v>530591.94</v>
      </c>
      <c r="J40" s="70" t="n">
        <f aca="false">$D$10*V1</f>
        <v>528403.932</v>
      </c>
      <c r="K40" s="70" t="n">
        <f aca="false">$D$10*W1</f>
        <v>526215.924</v>
      </c>
      <c r="L40" s="70" t="n">
        <f aca="false">$D$10*X1</f>
        <v>524027.916</v>
      </c>
      <c r="M40" s="70" t="n">
        <f aca="false">$D$10*Y1</f>
        <v>521839.908</v>
      </c>
      <c r="N40" s="70" t="n">
        <f aca="false">$D$10*Z1</f>
        <v>519651.9</v>
      </c>
      <c r="O40" s="70" t="n">
        <f aca="false">$D$10*AA1</f>
        <v>517463.892</v>
      </c>
      <c r="P40" s="70" t="n">
        <f aca="false">$D$10*AB1</f>
        <v>515275.884</v>
      </c>
      <c r="Q40" s="70" t="n">
        <f aca="false">$D$10*AC1</f>
        <v>513087.876</v>
      </c>
      <c r="R40" s="70" t="n">
        <f aca="false">$D$10*AD1</f>
        <v>510899.868</v>
      </c>
      <c r="S40" s="70" t="n">
        <f aca="false">$D$10*AE1</f>
        <v>508711.86</v>
      </c>
      <c r="T40" s="70" t="n">
        <f aca="false">$D$10*AF1</f>
        <v>506523.852</v>
      </c>
      <c r="U40" s="70" t="n">
        <f aca="false">$D$10*AG1</f>
        <v>504335.844</v>
      </c>
      <c r="V40" s="70" t="n">
        <f aca="false">$D$10*AH1</f>
        <v>502147.836</v>
      </c>
      <c r="W40" s="70" t="n">
        <f aca="false">$D$10*AI1</f>
        <v>499959.828</v>
      </c>
      <c r="X40" s="188"/>
    </row>
    <row r="41" customFormat="false" ht="18.75" hidden="false" customHeight="true" outlineLevel="0" collapsed="false">
      <c r="B41" s="189" t="s">
        <v>25</v>
      </c>
      <c r="C41" s="190" t="s">
        <v>26</v>
      </c>
      <c r="D41" s="191" t="n">
        <f aca="false">D40*$D$13</f>
        <v>2166127.92</v>
      </c>
      <c r="E41" s="191" t="n">
        <f aca="false">E40*$D$13</f>
        <v>2157375.888</v>
      </c>
      <c r="F41" s="191" t="n">
        <f aca="false">F40*$D$13</f>
        <v>2148623.856</v>
      </c>
      <c r="G41" s="191" t="n">
        <f aca="false">G40*$D$13</f>
        <v>2139871.824</v>
      </c>
      <c r="H41" s="191" t="n">
        <f aca="false">H40*$D$13</f>
        <v>2131119.792</v>
      </c>
      <c r="I41" s="191" t="n">
        <f aca="false">I40*$D$13</f>
        <v>2122367.76</v>
      </c>
      <c r="J41" s="191" t="n">
        <f aca="false">J40*$D$13</f>
        <v>2113615.728</v>
      </c>
      <c r="K41" s="191" t="n">
        <f aca="false">K40*$D$13</f>
        <v>2104863.696</v>
      </c>
      <c r="L41" s="191" t="n">
        <f aca="false">L40*$D$13</f>
        <v>2096111.664</v>
      </c>
      <c r="M41" s="191" t="n">
        <f aca="false">M40*$D$13</f>
        <v>2087359.632</v>
      </c>
      <c r="N41" s="191" t="n">
        <f aca="false">N40*$D$13</f>
        <v>2078607.6</v>
      </c>
      <c r="O41" s="191" t="n">
        <f aca="false">O40*$D$13</f>
        <v>2069855.568</v>
      </c>
      <c r="P41" s="191" t="n">
        <f aca="false">P40*$D$13</f>
        <v>2061103.536</v>
      </c>
      <c r="Q41" s="191" t="n">
        <f aca="false">Q40*$D$13</f>
        <v>2052351.504</v>
      </c>
      <c r="R41" s="191" t="n">
        <f aca="false">R40*$D$13</f>
        <v>2043599.472</v>
      </c>
      <c r="S41" s="191" t="n">
        <f aca="false">S40*$D$13</f>
        <v>2034847.44</v>
      </c>
      <c r="T41" s="191" t="n">
        <f aca="false">T40*$D$13</f>
        <v>2026095.408</v>
      </c>
      <c r="U41" s="191" t="n">
        <f aca="false">U40*$D$13</f>
        <v>2017343.376</v>
      </c>
      <c r="V41" s="191" t="n">
        <f aca="false">V40*$D$13</f>
        <v>2008591.344</v>
      </c>
      <c r="W41" s="191" t="n">
        <f aca="false">W40*$D$13</f>
        <v>1999839.312</v>
      </c>
      <c r="X41" s="192"/>
    </row>
    <row r="42" customFormat="false" ht="18.75" hidden="false" customHeight="true" outlineLevel="0" collapsed="false">
      <c r="B42" s="193" t="s">
        <v>27</v>
      </c>
      <c r="C42" s="194" t="s">
        <v>26</v>
      </c>
      <c r="D42" s="195"/>
      <c r="E42" s="195"/>
      <c r="F42" s="195"/>
      <c r="G42" s="196" t="s">
        <v>26</v>
      </c>
      <c r="H42" s="196" t="s">
        <v>26</v>
      </c>
      <c r="I42" s="196" t="s">
        <v>26</v>
      </c>
      <c r="J42" s="196" t="s">
        <v>26</v>
      </c>
      <c r="K42" s="196" t="s">
        <v>26</v>
      </c>
      <c r="L42" s="196" t="s">
        <v>26</v>
      </c>
      <c r="M42" s="196" t="s">
        <v>26</v>
      </c>
      <c r="N42" s="196" t="s">
        <v>26</v>
      </c>
      <c r="O42" s="196" t="s">
        <v>26</v>
      </c>
      <c r="P42" s="196" t="s">
        <v>26</v>
      </c>
      <c r="Q42" s="196" t="s">
        <v>26</v>
      </c>
      <c r="R42" s="196" t="s">
        <v>26</v>
      </c>
      <c r="S42" s="196" t="s">
        <v>26</v>
      </c>
      <c r="T42" s="196" t="s">
        <v>26</v>
      </c>
      <c r="U42" s="196" t="s">
        <v>26</v>
      </c>
      <c r="V42" s="196" t="s">
        <v>26</v>
      </c>
      <c r="W42" s="196" t="s">
        <v>26</v>
      </c>
      <c r="X42" s="197"/>
    </row>
    <row r="43" customFormat="false" ht="18.75" hidden="false" customHeight="true" outlineLevel="0" collapsed="false">
      <c r="B43" s="198" t="s">
        <v>28</v>
      </c>
      <c r="C43" s="199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1"/>
    </row>
    <row r="44" customFormat="false" ht="18.75" hidden="false" customHeight="true" outlineLevel="0" collapsed="false">
      <c r="B44" s="202" t="s">
        <v>29</v>
      </c>
      <c r="C44" s="203" t="n">
        <f aca="false">-(D16/(1-D17)+D18)*C4</f>
        <v>-16447200</v>
      </c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</row>
    <row r="45" customFormat="false" ht="18.75" hidden="false" customHeight="true" outlineLevel="0" collapsed="false">
      <c r="B45" s="202" t="s">
        <v>30</v>
      </c>
      <c r="C45" s="194" t="s">
        <v>26</v>
      </c>
      <c r="D45" s="152" t="n">
        <v>-290201</v>
      </c>
      <c r="E45" s="204" t="n">
        <v>-290201</v>
      </c>
      <c r="F45" s="204" t="n">
        <v>-290201</v>
      </c>
      <c r="G45" s="204" t="n">
        <v>-290201</v>
      </c>
      <c r="H45" s="204" t="n">
        <v>-290201</v>
      </c>
      <c r="I45" s="204" t="n">
        <v>-290201</v>
      </c>
      <c r="J45" s="204" t="n">
        <v>-290201</v>
      </c>
      <c r="K45" s="204" t="n">
        <v>-290201</v>
      </c>
      <c r="L45" s="204" t="n">
        <v>-290201</v>
      </c>
      <c r="M45" s="204" t="n">
        <v>-290201</v>
      </c>
      <c r="N45" s="204" t="n">
        <v>-290201</v>
      </c>
      <c r="O45" s="204" t="n">
        <v>-290201</v>
      </c>
      <c r="P45" s="204" t="n">
        <v>-290201</v>
      </c>
      <c r="Q45" s="204" t="n">
        <v>-290201</v>
      </c>
      <c r="R45" s="204" t="n">
        <v>-290201</v>
      </c>
      <c r="S45" s="204" t="n">
        <v>-290201</v>
      </c>
      <c r="T45" s="204" t="n">
        <v>-290201</v>
      </c>
      <c r="U45" s="204" t="n">
        <v>-290201</v>
      </c>
      <c r="V45" s="204" t="n">
        <v>-290201</v>
      </c>
      <c r="W45" s="204" t="n">
        <v>-290201</v>
      </c>
      <c r="X45" s="204"/>
    </row>
    <row r="46" customFormat="false" ht="18.75" hidden="false" customHeight="true" outlineLevel="0" collapsed="false">
      <c r="B46" s="202" t="s">
        <v>31</v>
      </c>
      <c r="C46" s="19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</row>
    <row r="47" customFormat="false" ht="18.75" hidden="false" customHeight="true" outlineLevel="0" collapsed="false">
      <c r="B47" s="202" t="s">
        <v>32</v>
      </c>
      <c r="C47" s="194" t="s">
        <v>26</v>
      </c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</row>
    <row r="48" customFormat="false" ht="18.75" hidden="false" customHeight="true" outlineLevel="0" collapsed="false">
      <c r="B48" s="202" t="s">
        <v>33</v>
      </c>
      <c r="C48" s="194" t="s">
        <v>26</v>
      </c>
      <c r="D48" s="204" t="n">
        <v>-174440</v>
      </c>
      <c r="E48" s="204" t="n">
        <v>-174440</v>
      </c>
      <c r="F48" s="204" t="n">
        <v>-174440</v>
      </c>
      <c r="G48" s="204" t="n">
        <v>-174440</v>
      </c>
      <c r="H48" s="204" t="n">
        <v>-174440</v>
      </c>
      <c r="I48" s="204" t="n">
        <v>-174440</v>
      </c>
      <c r="J48" s="204" t="n">
        <v>-174440</v>
      </c>
      <c r="K48" s="204" t="n">
        <v>-174440</v>
      </c>
      <c r="L48" s="204" t="n">
        <v>-174440</v>
      </c>
      <c r="M48" s="204" t="n">
        <v>-174440</v>
      </c>
      <c r="N48" s="204" t="n">
        <v>-174440</v>
      </c>
      <c r="O48" s="204" t="n">
        <v>-174440</v>
      </c>
      <c r="P48" s="204" t="n">
        <v>-174440</v>
      </c>
      <c r="Q48" s="204" t="n">
        <v>-174440</v>
      </c>
      <c r="R48" s="204" t="n">
        <v>-174440</v>
      </c>
      <c r="S48" s="204" t="n">
        <v>-174440</v>
      </c>
      <c r="T48" s="204" t="n">
        <v>-174440</v>
      </c>
      <c r="U48" s="204" t="n">
        <v>-174440</v>
      </c>
      <c r="V48" s="204" t="n">
        <v>-174440</v>
      </c>
      <c r="W48" s="204" t="n">
        <v>-174440</v>
      </c>
      <c r="X48" s="204"/>
    </row>
    <row r="49" customFormat="false" ht="18.75" hidden="false" customHeight="true" outlineLevel="0" collapsed="false">
      <c r="B49" s="202" t="s">
        <v>34</v>
      </c>
      <c r="C49" s="194" t="s">
        <v>26</v>
      </c>
      <c r="D49" s="204" t="n">
        <v>-32707.5</v>
      </c>
      <c r="E49" s="204" t="n">
        <v>-32707.5</v>
      </c>
      <c r="F49" s="204" t="n">
        <v>-32707.5</v>
      </c>
      <c r="G49" s="204" t="n">
        <v>-32707.5</v>
      </c>
      <c r="H49" s="204" t="n">
        <v>-32707.5</v>
      </c>
      <c r="I49" s="204" t="n">
        <v>-32707.5</v>
      </c>
      <c r="J49" s="204" t="n">
        <v>-32707.5</v>
      </c>
      <c r="K49" s="204" t="n">
        <v>-32707.5</v>
      </c>
      <c r="L49" s="204" t="n">
        <v>-32707.5</v>
      </c>
      <c r="M49" s="204" t="n">
        <v>-32707.5</v>
      </c>
      <c r="N49" s="204" t="n">
        <v>-32707.5</v>
      </c>
      <c r="O49" s="204" t="n">
        <v>-32707.5</v>
      </c>
      <c r="P49" s="204" t="n">
        <v>-32707.5</v>
      </c>
      <c r="Q49" s="204" t="n">
        <v>-32707.5</v>
      </c>
      <c r="R49" s="204" t="n">
        <v>-32707.5</v>
      </c>
      <c r="S49" s="204" t="n">
        <v>-32707.5</v>
      </c>
      <c r="T49" s="204" t="n">
        <v>-32707.5</v>
      </c>
      <c r="U49" s="204" t="n">
        <v>-32707.5</v>
      </c>
      <c r="V49" s="204" t="n">
        <v>-32707.5</v>
      </c>
      <c r="W49" s="204" t="n">
        <v>-32707.5</v>
      </c>
      <c r="X49" s="204"/>
    </row>
    <row r="50" customFormat="false" ht="18.75" hidden="false" customHeight="true" outlineLevel="0" collapsed="false">
      <c r="B50" s="202" t="s">
        <v>35</v>
      </c>
      <c r="C50" s="194"/>
      <c r="D50" s="204" t="n">
        <v>-43610</v>
      </c>
      <c r="E50" s="204" t="n">
        <v>-43610</v>
      </c>
      <c r="F50" s="204" t="n">
        <v>-43610</v>
      </c>
      <c r="G50" s="204" t="n">
        <v>-43610</v>
      </c>
      <c r="H50" s="204" t="n">
        <v>-43610</v>
      </c>
      <c r="I50" s="204" t="n">
        <v>-43610</v>
      </c>
      <c r="J50" s="204" t="n">
        <v>-43610</v>
      </c>
      <c r="K50" s="204" t="n">
        <v>-43610</v>
      </c>
      <c r="L50" s="204" t="n">
        <v>-43610</v>
      </c>
      <c r="M50" s="204" t="n">
        <v>-43610</v>
      </c>
      <c r="N50" s="204" t="n">
        <v>0</v>
      </c>
      <c r="O50" s="204" t="n">
        <v>0</v>
      </c>
      <c r="P50" s="204" t="n">
        <v>0</v>
      </c>
      <c r="Q50" s="204" t="n">
        <v>0</v>
      </c>
      <c r="R50" s="204" t="n">
        <v>0</v>
      </c>
      <c r="S50" s="204" t="n">
        <v>0</v>
      </c>
      <c r="T50" s="204" t="n">
        <v>0</v>
      </c>
      <c r="U50" s="204" t="n">
        <v>0</v>
      </c>
      <c r="V50" s="204" t="n">
        <v>0</v>
      </c>
      <c r="W50" s="204" t="n">
        <v>0</v>
      </c>
      <c r="X50" s="204"/>
    </row>
    <row r="51" customFormat="false" ht="18.75" hidden="false" customHeight="true" outlineLevel="0" collapsed="false">
      <c r="B51" s="202" t="s">
        <v>36</v>
      </c>
      <c r="C51" s="205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</row>
    <row r="52" customFormat="false" ht="18.75" hidden="false" customHeight="true" outlineLevel="0" collapsed="false">
      <c r="B52" s="202" t="s">
        <v>37</v>
      </c>
      <c r="C52" s="205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</row>
    <row r="53" customFormat="false" ht="18.75" hidden="false" customHeight="true" outlineLevel="0" collapsed="false">
      <c r="B53" s="206" t="s">
        <v>38</v>
      </c>
      <c r="C53" s="205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</row>
    <row r="54" customFormat="false" ht="18.75" hidden="false" customHeight="true" outlineLevel="0" collapsed="false">
      <c r="B54" s="206" t="s">
        <v>39</v>
      </c>
      <c r="C54" s="205"/>
      <c r="D54" s="204" t="n">
        <f aca="false">D77</f>
        <v>-218602.084</v>
      </c>
      <c r="E54" s="204" t="n">
        <f aca="false">E77</f>
        <v>-158811.4776</v>
      </c>
      <c r="F54" s="204" t="n">
        <f aca="false">F77</f>
        <v>-157061.0712</v>
      </c>
      <c r="G54" s="204" t="n">
        <f aca="false">G77</f>
        <v>-155310.6648</v>
      </c>
      <c r="H54" s="204" t="n">
        <f aca="false">H77</f>
        <v>-153560.2584</v>
      </c>
      <c r="I54" s="204" t="n">
        <f aca="false">I77</f>
        <v>-151809.852</v>
      </c>
      <c r="J54" s="204" t="n">
        <f aca="false">J77</f>
        <v>-150059.4456</v>
      </c>
      <c r="K54" s="204" t="n">
        <f aca="false">K77</f>
        <v>-148309.0392</v>
      </c>
      <c r="L54" s="204" t="n">
        <f aca="false">L77</f>
        <v>-146558.6328</v>
      </c>
      <c r="M54" s="204" t="n">
        <f aca="false">M77</f>
        <v>-144808.2264</v>
      </c>
      <c r="N54" s="204" t="n">
        <f aca="false">N77</f>
        <v>-151779.82</v>
      </c>
      <c r="O54" s="204" t="n">
        <f aca="false">O77</f>
        <v>-150029.4136</v>
      </c>
      <c r="P54" s="204" t="n">
        <f aca="false">P77</f>
        <v>-148279.0072</v>
      </c>
      <c r="Q54" s="204" t="n">
        <f aca="false">Q77</f>
        <v>-146528.6008</v>
      </c>
      <c r="R54" s="204" t="n">
        <f aca="false">R77</f>
        <v>-144778.1944</v>
      </c>
      <c r="S54" s="204" t="n">
        <f aca="false">S77</f>
        <v>-143027.788</v>
      </c>
      <c r="T54" s="204" t="n">
        <f aca="false">T77</f>
        <v>-141277.3816</v>
      </c>
      <c r="U54" s="204" t="n">
        <f aca="false">U77</f>
        <v>-139526.9752</v>
      </c>
      <c r="V54" s="204" t="n">
        <f aca="false">V77</f>
        <v>-137776.5688</v>
      </c>
      <c r="W54" s="204" t="n">
        <f aca="false">W77</f>
        <v>-136026.1624</v>
      </c>
      <c r="X54" s="195"/>
    </row>
    <row r="55" customFormat="false" ht="18.75" hidden="false" customHeight="true" outlineLevel="0" collapsed="false">
      <c r="B55" s="207" t="s">
        <v>40</v>
      </c>
      <c r="C55" s="208" t="n">
        <f aca="false">C44</f>
        <v>-16447200</v>
      </c>
      <c r="D55" s="209" t="n">
        <f aca="false">SUM(D41:D54)</f>
        <v>1406567.336</v>
      </c>
      <c r="E55" s="209" t="n">
        <f aca="false">SUM(E41:E54)</f>
        <v>1457605.9104</v>
      </c>
      <c r="F55" s="209" t="n">
        <f aca="false">SUM(F41:F54)</f>
        <v>1450604.2848</v>
      </c>
      <c r="G55" s="209" t="n">
        <f aca="false">SUM(G41:G54)</f>
        <v>1443602.6592</v>
      </c>
      <c r="H55" s="209" t="n">
        <f aca="false">SUM(H41:H54)</f>
        <v>1436601.0336</v>
      </c>
      <c r="I55" s="209" t="n">
        <f aca="false">SUM(I41:I54)</f>
        <v>1429599.408</v>
      </c>
      <c r="J55" s="209" t="n">
        <f aca="false">SUM(J41:J54)</f>
        <v>1422597.7824</v>
      </c>
      <c r="K55" s="209" t="n">
        <f aca="false">SUM(K41:K54)</f>
        <v>1415596.1568</v>
      </c>
      <c r="L55" s="209" t="n">
        <f aca="false">SUM(L41:L54)</f>
        <v>1408594.5312</v>
      </c>
      <c r="M55" s="209" t="n">
        <f aca="false">SUM(M41:M54)</f>
        <v>1401592.9056</v>
      </c>
      <c r="N55" s="209" t="n">
        <f aca="false">SUM(N41:N54)</f>
        <v>1429479.28</v>
      </c>
      <c r="O55" s="209" t="n">
        <f aca="false">SUM(O41:O54)</f>
        <v>1422477.6544</v>
      </c>
      <c r="P55" s="209" t="n">
        <f aca="false">SUM(P41:P54)</f>
        <v>1415476.0288</v>
      </c>
      <c r="Q55" s="209" t="n">
        <f aca="false">SUM(Q41:Q54)</f>
        <v>1408474.4032</v>
      </c>
      <c r="R55" s="209" t="n">
        <f aca="false">SUM(R41:R54)</f>
        <v>1401472.7776</v>
      </c>
      <c r="S55" s="209" t="n">
        <f aca="false">SUM(S41:S54)</f>
        <v>1394471.152</v>
      </c>
      <c r="T55" s="209" t="n">
        <f aca="false">SUM(T41:T54)</f>
        <v>1387469.5264</v>
      </c>
      <c r="U55" s="209" t="n">
        <f aca="false">SUM(U41:U54)</f>
        <v>1380467.9008</v>
      </c>
      <c r="V55" s="209" t="n">
        <f aca="false">SUM(V41:V54)</f>
        <v>1373466.2752</v>
      </c>
      <c r="W55" s="209" t="n">
        <f aca="false">SUM(W41:W54)</f>
        <v>1366464.6496</v>
      </c>
      <c r="X55" s="210"/>
      <c r="Y55" s="211"/>
      <c r="Z55" s="212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</row>
    <row r="56" customFormat="false" ht="18.75" hidden="false" customHeight="true" outlineLevel="0" collapsed="false">
      <c r="B56" s="213" t="s">
        <v>41</v>
      </c>
      <c r="D56" s="214" t="n">
        <f aca="false">C55+D55</f>
        <v>-15040632.664</v>
      </c>
      <c r="E56" s="214" t="n">
        <f aca="false">D56+E55</f>
        <v>-13583026.7536</v>
      </c>
      <c r="F56" s="214" t="n">
        <f aca="false">E56+F55</f>
        <v>-12132422.4688</v>
      </c>
      <c r="G56" s="214" t="n">
        <f aca="false">F56+G55</f>
        <v>-10688819.8096</v>
      </c>
      <c r="H56" s="214" t="n">
        <f aca="false">G56+H55</f>
        <v>-9252218.776</v>
      </c>
      <c r="I56" s="214" t="n">
        <f aca="false">H56+I55</f>
        <v>-7822619.368</v>
      </c>
      <c r="J56" s="214" t="n">
        <f aca="false">I56+J55</f>
        <v>-6400021.5856</v>
      </c>
      <c r="K56" s="214" t="n">
        <f aca="false">J56+K55</f>
        <v>-4984425.4288</v>
      </c>
      <c r="L56" s="214" t="n">
        <f aca="false">K56+L55</f>
        <v>-3575830.8976</v>
      </c>
      <c r="M56" s="214" t="n">
        <f aca="false">L56+M55</f>
        <v>-2174237.992</v>
      </c>
      <c r="N56" s="214" t="n">
        <f aca="false">M56+N55</f>
        <v>-744758.712000003</v>
      </c>
      <c r="O56" s="214" t="n">
        <f aca="false">N56+O55</f>
        <v>677718.942399997</v>
      </c>
      <c r="P56" s="214" t="n">
        <f aca="false">O56+P55</f>
        <v>2093194.9712</v>
      </c>
      <c r="Q56" s="214" t="n">
        <f aca="false">P56+Q55</f>
        <v>3501669.3744</v>
      </c>
      <c r="R56" s="214" t="n">
        <f aca="false">Q56+R55</f>
        <v>4903142.152</v>
      </c>
      <c r="S56" s="214" t="n">
        <f aca="false">R56+S55</f>
        <v>6297613.304</v>
      </c>
      <c r="T56" s="214" t="n">
        <f aca="false">S56+T55</f>
        <v>7685082.8304</v>
      </c>
      <c r="U56" s="214" t="n">
        <f aca="false">T56+U55</f>
        <v>9065550.7312</v>
      </c>
      <c r="V56" s="214" t="n">
        <f aca="false">U56+V55</f>
        <v>10439017.0064</v>
      </c>
      <c r="W56" s="214" t="n">
        <f aca="false">V56+W55</f>
        <v>11805481.656</v>
      </c>
      <c r="X56" s="214" t="n">
        <f aca="false">W56+X55</f>
        <v>11805481.656</v>
      </c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</row>
    <row r="57" customFormat="false" ht="18.75" hidden="false" customHeight="true" outlineLevel="0" collapsed="false">
      <c r="B57" s="215" t="s">
        <v>42</v>
      </c>
      <c r="C57" s="216"/>
      <c r="D57" s="217" t="str">
        <f aca="false">IF((D56)&gt;0,"回收","未回收")</f>
        <v>未回收</v>
      </c>
      <c r="E57" s="218" t="str">
        <f aca="false">IF((E56)&gt;0,"回收","未回收")</f>
        <v>未回收</v>
      </c>
      <c r="F57" s="218" t="str">
        <f aca="false">IF((F56)&gt;0,"回收","未回收")</f>
        <v>未回收</v>
      </c>
      <c r="G57" s="218" t="str">
        <f aca="false">IF((G56)&gt;0,"回收","未回收")</f>
        <v>未回收</v>
      </c>
      <c r="H57" s="218" t="str">
        <f aca="false">IF((H56)&gt;0,"回收","未回收")</f>
        <v>未回收</v>
      </c>
      <c r="I57" s="218" t="str">
        <f aca="false">IF((I56)&gt;0,"回收","未回收")</f>
        <v>未回收</v>
      </c>
      <c r="J57" s="218" t="str">
        <f aca="false">IF((J56)&gt;0,"回收","未回收")</f>
        <v>未回收</v>
      </c>
      <c r="K57" s="218" t="str">
        <f aca="false">IF((K56)&gt;0,"回收","未回收")</f>
        <v>未回收</v>
      </c>
      <c r="L57" s="218" t="str">
        <f aca="false">IF((L56)&gt;0,"回收","未回收")</f>
        <v>未回收</v>
      </c>
      <c r="M57" s="218" t="str">
        <f aca="false">IF((M56)&gt;0,"回收","未回收")</f>
        <v>未回收</v>
      </c>
      <c r="N57" s="218" t="str">
        <f aca="false">IF((N56)&gt;0,"回收","未回收")</f>
        <v>未回收</v>
      </c>
      <c r="O57" s="218" t="str">
        <f aca="false">IF((O56)&gt;0,"回收","未回收")</f>
        <v>回收</v>
      </c>
      <c r="P57" s="218" t="str">
        <f aca="false">IF((P56)&gt;0,"回收","未回收")</f>
        <v>回收</v>
      </c>
      <c r="Q57" s="218" t="str">
        <f aca="false">IF((Q56)&gt;0,"回收","未回收")</f>
        <v>回收</v>
      </c>
      <c r="R57" s="218" t="str">
        <f aca="false">IF((R56)&gt;0,"回收","未回收")</f>
        <v>回收</v>
      </c>
      <c r="S57" s="218" t="str">
        <f aca="false">IF((S56)&gt;0,"回收","未回收")</f>
        <v>回收</v>
      </c>
      <c r="T57" s="218" t="str">
        <f aca="false">IF((T56)&gt;0,"回收","未回收")</f>
        <v>回收</v>
      </c>
      <c r="U57" s="218" t="str">
        <f aca="false">IF((U56)&gt;0,"回收","未回收")</f>
        <v>回收</v>
      </c>
      <c r="V57" s="218" t="str">
        <f aca="false">IF((V56)&gt;0,"回收","未回收")</f>
        <v>回收</v>
      </c>
      <c r="W57" s="218" t="str">
        <f aca="false">IF((W56)&gt;0,"回收","未回收")</f>
        <v>回收</v>
      </c>
      <c r="X57" s="218" t="str">
        <f aca="false">IF((X56)&gt;0,"回收","未回收")</f>
        <v>回收</v>
      </c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</row>
    <row r="58" customFormat="false" ht="18.75" hidden="false" customHeight="true" outlineLevel="0" collapsed="false">
      <c r="B58" s="95" t="s">
        <v>43</v>
      </c>
      <c r="C58" s="96" t="n">
        <f aca="false">IRR(C55:W55)</f>
        <v>0.0587100791675116</v>
      </c>
      <c r="D58" s="97"/>
      <c r="E58" s="97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19"/>
      <c r="AJ58" s="219"/>
    </row>
    <row r="59" customFormat="false" ht="18.75" hidden="false" customHeight="true" outlineLevel="0" collapsed="false">
      <c r="B59" s="98"/>
      <c r="C59" s="97"/>
      <c r="D59" s="97"/>
      <c r="E59" s="97"/>
      <c r="F59" s="98"/>
      <c r="G59" s="98"/>
      <c r="H59" s="98"/>
      <c r="I59" s="98"/>
      <c r="J59" s="98"/>
      <c r="K59" s="98"/>
      <c r="L59" s="98"/>
      <c r="M59" s="97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</row>
    <row r="60" customFormat="false" ht="18.75" hidden="false" customHeight="true" outlineLevel="0" collapsed="false">
      <c r="B60" s="56"/>
      <c r="C60" s="57" t="s">
        <v>0</v>
      </c>
      <c r="D60" s="57" t="n">
        <f aca="false">D37</f>
        <v>2020</v>
      </c>
      <c r="E60" s="57" t="n">
        <f aca="false">E37</f>
        <v>2021</v>
      </c>
      <c r="F60" s="57" t="n">
        <f aca="false">F37</f>
        <v>2022</v>
      </c>
      <c r="G60" s="57" t="n">
        <f aca="false">G37</f>
        <v>2023</v>
      </c>
      <c r="H60" s="57" t="n">
        <f aca="false">H37</f>
        <v>2024</v>
      </c>
      <c r="I60" s="57" t="n">
        <f aca="false">I37</f>
        <v>2025</v>
      </c>
      <c r="J60" s="57" t="n">
        <f aca="false">J37</f>
        <v>2026</v>
      </c>
      <c r="K60" s="57" t="n">
        <f aca="false">K37</f>
        <v>2027</v>
      </c>
      <c r="L60" s="57" t="n">
        <f aca="false">L37</f>
        <v>2028</v>
      </c>
      <c r="M60" s="57" t="n">
        <f aca="false">M37</f>
        <v>2029</v>
      </c>
      <c r="N60" s="57" t="n">
        <f aca="false">N37</f>
        <v>2030</v>
      </c>
      <c r="O60" s="57" t="n">
        <f aca="false">O37</f>
        <v>2031</v>
      </c>
      <c r="P60" s="57" t="n">
        <f aca="false">P37</f>
        <v>2032</v>
      </c>
      <c r="Q60" s="57" t="n">
        <f aca="false">Q37</f>
        <v>2033</v>
      </c>
      <c r="R60" s="57" t="n">
        <f aca="false">R37</f>
        <v>2034</v>
      </c>
      <c r="S60" s="57" t="n">
        <f aca="false">S37</f>
        <v>2035</v>
      </c>
      <c r="T60" s="57" t="n">
        <f aca="false">T37</f>
        <v>2036</v>
      </c>
      <c r="U60" s="57" t="n">
        <f aca="false">U37</f>
        <v>2037</v>
      </c>
      <c r="V60" s="57" t="n">
        <f aca="false">V37</f>
        <v>2038</v>
      </c>
      <c r="W60" s="57" t="n">
        <f aca="false">W37</f>
        <v>2039</v>
      </c>
      <c r="X60" s="57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</row>
    <row r="61" customFormat="false" ht="18.75" hidden="false" customHeight="true" outlineLevel="0" collapsed="false">
      <c r="B61" s="58" t="n">
        <v>0</v>
      </c>
      <c r="C61" s="59"/>
      <c r="D61" s="60"/>
      <c r="E61" s="60"/>
      <c r="F61" s="61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99" t="s">
        <v>44</v>
      </c>
      <c r="U61" s="62"/>
      <c r="V61" s="62"/>
      <c r="W61" s="62"/>
      <c r="X61" s="185"/>
    </row>
    <row r="62" customFormat="false" ht="18.75" hidden="false" customHeight="true" outlineLevel="0" collapsed="false">
      <c r="B62" s="64" t="s">
        <v>23</v>
      </c>
      <c r="C62" s="65" t="n">
        <v>0</v>
      </c>
      <c r="D62" s="66" t="n">
        <v>1</v>
      </c>
      <c r="E62" s="66" t="n">
        <v>2</v>
      </c>
      <c r="F62" s="66" t="n">
        <v>3</v>
      </c>
      <c r="G62" s="66" t="n">
        <v>4</v>
      </c>
      <c r="H62" s="66" t="n">
        <v>5</v>
      </c>
      <c r="I62" s="66" t="n">
        <v>6</v>
      </c>
      <c r="J62" s="66" t="n">
        <v>7</v>
      </c>
      <c r="K62" s="66" t="n">
        <v>8</v>
      </c>
      <c r="L62" s="66" t="n">
        <v>9</v>
      </c>
      <c r="M62" s="66" t="n">
        <v>10</v>
      </c>
      <c r="N62" s="66" t="n">
        <v>11</v>
      </c>
      <c r="O62" s="66" t="n">
        <v>12</v>
      </c>
      <c r="P62" s="66" t="n">
        <v>13</v>
      </c>
      <c r="Q62" s="66" t="n">
        <v>14</v>
      </c>
      <c r="R62" s="66" t="n">
        <v>15</v>
      </c>
      <c r="S62" s="66" t="n">
        <v>16</v>
      </c>
      <c r="T62" s="101" t="n">
        <v>17</v>
      </c>
      <c r="U62" s="66" t="n">
        <v>18</v>
      </c>
      <c r="V62" s="66" t="n">
        <v>19</v>
      </c>
      <c r="W62" s="66" t="n">
        <v>20</v>
      </c>
      <c r="X62" s="186"/>
    </row>
    <row r="63" customFormat="false" ht="18.75" hidden="false" customHeight="true" outlineLevel="0" collapsed="false">
      <c r="B63" s="187" t="s">
        <v>137</v>
      </c>
      <c r="C63" s="69" t="n">
        <v>0</v>
      </c>
      <c r="D63" s="70" t="n">
        <f aca="false">D40</f>
        <v>541531.98</v>
      </c>
      <c r="E63" s="70" t="n">
        <f aca="false">E40</f>
        <v>539343.972</v>
      </c>
      <c r="F63" s="70" t="n">
        <f aca="false">F40</f>
        <v>537155.964</v>
      </c>
      <c r="G63" s="70" t="n">
        <f aca="false">G40</f>
        <v>534967.956</v>
      </c>
      <c r="H63" s="70" t="n">
        <f aca="false">H40</f>
        <v>532779.948</v>
      </c>
      <c r="I63" s="70" t="n">
        <f aca="false">I40</f>
        <v>530591.94</v>
      </c>
      <c r="J63" s="70" t="n">
        <f aca="false">J40</f>
        <v>528403.932</v>
      </c>
      <c r="K63" s="70" t="n">
        <f aca="false">K40</f>
        <v>526215.924</v>
      </c>
      <c r="L63" s="70" t="n">
        <f aca="false">L40</f>
        <v>524027.916</v>
      </c>
      <c r="M63" s="70" t="n">
        <f aca="false">M40</f>
        <v>521839.908</v>
      </c>
      <c r="N63" s="70" t="n">
        <f aca="false">N40</f>
        <v>519651.9</v>
      </c>
      <c r="O63" s="70" t="n">
        <f aca="false">O40</f>
        <v>517463.892</v>
      </c>
      <c r="P63" s="70" t="n">
        <f aca="false">P40</f>
        <v>515275.884</v>
      </c>
      <c r="Q63" s="70" t="n">
        <f aca="false">Q40</f>
        <v>513087.876</v>
      </c>
      <c r="R63" s="70" t="n">
        <f aca="false">R40</f>
        <v>510899.868</v>
      </c>
      <c r="S63" s="70" t="n">
        <f aca="false">S40</f>
        <v>508711.86</v>
      </c>
      <c r="T63" s="70" t="n">
        <f aca="false">T40</f>
        <v>506523.852</v>
      </c>
      <c r="U63" s="70" t="n">
        <f aca="false">U40</f>
        <v>504335.844</v>
      </c>
      <c r="V63" s="70" t="n">
        <f aca="false">V40</f>
        <v>502147.836</v>
      </c>
      <c r="W63" s="70" t="n">
        <f aca="false">W40</f>
        <v>499959.828</v>
      </c>
      <c r="X63" s="188"/>
    </row>
    <row r="64" customFormat="false" ht="18.75" hidden="false" customHeight="true" outlineLevel="0" collapsed="false">
      <c r="B64" s="189" t="s">
        <v>25</v>
      </c>
      <c r="C64" s="190" t="s">
        <v>26</v>
      </c>
      <c r="D64" s="191" t="n">
        <f aca="false">D41</f>
        <v>2166127.92</v>
      </c>
      <c r="E64" s="191" t="n">
        <f aca="false">E41</f>
        <v>2157375.888</v>
      </c>
      <c r="F64" s="191" t="n">
        <f aca="false">F41</f>
        <v>2148623.856</v>
      </c>
      <c r="G64" s="191" t="n">
        <f aca="false">G41</f>
        <v>2139871.824</v>
      </c>
      <c r="H64" s="191" t="n">
        <f aca="false">H41</f>
        <v>2131119.792</v>
      </c>
      <c r="I64" s="191" t="n">
        <f aca="false">I41</f>
        <v>2122367.76</v>
      </c>
      <c r="J64" s="191" t="n">
        <f aca="false">J41</f>
        <v>2113615.728</v>
      </c>
      <c r="K64" s="191" t="n">
        <f aca="false">K41</f>
        <v>2104863.696</v>
      </c>
      <c r="L64" s="191" t="n">
        <f aca="false">L41</f>
        <v>2096111.664</v>
      </c>
      <c r="M64" s="191" t="n">
        <f aca="false">M41</f>
        <v>2087359.632</v>
      </c>
      <c r="N64" s="191" t="n">
        <f aca="false">N41</f>
        <v>2078607.6</v>
      </c>
      <c r="O64" s="191" t="n">
        <f aca="false">O41</f>
        <v>2069855.568</v>
      </c>
      <c r="P64" s="191" t="n">
        <f aca="false">P41</f>
        <v>2061103.536</v>
      </c>
      <c r="Q64" s="191" t="n">
        <f aca="false">Q41</f>
        <v>2052351.504</v>
      </c>
      <c r="R64" s="191" t="n">
        <f aca="false">R41</f>
        <v>2043599.472</v>
      </c>
      <c r="S64" s="191" t="n">
        <f aca="false">S41</f>
        <v>2034847.44</v>
      </c>
      <c r="T64" s="191" t="n">
        <f aca="false">T41</f>
        <v>2026095.408</v>
      </c>
      <c r="U64" s="191" t="n">
        <f aca="false">U41</f>
        <v>2017343.376</v>
      </c>
      <c r="V64" s="191" t="n">
        <f aca="false">V41</f>
        <v>2008591.344</v>
      </c>
      <c r="W64" s="191" t="n">
        <f aca="false">W41</f>
        <v>1999839.312</v>
      </c>
      <c r="X64" s="192"/>
    </row>
    <row r="65" customFormat="false" ht="18.75" hidden="false" customHeight="true" outlineLevel="0" collapsed="false">
      <c r="B65" s="193" t="s">
        <v>27</v>
      </c>
      <c r="C65" s="194" t="s">
        <v>26</v>
      </c>
      <c r="D65" s="195"/>
      <c r="E65" s="195"/>
      <c r="F65" s="195"/>
      <c r="G65" s="196" t="s">
        <v>26</v>
      </c>
      <c r="H65" s="196" t="s">
        <v>26</v>
      </c>
      <c r="I65" s="196" t="s">
        <v>26</v>
      </c>
      <c r="J65" s="196" t="s">
        <v>26</v>
      </c>
      <c r="K65" s="196" t="s">
        <v>26</v>
      </c>
      <c r="L65" s="196" t="s">
        <v>26</v>
      </c>
      <c r="M65" s="196" t="s">
        <v>26</v>
      </c>
      <c r="N65" s="196" t="s">
        <v>26</v>
      </c>
      <c r="O65" s="196" t="s">
        <v>26</v>
      </c>
      <c r="P65" s="196" t="s">
        <v>26</v>
      </c>
      <c r="Q65" s="196" t="s">
        <v>26</v>
      </c>
      <c r="R65" s="196" t="s">
        <v>26</v>
      </c>
      <c r="S65" s="196" t="s">
        <v>26</v>
      </c>
      <c r="T65" s="196" t="s">
        <v>26</v>
      </c>
      <c r="U65" s="196" t="s">
        <v>26</v>
      </c>
      <c r="V65" s="196" t="s">
        <v>26</v>
      </c>
      <c r="W65" s="196" t="s">
        <v>26</v>
      </c>
      <c r="X65" s="197"/>
    </row>
    <row r="66" customFormat="false" ht="18.75" hidden="false" customHeight="true" outlineLevel="0" collapsed="false">
      <c r="B66" s="198" t="s">
        <v>28</v>
      </c>
      <c r="C66" s="199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1"/>
    </row>
    <row r="67" customFormat="false" ht="18.75" hidden="false" customHeight="true" outlineLevel="0" collapsed="false">
      <c r="B67" s="202" t="s">
        <v>45</v>
      </c>
      <c r="C67" s="194"/>
      <c r="D67" s="221" t="n">
        <f aca="false">$C$44/$E$16</f>
        <v>-822360</v>
      </c>
      <c r="E67" s="221" t="n">
        <f aca="false">$C$44/$E$16</f>
        <v>-822360</v>
      </c>
      <c r="F67" s="221" t="n">
        <f aca="false">$C$44/$E$16</f>
        <v>-822360</v>
      </c>
      <c r="G67" s="221" t="n">
        <f aca="false">$C$44/$E$16</f>
        <v>-822360</v>
      </c>
      <c r="H67" s="221" t="n">
        <f aca="false">$C$44/$E$16</f>
        <v>-822360</v>
      </c>
      <c r="I67" s="221" t="n">
        <f aca="false">$C$44/$E$16</f>
        <v>-822360</v>
      </c>
      <c r="J67" s="221" t="n">
        <f aca="false">$C$44/$E$16</f>
        <v>-822360</v>
      </c>
      <c r="K67" s="221" t="n">
        <f aca="false">$C$44/$E$16</f>
        <v>-822360</v>
      </c>
      <c r="L67" s="221" t="n">
        <f aca="false">$C$44/$E$16</f>
        <v>-822360</v>
      </c>
      <c r="M67" s="221" t="n">
        <f aca="false">$C$44/$E$16</f>
        <v>-822360</v>
      </c>
      <c r="N67" s="221" t="n">
        <f aca="false">$C$44/$E$16</f>
        <v>-822360</v>
      </c>
      <c r="O67" s="221" t="n">
        <f aca="false">$C$44/$E$16</f>
        <v>-822360</v>
      </c>
      <c r="P67" s="221" t="n">
        <f aca="false">$C$44/$E$16</f>
        <v>-822360</v>
      </c>
      <c r="Q67" s="221" t="n">
        <f aca="false">$C$44/$E$16</f>
        <v>-822360</v>
      </c>
      <c r="R67" s="221" t="n">
        <f aca="false">$C$44/$E$16</f>
        <v>-822360</v>
      </c>
      <c r="S67" s="221" t="n">
        <f aca="false">$C$44/$E$16</f>
        <v>-822360</v>
      </c>
      <c r="T67" s="221" t="n">
        <f aca="false">$C$44/$E$16</f>
        <v>-822360</v>
      </c>
      <c r="U67" s="221" t="n">
        <f aca="false">$C$44/$E$16</f>
        <v>-822360</v>
      </c>
      <c r="V67" s="221" t="n">
        <f aca="false">$C$44/$E$16</f>
        <v>-822360</v>
      </c>
      <c r="W67" s="221" t="n">
        <f aca="false">$C$44/$E$16</f>
        <v>-822360</v>
      </c>
      <c r="X67" s="197"/>
    </row>
    <row r="68" customFormat="false" ht="18.75" hidden="false" customHeight="true" outlineLevel="0" collapsed="false">
      <c r="B68" s="202" t="s">
        <v>30</v>
      </c>
      <c r="C68" s="194" t="s">
        <v>26</v>
      </c>
      <c r="D68" s="204" t="n">
        <f aca="false">D44</f>
        <v>0</v>
      </c>
      <c r="E68" s="204" t="n">
        <f aca="false">E45</f>
        <v>-290201</v>
      </c>
      <c r="F68" s="204" t="n">
        <f aca="false">F45</f>
        <v>-290201</v>
      </c>
      <c r="G68" s="204" t="n">
        <f aca="false">G45</f>
        <v>-290201</v>
      </c>
      <c r="H68" s="204" t="n">
        <f aca="false">H45</f>
        <v>-290201</v>
      </c>
      <c r="I68" s="204" t="n">
        <f aca="false">I45</f>
        <v>-290201</v>
      </c>
      <c r="J68" s="204" t="n">
        <f aca="false">J45</f>
        <v>-290201</v>
      </c>
      <c r="K68" s="204" t="n">
        <f aca="false">K45</f>
        <v>-290201</v>
      </c>
      <c r="L68" s="204" t="n">
        <f aca="false">L45</f>
        <v>-290201</v>
      </c>
      <c r="M68" s="204" t="n">
        <f aca="false">M45</f>
        <v>-290201</v>
      </c>
      <c r="N68" s="204" t="n">
        <f aca="false">N45</f>
        <v>-290201</v>
      </c>
      <c r="O68" s="204" t="n">
        <f aca="false">O45</f>
        <v>-290201</v>
      </c>
      <c r="P68" s="204" t="n">
        <f aca="false">P45</f>
        <v>-290201</v>
      </c>
      <c r="Q68" s="204" t="n">
        <f aca="false">Q45</f>
        <v>-290201</v>
      </c>
      <c r="R68" s="204" t="n">
        <f aca="false">R45</f>
        <v>-290201</v>
      </c>
      <c r="S68" s="204" t="n">
        <f aca="false">S45</f>
        <v>-290201</v>
      </c>
      <c r="T68" s="204" t="n">
        <f aca="false">T45</f>
        <v>-290201</v>
      </c>
      <c r="U68" s="204" t="n">
        <f aca="false">U45</f>
        <v>-290201</v>
      </c>
      <c r="V68" s="204" t="n">
        <f aca="false">V45</f>
        <v>-290201</v>
      </c>
      <c r="W68" s="204" t="n">
        <f aca="false">W45</f>
        <v>-290201</v>
      </c>
      <c r="X68" s="197"/>
    </row>
    <row r="69" customFormat="false" ht="18.75" hidden="false" customHeight="true" outlineLevel="0" collapsed="false">
      <c r="B69" s="202" t="s">
        <v>31</v>
      </c>
      <c r="C69" s="194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7"/>
    </row>
    <row r="70" customFormat="false" ht="18.75" hidden="false" customHeight="true" outlineLevel="0" collapsed="false">
      <c r="B70" s="202" t="s">
        <v>32</v>
      </c>
      <c r="C70" s="194" t="s">
        <v>26</v>
      </c>
      <c r="D70" s="204" t="n">
        <v>0</v>
      </c>
      <c r="E70" s="204" t="n">
        <v>0</v>
      </c>
      <c r="F70" s="204" t="n">
        <v>0</v>
      </c>
      <c r="G70" s="204" t="n">
        <v>0</v>
      </c>
      <c r="H70" s="204" t="n">
        <v>0</v>
      </c>
      <c r="I70" s="204" t="n">
        <v>0</v>
      </c>
      <c r="J70" s="204" t="n">
        <v>0</v>
      </c>
      <c r="K70" s="204" t="n">
        <v>0</v>
      </c>
      <c r="L70" s="204" t="n">
        <v>0</v>
      </c>
      <c r="M70" s="204" t="n">
        <v>0</v>
      </c>
      <c r="N70" s="204" t="n">
        <v>0</v>
      </c>
      <c r="O70" s="204" t="n">
        <v>0</v>
      </c>
      <c r="P70" s="204" t="n">
        <v>0</v>
      </c>
      <c r="Q70" s="204" t="n">
        <v>0</v>
      </c>
      <c r="R70" s="204" t="n">
        <v>0</v>
      </c>
      <c r="S70" s="204" t="n">
        <v>0</v>
      </c>
      <c r="T70" s="204" t="n">
        <v>0</v>
      </c>
      <c r="U70" s="204" t="n">
        <v>0</v>
      </c>
      <c r="V70" s="204" t="n">
        <v>0</v>
      </c>
      <c r="W70" s="204" t="n">
        <v>0</v>
      </c>
      <c r="X70" s="197"/>
    </row>
    <row r="71" customFormat="false" ht="18.75" hidden="false" customHeight="true" outlineLevel="0" collapsed="false">
      <c r="B71" s="202" t="s">
        <v>33</v>
      </c>
      <c r="C71" s="194" t="s">
        <v>26</v>
      </c>
      <c r="D71" s="204" t="n">
        <f aca="false">D48</f>
        <v>-174440</v>
      </c>
      <c r="E71" s="204" t="n">
        <f aca="false">E48</f>
        <v>-174440</v>
      </c>
      <c r="F71" s="204" t="n">
        <f aca="false">F48</f>
        <v>-174440</v>
      </c>
      <c r="G71" s="204" t="n">
        <f aca="false">G48</f>
        <v>-174440</v>
      </c>
      <c r="H71" s="204" t="n">
        <f aca="false">H48</f>
        <v>-174440</v>
      </c>
      <c r="I71" s="204" t="n">
        <f aca="false">I48</f>
        <v>-174440</v>
      </c>
      <c r="J71" s="204" t="n">
        <f aca="false">J48</f>
        <v>-174440</v>
      </c>
      <c r="K71" s="204" t="n">
        <f aca="false">K48</f>
        <v>-174440</v>
      </c>
      <c r="L71" s="204" t="n">
        <f aca="false">L48</f>
        <v>-174440</v>
      </c>
      <c r="M71" s="204" t="n">
        <f aca="false">M48</f>
        <v>-174440</v>
      </c>
      <c r="N71" s="204" t="n">
        <f aca="false">N48</f>
        <v>-174440</v>
      </c>
      <c r="O71" s="204" t="n">
        <f aca="false">O48</f>
        <v>-174440</v>
      </c>
      <c r="P71" s="204" t="n">
        <f aca="false">P48</f>
        <v>-174440</v>
      </c>
      <c r="Q71" s="204" t="n">
        <f aca="false">Q48</f>
        <v>-174440</v>
      </c>
      <c r="R71" s="204" t="n">
        <f aca="false">R48</f>
        <v>-174440</v>
      </c>
      <c r="S71" s="204" t="n">
        <f aca="false">S48</f>
        <v>-174440</v>
      </c>
      <c r="T71" s="204" t="n">
        <f aca="false">T48</f>
        <v>-174440</v>
      </c>
      <c r="U71" s="204" t="n">
        <f aca="false">U48</f>
        <v>-174440</v>
      </c>
      <c r="V71" s="204" t="n">
        <f aca="false">V48</f>
        <v>-174440</v>
      </c>
      <c r="W71" s="204" t="n">
        <f aca="false">W48</f>
        <v>-174440</v>
      </c>
      <c r="X71" s="197"/>
    </row>
    <row r="72" customFormat="false" ht="18.75" hidden="false" customHeight="true" outlineLevel="0" collapsed="false">
      <c r="B72" s="202" t="s">
        <v>34</v>
      </c>
      <c r="C72" s="194" t="s">
        <v>26</v>
      </c>
      <c r="D72" s="204" t="n">
        <f aca="false">D49</f>
        <v>-32707.5</v>
      </c>
      <c r="E72" s="204" t="n">
        <f aca="false">E49</f>
        <v>-32707.5</v>
      </c>
      <c r="F72" s="204" t="n">
        <f aca="false">F49</f>
        <v>-32707.5</v>
      </c>
      <c r="G72" s="204" t="n">
        <f aca="false">G49</f>
        <v>-32707.5</v>
      </c>
      <c r="H72" s="204" t="n">
        <f aca="false">H49</f>
        <v>-32707.5</v>
      </c>
      <c r="I72" s="204" t="n">
        <f aca="false">I49</f>
        <v>-32707.5</v>
      </c>
      <c r="J72" s="204" t="n">
        <f aca="false">J49</f>
        <v>-32707.5</v>
      </c>
      <c r="K72" s="204" t="n">
        <f aca="false">K49</f>
        <v>-32707.5</v>
      </c>
      <c r="L72" s="204" t="n">
        <f aca="false">L49</f>
        <v>-32707.5</v>
      </c>
      <c r="M72" s="204" t="n">
        <f aca="false">M49</f>
        <v>-32707.5</v>
      </c>
      <c r="N72" s="204" t="n">
        <f aca="false">N49</f>
        <v>-32707.5</v>
      </c>
      <c r="O72" s="204" t="n">
        <f aca="false">O49</f>
        <v>-32707.5</v>
      </c>
      <c r="P72" s="204" t="n">
        <f aca="false">P49</f>
        <v>-32707.5</v>
      </c>
      <c r="Q72" s="204" t="n">
        <f aca="false">Q49</f>
        <v>-32707.5</v>
      </c>
      <c r="R72" s="204" t="n">
        <f aca="false">R49</f>
        <v>-32707.5</v>
      </c>
      <c r="S72" s="204" t="n">
        <f aca="false">S49</f>
        <v>-32707.5</v>
      </c>
      <c r="T72" s="204" t="n">
        <f aca="false">T49</f>
        <v>-32707.5</v>
      </c>
      <c r="U72" s="204" t="n">
        <f aca="false">U49</f>
        <v>-32707.5</v>
      </c>
      <c r="V72" s="204" t="n">
        <f aca="false">V49</f>
        <v>-32707.5</v>
      </c>
      <c r="W72" s="204" t="n">
        <f aca="false">W49</f>
        <v>-32707.5</v>
      </c>
      <c r="X72" s="197"/>
    </row>
    <row r="73" customFormat="false" ht="18.75" hidden="false" customHeight="true" outlineLevel="0" collapsed="false">
      <c r="B73" s="202" t="s">
        <v>35</v>
      </c>
      <c r="C73" s="194"/>
      <c r="D73" s="204" t="n">
        <f aca="false">D50</f>
        <v>-43610</v>
      </c>
      <c r="E73" s="204" t="n">
        <f aca="false">E50</f>
        <v>-43610</v>
      </c>
      <c r="F73" s="204" t="n">
        <f aca="false">F50</f>
        <v>-43610</v>
      </c>
      <c r="G73" s="204" t="n">
        <f aca="false">G50</f>
        <v>-43610</v>
      </c>
      <c r="H73" s="204" t="n">
        <f aca="false">H50</f>
        <v>-43610</v>
      </c>
      <c r="I73" s="204" t="n">
        <f aca="false">I50</f>
        <v>-43610</v>
      </c>
      <c r="J73" s="204" t="n">
        <f aca="false">J50</f>
        <v>-43610</v>
      </c>
      <c r="K73" s="204" t="n">
        <f aca="false">K50</f>
        <v>-43610</v>
      </c>
      <c r="L73" s="204" t="n">
        <f aca="false">L50</f>
        <v>-43610</v>
      </c>
      <c r="M73" s="204" t="n">
        <f aca="false">M50</f>
        <v>-43610</v>
      </c>
      <c r="N73" s="204" t="n">
        <f aca="false">N50</f>
        <v>0</v>
      </c>
      <c r="O73" s="204" t="n">
        <f aca="false">O50</f>
        <v>0</v>
      </c>
      <c r="P73" s="204" t="n">
        <f aca="false">P50</f>
        <v>0</v>
      </c>
      <c r="Q73" s="204" t="n">
        <f aca="false">Q50</f>
        <v>0</v>
      </c>
      <c r="R73" s="204" t="n">
        <f aca="false">R50</f>
        <v>0</v>
      </c>
      <c r="S73" s="204" t="n">
        <f aca="false">S50</f>
        <v>0</v>
      </c>
      <c r="T73" s="204" t="n">
        <f aca="false">T50</f>
        <v>0</v>
      </c>
      <c r="U73" s="204" t="n">
        <f aca="false">U50</f>
        <v>0</v>
      </c>
      <c r="V73" s="204" t="n">
        <f aca="false">V50</f>
        <v>0</v>
      </c>
      <c r="W73" s="204" t="n">
        <f aca="false">W50</f>
        <v>0</v>
      </c>
      <c r="X73" s="197"/>
    </row>
    <row r="74" customFormat="false" ht="18.75" hidden="false" customHeight="true" outlineLevel="0" collapsed="false">
      <c r="B74" s="202" t="s">
        <v>36</v>
      </c>
      <c r="C74" s="205"/>
      <c r="D74" s="222"/>
      <c r="E74" s="223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7"/>
    </row>
    <row r="75" customFormat="false" ht="18.75" hidden="false" customHeight="true" outlineLevel="0" collapsed="false">
      <c r="B75" s="202" t="s">
        <v>37</v>
      </c>
      <c r="C75" s="20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7"/>
    </row>
    <row r="76" customFormat="false" ht="18.75" hidden="false" customHeight="true" outlineLevel="0" collapsed="false">
      <c r="B76" s="207" t="s">
        <v>46</v>
      </c>
      <c r="C76" s="224"/>
      <c r="D76" s="209" t="n">
        <f aca="false">SUM(D64:D75)</f>
        <v>1093010.42</v>
      </c>
      <c r="E76" s="209" t="n">
        <f aca="false">SUM(E64:E75)</f>
        <v>794057.388</v>
      </c>
      <c r="F76" s="209" t="n">
        <f aca="false">SUM(F64:F75)</f>
        <v>785305.356</v>
      </c>
      <c r="G76" s="209" t="n">
        <f aca="false">SUM(G64:G75)</f>
        <v>776553.324</v>
      </c>
      <c r="H76" s="209" t="n">
        <f aca="false">SUM(H64:H75)</f>
        <v>767801.292</v>
      </c>
      <c r="I76" s="209" t="n">
        <f aca="false">SUM(I64:I75)</f>
        <v>759049.26</v>
      </c>
      <c r="J76" s="209" t="n">
        <f aca="false">SUM(J64:J75)</f>
        <v>750297.228</v>
      </c>
      <c r="K76" s="209" t="n">
        <f aca="false">SUM(K64:K75)</f>
        <v>741545.196</v>
      </c>
      <c r="L76" s="209" t="n">
        <f aca="false">SUM(L64:L75)</f>
        <v>732793.164</v>
      </c>
      <c r="M76" s="209" t="n">
        <f aca="false">SUM(M64:M75)</f>
        <v>724041.132</v>
      </c>
      <c r="N76" s="209" t="n">
        <f aca="false">SUM(N64:N75)</f>
        <v>758899.1</v>
      </c>
      <c r="O76" s="209" t="n">
        <f aca="false">SUM(O64:O75)</f>
        <v>750147.068</v>
      </c>
      <c r="P76" s="209" t="n">
        <f aca="false">SUM(P64:P75)</f>
        <v>741395.036</v>
      </c>
      <c r="Q76" s="209" t="n">
        <f aca="false">SUM(Q64:Q75)</f>
        <v>732643.004</v>
      </c>
      <c r="R76" s="209" t="n">
        <f aca="false">SUM(R64:R75)</f>
        <v>723890.972</v>
      </c>
      <c r="S76" s="209" t="n">
        <f aca="false">SUM(S64:S75)</f>
        <v>715138.94</v>
      </c>
      <c r="T76" s="209" t="n">
        <f aca="false">SUM(T64:T75)</f>
        <v>706386.908</v>
      </c>
      <c r="U76" s="209" t="n">
        <f aca="false">SUM(U64:U75)</f>
        <v>697634.876</v>
      </c>
      <c r="V76" s="209" t="n">
        <f aca="false">SUM(V64:V75)</f>
        <v>688882.844</v>
      </c>
      <c r="W76" s="209" t="n">
        <f aca="false">SUM(W64:W75)</f>
        <v>680130.812</v>
      </c>
      <c r="X76" s="209" t="n">
        <f aca="false">SUM(X64:X75)</f>
        <v>0</v>
      </c>
    </row>
    <row r="77" customFormat="false" ht="18.75" hidden="false" customHeight="true" outlineLevel="0" collapsed="false">
      <c r="B77" s="206" t="s">
        <v>39</v>
      </c>
      <c r="C77" s="205"/>
      <c r="D77" s="204" t="n">
        <f aca="false">-D76*0.2</f>
        <v>-218602.084</v>
      </c>
      <c r="E77" s="204" t="n">
        <f aca="false">-E76*0.2</f>
        <v>-158811.4776</v>
      </c>
      <c r="F77" s="204" t="n">
        <f aca="false">-F76*0.2</f>
        <v>-157061.0712</v>
      </c>
      <c r="G77" s="204" t="n">
        <f aca="false">-G76*0.2</f>
        <v>-155310.6648</v>
      </c>
      <c r="H77" s="204" t="n">
        <f aca="false">-H76*0.2</f>
        <v>-153560.2584</v>
      </c>
      <c r="I77" s="204" t="n">
        <f aca="false">-I76*0.2</f>
        <v>-151809.852</v>
      </c>
      <c r="J77" s="204" t="n">
        <f aca="false">-J76*0.2</f>
        <v>-150059.4456</v>
      </c>
      <c r="K77" s="204" t="n">
        <f aca="false">-K76*0.2</f>
        <v>-148309.0392</v>
      </c>
      <c r="L77" s="204" t="n">
        <f aca="false">-L76*0.2</f>
        <v>-146558.6328</v>
      </c>
      <c r="M77" s="204" t="n">
        <f aca="false">-M76*0.2</f>
        <v>-144808.2264</v>
      </c>
      <c r="N77" s="204" t="n">
        <f aca="false">-N76*0.2</f>
        <v>-151779.82</v>
      </c>
      <c r="O77" s="204" t="n">
        <f aca="false">-O76*0.2</f>
        <v>-150029.4136</v>
      </c>
      <c r="P77" s="204" t="n">
        <f aca="false">-P76*0.2</f>
        <v>-148279.0072</v>
      </c>
      <c r="Q77" s="204" t="n">
        <f aca="false">-Q76*0.2</f>
        <v>-146528.6008</v>
      </c>
      <c r="R77" s="204" t="n">
        <f aca="false">-R76*0.2</f>
        <v>-144778.1944</v>
      </c>
      <c r="S77" s="204" t="n">
        <f aca="false">-S76*0.2</f>
        <v>-143027.788</v>
      </c>
      <c r="T77" s="204" t="n">
        <f aca="false">-T76*0.2</f>
        <v>-141277.3816</v>
      </c>
      <c r="U77" s="204" t="n">
        <f aca="false">-U76*0.2</f>
        <v>-139526.9752</v>
      </c>
      <c r="V77" s="204" t="n">
        <f aca="false">-V76*0.2</f>
        <v>-137776.5688</v>
      </c>
      <c r="W77" s="204" t="n">
        <f aca="false">-W76*0.2</f>
        <v>-136026.1624</v>
      </c>
      <c r="X77" s="204" t="n">
        <f aca="false">-X76*0.2</f>
        <v>-0</v>
      </c>
    </row>
    <row r="78" customFormat="false" ht="15.75" hidden="false" customHeight="true" outlineLevel="0" collapsed="false">
      <c r="B78" s="225" t="s">
        <v>47</v>
      </c>
      <c r="D78" s="204" t="n">
        <f aca="false">SUM(D76:D77)</f>
        <v>874408.336</v>
      </c>
      <c r="E78" s="204" t="n">
        <f aca="false">SUM(E76:E77)</f>
        <v>635245.9104</v>
      </c>
      <c r="F78" s="204" t="n">
        <f aca="false">SUM(F76:F77)</f>
        <v>628244.2848</v>
      </c>
      <c r="G78" s="204" t="n">
        <f aca="false">SUM(G76:G77)</f>
        <v>621242.6592</v>
      </c>
      <c r="H78" s="204" t="n">
        <f aca="false">SUM(H76:H77)</f>
        <v>614241.0336</v>
      </c>
      <c r="I78" s="204" t="n">
        <f aca="false">SUM(I76:I77)</f>
        <v>607239.408</v>
      </c>
      <c r="J78" s="204" t="n">
        <f aca="false">SUM(J76:J77)</f>
        <v>600237.7824</v>
      </c>
      <c r="K78" s="204" t="n">
        <f aca="false">SUM(K76:K77)</f>
        <v>593236.1568</v>
      </c>
      <c r="L78" s="204" t="n">
        <f aca="false">SUM(L76:L77)</f>
        <v>586234.5312</v>
      </c>
      <c r="M78" s="204" t="n">
        <f aca="false">SUM(M76:M77)</f>
        <v>579232.9056</v>
      </c>
      <c r="N78" s="204" t="n">
        <f aca="false">SUM(N76:N77)</f>
        <v>607119.28</v>
      </c>
      <c r="O78" s="204" t="n">
        <f aca="false">SUM(O76:O77)</f>
        <v>600117.6544</v>
      </c>
      <c r="P78" s="204" t="n">
        <f aca="false">SUM(P76:P77)</f>
        <v>593116.0288</v>
      </c>
      <c r="Q78" s="204" t="n">
        <f aca="false">SUM(Q76:Q77)</f>
        <v>586114.4032</v>
      </c>
      <c r="R78" s="204" t="n">
        <f aca="false">SUM(R76:R77)</f>
        <v>579112.7776</v>
      </c>
      <c r="S78" s="204" t="n">
        <f aca="false">SUM(S76:S77)</f>
        <v>572111.152</v>
      </c>
      <c r="T78" s="204" t="n">
        <f aca="false">SUM(T76:T77)</f>
        <v>565109.5264</v>
      </c>
      <c r="U78" s="204" t="n">
        <f aca="false">SUM(U76:U77)</f>
        <v>558107.9008</v>
      </c>
      <c r="V78" s="204" t="n">
        <f aca="false">SUM(V76:V77)</f>
        <v>551106.2752</v>
      </c>
      <c r="W78" s="204" t="n">
        <f aca="false">SUM(W76:W77)</f>
        <v>544104.6496</v>
      </c>
      <c r="X78" s="204" t="n">
        <f aca="false">SUM(X76:X77)</f>
        <v>0</v>
      </c>
    </row>
    <row r="79" customFormat="false" ht="18.75" hidden="false" customHeight="true" outlineLevel="0" collapsed="false">
      <c r="B79" s="213" t="s">
        <v>41</v>
      </c>
      <c r="C79" s="21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7"/>
    </row>
    <row r="80" customFormat="false" ht="18.75" hidden="false" customHeight="true" outlineLevel="0" collapsed="false">
      <c r="B80" s="112" t="s">
        <v>42</v>
      </c>
      <c r="C80" s="113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9"/>
    </row>
    <row r="81" customFormat="false" ht="18.75" hidden="false" customHeight="true" outlineLevel="0" collapsed="false">
      <c r="B81" s="98"/>
      <c r="C81" s="97"/>
      <c r="D81" s="97"/>
      <c r="E81" s="97"/>
      <c r="F81" s="98"/>
      <c r="G81" s="98"/>
      <c r="H81" s="98"/>
      <c r="I81" s="98"/>
      <c r="J81" s="98"/>
      <c r="K81" s="98"/>
      <c r="L81" s="98"/>
      <c r="M81" s="97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2026-04-17T08:37:53Z</dcterms:created>
  <dc:creator>openpyxl</dc:creator>
  <dc:description/>
  <dc:language>zh-TW</dc:language>
  <cp:lastModifiedBy/>
  <dcterms:modified xsi:type="dcterms:W3CDTF">2026-04-17T08:39:29Z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