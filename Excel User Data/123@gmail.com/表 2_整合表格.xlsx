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-財務模擬案場_p1" sheetId="2" state="visible" r:id="rId4"/>
    <sheet name="淡江大學-財務模擬案場_p2" sheetId="3" state="visible" r:id="rId5"/>
    <sheet name="淡江大學-財務模擬案場_p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<sst xmlns="http://schemas.openxmlformats.org/spreadsheetml/2006/main" count="703" uniqueCount="149">
  <si>
    <t xml:space="preserve">年份</t>
  </si>
  <si>
    <t xml:space="preserve">預估發電度數</t>
  </si>
  <si>
    <t xml:space="preserve">淡江大學-財務模擬案場</t>
  </si>
  <si>
    <t xml:space="preserve">預估發電度數/年總計</t>
  </si>
  <si>
    <t xml:space="preserve">預估收入</t>
  </si>
  <si>
    <t xml:space="preserve">預估收入/年總計</t>
  </si>
  <si>
    <t xml:space="preserve">租金</t>
  </si>
  <si>
    <t xml:space="preserve">租金/年總計</t>
  </si>
  <si>
    <t xml:space="preserve">運維</t>
  </si>
  <si>
    <t xml:space="preserve">運維/年總計</t>
  </si>
  <si>
    <t xml:space="preserve">保險</t>
  </si>
  <si>
    <t xml:space="preserve">保險/年總計</t>
  </si>
  <si>
    <t xml:space="preserve">模組回收費</t>
  </si>
  <si>
    <t xml:space="preserve">模組回收費/年總計</t>
  </si>
  <si>
    <t xml:space="preserve">所得稅</t>
  </si>
  <si>
    <t xml:space="preserve">所得稅/年總計</t>
  </si>
  <si>
    <t xml:space="preserve">設備折舊</t>
  </si>
  <si>
    <t xml:space="preserve">設備折舊/年總計</t>
  </si>
  <si>
    <t xml:space="preserve">貸款成數(%)</t>
  </si>
  <si>
    <t xml:space="preserve">還款期數</t>
  </si>
  <si>
    <t xml:space="preserve">股利比率(%)</t>
  </si>
  <si>
    <t xml:space="preserve">年底減資攤還期數</t>
  </si>
  <si>
    <t xml:space="preserve">銀行利率(%)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</si>
  <si>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</si>
  <si>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</si>
  <si>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</si>
  <si>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</si>
  <si>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</si>
  <si>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</si>
  <si>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</si>
  <si>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</si>
  <si>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</si>
  <si>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</si>
  <si>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</si>
  <si>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</si>
  <si>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</si>
  <si>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</si>
  <si>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</si>
  <si>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</si>
  <si>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</si>
  <si>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</si>
  <si>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</si>
  <si>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</si>
  <si>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</si>
  <si>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</si>
  <si>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</si>
  <si>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</si>
  <si>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</si>
  <si>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</si>
  <si>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</si>
  <si>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</si>
  <si>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</si>
  <si>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</si>
  <si>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</si>
  <si>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</si>
  <si>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</si>
  <si>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</si>
  <si>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</si>
  <si>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</si>
  <si>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</si>
  <si>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</si>
  <si>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</si>
  <si>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</si>
  <si>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</si>
  <si>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</si>
  <si>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</si>
  <si>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</si>
  <si>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</si>
  <si>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</si>
  <si>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</si>
  <si>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</si>
  <si>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1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</si>
  <si>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</si>
  <si>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</si>
  <si>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</si>
  <si>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初始價金摘要</t>
  </si>
  <si>
    <t xml:space="preserve">價金: 35000</t>
  </si>
  <si>
    <t xml:space="preserve">綜合損益表</t>
  </si>
  <si>
    <t xml:space="preserve">專案IRR: 1.57</t>
  </si>
  <si>
    <t xml:space="preserve">收入</t>
  </si>
  <si>
    <t xml:space="preserve">權益法IRR: 1.27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</si>
  <si>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</si>
  <si>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</si>
  <si>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</si>
  <si>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</si>
  <si>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</si>
  <si>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</si>
  <si>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</si>
  <si>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</si>
  <si>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初始價金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</si>
  <si>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</si>
  <si>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</si>
  <si>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</si>
  <si>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</si>
  <si>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</si>
  <si>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</si>
  <si>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</si>
  <si>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</si>
  <si>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</si>
  <si>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</si>
  <si>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</si>
  <si>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</si>
  <si>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</si>
  <si>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</si>
  <si>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</si>
  <si>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</si>
  <si>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</si>
  <si>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</si>
  <si>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</si>
  <si>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</si>
  <si>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</si>
  <si>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</si>
  <si>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</si>
  <si>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</si>
  <si>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</si>
  <si>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</si>
  <si>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</si>
  <si>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</si>
  <si>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</si>
  <si>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</si>
  <si>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</si>
  <si>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</si>
  <si>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</si>
  <si>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</si>
  <si>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所得稅率</t>
  </si>
  <si>
    <t xml:space="preserve">公司所得稅率，填小數（例：20% → 填 0.2）。預設 0.2，通常不需更改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</si>
  <si>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</si>
  <si>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</si>
  <si>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</si>
  <si>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</si>
  <si>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</si>
  <si>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</si>
  <si>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</si>
  <si>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</si>
  <si>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</si>
  <si>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</si>
  <si>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</si>
  <si>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情境編號: 2</t>
  </si>
  <si>
    <t xml:space="preserve">第1次滾算摘要</t>
  </si>
  <si>
    <t xml:space="preserve">價金: 33000</t>
  </si>
  <si>
    <t xml:space="preserve">專案IRR: 2.06</t>
  </si>
  <si>
    <t xml:space="preserve">權益法IRR: 2.75</t>
  </si>
  <si>
    <t xml:space="preserve">第1次滾算，減少 2000 元 - 現金模式，每次減少 2000 元</t>
  </si>
  <si>
    <t xml:space="preserve">情境編號: 3</t>
  </si>
  <si>
    <t xml:space="preserve">第2次滾算摘要</t>
  </si>
  <si>
    <t xml:space="preserve">價金: 31000</t>
  </si>
  <si>
    <t xml:space="preserve">專案IRR: 2.6</t>
  </si>
  <si>
    <t xml:space="preserve">權益法IRR: 4.43</t>
  </si>
  <si>
    <t xml:space="preserve">第2次滾算，減少 2000 元 - 現金模式，每次減少 2000 元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</si>
</sst>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0.00%"/>
    <numFmt numFmtId="171" formatCode="_-\$* #,##0_-;&quot;-$&quot;* #,##0_-;_-\$* \-??_-;_-@_-"/>
    <numFmt numFmtId="172" formatCode="#,##0_ "/>
    <numFmt numFmtId="173" formatCode="0%"/>
    <numFmt numFmtId="174" formatCode="_-* #,##0_-;\-* #,##0_-;_-* \-??_-;_-@_-"/>
  </numFmts>
  <fonts count="40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FFFFFF"/>
      <name val="Noto Sans TC"/>
      <family val="2"/>
      <charset val="136"/>
    </font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sz val="11"/>
      <color theme="1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新細明體"/>
      <family val="2"/>
      <charset val="1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charset val="1"/>
    </font>
    <font>
      <sz val="12"/>
      <color rgb="FF000080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9"/>
        <bgColor rgb="FFDCE6F1"/>
      </patternFill>
    </fill>
    <fill>
      <patternFill patternType="solid">
        <fgColor theme="5" tint="0.3999"/>
        <bgColor rgb="FF96969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3" fillId="19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9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37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X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2" min="2" style="1" width="30.01"/>
    <col collapsed="false" customWidth="true" hidden="false" outlineLevel="0" max="23" min="3" style="1" width="16.38"/>
  </cols>
  <sheetData>
    <row r="4" customFormat="false" ht="15" hidden="false" customHeight="true" outlineLevel="0" collapsed="false">
      <c r="C4" s="2" t="s">
        <v>0</v>
      </c>
      <c r="D4" s="2" t="n">
        <v>2023</v>
      </c>
      <c r="E4" s="2" t="n">
        <v>2024</v>
      </c>
      <c r="F4" s="2" t="n">
        <v>2025</v>
      </c>
      <c r="G4" s="2" t="n">
        <v>2026</v>
      </c>
      <c r="H4" s="2" t="n">
        <v>2027</v>
      </c>
      <c r="I4" s="2" t="n">
        <v>2028</v>
      </c>
      <c r="J4" s="2" t="n">
        <v>2029</v>
      </c>
      <c r="K4" s="2" t="n">
        <v>2030</v>
      </c>
      <c r="L4" s="2" t="n">
        <v>2031</v>
      </c>
      <c r="M4" s="2" t="n">
        <v>2032</v>
      </c>
      <c r="N4" s="2" t="n">
        <v>2033</v>
      </c>
      <c r="O4" s="2" t="n">
        <v>2034</v>
      </c>
      <c r="P4" s="2" t="n">
        <v>2035</v>
      </c>
      <c r="Q4" s="2" t="n">
        <v>2036</v>
      </c>
      <c r="R4" s="2" t="n">
        <v>2037</v>
      </c>
      <c r="S4" s="2" t="n">
        <v>2038</v>
      </c>
      <c r="T4" s="2" t="n">
        <v>2039</v>
      </c>
      <c r="U4" s="2" t="n">
        <v>2040</v>
      </c>
      <c r="V4" s="2" t="n">
        <v>2041</v>
      </c>
      <c r="W4" s="2" t="n">
        <v>2042</v>
      </c>
    </row>
    <row r="5" customFormat="false" ht="15" hidden="false" customHeight="true" outlineLevel="0" collapsed="false">
      <c r="C5" s="1" t="s">
        <v>1</v>
      </c>
    </row>
    <row r="6" customFormat="false" ht="15" hidden="false" customHeight="true" outlineLevel="0" collapsed="false">
      <c r="B6" s="1" t="s">
        <v>2</v>
      </c>
      <c r="D6" s="3" t="n">
        <f aca="false">ROUND(ABS('淡江大學-財務模擬案場_p1'!D40),0)</f>
        <v>541532</v>
      </c>
      <c r="E6" s="3" t="n">
        <f aca="false">ROUND(ABS('淡江大學-財務模擬案場_p1'!E40),0)</f>
        <v>539344</v>
      </c>
      <c r="F6" s="3" t="n">
        <f aca="false">ROUND(ABS('淡江大學-財務模擬案場_p1'!F40),0)</f>
        <v>537156</v>
      </c>
      <c r="G6" s="3" t="n">
        <f aca="false">ROUND(ABS('淡江大學-財務模擬案場_p1'!G40),0)</f>
        <v>534968</v>
      </c>
      <c r="H6" s="3" t="n">
        <f aca="false">ROUND(ABS('淡江大學-財務模擬案場_p1'!H40),0)</f>
        <v>532780</v>
      </c>
      <c r="I6" s="3" t="n">
        <f aca="false">ROUND(ABS('淡江大學-財務模擬案場_p1'!I40),0)</f>
        <v>530592</v>
      </c>
      <c r="J6" s="3" t="n">
        <f aca="false">ROUND(ABS('淡江大學-財務模擬案場_p1'!J40),0)</f>
        <v>528404</v>
      </c>
      <c r="K6" s="3" t="n">
        <f aca="false">ROUND(ABS('淡江大學-財務模擬案場_p1'!K40),0)</f>
        <v>526216</v>
      </c>
      <c r="L6" s="3" t="n">
        <f aca="false">ROUND(ABS('淡江大學-財務模擬案場_p1'!L40),0)</f>
        <v>524028</v>
      </c>
      <c r="M6" s="3" t="n">
        <f aca="false">ROUND(ABS('淡江大學-財務模擬案場_p1'!M40),0)</f>
        <v>521840</v>
      </c>
      <c r="N6" s="3" t="n">
        <f aca="false">ROUND(ABS('淡江大學-財務模擬案場_p1'!N40),0)</f>
        <v>519652</v>
      </c>
      <c r="O6" s="3" t="n">
        <f aca="false">ROUND(ABS('淡江大學-財務模擬案場_p1'!O40),0)</f>
        <v>517464</v>
      </c>
      <c r="P6" s="3" t="n">
        <f aca="false">ROUND(ABS('淡江大學-財務模擬案場_p1'!P40),0)</f>
        <v>515276</v>
      </c>
      <c r="Q6" s="3" t="n">
        <f aca="false">ROUND(ABS('淡江大學-財務模擬案場_p1'!Q40),0)</f>
        <v>513088</v>
      </c>
      <c r="R6" s="3" t="n">
        <f aca="false">ROUND(ABS('淡江大學-財務模擬案場_p1'!R40),0)</f>
        <v>510900</v>
      </c>
      <c r="S6" s="3" t="n">
        <f aca="false">ROUND(ABS('淡江大學-財務模擬案場_p1'!S40),0)</f>
        <v>508712</v>
      </c>
      <c r="T6" s="3" t="n">
        <f aca="false">ROUND(ABS('淡江大學-財務模擬案場_p1'!T40),0)</f>
        <v>506524</v>
      </c>
      <c r="U6" s="3" t="n">
        <f aca="false">ROUND(ABS('淡江大學-財務模擬案場_p1'!U40),0)</f>
        <v>504336</v>
      </c>
      <c r="V6" s="3" t="n">
        <f aca="false">ROUND(ABS('淡江大學-財務模擬案場_p1'!V40),0)</f>
        <v>502148</v>
      </c>
      <c r="W6" s="3" t="n">
        <f aca="false">ROUND(ABS('淡江大學-財務模擬案場_p1'!W40),0)</f>
        <v>499960</v>
      </c>
    </row>
    <row r="7" customFormat="false" ht="15" hidden="false" customHeight="true" outlineLevel="0" collapsed="false">
      <c r="B7" s="1" t="s">
        <v>2</v>
      </c>
      <c r="D7" s="3" t="n">
        <f aca="false">ROUND(ABS('淡江大學-財務模擬案場_p2'!D40),0)</f>
        <v>541532</v>
      </c>
      <c r="E7" s="3" t="n">
        <f aca="false">ROUND(ABS('淡江大學-財務模擬案場_p2'!E40),0)</f>
        <v>539344</v>
      </c>
      <c r="F7" s="3" t="n">
        <f aca="false">ROUND(ABS('淡江大學-財務模擬案場_p2'!F40),0)</f>
        <v>537156</v>
      </c>
      <c r="G7" s="3" t="n">
        <f aca="false">ROUND(ABS('淡江大學-財務模擬案場_p2'!G40),0)</f>
        <v>534968</v>
      </c>
      <c r="H7" s="3" t="n">
        <f aca="false">ROUND(ABS('淡江大學-財務模擬案場_p2'!H40),0)</f>
        <v>532780</v>
      </c>
      <c r="I7" s="3" t="n">
        <f aca="false">ROUND(ABS('淡江大學-財務模擬案場_p2'!I40),0)</f>
        <v>530592</v>
      </c>
      <c r="J7" s="3" t="n">
        <f aca="false">ROUND(ABS('淡江大學-財務模擬案場_p2'!J40),0)</f>
        <v>528404</v>
      </c>
      <c r="K7" s="3" t="n">
        <f aca="false">ROUND(ABS('淡江大學-財務模擬案場_p2'!K40),0)</f>
        <v>526216</v>
      </c>
      <c r="L7" s="3" t="n">
        <f aca="false">ROUND(ABS('淡江大學-財務模擬案場_p2'!L40),0)</f>
        <v>524028</v>
      </c>
      <c r="M7" s="3" t="n">
        <f aca="false">ROUND(ABS('淡江大學-財務模擬案場_p2'!M40),0)</f>
        <v>521840</v>
      </c>
      <c r="N7" s="3" t="n">
        <f aca="false">ROUND(ABS('淡江大學-財務模擬案場_p2'!N40),0)</f>
        <v>519652</v>
      </c>
      <c r="O7" s="3" t="n">
        <f aca="false">ROUND(ABS('淡江大學-財務模擬案場_p2'!O40),0)</f>
        <v>517464</v>
      </c>
      <c r="P7" s="3" t="n">
        <f aca="false">ROUND(ABS('淡江大學-財務模擬案場_p2'!P40),0)</f>
        <v>515276</v>
      </c>
      <c r="Q7" s="3" t="n">
        <f aca="false">ROUND(ABS('淡江大學-財務模擬案場_p2'!Q40),0)</f>
        <v>513088</v>
      </c>
      <c r="R7" s="3" t="n">
        <f aca="false">ROUND(ABS('淡江大學-財務模擬案場_p2'!R40),0)</f>
        <v>510900</v>
      </c>
      <c r="S7" s="3" t="n">
        <f aca="false">ROUND(ABS('淡江大學-財務模擬案場_p2'!S40),0)</f>
        <v>508712</v>
      </c>
      <c r="T7" s="3" t="n">
        <f aca="false">ROUND(ABS('淡江大學-財務模擬案場_p2'!T40),0)</f>
        <v>506524</v>
      </c>
      <c r="U7" s="3" t="n">
        <f aca="false">ROUND(ABS('淡江大學-財務模擬案場_p2'!U40),0)</f>
        <v>504336</v>
      </c>
      <c r="V7" s="3" t="n">
        <f aca="false">ROUND(ABS('淡江大學-財務模擬案場_p2'!V40),0)</f>
        <v>502148</v>
      </c>
      <c r="W7" s="3" t="n">
        <f aca="false">ROUND(ABS('淡江大學-財務模擬案場_p2'!W40),0)</f>
        <v>499960</v>
      </c>
    </row>
    <row r="8" customFormat="false" ht="15" hidden="false" customHeight="true" outlineLevel="0" collapsed="false">
      <c r="B8" s="1" t="s">
        <v>2</v>
      </c>
      <c r="D8" s="3" t="n">
        <f aca="false">ROUND(ABS('淡江大學-財務模擬案場_p3'!D40),0)</f>
        <v>541532</v>
      </c>
      <c r="E8" s="3" t="n">
        <f aca="false">ROUND(ABS('淡江大學-財務模擬案場_p3'!E40),0)</f>
        <v>539344</v>
      </c>
      <c r="F8" s="3" t="n">
        <f aca="false">ROUND(ABS('淡江大學-財務模擬案場_p3'!F40),0)</f>
        <v>537156</v>
      </c>
      <c r="G8" s="3" t="n">
        <f aca="false">ROUND(ABS('淡江大學-財務模擬案場_p3'!G40),0)</f>
        <v>534968</v>
      </c>
      <c r="H8" s="3" t="n">
        <f aca="false">ROUND(ABS('淡江大學-財務模擬案場_p3'!H40),0)</f>
        <v>532780</v>
      </c>
      <c r="I8" s="3" t="n">
        <f aca="false">ROUND(ABS('淡江大學-財務模擬案場_p3'!I40),0)</f>
        <v>530592</v>
      </c>
      <c r="J8" s="3" t="n">
        <f aca="false">ROUND(ABS('淡江大學-財務模擬案場_p3'!J40),0)</f>
        <v>528404</v>
      </c>
      <c r="K8" s="3" t="n">
        <f aca="false">ROUND(ABS('淡江大學-財務模擬案場_p3'!K40),0)</f>
        <v>526216</v>
      </c>
      <c r="L8" s="3" t="n">
        <f aca="false">ROUND(ABS('淡江大學-財務模擬案場_p3'!L40),0)</f>
        <v>524028</v>
      </c>
      <c r="M8" s="3" t="n">
        <f aca="false">ROUND(ABS('淡江大學-財務模擬案場_p3'!M40),0)</f>
        <v>521840</v>
      </c>
      <c r="N8" s="3" t="n">
        <f aca="false">ROUND(ABS('淡江大學-財務模擬案場_p3'!N40),0)</f>
        <v>519652</v>
      </c>
      <c r="O8" s="3" t="n">
        <f aca="false">ROUND(ABS('淡江大學-財務模擬案場_p3'!O40),0)</f>
        <v>517464</v>
      </c>
      <c r="P8" s="3" t="n">
        <f aca="false">ROUND(ABS('淡江大學-財務模擬案場_p3'!P40),0)</f>
        <v>515276</v>
      </c>
      <c r="Q8" s="3" t="n">
        <f aca="false">ROUND(ABS('淡江大學-財務模擬案場_p3'!Q40),0)</f>
        <v>513088</v>
      </c>
      <c r="R8" s="3" t="n">
        <f aca="false">ROUND(ABS('淡江大學-財務模擬案場_p3'!R40),0)</f>
        <v>510900</v>
      </c>
      <c r="S8" s="3" t="n">
        <f aca="false">ROUND(ABS('淡江大學-財務模擬案場_p3'!S40),0)</f>
        <v>508712</v>
      </c>
      <c r="T8" s="3" t="n">
        <f aca="false">ROUND(ABS('淡江大學-財務模擬案場_p3'!T40),0)</f>
        <v>506524</v>
      </c>
      <c r="U8" s="3" t="n">
        <f aca="false">ROUND(ABS('淡江大學-財務模擬案場_p3'!U40),0)</f>
        <v>504336</v>
      </c>
      <c r="V8" s="3" t="n">
        <f aca="false">ROUND(ABS('淡江大學-財務模擬案場_p3'!V40),0)</f>
        <v>502148</v>
      </c>
      <c r="W8" s="3" t="n">
        <f aca="false">ROUND(ABS('淡江大學-財務模擬案場_p3'!W40),0)</f>
        <v>499960</v>
      </c>
    </row>
    <row r="9" customFormat="false" ht="15" hidden="false" customHeight="true" outlineLevel="0" collapsed="false">
      <c r="C9" s="4" t="s">
        <v>3</v>
      </c>
      <c r="D9" s="5" t="n">
        <f aca="false">SUM(D6:D8)</f>
        <v>1624596</v>
      </c>
      <c r="E9" s="5" t="n">
        <f aca="false">SUM(E6:E8)</f>
        <v>1618032</v>
      </c>
      <c r="F9" s="5" t="n">
        <f aca="false">SUM(F6:F8)</f>
        <v>1611468</v>
      </c>
      <c r="G9" s="5" t="n">
        <f aca="false">SUM(G6:G8)</f>
        <v>1604904</v>
      </c>
      <c r="H9" s="5" t="n">
        <f aca="false">SUM(H6:H8)</f>
        <v>1598340</v>
      </c>
      <c r="I9" s="5" t="n">
        <f aca="false">SUM(I6:I8)</f>
        <v>1591776</v>
      </c>
      <c r="J9" s="5" t="n">
        <f aca="false">SUM(J6:J8)</f>
        <v>1585212</v>
      </c>
      <c r="K9" s="5" t="n">
        <f aca="false">SUM(K6:K8)</f>
        <v>1578648</v>
      </c>
      <c r="L9" s="5" t="n">
        <f aca="false">SUM(L6:L8)</f>
        <v>1572084</v>
      </c>
      <c r="M9" s="5" t="n">
        <f aca="false">SUM(M6:M8)</f>
        <v>1565520</v>
      </c>
      <c r="N9" s="5" t="n">
        <f aca="false">SUM(N6:N8)</f>
        <v>1558956</v>
      </c>
      <c r="O9" s="5" t="n">
        <f aca="false">SUM(O6:O8)</f>
        <v>1552392</v>
      </c>
      <c r="P9" s="5" t="n">
        <f aca="false">SUM(P6:P8)</f>
        <v>1545828</v>
      </c>
      <c r="Q9" s="5" t="n">
        <f aca="false">SUM(Q6:Q8)</f>
        <v>1539264</v>
      </c>
      <c r="R9" s="5" t="n">
        <f aca="false">SUM(R6:R8)</f>
        <v>1532700</v>
      </c>
      <c r="S9" s="5" t="n">
        <f aca="false">SUM(S6:S8)</f>
        <v>1526136</v>
      </c>
      <c r="T9" s="5" t="n">
        <f aca="false">SUM(T6:T8)</f>
        <v>1519572</v>
      </c>
      <c r="U9" s="5" t="n">
        <f aca="false">SUM(U6:U8)</f>
        <v>1513008</v>
      </c>
      <c r="V9" s="5" t="n">
        <f aca="false">SUM(V6:V8)</f>
        <v>1506444</v>
      </c>
      <c r="W9" s="5" t="n">
        <f aca="false">SUM(W6:W8)</f>
        <v>1499880</v>
      </c>
    </row>
    <row r="10" customFormat="false" ht="15" hidden="false" customHeight="true" outlineLevel="0" collapsed="false">
      <c r="C10" s="2" t="s">
        <v>0</v>
      </c>
      <c r="D10" s="2" t="n">
        <v>2023</v>
      </c>
      <c r="E10" s="2" t="n">
        <v>2024</v>
      </c>
      <c r="F10" s="2" t="n">
        <v>2025</v>
      </c>
      <c r="G10" s="2" t="n">
        <v>2026</v>
      </c>
      <c r="H10" s="2" t="n">
        <v>2027</v>
      </c>
      <c r="I10" s="2" t="n">
        <v>2028</v>
      </c>
      <c r="J10" s="2" t="n">
        <v>2029</v>
      </c>
      <c r="K10" s="2" t="n">
        <v>2030</v>
      </c>
      <c r="L10" s="2" t="n">
        <v>2031</v>
      </c>
      <c r="M10" s="2" t="n">
        <v>2032</v>
      </c>
      <c r="N10" s="2" t="n">
        <v>2033</v>
      </c>
      <c r="O10" s="2" t="n">
        <v>2034</v>
      </c>
      <c r="P10" s="2" t="n">
        <v>2035</v>
      </c>
      <c r="Q10" s="2" t="n">
        <v>2036</v>
      </c>
      <c r="R10" s="2" t="n">
        <v>2037</v>
      </c>
      <c r="S10" s="2" t="n">
        <v>2038</v>
      </c>
      <c r="T10" s="2" t="n">
        <v>2039</v>
      </c>
      <c r="U10" s="2" t="n">
        <v>2040</v>
      </c>
      <c r="V10" s="2" t="n">
        <v>2041</v>
      </c>
      <c r="W10" s="2" t="n">
        <v>2042</v>
      </c>
    </row>
    <row r="11" customFormat="false" ht="15" hidden="false" customHeight="true" outlineLevel="0" collapsed="false">
      <c r="C11" s="1" t="s">
        <v>4</v>
      </c>
    </row>
    <row r="12" customFormat="false" ht="15" hidden="false" customHeight="true" outlineLevel="0" collapsed="false">
      <c r="B12" s="1" t="s">
        <v>2</v>
      </c>
      <c r="D12" s="3" t="n">
        <f aca="false">ROUND(ABS('淡江大學-財務模擬案場_p1'!D41),0)</f>
        <v>2011900</v>
      </c>
      <c r="E12" s="3" t="n">
        <f aca="false">ROUND(ABS('淡江大學-財務模擬案場_p1'!E41),0)</f>
        <v>2003771</v>
      </c>
      <c r="F12" s="3" t="n">
        <f aca="false">ROUND(ABS('淡江大學-財務模擬案場_p1'!F41),0)</f>
        <v>1995642</v>
      </c>
      <c r="G12" s="3" t="n">
        <f aca="false">ROUND(ABS('淡江大學-財務模擬案場_p1'!G41),0)</f>
        <v>1987513</v>
      </c>
      <c r="H12" s="3" t="n">
        <f aca="false">ROUND(ABS('淡江大學-財務模擬案場_p1'!H41),0)</f>
        <v>1979384</v>
      </c>
      <c r="I12" s="3" t="n">
        <f aca="false">ROUND(ABS('淡江大學-財務模擬案場_p1'!I41),0)</f>
        <v>1971255</v>
      </c>
      <c r="J12" s="3" t="n">
        <f aca="false">ROUND(ABS('淡江大學-財務模擬案場_p1'!J41),0)</f>
        <v>1963126</v>
      </c>
      <c r="K12" s="3" t="n">
        <f aca="false">ROUND(ABS('淡江大學-財務模擬案場_p1'!K41),0)</f>
        <v>1954997</v>
      </c>
      <c r="L12" s="3" t="n">
        <f aca="false">ROUND(ABS('淡江大學-財務模擬案場_p1'!L41),0)</f>
        <v>1946869</v>
      </c>
      <c r="M12" s="3" t="n">
        <f aca="false">ROUND(ABS('淡江大學-財務模擬案場_p1'!M41),0)</f>
        <v>1938740</v>
      </c>
      <c r="N12" s="3" t="n">
        <f aca="false">ROUND(ABS('淡江大學-財務模擬案場_p1'!N41),0)</f>
        <v>1930611</v>
      </c>
      <c r="O12" s="3" t="n">
        <f aca="false">ROUND(ABS('淡江大學-財務模擬案場_p1'!O41),0)</f>
        <v>1922482</v>
      </c>
      <c r="P12" s="3" t="n">
        <f aca="false">ROUND(ABS('淡江大學-財務模擬案場_p1'!P41),0)</f>
        <v>1914353</v>
      </c>
      <c r="Q12" s="3" t="n">
        <f aca="false">ROUND(ABS('淡江大學-財務模擬案場_p1'!Q41),0)</f>
        <v>1906224</v>
      </c>
      <c r="R12" s="3" t="n">
        <f aca="false">ROUND(ABS('淡江大學-財務模擬案場_p1'!R41),0)</f>
        <v>1898095</v>
      </c>
      <c r="S12" s="3" t="n">
        <f aca="false">ROUND(ABS('淡江大學-財務模擬案場_p1'!S41),0)</f>
        <v>1889966</v>
      </c>
      <c r="T12" s="3" t="n">
        <f aca="false">ROUND(ABS('淡江大學-財務模擬案場_p1'!T41),0)</f>
        <v>1881837</v>
      </c>
      <c r="U12" s="3" t="n">
        <f aca="false">ROUND(ABS('淡江大學-財務模擬案場_p1'!U41),0)</f>
        <v>1873709</v>
      </c>
      <c r="V12" s="3" t="n">
        <f aca="false">ROUND(ABS('淡江大學-財務模擬案場_p1'!V41),0)</f>
        <v>1865580</v>
      </c>
      <c r="W12" s="3" t="n">
        <f aca="false">ROUND(ABS('淡江大學-財務模擬案場_p1'!W41),0)</f>
        <v>1857451</v>
      </c>
    </row>
    <row r="13" customFormat="false" ht="15" hidden="false" customHeight="true" outlineLevel="0" collapsed="false">
      <c r="B13" s="1" t="s">
        <v>2</v>
      </c>
      <c r="D13" s="3" t="n">
        <f aca="false">ROUND(ABS('淡江大學-財務模擬案場_p2'!D41),0)</f>
        <v>2011900</v>
      </c>
      <c r="E13" s="3" t="n">
        <f aca="false">ROUND(ABS('淡江大學-財務模擬案場_p2'!E41),0)</f>
        <v>2003771</v>
      </c>
      <c r="F13" s="3" t="n">
        <f aca="false">ROUND(ABS('淡江大學-財務模擬案場_p2'!F41),0)</f>
        <v>1995642</v>
      </c>
      <c r="G13" s="3" t="n">
        <f aca="false">ROUND(ABS('淡江大學-財務模擬案場_p2'!G41),0)</f>
        <v>1987513</v>
      </c>
      <c r="H13" s="3" t="n">
        <f aca="false">ROUND(ABS('淡江大學-財務模擬案場_p2'!H41),0)</f>
        <v>1979384</v>
      </c>
      <c r="I13" s="3" t="n">
        <f aca="false">ROUND(ABS('淡江大學-財務模擬案場_p2'!I41),0)</f>
        <v>1971255</v>
      </c>
      <c r="J13" s="3" t="n">
        <f aca="false">ROUND(ABS('淡江大學-財務模擬案場_p2'!J41),0)</f>
        <v>1963126</v>
      </c>
      <c r="K13" s="3" t="n">
        <f aca="false">ROUND(ABS('淡江大學-財務模擬案場_p2'!K41),0)</f>
        <v>1954997</v>
      </c>
      <c r="L13" s="3" t="n">
        <f aca="false">ROUND(ABS('淡江大學-財務模擬案場_p2'!L41),0)</f>
        <v>1946869</v>
      </c>
      <c r="M13" s="3" t="n">
        <f aca="false">ROUND(ABS('淡江大學-財務模擬案場_p2'!M41),0)</f>
        <v>1938740</v>
      </c>
      <c r="N13" s="3" t="n">
        <f aca="false">ROUND(ABS('淡江大學-財務模擬案場_p2'!N41),0)</f>
        <v>1930611</v>
      </c>
      <c r="O13" s="3" t="n">
        <f aca="false">ROUND(ABS('淡江大學-財務模擬案場_p2'!O41),0)</f>
        <v>1922482</v>
      </c>
      <c r="P13" s="3" t="n">
        <f aca="false">ROUND(ABS('淡江大學-財務模擬案場_p2'!P41),0)</f>
        <v>1914353</v>
      </c>
      <c r="Q13" s="3" t="n">
        <f aca="false">ROUND(ABS('淡江大學-財務模擬案場_p2'!Q41),0)</f>
        <v>1906224</v>
      </c>
      <c r="R13" s="3" t="n">
        <f aca="false">ROUND(ABS('淡江大學-財務模擬案場_p2'!R41),0)</f>
        <v>1898095</v>
      </c>
      <c r="S13" s="3" t="n">
        <f aca="false">ROUND(ABS('淡江大學-財務模擬案場_p2'!S41),0)</f>
        <v>1889966</v>
      </c>
      <c r="T13" s="3" t="n">
        <f aca="false">ROUND(ABS('淡江大學-財務模擬案場_p2'!T41),0)</f>
        <v>1881837</v>
      </c>
      <c r="U13" s="3" t="n">
        <f aca="false">ROUND(ABS('淡江大學-財務模擬案場_p2'!U41),0)</f>
        <v>1873709</v>
      </c>
      <c r="V13" s="3" t="n">
        <f aca="false">ROUND(ABS('淡江大學-財務模擬案場_p2'!V41),0)</f>
        <v>1865580</v>
      </c>
      <c r="W13" s="3" t="n">
        <f aca="false">ROUND(ABS('淡江大學-財務模擬案場_p2'!W41),0)</f>
        <v>1857451</v>
      </c>
    </row>
    <row r="14" customFormat="false" ht="15" hidden="false" customHeight="true" outlineLevel="0" collapsed="false">
      <c r="B14" s="1" t="s">
        <v>2</v>
      </c>
      <c r="D14" s="3" t="n">
        <f aca="false">ROUND(ABS('淡江大學-財務模擬案場_p3'!D41),0)</f>
        <v>2011900</v>
      </c>
      <c r="E14" s="3" t="n">
        <f aca="false">ROUND(ABS('淡江大學-財務模擬案場_p3'!E41),0)</f>
        <v>2003771</v>
      </c>
      <c r="F14" s="3" t="n">
        <f aca="false">ROUND(ABS('淡江大學-財務模擬案場_p3'!F41),0)</f>
        <v>1995642</v>
      </c>
      <c r="G14" s="3" t="n">
        <f aca="false">ROUND(ABS('淡江大學-財務模擬案場_p3'!G41),0)</f>
        <v>1987513</v>
      </c>
      <c r="H14" s="3" t="n">
        <f aca="false">ROUND(ABS('淡江大學-財務模擬案場_p3'!H41),0)</f>
        <v>1979384</v>
      </c>
      <c r="I14" s="3" t="n">
        <f aca="false">ROUND(ABS('淡江大學-財務模擬案場_p3'!I41),0)</f>
        <v>1971255</v>
      </c>
      <c r="J14" s="3" t="n">
        <f aca="false">ROUND(ABS('淡江大學-財務模擬案場_p3'!J41),0)</f>
        <v>1963126</v>
      </c>
      <c r="K14" s="3" t="n">
        <f aca="false">ROUND(ABS('淡江大學-財務模擬案場_p3'!K41),0)</f>
        <v>1954997</v>
      </c>
      <c r="L14" s="3" t="n">
        <f aca="false">ROUND(ABS('淡江大學-財務模擬案場_p3'!L41),0)</f>
        <v>1946869</v>
      </c>
      <c r="M14" s="3" t="n">
        <f aca="false">ROUND(ABS('淡江大學-財務模擬案場_p3'!M41),0)</f>
        <v>1938740</v>
      </c>
      <c r="N14" s="3" t="n">
        <f aca="false">ROUND(ABS('淡江大學-財務模擬案場_p3'!N41),0)</f>
        <v>1930611</v>
      </c>
      <c r="O14" s="3" t="n">
        <f aca="false">ROUND(ABS('淡江大學-財務模擬案場_p3'!O41),0)</f>
        <v>1922482</v>
      </c>
      <c r="P14" s="3" t="n">
        <f aca="false">ROUND(ABS('淡江大學-財務模擬案場_p3'!P41),0)</f>
        <v>1914353</v>
      </c>
      <c r="Q14" s="3" t="n">
        <f aca="false">ROUND(ABS('淡江大學-財務模擬案場_p3'!Q41),0)</f>
        <v>1906224</v>
      </c>
      <c r="R14" s="3" t="n">
        <f aca="false">ROUND(ABS('淡江大學-財務模擬案場_p3'!R41),0)</f>
        <v>1898095</v>
      </c>
      <c r="S14" s="3" t="n">
        <f aca="false">ROUND(ABS('淡江大學-財務模擬案場_p3'!S41),0)</f>
        <v>1889966</v>
      </c>
      <c r="T14" s="3" t="n">
        <f aca="false">ROUND(ABS('淡江大學-財務模擬案場_p3'!T41),0)</f>
        <v>1881837</v>
      </c>
      <c r="U14" s="3" t="n">
        <f aca="false">ROUND(ABS('淡江大學-財務模擬案場_p3'!U41),0)</f>
        <v>1873709</v>
      </c>
      <c r="V14" s="3" t="n">
        <f aca="false">ROUND(ABS('淡江大學-財務模擬案場_p3'!V41),0)</f>
        <v>1865580</v>
      </c>
      <c r="W14" s="3" t="n">
        <f aca="false">ROUND(ABS('淡江大學-財務模擬案場_p3'!W41),0)</f>
        <v>1857451</v>
      </c>
    </row>
    <row r="15" customFormat="false" ht="15" hidden="false" customHeight="true" outlineLevel="0" collapsed="false">
      <c r="C15" s="6" t="s">
        <v>5</v>
      </c>
      <c r="D15" s="7" t="n">
        <f aca="false">SUM(D12:D14)</f>
        <v>6035700</v>
      </c>
      <c r="E15" s="7" t="n">
        <f aca="false">SUM(E12:E14)</f>
        <v>6011313</v>
      </c>
      <c r="F15" s="7" t="n">
        <f aca="false">SUM(F12:F14)</f>
        <v>5986926</v>
      </c>
      <c r="G15" s="7" t="n">
        <f aca="false">SUM(G12:G14)</f>
        <v>5962539</v>
      </c>
      <c r="H15" s="7" t="n">
        <f aca="false">SUM(H12:H14)</f>
        <v>5938152</v>
      </c>
      <c r="I15" s="7" t="n">
        <f aca="false">SUM(I12:I14)</f>
        <v>5913765</v>
      </c>
      <c r="J15" s="7" t="n">
        <f aca="false">SUM(J12:J14)</f>
        <v>5889378</v>
      </c>
      <c r="K15" s="7" t="n">
        <f aca="false">SUM(K12:K14)</f>
        <v>5864991</v>
      </c>
      <c r="L15" s="7" t="n">
        <f aca="false">SUM(L12:L14)</f>
        <v>5840607</v>
      </c>
      <c r="M15" s="7" t="n">
        <f aca="false">SUM(M12:M14)</f>
        <v>5816220</v>
      </c>
      <c r="N15" s="7" t="n">
        <f aca="false">SUM(N12:N14)</f>
        <v>5791833</v>
      </c>
      <c r="O15" s="7" t="n">
        <f aca="false">SUM(O12:O14)</f>
        <v>5767446</v>
      </c>
      <c r="P15" s="7" t="n">
        <f aca="false">SUM(P12:P14)</f>
        <v>5743059</v>
      </c>
      <c r="Q15" s="7" t="n">
        <f aca="false">SUM(Q12:Q14)</f>
        <v>5718672</v>
      </c>
      <c r="R15" s="7" t="n">
        <f aca="false">SUM(R12:R14)</f>
        <v>5694285</v>
      </c>
      <c r="S15" s="7" t="n">
        <f aca="false">SUM(S12:S14)</f>
        <v>5669898</v>
      </c>
      <c r="T15" s="7" t="n">
        <f aca="false">SUM(T12:T14)</f>
        <v>5645511</v>
      </c>
      <c r="U15" s="7" t="n">
        <f aca="false">SUM(U12:U14)</f>
        <v>5621127</v>
      </c>
      <c r="V15" s="7" t="n">
        <f aca="false">SUM(V12:V14)</f>
        <v>5596740</v>
      </c>
      <c r="W15" s="7" t="n">
        <f aca="false">SUM(W12:W14)</f>
        <v>5572353</v>
      </c>
    </row>
    <row r="16" customFormat="false" ht="15" hidden="false" customHeight="true" outlineLevel="0" collapsed="false">
      <c r="C16" s="2" t="s">
        <v>0</v>
      </c>
      <c r="D16" s="2" t="n">
        <v>2023</v>
      </c>
      <c r="E16" s="2" t="n">
        <v>2024</v>
      </c>
      <c r="F16" s="2" t="n">
        <v>2025</v>
      </c>
      <c r="G16" s="2" t="n">
        <v>2026</v>
      </c>
      <c r="H16" s="2" t="n">
        <v>2027</v>
      </c>
      <c r="I16" s="2" t="n">
        <v>2028</v>
      </c>
      <c r="J16" s="2" t="n">
        <v>2029</v>
      </c>
      <c r="K16" s="2" t="n">
        <v>2030</v>
      </c>
      <c r="L16" s="2" t="n">
        <v>2031</v>
      </c>
      <c r="M16" s="2" t="n">
        <v>2032</v>
      </c>
      <c r="N16" s="2" t="n">
        <v>2033</v>
      </c>
      <c r="O16" s="2" t="n">
        <v>2034</v>
      </c>
      <c r="P16" s="2" t="n">
        <v>2035</v>
      </c>
      <c r="Q16" s="2" t="n">
        <v>2036</v>
      </c>
      <c r="R16" s="2" t="n">
        <v>2037</v>
      </c>
      <c r="S16" s="2" t="n">
        <v>2038</v>
      </c>
      <c r="T16" s="2" t="n">
        <v>2039</v>
      </c>
      <c r="U16" s="2" t="n">
        <v>2040</v>
      </c>
      <c r="V16" s="2" t="n">
        <v>2041</v>
      </c>
      <c r="W16" s="2" t="n">
        <v>2042</v>
      </c>
    </row>
    <row r="17" customFormat="false" ht="15" hidden="false" customHeight="true" outlineLevel="0" collapsed="false">
      <c r="C17" s="1" t="s">
        <v>6</v>
      </c>
    </row>
    <row r="18" customFormat="false" ht="15" hidden="false" customHeight="true" outlineLevel="0" collapsed="false">
      <c r="B18" s="1" t="s">
        <v>2</v>
      </c>
      <c r="D18" s="3" t="n">
        <f aca="false">ROUND(ABS('淡江大學-財務模擬案場_p1'!D45),0)</f>
        <v>290201</v>
      </c>
      <c r="E18" s="3" t="n">
        <f aca="false">ROUND(ABS('淡江大學-財務模擬案場_p1'!E45),0)</f>
        <v>290201</v>
      </c>
      <c r="F18" s="3" t="n">
        <f aca="false">ROUND(ABS('淡江大學-財務模擬案場_p1'!F45),0)</f>
        <v>290201</v>
      </c>
      <c r="G18" s="3" t="n">
        <f aca="false">ROUND(ABS('淡江大學-財務模擬案場_p1'!G45),0)</f>
        <v>290201</v>
      </c>
      <c r="H18" s="3" t="n">
        <f aca="false">ROUND(ABS('淡江大學-財務模擬案場_p1'!H45),0)</f>
        <v>290201</v>
      </c>
      <c r="I18" s="3" t="n">
        <f aca="false">ROUND(ABS('淡江大學-財務模擬案場_p1'!I45),0)</f>
        <v>290201</v>
      </c>
      <c r="J18" s="3" t="n">
        <f aca="false">ROUND(ABS('淡江大學-財務模擬案場_p1'!J45),0)</f>
        <v>290201</v>
      </c>
      <c r="K18" s="3" t="n">
        <f aca="false">ROUND(ABS('淡江大學-財務模擬案場_p1'!K45),0)</f>
        <v>290201</v>
      </c>
      <c r="L18" s="3" t="n">
        <f aca="false">ROUND(ABS('淡江大學-財務模擬案場_p1'!L45),0)</f>
        <v>290201</v>
      </c>
      <c r="M18" s="3" t="n">
        <f aca="false">ROUND(ABS('淡江大學-財務模擬案場_p1'!M45),0)</f>
        <v>290201</v>
      </c>
      <c r="N18" s="3" t="n">
        <f aca="false">ROUND(ABS('淡江大學-財務模擬案場_p1'!N45),0)</f>
        <v>290201</v>
      </c>
      <c r="O18" s="3" t="n">
        <f aca="false">ROUND(ABS('淡江大學-財務模擬案場_p1'!O45),0)</f>
        <v>290201</v>
      </c>
      <c r="P18" s="3" t="n">
        <f aca="false">ROUND(ABS('淡江大學-財務模擬案場_p1'!P45),0)</f>
        <v>290201</v>
      </c>
      <c r="Q18" s="3" t="n">
        <f aca="false">ROUND(ABS('淡江大學-財務模擬案場_p1'!Q45),0)</f>
        <v>290201</v>
      </c>
      <c r="R18" s="3" t="n">
        <f aca="false">ROUND(ABS('淡江大學-財務模擬案場_p1'!R45),0)</f>
        <v>290201</v>
      </c>
      <c r="S18" s="3" t="n">
        <f aca="false">ROUND(ABS('淡江大學-財務模擬案場_p1'!S45),0)</f>
        <v>290201</v>
      </c>
      <c r="T18" s="3" t="n">
        <f aca="false">ROUND(ABS('淡江大學-財務模擬案場_p1'!T45),0)</f>
        <v>290201</v>
      </c>
      <c r="U18" s="3" t="n">
        <f aca="false">ROUND(ABS('淡江大學-財務模擬案場_p1'!U45),0)</f>
        <v>290201</v>
      </c>
      <c r="V18" s="3" t="n">
        <f aca="false">ROUND(ABS('淡江大學-財務模擬案場_p1'!V45),0)</f>
        <v>290201</v>
      </c>
      <c r="W18" s="3" t="n">
        <f aca="false">ROUND(ABS('淡江大學-財務模擬案場_p1'!W45),0)</f>
        <v>290201</v>
      </c>
    </row>
    <row r="19" customFormat="false" ht="15" hidden="false" customHeight="true" outlineLevel="0" collapsed="false">
      <c r="B19" s="1" t="s">
        <v>2</v>
      </c>
      <c r="D19" s="3" t="n">
        <f aca="false">ROUND(ABS('淡江大學-財務模擬案場_p2'!D45),0)</f>
        <v>290201</v>
      </c>
      <c r="E19" s="3" t="n">
        <f aca="false">ROUND(ABS('淡江大學-財務模擬案場_p2'!E45),0)</f>
        <v>290201</v>
      </c>
      <c r="F19" s="3" t="n">
        <f aca="false">ROUND(ABS('淡江大學-財務模擬案場_p2'!F45),0)</f>
        <v>290201</v>
      </c>
      <c r="G19" s="3" t="n">
        <f aca="false">ROUND(ABS('淡江大學-財務模擬案場_p2'!G45),0)</f>
        <v>290201</v>
      </c>
      <c r="H19" s="3" t="n">
        <f aca="false">ROUND(ABS('淡江大學-財務模擬案場_p2'!H45),0)</f>
        <v>290201</v>
      </c>
      <c r="I19" s="3" t="n">
        <f aca="false">ROUND(ABS('淡江大學-財務模擬案場_p2'!I45),0)</f>
        <v>290201</v>
      </c>
      <c r="J19" s="3" t="n">
        <f aca="false">ROUND(ABS('淡江大學-財務模擬案場_p2'!J45),0)</f>
        <v>290201</v>
      </c>
      <c r="K19" s="3" t="n">
        <f aca="false">ROUND(ABS('淡江大學-財務模擬案場_p2'!K45),0)</f>
        <v>290201</v>
      </c>
      <c r="L19" s="3" t="n">
        <f aca="false">ROUND(ABS('淡江大學-財務模擬案場_p2'!L45),0)</f>
        <v>290201</v>
      </c>
      <c r="M19" s="3" t="n">
        <f aca="false">ROUND(ABS('淡江大學-財務模擬案場_p2'!M45),0)</f>
        <v>290201</v>
      </c>
      <c r="N19" s="3" t="n">
        <f aca="false">ROUND(ABS('淡江大學-財務模擬案場_p2'!N45),0)</f>
        <v>290201</v>
      </c>
      <c r="O19" s="3" t="n">
        <f aca="false">ROUND(ABS('淡江大學-財務模擬案場_p2'!O45),0)</f>
        <v>290201</v>
      </c>
      <c r="P19" s="3" t="n">
        <f aca="false">ROUND(ABS('淡江大學-財務模擬案場_p2'!P45),0)</f>
        <v>290201</v>
      </c>
      <c r="Q19" s="3" t="n">
        <f aca="false">ROUND(ABS('淡江大學-財務模擬案場_p2'!Q45),0)</f>
        <v>290201</v>
      </c>
      <c r="R19" s="3" t="n">
        <f aca="false">ROUND(ABS('淡江大學-財務模擬案場_p2'!R45),0)</f>
        <v>290201</v>
      </c>
      <c r="S19" s="3" t="n">
        <f aca="false">ROUND(ABS('淡江大學-財務模擬案場_p2'!S45),0)</f>
        <v>290201</v>
      </c>
      <c r="T19" s="3" t="n">
        <f aca="false">ROUND(ABS('淡江大學-財務模擬案場_p2'!T45),0)</f>
        <v>290201</v>
      </c>
      <c r="U19" s="3" t="n">
        <f aca="false">ROUND(ABS('淡江大學-財務模擬案場_p2'!U45),0)</f>
        <v>290201</v>
      </c>
      <c r="V19" s="3" t="n">
        <f aca="false">ROUND(ABS('淡江大學-財務模擬案場_p2'!V45),0)</f>
        <v>290201</v>
      </c>
      <c r="W19" s="3" t="n">
        <f aca="false">ROUND(ABS('淡江大學-財務模擬案場_p2'!W45),0)</f>
        <v>290201</v>
      </c>
    </row>
    <row r="20" customFormat="false" ht="15" hidden="false" customHeight="true" outlineLevel="0" collapsed="false">
      <c r="B20" s="1" t="s">
        <v>2</v>
      </c>
      <c r="D20" s="3" t="n">
        <f aca="false">ROUND(ABS('淡江大學-財務模擬案場_p3'!D45),0)</f>
        <v>290201</v>
      </c>
      <c r="E20" s="3" t="n">
        <f aca="false">ROUND(ABS('淡江大學-財務模擬案場_p3'!E45),0)</f>
        <v>290201</v>
      </c>
      <c r="F20" s="3" t="n">
        <f aca="false">ROUND(ABS('淡江大學-財務模擬案場_p3'!F45),0)</f>
        <v>290201</v>
      </c>
      <c r="G20" s="3" t="n">
        <f aca="false">ROUND(ABS('淡江大學-財務模擬案場_p3'!G45),0)</f>
        <v>290201</v>
      </c>
      <c r="H20" s="3" t="n">
        <f aca="false">ROUND(ABS('淡江大學-財務模擬案場_p3'!H45),0)</f>
        <v>290201</v>
      </c>
      <c r="I20" s="3" t="n">
        <f aca="false">ROUND(ABS('淡江大學-財務模擬案場_p3'!I45),0)</f>
        <v>290201</v>
      </c>
      <c r="J20" s="3" t="n">
        <f aca="false">ROUND(ABS('淡江大學-財務模擬案場_p3'!J45),0)</f>
        <v>290201</v>
      </c>
      <c r="K20" s="3" t="n">
        <f aca="false">ROUND(ABS('淡江大學-財務模擬案場_p3'!K45),0)</f>
        <v>290201</v>
      </c>
      <c r="L20" s="3" t="n">
        <f aca="false">ROUND(ABS('淡江大學-財務模擬案場_p3'!L45),0)</f>
        <v>290201</v>
      </c>
      <c r="M20" s="3" t="n">
        <f aca="false">ROUND(ABS('淡江大學-財務模擬案場_p3'!M45),0)</f>
        <v>290201</v>
      </c>
      <c r="N20" s="3" t="n">
        <f aca="false">ROUND(ABS('淡江大學-財務模擬案場_p3'!N45),0)</f>
        <v>290201</v>
      </c>
      <c r="O20" s="3" t="n">
        <f aca="false">ROUND(ABS('淡江大學-財務模擬案場_p3'!O45),0)</f>
        <v>290201</v>
      </c>
      <c r="P20" s="3" t="n">
        <f aca="false">ROUND(ABS('淡江大學-財務模擬案場_p3'!P45),0)</f>
        <v>290201</v>
      </c>
      <c r="Q20" s="3" t="n">
        <f aca="false">ROUND(ABS('淡江大學-財務模擬案場_p3'!Q45),0)</f>
        <v>290201</v>
      </c>
      <c r="R20" s="3" t="n">
        <f aca="false">ROUND(ABS('淡江大學-財務模擬案場_p3'!R45),0)</f>
        <v>290201</v>
      </c>
      <c r="S20" s="3" t="n">
        <f aca="false">ROUND(ABS('淡江大學-財務模擬案場_p3'!S45),0)</f>
        <v>290201</v>
      </c>
      <c r="T20" s="3" t="n">
        <f aca="false">ROUND(ABS('淡江大學-財務模擬案場_p3'!T45),0)</f>
        <v>290201</v>
      </c>
      <c r="U20" s="3" t="n">
        <f aca="false">ROUND(ABS('淡江大學-財務模擬案場_p3'!U45),0)</f>
        <v>290201</v>
      </c>
      <c r="V20" s="3" t="n">
        <f aca="false">ROUND(ABS('淡江大學-財務模擬案場_p3'!V45),0)</f>
        <v>290201</v>
      </c>
      <c r="W20" s="3" t="n">
        <f aca="false">ROUND(ABS('淡江大學-財務模擬案場_p3'!W45),0)</f>
        <v>290201</v>
      </c>
    </row>
    <row r="21" customFormat="false" ht="15" hidden="false" customHeight="true" outlineLevel="0" collapsed="false">
      <c r="C21" s="8" t="s">
        <v>7</v>
      </c>
      <c r="D21" s="9" t="n">
        <f aca="false">SUM(D18:D20)</f>
        <v>870603</v>
      </c>
      <c r="E21" s="9" t="n">
        <f aca="false">SUM(E18:E20)</f>
        <v>870603</v>
      </c>
      <c r="F21" s="9" t="n">
        <f aca="false">SUM(F18:F20)</f>
        <v>870603</v>
      </c>
      <c r="G21" s="9" t="n">
        <f aca="false">SUM(G18:G20)</f>
        <v>870603</v>
      </c>
      <c r="H21" s="9" t="n">
        <f aca="false">SUM(H18:H20)</f>
        <v>870603</v>
      </c>
      <c r="I21" s="9" t="n">
        <f aca="false">SUM(I18:I20)</f>
        <v>870603</v>
      </c>
      <c r="J21" s="9" t="n">
        <f aca="false">SUM(J18:J20)</f>
        <v>870603</v>
      </c>
      <c r="K21" s="9" t="n">
        <f aca="false">SUM(K18:K20)</f>
        <v>870603</v>
      </c>
      <c r="L21" s="9" t="n">
        <f aca="false">SUM(L18:L20)</f>
        <v>870603</v>
      </c>
      <c r="M21" s="9" t="n">
        <f aca="false">SUM(M18:M20)</f>
        <v>870603</v>
      </c>
      <c r="N21" s="9" t="n">
        <f aca="false">SUM(N18:N20)</f>
        <v>870603</v>
      </c>
      <c r="O21" s="9" t="n">
        <f aca="false">SUM(O18:O20)</f>
        <v>870603</v>
      </c>
      <c r="P21" s="9" t="n">
        <f aca="false">SUM(P18:P20)</f>
        <v>870603</v>
      </c>
      <c r="Q21" s="9" t="n">
        <f aca="false">SUM(Q18:Q20)</f>
        <v>870603</v>
      </c>
      <c r="R21" s="9" t="n">
        <f aca="false">SUM(R18:R20)</f>
        <v>870603</v>
      </c>
      <c r="S21" s="9" t="n">
        <f aca="false">SUM(S18:S20)</f>
        <v>870603</v>
      </c>
      <c r="T21" s="9" t="n">
        <f aca="false">SUM(T18:T20)</f>
        <v>870603</v>
      </c>
      <c r="U21" s="9" t="n">
        <f aca="false">SUM(U18:U20)</f>
        <v>870603</v>
      </c>
      <c r="V21" s="9" t="n">
        <f aca="false">SUM(V18:V20)</f>
        <v>870603</v>
      </c>
      <c r="W21" s="9" t="n">
        <f aca="false">SUM(W18:W20)</f>
        <v>870603</v>
      </c>
    </row>
    <row r="22" customFormat="false" ht="15" hidden="false" customHeight="true" outlineLevel="0" collapsed="false">
      <c r="C22" s="2" t="s">
        <v>0</v>
      </c>
      <c r="D22" s="2" t="n">
        <v>2023</v>
      </c>
      <c r="E22" s="2" t="n">
        <v>2024</v>
      </c>
      <c r="F22" s="2" t="n">
        <v>2025</v>
      </c>
      <c r="G22" s="2" t="n">
        <v>2026</v>
      </c>
      <c r="H22" s="2" t="n">
        <v>2027</v>
      </c>
      <c r="I22" s="2" t="n">
        <v>2028</v>
      </c>
      <c r="J22" s="2" t="n">
        <v>2029</v>
      </c>
      <c r="K22" s="2" t="n">
        <v>2030</v>
      </c>
      <c r="L22" s="2" t="n">
        <v>2031</v>
      </c>
      <c r="M22" s="2" t="n">
        <v>2032</v>
      </c>
      <c r="N22" s="2" t="n">
        <v>2033</v>
      </c>
      <c r="O22" s="2" t="n">
        <v>2034</v>
      </c>
      <c r="P22" s="2" t="n">
        <v>2035</v>
      </c>
      <c r="Q22" s="2" t="n">
        <v>2036</v>
      </c>
      <c r="R22" s="2" t="n">
        <v>2037</v>
      </c>
      <c r="S22" s="2" t="n">
        <v>2038</v>
      </c>
      <c r="T22" s="2" t="n">
        <v>2039</v>
      </c>
      <c r="U22" s="2" t="n">
        <v>2040</v>
      </c>
      <c r="V22" s="2" t="n">
        <v>2041</v>
      </c>
      <c r="W22" s="2" t="n">
        <v>2042</v>
      </c>
    </row>
    <row r="23" customFormat="false" ht="15" hidden="false" customHeight="true" outlineLevel="0" collapsed="false">
      <c r="C23" s="1" t="s">
        <v>8</v>
      </c>
    </row>
    <row r="24" customFormat="false" ht="15" hidden="false" customHeight="true" outlineLevel="0" collapsed="false">
      <c r="B24" s="1" t="s">
        <v>2</v>
      </c>
      <c r="D24" s="3" t="n">
        <f aca="false">ROUND(ABS('淡江大學-財務模擬案場_p1'!D48),0)</f>
        <v>174440</v>
      </c>
      <c r="E24" s="3" t="n">
        <f aca="false">ROUND(ABS('淡江大學-財務模擬案場_p1'!E48),0)</f>
        <v>174440</v>
      </c>
      <c r="F24" s="3" t="n">
        <f aca="false">ROUND(ABS('淡江大學-財務模擬案場_p1'!F48),0)</f>
        <v>174440</v>
      </c>
      <c r="G24" s="3" t="n">
        <f aca="false">ROUND(ABS('淡江大學-財務模擬案場_p1'!G48),0)</f>
        <v>174440</v>
      </c>
      <c r="H24" s="3" t="n">
        <f aca="false">ROUND(ABS('淡江大學-財務模擬案場_p1'!H48),0)</f>
        <v>174440</v>
      </c>
      <c r="I24" s="3" t="n">
        <f aca="false">ROUND(ABS('淡江大學-財務模擬案場_p1'!I48),0)</f>
        <v>174440</v>
      </c>
      <c r="J24" s="3" t="n">
        <f aca="false">ROUND(ABS('淡江大學-財務模擬案場_p1'!J48),0)</f>
        <v>174440</v>
      </c>
      <c r="K24" s="3" t="n">
        <f aca="false">ROUND(ABS('淡江大學-財務模擬案場_p1'!K48),0)</f>
        <v>174440</v>
      </c>
      <c r="L24" s="3" t="n">
        <f aca="false">ROUND(ABS('淡江大學-財務模擬案場_p1'!L48),0)</f>
        <v>174440</v>
      </c>
      <c r="M24" s="3" t="n">
        <f aca="false">ROUND(ABS('淡江大學-財務模擬案場_p1'!M48),0)</f>
        <v>174440</v>
      </c>
      <c r="N24" s="3" t="n">
        <f aca="false">ROUND(ABS('淡江大學-財務模擬案場_p1'!N48),0)</f>
        <v>174440</v>
      </c>
      <c r="O24" s="3" t="n">
        <f aca="false">ROUND(ABS('淡江大學-財務模擬案場_p1'!O48),0)</f>
        <v>174440</v>
      </c>
      <c r="P24" s="3" t="n">
        <f aca="false">ROUND(ABS('淡江大學-財務模擬案場_p1'!P48),0)</f>
        <v>174440</v>
      </c>
      <c r="Q24" s="3" t="n">
        <f aca="false">ROUND(ABS('淡江大學-財務模擬案場_p1'!Q48),0)</f>
        <v>174440</v>
      </c>
      <c r="R24" s="3" t="n">
        <f aca="false">ROUND(ABS('淡江大學-財務模擬案場_p1'!R48),0)</f>
        <v>174440</v>
      </c>
      <c r="S24" s="3" t="n">
        <f aca="false">ROUND(ABS('淡江大學-財務模擬案場_p1'!S48),0)</f>
        <v>174440</v>
      </c>
      <c r="T24" s="3" t="n">
        <f aca="false">ROUND(ABS('淡江大學-財務模擬案場_p1'!T48),0)</f>
        <v>174440</v>
      </c>
      <c r="U24" s="3" t="n">
        <f aca="false">ROUND(ABS('淡江大學-財務模擬案場_p1'!U48),0)</f>
        <v>174440</v>
      </c>
      <c r="V24" s="3" t="n">
        <f aca="false">ROUND(ABS('淡江大學-財務模擬案場_p1'!V48),0)</f>
        <v>174440</v>
      </c>
      <c r="W24" s="3" t="n">
        <f aca="false">ROUND(ABS('淡江大學-財務模擬案場_p1'!W48),0)</f>
        <v>174440</v>
      </c>
    </row>
    <row r="25" customFormat="false" ht="15" hidden="false" customHeight="true" outlineLevel="0" collapsed="false">
      <c r="B25" s="1" t="s">
        <v>2</v>
      </c>
      <c r="D25" s="3" t="n">
        <f aca="false">ROUND(ABS('淡江大學-財務模擬案場_p2'!D48),0)</f>
        <v>174440</v>
      </c>
      <c r="E25" s="3" t="n">
        <f aca="false">ROUND(ABS('淡江大學-財務模擬案場_p2'!E48),0)</f>
        <v>174440</v>
      </c>
      <c r="F25" s="3" t="n">
        <f aca="false">ROUND(ABS('淡江大學-財務模擬案場_p2'!F48),0)</f>
        <v>174440</v>
      </c>
      <c r="G25" s="3" t="n">
        <f aca="false">ROUND(ABS('淡江大學-財務模擬案場_p2'!G48),0)</f>
        <v>174440</v>
      </c>
      <c r="H25" s="3" t="n">
        <f aca="false">ROUND(ABS('淡江大學-財務模擬案場_p2'!H48),0)</f>
        <v>174440</v>
      </c>
      <c r="I25" s="3" t="n">
        <f aca="false">ROUND(ABS('淡江大學-財務模擬案場_p2'!I48),0)</f>
        <v>174440</v>
      </c>
      <c r="J25" s="3" t="n">
        <f aca="false">ROUND(ABS('淡江大學-財務模擬案場_p2'!J48),0)</f>
        <v>174440</v>
      </c>
      <c r="K25" s="3" t="n">
        <f aca="false">ROUND(ABS('淡江大學-財務模擬案場_p2'!K48),0)</f>
        <v>174440</v>
      </c>
      <c r="L25" s="3" t="n">
        <f aca="false">ROUND(ABS('淡江大學-財務模擬案場_p2'!L48),0)</f>
        <v>174440</v>
      </c>
      <c r="M25" s="3" t="n">
        <f aca="false">ROUND(ABS('淡江大學-財務模擬案場_p2'!M48),0)</f>
        <v>174440</v>
      </c>
      <c r="N25" s="3" t="n">
        <f aca="false">ROUND(ABS('淡江大學-財務模擬案場_p2'!N48),0)</f>
        <v>174440</v>
      </c>
      <c r="O25" s="3" t="n">
        <f aca="false">ROUND(ABS('淡江大學-財務模擬案場_p2'!O48),0)</f>
        <v>174440</v>
      </c>
      <c r="P25" s="3" t="n">
        <f aca="false">ROUND(ABS('淡江大學-財務模擬案場_p2'!P48),0)</f>
        <v>174440</v>
      </c>
      <c r="Q25" s="3" t="n">
        <f aca="false">ROUND(ABS('淡江大學-財務模擬案場_p2'!Q48),0)</f>
        <v>174440</v>
      </c>
      <c r="R25" s="3" t="n">
        <f aca="false">ROUND(ABS('淡江大學-財務模擬案場_p2'!R48),0)</f>
        <v>174440</v>
      </c>
      <c r="S25" s="3" t="n">
        <f aca="false">ROUND(ABS('淡江大學-財務模擬案場_p2'!S48),0)</f>
        <v>174440</v>
      </c>
      <c r="T25" s="3" t="n">
        <f aca="false">ROUND(ABS('淡江大學-財務模擬案場_p2'!T48),0)</f>
        <v>174440</v>
      </c>
      <c r="U25" s="3" t="n">
        <f aca="false">ROUND(ABS('淡江大學-財務模擬案場_p2'!U48),0)</f>
        <v>174440</v>
      </c>
      <c r="V25" s="3" t="n">
        <f aca="false">ROUND(ABS('淡江大學-財務模擬案場_p2'!V48),0)</f>
        <v>174440</v>
      </c>
      <c r="W25" s="3" t="n">
        <f aca="false">ROUND(ABS('淡江大學-財務模擬案場_p2'!W48),0)</f>
        <v>174440</v>
      </c>
    </row>
    <row r="26" customFormat="false" ht="15" hidden="false" customHeight="true" outlineLevel="0" collapsed="false">
      <c r="B26" s="1" t="s">
        <v>2</v>
      </c>
      <c r="D26" s="3" t="n">
        <f aca="false">ROUND(ABS('淡江大學-財務模擬案場_p3'!D48),0)</f>
        <v>174440</v>
      </c>
      <c r="E26" s="3" t="n">
        <f aca="false">ROUND(ABS('淡江大學-財務模擬案場_p3'!E48),0)</f>
        <v>174440</v>
      </c>
      <c r="F26" s="3" t="n">
        <f aca="false">ROUND(ABS('淡江大學-財務模擬案場_p3'!F48),0)</f>
        <v>174440</v>
      </c>
      <c r="G26" s="3" t="n">
        <f aca="false">ROUND(ABS('淡江大學-財務模擬案場_p3'!G48),0)</f>
        <v>174440</v>
      </c>
      <c r="H26" s="3" t="n">
        <f aca="false">ROUND(ABS('淡江大學-財務模擬案場_p3'!H48),0)</f>
        <v>174440</v>
      </c>
      <c r="I26" s="3" t="n">
        <f aca="false">ROUND(ABS('淡江大學-財務模擬案場_p3'!I48),0)</f>
        <v>174440</v>
      </c>
      <c r="J26" s="3" t="n">
        <f aca="false">ROUND(ABS('淡江大學-財務模擬案場_p3'!J48),0)</f>
        <v>174440</v>
      </c>
      <c r="K26" s="3" t="n">
        <f aca="false">ROUND(ABS('淡江大學-財務模擬案場_p3'!K48),0)</f>
        <v>174440</v>
      </c>
      <c r="L26" s="3" t="n">
        <f aca="false">ROUND(ABS('淡江大學-財務模擬案場_p3'!L48),0)</f>
        <v>174440</v>
      </c>
      <c r="M26" s="3" t="n">
        <f aca="false">ROUND(ABS('淡江大學-財務模擬案場_p3'!M48),0)</f>
        <v>174440</v>
      </c>
      <c r="N26" s="3" t="n">
        <f aca="false">ROUND(ABS('淡江大學-財務模擬案場_p3'!N48),0)</f>
        <v>174440</v>
      </c>
      <c r="O26" s="3" t="n">
        <f aca="false">ROUND(ABS('淡江大學-財務模擬案場_p3'!O48),0)</f>
        <v>174440</v>
      </c>
      <c r="P26" s="3" t="n">
        <f aca="false">ROUND(ABS('淡江大學-財務模擬案場_p3'!P48),0)</f>
        <v>174440</v>
      </c>
      <c r="Q26" s="3" t="n">
        <f aca="false">ROUND(ABS('淡江大學-財務模擬案場_p3'!Q48),0)</f>
        <v>174440</v>
      </c>
      <c r="R26" s="3" t="n">
        <f aca="false">ROUND(ABS('淡江大學-財務模擬案場_p3'!R48),0)</f>
        <v>174440</v>
      </c>
      <c r="S26" s="3" t="n">
        <f aca="false">ROUND(ABS('淡江大學-財務模擬案場_p3'!S48),0)</f>
        <v>174440</v>
      </c>
      <c r="T26" s="3" t="n">
        <f aca="false">ROUND(ABS('淡江大學-財務模擬案場_p3'!T48),0)</f>
        <v>174440</v>
      </c>
      <c r="U26" s="3" t="n">
        <f aca="false">ROUND(ABS('淡江大學-財務模擬案場_p3'!U48),0)</f>
        <v>174440</v>
      </c>
      <c r="V26" s="3" t="n">
        <f aca="false">ROUND(ABS('淡江大學-財務模擬案場_p3'!V48),0)</f>
        <v>174440</v>
      </c>
      <c r="W26" s="3" t="n">
        <f aca="false">ROUND(ABS('淡江大學-財務模擬案場_p3'!W48),0)</f>
        <v>174440</v>
      </c>
    </row>
    <row r="27" customFormat="false" ht="15" hidden="false" customHeight="true" outlineLevel="0" collapsed="false">
      <c r="C27" s="10" t="s">
        <v>9</v>
      </c>
      <c r="D27" s="11" t="n">
        <f aca="false">SUM(D24:D26)</f>
        <v>523320</v>
      </c>
      <c r="E27" s="11" t="n">
        <f aca="false">SUM(E24:E26)</f>
        <v>523320</v>
      </c>
      <c r="F27" s="11" t="n">
        <f aca="false">SUM(F24:F26)</f>
        <v>523320</v>
      </c>
      <c r="G27" s="11" t="n">
        <f aca="false">SUM(G24:G26)</f>
        <v>523320</v>
      </c>
      <c r="H27" s="11" t="n">
        <f aca="false">SUM(H24:H26)</f>
        <v>523320</v>
      </c>
      <c r="I27" s="11" t="n">
        <f aca="false">SUM(I24:I26)</f>
        <v>523320</v>
      </c>
      <c r="J27" s="11" t="n">
        <f aca="false">SUM(J24:J26)</f>
        <v>523320</v>
      </c>
      <c r="K27" s="11" t="n">
        <f aca="false">SUM(K24:K26)</f>
        <v>523320</v>
      </c>
      <c r="L27" s="11" t="n">
        <f aca="false">SUM(L24:L26)</f>
        <v>523320</v>
      </c>
      <c r="M27" s="11" t="n">
        <f aca="false">SUM(M24:M26)</f>
        <v>523320</v>
      </c>
      <c r="N27" s="11" t="n">
        <f aca="false">SUM(N24:N26)</f>
        <v>523320</v>
      </c>
      <c r="O27" s="11" t="n">
        <f aca="false">SUM(O24:O26)</f>
        <v>523320</v>
      </c>
      <c r="P27" s="11" t="n">
        <f aca="false">SUM(P24:P26)</f>
        <v>523320</v>
      </c>
      <c r="Q27" s="11" t="n">
        <f aca="false">SUM(Q24:Q26)</f>
        <v>523320</v>
      </c>
      <c r="R27" s="11" t="n">
        <f aca="false">SUM(R24:R26)</f>
        <v>523320</v>
      </c>
      <c r="S27" s="11" t="n">
        <f aca="false">SUM(S24:S26)</f>
        <v>523320</v>
      </c>
      <c r="T27" s="11" t="n">
        <f aca="false">SUM(T24:T26)</f>
        <v>523320</v>
      </c>
      <c r="U27" s="11" t="n">
        <f aca="false">SUM(U24:U26)</f>
        <v>523320</v>
      </c>
      <c r="V27" s="11" t="n">
        <f aca="false">SUM(V24:V26)</f>
        <v>523320</v>
      </c>
      <c r="W27" s="11" t="n">
        <f aca="false">SUM(W24:W26)</f>
        <v>523320</v>
      </c>
    </row>
    <row r="28" customFormat="false" ht="15" hidden="false" customHeight="true" outlineLevel="0" collapsed="false">
      <c r="C28" s="2" t="s">
        <v>0</v>
      </c>
      <c r="D28" s="2" t="n">
        <v>2023</v>
      </c>
      <c r="E28" s="2" t="n">
        <v>2024</v>
      </c>
      <c r="F28" s="2" t="n">
        <v>2025</v>
      </c>
      <c r="G28" s="2" t="n">
        <v>2026</v>
      </c>
      <c r="H28" s="2" t="n">
        <v>2027</v>
      </c>
      <c r="I28" s="2" t="n">
        <v>2028</v>
      </c>
      <c r="J28" s="2" t="n">
        <v>2029</v>
      </c>
      <c r="K28" s="2" t="n">
        <v>2030</v>
      </c>
      <c r="L28" s="2" t="n">
        <v>2031</v>
      </c>
      <c r="M28" s="2" t="n">
        <v>2032</v>
      </c>
      <c r="N28" s="2" t="n">
        <v>2033</v>
      </c>
      <c r="O28" s="2" t="n">
        <v>2034</v>
      </c>
      <c r="P28" s="2" t="n">
        <v>2035</v>
      </c>
      <c r="Q28" s="2" t="n">
        <v>2036</v>
      </c>
      <c r="R28" s="2" t="n">
        <v>2037</v>
      </c>
      <c r="S28" s="2" t="n">
        <v>2038</v>
      </c>
      <c r="T28" s="2" t="n">
        <v>2039</v>
      </c>
      <c r="U28" s="2" t="n">
        <v>2040</v>
      </c>
      <c r="V28" s="2" t="n">
        <v>2041</v>
      </c>
      <c r="W28" s="2" t="n">
        <v>2042</v>
      </c>
    </row>
    <row r="29" customFormat="false" ht="15" hidden="false" customHeight="true" outlineLevel="0" collapsed="false">
      <c r="C29" s="1" t="s">
        <v>10</v>
      </c>
    </row>
    <row r="30" customFormat="false" ht="15" hidden="false" customHeight="true" outlineLevel="0" collapsed="false">
      <c r="B30" s="1" t="s">
        <v>2</v>
      </c>
      <c r="D30" s="3" t="n">
        <f aca="false">ROUND(ABS('淡江大學-財務模擬案場_p1'!D49),0)</f>
        <v>45791</v>
      </c>
      <c r="E30" s="3" t="n">
        <f aca="false">ROUND(ABS('淡江大學-財務模擬案場_p1'!E49),0)</f>
        <v>45791</v>
      </c>
      <c r="F30" s="3" t="n">
        <f aca="false">ROUND(ABS('淡江大學-財務模擬案場_p1'!F49),0)</f>
        <v>45791</v>
      </c>
      <c r="G30" s="3" t="n">
        <f aca="false">ROUND(ABS('淡江大學-財務模擬案場_p1'!G49),0)</f>
        <v>45791</v>
      </c>
      <c r="H30" s="3" t="n">
        <f aca="false">ROUND(ABS('淡江大學-財務模擬案場_p1'!H49),0)</f>
        <v>45791</v>
      </c>
      <c r="I30" s="3" t="n">
        <f aca="false">ROUND(ABS('淡江大學-財務模擬案場_p1'!I49),0)</f>
        <v>45791</v>
      </c>
      <c r="J30" s="3" t="n">
        <f aca="false">ROUND(ABS('淡江大學-財務模擬案場_p1'!J49),0)</f>
        <v>45791</v>
      </c>
      <c r="K30" s="3" t="n">
        <f aca="false">ROUND(ABS('淡江大學-財務模擬案場_p1'!K49),0)</f>
        <v>45791</v>
      </c>
      <c r="L30" s="3" t="n">
        <f aca="false">ROUND(ABS('淡江大學-財務模擬案場_p1'!L49),0)</f>
        <v>45791</v>
      </c>
      <c r="M30" s="3" t="n">
        <f aca="false">ROUND(ABS('淡江大學-財務模擬案場_p1'!M49),0)</f>
        <v>45791</v>
      </c>
      <c r="N30" s="3" t="n">
        <f aca="false">ROUND(ABS('淡江大學-財務模擬案場_p1'!N49),0)</f>
        <v>45791</v>
      </c>
      <c r="O30" s="3" t="n">
        <f aca="false">ROUND(ABS('淡江大學-財務模擬案場_p1'!O49),0)</f>
        <v>45791</v>
      </c>
      <c r="P30" s="3" t="n">
        <f aca="false">ROUND(ABS('淡江大學-財務模擬案場_p1'!P49),0)</f>
        <v>45791</v>
      </c>
      <c r="Q30" s="3" t="n">
        <f aca="false">ROUND(ABS('淡江大學-財務模擬案場_p1'!Q49),0)</f>
        <v>45791</v>
      </c>
      <c r="R30" s="3" t="n">
        <f aca="false">ROUND(ABS('淡江大學-財務模擬案場_p1'!R49),0)</f>
        <v>45791</v>
      </c>
      <c r="S30" s="3" t="n">
        <f aca="false">ROUND(ABS('淡江大學-財務模擬案場_p1'!S49),0)</f>
        <v>45791</v>
      </c>
      <c r="T30" s="3" t="n">
        <f aca="false">ROUND(ABS('淡江大學-財務模擬案場_p1'!T49),0)</f>
        <v>45791</v>
      </c>
      <c r="U30" s="3" t="n">
        <f aca="false">ROUND(ABS('淡江大學-財務模擬案場_p1'!U49),0)</f>
        <v>45791</v>
      </c>
      <c r="V30" s="3" t="n">
        <f aca="false">ROUND(ABS('淡江大學-財務模擬案場_p1'!V49),0)</f>
        <v>45791</v>
      </c>
      <c r="W30" s="3" t="n">
        <f aca="false">ROUND(ABS('淡江大學-財務模擬案場_p1'!W49),0)</f>
        <v>45791</v>
      </c>
    </row>
    <row r="31" customFormat="false" ht="15" hidden="false" customHeight="true" outlineLevel="0" collapsed="false">
      <c r="B31" s="1" t="s">
        <v>2</v>
      </c>
      <c r="D31" s="3" t="n">
        <f aca="false">ROUND(ABS('淡江大學-財務模擬案場_p2'!D49),0)</f>
        <v>43174</v>
      </c>
      <c r="E31" s="3" t="n">
        <f aca="false">ROUND(ABS('淡江大學-財務模擬案場_p2'!E49),0)</f>
        <v>43174</v>
      </c>
      <c r="F31" s="3" t="n">
        <f aca="false">ROUND(ABS('淡江大學-財務模擬案場_p2'!F49),0)</f>
        <v>43174</v>
      </c>
      <c r="G31" s="3" t="n">
        <f aca="false">ROUND(ABS('淡江大學-財務模擬案場_p2'!G49),0)</f>
        <v>43174</v>
      </c>
      <c r="H31" s="3" t="n">
        <f aca="false">ROUND(ABS('淡江大學-財務模擬案場_p2'!H49),0)</f>
        <v>43174</v>
      </c>
      <c r="I31" s="3" t="n">
        <f aca="false">ROUND(ABS('淡江大學-財務模擬案場_p2'!I49),0)</f>
        <v>43174</v>
      </c>
      <c r="J31" s="3" t="n">
        <f aca="false">ROUND(ABS('淡江大學-財務模擬案場_p2'!J49),0)</f>
        <v>43174</v>
      </c>
      <c r="K31" s="3" t="n">
        <f aca="false">ROUND(ABS('淡江大學-財務模擬案場_p2'!K49),0)</f>
        <v>43174</v>
      </c>
      <c r="L31" s="3" t="n">
        <f aca="false">ROUND(ABS('淡江大學-財務模擬案場_p2'!L49),0)</f>
        <v>43174</v>
      </c>
      <c r="M31" s="3" t="n">
        <f aca="false">ROUND(ABS('淡江大學-財務模擬案場_p2'!M49),0)</f>
        <v>43174</v>
      </c>
      <c r="N31" s="3" t="n">
        <f aca="false">ROUND(ABS('淡江大學-財務模擬案場_p2'!N49),0)</f>
        <v>43174</v>
      </c>
      <c r="O31" s="3" t="n">
        <f aca="false">ROUND(ABS('淡江大學-財務模擬案場_p2'!O49),0)</f>
        <v>43174</v>
      </c>
      <c r="P31" s="3" t="n">
        <f aca="false">ROUND(ABS('淡江大學-財務模擬案場_p2'!P49),0)</f>
        <v>43174</v>
      </c>
      <c r="Q31" s="3" t="n">
        <f aca="false">ROUND(ABS('淡江大學-財務模擬案場_p2'!Q49),0)</f>
        <v>43174</v>
      </c>
      <c r="R31" s="3" t="n">
        <f aca="false">ROUND(ABS('淡江大學-財務模擬案場_p2'!R49),0)</f>
        <v>43174</v>
      </c>
      <c r="S31" s="3" t="n">
        <f aca="false">ROUND(ABS('淡江大學-財務模擬案場_p2'!S49),0)</f>
        <v>43174</v>
      </c>
      <c r="T31" s="3" t="n">
        <f aca="false">ROUND(ABS('淡江大學-財務模擬案場_p2'!T49),0)</f>
        <v>43174</v>
      </c>
      <c r="U31" s="3" t="n">
        <f aca="false">ROUND(ABS('淡江大學-財務模擬案場_p2'!U49),0)</f>
        <v>43174</v>
      </c>
      <c r="V31" s="3" t="n">
        <f aca="false">ROUND(ABS('淡江大學-財務模擬案場_p2'!V49),0)</f>
        <v>43174</v>
      </c>
      <c r="W31" s="3" t="n">
        <f aca="false">ROUND(ABS('淡江大學-財務模擬案場_p2'!W49),0)</f>
        <v>43174</v>
      </c>
    </row>
    <row r="32" customFormat="false" ht="15" hidden="false" customHeight="true" outlineLevel="0" collapsed="false">
      <c r="B32" s="1" t="s">
        <v>2</v>
      </c>
      <c r="D32" s="3" t="n">
        <f aca="false">ROUND(ABS('淡江大學-財務模擬案場_p3'!D49),0)</f>
        <v>40557</v>
      </c>
      <c r="E32" s="3" t="n">
        <f aca="false">ROUND(ABS('淡江大學-財務模擬案場_p3'!E49),0)</f>
        <v>40557</v>
      </c>
      <c r="F32" s="3" t="n">
        <f aca="false">ROUND(ABS('淡江大學-財務模擬案場_p3'!F49),0)</f>
        <v>40557</v>
      </c>
      <c r="G32" s="3" t="n">
        <f aca="false">ROUND(ABS('淡江大學-財務模擬案場_p3'!G49),0)</f>
        <v>40557</v>
      </c>
      <c r="H32" s="3" t="n">
        <f aca="false">ROUND(ABS('淡江大學-財務模擬案場_p3'!H49),0)</f>
        <v>40557</v>
      </c>
      <c r="I32" s="3" t="n">
        <f aca="false">ROUND(ABS('淡江大學-財務模擬案場_p3'!I49),0)</f>
        <v>40557</v>
      </c>
      <c r="J32" s="3" t="n">
        <f aca="false">ROUND(ABS('淡江大學-財務模擬案場_p3'!J49),0)</f>
        <v>40557</v>
      </c>
      <c r="K32" s="3" t="n">
        <f aca="false">ROUND(ABS('淡江大學-財務模擬案場_p3'!K49),0)</f>
        <v>40557</v>
      </c>
      <c r="L32" s="3" t="n">
        <f aca="false">ROUND(ABS('淡江大學-財務模擬案場_p3'!L49),0)</f>
        <v>40557</v>
      </c>
      <c r="M32" s="3" t="n">
        <f aca="false">ROUND(ABS('淡江大學-財務模擬案場_p3'!M49),0)</f>
        <v>40557</v>
      </c>
      <c r="N32" s="3" t="n">
        <f aca="false">ROUND(ABS('淡江大學-財務模擬案場_p3'!N49),0)</f>
        <v>40557</v>
      </c>
      <c r="O32" s="3" t="n">
        <f aca="false">ROUND(ABS('淡江大學-財務模擬案場_p3'!O49),0)</f>
        <v>40557</v>
      </c>
      <c r="P32" s="3" t="n">
        <f aca="false">ROUND(ABS('淡江大學-財務模擬案場_p3'!P49),0)</f>
        <v>40557</v>
      </c>
      <c r="Q32" s="3" t="n">
        <f aca="false">ROUND(ABS('淡江大學-財務模擬案場_p3'!Q49),0)</f>
        <v>40557</v>
      </c>
      <c r="R32" s="3" t="n">
        <f aca="false">ROUND(ABS('淡江大學-財務模擬案場_p3'!R49),0)</f>
        <v>40557</v>
      </c>
      <c r="S32" s="3" t="n">
        <f aca="false">ROUND(ABS('淡江大學-財務模擬案場_p3'!S49),0)</f>
        <v>40557</v>
      </c>
      <c r="T32" s="3" t="n">
        <f aca="false">ROUND(ABS('淡江大學-財務模擬案場_p3'!T49),0)</f>
        <v>40557</v>
      </c>
      <c r="U32" s="3" t="n">
        <f aca="false">ROUND(ABS('淡江大學-財務模擬案場_p3'!U49),0)</f>
        <v>40557</v>
      </c>
      <c r="V32" s="3" t="n">
        <f aca="false">ROUND(ABS('淡江大學-財務模擬案場_p3'!V49),0)</f>
        <v>40557</v>
      </c>
      <c r="W32" s="3" t="n">
        <f aca="false">ROUND(ABS('淡江大學-財務模擬案場_p3'!W49),0)</f>
        <v>40557</v>
      </c>
    </row>
    <row r="33" customFormat="false" ht="15" hidden="false" customHeight="true" outlineLevel="0" collapsed="false">
      <c r="C33" s="12" t="s">
        <v>11</v>
      </c>
      <c r="D33" s="13" t="n">
        <f aca="false">SUM(D30:D32)</f>
        <v>129522</v>
      </c>
      <c r="E33" s="13" t="n">
        <f aca="false">SUM(E30:E32)</f>
        <v>129522</v>
      </c>
      <c r="F33" s="13" t="n">
        <f aca="false">SUM(F30:F32)</f>
        <v>129522</v>
      </c>
      <c r="G33" s="13" t="n">
        <f aca="false">SUM(G30:G32)</f>
        <v>129522</v>
      </c>
      <c r="H33" s="13" t="n">
        <f aca="false">SUM(H30:H32)</f>
        <v>129522</v>
      </c>
      <c r="I33" s="13" t="n">
        <f aca="false">SUM(I30:I32)</f>
        <v>129522</v>
      </c>
      <c r="J33" s="13" t="n">
        <f aca="false">SUM(J30:J32)</f>
        <v>129522</v>
      </c>
      <c r="K33" s="13" t="n">
        <f aca="false">SUM(K30:K32)</f>
        <v>129522</v>
      </c>
      <c r="L33" s="13" t="n">
        <f aca="false">SUM(L30:L32)</f>
        <v>129522</v>
      </c>
      <c r="M33" s="13" t="n">
        <f aca="false">SUM(M30:M32)</f>
        <v>129522</v>
      </c>
      <c r="N33" s="13" t="n">
        <f aca="false">SUM(N30:N32)</f>
        <v>129522</v>
      </c>
      <c r="O33" s="13" t="n">
        <f aca="false">SUM(O30:O32)</f>
        <v>129522</v>
      </c>
      <c r="P33" s="13" t="n">
        <f aca="false">SUM(P30:P32)</f>
        <v>129522</v>
      </c>
      <c r="Q33" s="13" t="n">
        <f aca="false">SUM(Q30:Q32)</f>
        <v>129522</v>
      </c>
      <c r="R33" s="13" t="n">
        <f aca="false">SUM(R30:R32)</f>
        <v>129522</v>
      </c>
      <c r="S33" s="13" t="n">
        <f aca="false">SUM(S30:S32)</f>
        <v>129522</v>
      </c>
      <c r="T33" s="13" t="n">
        <f aca="false">SUM(T30:T32)</f>
        <v>129522</v>
      </c>
      <c r="U33" s="13" t="n">
        <f aca="false">SUM(U30:U32)</f>
        <v>129522</v>
      </c>
      <c r="V33" s="13" t="n">
        <f aca="false">SUM(V30:V32)</f>
        <v>129522</v>
      </c>
      <c r="W33" s="13" t="n">
        <f aca="false">SUM(W30:W32)</f>
        <v>129522</v>
      </c>
    </row>
    <row r="34" customFormat="false" ht="15" hidden="false" customHeight="true" outlineLevel="0" collapsed="false">
      <c r="C34" s="2" t="s">
        <v>0</v>
      </c>
      <c r="D34" s="2" t="n">
        <v>2023</v>
      </c>
      <c r="E34" s="2" t="n">
        <v>2024</v>
      </c>
      <c r="F34" s="2" t="n">
        <v>2025</v>
      </c>
      <c r="G34" s="2" t="n">
        <v>2026</v>
      </c>
      <c r="H34" s="2" t="n">
        <v>2027</v>
      </c>
      <c r="I34" s="2" t="n">
        <v>2028</v>
      </c>
      <c r="J34" s="2" t="n">
        <v>2029</v>
      </c>
      <c r="K34" s="2" t="n">
        <v>2030</v>
      </c>
      <c r="L34" s="2" t="n">
        <v>2031</v>
      </c>
      <c r="M34" s="2" t="n">
        <v>2032</v>
      </c>
      <c r="N34" s="2" t="n">
        <v>2033</v>
      </c>
      <c r="O34" s="2" t="n">
        <v>2034</v>
      </c>
      <c r="P34" s="2" t="n">
        <v>2035</v>
      </c>
      <c r="Q34" s="2" t="n">
        <v>2036</v>
      </c>
      <c r="R34" s="2" t="n">
        <v>2037</v>
      </c>
      <c r="S34" s="2" t="n">
        <v>2038</v>
      </c>
      <c r="T34" s="2" t="n">
        <v>2039</v>
      </c>
      <c r="U34" s="2" t="n">
        <v>2040</v>
      </c>
      <c r="V34" s="2" t="n">
        <v>2041</v>
      </c>
      <c r="W34" s="2" t="n">
        <v>2042</v>
      </c>
    </row>
    <row r="35" customFormat="false" ht="15" hidden="false" customHeight="true" outlineLevel="0" collapsed="false">
      <c r="C35" s="1" t="s">
        <v>12</v>
      </c>
    </row>
    <row r="36" customFormat="false" ht="15" hidden="false" customHeight="true" outlineLevel="0" collapsed="false">
      <c r="B36" s="1" t="s">
        <v>2</v>
      </c>
      <c r="D36" s="3" t="n">
        <f aca="false">ROUND(ABS('淡江大學-財務模擬案場_p1'!D50),0)</f>
        <v>43610</v>
      </c>
      <c r="E36" s="3" t="n">
        <f aca="false">ROUND(ABS('淡江大學-財務模擬案場_p1'!E50),0)</f>
        <v>43610</v>
      </c>
      <c r="F36" s="3" t="n">
        <f aca="false">ROUND(ABS('淡江大學-財務模擬案場_p1'!F50),0)</f>
        <v>43610</v>
      </c>
      <c r="G36" s="3" t="n">
        <f aca="false">ROUND(ABS('淡江大學-財務模擬案場_p1'!G50),0)</f>
        <v>43610</v>
      </c>
      <c r="H36" s="3" t="n">
        <f aca="false">ROUND(ABS('淡江大學-財務模擬案場_p1'!H50),0)</f>
        <v>43610</v>
      </c>
      <c r="I36" s="3" t="n">
        <f aca="false">ROUND(ABS('淡江大學-財務模擬案場_p1'!I50),0)</f>
        <v>43610</v>
      </c>
      <c r="J36" s="3" t="n">
        <f aca="false">ROUND(ABS('淡江大學-財務模擬案場_p1'!J50),0)</f>
        <v>43610</v>
      </c>
      <c r="K36" s="3" t="n">
        <f aca="false">ROUND(ABS('淡江大學-財務模擬案場_p1'!K50),0)</f>
        <v>43610</v>
      </c>
      <c r="L36" s="3" t="n">
        <f aca="false">ROUND(ABS('淡江大學-財務模擬案場_p1'!L50),0)</f>
        <v>43610</v>
      </c>
      <c r="M36" s="3" t="n">
        <f aca="false">ROUND(ABS('淡江大學-財務模擬案場_p1'!M50),0)</f>
        <v>43610</v>
      </c>
      <c r="N36" s="3" t="n">
        <f aca="false">ROUND(ABS('淡江大學-財務模擬案場_p1'!N50),0)</f>
        <v>0</v>
      </c>
      <c r="O36" s="3" t="n">
        <f aca="false">ROUND(ABS('淡江大學-財務模擬案場_p1'!O50),0)</f>
        <v>0</v>
      </c>
      <c r="P36" s="3" t="n">
        <f aca="false">ROUND(ABS('淡江大學-財務模擬案場_p1'!P50),0)</f>
        <v>0</v>
      </c>
      <c r="Q36" s="3" t="n">
        <f aca="false">ROUND(ABS('淡江大學-財務模擬案場_p1'!Q50),0)</f>
        <v>0</v>
      </c>
      <c r="R36" s="3" t="n">
        <f aca="false">ROUND(ABS('淡江大學-財務模擬案場_p1'!R50),0)</f>
        <v>0</v>
      </c>
      <c r="S36" s="3" t="n">
        <f aca="false">ROUND(ABS('淡江大學-財務模擬案場_p1'!S50),0)</f>
        <v>0</v>
      </c>
      <c r="T36" s="3" t="n">
        <f aca="false">ROUND(ABS('淡江大學-財務模擬案場_p1'!T50),0)</f>
        <v>0</v>
      </c>
      <c r="U36" s="3" t="n">
        <f aca="false">ROUND(ABS('淡江大學-財務模擬案場_p1'!U50),0)</f>
        <v>0</v>
      </c>
      <c r="V36" s="3" t="n">
        <f aca="false">ROUND(ABS('淡江大學-財務模擬案場_p1'!V50),0)</f>
        <v>0</v>
      </c>
      <c r="W36" s="3" t="n">
        <f aca="false">ROUND(ABS('淡江大學-財務模擬案場_p1'!W50),0)</f>
        <v>0</v>
      </c>
    </row>
    <row r="37" customFormat="false" ht="15" hidden="false" customHeight="true" outlineLevel="0" collapsed="false">
      <c r="B37" s="1" t="s">
        <v>2</v>
      </c>
      <c r="D37" s="3" t="n">
        <f aca="false">ROUND(ABS('淡江大學-財務模擬案場_p2'!D50),0)</f>
        <v>43610</v>
      </c>
      <c r="E37" s="3" t="n">
        <f aca="false">ROUND(ABS('淡江大學-財務模擬案場_p2'!E50),0)</f>
        <v>43610</v>
      </c>
      <c r="F37" s="3" t="n">
        <f aca="false">ROUND(ABS('淡江大學-財務模擬案場_p2'!F50),0)</f>
        <v>43610</v>
      </c>
      <c r="G37" s="3" t="n">
        <f aca="false">ROUND(ABS('淡江大學-財務模擬案場_p2'!G50),0)</f>
        <v>43610</v>
      </c>
      <c r="H37" s="3" t="n">
        <f aca="false">ROUND(ABS('淡江大學-財務模擬案場_p2'!H50),0)</f>
        <v>43610</v>
      </c>
      <c r="I37" s="3" t="n">
        <f aca="false">ROUND(ABS('淡江大學-財務模擬案場_p2'!I50),0)</f>
        <v>43610</v>
      </c>
      <c r="J37" s="3" t="n">
        <f aca="false">ROUND(ABS('淡江大學-財務模擬案場_p2'!J50),0)</f>
        <v>43610</v>
      </c>
      <c r="K37" s="3" t="n">
        <f aca="false">ROUND(ABS('淡江大學-財務模擬案場_p2'!K50),0)</f>
        <v>43610</v>
      </c>
      <c r="L37" s="3" t="n">
        <f aca="false">ROUND(ABS('淡江大學-財務模擬案場_p2'!L50),0)</f>
        <v>43610</v>
      </c>
      <c r="M37" s="3" t="n">
        <f aca="false">ROUND(ABS('淡江大學-財務模擬案場_p2'!M50),0)</f>
        <v>43610</v>
      </c>
      <c r="N37" s="3" t="n">
        <f aca="false">ROUND(ABS('淡江大學-財務模擬案場_p2'!N50),0)</f>
        <v>0</v>
      </c>
      <c r="O37" s="3" t="n">
        <f aca="false">ROUND(ABS('淡江大學-財務模擬案場_p2'!O50),0)</f>
        <v>0</v>
      </c>
      <c r="P37" s="3" t="n">
        <f aca="false">ROUND(ABS('淡江大學-財務模擬案場_p2'!P50),0)</f>
        <v>0</v>
      </c>
      <c r="Q37" s="3" t="n">
        <f aca="false">ROUND(ABS('淡江大學-財務模擬案場_p2'!Q50),0)</f>
        <v>0</v>
      </c>
      <c r="R37" s="3" t="n">
        <f aca="false">ROUND(ABS('淡江大學-財務模擬案場_p2'!R50),0)</f>
        <v>0</v>
      </c>
      <c r="S37" s="3" t="n">
        <f aca="false">ROUND(ABS('淡江大學-財務模擬案場_p2'!S50),0)</f>
        <v>0</v>
      </c>
      <c r="T37" s="3" t="n">
        <f aca="false">ROUND(ABS('淡江大學-財務模擬案場_p2'!T50),0)</f>
        <v>0</v>
      </c>
      <c r="U37" s="3" t="n">
        <f aca="false">ROUND(ABS('淡江大學-財務模擬案場_p2'!U50),0)</f>
        <v>0</v>
      </c>
      <c r="V37" s="3" t="n">
        <f aca="false">ROUND(ABS('淡江大學-財務模擬案場_p2'!V50),0)</f>
        <v>0</v>
      </c>
      <c r="W37" s="3" t="n">
        <f aca="false">ROUND(ABS('淡江大學-財務模擬案場_p2'!W50),0)</f>
        <v>0</v>
      </c>
    </row>
    <row r="38" customFormat="false" ht="15" hidden="false" customHeight="true" outlineLevel="0" collapsed="false">
      <c r="B38" s="1" t="s">
        <v>2</v>
      </c>
      <c r="D38" s="3" t="n">
        <f aca="false">ROUND(ABS('淡江大學-財務模擬案場_p3'!D50),0)</f>
        <v>43610</v>
      </c>
      <c r="E38" s="3" t="n">
        <f aca="false">ROUND(ABS('淡江大學-財務模擬案場_p3'!E50),0)</f>
        <v>43610</v>
      </c>
      <c r="F38" s="3" t="n">
        <f aca="false">ROUND(ABS('淡江大學-財務模擬案場_p3'!F50),0)</f>
        <v>43610</v>
      </c>
      <c r="G38" s="3" t="n">
        <f aca="false">ROUND(ABS('淡江大學-財務模擬案場_p3'!G50),0)</f>
        <v>43610</v>
      </c>
      <c r="H38" s="3" t="n">
        <f aca="false">ROUND(ABS('淡江大學-財務模擬案場_p3'!H50),0)</f>
        <v>43610</v>
      </c>
      <c r="I38" s="3" t="n">
        <f aca="false">ROUND(ABS('淡江大學-財務模擬案場_p3'!I50),0)</f>
        <v>43610</v>
      </c>
      <c r="J38" s="3" t="n">
        <f aca="false">ROUND(ABS('淡江大學-財務模擬案場_p3'!J50),0)</f>
        <v>43610</v>
      </c>
      <c r="K38" s="3" t="n">
        <f aca="false">ROUND(ABS('淡江大學-財務模擬案場_p3'!K50),0)</f>
        <v>43610</v>
      </c>
      <c r="L38" s="3" t="n">
        <f aca="false">ROUND(ABS('淡江大學-財務模擬案場_p3'!L50),0)</f>
        <v>43610</v>
      </c>
      <c r="M38" s="3" t="n">
        <f aca="false">ROUND(ABS('淡江大學-財務模擬案場_p3'!M50),0)</f>
        <v>43610</v>
      </c>
      <c r="N38" s="3" t="n">
        <f aca="false">ROUND(ABS('淡江大學-財務模擬案場_p3'!N50),0)</f>
        <v>0</v>
      </c>
      <c r="O38" s="3" t="n">
        <f aca="false">ROUND(ABS('淡江大學-財務模擬案場_p3'!O50),0)</f>
        <v>0</v>
      </c>
      <c r="P38" s="3" t="n">
        <f aca="false">ROUND(ABS('淡江大學-財務模擬案場_p3'!P50),0)</f>
        <v>0</v>
      </c>
      <c r="Q38" s="3" t="n">
        <f aca="false">ROUND(ABS('淡江大學-財務模擬案場_p3'!Q50),0)</f>
        <v>0</v>
      </c>
      <c r="R38" s="3" t="n">
        <f aca="false">ROUND(ABS('淡江大學-財務模擬案場_p3'!R50),0)</f>
        <v>0</v>
      </c>
      <c r="S38" s="3" t="n">
        <f aca="false">ROUND(ABS('淡江大學-財務模擬案場_p3'!S50),0)</f>
        <v>0</v>
      </c>
      <c r="T38" s="3" t="n">
        <f aca="false">ROUND(ABS('淡江大學-財務模擬案場_p3'!T50),0)</f>
        <v>0</v>
      </c>
      <c r="U38" s="3" t="n">
        <f aca="false">ROUND(ABS('淡江大學-財務模擬案場_p3'!U50),0)</f>
        <v>0</v>
      </c>
      <c r="V38" s="3" t="n">
        <f aca="false">ROUND(ABS('淡江大學-財務模擬案場_p3'!V50),0)</f>
        <v>0</v>
      </c>
      <c r="W38" s="3" t="n">
        <f aca="false">ROUND(ABS('淡江大學-財務模擬案場_p3'!W50),0)</f>
        <v>0</v>
      </c>
    </row>
    <row r="39" customFormat="false" ht="15" hidden="false" customHeight="true" outlineLevel="0" collapsed="false">
      <c r="C39" s="6" t="s">
        <v>13</v>
      </c>
      <c r="D39" s="7" t="n">
        <f aca="false">SUM(D36:D38)</f>
        <v>130830</v>
      </c>
      <c r="E39" s="7" t="n">
        <f aca="false">SUM(E36:E38)</f>
        <v>130830</v>
      </c>
      <c r="F39" s="7" t="n">
        <f aca="false">SUM(F36:F38)</f>
        <v>130830</v>
      </c>
      <c r="G39" s="7" t="n">
        <f aca="false">SUM(G36:G38)</f>
        <v>130830</v>
      </c>
      <c r="H39" s="7" t="n">
        <f aca="false">SUM(H36:H38)</f>
        <v>130830</v>
      </c>
      <c r="I39" s="7" t="n">
        <f aca="false">SUM(I36:I38)</f>
        <v>130830</v>
      </c>
      <c r="J39" s="7" t="n">
        <f aca="false">SUM(J36:J38)</f>
        <v>130830</v>
      </c>
      <c r="K39" s="7" t="n">
        <f aca="false">SUM(K36:K38)</f>
        <v>130830</v>
      </c>
      <c r="L39" s="7" t="n">
        <f aca="false">SUM(L36:L38)</f>
        <v>130830</v>
      </c>
      <c r="M39" s="7" t="n">
        <f aca="false">SUM(M36:M38)</f>
        <v>130830</v>
      </c>
      <c r="N39" s="7" t="n">
        <f aca="false">SUM(N36:N38)</f>
        <v>0</v>
      </c>
      <c r="O39" s="7" t="n">
        <f aca="false">SUM(O36:O38)</f>
        <v>0</v>
      </c>
      <c r="P39" s="7" t="n">
        <f aca="false">SUM(P36:P38)</f>
        <v>0</v>
      </c>
      <c r="Q39" s="7" t="n">
        <f aca="false">SUM(Q36:Q38)</f>
        <v>0</v>
      </c>
      <c r="R39" s="7" t="n">
        <f aca="false">SUM(R36:R38)</f>
        <v>0</v>
      </c>
      <c r="S39" s="7" t="n">
        <f aca="false">SUM(S36:S38)</f>
        <v>0</v>
      </c>
      <c r="T39" s="7" t="n">
        <f aca="false">SUM(T36:T38)</f>
        <v>0</v>
      </c>
      <c r="U39" s="7" t="n">
        <f aca="false">SUM(U36:U38)</f>
        <v>0</v>
      </c>
      <c r="V39" s="7" t="n">
        <f aca="false">SUM(V36:V38)</f>
        <v>0</v>
      </c>
      <c r="W39" s="7" t="n">
        <f aca="false">SUM(W36:W38)</f>
        <v>0</v>
      </c>
    </row>
    <row r="40" customFormat="false" ht="15" hidden="false" customHeight="true" outlineLevel="0" collapsed="false">
      <c r="C40" s="2" t="s">
        <v>0</v>
      </c>
      <c r="D40" s="2" t="n">
        <v>2023</v>
      </c>
      <c r="E40" s="2" t="n">
        <v>2024</v>
      </c>
      <c r="F40" s="2" t="n">
        <v>2025</v>
      </c>
      <c r="G40" s="2" t="n">
        <v>2026</v>
      </c>
      <c r="H40" s="2" t="n">
        <v>2027</v>
      </c>
      <c r="I40" s="2" t="n">
        <v>2028</v>
      </c>
      <c r="J40" s="2" t="n">
        <v>2029</v>
      </c>
      <c r="K40" s="2" t="n">
        <v>2030</v>
      </c>
      <c r="L40" s="2" t="n">
        <v>2031</v>
      </c>
      <c r="M40" s="2" t="n">
        <v>2032</v>
      </c>
      <c r="N40" s="2" t="n">
        <v>2033</v>
      </c>
      <c r="O40" s="2" t="n">
        <v>2034</v>
      </c>
      <c r="P40" s="2" t="n">
        <v>2035</v>
      </c>
      <c r="Q40" s="2" t="n">
        <v>2036</v>
      </c>
      <c r="R40" s="2" t="n">
        <v>2037</v>
      </c>
      <c r="S40" s="2" t="n">
        <v>2038</v>
      </c>
      <c r="T40" s="2" t="n">
        <v>2039</v>
      </c>
      <c r="U40" s="2" t="n">
        <v>2040</v>
      </c>
      <c r="V40" s="2" t="n">
        <v>2041</v>
      </c>
      <c r="W40" s="2" t="n">
        <v>2042</v>
      </c>
    </row>
    <row r="41" customFormat="false" ht="15" hidden="false" customHeight="true" outlineLevel="0" collapsed="false">
      <c r="C41" s="1" t="s">
        <v>14</v>
      </c>
    </row>
    <row r="42" customFormat="false" ht="15" hidden="false" customHeight="true" outlineLevel="0" collapsed="false">
      <c r="B42" s="1" t="s">
        <v>2</v>
      </c>
      <c r="D42" s="3" t="n">
        <f aca="false">ROUND(ABS('淡江大學-財務模擬案場_p1'!D54),0)</f>
        <v>60439</v>
      </c>
      <c r="E42" s="3" t="n">
        <f aca="false">ROUND(ABS('淡江大學-財務模擬案場_p1'!E54),0)</f>
        <v>58813</v>
      </c>
      <c r="F42" s="3" t="n">
        <f aca="false">ROUND(ABS('淡江大學-財務模擬案場_p1'!F54),0)</f>
        <v>57187</v>
      </c>
      <c r="G42" s="3" t="n">
        <f aca="false">ROUND(ABS('淡江大學-財務模擬案場_p1'!G54),0)</f>
        <v>55561</v>
      </c>
      <c r="H42" s="3" t="n">
        <f aca="false">ROUND(ABS('淡江大學-財務模擬案場_p1'!H54),0)</f>
        <v>53936</v>
      </c>
      <c r="I42" s="3" t="n">
        <f aca="false">ROUND(ABS('淡江大學-財務模擬案場_p1'!I54),0)</f>
        <v>52310</v>
      </c>
      <c r="J42" s="3" t="n">
        <f aca="false">ROUND(ABS('淡江大學-財務模擬案場_p1'!J54),0)</f>
        <v>50684</v>
      </c>
      <c r="K42" s="3" t="n">
        <f aca="false">ROUND(ABS('淡江大學-財務模擬案場_p1'!K54),0)</f>
        <v>49058</v>
      </c>
      <c r="L42" s="3" t="n">
        <f aca="false">ROUND(ABS('淡江大學-財務模擬案場_p1'!L54),0)</f>
        <v>47432</v>
      </c>
      <c r="M42" s="3" t="n">
        <f aca="false">ROUND(ABS('淡江大學-財務模擬案場_p1'!M54),0)</f>
        <v>45807</v>
      </c>
      <c r="N42" s="3" t="n">
        <f aca="false">ROUND(ABS('淡江大學-財務模擬案場_p1'!N54),0)</f>
        <v>52903</v>
      </c>
      <c r="O42" s="3" t="n">
        <f aca="false">ROUND(ABS('淡江大學-財務模擬案場_p1'!O54),0)</f>
        <v>51277</v>
      </c>
      <c r="P42" s="3" t="n">
        <f aca="false">ROUND(ABS('淡江大學-財務模擬案場_p1'!P54),0)</f>
        <v>49651</v>
      </c>
      <c r="Q42" s="3" t="n">
        <f aca="false">ROUND(ABS('淡江大學-財務模擬案場_p1'!Q54),0)</f>
        <v>48026</v>
      </c>
      <c r="R42" s="3" t="n">
        <f aca="false">ROUND(ABS('淡江大學-財務模擬案場_p1'!R54),0)</f>
        <v>46400</v>
      </c>
      <c r="S42" s="3" t="n">
        <f aca="false">ROUND(ABS('淡江大學-財務模擬案場_p1'!S54),0)</f>
        <v>44774</v>
      </c>
      <c r="T42" s="3" t="n">
        <f aca="false">ROUND(ABS('淡江大學-財務模擬案場_p1'!T54),0)</f>
        <v>43148</v>
      </c>
      <c r="U42" s="3" t="n">
        <f aca="false">ROUND(ABS('淡江大學-財務模擬案場_p1'!U54),0)</f>
        <v>41522</v>
      </c>
      <c r="V42" s="3" t="n">
        <f aca="false">ROUND(ABS('淡江大學-財務模擬案場_p1'!V54),0)</f>
        <v>39897</v>
      </c>
      <c r="W42" s="3" t="n">
        <f aca="false">ROUND(ABS('淡江大學-財務模擬案場_p1'!W54),0)</f>
        <v>38271</v>
      </c>
    </row>
    <row r="43" customFormat="false" ht="15" hidden="false" customHeight="true" outlineLevel="0" collapsed="false">
      <c r="B43" s="1" t="s">
        <v>2</v>
      </c>
      <c r="D43" s="3" t="n">
        <f aca="false">ROUND(ABS('淡江大學-財務模擬案場_p2'!D54),0)</f>
        <v>73422</v>
      </c>
      <c r="E43" s="3" t="n">
        <f aca="false">ROUND(ABS('淡江大學-財務模擬案場_p2'!E54),0)</f>
        <v>71796</v>
      </c>
      <c r="F43" s="3" t="n">
        <f aca="false">ROUND(ABS('淡江大學-財務模擬案場_p2'!F54),0)</f>
        <v>70170</v>
      </c>
      <c r="G43" s="3" t="n">
        <f aca="false">ROUND(ABS('淡江大學-財務模擬案場_p2'!G54),0)</f>
        <v>68545</v>
      </c>
      <c r="H43" s="3" t="n">
        <f aca="false">ROUND(ABS('淡江大學-財務模擬案場_p2'!H54),0)</f>
        <v>66919</v>
      </c>
      <c r="I43" s="3" t="n">
        <f aca="false">ROUND(ABS('淡江大學-財務模擬案場_p2'!I54),0)</f>
        <v>65293</v>
      </c>
      <c r="J43" s="3" t="n">
        <f aca="false">ROUND(ABS('淡江大學-財務模擬案場_p2'!J54),0)</f>
        <v>63667</v>
      </c>
      <c r="K43" s="3" t="n">
        <f aca="false">ROUND(ABS('淡江大學-財務模擬案場_p2'!K54),0)</f>
        <v>62042</v>
      </c>
      <c r="L43" s="3" t="n">
        <f aca="false">ROUND(ABS('淡江大學-財務模擬案場_p2'!L54),0)</f>
        <v>60416</v>
      </c>
      <c r="M43" s="3" t="n">
        <f aca="false">ROUND(ABS('淡江大學-財務模擬案場_p2'!M54),0)</f>
        <v>58790</v>
      </c>
      <c r="N43" s="3" t="n">
        <f aca="false">ROUND(ABS('淡江大學-財務模擬案場_p2'!N54),0)</f>
        <v>65886</v>
      </c>
      <c r="O43" s="3" t="n">
        <f aca="false">ROUND(ABS('淡江大學-財務模擬案場_p2'!O54),0)</f>
        <v>64260</v>
      </c>
      <c r="P43" s="3" t="n">
        <f aca="false">ROUND(ABS('淡江大學-財務模擬案場_p2'!P54),0)</f>
        <v>62635</v>
      </c>
      <c r="Q43" s="3" t="n">
        <f aca="false">ROUND(ABS('淡江大學-財務模擬案場_p2'!Q54),0)</f>
        <v>61009</v>
      </c>
      <c r="R43" s="3" t="n">
        <f aca="false">ROUND(ABS('淡江大學-財務模擬案場_p2'!R54),0)</f>
        <v>59383</v>
      </c>
      <c r="S43" s="3" t="n">
        <f aca="false">ROUND(ABS('淡江大學-財務模擬案場_p2'!S54),0)</f>
        <v>57757</v>
      </c>
      <c r="T43" s="3" t="n">
        <f aca="false">ROUND(ABS('淡江大學-財務模擬案場_p2'!T54),0)</f>
        <v>56132</v>
      </c>
      <c r="U43" s="3" t="n">
        <f aca="false">ROUND(ABS('淡江大學-財務模擬案場_p2'!U54),0)</f>
        <v>54506</v>
      </c>
      <c r="V43" s="3" t="n">
        <f aca="false">ROUND(ABS('淡江大學-財務模擬案場_p2'!V54),0)</f>
        <v>52880</v>
      </c>
      <c r="W43" s="3" t="n">
        <f aca="false">ROUND(ABS('淡江大學-財務模擬案場_p2'!W54),0)</f>
        <v>51254</v>
      </c>
    </row>
    <row r="44" customFormat="false" ht="15" hidden="false" customHeight="true" outlineLevel="0" collapsed="false">
      <c r="B44" s="1" t="s">
        <v>2</v>
      </c>
      <c r="D44" s="3" t="n">
        <f aca="false">ROUND(ABS('淡江大學-財務模擬案場_p3'!D54),0)</f>
        <v>86405</v>
      </c>
      <c r="E44" s="3" t="n">
        <f aca="false">ROUND(ABS('淡江大學-財務模擬案場_p3'!E54),0)</f>
        <v>84779</v>
      </c>
      <c r="F44" s="3" t="n">
        <f aca="false">ROUND(ABS('淡江大學-財務模擬案場_p3'!F54),0)</f>
        <v>83154</v>
      </c>
      <c r="G44" s="3" t="n">
        <f aca="false">ROUND(ABS('淡江大學-財務模擬案場_p3'!G54),0)</f>
        <v>81528</v>
      </c>
      <c r="H44" s="3" t="n">
        <f aca="false">ROUND(ABS('淡江大學-財務模擬案場_p3'!H54),0)</f>
        <v>79902</v>
      </c>
      <c r="I44" s="3" t="n">
        <f aca="false">ROUND(ABS('淡江大學-財務模擬案場_p3'!I54),0)</f>
        <v>78276</v>
      </c>
      <c r="J44" s="3" t="n">
        <f aca="false">ROUND(ABS('淡江大學-財務模擬案場_p3'!J54),0)</f>
        <v>76651</v>
      </c>
      <c r="K44" s="3" t="n">
        <f aca="false">ROUND(ABS('淡江大學-財務模擬案場_p3'!K54),0)</f>
        <v>75025</v>
      </c>
      <c r="L44" s="3" t="n">
        <f aca="false">ROUND(ABS('淡江大學-財務模擬案場_p3'!L54),0)</f>
        <v>73399</v>
      </c>
      <c r="M44" s="3" t="n">
        <f aca="false">ROUND(ABS('淡江大學-財務模擬案場_p3'!M54),0)</f>
        <v>71773</v>
      </c>
      <c r="N44" s="3" t="n">
        <f aca="false">ROUND(ABS('淡江大學-財務模擬案場_p3'!N54),0)</f>
        <v>78869</v>
      </c>
      <c r="O44" s="3" t="n">
        <f aca="false">ROUND(ABS('淡江大學-財務模擬案場_p3'!O54),0)</f>
        <v>77244</v>
      </c>
      <c r="P44" s="3" t="n">
        <f aca="false">ROUND(ABS('淡江大學-財務模擬案場_p3'!P54),0)</f>
        <v>75618</v>
      </c>
      <c r="Q44" s="3" t="n">
        <f aca="false">ROUND(ABS('淡江大學-財務模擬案場_p3'!Q54),0)</f>
        <v>73992</v>
      </c>
      <c r="R44" s="3" t="n">
        <f aca="false">ROUND(ABS('淡江大學-財務模擬案場_p3'!R54),0)</f>
        <v>72366</v>
      </c>
      <c r="S44" s="3" t="n">
        <f aca="false">ROUND(ABS('淡江大學-財務模擬案場_p3'!S54),0)</f>
        <v>70741</v>
      </c>
      <c r="T44" s="3" t="n">
        <f aca="false">ROUND(ABS('淡江大學-財務模擬案場_p3'!T54),0)</f>
        <v>69115</v>
      </c>
      <c r="U44" s="3" t="n">
        <f aca="false">ROUND(ABS('淡江大學-財務模擬案場_p3'!U54),0)</f>
        <v>67489</v>
      </c>
      <c r="V44" s="3" t="n">
        <f aca="false">ROUND(ABS('淡江大學-財務模擬案場_p3'!V54),0)</f>
        <v>65863</v>
      </c>
      <c r="W44" s="3" t="n">
        <f aca="false">ROUND(ABS('淡江大學-財務模擬案場_p3'!W54),0)</f>
        <v>64237</v>
      </c>
    </row>
    <row r="45" customFormat="false" ht="15" hidden="false" customHeight="true" outlineLevel="0" collapsed="false">
      <c r="C45" s="4" t="s">
        <v>15</v>
      </c>
      <c r="D45" s="5" t="n">
        <f aca="false">SUM(D42:D44)</f>
        <v>220266</v>
      </c>
      <c r="E45" s="5" t="n">
        <f aca="false">SUM(E42:E44)</f>
        <v>215388</v>
      </c>
      <c r="F45" s="5" t="n">
        <f aca="false">SUM(F42:F44)</f>
        <v>210511</v>
      </c>
      <c r="G45" s="5" t="n">
        <f aca="false">SUM(G42:G44)</f>
        <v>205634</v>
      </c>
      <c r="H45" s="5" t="n">
        <f aca="false">SUM(H42:H44)</f>
        <v>200757</v>
      </c>
      <c r="I45" s="5" t="n">
        <f aca="false">SUM(I42:I44)</f>
        <v>195879</v>
      </c>
      <c r="J45" s="5" t="n">
        <f aca="false">SUM(J42:J44)</f>
        <v>191002</v>
      </c>
      <c r="K45" s="5" t="n">
        <f aca="false">SUM(K42:K44)</f>
        <v>186125</v>
      </c>
      <c r="L45" s="5" t="n">
        <f aca="false">SUM(L42:L44)</f>
        <v>181247</v>
      </c>
      <c r="M45" s="5" t="n">
        <f aca="false">SUM(M42:M44)</f>
        <v>176370</v>
      </c>
      <c r="N45" s="5" t="n">
        <f aca="false">SUM(N42:N44)</f>
        <v>197658</v>
      </c>
      <c r="O45" s="5" t="n">
        <f aca="false">SUM(O42:O44)</f>
        <v>192781</v>
      </c>
      <c r="P45" s="5" t="n">
        <f aca="false">SUM(P42:P44)</f>
        <v>187904</v>
      </c>
      <c r="Q45" s="5" t="n">
        <f aca="false">SUM(Q42:Q44)</f>
        <v>183027</v>
      </c>
      <c r="R45" s="5" t="n">
        <f aca="false">SUM(R42:R44)</f>
        <v>178149</v>
      </c>
      <c r="S45" s="5" t="n">
        <f aca="false">SUM(S42:S44)</f>
        <v>173272</v>
      </c>
      <c r="T45" s="5" t="n">
        <f aca="false">SUM(T42:T44)</f>
        <v>168395</v>
      </c>
      <c r="U45" s="5" t="n">
        <f aca="false">SUM(U42:U44)</f>
        <v>163517</v>
      </c>
      <c r="V45" s="5" t="n">
        <f aca="false">SUM(V42:V44)</f>
        <v>158640</v>
      </c>
      <c r="W45" s="5" t="n">
        <f aca="false">SUM(W42:W44)</f>
        <v>153762</v>
      </c>
    </row>
    <row r="46" customFormat="false" ht="15" hidden="false" customHeight="true" outlineLevel="0" collapsed="false">
      <c r="C46" s="2" t="s">
        <v>0</v>
      </c>
      <c r="D46" s="2" t="n">
        <v>2023</v>
      </c>
      <c r="E46" s="2" t="n">
        <v>2024</v>
      </c>
      <c r="F46" s="2" t="n">
        <v>2025</v>
      </c>
      <c r="G46" s="2" t="n">
        <v>2026</v>
      </c>
      <c r="H46" s="2" t="n">
        <v>2027</v>
      </c>
      <c r="I46" s="2" t="n">
        <v>2028</v>
      </c>
      <c r="J46" s="2" t="n">
        <v>2029</v>
      </c>
      <c r="K46" s="2" t="n">
        <v>2030</v>
      </c>
      <c r="L46" s="2" t="n">
        <v>2031</v>
      </c>
      <c r="M46" s="2" t="n">
        <v>2032</v>
      </c>
      <c r="N46" s="2" t="n">
        <v>2033</v>
      </c>
      <c r="O46" s="2" t="n">
        <v>2034</v>
      </c>
      <c r="P46" s="2" t="n">
        <v>2035</v>
      </c>
      <c r="Q46" s="2" t="n">
        <v>2036</v>
      </c>
      <c r="R46" s="2" t="n">
        <v>2037</v>
      </c>
      <c r="S46" s="2" t="n">
        <v>2038</v>
      </c>
      <c r="T46" s="2" t="n">
        <v>2039</v>
      </c>
      <c r="U46" s="2" t="n">
        <v>2040</v>
      </c>
      <c r="V46" s="2" t="n">
        <v>2041</v>
      </c>
      <c r="W46" s="2" t="n">
        <v>2042</v>
      </c>
    </row>
    <row r="47" customFormat="false" ht="15" hidden="false" customHeight="true" outlineLevel="0" collapsed="false">
      <c r="C47" s="1" t="s">
        <v>16</v>
      </c>
    </row>
    <row r="48" customFormat="false" ht="15" hidden="false" customHeight="true" outlineLevel="0" collapsed="false">
      <c r="B48" s="1" t="s">
        <v>2</v>
      </c>
      <c r="D48" s="3" t="n">
        <f aca="false">ROUND(ABS('淡江大學-財務模擬案場_p1'!D67),0)</f>
        <v>1155665</v>
      </c>
      <c r="E48" s="3" t="n">
        <f aca="false">ROUND(ABS('淡江大學-財務模擬案場_p1'!E67),0)</f>
        <v>1155665</v>
      </c>
      <c r="F48" s="3" t="n">
        <f aca="false">ROUND(ABS('淡江大學-財務模擬案場_p1'!F67),0)</f>
        <v>1155665</v>
      </c>
      <c r="G48" s="3" t="n">
        <f aca="false">ROUND(ABS('淡江大學-財務模擬案場_p1'!G67),0)</f>
        <v>1155665</v>
      </c>
      <c r="H48" s="3" t="n">
        <f aca="false">ROUND(ABS('淡江大學-財務模擬案場_p1'!H67),0)</f>
        <v>1155665</v>
      </c>
      <c r="I48" s="3" t="n">
        <f aca="false">ROUND(ABS('淡江大學-財務模擬案場_p1'!I67),0)</f>
        <v>1155665</v>
      </c>
      <c r="J48" s="3" t="n">
        <f aca="false">ROUND(ABS('淡江大學-財務模擬案場_p1'!J67),0)</f>
        <v>1155665</v>
      </c>
      <c r="K48" s="3" t="n">
        <f aca="false">ROUND(ABS('淡江大學-財務模擬案場_p1'!K67),0)</f>
        <v>1155665</v>
      </c>
      <c r="L48" s="3" t="n">
        <f aca="false">ROUND(ABS('淡江大學-財務模擬案場_p1'!L67),0)</f>
        <v>1155665</v>
      </c>
      <c r="M48" s="3" t="n">
        <f aca="false">ROUND(ABS('淡江大學-財務模擬案場_p1'!M67),0)</f>
        <v>1155665</v>
      </c>
      <c r="N48" s="3" t="n">
        <f aca="false">ROUND(ABS('淡江大學-財務模擬案場_p1'!N67),0)</f>
        <v>1155665</v>
      </c>
      <c r="O48" s="3" t="n">
        <f aca="false">ROUND(ABS('淡江大學-財務模擬案場_p1'!O67),0)</f>
        <v>1155665</v>
      </c>
      <c r="P48" s="3" t="n">
        <f aca="false">ROUND(ABS('淡江大學-財務模擬案場_p1'!P67),0)</f>
        <v>1155665</v>
      </c>
      <c r="Q48" s="3" t="n">
        <f aca="false">ROUND(ABS('淡江大學-財務模擬案場_p1'!Q67),0)</f>
        <v>1155665</v>
      </c>
      <c r="R48" s="3" t="n">
        <f aca="false">ROUND(ABS('淡江大學-財務模擬案場_p1'!R67),0)</f>
        <v>1155665</v>
      </c>
      <c r="S48" s="3" t="n">
        <f aca="false">ROUND(ABS('淡江大學-財務模擬案場_p1'!S67),0)</f>
        <v>1155665</v>
      </c>
      <c r="T48" s="3" t="n">
        <f aca="false">ROUND(ABS('淡江大學-財務模擬案場_p1'!T67),0)</f>
        <v>1155665</v>
      </c>
      <c r="U48" s="3" t="n">
        <f aca="false">ROUND(ABS('淡江大學-財務模擬案場_p1'!U67),0)</f>
        <v>1155665</v>
      </c>
      <c r="V48" s="3" t="n">
        <f aca="false">ROUND(ABS('淡江大學-財務模擬案場_p1'!V67),0)</f>
        <v>1155665</v>
      </c>
      <c r="W48" s="3" t="n">
        <f aca="false">ROUND(ABS('淡江大學-財務模擬案場_p1'!W67),0)</f>
        <v>1155665</v>
      </c>
    </row>
    <row r="49" customFormat="false" ht="15" hidden="false" customHeight="true" outlineLevel="0" collapsed="false">
      <c r="B49" s="1" t="s">
        <v>2</v>
      </c>
      <c r="D49" s="3" t="n">
        <f aca="false">ROUND(ABS('淡江大學-財務模擬案場_p2'!D67),0)</f>
        <v>1093365</v>
      </c>
      <c r="E49" s="3" t="n">
        <f aca="false">ROUND(ABS('淡江大學-財務模擬案場_p2'!E67),0)</f>
        <v>1093365</v>
      </c>
      <c r="F49" s="3" t="n">
        <f aca="false">ROUND(ABS('淡江大學-財務模擬案場_p2'!F67),0)</f>
        <v>1093365</v>
      </c>
      <c r="G49" s="3" t="n">
        <f aca="false">ROUND(ABS('淡江大學-財務模擬案場_p2'!G67),0)</f>
        <v>1093365</v>
      </c>
      <c r="H49" s="3" t="n">
        <f aca="false">ROUND(ABS('淡江大學-財務模擬案場_p2'!H67),0)</f>
        <v>1093365</v>
      </c>
      <c r="I49" s="3" t="n">
        <f aca="false">ROUND(ABS('淡江大學-財務模擬案場_p2'!I67),0)</f>
        <v>1093365</v>
      </c>
      <c r="J49" s="3" t="n">
        <f aca="false">ROUND(ABS('淡江大學-財務模擬案場_p2'!J67),0)</f>
        <v>1093365</v>
      </c>
      <c r="K49" s="3" t="n">
        <f aca="false">ROUND(ABS('淡江大學-財務模擬案場_p2'!K67),0)</f>
        <v>1093365</v>
      </c>
      <c r="L49" s="3" t="n">
        <f aca="false">ROUND(ABS('淡江大學-財務模擬案場_p2'!L67),0)</f>
        <v>1093365</v>
      </c>
      <c r="M49" s="3" t="n">
        <f aca="false">ROUND(ABS('淡江大學-財務模擬案場_p2'!M67),0)</f>
        <v>1093365</v>
      </c>
      <c r="N49" s="3" t="n">
        <f aca="false">ROUND(ABS('淡江大學-財務模擬案場_p2'!N67),0)</f>
        <v>1093365</v>
      </c>
      <c r="O49" s="3" t="n">
        <f aca="false">ROUND(ABS('淡江大學-財務模擬案場_p2'!O67),0)</f>
        <v>1093365</v>
      </c>
      <c r="P49" s="3" t="n">
        <f aca="false">ROUND(ABS('淡江大學-財務模擬案場_p2'!P67),0)</f>
        <v>1093365</v>
      </c>
      <c r="Q49" s="3" t="n">
        <f aca="false">ROUND(ABS('淡江大學-財務模擬案場_p2'!Q67),0)</f>
        <v>1093365</v>
      </c>
      <c r="R49" s="3" t="n">
        <f aca="false">ROUND(ABS('淡江大學-財務模擬案場_p2'!R67),0)</f>
        <v>1093365</v>
      </c>
      <c r="S49" s="3" t="n">
        <f aca="false">ROUND(ABS('淡江大學-財務模擬案場_p2'!S67),0)</f>
        <v>1093365</v>
      </c>
      <c r="T49" s="3" t="n">
        <f aca="false">ROUND(ABS('淡江大學-財務模擬案場_p2'!T67),0)</f>
        <v>1093365</v>
      </c>
      <c r="U49" s="3" t="n">
        <f aca="false">ROUND(ABS('淡江大學-財務模擬案場_p2'!U67),0)</f>
        <v>1093365</v>
      </c>
      <c r="V49" s="3" t="n">
        <f aca="false">ROUND(ABS('淡江大學-財務模擬案場_p2'!V67),0)</f>
        <v>1093365</v>
      </c>
      <c r="W49" s="3" t="n">
        <f aca="false">ROUND(ABS('淡江大學-財務模擬案場_p2'!W67),0)</f>
        <v>1093365</v>
      </c>
    </row>
    <row r="50" customFormat="false" ht="15" hidden="false" customHeight="true" outlineLevel="0" collapsed="false">
      <c r="B50" s="1" t="s">
        <v>2</v>
      </c>
      <c r="D50" s="3" t="n">
        <f aca="false">ROUND(ABS('淡江大學-財務模擬案場_p3'!D67),0)</f>
        <v>1031065</v>
      </c>
      <c r="E50" s="3" t="n">
        <f aca="false">ROUND(ABS('淡江大學-財務模擬案場_p3'!E67),0)</f>
        <v>1031065</v>
      </c>
      <c r="F50" s="3" t="n">
        <f aca="false">ROUND(ABS('淡江大學-財務模擬案場_p3'!F67),0)</f>
        <v>1031065</v>
      </c>
      <c r="G50" s="3" t="n">
        <f aca="false">ROUND(ABS('淡江大學-財務模擬案場_p3'!G67),0)</f>
        <v>1031065</v>
      </c>
      <c r="H50" s="3" t="n">
        <f aca="false">ROUND(ABS('淡江大學-財務模擬案場_p3'!H67),0)</f>
        <v>1031065</v>
      </c>
      <c r="I50" s="3" t="n">
        <f aca="false">ROUND(ABS('淡江大學-財務模擬案場_p3'!I67),0)</f>
        <v>1031065</v>
      </c>
      <c r="J50" s="3" t="n">
        <f aca="false">ROUND(ABS('淡江大學-財務模擬案場_p3'!J67),0)</f>
        <v>1031065</v>
      </c>
      <c r="K50" s="3" t="n">
        <f aca="false">ROUND(ABS('淡江大學-財務模擬案場_p3'!K67),0)</f>
        <v>1031065</v>
      </c>
      <c r="L50" s="3" t="n">
        <f aca="false">ROUND(ABS('淡江大學-財務模擬案場_p3'!L67),0)</f>
        <v>1031065</v>
      </c>
      <c r="M50" s="3" t="n">
        <f aca="false">ROUND(ABS('淡江大學-財務模擬案場_p3'!M67),0)</f>
        <v>1031065</v>
      </c>
      <c r="N50" s="3" t="n">
        <f aca="false">ROUND(ABS('淡江大學-財務模擬案場_p3'!N67),0)</f>
        <v>1031065</v>
      </c>
      <c r="O50" s="3" t="n">
        <f aca="false">ROUND(ABS('淡江大學-財務模擬案場_p3'!O67),0)</f>
        <v>1031065</v>
      </c>
      <c r="P50" s="3" t="n">
        <f aca="false">ROUND(ABS('淡江大學-財務模擬案場_p3'!P67),0)</f>
        <v>1031065</v>
      </c>
      <c r="Q50" s="3" t="n">
        <f aca="false">ROUND(ABS('淡江大學-財務模擬案場_p3'!Q67),0)</f>
        <v>1031065</v>
      </c>
      <c r="R50" s="3" t="n">
        <f aca="false">ROUND(ABS('淡江大學-財務模擬案場_p3'!R67),0)</f>
        <v>1031065</v>
      </c>
      <c r="S50" s="3" t="n">
        <f aca="false">ROUND(ABS('淡江大學-財務模擬案場_p3'!S67),0)</f>
        <v>1031065</v>
      </c>
      <c r="T50" s="3" t="n">
        <f aca="false">ROUND(ABS('淡江大學-財務模擬案場_p3'!T67),0)</f>
        <v>1031065</v>
      </c>
      <c r="U50" s="3" t="n">
        <f aca="false">ROUND(ABS('淡江大學-財務模擬案場_p3'!U67),0)</f>
        <v>1031065</v>
      </c>
      <c r="V50" s="3" t="n">
        <f aca="false">ROUND(ABS('淡江大學-財務模擬案場_p3'!V67),0)</f>
        <v>1031065</v>
      </c>
      <c r="W50" s="3" t="n">
        <f aca="false">ROUND(ABS('淡江大學-財務模擬案場_p3'!W67),0)</f>
        <v>1031065</v>
      </c>
    </row>
    <row r="51" customFormat="false" ht="15" hidden="false" customHeight="true" outlineLevel="0" collapsed="false">
      <c r="C51" s="14" t="s">
        <v>17</v>
      </c>
      <c r="D51" s="15" t="n">
        <f aca="false">SUM(D48:D50)</f>
        <v>3280095</v>
      </c>
      <c r="E51" s="15" t="n">
        <f aca="false">SUM(E48:E50)</f>
        <v>3280095</v>
      </c>
      <c r="F51" s="15" t="n">
        <f aca="false">SUM(F48:F50)</f>
        <v>3280095</v>
      </c>
      <c r="G51" s="15" t="n">
        <f aca="false">SUM(G48:G50)</f>
        <v>3280095</v>
      </c>
      <c r="H51" s="15" t="n">
        <f aca="false">SUM(H48:H50)</f>
        <v>3280095</v>
      </c>
      <c r="I51" s="15" t="n">
        <f aca="false">SUM(I48:I50)</f>
        <v>3280095</v>
      </c>
      <c r="J51" s="15" t="n">
        <f aca="false">SUM(J48:J50)</f>
        <v>3280095</v>
      </c>
      <c r="K51" s="15" t="n">
        <f aca="false">SUM(K48:K50)</f>
        <v>3280095</v>
      </c>
      <c r="L51" s="15" t="n">
        <f aca="false">SUM(L48:L50)</f>
        <v>3280095</v>
      </c>
      <c r="M51" s="15" t="n">
        <f aca="false">SUM(M48:M50)</f>
        <v>3280095</v>
      </c>
      <c r="N51" s="15" t="n">
        <f aca="false">SUM(N48:N50)</f>
        <v>3280095</v>
      </c>
      <c r="O51" s="15" t="n">
        <f aca="false">SUM(O48:O50)</f>
        <v>3280095</v>
      </c>
      <c r="P51" s="15" t="n">
        <f aca="false">SUM(P48:P50)</f>
        <v>3280095</v>
      </c>
      <c r="Q51" s="15" t="n">
        <f aca="false">SUM(Q48:Q50)</f>
        <v>3280095</v>
      </c>
      <c r="R51" s="15" t="n">
        <f aca="false">SUM(R48:R50)</f>
        <v>3280095</v>
      </c>
      <c r="S51" s="15" t="n">
        <f aca="false">SUM(S48:S50)</f>
        <v>3280095</v>
      </c>
      <c r="T51" s="15" t="n">
        <f aca="false">SUM(T48:T50)</f>
        <v>3280095</v>
      </c>
      <c r="U51" s="15" t="n">
        <f aca="false">SUM(U48:U50)</f>
        <v>3280095</v>
      </c>
      <c r="V51" s="15" t="n">
        <f aca="false">SUM(V48:V50)</f>
        <v>3280095</v>
      </c>
      <c r="W51" s="15" t="n">
        <f aca="false">SUM(W48:W50)</f>
        <v>3280095</v>
      </c>
    </row>
    <row r="53" customFormat="false" ht="15" hidden="false" customHeight="true" outlineLevel="0" collapsed="false">
      <c r="B53" s="1" t="s">
        <v>18</v>
      </c>
      <c r="C53" s="1" t="n">
        <v>80</v>
      </c>
    </row>
    <row r="54" customFormat="false" ht="15" hidden="false" customHeight="true" outlineLevel="0" collapsed="false">
      <c r="B54" s="1" t="s">
        <v>19</v>
      </c>
      <c r="C54" s="1" t="n">
        <v>14</v>
      </c>
    </row>
    <row r="55" customFormat="false" ht="15" hidden="false" customHeight="true" outlineLevel="0" collapsed="false">
      <c r="B55" s="1" t="s">
        <v>20</v>
      </c>
      <c r="C55" s="1" t="n">
        <v>90</v>
      </c>
    </row>
    <row r="56" customFormat="false" ht="15" hidden="false" customHeight="true" outlineLevel="0" collapsed="false">
      <c r="B56" s="1" t="s">
        <v>21</v>
      </c>
      <c r="C56" s="1" t="n">
        <v>6</v>
      </c>
    </row>
    <row r="57" customFormat="false" ht="15" hidden="false" customHeight="true" outlineLevel="0" collapsed="false">
      <c r="B57" s="1" t="s">
        <v>22</v>
      </c>
      <c r="C57" s="1" t="n">
        <v>3</v>
      </c>
    </row>
    <row r="58" customFormat="false" ht="18.75" hidden="false" customHeight="true" outlineLevel="0" collapsed="false">
      <c r="B58" s="16"/>
      <c r="C58" s="17" t="s">
        <v>0</v>
      </c>
      <c r="D58" s="17" t="n">
        <v>2023</v>
      </c>
      <c r="E58" s="17" t="n">
        <v>2024</v>
      </c>
      <c r="F58" s="17" t="n">
        <v>2025</v>
      </c>
      <c r="G58" s="17" t="n">
        <v>2026</v>
      </c>
      <c r="H58" s="17" t="n">
        <v>2027</v>
      </c>
      <c r="I58" s="17" t="n">
        <v>2028</v>
      </c>
      <c r="J58" s="17" t="n">
        <v>2029</v>
      </c>
      <c r="K58" s="17" t="n">
        <v>2030</v>
      </c>
      <c r="L58" s="17" t="n">
        <v>2031</v>
      </c>
      <c r="M58" s="17" t="n">
        <v>2032</v>
      </c>
      <c r="N58" s="17" t="n">
        <v>2033</v>
      </c>
      <c r="O58" s="17" t="n">
        <v>2034</v>
      </c>
      <c r="P58" s="17" t="n">
        <v>2035</v>
      </c>
      <c r="Q58" s="17" t="n">
        <v>2036</v>
      </c>
      <c r="R58" s="17" t="n">
        <v>2037</v>
      </c>
      <c r="S58" s="17" t="n">
        <v>2038</v>
      </c>
      <c r="T58" s="17" t="n">
        <v>2039</v>
      </c>
      <c r="U58" s="17" t="n">
        <v>2040</v>
      </c>
      <c r="V58" s="17" t="n">
        <v>2041</v>
      </c>
      <c r="W58" s="17" t="n">
        <v>2042</v>
      </c>
    </row>
    <row r="59" customFormat="false" ht="18.75" hidden="false" customHeight="true" outlineLevel="0" collapsed="false">
      <c r="B59" s="18" t="n">
        <v>0</v>
      </c>
      <c r="C59" s="19"/>
      <c r="D59" s="20"/>
      <c r="E59" s="20"/>
      <c r="F59" s="2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2"/>
      <c r="V59" s="22"/>
      <c r="W59" s="22"/>
    </row>
    <row r="60" customFormat="false" ht="18.75" hidden="false" customHeight="true" outlineLevel="0" collapsed="false">
      <c r="B60" s="24" t="s">
        <v>23</v>
      </c>
      <c r="C60" s="25" t="n">
        <v>0</v>
      </c>
      <c r="D60" s="26" t="n">
        <v>1</v>
      </c>
      <c r="E60" s="26" t="n">
        <v>2</v>
      </c>
      <c r="F60" s="26" t="n">
        <v>3</v>
      </c>
      <c r="G60" s="26" t="n">
        <v>4</v>
      </c>
      <c r="H60" s="26" t="n">
        <v>5</v>
      </c>
      <c r="I60" s="26" t="n">
        <v>6</v>
      </c>
      <c r="J60" s="26" t="n">
        <v>7</v>
      </c>
      <c r="K60" s="26" t="n">
        <v>8</v>
      </c>
      <c r="L60" s="26" t="n">
        <v>9</v>
      </c>
      <c r="M60" s="26" t="n">
        <v>10</v>
      </c>
      <c r="N60" s="26" t="n">
        <v>11</v>
      </c>
      <c r="O60" s="26" t="n">
        <v>12</v>
      </c>
      <c r="P60" s="26" t="n">
        <v>13</v>
      </c>
      <c r="Q60" s="26" t="n">
        <v>14</v>
      </c>
      <c r="R60" s="26" t="n">
        <v>15</v>
      </c>
      <c r="S60" s="26" t="n">
        <v>16</v>
      </c>
      <c r="T60" s="27" t="n">
        <v>17</v>
      </c>
      <c r="U60" s="26" t="n">
        <v>18</v>
      </c>
      <c r="V60" s="26" t="n">
        <v>19</v>
      </c>
      <c r="W60" s="26" t="n">
        <v>20</v>
      </c>
    </row>
    <row r="61" customFormat="false" ht="18.75" hidden="false" customHeight="true" outlineLevel="0" collapsed="false">
      <c r="B61" s="28" t="s">
        <v>24</v>
      </c>
      <c r="C61" s="29" t="n">
        <v>0</v>
      </c>
      <c r="D61" s="30" t="n">
        <f aca="false">D9</f>
        <v>1624596</v>
      </c>
      <c r="E61" s="30" t="n">
        <f aca="false">E9</f>
        <v>1618032</v>
      </c>
      <c r="F61" s="30" t="n">
        <f aca="false">F9</f>
        <v>1611468</v>
      </c>
      <c r="G61" s="30" t="n">
        <f aca="false">G9</f>
        <v>1604904</v>
      </c>
      <c r="H61" s="30" t="n">
        <f aca="false">H9</f>
        <v>1598340</v>
      </c>
      <c r="I61" s="30" t="n">
        <f aca="false">I9</f>
        <v>1591776</v>
      </c>
      <c r="J61" s="30" t="n">
        <f aca="false">J9</f>
        <v>1585212</v>
      </c>
      <c r="K61" s="30" t="n">
        <f aca="false">K9</f>
        <v>1578648</v>
      </c>
      <c r="L61" s="30" t="n">
        <f aca="false">L9</f>
        <v>1572084</v>
      </c>
      <c r="M61" s="30" t="n">
        <f aca="false">M9</f>
        <v>1565520</v>
      </c>
      <c r="N61" s="30" t="n">
        <f aca="false">N9</f>
        <v>1558956</v>
      </c>
      <c r="O61" s="30" t="n">
        <f aca="false">O9</f>
        <v>1552392</v>
      </c>
      <c r="P61" s="30" t="n">
        <f aca="false">P9</f>
        <v>1545828</v>
      </c>
      <c r="Q61" s="30" t="n">
        <f aca="false">Q9</f>
        <v>1539264</v>
      </c>
      <c r="R61" s="30" t="n">
        <f aca="false">R9</f>
        <v>1532700</v>
      </c>
      <c r="S61" s="30" t="n">
        <f aca="false">S9</f>
        <v>1526136</v>
      </c>
      <c r="T61" s="30" t="n">
        <f aca="false">T9</f>
        <v>1519572</v>
      </c>
      <c r="U61" s="30" t="n">
        <f aca="false">U9</f>
        <v>1513008</v>
      </c>
      <c r="V61" s="30" t="n">
        <f aca="false">V9</f>
        <v>1506444</v>
      </c>
      <c r="W61" s="30" t="n">
        <f aca="false">W9</f>
        <v>1499880</v>
      </c>
    </row>
    <row r="62" customFormat="false" ht="18.75" hidden="false" customHeight="true" outlineLevel="0" collapsed="false">
      <c r="B62" s="31" t="s">
        <v>25</v>
      </c>
      <c r="C62" s="32" t="s">
        <v>26</v>
      </c>
      <c r="D62" s="33" t="n">
        <f aca="false">D15</f>
        <v>6035700</v>
      </c>
      <c r="E62" s="33" t="n">
        <f aca="false">E15</f>
        <v>6011313</v>
      </c>
      <c r="F62" s="33" t="n">
        <f aca="false">F15</f>
        <v>5986926</v>
      </c>
      <c r="G62" s="33" t="n">
        <f aca="false">G15</f>
        <v>5962539</v>
      </c>
      <c r="H62" s="33" t="n">
        <f aca="false">H15</f>
        <v>5938152</v>
      </c>
      <c r="I62" s="33" t="n">
        <f aca="false">I15</f>
        <v>5913765</v>
      </c>
      <c r="J62" s="33" t="n">
        <f aca="false">J15</f>
        <v>5889378</v>
      </c>
      <c r="K62" s="33" t="n">
        <f aca="false">K15</f>
        <v>5864991</v>
      </c>
      <c r="L62" s="33" t="n">
        <f aca="false">L15</f>
        <v>5840607</v>
      </c>
      <c r="M62" s="33" t="n">
        <f aca="false">M15</f>
        <v>5816220</v>
      </c>
      <c r="N62" s="33" t="n">
        <f aca="false">N15</f>
        <v>5791833</v>
      </c>
      <c r="O62" s="33" t="n">
        <f aca="false">O15</f>
        <v>5767446</v>
      </c>
      <c r="P62" s="33" t="n">
        <f aca="false">P15</f>
        <v>5743059</v>
      </c>
      <c r="Q62" s="33" t="n">
        <f aca="false">Q15</f>
        <v>5718672</v>
      </c>
      <c r="R62" s="33" t="n">
        <f aca="false">R15</f>
        <v>5694285</v>
      </c>
      <c r="S62" s="33" t="n">
        <f aca="false">S15</f>
        <v>5669898</v>
      </c>
      <c r="T62" s="33" t="n">
        <f aca="false">T15</f>
        <v>5645511</v>
      </c>
      <c r="U62" s="33" t="n">
        <f aca="false">U15</f>
        <v>5621127</v>
      </c>
      <c r="V62" s="33" t="n">
        <f aca="false">V15</f>
        <v>5596740</v>
      </c>
      <c r="W62" s="33" t="n">
        <f aca="false">W15</f>
        <v>5572353</v>
      </c>
    </row>
    <row r="63" customFormat="false" ht="18.75" hidden="false" customHeight="true" outlineLevel="0" collapsed="false">
      <c r="B63" s="34" t="s">
        <v>27</v>
      </c>
      <c r="C63" s="35" t="s">
        <v>26</v>
      </c>
      <c r="D63" s="36"/>
      <c r="E63" s="36"/>
      <c r="F63" s="36"/>
      <c r="G63" s="37" t="s">
        <v>26</v>
      </c>
      <c r="H63" s="37" t="s">
        <v>26</v>
      </c>
      <c r="I63" s="37" t="s">
        <v>26</v>
      </c>
      <c r="J63" s="37" t="s">
        <v>26</v>
      </c>
      <c r="K63" s="37" t="s">
        <v>26</v>
      </c>
      <c r="L63" s="37" t="s">
        <v>26</v>
      </c>
      <c r="M63" s="37" t="s">
        <v>26</v>
      </c>
      <c r="N63" s="37" t="s">
        <v>26</v>
      </c>
      <c r="O63" s="37" t="s">
        <v>26</v>
      </c>
      <c r="P63" s="37" t="s">
        <v>26</v>
      </c>
      <c r="Q63" s="37" t="s">
        <v>26</v>
      </c>
      <c r="R63" s="37" t="s">
        <v>26</v>
      </c>
      <c r="S63" s="37" t="s">
        <v>26</v>
      </c>
      <c r="T63" s="37" t="s">
        <v>26</v>
      </c>
      <c r="U63" s="37" t="s">
        <v>26</v>
      </c>
      <c r="V63" s="37" t="s">
        <v>26</v>
      </c>
      <c r="W63" s="37" t="s">
        <v>26</v>
      </c>
    </row>
    <row r="64" customFormat="false" ht="18.75" hidden="false" customHeight="true" outlineLevel="0" collapsed="false">
      <c r="B64" s="38" t="s">
        <v>28</v>
      </c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customFormat="false" ht="18.75" hidden="false" customHeight="true" outlineLevel="0" collapsed="false">
      <c r="B65" s="41" t="s">
        <v>29</v>
      </c>
      <c r="C65" s="42" t="n">
        <f aca="false">-SUM(D51:W51)</f>
        <v>-65601900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 customFormat="false" ht="18.75" hidden="false" customHeight="true" outlineLevel="0" collapsed="false">
      <c r="B66" s="41" t="s">
        <v>30</v>
      </c>
      <c r="C66" s="35" t="s">
        <v>26</v>
      </c>
      <c r="D66" s="43" t="n">
        <f aca="false">-D21</f>
        <v>-870603</v>
      </c>
      <c r="E66" s="43" t="n">
        <f aca="false">-E21</f>
        <v>-870603</v>
      </c>
      <c r="F66" s="43" t="n">
        <f aca="false">-F21</f>
        <v>-870603</v>
      </c>
      <c r="G66" s="43" t="n">
        <f aca="false">-G21</f>
        <v>-870603</v>
      </c>
      <c r="H66" s="43" t="n">
        <f aca="false">-H21</f>
        <v>-870603</v>
      </c>
      <c r="I66" s="43" t="n">
        <f aca="false">-I21</f>
        <v>-870603</v>
      </c>
      <c r="J66" s="43" t="n">
        <f aca="false">-J21</f>
        <v>-870603</v>
      </c>
      <c r="K66" s="43" t="n">
        <f aca="false">-K21</f>
        <v>-870603</v>
      </c>
      <c r="L66" s="43" t="n">
        <f aca="false">-L21</f>
        <v>-870603</v>
      </c>
      <c r="M66" s="43" t="n">
        <f aca="false">-M21</f>
        <v>-870603</v>
      </c>
      <c r="N66" s="43" t="n">
        <f aca="false">-N21</f>
        <v>-870603</v>
      </c>
      <c r="O66" s="43" t="n">
        <f aca="false">-O21</f>
        <v>-870603</v>
      </c>
      <c r="P66" s="43" t="n">
        <f aca="false">-P21</f>
        <v>-870603</v>
      </c>
      <c r="Q66" s="43" t="n">
        <f aca="false">-Q21</f>
        <v>-870603</v>
      </c>
      <c r="R66" s="43" t="n">
        <f aca="false">-R21</f>
        <v>-870603</v>
      </c>
      <c r="S66" s="43" t="n">
        <f aca="false">-S21</f>
        <v>-870603</v>
      </c>
      <c r="T66" s="43" t="n">
        <f aca="false">-T21</f>
        <v>-870603</v>
      </c>
      <c r="U66" s="43" t="n">
        <f aca="false">-U21</f>
        <v>-870603</v>
      </c>
      <c r="V66" s="43" t="n">
        <f aca="false">-V21</f>
        <v>-870603</v>
      </c>
      <c r="W66" s="43" t="n">
        <f aca="false">-W21</f>
        <v>-870603</v>
      </c>
    </row>
    <row r="67" customFormat="false" ht="18.75" hidden="false" customHeight="true" outlineLevel="0" collapsed="false">
      <c r="B67" s="41" t="s">
        <v>31</v>
      </c>
      <c r="C67" s="35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customFormat="false" ht="18.75" hidden="false" customHeight="true" outlineLevel="0" collapsed="false">
      <c r="B68" s="41" t="s">
        <v>32</v>
      </c>
      <c r="C68" s="35" t="s">
        <v>26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customFormat="false" ht="18.75" hidden="false" customHeight="true" outlineLevel="0" collapsed="false">
      <c r="B69" s="41" t="s">
        <v>33</v>
      </c>
      <c r="C69" s="35" t="s">
        <v>26</v>
      </c>
      <c r="D69" s="43" t="n">
        <f aca="false">-D27</f>
        <v>-523320</v>
      </c>
      <c r="E69" s="43" t="n">
        <f aca="false">-E27</f>
        <v>-523320</v>
      </c>
      <c r="F69" s="43" t="n">
        <f aca="false">-F27</f>
        <v>-523320</v>
      </c>
      <c r="G69" s="43" t="n">
        <f aca="false">-G27</f>
        <v>-523320</v>
      </c>
      <c r="H69" s="43" t="n">
        <f aca="false">-H27</f>
        <v>-523320</v>
      </c>
      <c r="I69" s="43" t="n">
        <f aca="false">-I27</f>
        <v>-523320</v>
      </c>
      <c r="J69" s="43" t="n">
        <f aca="false">-J27</f>
        <v>-523320</v>
      </c>
      <c r="K69" s="43" t="n">
        <f aca="false">-K27</f>
        <v>-523320</v>
      </c>
      <c r="L69" s="43" t="n">
        <f aca="false">-L27</f>
        <v>-523320</v>
      </c>
      <c r="M69" s="43" t="n">
        <f aca="false">-M27</f>
        <v>-523320</v>
      </c>
      <c r="N69" s="43" t="n">
        <f aca="false">-N27</f>
        <v>-523320</v>
      </c>
      <c r="O69" s="43" t="n">
        <f aca="false">-O27</f>
        <v>-523320</v>
      </c>
      <c r="P69" s="43" t="n">
        <f aca="false">-P27</f>
        <v>-523320</v>
      </c>
      <c r="Q69" s="43" t="n">
        <f aca="false">-Q27</f>
        <v>-523320</v>
      </c>
      <c r="R69" s="43" t="n">
        <f aca="false">-R27</f>
        <v>-523320</v>
      </c>
      <c r="S69" s="43" t="n">
        <f aca="false">-S27</f>
        <v>-523320</v>
      </c>
      <c r="T69" s="43" t="n">
        <f aca="false">-T27</f>
        <v>-523320</v>
      </c>
      <c r="U69" s="43" t="n">
        <f aca="false">-U27</f>
        <v>-523320</v>
      </c>
      <c r="V69" s="43" t="n">
        <f aca="false">-V27</f>
        <v>-523320</v>
      </c>
      <c r="W69" s="43" t="n">
        <f aca="false">-W27</f>
        <v>-523320</v>
      </c>
    </row>
    <row r="70" customFormat="false" ht="18.75" hidden="false" customHeight="true" outlineLevel="0" collapsed="false">
      <c r="B70" s="41" t="s">
        <v>34</v>
      </c>
      <c r="C70" s="35" t="s">
        <v>26</v>
      </c>
      <c r="D70" s="43" t="n">
        <f aca="false">-D33</f>
        <v>-129522</v>
      </c>
      <c r="E70" s="43" t="n">
        <f aca="false">-E33</f>
        <v>-129522</v>
      </c>
      <c r="F70" s="43" t="n">
        <f aca="false">-F33</f>
        <v>-129522</v>
      </c>
      <c r="G70" s="43" t="n">
        <f aca="false">-G33</f>
        <v>-129522</v>
      </c>
      <c r="H70" s="43" t="n">
        <f aca="false">-H33</f>
        <v>-129522</v>
      </c>
      <c r="I70" s="43" t="n">
        <f aca="false">-I33</f>
        <v>-129522</v>
      </c>
      <c r="J70" s="43" t="n">
        <f aca="false">-J33</f>
        <v>-129522</v>
      </c>
      <c r="K70" s="43" t="n">
        <f aca="false">-K33</f>
        <v>-129522</v>
      </c>
      <c r="L70" s="43" t="n">
        <f aca="false">-L33</f>
        <v>-129522</v>
      </c>
      <c r="M70" s="43" t="n">
        <f aca="false">-M33</f>
        <v>-129522</v>
      </c>
      <c r="N70" s="43" t="n">
        <f aca="false">-N33</f>
        <v>-129522</v>
      </c>
      <c r="O70" s="43" t="n">
        <f aca="false">-O33</f>
        <v>-129522</v>
      </c>
      <c r="P70" s="43" t="n">
        <f aca="false">-P33</f>
        <v>-129522</v>
      </c>
      <c r="Q70" s="43" t="n">
        <f aca="false">-Q33</f>
        <v>-129522</v>
      </c>
      <c r="R70" s="43" t="n">
        <f aca="false">-R33</f>
        <v>-129522</v>
      </c>
      <c r="S70" s="43" t="n">
        <f aca="false">-S33</f>
        <v>-129522</v>
      </c>
      <c r="T70" s="43" t="n">
        <f aca="false">-T33</f>
        <v>-129522</v>
      </c>
      <c r="U70" s="43" t="n">
        <f aca="false">-U33</f>
        <v>-129522</v>
      </c>
      <c r="V70" s="43" t="n">
        <f aca="false">-V33</f>
        <v>-129522</v>
      </c>
      <c r="W70" s="43" t="n">
        <f aca="false">-W33</f>
        <v>-129522</v>
      </c>
    </row>
    <row r="71" customFormat="false" ht="18.75" hidden="false" customHeight="true" outlineLevel="0" collapsed="false">
      <c r="B71" s="41" t="s">
        <v>35</v>
      </c>
      <c r="C71" s="35"/>
      <c r="D71" s="43" t="n">
        <f aca="false">-D39</f>
        <v>-130830</v>
      </c>
      <c r="E71" s="43" t="n">
        <f aca="false">-E39</f>
        <v>-130830</v>
      </c>
      <c r="F71" s="43" t="n">
        <f aca="false">-F39</f>
        <v>-130830</v>
      </c>
      <c r="G71" s="43" t="n">
        <f aca="false">-G39</f>
        <v>-130830</v>
      </c>
      <c r="H71" s="43" t="n">
        <f aca="false">-H39</f>
        <v>-130830</v>
      </c>
      <c r="I71" s="43" t="n">
        <f aca="false">-I39</f>
        <v>-130830</v>
      </c>
      <c r="J71" s="43" t="n">
        <f aca="false">-J39</f>
        <v>-130830</v>
      </c>
      <c r="K71" s="43" t="n">
        <f aca="false">-K39</f>
        <v>-130830</v>
      </c>
      <c r="L71" s="43" t="n">
        <f aca="false">-L39</f>
        <v>-130830</v>
      </c>
      <c r="M71" s="43" t="n">
        <f aca="false">-M39</f>
        <v>-130830</v>
      </c>
      <c r="N71" s="43" t="n">
        <f aca="false">-N39</f>
        <v>-0</v>
      </c>
      <c r="O71" s="43" t="n">
        <f aca="false">-O39</f>
        <v>-0</v>
      </c>
      <c r="P71" s="43" t="n">
        <f aca="false">-P39</f>
        <v>-0</v>
      </c>
      <c r="Q71" s="43" t="n">
        <f aca="false">-Q39</f>
        <v>-0</v>
      </c>
      <c r="R71" s="43" t="n">
        <f aca="false">-R39</f>
        <v>-0</v>
      </c>
      <c r="S71" s="43" t="n">
        <f aca="false">-S39</f>
        <v>-0</v>
      </c>
      <c r="T71" s="43" t="n">
        <f aca="false">-T39</f>
        <v>-0</v>
      </c>
      <c r="U71" s="43" t="n">
        <f aca="false">-U39</f>
        <v>-0</v>
      </c>
      <c r="V71" s="43" t="n">
        <f aca="false">-V39</f>
        <v>-0</v>
      </c>
      <c r="W71" s="43" t="n">
        <f aca="false">-W39</f>
        <v>-0</v>
      </c>
    </row>
    <row r="72" customFormat="false" ht="18.75" hidden="false" customHeight="true" outlineLevel="0" collapsed="false">
      <c r="B72" s="41" t="s">
        <v>36</v>
      </c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customFormat="false" ht="18.75" hidden="false" customHeight="true" outlineLevel="0" collapsed="false">
      <c r="B73" s="41" t="s">
        <v>37</v>
      </c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customFormat="false" ht="18.75" hidden="false" customHeight="true" outlineLevel="0" collapsed="false">
      <c r="B74" s="45" t="s">
        <v>38</v>
      </c>
      <c r="C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customFormat="false" ht="18.75" hidden="false" customHeight="true" outlineLevel="0" collapsed="false">
      <c r="B75" s="45" t="s">
        <v>39</v>
      </c>
      <c r="C75" s="44"/>
      <c r="D75" s="43" t="n">
        <f aca="false">-D98</f>
        <v>94623.12</v>
      </c>
      <c r="E75" s="43" t="n">
        <f aca="false">-E98</f>
        <v>77008.44</v>
      </c>
      <c r="F75" s="43" t="n">
        <f aca="false">-F98</f>
        <v>59393.76</v>
      </c>
      <c r="G75" s="43" t="n">
        <f aca="false">-G98</f>
        <v>41779.08</v>
      </c>
      <c r="H75" s="43" t="n">
        <f aca="false">-H98</f>
        <v>24164.4</v>
      </c>
      <c r="I75" s="43" t="n">
        <f aca="false">-I98</f>
        <v>6549.72</v>
      </c>
      <c r="J75" s="43" t="n">
        <f aca="false">-J98</f>
        <v>-11064.96</v>
      </c>
      <c r="K75" s="43" t="n">
        <f aca="false">-K98</f>
        <v>-28679.64</v>
      </c>
      <c r="L75" s="43" t="n">
        <f aca="false">-L98</f>
        <v>-46294.92</v>
      </c>
      <c r="M75" s="43" t="n">
        <f aca="false">-M98</f>
        <v>-63909.6</v>
      </c>
      <c r="N75" s="43" t="n">
        <f aca="false">-N98</f>
        <v>-107690.28</v>
      </c>
      <c r="O75" s="43" t="n">
        <f aca="false">-O98</f>
        <v>-125304.96</v>
      </c>
      <c r="P75" s="43" t="n">
        <f aca="false">-P98</f>
        <v>-142919.64</v>
      </c>
      <c r="Q75" s="43" t="n">
        <f aca="false">-Q98</f>
        <v>-160534.32</v>
      </c>
      <c r="R75" s="43" t="n">
        <f aca="false">-R98</f>
        <v>-178149</v>
      </c>
      <c r="S75" s="43" t="n">
        <f aca="false">-S98</f>
        <v>-173271.6</v>
      </c>
      <c r="T75" s="43" t="n">
        <f aca="false">-T98</f>
        <v>-168394.2</v>
      </c>
      <c r="U75" s="43" t="n">
        <f aca="false">-U98</f>
        <v>-163517.4</v>
      </c>
      <c r="V75" s="43" t="n">
        <f aca="false">-V98</f>
        <v>-158640</v>
      </c>
      <c r="W75" s="43" t="n">
        <f aca="false">-W98</f>
        <v>-153762.6</v>
      </c>
    </row>
    <row r="76" customFormat="false" ht="18.75" hidden="false" customHeight="true" outlineLevel="0" collapsed="false">
      <c r="B76" s="46" t="s">
        <v>40</v>
      </c>
      <c r="C76" s="47" t="n">
        <f aca="false">C65</f>
        <v>-65601900</v>
      </c>
      <c r="D76" s="48" t="n">
        <f aca="false">SUM(D62:D75)</f>
        <v>4476048.12</v>
      </c>
      <c r="E76" s="48" t="n">
        <f aca="false">SUM(E62:E75)</f>
        <v>4434046.44</v>
      </c>
      <c r="F76" s="48" t="n">
        <f aca="false">SUM(F62:F75)</f>
        <v>4392044.76</v>
      </c>
      <c r="G76" s="48" t="n">
        <f aca="false">SUM(G62:G75)</f>
        <v>4350043.08</v>
      </c>
      <c r="H76" s="48" t="n">
        <f aca="false">SUM(H62:H75)</f>
        <v>4308041.4</v>
      </c>
      <c r="I76" s="48" t="n">
        <f aca="false">SUM(I62:I75)</f>
        <v>4266039.72</v>
      </c>
      <c r="J76" s="48" t="n">
        <f aca="false">SUM(J62:J75)</f>
        <v>4224038.04</v>
      </c>
      <c r="K76" s="48" t="n">
        <f aca="false">SUM(K62:K75)</f>
        <v>4182036.36</v>
      </c>
      <c r="L76" s="48" t="n">
        <f aca="false">SUM(L62:L75)</f>
        <v>4140037.08</v>
      </c>
      <c r="M76" s="48" t="n">
        <f aca="false">SUM(M62:M75)</f>
        <v>4098035.4</v>
      </c>
      <c r="N76" s="48" t="n">
        <f aca="false">SUM(N62:N75)</f>
        <v>4160697.72</v>
      </c>
      <c r="O76" s="48" t="n">
        <f aca="false">SUM(O62:O75)</f>
        <v>4118696.04</v>
      </c>
      <c r="P76" s="48" t="n">
        <f aca="false">SUM(P62:P75)</f>
        <v>4076694.36</v>
      </c>
      <c r="Q76" s="48" t="n">
        <f aca="false">SUM(Q62:Q75)</f>
        <v>4034692.68</v>
      </c>
      <c r="R76" s="48" t="n">
        <f aca="false">SUM(R62:R75)</f>
        <v>3992691</v>
      </c>
      <c r="S76" s="48" t="n">
        <f aca="false">SUM(S62:S75)</f>
        <v>3973181.4</v>
      </c>
      <c r="T76" s="48" t="n">
        <f aca="false">SUM(T62:T75)</f>
        <v>3953671.8</v>
      </c>
      <c r="U76" s="48" t="n">
        <f aca="false">SUM(U62:U75)</f>
        <v>3934164.6</v>
      </c>
      <c r="V76" s="48" t="n">
        <f aca="false">SUM(V62:V75)</f>
        <v>3914655</v>
      </c>
      <c r="W76" s="48" t="n">
        <f aca="false">SUM(W62:W75)</f>
        <v>3895145.4</v>
      </c>
    </row>
    <row r="77" customFormat="false" ht="18.75" hidden="false" customHeight="true" outlineLevel="0" collapsed="false">
      <c r="B77" s="49" t="s">
        <v>41</v>
      </c>
      <c r="D77" s="50" t="n">
        <f aca="false">C55+D55</f>
        <v>90</v>
      </c>
      <c r="E77" s="50" t="n">
        <f aca="false">D56+E55</f>
        <v>0</v>
      </c>
      <c r="F77" s="50" t="n">
        <f aca="false">E56+F55</f>
        <v>0</v>
      </c>
      <c r="G77" s="50" t="n">
        <f aca="false">F56+G55</f>
        <v>0</v>
      </c>
      <c r="H77" s="50" t="n">
        <f aca="false">G56+H55</f>
        <v>0</v>
      </c>
      <c r="I77" s="50" t="n">
        <f aca="false">H56+I55</f>
        <v>0</v>
      </c>
      <c r="J77" s="50" t="n">
        <f aca="false">I56+J55</f>
        <v>0</v>
      </c>
      <c r="K77" s="50" t="n">
        <f aca="false">J56+K55</f>
        <v>0</v>
      </c>
      <c r="L77" s="50" t="n">
        <f aca="false">K56+L55</f>
        <v>0</v>
      </c>
      <c r="M77" s="50" t="n">
        <f aca="false">L56+M55</f>
        <v>0</v>
      </c>
      <c r="N77" s="50" t="n">
        <f aca="false">M56+N55</f>
        <v>0</v>
      </c>
      <c r="O77" s="50" t="n">
        <f aca="false">N56+O55</f>
        <v>0</v>
      </c>
      <c r="P77" s="50" t="n">
        <f aca="false">O56+P55</f>
        <v>0</v>
      </c>
      <c r="Q77" s="50" t="n">
        <f aca="false">P56+Q55</f>
        <v>0</v>
      </c>
      <c r="R77" s="50" t="n">
        <f aca="false">Q56+R55</f>
        <v>0</v>
      </c>
      <c r="S77" s="50" t="n">
        <f aca="false">R56+S55</f>
        <v>0</v>
      </c>
      <c r="T77" s="50" t="n">
        <f aca="false">S56+T55</f>
        <v>0</v>
      </c>
      <c r="U77" s="50" t="n">
        <f aca="false">T56+U55</f>
        <v>0</v>
      </c>
      <c r="V77" s="50" t="n">
        <f aca="false">U56+V55</f>
        <v>0</v>
      </c>
      <c r="W77" s="50" t="n">
        <f aca="false">V56+W55</f>
        <v>0</v>
      </c>
    </row>
    <row r="78" customFormat="false" ht="18.75" hidden="false" customHeight="true" outlineLevel="0" collapsed="false">
      <c r="B78" s="51" t="s">
        <v>42</v>
      </c>
      <c r="C78" s="52"/>
      <c r="D78" s="53" t="str">
        <f aca="false">IF((D56)&gt;0,"回收","未回收")</f>
        <v>未回收</v>
      </c>
      <c r="E78" s="54" t="str">
        <f aca="false">IF((E56)&gt;0,"回收","未回收")</f>
        <v>未回收</v>
      </c>
      <c r="F78" s="54" t="str">
        <f aca="false">IF((F56)&gt;0,"回收","未回收")</f>
        <v>未回收</v>
      </c>
      <c r="G78" s="54" t="str">
        <f aca="false">IF((G56)&gt;0,"回收","未回收")</f>
        <v>未回收</v>
      </c>
      <c r="H78" s="54" t="str">
        <f aca="false">IF((H56)&gt;0,"回收","未回收")</f>
        <v>未回收</v>
      </c>
      <c r="I78" s="54" t="str">
        <f aca="false">IF((I56)&gt;0,"回收","未回收")</f>
        <v>未回收</v>
      </c>
      <c r="J78" s="54" t="str">
        <f aca="false">IF((J56)&gt;0,"回收","未回收")</f>
        <v>未回收</v>
      </c>
      <c r="K78" s="54" t="str">
        <f aca="false">IF((K56)&gt;0,"回收","未回收")</f>
        <v>未回收</v>
      </c>
      <c r="L78" s="54" t="str">
        <f aca="false">IF((L56)&gt;0,"回收","未回收")</f>
        <v>未回收</v>
      </c>
      <c r="M78" s="54" t="str">
        <f aca="false">IF((M56)&gt;0,"回收","未回收")</f>
        <v>未回收</v>
      </c>
      <c r="N78" s="54" t="str">
        <f aca="false">IF((N56)&gt;0,"回收","未回收")</f>
        <v>未回收</v>
      </c>
      <c r="O78" s="54" t="str">
        <f aca="false">IF((O56)&gt;0,"回收","未回收")</f>
        <v>未回收</v>
      </c>
      <c r="P78" s="54" t="str">
        <f aca="false">IF((P56)&gt;0,"回收","未回收")</f>
        <v>未回收</v>
      </c>
      <c r="Q78" s="54" t="str">
        <f aca="false">IF((Q56)&gt;0,"回收","未回收")</f>
        <v>未回收</v>
      </c>
      <c r="R78" s="54" t="str">
        <f aca="false">IF((R56)&gt;0,"回收","未回收")</f>
        <v>未回收</v>
      </c>
      <c r="S78" s="54" t="str">
        <f aca="false">IF((S56)&gt;0,"回收","未回收")</f>
        <v>未回收</v>
      </c>
      <c r="T78" s="54" t="str">
        <f aca="false">IF((T56)&gt;0,"回收","未回收")</f>
        <v>未回收</v>
      </c>
      <c r="U78" s="54" t="str">
        <f aca="false">IF((U56)&gt;0,"回收","未回收")</f>
        <v>未回收</v>
      </c>
      <c r="V78" s="54" t="str">
        <f aca="false">IF((V56)&gt;0,"回收","未回收")</f>
        <v>未回收</v>
      </c>
      <c r="W78" s="54" t="str">
        <f aca="false">IF((W56)&gt;0,"回收","未回收")</f>
        <v>未回收</v>
      </c>
    </row>
    <row r="79" customFormat="false" ht="18.75" hidden="false" customHeight="true" outlineLevel="0" collapsed="false">
      <c r="B79" s="55" t="s">
        <v>43</v>
      </c>
      <c r="C79" s="56" t="n">
        <f aca="false">IRR(C76:W76)</f>
        <v>0.0240372560989291</v>
      </c>
      <c r="D79" s="57"/>
      <c r="E79" s="57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</row>
    <row r="80" customFormat="false" ht="18.75" hidden="false" customHeight="true" outlineLevel="0" collapsed="false">
      <c r="B80" s="58"/>
      <c r="C80" s="57"/>
      <c r="D80" s="57"/>
      <c r="E80" s="57"/>
      <c r="F80" s="58"/>
      <c r="G80" s="58"/>
      <c r="H80" s="58"/>
      <c r="I80" s="58"/>
      <c r="J80" s="58"/>
      <c r="K80" s="58"/>
      <c r="L80" s="58"/>
      <c r="M80" s="57"/>
      <c r="N80" s="58"/>
      <c r="O80" s="58"/>
      <c r="P80" s="58"/>
      <c r="Q80" s="58"/>
      <c r="R80" s="58"/>
      <c r="S80" s="58"/>
      <c r="T80" s="58"/>
      <c r="U80" s="58"/>
      <c r="V80" s="58"/>
      <c r="W80" s="58"/>
    </row>
    <row r="81" customFormat="false" ht="18.75" hidden="false" customHeight="true" outlineLevel="0" collapsed="false">
      <c r="B81" s="16"/>
      <c r="C81" s="17" t="s">
        <v>0</v>
      </c>
      <c r="D81" s="17" t="n">
        <v>2023</v>
      </c>
      <c r="E81" s="17" t="n">
        <v>2024</v>
      </c>
      <c r="F81" s="17" t="n">
        <v>2025</v>
      </c>
      <c r="G81" s="17" t="n">
        <v>2026</v>
      </c>
      <c r="H81" s="17" t="n">
        <v>2027</v>
      </c>
      <c r="I81" s="17" t="n">
        <v>2028</v>
      </c>
      <c r="J81" s="17" t="n">
        <v>2029</v>
      </c>
      <c r="K81" s="17" t="n">
        <v>2030</v>
      </c>
      <c r="L81" s="17" t="n">
        <v>2031</v>
      </c>
      <c r="M81" s="17" t="n">
        <v>2032</v>
      </c>
      <c r="N81" s="17" t="n">
        <v>2033</v>
      </c>
      <c r="O81" s="17" t="n">
        <v>2034</v>
      </c>
      <c r="P81" s="17" t="n">
        <v>2035</v>
      </c>
      <c r="Q81" s="17" t="n">
        <v>2036</v>
      </c>
      <c r="R81" s="17" t="n">
        <v>2037</v>
      </c>
      <c r="S81" s="17" t="n">
        <v>2038</v>
      </c>
      <c r="T81" s="17" t="n">
        <v>2039</v>
      </c>
      <c r="U81" s="17" t="n">
        <v>2040</v>
      </c>
      <c r="V81" s="17" t="n">
        <v>2041</v>
      </c>
      <c r="W81" s="17" t="n">
        <v>2042</v>
      </c>
    </row>
    <row r="82" customFormat="false" ht="18.75" hidden="false" customHeight="true" outlineLevel="0" collapsed="false">
      <c r="B82" s="18" t="n">
        <v>0</v>
      </c>
      <c r="C82" s="19"/>
      <c r="D82" s="20"/>
      <c r="E82" s="20"/>
      <c r="F82" s="2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59" t="s">
        <v>44</v>
      </c>
      <c r="U82" s="22"/>
      <c r="V82" s="22"/>
      <c r="W82" s="22"/>
    </row>
    <row r="83" customFormat="false" ht="18.75" hidden="false" customHeight="true" outlineLevel="0" collapsed="false">
      <c r="B83" s="24" t="s">
        <v>23</v>
      </c>
      <c r="C83" s="25" t="n">
        <v>0</v>
      </c>
      <c r="D83" s="26" t="n">
        <v>1</v>
      </c>
      <c r="E83" s="26" t="n">
        <v>2</v>
      </c>
      <c r="F83" s="26" t="n">
        <v>3</v>
      </c>
      <c r="G83" s="26" t="n">
        <v>4</v>
      </c>
      <c r="H83" s="26" t="n">
        <v>5</v>
      </c>
      <c r="I83" s="26" t="n">
        <v>6</v>
      </c>
      <c r="J83" s="26" t="n">
        <v>7</v>
      </c>
      <c r="K83" s="26" t="n">
        <v>8</v>
      </c>
      <c r="L83" s="26" t="n">
        <v>9</v>
      </c>
      <c r="M83" s="26" t="n">
        <v>10</v>
      </c>
      <c r="N83" s="26" t="n">
        <v>11</v>
      </c>
      <c r="O83" s="26" t="n">
        <v>12</v>
      </c>
      <c r="P83" s="26" t="n">
        <v>13</v>
      </c>
      <c r="Q83" s="26" t="n">
        <v>14</v>
      </c>
      <c r="R83" s="26" t="n">
        <v>15</v>
      </c>
      <c r="S83" s="26" t="n">
        <v>16</v>
      </c>
      <c r="T83" s="60" t="n">
        <v>17</v>
      </c>
      <c r="U83" s="26" t="n">
        <v>18</v>
      </c>
      <c r="V83" s="26" t="n">
        <v>19</v>
      </c>
      <c r="W83" s="26" t="n">
        <v>20</v>
      </c>
    </row>
    <row r="84" customFormat="false" ht="18.75" hidden="false" customHeight="true" outlineLevel="0" collapsed="false">
      <c r="B84" s="28" t="s">
        <v>24</v>
      </c>
      <c r="C84" s="29" t="n">
        <v>0</v>
      </c>
      <c r="D84" s="30" t="n">
        <f aca="false">D9</f>
        <v>1624596</v>
      </c>
      <c r="E84" s="30" t="n">
        <f aca="false">E9</f>
        <v>1618032</v>
      </c>
      <c r="F84" s="30" t="n">
        <f aca="false">F9</f>
        <v>1611468</v>
      </c>
      <c r="G84" s="30" t="n">
        <f aca="false">G9</f>
        <v>1604904</v>
      </c>
      <c r="H84" s="30" t="n">
        <f aca="false">H9</f>
        <v>1598340</v>
      </c>
      <c r="I84" s="30" t="n">
        <f aca="false">I9</f>
        <v>1591776</v>
      </c>
      <c r="J84" s="30" t="n">
        <f aca="false">J9</f>
        <v>1585212</v>
      </c>
      <c r="K84" s="30" t="n">
        <f aca="false">K9</f>
        <v>1578648</v>
      </c>
      <c r="L84" s="30" t="n">
        <f aca="false">L9</f>
        <v>1572084</v>
      </c>
      <c r="M84" s="30" t="n">
        <f aca="false">M9</f>
        <v>1565520</v>
      </c>
      <c r="N84" s="30" t="n">
        <f aca="false">N9</f>
        <v>1558956</v>
      </c>
      <c r="O84" s="30" t="n">
        <f aca="false">O9</f>
        <v>1552392</v>
      </c>
      <c r="P84" s="30" t="n">
        <f aca="false">P9</f>
        <v>1545828</v>
      </c>
      <c r="Q84" s="30" t="n">
        <f aca="false">Q9</f>
        <v>1539264</v>
      </c>
      <c r="R84" s="30" t="n">
        <f aca="false">R9</f>
        <v>1532700</v>
      </c>
      <c r="S84" s="30" t="n">
        <f aca="false">S9</f>
        <v>1526136</v>
      </c>
      <c r="T84" s="30" t="n">
        <f aca="false">T9</f>
        <v>1519572</v>
      </c>
      <c r="U84" s="30" t="n">
        <f aca="false">U9</f>
        <v>1513008</v>
      </c>
      <c r="V84" s="30" t="n">
        <f aca="false">V9</f>
        <v>1506444</v>
      </c>
      <c r="W84" s="30" t="n">
        <f aca="false">W9</f>
        <v>1499880</v>
      </c>
    </row>
    <row r="85" customFormat="false" ht="18.75" hidden="false" customHeight="true" outlineLevel="0" collapsed="false">
      <c r="B85" s="31" t="s">
        <v>25</v>
      </c>
      <c r="C85" s="32" t="s">
        <v>26</v>
      </c>
      <c r="D85" s="33" t="n">
        <f aca="false">D15</f>
        <v>6035700</v>
      </c>
      <c r="E85" s="33" t="n">
        <f aca="false">E15</f>
        <v>6011313</v>
      </c>
      <c r="F85" s="33" t="n">
        <f aca="false">F15</f>
        <v>5986926</v>
      </c>
      <c r="G85" s="33" t="n">
        <f aca="false">G15</f>
        <v>5962539</v>
      </c>
      <c r="H85" s="33" t="n">
        <f aca="false">H15</f>
        <v>5938152</v>
      </c>
      <c r="I85" s="33" t="n">
        <f aca="false">I15</f>
        <v>5913765</v>
      </c>
      <c r="J85" s="33" t="n">
        <f aca="false">J15</f>
        <v>5889378</v>
      </c>
      <c r="K85" s="33" t="n">
        <f aca="false">K15</f>
        <v>5864991</v>
      </c>
      <c r="L85" s="33" t="n">
        <f aca="false">L15</f>
        <v>5840607</v>
      </c>
      <c r="M85" s="33" t="n">
        <f aca="false">M15</f>
        <v>5816220</v>
      </c>
      <c r="N85" s="33" t="n">
        <f aca="false">N15</f>
        <v>5791833</v>
      </c>
      <c r="O85" s="33" t="n">
        <f aca="false">O15</f>
        <v>5767446</v>
      </c>
      <c r="P85" s="33" t="n">
        <f aca="false">P15</f>
        <v>5743059</v>
      </c>
      <c r="Q85" s="33" t="n">
        <f aca="false">Q15</f>
        <v>5718672</v>
      </c>
      <c r="R85" s="33" t="n">
        <f aca="false">R15</f>
        <v>5694285</v>
      </c>
      <c r="S85" s="33" t="n">
        <f aca="false">S15</f>
        <v>5669898</v>
      </c>
      <c r="T85" s="33" t="n">
        <f aca="false">T15</f>
        <v>5645511</v>
      </c>
      <c r="U85" s="33" t="n">
        <f aca="false">U15</f>
        <v>5621127</v>
      </c>
      <c r="V85" s="33" t="n">
        <f aca="false">V15</f>
        <v>5596740</v>
      </c>
      <c r="W85" s="33" t="n">
        <f aca="false">W15</f>
        <v>5572353</v>
      </c>
    </row>
    <row r="86" customFormat="false" ht="18.75" hidden="false" customHeight="true" outlineLevel="0" collapsed="false">
      <c r="B86" s="34" t="s">
        <v>27</v>
      </c>
      <c r="C86" s="35" t="s">
        <v>26</v>
      </c>
      <c r="D86" s="37"/>
      <c r="E86" s="37"/>
      <c r="F86" s="37"/>
      <c r="G86" s="37" t="s">
        <v>26</v>
      </c>
      <c r="H86" s="37" t="s">
        <v>26</v>
      </c>
      <c r="I86" s="37" t="s">
        <v>26</v>
      </c>
      <c r="J86" s="37" t="s">
        <v>26</v>
      </c>
      <c r="K86" s="37" t="s">
        <v>26</v>
      </c>
      <c r="L86" s="37" t="s">
        <v>26</v>
      </c>
      <c r="M86" s="37" t="s">
        <v>26</v>
      </c>
      <c r="N86" s="37" t="s">
        <v>26</v>
      </c>
      <c r="O86" s="37" t="s">
        <v>26</v>
      </c>
      <c r="P86" s="37" t="s">
        <v>26</v>
      </c>
      <c r="Q86" s="37" t="s">
        <v>26</v>
      </c>
      <c r="R86" s="37" t="s">
        <v>26</v>
      </c>
      <c r="S86" s="37" t="s">
        <v>26</v>
      </c>
      <c r="T86" s="37" t="s">
        <v>26</v>
      </c>
      <c r="U86" s="37" t="s">
        <v>26</v>
      </c>
      <c r="V86" s="37" t="s">
        <v>26</v>
      </c>
      <c r="W86" s="37" t="s">
        <v>26</v>
      </c>
    </row>
    <row r="87" customFormat="false" ht="18.75" hidden="false" customHeight="true" outlineLevel="0" collapsed="false">
      <c r="B87" s="38" t="s">
        <v>28</v>
      </c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customFormat="false" ht="18.75" hidden="false" customHeight="true" outlineLevel="0" collapsed="false">
      <c r="B88" s="41" t="s">
        <v>45</v>
      </c>
      <c r="C88" s="35"/>
      <c r="D88" s="61" t="n">
        <f aca="false">-D51</f>
        <v>-3280095</v>
      </c>
      <c r="E88" s="61" t="n">
        <f aca="false">-E51</f>
        <v>-3280095</v>
      </c>
      <c r="F88" s="61" t="n">
        <f aca="false">-F51</f>
        <v>-3280095</v>
      </c>
      <c r="G88" s="61" t="n">
        <f aca="false">-G51</f>
        <v>-3280095</v>
      </c>
      <c r="H88" s="61" t="n">
        <f aca="false">-H51</f>
        <v>-3280095</v>
      </c>
      <c r="I88" s="61" t="n">
        <f aca="false">-I51</f>
        <v>-3280095</v>
      </c>
      <c r="J88" s="61" t="n">
        <f aca="false">-J51</f>
        <v>-3280095</v>
      </c>
      <c r="K88" s="61" t="n">
        <f aca="false">-K51</f>
        <v>-3280095</v>
      </c>
      <c r="L88" s="61" t="n">
        <f aca="false">-L51</f>
        <v>-3280095</v>
      </c>
      <c r="M88" s="61" t="n">
        <f aca="false">-M51</f>
        <v>-3280095</v>
      </c>
      <c r="N88" s="61" t="n">
        <f aca="false">-N51</f>
        <v>-3280095</v>
      </c>
      <c r="O88" s="61" t="n">
        <f aca="false">-O51</f>
        <v>-3280095</v>
      </c>
      <c r="P88" s="61" t="n">
        <f aca="false">-P51</f>
        <v>-3280095</v>
      </c>
      <c r="Q88" s="61" t="n">
        <f aca="false">-Q51</f>
        <v>-3280095</v>
      </c>
      <c r="R88" s="61" t="n">
        <f aca="false">-R51</f>
        <v>-3280095</v>
      </c>
      <c r="S88" s="61" t="n">
        <f aca="false">-S51</f>
        <v>-3280095</v>
      </c>
      <c r="T88" s="61" t="n">
        <f aca="false">-T51</f>
        <v>-3280095</v>
      </c>
      <c r="U88" s="61" t="n">
        <f aca="false">-U51</f>
        <v>-3280095</v>
      </c>
      <c r="V88" s="61" t="n">
        <f aca="false">-V51</f>
        <v>-3280095</v>
      </c>
      <c r="W88" s="61" t="n">
        <f aca="false">-W51</f>
        <v>-3280095</v>
      </c>
    </row>
    <row r="89" customFormat="false" ht="18.75" hidden="false" customHeight="true" outlineLevel="0" collapsed="false">
      <c r="B89" s="41" t="s">
        <v>30</v>
      </c>
      <c r="C89" s="35" t="s">
        <v>26</v>
      </c>
      <c r="D89" s="43" t="n">
        <f aca="false">-D21</f>
        <v>-870603</v>
      </c>
      <c r="E89" s="43" t="n">
        <f aca="false">-E21</f>
        <v>-870603</v>
      </c>
      <c r="F89" s="43" t="n">
        <f aca="false">-F21</f>
        <v>-870603</v>
      </c>
      <c r="G89" s="43" t="n">
        <f aca="false">-G21</f>
        <v>-870603</v>
      </c>
      <c r="H89" s="43" t="n">
        <f aca="false">-H21</f>
        <v>-870603</v>
      </c>
      <c r="I89" s="43" t="n">
        <f aca="false">-I21</f>
        <v>-870603</v>
      </c>
      <c r="J89" s="43" t="n">
        <f aca="false">-J21</f>
        <v>-870603</v>
      </c>
      <c r="K89" s="43" t="n">
        <f aca="false">-K21</f>
        <v>-870603</v>
      </c>
      <c r="L89" s="43" t="n">
        <f aca="false">-L21</f>
        <v>-870603</v>
      </c>
      <c r="M89" s="43" t="n">
        <f aca="false">-M21</f>
        <v>-870603</v>
      </c>
      <c r="N89" s="43" t="n">
        <f aca="false">-N21</f>
        <v>-870603</v>
      </c>
      <c r="O89" s="43" t="n">
        <f aca="false">-O21</f>
        <v>-870603</v>
      </c>
      <c r="P89" s="43" t="n">
        <f aca="false">-P21</f>
        <v>-870603</v>
      </c>
      <c r="Q89" s="43" t="n">
        <f aca="false">-Q21</f>
        <v>-870603</v>
      </c>
      <c r="R89" s="43" t="n">
        <f aca="false">-R21</f>
        <v>-870603</v>
      </c>
      <c r="S89" s="43" t="n">
        <f aca="false">-S21</f>
        <v>-870603</v>
      </c>
      <c r="T89" s="43" t="n">
        <f aca="false">-T21</f>
        <v>-870603</v>
      </c>
      <c r="U89" s="43" t="n">
        <f aca="false">-U21</f>
        <v>-870603</v>
      </c>
      <c r="V89" s="43" t="n">
        <f aca="false">-V21</f>
        <v>-870603</v>
      </c>
      <c r="W89" s="43" t="n">
        <f aca="false">-W21</f>
        <v>-870603</v>
      </c>
    </row>
    <row r="90" customFormat="false" ht="18.75" hidden="false" customHeight="true" outlineLevel="0" collapsed="false">
      <c r="B90" s="41" t="s">
        <v>31</v>
      </c>
      <c r="C90" s="35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customFormat="false" ht="18.75" hidden="false" customHeight="true" outlineLevel="0" collapsed="false">
      <c r="B91" s="41" t="s">
        <v>32</v>
      </c>
      <c r="C91" s="35" t="s">
        <v>26</v>
      </c>
      <c r="D91" s="43" t="n">
        <f aca="false">-D129*C57/100</f>
        <v>-1574445.6</v>
      </c>
      <c r="E91" s="43" t="n">
        <f aca="false">-E129*C57/100</f>
        <v>-1461985.2</v>
      </c>
      <c r="F91" s="43" t="n">
        <f aca="false">-F129*C57/100</f>
        <v>-1349524.8</v>
      </c>
      <c r="G91" s="43" t="n">
        <f aca="false">-G129*C57/100</f>
        <v>-1237064.4</v>
      </c>
      <c r="H91" s="43" t="n">
        <f aca="false">-H129*C57/100</f>
        <v>-1124604</v>
      </c>
      <c r="I91" s="43" t="n">
        <f aca="false">-I129*C57/100</f>
        <v>-1012143.6</v>
      </c>
      <c r="J91" s="43" t="n">
        <f aca="false">-J129*C57/100</f>
        <v>-899683.2</v>
      </c>
      <c r="K91" s="43" t="n">
        <f aca="false">-K129*C57/100</f>
        <v>-787222.8</v>
      </c>
      <c r="L91" s="43" t="n">
        <f aca="false">-L129*C57/100</f>
        <v>-674762.4</v>
      </c>
      <c r="M91" s="43" t="n">
        <f aca="false">-M129*C57/100</f>
        <v>-562302</v>
      </c>
      <c r="N91" s="43" t="n">
        <f aca="false">-N129*C57/100</f>
        <v>-449841.6</v>
      </c>
      <c r="O91" s="43" t="n">
        <f aca="false">-O129*C57/100</f>
        <v>-337381.2</v>
      </c>
      <c r="P91" s="43" t="n">
        <f aca="false">-P129*C57/100</f>
        <v>-224920.8</v>
      </c>
      <c r="Q91" s="43" t="n">
        <f aca="false">-Q129*C57/100</f>
        <v>-112460.4</v>
      </c>
      <c r="R91" s="43" t="n">
        <f aca="false">-R129*C57/100</f>
        <v>-0</v>
      </c>
      <c r="S91" s="43" t="n">
        <f aca="false">-S129*C57/100</f>
        <v>-0</v>
      </c>
      <c r="T91" s="43" t="n">
        <f aca="false">-T129*C57/100</f>
        <v>-0</v>
      </c>
      <c r="U91" s="43" t="n">
        <f aca="false">-U129*C57/100</f>
        <v>-0</v>
      </c>
      <c r="V91" s="43" t="n">
        <f aca="false">-V129*C57/100</f>
        <v>-0</v>
      </c>
      <c r="W91" s="43" t="n">
        <f aca="false">-W129*C57/100</f>
        <v>-0</v>
      </c>
    </row>
    <row r="92" customFormat="false" ht="18.75" hidden="false" customHeight="true" outlineLevel="0" collapsed="false">
      <c r="B92" s="41" t="s">
        <v>33</v>
      </c>
      <c r="C92" s="35" t="s">
        <v>26</v>
      </c>
      <c r="D92" s="43" t="n">
        <f aca="false">-D27</f>
        <v>-523320</v>
      </c>
      <c r="E92" s="43" t="n">
        <f aca="false">-E27</f>
        <v>-523320</v>
      </c>
      <c r="F92" s="43" t="n">
        <f aca="false">-F27</f>
        <v>-523320</v>
      </c>
      <c r="G92" s="43" t="n">
        <f aca="false">-G27</f>
        <v>-523320</v>
      </c>
      <c r="H92" s="43" t="n">
        <f aca="false">-H27</f>
        <v>-523320</v>
      </c>
      <c r="I92" s="43" t="n">
        <f aca="false">-I27</f>
        <v>-523320</v>
      </c>
      <c r="J92" s="43" t="n">
        <f aca="false">-J27</f>
        <v>-523320</v>
      </c>
      <c r="K92" s="43" t="n">
        <f aca="false">-K27</f>
        <v>-523320</v>
      </c>
      <c r="L92" s="43" t="n">
        <f aca="false">-L27</f>
        <v>-523320</v>
      </c>
      <c r="M92" s="43" t="n">
        <f aca="false">-M27</f>
        <v>-523320</v>
      </c>
      <c r="N92" s="43" t="n">
        <f aca="false">-N27</f>
        <v>-523320</v>
      </c>
      <c r="O92" s="43" t="n">
        <f aca="false">-O27</f>
        <v>-523320</v>
      </c>
      <c r="P92" s="43" t="n">
        <f aca="false">-P27</f>
        <v>-523320</v>
      </c>
      <c r="Q92" s="43" t="n">
        <f aca="false">-Q27</f>
        <v>-523320</v>
      </c>
      <c r="R92" s="43" t="n">
        <f aca="false">-R27</f>
        <v>-523320</v>
      </c>
      <c r="S92" s="43" t="n">
        <f aca="false">-S27</f>
        <v>-523320</v>
      </c>
      <c r="T92" s="43" t="n">
        <f aca="false">-T27</f>
        <v>-523320</v>
      </c>
      <c r="U92" s="43" t="n">
        <f aca="false">-U27</f>
        <v>-523320</v>
      </c>
      <c r="V92" s="43" t="n">
        <f aca="false">-V27</f>
        <v>-523320</v>
      </c>
      <c r="W92" s="43" t="n">
        <f aca="false">-W27</f>
        <v>-523320</v>
      </c>
    </row>
    <row r="93" customFormat="false" ht="18.75" hidden="false" customHeight="true" outlineLevel="0" collapsed="false">
      <c r="B93" s="41" t="s">
        <v>34</v>
      </c>
      <c r="C93" s="35" t="s">
        <v>26</v>
      </c>
      <c r="D93" s="43" t="n">
        <f aca="false">-D33</f>
        <v>-129522</v>
      </c>
      <c r="E93" s="43" t="n">
        <f aca="false">-E33</f>
        <v>-129522</v>
      </c>
      <c r="F93" s="43" t="n">
        <f aca="false">-F33</f>
        <v>-129522</v>
      </c>
      <c r="G93" s="43" t="n">
        <f aca="false">-G33</f>
        <v>-129522</v>
      </c>
      <c r="H93" s="43" t="n">
        <f aca="false">-H33</f>
        <v>-129522</v>
      </c>
      <c r="I93" s="43" t="n">
        <f aca="false">-I33</f>
        <v>-129522</v>
      </c>
      <c r="J93" s="43" t="n">
        <f aca="false">-J33</f>
        <v>-129522</v>
      </c>
      <c r="K93" s="43" t="n">
        <f aca="false">-K33</f>
        <v>-129522</v>
      </c>
      <c r="L93" s="43" t="n">
        <f aca="false">-L33</f>
        <v>-129522</v>
      </c>
      <c r="M93" s="43" t="n">
        <f aca="false">-M33</f>
        <v>-129522</v>
      </c>
      <c r="N93" s="43" t="n">
        <f aca="false">-N33</f>
        <v>-129522</v>
      </c>
      <c r="O93" s="43" t="n">
        <f aca="false">-O33</f>
        <v>-129522</v>
      </c>
      <c r="P93" s="43" t="n">
        <f aca="false">-P33</f>
        <v>-129522</v>
      </c>
      <c r="Q93" s="43" t="n">
        <f aca="false">-Q33</f>
        <v>-129522</v>
      </c>
      <c r="R93" s="43" t="n">
        <f aca="false">-R33</f>
        <v>-129522</v>
      </c>
      <c r="S93" s="43" t="n">
        <f aca="false">-S33</f>
        <v>-129522</v>
      </c>
      <c r="T93" s="43" t="n">
        <f aca="false">-T33</f>
        <v>-129522</v>
      </c>
      <c r="U93" s="43" t="n">
        <f aca="false">-U33</f>
        <v>-129522</v>
      </c>
      <c r="V93" s="43" t="n">
        <f aca="false">-V33</f>
        <v>-129522</v>
      </c>
      <c r="W93" s="43" t="n">
        <f aca="false">-W33</f>
        <v>-129522</v>
      </c>
    </row>
    <row r="94" customFormat="false" ht="18.75" hidden="false" customHeight="true" outlineLevel="0" collapsed="false">
      <c r="B94" s="41" t="s">
        <v>35</v>
      </c>
      <c r="C94" s="35"/>
      <c r="D94" s="43" t="n">
        <f aca="false">-D39</f>
        <v>-130830</v>
      </c>
      <c r="E94" s="43" t="n">
        <f aca="false">-E39</f>
        <v>-130830</v>
      </c>
      <c r="F94" s="43" t="n">
        <f aca="false">-F39</f>
        <v>-130830</v>
      </c>
      <c r="G94" s="43" t="n">
        <f aca="false">-G39</f>
        <v>-130830</v>
      </c>
      <c r="H94" s="43" t="n">
        <f aca="false">-H39</f>
        <v>-130830</v>
      </c>
      <c r="I94" s="43" t="n">
        <f aca="false">-I39</f>
        <v>-130830</v>
      </c>
      <c r="J94" s="43" t="n">
        <f aca="false">-J39</f>
        <v>-130830</v>
      </c>
      <c r="K94" s="43" t="n">
        <f aca="false">-K39</f>
        <v>-130830</v>
      </c>
      <c r="L94" s="43" t="n">
        <f aca="false">-L39</f>
        <v>-130830</v>
      </c>
      <c r="M94" s="43" t="n">
        <f aca="false">-M39</f>
        <v>-130830</v>
      </c>
      <c r="N94" s="43" t="n">
        <f aca="false">-N39</f>
        <v>-0</v>
      </c>
      <c r="O94" s="43" t="n">
        <f aca="false">-O39</f>
        <v>-0</v>
      </c>
      <c r="P94" s="43" t="n">
        <f aca="false">-P39</f>
        <v>-0</v>
      </c>
      <c r="Q94" s="43" t="n">
        <f aca="false">-Q39</f>
        <v>-0</v>
      </c>
      <c r="R94" s="43" t="n">
        <f aca="false">-R39</f>
        <v>-0</v>
      </c>
      <c r="S94" s="43" t="n">
        <f aca="false">-S39</f>
        <v>-0</v>
      </c>
      <c r="T94" s="43" t="n">
        <f aca="false">-T39</f>
        <v>-0</v>
      </c>
      <c r="U94" s="43" t="n">
        <f aca="false">-U39</f>
        <v>-0</v>
      </c>
      <c r="V94" s="43" t="n">
        <f aca="false">-V39</f>
        <v>-0</v>
      </c>
      <c r="W94" s="43" t="n">
        <f aca="false">-W39</f>
        <v>-0</v>
      </c>
    </row>
    <row r="95" customFormat="false" ht="18.75" hidden="false" customHeight="true" outlineLevel="0" collapsed="false">
      <c r="B95" s="41" t="s">
        <v>36</v>
      </c>
      <c r="C95" s="44"/>
      <c r="D95" s="62"/>
      <c r="E95" s="63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customFormat="false" ht="18.75" hidden="false" customHeight="true" outlineLevel="0" collapsed="false">
      <c r="B96" s="41" t="s">
        <v>37</v>
      </c>
      <c r="C96" s="4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customFormat="false" ht="18.75" hidden="false" customHeight="true" outlineLevel="0" collapsed="false">
      <c r="B97" s="46" t="s">
        <v>46</v>
      </c>
      <c r="C97" s="64"/>
      <c r="D97" s="48" t="n">
        <f aca="false">SUM(D85:D96)</f>
        <v>-473115.6</v>
      </c>
      <c r="E97" s="48" t="n">
        <f aca="false">SUM(E85:E96)</f>
        <v>-385042.2</v>
      </c>
      <c r="F97" s="48" t="n">
        <f aca="false">SUM(F85:F96)</f>
        <v>-296968.8</v>
      </c>
      <c r="G97" s="48" t="n">
        <f aca="false">SUM(G85:G96)</f>
        <v>-208895.4</v>
      </c>
      <c r="H97" s="48" t="n">
        <f aca="false">SUM(H85:H96)</f>
        <v>-120822</v>
      </c>
      <c r="I97" s="48" t="n">
        <f aca="false">SUM(I85:I96)</f>
        <v>-32748.6</v>
      </c>
      <c r="J97" s="48" t="n">
        <f aca="false">SUM(J85:J96)</f>
        <v>55324.8000000001</v>
      </c>
      <c r="K97" s="48" t="n">
        <f aca="false">SUM(K85:K96)</f>
        <v>143398.2</v>
      </c>
      <c r="L97" s="48" t="n">
        <f aca="false">SUM(L85:L96)</f>
        <v>231474.6</v>
      </c>
      <c r="M97" s="48" t="n">
        <f aca="false">SUM(M85:M96)</f>
        <v>319548</v>
      </c>
      <c r="N97" s="48" t="n">
        <f aca="false">SUM(N85:N96)</f>
        <v>538451.4</v>
      </c>
      <c r="O97" s="48" t="n">
        <f aca="false">SUM(O85:O96)</f>
        <v>626524.8</v>
      </c>
      <c r="P97" s="48" t="n">
        <f aca="false">SUM(P85:P96)</f>
        <v>714598.2</v>
      </c>
      <c r="Q97" s="48" t="n">
        <f aca="false">SUM(Q85:Q96)</f>
        <v>802671.6</v>
      </c>
      <c r="R97" s="48" t="n">
        <f aca="false">SUM(R85:R96)</f>
        <v>890745</v>
      </c>
      <c r="S97" s="48" t="n">
        <f aca="false">SUM(S85:S96)</f>
        <v>866358</v>
      </c>
      <c r="T97" s="48" t="n">
        <f aca="false">SUM(T85:T96)</f>
        <v>841971</v>
      </c>
      <c r="U97" s="48" t="n">
        <f aca="false">SUM(U85:U96)</f>
        <v>817587</v>
      </c>
      <c r="V97" s="48" t="n">
        <f aca="false">SUM(V85:V96)</f>
        <v>793200</v>
      </c>
      <c r="W97" s="48" t="n">
        <f aca="false">SUM(W85:W96)</f>
        <v>768813</v>
      </c>
    </row>
    <row r="98" customFormat="false" ht="18.75" hidden="false" customHeight="true" outlineLevel="0" collapsed="false">
      <c r="B98" s="45" t="s">
        <v>39</v>
      </c>
      <c r="C98" s="44"/>
      <c r="D98" s="43" t="n">
        <f aca="false">D97*0.2</f>
        <v>-94623.12</v>
      </c>
      <c r="E98" s="43" t="n">
        <f aca="false">E97*0.2</f>
        <v>-77008.44</v>
      </c>
      <c r="F98" s="43" t="n">
        <f aca="false">F97*0.2</f>
        <v>-59393.76</v>
      </c>
      <c r="G98" s="43" t="n">
        <f aca="false">G97*0.2</f>
        <v>-41779.08</v>
      </c>
      <c r="H98" s="43" t="n">
        <f aca="false">H97*0.2</f>
        <v>-24164.4</v>
      </c>
      <c r="I98" s="43" t="n">
        <f aca="false">I97*0.2</f>
        <v>-6549.72</v>
      </c>
      <c r="J98" s="43" t="n">
        <f aca="false">J97*0.2</f>
        <v>11064.96</v>
      </c>
      <c r="K98" s="43" t="n">
        <f aca="false">K97*0.2</f>
        <v>28679.64</v>
      </c>
      <c r="L98" s="43" t="n">
        <f aca="false">L97*0.2</f>
        <v>46294.92</v>
      </c>
      <c r="M98" s="43" t="n">
        <f aca="false">M97*0.2</f>
        <v>63909.6</v>
      </c>
      <c r="N98" s="43" t="n">
        <f aca="false">N97*0.2</f>
        <v>107690.28</v>
      </c>
      <c r="O98" s="43" t="n">
        <f aca="false">O97*0.2</f>
        <v>125304.96</v>
      </c>
      <c r="P98" s="43" t="n">
        <f aca="false">P97*0.2</f>
        <v>142919.64</v>
      </c>
      <c r="Q98" s="43" t="n">
        <f aca="false">Q97*0.2</f>
        <v>160534.32</v>
      </c>
      <c r="R98" s="43" t="n">
        <f aca="false">R97*0.2</f>
        <v>178149</v>
      </c>
      <c r="S98" s="43" t="n">
        <f aca="false">S97*0.2</f>
        <v>173271.6</v>
      </c>
      <c r="T98" s="43" t="n">
        <f aca="false">T97*0.2</f>
        <v>168394.2</v>
      </c>
      <c r="U98" s="43" t="n">
        <f aca="false">U97*0.2</f>
        <v>163517.4</v>
      </c>
      <c r="V98" s="43" t="n">
        <f aca="false">V97*0.2</f>
        <v>158640</v>
      </c>
      <c r="W98" s="43" t="n">
        <f aca="false">W97*0.2</f>
        <v>153762.6</v>
      </c>
    </row>
    <row r="99" customFormat="false" ht="15" hidden="false" customHeight="true" outlineLevel="0" collapsed="false">
      <c r="B99" s="65" t="s">
        <v>47</v>
      </c>
      <c r="D99" s="43" t="n">
        <f aca="false">D97-D98</f>
        <v>-378492.48</v>
      </c>
      <c r="E99" s="43" t="n">
        <f aca="false">E97-E98</f>
        <v>-308033.76</v>
      </c>
      <c r="F99" s="43" t="n">
        <f aca="false">F97-F98</f>
        <v>-237575.04</v>
      </c>
      <c r="G99" s="43" t="n">
        <f aca="false">G97-G98</f>
        <v>-167116.32</v>
      </c>
      <c r="H99" s="43" t="n">
        <f aca="false">H97-H98</f>
        <v>-96657.6</v>
      </c>
      <c r="I99" s="43" t="n">
        <f aca="false">I97-I98</f>
        <v>-26198.88</v>
      </c>
      <c r="J99" s="43" t="n">
        <f aca="false">J97-J98</f>
        <v>44259.84</v>
      </c>
      <c r="K99" s="43" t="n">
        <f aca="false">K97-K98</f>
        <v>114718.56</v>
      </c>
      <c r="L99" s="43" t="n">
        <f aca="false">L97-L98</f>
        <v>185179.68</v>
      </c>
      <c r="M99" s="43" t="n">
        <f aca="false">M97-M98</f>
        <v>255638.4</v>
      </c>
      <c r="N99" s="43" t="n">
        <f aca="false">N97-N98</f>
        <v>430761.12</v>
      </c>
      <c r="O99" s="43" t="n">
        <f aca="false">O97-O98</f>
        <v>501219.84</v>
      </c>
      <c r="P99" s="43" t="n">
        <f aca="false">P97-P98</f>
        <v>571678.56</v>
      </c>
      <c r="Q99" s="43" t="n">
        <f aca="false">Q97-Q98</f>
        <v>642137.28</v>
      </c>
      <c r="R99" s="43" t="n">
        <f aca="false">R97-R98</f>
        <v>712596</v>
      </c>
      <c r="S99" s="43" t="n">
        <f aca="false">S97-S98</f>
        <v>693086.4</v>
      </c>
      <c r="T99" s="43" t="n">
        <f aca="false">T97-T98</f>
        <v>673576.8</v>
      </c>
      <c r="U99" s="43" t="n">
        <f aca="false">U97-U98</f>
        <v>654069.6</v>
      </c>
      <c r="V99" s="43" t="n">
        <f aca="false">V97-V98</f>
        <v>634560</v>
      </c>
      <c r="W99" s="43" t="n">
        <f aca="false">W97-W98</f>
        <v>615050.4</v>
      </c>
    </row>
    <row r="100" customFormat="false" ht="18.75" hidden="false" customHeight="true" outlineLevel="0" collapsed="false">
      <c r="B100" s="49" t="s">
        <v>41</v>
      </c>
      <c r="C100" s="66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 customFormat="false" ht="18.75" hidden="false" customHeight="true" outlineLevel="0" collapsed="false">
      <c r="B101" s="68" t="s">
        <v>42</v>
      </c>
      <c r="C101" s="69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 customFormat="false" ht="18.75" hidden="false" customHeight="true" outlineLevel="0" collapsed="false">
      <c r="C102" s="71" t="s">
        <v>0</v>
      </c>
      <c r="D102" s="72" t="n">
        <v>2023</v>
      </c>
      <c r="E102" s="72" t="n">
        <v>2024</v>
      </c>
      <c r="F102" s="72" t="n">
        <v>2025</v>
      </c>
      <c r="G102" s="72" t="n">
        <v>2026</v>
      </c>
      <c r="H102" s="72" t="n">
        <v>2027</v>
      </c>
      <c r="I102" s="72" t="n">
        <v>2028</v>
      </c>
      <c r="J102" s="72" t="n">
        <v>2029</v>
      </c>
      <c r="K102" s="72" t="n">
        <v>2030</v>
      </c>
      <c r="L102" s="72" t="n">
        <v>2031</v>
      </c>
      <c r="M102" s="72" t="n">
        <v>2032</v>
      </c>
      <c r="N102" s="72" t="n">
        <v>2033</v>
      </c>
      <c r="O102" s="72" t="n">
        <v>2034</v>
      </c>
      <c r="P102" s="72" t="n">
        <v>2035</v>
      </c>
      <c r="Q102" s="72" t="n">
        <v>2036</v>
      </c>
      <c r="R102" s="72" t="n">
        <v>2037</v>
      </c>
      <c r="S102" s="72" t="n">
        <v>2038</v>
      </c>
      <c r="T102" s="72" t="n">
        <v>2039</v>
      </c>
      <c r="U102" s="72" t="n">
        <v>2040</v>
      </c>
      <c r="V102" s="72" t="n">
        <v>2041</v>
      </c>
      <c r="W102" s="72" t="n">
        <v>2042</v>
      </c>
      <c r="X102" s="72"/>
    </row>
    <row r="103" customFormat="false" ht="18.75" hidden="false" customHeight="true" outlineLevel="0" collapsed="false"/>
    <row r="104" customFormat="false" ht="18.75" hidden="false" customHeight="true" outlineLevel="0" collapsed="false">
      <c r="B104" s="73" t="s">
        <v>23</v>
      </c>
      <c r="C104" s="73" t="n">
        <v>0</v>
      </c>
      <c r="D104" s="73" t="n">
        <v>1</v>
      </c>
      <c r="E104" s="73" t="n">
        <v>2</v>
      </c>
      <c r="F104" s="73" t="n">
        <v>3</v>
      </c>
      <c r="G104" s="73" t="n">
        <v>4</v>
      </c>
      <c r="H104" s="73" t="n">
        <v>5</v>
      </c>
      <c r="I104" s="73" t="n">
        <v>6</v>
      </c>
      <c r="J104" s="73" t="n">
        <v>7</v>
      </c>
      <c r="K104" s="73" t="n">
        <v>8</v>
      </c>
      <c r="L104" s="73" t="n">
        <v>9</v>
      </c>
      <c r="M104" s="73" t="n">
        <v>10</v>
      </c>
      <c r="N104" s="73" t="n">
        <v>11</v>
      </c>
      <c r="O104" s="73" t="n">
        <v>12</v>
      </c>
      <c r="P104" s="73" t="n">
        <v>13</v>
      </c>
      <c r="Q104" s="73" t="n">
        <v>14</v>
      </c>
      <c r="R104" s="73" t="n">
        <v>15</v>
      </c>
      <c r="S104" s="73" t="n">
        <v>16</v>
      </c>
      <c r="T104" s="73" t="n">
        <v>17</v>
      </c>
      <c r="U104" s="73" t="n">
        <v>18</v>
      </c>
      <c r="V104" s="73" t="n">
        <v>19</v>
      </c>
      <c r="W104" s="73" t="n">
        <v>20</v>
      </c>
      <c r="X104" s="73"/>
    </row>
    <row r="105" customFormat="false" ht="18.75" hidden="false" customHeight="true" outlineLevel="0" collapsed="false">
      <c r="B105" s="74" t="s">
        <v>47</v>
      </c>
      <c r="C105" s="74"/>
      <c r="D105" s="75" t="n">
        <f aca="false">D99</f>
        <v>-378492.48</v>
      </c>
      <c r="E105" s="75" t="n">
        <f aca="false">E99</f>
        <v>-308033.76</v>
      </c>
      <c r="F105" s="75" t="n">
        <f aca="false">F99</f>
        <v>-237575.04</v>
      </c>
      <c r="G105" s="75" t="n">
        <f aca="false">G99</f>
        <v>-167116.32</v>
      </c>
      <c r="H105" s="75" t="n">
        <f aca="false">H99</f>
        <v>-96657.6</v>
      </c>
      <c r="I105" s="75" t="n">
        <f aca="false">I99</f>
        <v>-26198.88</v>
      </c>
      <c r="J105" s="75" t="n">
        <f aca="false">J99</f>
        <v>44259.84</v>
      </c>
      <c r="K105" s="75" t="n">
        <f aca="false">K99</f>
        <v>114718.56</v>
      </c>
      <c r="L105" s="75" t="n">
        <f aca="false">L99</f>
        <v>185179.68</v>
      </c>
      <c r="M105" s="75" t="n">
        <f aca="false">M99</f>
        <v>255638.4</v>
      </c>
      <c r="N105" s="75" t="n">
        <f aca="false">N99</f>
        <v>430761.12</v>
      </c>
      <c r="O105" s="75" t="n">
        <f aca="false">O99</f>
        <v>501219.84</v>
      </c>
      <c r="P105" s="75" t="n">
        <f aca="false">P99</f>
        <v>571678.56</v>
      </c>
      <c r="Q105" s="75" t="n">
        <f aca="false">Q99</f>
        <v>642137.28</v>
      </c>
      <c r="R105" s="75" t="n">
        <f aca="false">R99</f>
        <v>712596</v>
      </c>
      <c r="S105" s="75" t="n">
        <f aca="false">S99</f>
        <v>693086.4</v>
      </c>
      <c r="T105" s="75" t="n">
        <f aca="false">T99</f>
        <v>673576.8</v>
      </c>
      <c r="U105" s="75" t="n">
        <f aca="false">U99</f>
        <v>654069.6</v>
      </c>
      <c r="V105" s="75" t="n">
        <f aca="false">V99</f>
        <v>634560</v>
      </c>
      <c r="W105" s="75" t="n">
        <f aca="false">W99</f>
        <v>615050.4</v>
      </c>
      <c r="X105" s="75"/>
    </row>
    <row r="106" customFormat="false" ht="15" hidden="false" customHeight="true" outlineLevel="0" collapsed="false">
      <c r="B106" s="74" t="s">
        <v>16</v>
      </c>
      <c r="C106" s="74"/>
      <c r="D106" s="76" t="n">
        <f aca="false">D51</f>
        <v>3280095</v>
      </c>
      <c r="E106" s="76" t="n">
        <f aca="false">E51</f>
        <v>3280095</v>
      </c>
      <c r="F106" s="76" t="n">
        <f aca="false">F51</f>
        <v>3280095</v>
      </c>
      <c r="G106" s="76" t="n">
        <f aca="false">G51</f>
        <v>3280095</v>
      </c>
      <c r="H106" s="76" t="n">
        <f aca="false">H51</f>
        <v>3280095</v>
      </c>
      <c r="I106" s="76" t="n">
        <f aca="false">I51</f>
        <v>3280095</v>
      </c>
      <c r="J106" s="76" t="n">
        <f aca="false">J51</f>
        <v>3280095</v>
      </c>
      <c r="K106" s="76" t="n">
        <f aca="false">K51</f>
        <v>3280095</v>
      </c>
      <c r="L106" s="76" t="n">
        <f aca="false">L51</f>
        <v>3280095</v>
      </c>
      <c r="M106" s="76" t="n">
        <f aca="false">M51</f>
        <v>3280095</v>
      </c>
      <c r="N106" s="76" t="n">
        <f aca="false">N51</f>
        <v>3280095</v>
      </c>
      <c r="O106" s="76" t="n">
        <f aca="false">O51</f>
        <v>3280095</v>
      </c>
      <c r="P106" s="76" t="n">
        <f aca="false">P51</f>
        <v>3280095</v>
      </c>
      <c r="Q106" s="76" t="n">
        <f aca="false">Q51</f>
        <v>3280095</v>
      </c>
      <c r="R106" s="76" t="n">
        <f aca="false">R51</f>
        <v>3280095</v>
      </c>
      <c r="S106" s="76" t="n">
        <f aca="false">S51</f>
        <v>3280095</v>
      </c>
      <c r="T106" s="76" t="n">
        <f aca="false">T51</f>
        <v>3280095</v>
      </c>
      <c r="U106" s="76" t="n">
        <f aca="false">U51</f>
        <v>3280095</v>
      </c>
      <c r="V106" s="76" t="n">
        <f aca="false">V51</f>
        <v>3280095</v>
      </c>
      <c r="W106" s="76" t="n">
        <f aca="false">W51</f>
        <v>3280095</v>
      </c>
      <c r="X106" s="76"/>
    </row>
    <row r="107" customFormat="false" ht="15" hidden="false" customHeight="true" outlineLevel="0" collapsed="false">
      <c r="B107" s="74" t="s">
        <v>48</v>
      </c>
      <c r="C107" s="74"/>
      <c r="D107" s="77" t="n">
        <f aca="false">D105+D106</f>
        <v>2901602.52</v>
      </c>
      <c r="E107" s="77" t="n">
        <f aca="false">E105+E106</f>
        <v>2972061.24</v>
      </c>
      <c r="F107" s="77" t="n">
        <f aca="false">F105+F106</f>
        <v>3042519.96</v>
      </c>
      <c r="G107" s="77" t="n">
        <f aca="false">G105+G106</f>
        <v>3112978.68</v>
      </c>
      <c r="H107" s="77" t="n">
        <f aca="false">H105+H106</f>
        <v>3183437.4</v>
      </c>
      <c r="I107" s="77" t="n">
        <f aca="false">I105+I106</f>
        <v>3253896.12</v>
      </c>
      <c r="J107" s="77" t="n">
        <f aca="false">J105+J106</f>
        <v>3324354.84</v>
      </c>
      <c r="K107" s="77" t="n">
        <f aca="false">K105+K106</f>
        <v>3394813.56</v>
      </c>
      <c r="L107" s="77" t="n">
        <f aca="false">L105+L106</f>
        <v>3465274.68</v>
      </c>
      <c r="M107" s="77" t="n">
        <f aca="false">M105+M106</f>
        <v>3535733.4</v>
      </c>
      <c r="N107" s="77" t="n">
        <f aca="false">N105+N106</f>
        <v>3710856.12</v>
      </c>
      <c r="O107" s="77" t="n">
        <f aca="false">O105+O106</f>
        <v>3781314.84</v>
      </c>
      <c r="P107" s="77" t="n">
        <f aca="false">P105+P106</f>
        <v>3851773.56</v>
      </c>
      <c r="Q107" s="77" t="n">
        <f aca="false">Q105+Q106</f>
        <v>3922232.28</v>
      </c>
      <c r="R107" s="77" t="n">
        <f aca="false">R105+R106</f>
        <v>3992691</v>
      </c>
      <c r="S107" s="77" t="n">
        <f aca="false">S105+S106</f>
        <v>3973181.4</v>
      </c>
      <c r="T107" s="77" t="n">
        <f aca="false">T105+T106</f>
        <v>3953671.8</v>
      </c>
      <c r="U107" s="77" t="n">
        <f aca="false">U105+U106</f>
        <v>3934164.6</v>
      </c>
      <c r="V107" s="77" t="n">
        <f aca="false">V105+V106</f>
        <v>3914655</v>
      </c>
      <c r="W107" s="77" t="n">
        <f aca="false">W105+W106</f>
        <v>3895145.4</v>
      </c>
      <c r="X107" s="77"/>
    </row>
    <row r="108" customFormat="false" ht="15" hidden="false" customHeight="true" outlineLevel="0" collapsed="false">
      <c r="B108" s="74"/>
      <c r="C108" s="74"/>
      <c r="D108" s="74"/>
      <c r="E108" s="74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4"/>
    </row>
    <row r="109" customFormat="false" ht="15" hidden="false" customHeight="true" outlineLevel="0" collapsed="false">
      <c r="B109" s="79" t="s">
        <v>49</v>
      </c>
      <c r="C109" s="80"/>
      <c r="D109" s="81" t="n">
        <f aca="false">C65</f>
        <v>-65601900</v>
      </c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</row>
    <row r="110" customFormat="false" ht="15" hidden="false" customHeight="true" outlineLevel="0" collapsed="false">
      <c r="B110" s="74"/>
      <c r="C110" s="74"/>
      <c r="D110" s="74"/>
      <c r="E110" s="74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4"/>
    </row>
    <row r="111" customFormat="false" ht="15" hidden="false" customHeight="true" outlineLevel="0" collapsed="false">
      <c r="B111" s="74"/>
      <c r="C111" s="74"/>
      <c r="D111" s="74"/>
      <c r="E111" s="74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4"/>
    </row>
    <row r="112" customFormat="false" ht="15" hidden="false" customHeight="true" outlineLevel="0" collapsed="false">
      <c r="B112" s="79" t="s">
        <v>50</v>
      </c>
      <c r="C112" s="80"/>
      <c r="D112" s="81" t="n">
        <f aca="false">-D109*C53/100</f>
        <v>52481520</v>
      </c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</row>
    <row r="113" customFormat="false" ht="15" hidden="false" customHeight="true" outlineLevel="0" collapsed="false">
      <c r="B113" s="74" t="s">
        <v>51</v>
      </c>
      <c r="C113" s="74"/>
      <c r="D113" s="82"/>
      <c r="E113" s="82" t="n">
        <f aca="false">-D112/C54</f>
        <v>-3748680</v>
      </c>
      <c r="F113" s="82" t="n">
        <f aca="false">-D112/C54</f>
        <v>-3748680</v>
      </c>
      <c r="G113" s="82" t="n">
        <f aca="false">-D112/C54</f>
        <v>-3748680</v>
      </c>
      <c r="H113" s="82" t="n">
        <f aca="false">-D112/C54</f>
        <v>-3748680</v>
      </c>
      <c r="I113" s="82" t="n">
        <f aca="false">-D112/C54</f>
        <v>-3748680</v>
      </c>
      <c r="J113" s="82" t="n">
        <f aca="false">-D112/C54</f>
        <v>-3748680</v>
      </c>
      <c r="K113" s="82" t="n">
        <f aca="false">-D112/C54</f>
        <v>-3748680</v>
      </c>
      <c r="L113" s="82" t="n">
        <f aca="false">-D112/C54</f>
        <v>-3748680</v>
      </c>
      <c r="M113" s="82" t="n">
        <f aca="false">-D112/C54</f>
        <v>-3748680</v>
      </c>
      <c r="N113" s="82" t="n">
        <f aca="false">-D112/C54</f>
        <v>-3748680</v>
      </c>
      <c r="O113" s="82" t="n">
        <f aca="false">-D112/C54</f>
        <v>-3748680</v>
      </c>
      <c r="P113" s="82" t="n">
        <f aca="false">-D112/C54</f>
        <v>-3748680</v>
      </c>
      <c r="Q113" s="82" t="n">
        <f aca="false">-D112/C54</f>
        <v>-3748680</v>
      </c>
      <c r="R113" s="82" t="n">
        <f aca="false">-D112/C54</f>
        <v>-3748680</v>
      </c>
      <c r="S113" s="82"/>
      <c r="T113" s="82"/>
      <c r="U113" s="82"/>
      <c r="V113" s="82"/>
      <c r="W113" s="82"/>
      <c r="X113" s="82"/>
    </row>
    <row r="114" customFormat="false" ht="15" hidden="false" customHeight="true" outlineLevel="0" collapsed="false">
      <c r="B114" s="74" t="s">
        <v>52</v>
      </c>
      <c r="C114" s="78"/>
      <c r="D114" s="75" t="n">
        <f aca="false">-D109*(1-C53/100)</f>
        <v>13120380</v>
      </c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</row>
    <row r="115" customFormat="false" ht="15" hidden="false" customHeight="true" outlineLevel="0" collapsed="false">
      <c r="B115" s="74" t="s">
        <v>53</v>
      </c>
      <c r="C115" s="78"/>
      <c r="D115" s="78"/>
      <c r="E115" s="83" t="n">
        <f aca="false">-D105*C55/100</f>
        <v>340643.232</v>
      </c>
      <c r="F115" s="83" t="n">
        <f aca="false">-E105*C55/100</f>
        <v>277230.384</v>
      </c>
      <c r="G115" s="83" t="n">
        <f aca="false">-F105*C55/100</f>
        <v>213817.536</v>
      </c>
      <c r="H115" s="83" t="n">
        <f aca="false">-G105*C55/100</f>
        <v>150404.688</v>
      </c>
      <c r="I115" s="83" t="n">
        <f aca="false">-H105*C55/100</f>
        <v>86991.84</v>
      </c>
      <c r="J115" s="83" t="n">
        <f aca="false">-I105*C55/100</f>
        <v>23578.992</v>
      </c>
      <c r="K115" s="83" t="n">
        <f aca="false">-J105*C55/100</f>
        <v>-39833.856</v>
      </c>
      <c r="L115" s="83" t="n">
        <f aca="false">-K105*C55/100</f>
        <v>-103246.704</v>
      </c>
      <c r="M115" s="83" t="n">
        <f aca="false">-L105*C55/100</f>
        <v>-166661.712</v>
      </c>
      <c r="N115" s="83" t="n">
        <f aca="false">-M105*C55/100</f>
        <v>-230074.56</v>
      </c>
      <c r="O115" s="83" t="n">
        <f aca="false">-N105*C55/100</f>
        <v>-387685.008</v>
      </c>
      <c r="P115" s="83" t="n">
        <f aca="false">-O105*C55/100</f>
        <v>-451097.856</v>
      </c>
      <c r="Q115" s="83" t="n">
        <f aca="false">-P105*C55/100</f>
        <v>-514510.704</v>
      </c>
      <c r="R115" s="83" t="n">
        <f aca="false">-Q105*C55/100</f>
        <v>-577923.552</v>
      </c>
      <c r="S115" s="83" t="n">
        <f aca="false">-R105*C55/100</f>
        <v>-641336.4</v>
      </c>
      <c r="T115" s="83" t="n">
        <f aca="false">-S105*C55/100</f>
        <v>-623777.76</v>
      </c>
      <c r="U115" s="83" t="n">
        <f aca="false">-T105*C55/100</f>
        <v>-606219.12</v>
      </c>
      <c r="V115" s="83" t="n">
        <f aca="false">-U105*C55/100</f>
        <v>-588662.64</v>
      </c>
      <c r="W115" s="83" t="n">
        <f aca="false">-V105*C55/100</f>
        <v>-571104</v>
      </c>
      <c r="X115" s="83"/>
    </row>
    <row r="116" customFormat="false" ht="15" hidden="false" customHeight="true" outlineLevel="0" collapsed="false">
      <c r="B116" s="84" t="s">
        <v>54</v>
      </c>
      <c r="C116" s="85"/>
      <c r="D116" s="85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 t="n">
        <f aca="false">-D114/C56</f>
        <v>-2186730</v>
      </c>
      <c r="S116" s="86" t="n">
        <f aca="false">-D114/C56</f>
        <v>-2186730</v>
      </c>
      <c r="T116" s="86" t="n">
        <f aca="false">-D114/C56</f>
        <v>-2186730</v>
      </c>
      <c r="U116" s="86" t="n">
        <f aca="false">-D114/C56</f>
        <v>-2186730</v>
      </c>
      <c r="V116" s="86" t="n">
        <f aca="false">-D114/C56</f>
        <v>-2186730</v>
      </c>
      <c r="W116" s="86" t="n">
        <f aca="false">-D114/C56</f>
        <v>-2186730</v>
      </c>
      <c r="X116" s="86"/>
    </row>
    <row r="117" customFormat="false" ht="15" hidden="false" customHeight="true" outlineLevel="0" collapsed="false"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</row>
    <row r="118" customFormat="false" ht="15" hidden="false" customHeight="true" outlineLevel="0" collapsed="false"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</row>
    <row r="119" customFormat="false" ht="15" hidden="false" customHeight="true" outlineLevel="0" collapsed="false">
      <c r="B119" s="74" t="s">
        <v>55</v>
      </c>
      <c r="C119" s="75" t="n">
        <v>0</v>
      </c>
      <c r="D119" s="75" t="n">
        <f aca="false">SUM(D107:D116)</f>
        <v>2901602.52</v>
      </c>
      <c r="E119" s="75" t="n">
        <f aca="false">SUM(E107:E116)</f>
        <v>-435975.528</v>
      </c>
      <c r="F119" s="75" t="n">
        <f aca="false">SUM(F107:F116)</f>
        <v>-428929.656</v>
      </c>
      <c r="G119" s="75" t="n">
        <f aca="false">SUM(G107:G116)</f>
        <v>-421883.784</v>
      </c>
      <c r="H119" s="75" t="n">
        <f aca="false">SUM(H107:H116)</f>
        <v>-414837.912</v>
      </c>
      <c r="I119" s="75" t="n">
        <f aca="false">SUM(I107:I116)</f>
        <v>-407792.04</v>
      </c>
      <c r="J119" s="75" t="n">
        <f aca="false">SUM(J107:J116)</f>
        <v>-400746.168</v>
      </c>
      <c r="K119" s="75" t="n">
        <f aca="false">SUM(K107:K116)</f>
        <v>-393700.296</v>
      </c>
      <c r="L119" s="75" t="n">
        <f aca="false">SUM(L107:L116)</f>
        <v>-386652.024</v>
      </c>
      <c r="M119" s="75" t="n">
        <f aca="false">SUM(M107:M116)</f>
        <v>-379608.312</v>
      </c>
      <c r="N119" s="75" t="n">
        <f aca="false">SUM(N107:N116)</f>
        <v>-267898.44</v>
      </c>
      <c r="O119" s="75" t="n">
        <f aca="false">SUM(O107:O116)</f>
        <v>-355050.168</v>
      </c>
      <c r="P119" s="75" t="n">
        <f aca="false">SUM(P107:P116)</f>
        <v>-348004.296</v>
      </c>
      <c r="Q119" s="75" t="n">
        <f aca="false">SUM(Q107:Q116)</f>
        <v>-340958.424</v>
      </c>
      <c r="R119" s="75" t="n">
        <f aca="false">SUM(R107:R116)</f>
        <v>-2520642.552</v>
      </c>
      <c r="S119" s="75" t="n">
        <f aca="false">SUM(S107:S116)</f>
        <v>1145115</v>
      </c>
      <c r="T119" s="75" t="n">
        <f aca="false">SUM(T107:T116)</f>
        <v>1143164.04</v>
      </c>
      <c r="U119" s="75" t="n">
        <f aca="false">SUM(U107:U116)</f>
        <v>1141215.48</v>
      </c>
      <c r="V119" s="75" t="n">
        <f aca="false">SUM(V107:V116)</f>
        <v>1139262.36</v>
      </c>
      <c r="W119" s="75" t="n">
        <f aca="false">SUM(W107:W116)</f>
        <v>1137311.4</v>
      </c>
      <c r="X119" s="75"/>
    </row>
    <row r="120" customFormat="false" ht="15" hidden="false" customHeight="true" outlineLevel="0" collapsed="false">
      <c r="B120" s="74" t="s">
        <v>56</v>
      </c>
      <c r="C120" s="75" t="n">
        <v>0</v>
      </c>
      <c r="D120" s="75" t="n">
        <v>0</v>
      </c>
      <c r="E120" s="75" t="n">
        <f aca="false">D121</f>
        <v>2901602.52</v>
      </c>
      <c r="F120" s="75" t="n">
        <f aca="false">E121</f>
        <v>2465626.992</v>
      </c>
      <c r="G120" s="75" t="n">
        <f aca="false">F121</f>
        <v>2036697.336</v>
      </c>
      <c r="H120" s="75" t="n">
        <f aca="false">G121</f>
        <v>1614813.552</v>
      </c>
      <c r="I120" s="75" t="n">
        <f aca="false">H121</f>
        <v>1199975.64</v>
      </c>
      <c r="J120" s="75" t="n">
        <f aca="false">I121</f>
        <v>792183.599999996</v>
      </c>
      <c r="K120" s="75" t="n">
        <f aca="false">J121</f>
        <v>391437.431999996</v>
      </c>
      <c r="L120" s="75" t="n">
        <f aca="false">K121</f>
        <v>-2262.86400000413</v>
      </c>
      <c r="M120" s="75" t="n">
        <f aca="false">L121</f>
        <v>-388914.888000004</v>
      </c>
      <c r="N120" s="75" t="n">
        <f aca="false">M121</f>
        <v>-768523.200000004</v>
      </c>
      <c r="O120" s="75" t="n">
        <f aca="false">N121</f>
        <v>-1036421.64</v>
      </c>
      <c r="P120" s="75" t="n">
        <f aca="false">O121</f>
        <v>-1391471.808</v>
      </c>
      <c r="Q120" s="75" t="n">
        <f aca="false">P121</f>
        <v>-1739476.104</v>
      </c>
      <c r="R120" s="75" t="n">
        <f aca="false">Q121</f>
        <v>-2080434.528</v>
      </c>
      <c r="S120" s="75" t="n">
        <f aca="false">R121</f>
        <v>-4601077.08</v>
      </c>
      <c r="T120" s="75" t="n">
        <f aca="false">S121</f>
        <v>-3455962.08</v>
      </c>
      <c r="U120" s="75" t="n">
        <f aca="false">T121</f>
        <v>-2312798.04</v>
      </c>
      <c r="V120" s="75" t="n">
        <f aca="false">U121</f>
        <v>-1171582.56</v>
      </c>
      <c r="W120" s="75" t="n">
        <f aca="false">V121</f>
        <v>-32320.2000000021</v>
      </c>
      <c r="X120" s="75"/>
    </row>
    <row r="121" customFormat="false" ht="15" hidden="false" customHeight="true" outlineLevel="0" collapsed="false">
      <c r="B121" s="74" t="s">
        <v>57</v>
      </c>
      <c r="C121" s="75" t="n">
        <v>0</v>
      </c>
      <c r="D121" s="75" t="n">
        <f aca="false">D119+D120</f>
        <v>2901602.52</v>
      </c>
      <c r="E121" s="75" t="n">
        <f aca="false">E119+E120</f>
        <v>2465626.992</v>
      </c>
      <c r="F121" s="75" t="n">
        <f aca="false">F119+F120</f>
        <v>2036697.336</v>
      </c>
      <c r="G121" s="75" t="n">
        <f aca="false">G119+G120</f>
        <v>1614813.552</v>
      </c>
      <c r="H121" s="75" t="n">
        <f aca="false">H119+H120</f>
        <v>1199975.64</v>
      </c>
      <c r="I121" s="75" t="n">
        <f aca="false">I119+I120</f>
        <v>792183.599999996</v>
      </c>
      <c r="J121" s="75" t="n">
        <f aca="false">J119+J120</f>
        <v>391437.431999996</v>
      </c>
      <c r="K121" s="75" t="n">
        <f aca="false">K119+K120</f>
        <v>-2262.86400000413</v>
      </c>
      <c r="L121" s="75" t="n">
        <f aca="false">L119+L120</f>
        <v>-388914.888000004</v>
      </c>
      <c r="M121" s="75" t="n">
        <f aca="false">M119+M120</f>
        <v>-768523.200000004</v>
      </c>
      <c r="N121" s="75" t="n">
        <f aca="false">N119+N120</f>
        <v>-1036421.64</v>
      </c>
      <c r="O121" s="75" t="n">
        <f aca="false">O119+O120</f>
        <v>-1391471.808</v>
      </c>
      <c r="P121" s="75" t="n">
        <f aca="false">P119+P120</f>
        <v>-1739476.104</v>
      </c>
      <c r="Q121" s="75" t="n">
        <f aca="false">Q119+Q120</f>
        <v>-2080434.528</v>
      </c>
      <c r="R121" s="75" t="n">
        <f aca="false">R119+R120</f>
        <v>-4601077.08</v>
      </c>
      <c r="S121" s="75" t="n">
        <f aca="false">S119+S120</f>
        <v>-3455962.08</v>
      </c>
      <c r="T121" s="75" t="n">
        <f aca="false">T119+T120</f>
        <v>-2312798.04</v>
      </c>
      <c r="U121" s="75" t="n">
        <f aca="false">U119+U120</f>
        <v>-1171582.56</v>
      </c>
      <c r="V121" s="75" t="n">
        <f aca="false">V119+V120</f>
        <v>-32320.2000000021</v>
      </c>
      <c r="W121" s="75" t="n">
        <f aca="false">W119+W120</f>
        <v>1104991.2</v>
      </c>
      <c r="X121" s="75"/>
    </row>
    <row r="122" customFormat="false" ht="1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</row>
    <row r="123" customFormat="false" ht="15" hidden="false" customHeight="true" outlineLevel="0" collapsed="false">
      <c r="B123" s="74"/>
      <c r="C123" s="74"/>
      <c r="D123" s="74"/>
      <c r="E123" s="74"/>
      <c r="F123" s="78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</row>
    <row r="124" customFormat="false" ht="15" hidden="false" customHeight="true" outlineLevel="0" collapsed="false">
      <c r="B124" s="87" t="s">
        <v>58</v>
      </c>
      <c r="C124" s="88"/>
      <c r="D124" s="89" t="n">
        <f aca="false">-D114</f>
        <v>-13120380</v>
      </c>
      <c r="E124" s="77" t="n">
        <f aca="false">-E115-E116</f>
        <v>-340643.232</v>
      </c>
      <c r="F124" s="77" t="n">
        <f aca="false">-F115-F116</f>
        <v>-277230.384</v>
      </c>
      <c r="G124" s="77" t="n">
        <f aca="false">-G115-G116</f>
        <v>-213817.536</v>
      </c>
      <c r="H124" s="77" t="n">
        <f aca="false">-H115-H116</f>
        <v>-150404.688</v>
      </c>
      <c r="I124" s="77" t="n">
        <f aca="false">-I115-I116</f>
        <v>-86991.84</v>
      </c>
      <c r="J124" s="77" t="n">
        <f aca="false">-J115-J116</f>
        <v>-23578.992</v>
      </c>
      <c r="K124" s="77" t="n">
        <f aca="false">-K115-K116</f>
        <v>39833.856</v>
      </c>
      <c r="L124" s="77" t="n">
        <f aca="false">-L115-L116</f>
        <v>103246.704</v>
      </c>
      <c r="M124" s="77" t="n">
        <f aca="false">-M115-M116</f>
        <v>166661.712</v>
      </c>
      <c r="N124" s="77" t="n">
        <f aca="false">-N115-N116</f>
        <v>230074.56</v>
      </c>
      <c r="O124" s="77" t="n">
        <f aca="false">-O115-O116</f>
        <v>387685.008</v>
      </c>
      <c r="P124" s="77" t="n">
        <f aca="false">-P115-P116</f>
        <v>451097.856</v>
      </c>
      <c r="Q124" s="77" t="n">
        <f aca="false">-Q115-Q116</f>
        <v>514510.704</v>
      </c>
      <c r="R124" s="77" t="n">
        <f aca="false">-R115-R116</f>
        <v>2764653.552</v>
      </c>
      <c r="S124" s="77" t="n">
        <f aca="false">-S115-S116</f>
        <v>2828066.4</v>
      </c>
      <c r="T124" s="77" t="n">
        <f aca="false">-T115-T116</f>
        <v>2810507.76</v>
      </c>
      <c r="U124" s="77" t="n">
        <f aca="false">-U115-U116</f>
        <v>2792949.12</v>
      </c>
      <c r="V124" s="77" t="n">
        <f aca="false">-V115-V116</f>
        <v>2775392.64</v>
      </c>
      <c r="W124" s="77" t="n">
        <f aca="false">-W115-W116</f>
        <v>2757834</v>
      </c>
      <c r="X124" s="77"/>
    </row>
    <row r="125" customFormat="false" ht="15" hidden="false" customHeight="true" outlineLevel="0" collapsed="false">
      <c r="B125" s="74" t="s">
        <v>59</v>
      </c>
      <c r="C125" s="90" t="n">
        <f aca="false">IRR(D124:W124)</f>
        <v>0.0173304791218656</v>
      </c>
      <c r="D125" s="78"/>
      <c r="E125" s="78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8"/>
    </row>
    <row r="126" customFormat="false" ht="15" hidden="false" customHeight="true" outlineLevel="0" collapsed="false">
      <c r="B126" s="87" t="s">
        <v>60</v>
      </c>
      <c r="C126" s="88"/>
      <c r="D126" s="89" t="n">
        <f aca="false">D105-D114</f>
        <v>-13498872.48</v>
      </c>
      <c r="E126" s="77" t="n">
        <f aca="false">E105-E116</f>
        <v>-308033.76</v>
      </c>
      <c r="F126" s="77" t="n">
        <f aca="false">F105-F116</f>
        <v>-237575.04</v>
      </c>
      <c r="G126" s="77" t="n">
        <f aca="false">G105-G116</f>
        <v>-167116.32</v>
      </c>
      <c r="H126" s="77" t="n">
        <f aca="false">H105-H116</f>
        <v>-96657.6</v>
      </c>
      <c r="I126" s="77" t="n">
        <f aca="false">I105-I116</f>
        <v>-26198.88</v>
      </c>
      <c r="J126" s="77" t="n">
        <f aca="false">J105-J116</f>
        <v>44259.84</v>
      </c>
      <c r="K126" s="77" t="n">
        <f aca="false">K105-K116</f>
        <v>114718.56</v>
      </c>
      <c r="L126" s="77" t="n">
        <f aca="false">L105-L116</f>
        <v>185179.68</v>
      </c>
      <c r="M126" s="77" t="n">
        <f aca="false">M105-M116</f>
        <v>255638.4</v>
      </c>
      <c r="N126" s="77" t="n">
        <f aca="false">N105-N116</f>
        <v>430761.12</v>
      </c>
      <c r="O126" s="77" t="n">
        <f aca="false">O105-O116</f>
        <v>501219.84</v>
      </c>
      <c r="P126" s="77" t="n">
        <f aca="false">P105-P116</f>
        <v>571678.56</v>
      </c>
      <c r="Q126" s="77" t="n">
        <f aca="false">Q105-Q116</f>
        <v>642137.28</v>
      </c>
      <c r="R126" s="77" t="n">
        <f aca="false">R105-R116</f>
        <v>2899326</v>
      </c>
      <c r="S126" s="77" t="n">
        <f aca="false">S105-S116</f>
        <v>2879816.4</v>
      </c>
      <c r="T126" s="77" t="n">
        <f aca="false">T105-T116</f>
        <v>2860306.8</v>
      </c>
      <c r="U126" s="77" t="n">
        <f aca="false">U105-U116</f>
        <v>2840799.6</v>
      </c>
      <c r="V126" s="77" t="n">
        <f aca="false">V105-V116</f>
        <v>2821290</v>
      </c>
      <c r="W126" s="77" t="n">
        <f aca="false">W105-W116</f>
        <v>2801780.4</v>
      </c>
      <c r="X126" s="77"/>
    </row>
    <row r="127" customFormat="false" ht="15" hidden="false" customHeight="true" outlineLevel="0" collapsed="false">
      <c r="B127" s="87" t="s">
        <v>61</v>
      </c>
      <c r="C127" s="90" t="n">
        <f aca="false">IRR(D126:W126)</f>
        <v>0.0212045411526194</v>
      </c>
      <c r="D127" s="78"/>
      <c r="E127" s="78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8"/>
    </row>
    <row r="128" customFormat="false" ht="15" hidden="false" customHeight="true" outlineLevel="0" collapsed="false"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</row>
    <row r="129" customFormat="false" ht="15" hidden="false" customHeight="true" outlineLevel="0" collapsed="false">
      <c r="B129" s="74" t="s">
        <v>62</v>
      </c>
      <c r="C129" s="75" t="n">
        <v>0</v>
      </c>
      <c r="D129" s="75" t="n">
        <f aca="false">D112</f>
        <v>52481520</v>
      </c>
      <c r="E129" s="75" t="n">
        <f aca="false">D129+E113</f>
        <v>48732840</v>
      </c>
      <c r="F129" s="75" t="n">
        <f aca="false">E129+F113</f>
        <v>44984160</v>
      </c>
      <c r="G129" s="75" t="n">
        <f aca="false">F129+G113</f>
        <v>41235480</v>
      </c>
      <c r="H129" s="75" t="n">
        <f aca="false">G129+H113</f>
        <v>37486800</v>
      </c>
      <c r="I129" s="75" t="n">
        <f aca="false">H129+I113</f>
        <v>33738120</v>
      </c>
      <c r="J129" s="75" t="n">
        <f aca="false">I129+J113</f>
        <v>29989440</v>
      </c>
      <c r="K129" s="75" t="n">
        <f aca="false">J129+K113</f>
        <v>26240760</v>
      </c>
      <c r="L129" s="75" t="n">
        <f aca="false">K129+L113</f>
        <v>22492080</v>
      </c>
      <c r="M129" s="75" t="n">
        <f aca="false">L129+M113</f>
        <v>18743400</v>
      </c>
      <c r="N129" s="75" t="n">
        <f aca="false">M129+N113</f>
        <v>14994720</v>
      </c>
      <c r="O129" s="75" t="n">
        <f aca="false">N129+O113</f>
        <v>11246040</v>
      </c>
      <c r="P129" s="75" t="n">
        <f aca="false">O129+P113</f>
        <v>7497360</v>
      </c>
      <c r="Q129" s="75" t="n">
        <f aca="false">P129+Q113</f>
        <v>3748680</v>
      </c>
      <c r="R129" s="75" t="n">
        <f aca="false">Q129+R113</f>
        <v>0</v>
      </c>
      <c r="S129" s="75" t="n">
        <f aca="false">R129+S113</f>
        <v>0</v>
      </c>
      <c r="T129" s="75" t="n">
        <f aca="false">S129+T113</f>
        <v>0</v>
      </c>
      <c r="U129" s="75" t="n">
        <f aca="false">T129+U113</f>
        <v>0</v>
      </c>
      <c r="V129" s="75" t="n">
        <f aca="false">U129+V113</f>
        <v>0</v>
      </c>
      <c r="W129" s="75" t="n">
        <f aca="false">V129+W113</f>
        <v>0</v>
      </c>
      <c r="X129" s="7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35.48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91" t="s">
        <v>63</v>
      </c>
      <c r="C1" s="92"/>
      <c r="D1" s="92"/>
      <c r="E1" s="93"/>
      <c r="F1" s="94" t="s">
        <v>64</v>
      </c>
      <c r="P1" s="95" t="n">
        <f aca="false">1-D11</f>
        <v>0.99</v>
      </c>
      <c r="Q1" s="95" t="n">
        <f aca="false">P1-$D12</f>
        <v>0.986</v>
      </c>
      <c r="R1" s="95" t="n">
        <f aca="false">Q1-$D12</f>
        <v>0.982</v>
      </c>
      <c r="S1" s="95" t="n">
        <f aca="false">R1-$D12</f>
        <v>0.978</v>
      </c>
      <c r="T1" s="95" t="n">
        <f aca="false">S1-$D12</f>
        <v>0.974</v>
      </c>
      <c r="U1" s="95" t="n">
        <f aca="false">T1-$D12</f>
        <v>0.97</v>
      </c>
      <c r="V1" s="95" t="n">
        <f aca="false">U1-$D12</f>
        <v>0.966</v>
      </c>
      <c r="W1" s="95" t="n">
        <f aca="false">V1-$D12</f>
        <v>0.962</v>
      </c>
      <c r="X1" s="95" t="n">
        <f aca="false">W1-$D12</f>
        <v>0.958</v>
      </c>
      <c r="Y1" s="95" t="n">
        <f aca="false">X1-$D12</f>
        <v>0.954</v>
      </c>
      <c r="Z1" s="95" t="n">
        <f aca="false">Y1-$D12</f>
        <v>0.95</v>
      </c>
      <c r="AA1" s="95" t="n">
        <f aca="false">Z1-$D12</f>
        <v>0.946</v>
      </c>
      <c r="AB1" s="95" t="n">
        <f aca="false">AA1-$D12</f>
        <v>0.942</v>
      </c>
      <c r="AC1" s="95" t="n">
        <f aca="false">AB1-$D12</f>
        <v>0.938</v>
      </c>
      <c r="AD1" s="95" t="n">
        <f aca="false">AC1-$D12</f>
        <v>0.934</v>
      </c>
      <c r="AE1" s="95" t="n">
        <f aca="false">AD1-$D12</f>
        <v>0.93</v>
      </c>
      <c r="AF1" s="95" t="n">
        <f aca="false">AE1-$D12</f>
        <v>0.926</v>
      </c>
      <c r="AG1" s="95" t="n">
        <f aca="false">AF1-$D12</f>
        <v>0.922</v>
      </c>
      <c r="AH1" s="95" t="n">
        <f aca="false">AG1-$D12</f>
        <v>0.918</v>
      </c>
      <c r="AI1" s="95" t="n">
        <f aca="false">AH1-$D12</f>
        <v>0.914</v>
      </c>
    </row>
    <row r="2" customFormat="false" ht="21.75" hidden="false" customHeight="true" outlineLevel="0" collapsed="false">
      <c r="B2" s="96" t="s">
        <v>65</v>
      </c>
      <c r="C2" s="97" t="s">
        <v>2</v>
      </c>
      <c r="D2" s="98" t="s">
        <v>26</v>
      </c>
      <c r="E2" s="99" t="s">
        <v>26</v>
      </c>
      <c r="F2" s="100" t="s">
        <v>66</v>
      </c>
    </row>
    <row r="3" customFormat="false" ht="21.75" hidden="false" customHeight="true" outlineLevel="0" collapsed="false">
      <c r="B3" s="101" t="s">
        <v>67</v>
      </c>
      <c r="C3" s="102" t="n">
        <v>20</v>
      </c>
      <c r="D3" s="103" t="s">
        <v>26</v>
      </c>
      <c r="E3" s="104" t="s">
        <v>26</v>
      </c>
      <c r="F3" s="105" t="s">
        <v>68</v>
      </c>
    </row>
    <row r="4" customFormat="false" ht="21.75" hidden="false" customHeight="true" outlineLevel="0" collapsed="false">
      <c r="B4" s="101" t="s">
        <v>69</v>
      </c>
      <c r="C4" s="102" t="n">
        <v>436.1</v>
      </c>
      <c r="D4" s="103" t="s">
        <v>26</v>
      </c>
      <c r="E4" s="104" t="s">
        <v>26</v>
      </c>
      <c r="F4" s="105" t="s">
        <v>70</v>
      </c>
      <c r="M4" s="106" t="s">
        <v>71</v>
      </c>
    </row>
    <row r="5" customFormat="false" ht="22.5" hidden="false" customHeight="true" outlineLevel="0" collapsed="false">
      <c r="B5" s="107" t="s">
        <v>72</v>
      </c>
      <c r="C5" s="102" t="n">
        <v>2023</v>
      </c>
      <c r="D5" s="107" t="s">
        <v>73</v>
      </c>
      <c r="E5" s="108" t="n">
        <v>2042</v>
      </c>
      <c r="F5" s="105" t="s">
        <v>74</v>
      </c>
      <c r="M5" s="106" t="s">
        <v>75</v>
      </c>
    </row>
    <row r="6" customFormat="false" ht="20.25" hidden="false" customHeight="true" outlineLevel="0" collapsed="false">
      <c r="B6" s="109"/>
      <c r="C6" s="109"/>
      <c r="D6" s="109"/>
      <c r="E6" s="109"/>
      <c r="M6" s="106" t="s">
        <v>76</v>
      </c>
    </row>
    <row r="7" customFormat="false" ht="22.5" hidden="false" customHeight="true" outlineLevel="0" collapsed="false">
      <c r="B7" s="91" t="s">
        <v>77</v>
      </c>
      <c r="C7" s="92"/>
      <c r="D7" s="92"/>
      <c r="E7" s="93"/>
      <c r="M7" s="106" t="s">
        <v>78</v>
      </c>
    </row>
    <row r="8" customFormat="false" ht="22.5" hidden="false" customHeight="true" outlineLevel="0" collapsed="false">
      <c r="B8" s="110" t="s">
        <v>79</v>
      </c>
      <c r="E8" s="111"/>
      <c r="M8" s="106" t="s">
        <v>80</v>
      </c>
    </row>
    <row r="9" customFormat="false" ht="22.5" hidden="false" customHeight="true" outlineLevel="0" collapsed="false">
      <c r="B9" s="112" t="s">
        <v>81</v>
      </c>
      <c r="C9" s="113" t="s">
        <v>82</v>
      </c>
      <c r="D9" s="113" t="s">
        <v>83</v>
      </c>
      <c r="E9" s="114" t="s">
        <v>84</v>
      </c>
      <c r="F9" s="94" t="s">
        <v>64</v>
      </c>
      <c r="M9" s="106" t="s">
        <v>85</v>
      </c>
    </row>
    <row r="10" customFormat="false" ht="30" hidden="false" customHeight="true" outlineLevel="0" collapsed="false">
      <c r="B10" s="115" t="s">
        <v>86</v>
      </c>
      <c r="C10" s="116" t="s">
        <v>87</v>
      </c>
      <c r="D10" s="117" t="n">
        <v>547002</v>
      </c>
      <c r="E10" s="118" t="n">
        <v>20</v>
      </c>
      <c r="F10" s="105" t="s">
        <v>88</v>
      </c>
      <c r="M10" s="106" t="s">
        <v>89</v>
      </c>
    </row>
    <row r="11" customFormat="false" ht="30" hidden="false" customHeight="true" outlineLevel="0" collapsed="false">
      <c r="B11" s="119"/>
      <c r="C11" s="107" t="s">
        <v>90</v>
      </c>
      <c r="D11" s="120" t="n">
        <v>0.01</v>
      </c>
      <c r="E11" s="121"/>
      <c r="F11" s="105" t="s">
        <v>91</v>
      </c>
    </row>
    <row r="12" customFormat="false" ht="30" hidden="false" customHeight="true" outlineLevel="0" collapsed="false">
      <c r="B12" s="119"/>
      <c r="C12" s="107" t="s">
        <v>92</v>
      </c>
      <c r="D12" s="122" t="n">
        <v>0.004</v>
      </c>
      <c r="E12" s="121"/>
      <c r="F12" s="105" t="s">
        <v>93</v>
      </c>
    </row>
    <row r="13" customFormat="false" ht="22.5" hidden="false" customHeight="true" outlineLevel="0" collapsed="false">
      <c r="B13" s="119"/>
      <c r="C13" s="123" t="s">
        <v>94</v>
      </c>
      <c r="D13" s="124" t="n">
        <v>3.7152</v>
      </c>
      <c r="E13" s="121"/>
      <c r="F13" s="105" t="s">
        <v>95</v>
      </c>
    </row>
    <row r="14" customFormat="false" ht="22.5" hidden="false" customHeight="true" outlineLevel="0" collapsed="false">
      <c r="B14" s="125" t="s">
        <v>96</v>
      </c>
      <c r="C14" s="92"/>
      <c r="D14" s="92"/>
      <c r="E14" s="93"/>
    </row>
    <row r="15" customFormat="false" ht="22.5" hidden="false" customHeight="true" outlineLevel="0" collapsed="false">
      <c r="B15" s="112" t="s">
        <v>81</v>
      </c>
      <c r="C15" s="113" t="s">
        <v>82</v>
      </c>
      <c r="D15" s="113" t="s">
        <v>83</v>
      </c>
      <c r="E15" s="114" t="s">
        <v>97</v>
      </c>
      <c r="F15" s="94" t="s">
        <v>64</v>
      </c>
    </row>
    <row r="16" customFormat="false" ht="21.75" hidden="false" customHeight="true" outlineLevel="0" collapsed="false">
      <c r="B16" s="116" t="s">
        <v>98</v>
      </c>
      <c r="C16" s="116" t="s">
        <v>99</v>
      </c>
      <c r="D16" s="126" t="n">
        <v>35000</v>
      </c>
      <c r="E16" s="99" t="n">
        <v>20</v>
      </c>
      <c r="F16" s="105" t="s">
        <v>100</v>
      </c>
    </row>
    <row r="17" customFormat="false" ht="21.75" hidden="false" customHeight="true" outlineLevel="0" collapsed="false">
      <c r="B17" s="119"/>
      <c r="C17" s="107" t="s">
        <v>101</v>
      </c>
      <c r="D17" s="127" t="n">
        <v>0.3</v>
      </c>
      <c r="E17" s="121"/>
      <c r="F17" s="105" t="s">
        <v>102</v>
      </c>
    </row>
    <row r="18" customFormat="false" ht="21.75" hidden="false" customHeight="true" outlineLevel="0" collapsed="false">
      <c r="B18" s="128"/>
      <c r="C18" s="107" t="s">
        <v>103</v>
      </c>
      <c r="D18" s="129" t="n">
        <v>3000</v>
      </c>
      <c r="E18" s="130"/>
      <c r="F18" s="105" t="s">
        <v>104</v>
      </c>
    </row>
    <row r="19" customFormat="false" ht="54" hidden="false" customHeight="true" outlineLevel="0" collapsed="false">
      <c r="B19" s="107" t="s">
        <v>105</v>
      </c>
      <c r="C19" s="131" t="s">
        <v>106</v>
      </c>
      <c r="D19" s="127" t="n">
        <v>1</v>
      </c>
      <c r="E19" s="99" t="n">
        <v>0</v>
      </c>
      <c r="F19" s="105" t="s">
        <v>107</v>
      </c>
    </row>
    <row r="20" customFormat="false" ht="20.25" hidden="false" customHeight="true" outlineLevel="0" collapsed="false">
      <c r="B20" s="119"/>
      <c r="C20" s="132" t="s">
        <v>108</v>
      </c>
      <c r="D20" s="129" t="n">
        <v>290201</v>
      </c>
      <c r="E20" s="99" t="n">
        <v>20</v>
      </c>
      <c r="F20" s="105" t="s">
        <v>109</v>
      </c>
    </row>
    <row r="21" customFormat="false" ht="30" hidden="false" customHeight="true" outlineLevel="0" collapsed="false">
      <c r="B21" s="128"/>
      <c r="C21" s="107" t="s">
        <v>110</v>
      </c>
      <c r="D21" s="127" t="n">
        <v>0</v>
      </c>
      <c r="E21" s="104" t="n">
        <v>0</v>
      </c>
      <c r="F21" s="105" t="s">
        <v>111</v>
      </c>
    </row>
    <row r="22" customFormat="false" ht="30" hidden="false" customHeight="true" outlineLevel="0" collapsed="false">
      <c r="B22" s="107" t="s">
        <v>112</v>
      </c>
      <c r="C22" s="107" t="s">
        <v>113</v>
      </c>
      <c r="D22" s="133" t="n">
        <v>400</v>
      </c>
      <c r="E22" s="104" t="n">
        <v>20</v>
      </c>
      <c r="F22" s="105" t="s">
        <v>114</v>
      </c>
    </row>
    <row r="23" customFormat="false" ht="30" hidden="false" customHeight="true" outlineLevel="0" collapsed="false">
      <c r="B23" s="107" t="s">
        <v>115</v>
      </c>
      <c r="C23" s="107" t="s">
        <v>116</v>
      </c>
      <c r="D23" s="127" t="n">
        <v>0.003</v>
      </c>
      <c r="E23" s="104" t="n">
        <v>20</v>
      </c>
      <c r="F23" s="105" t="s">
        <v>117</v>
      </c>
    </row>
    <row r="24" customFormat="false" ht="30" hidden="false" customHeight="true" outlineLevel="0" collapsed="false">
      <c r="B24" s="107" t="s">
        <v>118</v>
      </c>
      <c r="C24" s="107" t="s">
        <v>119</v>
      </c>
      <c r="D24" s="133" t="n">
        <v>1000</v>
      </c>
      <c r="E24" s="134" t="n">
        <v>10</v>
      </c>
      <c r="F24" s="105" t="s">
        <v>120</v>
      </c>
    </row>
    <row r="25" customFormat="false" ht="30" hidden="false" customHeight="true" outlineLevel="0" collapsed="false">
      <c r="B25" s="107" t="s">
        <v>121</v>
      </c>
      <c r="C25" s="107" t="s">
        <v>122</v>
      </c>
      <c r="D25" s="135" t="n">
        <v>0.025595</v>
      </c>
      <c r="E25" s="104" t="n">
        <v>0</v>
      </c>
      <c r="F25" s="105" t="s">
        <v>123</v>
      </c>
    </row>
    <row r="26" customFormat="false" ht="30" hidden="false" customHeight="true" outlineLevel="0" collapsed="false">
      <c r="B26" s="107" t="s">
        <v>14</v>
      </c>
      <c r="C26" s="107" t="s">
        <v>124</v>
      </c>
      <c r="D26" s="127" t="n">
        <v>0.2</v>
      </c>
      <c r="E26" s="104" t="n">
        <v>0</v>
      </c>
      <c r="F26" s="105" t="s">
        <v>125</v>
      </c>
    </row>
    <row r="27" customFormat="false" ht="20.25" hidden="false" customHeight="true" outlineLevel="0" collapsed="false">
      <c r="B27" s="109"/>
      <c r="C27" s="109"/>
      <c r="D27" s="109"/>
      <c r="E27" s="109"/>
    </row>
    <row r="28" customFormat="false" ht="20.25" hidden="false" customHeight="true" outlineLevel="0" collapsed="false">
      <c r="B28" s="109"/>
      <c r="C28" s="109"/>
      <c r="D28" s="109"/>
      <c r="E28" s="109"/>
    </row>
    <row r="29" customFormat="false" ht="22.5" hidden="false" customHeight="true" outlineLevel="0" collapsed="false">
      <c r="B29" s="91" t="s">
        <v>126</v>
      </c>
      <c r="C29" s="92"/>
      <c r="D29" s="93"/>
      <c r="E29" s="109"/>
    </row>
    <row r="30" customFormat="false" ht="22.5" hidden="false" customHeight="true" outlineLevel="0" collapsed="false">
      <c r="B30" s="112" t="s">
        <v>127</v>
      </c>
      <c r="C30" s="136" t="s">
        <v>82</v>
      </c>
      <c r="D30" s="137" t="s">
        <v>83</v>
      </c>
      <c r="E30" s="109"/>
      <c r="F30" s="94" t="s">
        <v>64</v>
      </c>
    </row>
    <row r="31" customFormat="false" ht="30" hidden="false" customHeight="true" outlineLevel="0" collapsed="false">
      <c r="B31" s="116" t="s">
        <v>128</v>
      </c>
      <c r="C31" s="96" t="s">
        <v>129</v>
      </c>
      <c r="D31" s="138" t="n">
        <v>0.8</v>
      </c>
      <c r="E31" s="109"/>
      <c r="F31" s="105" t="s">
        <v>130</v>
      </c>
    </row>
    <row r="32" customFormat="false" ht="18.75" hidden="false" customHeight="true" outlineLevel="0" collapsed="false">
      <c r="B32" s="116" t="s">
        <v>131</v>
      </c>
      <c r="C32" s="96" t="s">
        <v>132</v>
      </c>
      <c r="D32" s="138" t="n">
        <v>15</v>
      </c>
      <c r="E32" s="109"/>
      <c r="F32" s="105" t="s">
        <v>133</v>
      </c>
    </row>
    <row r="33" customFormat="false" ht="18.75" hidden="false" customHeight="true" outlineLevel="0" collapsed="false">
      <c r="B33" s="107" t="s">
        <v>53</v>
      </c>
      <c r="C33" s="101" t="s">
        <v>134</v>
      </c>
      <c r="D33" s="127" t="n">
        <v>0.9</v>
      </c>
      <c r="E33" s="109"/>
      <c r="F33" s="105" t="s">
        <v>135</v>
      </c>
    </row>
    <row r="34" customFormat="false" ht="30" hidden="false" customHeight="true" outlineLevel="0" collapsed="false">
      <c r="B34" s="107" t="s">
        <v>54</v>
      </c>
      <c r="C34" s="101" t="s">
        <v>132</v>
      </c>
      <c r="D34" s="127" t="n">
        <v>4</v>
      </c>
      <c r="E34" s="109"/>
      <c r="F34" s="105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6"/>
      <c r="C37" s="17" t="s">
        <v>0</v>
      </c>
      <c r="D37" s="17" t="n">
        <v>2023</v>
      </c>
      <c r="E37" s="17" t="n">
        <v>2024</v>
      </c>
      <c r="F37" s="17" t="n">
        <v>2025</v>
      </c>
      <c r="G37" s="17" t="n">
        <v>2026</v>
      </c>
      <c r="H37" s="17" t="n">
        <v>2027</v>
      </c>
      <c r="I37" s="17" t="n">
        <v>2028</v>
      </c>
      <c r="J37" s="17" t="n">
        <v>2029</v>
      </c>
      <c r="K37" s="17" t="n">
        <v>2030</v>
      </c>
      <c r="L37" s="17" t="n">
        <v>2031</v>
      </c>
      <c r="M37" s="17" t="n">
        <v>2032</v>
      </c>
      <c r="N37" s="17" t="n">
        <v>2033</v>
      </c>
      <c r="O37" s="17" t="n">
        <v>2034</v>
      </c>
      <c r="P37" s="17" t="n">
        <v>2035</v>
      </c>
      <c r="Q37" s="17" t="n">
        <v>2036</v>
      </c>
      <c r="R37" s="17" t="n">
        <v>2037</v>
      </c>
      <c r="S37" s="17" t="n">
        <v>2038</v>
      </c>
      <c r="T37" s="17" t="n">
        <v>2039</v>
      </c>
      <c r="U37" s="17" t="n">
        <v>2040</v>
      </c>
      <c r="V37" s="17" t="n">
        <v>2041</v>
      </c>
      <c r="W37" s="17" t="n">
        <v>2042</v>
      </c>
      <c r="X37" s="17"/>
    </row>
    <row r="38" customFormat="false" ht="18.75" hidden="false" customHeight="true" outlineLevel="0" collapsed="false">
      <c r="B38" s="18" t="n">
        <v>0</v>
      </c>
      <c r="C38" s="19"/>
      <c r="D38" s="20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2"/>
      <c r="W38" s="22"/>
      <c r="X38" s="139"/>
    </row>
    <row r="39" customFormat="false" ht="18.75" hidden="false" customHeight="true" outlineLevel="0" collapsed="false">
      <c r="B39" s="24" t="s">
        <v>23</v>
      </c>
      <c r="C39" s="25" t="n">
        <v>0</v>
      </c>
      <c r="D39" s="26" t="n">
        <v>1</v>
      </c>
      <c r="E39" s="26" t="n">
        <v>2</v>
      </c>
      <c r="F39" s="26" t="n">
        <v>3</v>
      </c>
      <c r="G39" s="26" t="n">
        <v>4</v>
      </c>
      <c r="H39" s="26" t="n">
        <v>5</v>
      </c>
      <c r="I39" s="26" t="n">
        <v>6</v>
      </c>
      <c r="J39" s="26" t="n">
        <v>7</v>
      </c>
      <c r="K39" s="26" t="n">
        <v>8</v>
      </c>
      <c r="L39" s="26" t="n">
        <v>9</v>
      </c>
      <c r="M39" s="26" t="n">
        <v>10</v>
      </c>
      <c r="N39" s="26" t="n">
        <v>11</v>
      </c>
      <c r="O39" s="26" t="n">
        <v>12</v>
      </c>
      <c r="P39" s="26" t="n">
        <v>13</v>
      </c>
      <c r="Q39" s="26" t="n">
        <v>14</v>
      </c>
      <c r="R39" s="26" t="n">
        <v>15</v>
      </c>
      <c r="S39" s="26" t="n">
        <v>16</v>
      </c>
      <c r="T39" s="27" t="n">
        <v>17</v>
      </c>
      <c r="U39" s="26" t="n">
        <v>18</v>
      </c>
      <c r="V39" s="26" t="n">
        <v>19</v>
      </c>
      <c r="W39" s="26" t="n">
        <v>20</v>
      </c>
      <c r="X39" s="140"/>
    </row>
    <row r="40" customFormat="false" ht="18.75" hidden="false" customHeight="true" outlineLevel="0" collapsed="false">
      <c r="B40" s="141" t="s">
        <v>24</v>
      </c>
      <c r="C40" s="29" t="n">
        <v>0</v>
      </c>
      <c r="D40" s="30" t="n">
        <f aca="false">$D$10*P1</f>
        <v>541531.98</v>
      </c>
      <c r="E40" s="30" t="n">
        <f aca="false">$D$10*Q1</f>
        <v>539343.972</v>
      </c>
      <c r="F40" s="30" t="n">
        <f aca="false">$D$10*R1</f>
        <v>537155.964</v>
      </c>
      <c r="G40" s="30" t="n">
        <f aca="false">$D$10*S1</f>
        <v>534967.956</v>
      </c>
      <c r="H40" s="30" t="n">
        <f aca="false">$D$10*T1</f>
        <v>532779.948</v>
      </c>
      <c r="I40" s="30" t="n">
        <f aca="false">$D$10*U1</f>
        <v>530591.94</v>
      </c>
      <c r="J40" s="30" t="n">
        <f aca="false">$D$10*V1</f>
        <v>528403.932</v>
      </c>
      <c r="K40" s="30" t="n">
        <f aca="false">$D$10*W1</f>
        <v>526215.924</v>
      </c>
      <c r="L40" s="30" t="n">
        <f aca="false">$D$10*X1</f>
        <v>524027.916</v>
      </c>
      <c r="M40" s="30" t="n">
        <f aca="false">$D$10*Y1</f>
        <v>521839.908</v>
      </c>
      <c r="N40" s="30" t="n">
        <f aca="false">$D$10*Z1</f>
        <v>519651.9</v>
      </c>
      <c r="O40" s="30" t="n">
        <f aca="false">$D$10*AA1</f>
        <v>517463.892</v>
      </c>
      <c r="P40" s="30" t="n">
        <f aca="false">$D$10*AB1</f>
        <v>515275.884</v>
      </c>
      <c r="Q40" s="30" t="n">
        <f aca="false">$D$10*AC1</f>
        <v>513087.876</v>
      </c>
      <c r="R40" s="30" t="n">
        <f aca="false">$D$10*AD1</f>
        <v>510899.868</v>
      </c>
      <c r="S40" s="30" t="n">
        <f aca="false">$D$10*AE1</f>
        <v>508711.86</v>
      </c>
      <c r="T40" s="30" t="n">
        <f aca="false">$D$10*AF1</f>
        <v>506523.852</v>
      </c>
      <c r="U40" s="30" t="n">
        <f aca="false">$D$10*AG1</f>
        <v>504335.844</v>
      </c>
      <c r="V40" s="30" t="n">
        <f aca="false">$D$10*AH1</f>
        <v>502147.836</v>
      </c>
      <c r="W40" s="30" t="n">
        <f aca="false">$D$10*AI1</f>
        <v>499959.828</v>
      </c>
      <c r="X40" s="142"/>
    </row>
    <row r="41" customFormat="false" ht="18.75" hidden="false" customHeight="true" outlineLevel="0" collapsed="false">
      <c r="B41" s="31" t="s">
        <v>25</v>
      </c>
      <c r="C41" s="32" t="s">
        <v>26</v>
      </c>
      <c r="D41" s="33" t="n">
        <f aca="false">D40*$D$13</f>
        <v>2011899.612096</v>
      </c>
      <c r="E41" s="33" t="n">
        <f aca="false">E40*$D$13</f>
        <v>2003770.7247744</v>
      </c>
      <c r="F41" s="33" t="n">
        <f aca="false">F40*$D$13</f>
        <v>1995641.8374528</v>
      </c>
      <c r="G41" s="33" t="n">
        <f aca="false">G40*$D$13</f>
        <v>1987512.9501312</v>
      </c>
      <c r="H41" s="33" t="n">
        <f aca="false">H40*$D$13</f>
        <v>1979384.0628096</v>
      </c>
      <c r="I41" s="33" t="n">
        <f aca="false">I40*$D$13</f>
        <v>1971255.175488</v>
      </c>
      <c r="J41" s="33" t="n">
        <f aca="false">J40*$D$13</f>
        <v>1963126.2881664</v>
      </c>
      <c r="K41" s="33" t="n">
        <f aca="false">K40*$D$13</f>
        <v>1954997.4008448</v>
      </c>
      <c r="L41" s="33" t="n">
        <f aca="false">L40*$D$13</f>
        <v>1946868.5135232</v>
      </c>
      <c r="M41" s="33" t="n">
        <f aca="false">M40*$D$13</f>
        <v>1938739.6262016</v>
      </c>
      <c r="N41" s="33" t="n">
        <f aca="false">N40*$D$13</f>
        <v>1930610.73888</v>
      </c>
      <c r="O41" s="33" t="n">
        <f aca="false">O40*$D$13</f>
        <v>1922481.8515584</v>
      </c>
      <c r="P41" s="33" t="n">
        <f aca="false">P40*$D$13</f>
        <v>1914352.9642368</v>
      </c>
      <c r="Q41" s="33" t="n">
        <f aca="false">Q40*$D$13</f>
        <v>1906224.0769152</v>
      </c>
      <c r="R41" s="33" t="n">
        <f aca="false">R40*$D$13</f>
        <v>1898095.1895936</v>
      </c>
      <c r="S41" s="33" t="n">
        <f aca="false">S40*$D$13</f>
        <v>1889966.302272</v>
      </c>
      <c r="T41" s="33" t="n">
        <f aca="false">T40*$D$13</f>
        <v>1881837.4149504</v>
      </c>
      <c r="U41" s="33" t="n">
        <f aca="false">U40*$D$13</f>
        <v>1873708.5276288</v>
      </c>
      <c r="V41" s="33" t="n">
        <f aca="false">V40*$D$13</f>
        <v>1865579.6403072</v>
      </c>
      <c r="W41" s="33" t="n">
        <f aca="false">W40*$D$13</f>
        <v>1857450.7529856</v>
      </c>
      <c r="X41" s="143"/>
    </row>
    <row r="42" customFormat="false" ht="18.75" hidden="false" customHeight="true" outlineLevel="0" collapsed="false">
      <c r="B42" s="34" t="s">
        <v>27</v>
      </c>
      <c r="C42" s="35" t="s">
        <v>26</v>
      </c>
      <c r="D42" s="144"/>
      <c r="E42" s="144"/>
      <c r="F42" s="144"/>
      <c r="G42" s="37" t="s">
        <v>26</v>
      </c>
      <c r="H42" s="37" t="s">
        <v>26</v>
      </c>
      <c r="I42" s="37" t="s">
        <v>26</v>
      </c>
      <c r="J42" s="37" t="s">
        <v>26</v>
      </c>
      <c r="K42" s="37" t="s">
        <v>26</v>
      </c>
      <c r="L42" s="37" t="s">
        <v>26</v>
      </c>
      <c r="M42" s="37" t="s">
        <v>26</v>
      </c>
      <c r="N42" s="37" t="s">
        <v>26</v>
      </c>
      <c r="O42" s="37" t="s">
        <v>26</v>
      </c>
      <c r="P42" s="37" t="s">
        <v>26</v>
      </c>
      <c r="Q42" s="37" t="s">
        <v>26</v>
      </c>
      <c r="R42" s="37" t="s">
        <v>26</v>
      </c>
      <c r="S42" s="37" t="s">
        <v>26</v>
      </c>
      <c r="T42" s="37" t="s">
        <v>26</v>
      </c>
      <c r="U42" s="37" t="s">
        <v>26</v>
      </c>
      <c r="V42" s="37" t="s">
        <v>26</v>
      </c>
      <c r="W42" s="37" t="s">
        <v>26</v>
      </c>
      <c r="X42" s="145"/>
    </row>
    <row r="43" customFormat="false" ht="18.75" hidden="false" customHeight="true" outlineLevel="0" collapsed="false">
      <c r="B43" s="38" t="s">
        <v>28</v>
      </c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8"/>
    </row>
    <row r="44" customFormat="false" ht="18.75" hidden="false" customHeight="true" outlineLevel="0" collapsed="false">
      <c r="B44" s="41" t="s">
        <v>29</v>
      </c>
      <c r="C44" s="42" t="n">
        <f aca="false">-(D16/(1-D17)+D18)*C4</f>
        <v>-23113300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</row>
    <row r="45" customFormat="false" ht="18.75" hidden="false" customHeight="true" outlineLevel="0" collapsed="false">
      <c r="B45" s="41" t="s">
        <v>30</v>
      </c>
      <c r="C45" s="35" t="s">
        <v>26</v>
      </c>
      <c r="D45" s="149" t="n">
        <v>-290201</v>
      </c>
      <c r="E45" s="149" t="n">
        <v>-290201</v>
      </c>
      <c r="F45" s="149" t="n">
        <v>-290201</v>
      </c>
      <c r="G45" s="149" t="n">
        <v>-290201</v>
      </c>
      <c r="H45" s="149" t="n">
        <v>-290201</v>
      </c>
      <c r="I45" s="149" t="n">
        <v>-290201</v>
      </c>
      <c r="J45" s="149" t="n">
        <v>-290201</v>
      </c>
      <c r="K45" s="149" t="n">
        <v>-290201</v>
      </c>
      <c r="L45" s="149" t="n">
        <v>-290201</v>
      </c>
      <c r="M45" s="149" t="n">
        <v>-290201</v>
      </c>
      <c r="N45" s="149" t="n">
        <v>-290201</v>
      </c>
      <c r="O45" s="149" t="n">
        <v>-290201</v>
      </c>
      <c r="P45" s="149" t="n">
        <v>-290201</v>
      </c>
      <c r="Q45" s="149" t="n">
        <v>-290201</v>
      </c>
      <c r="R45" s="149" t="n">
        <v>-290201</v>
      </c>
      <c r="S45" s="149" t="n">
        <v>-290201</v>
      </c>
      <c r="T45" s="149" t="n">
        <v>-290201</v>
      </c>
      <c r="U45" s="149" t="n">
        <v>-290201</v>
      </c>
      <c r="V45" s="149" t="n">
        <v>-290201</v>
      </c>
      <c r="W45" s="149" t="n">
        <v>-290201</v>
      </c>
      <c r="X45" s="149"/>
    </row>
    <row r="46" customFormat="false" ht="18.75" hidden="false" customHeight="true" outlineLevel="0" collapsed="false">
      <c r="B46" s="41" t="s">
        <v>31</v>
      </c>
      <c r="C46" s="35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customFormat="false" ht="18.75" hidden="false" customHeight="true" outlineLevel="0" collapsed="false">
      <c r="B47" s="41" t="s">
        <v>32</v>
      </c>
      <c r="C47" s="35" t="s">
        <v>26</v>
      </c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</row>
    <row r="48" customFormat="false" ht="18.75" hidden="false" customHeight="true" outlineLevel="0" collapsed="false">
      <c r="B48" s="41" t="s">
        <v>33</v>
      </c>
      <c r="C48" s="35" t="s">
        <v>26</v>
      </c>
      <c r="D48" s="149" t="n">
        <v>-174440</v>
      </c>
      <c r="E48" s="149" t="n">
        <v>-174440</v>
      </c>
      <c r="F48" s="149" t="n">
        <v>-174440</v>
      </c>
      <c r="G48" s="149" t="n">
        <v>-174440</v>
      </c>
      <c r="H48" s="149" t="n">
        <v>-174440</v>
      </c>
      <c r="I48" s="149" t="n">
        <v>-174440</v>
      </c>
      <c r="J48" s="149" t="n">
        <v>-174440</v>
      </c>
      <c r="K48" s="149" t="n">
        <v>-174440</v>
      </c>
      <c r="L48" s="149" t="n">
        <v>-174440</v>
      </c>
      <c r="M48" s="149" t="n">
        <v>-174440</v>
      </c>
      <c r="N48" s="149" t="n">
        <v>-174440</v>
      </c>
      <c r="O48" s="149" t="n">
        <v>-174440</v>
      </c>
      <c r="P48" s="149" t="n">
        <v>-174440</v>
      </c>
      <c r="Q48" s="149" t="n">
        <v>-174440</v>
      </c>
      <c r="R48" s="149" t="n">
        <v>-174440</v>
      </c>
      <c r="S48" s="149" t="n">
        <v>-174440</v>
      </c>
      <c r="T48" s="149" t="n">
        <v>-174440</v>
      </c>
      <c r="U48" s="149" t="n">
        <v>-174440</v>
      </c>
      <c r="V48" s="149" t="n">
        <v>-174440</v>
      </c>
      <c r="W48" s="149" t="n">
        <v>-174440</v>
      </c>
      <c r="X48" s="149"/>
    </row>
    <row r="49" customFormat="false" ht="18.75" hidden="false" customHeight="true" outlineLevel="0" collapsed="false">
      <c r="B49" s="41" t="s">
        <v>34</v>
      </c>
      <c r="C49" s="35" t="s">
        <v>26</v>
      </c>
      <c r="D49" s="149" t="n">
        <v>-45790.5</v>
      </c>
      <c r="E49" s="149" t="n">
        <v>-45790.5</v>
      </c>
      <c r="F49" s="149" t="n">
        <v>-45790.5</v>
      </c>
      <c r="G49" s="149" t="n">
        <v>-45790.5</v>
      </c>
      <c r="H49" s="149" t="n">
        <v>-45790.5</v>
      </c>
      <c r="I49" s="149" t="n">
        <v>-45790.5</v>
      </c>
      <c r="J49" s="149" t="n">
        <v>-45790.5</v>
      </c>
      <c r="K49" s="149" t="n">
        <v>-45790.5</v>
      </c>
      <c r="L49" s="149" t="n">
        <v>-45790.5</v>
      </c>
      <c r="M49" s="149" t="n">
        <v>-45790.5</v>
      </c>
      <c r="N49" s="149" t="n">
        <v>-45790.5</v>
      </c>
      <c r="O49" s="149" t="n">
        <v>-45790.5</v>
      </c>
      <c r="P49" s="149" t="n">
        <v>-45790.5</v>
      </c>
      <c r="Q49" s="149" t="n">
        <v>-45790.5</v>
      </c>
      <c r="R49" s="149" t="n">
        <v>-45790.5</v>
      </c>
      <c r="S49" s="149" t="n">
        <v>-45790.5</v>
      </c>
      <c r="T49" s="149" t="n">
        <v>-45790.5</v>
      </c>
      <c r="U49" s="149" t="n">
        <v>-45790.5</v>
      </c>
      <c r="V49" s="149" t="n">
        <v>-45790.5</v>
      </c>
      <c r="W49" s="149" t="n">
        <v>-45790.5</v>
      </c>
      <c r="X49" s="149"/>
    </row>
    <row r="50" customFormat="false" ht="18.75" hidden="false" customHeight="true" outlineLevel="0" collapsed="false">
      <c r="B50" s="41" t="s">
        <v>35</v>
      </c>
      <c r="C50" s="35"/>
      <c r="D50" s="149" t="n">
        <v>-43610</v>
      </c>
      <c r="E50" s="149" t="n">
        <v>-43610</v>
      </c>
      <c r="F50" s="149" t="n">
        <v>-43610</v>
      </c>
      <c r="G50" s="149" t="n">
        <v>-43610</v>
      </c>
      <c r="H50" s="149" t="n">
        <v>-43610</v>
      </c>
      <c r="I50" s="149" t="n">
        <v>-43610</v>
      </c>
      <c r="J50" s="149" t="n">
        <v>-43610</v>
      </c>
      <c r="K50" s="149" t="n">
        <v>-43610</v>
      </c>
      <c r="L50" s="149" t="n">
        <v>-43610</v>
      </c>
      <c r="M50" s="149" t="n">
        <v>-43610</v>
      </c>
      <c r="N50" s="149" t="n">
        <v>0</v>
      </c>
      <c r="O50" s="149" t="n">
        <v>0</v>
      </c>
      <c r="P50" s="149" t="n">
        <v>0</v>
      </c>
      <c r="Q50" s="149" t="n">
        <v>0</v>
      </c>
      <c r="R50" s="149" t="n">
        <v>0</v>
      </c>
      <c r="S50" s="149" t="n">
        <v>0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/>
    </row>
    <row r="51" customFormat="false" ht="18.75" hidden="false" customHeight="true" outlineLevel="0" collapsed="false">
      <c r="B51" s="41" t="s">
        <v>36</v>
      </c>
      <c r="C51" s="4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</row>
    <row r="52" customFormat="false" ht="18.75" hidden="false" customHeight="true" outlineLevel="0" collapsed="false">
      <c r="B52" s="41" t="s">
        <v>37</v>
      </c>
      <c r="C52" s="4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customFormat="false" ht="18.75" hidden="false" customHeight="true" outlineLevel="0" collapsed="false">
      <c r="B53" s="45" t="s">
        <v>38</v>
      </c>
      <c r="C53" s="4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</row>
    <row r="54" customFormat="false" ht="18.75" hidden="false" customHeight="true" outlineLevel="0" collapsed="false">
      <c r="B54" s="45" t="s">
        <v>39</v>
      </c>
      <c r="C54" s="44"/>
      <c r="D54" s="149" t="n">
        <f aca="false">D77</f>
        <v>-60438.6224192</v>
      </c>
      <c r="E54" s="149" t="n">
        <f aca="false">E77</f>
        <v>-58812.84495488</v>
      </c>
      <c r="F54" s="149" t="n">
        <f aca="false">F77</f>
        <v>-57187.06749056</v>
      </c>
      <c r="G54" s="149" t="n">
        <f aca="false">G77</f>
        <v>-55561.29002624</v>
      </c>
      <c r="H54" s="149" t="n">
        <f aca="false">H77</f>
        <v>-53935.51256192</v>
      </c>
      <c r="I54" s="149" t="n">
        <f aca="false">I77</f>
        <v>-52309.7350976</v>
      </c>
      <c r="J54" s="149" t="n">
        <f aca="false">J77</f>
        <v>-50683.95763328</v>
      </c>
      <c r="K54" s="149" t="n">
        <f aca="false">K77</f>
        <v>-49058.18016896</v>
      </c>
      <c r="L54" s="149" t="n">
        <f aca="false">L77</f>
        <v>-47432.40270464</v>
      </c>
      <c r="M54" s="149" t="n">
        <f aca="false">M77</f>
        <v>-45806.62524032</v>
      </c>
      <c r="N54" s="149" t="n">
        <f aca="false">N77</f>
        <v>-52902.847776</v>
      </c>
      <c r="O54" s="149" t="n">
        <f aca="false">O77</f>
        <v>-51277.07031168</v>
      </c>
      <c r="P54" s="149" t="n">
        <f aca="false">P77</f>
        <v>-49651.29284736</v>
      </c>
      <c r="Q54" s="149" t="n">
        <f aca="false">Q77</f>
        <v>-48025.51538304</v>
      </c>
      <c r="R54" s="149" t="n">
        <f aca="false">R77</f>
        <v>-46399.73791872</v>
      </c>
      <c r="S54" s="149" t="n">
        <f aca="false">S77</f>
        <v>-44773.9604544</v>
      </c>
      <c r="T54" s="149" t="n">
        <f aca="false">T77</f>
        <v>-43148.1829900799</v>
      </c>
      <c r="U54" s="149" t="n">
        <f aca="false">U77</f>
        <v>-41522.40552576</v>
      </c>
      <c r="V54" s="149" t="n">
        <f aca="false">V77</f>
        <v>-39896.6280614399</v>
      </c>
      <c r="W54" s="149" t="n">
        <f aca="false">W77</f>
        <v>-38270.85059712</v>
      </c>
      <c r="X54" s="144"/>
    </row>
    <row r="55" customFormat="false" ht="18.75" hidden="false" customHeight="true" outlineLevel="0" collapsed="false">
      <c r="B55" s="46" t="s">
        <v>40</v>
      </c>
      <c r="C55" s="47" t="n">
        <f aca="false">C44</f>
        <v>-23113300</v>
      </c>
      <c r="D55" s="48" t="n">
        <f aca="false">SUM(D41:D54)</f>
        <v>1397419.4896768</v>
      </c>
      <c r="E55" s="48" t="n">
        <f aca="false">SUM(E41:E54)</f>
        <v>1390916.37981952</v>
      </c>
      <c r="F55" s="48" t="n">
        <f aca="false">SUM(F41:F54)</f>
        <v>1384413.26996224</v>
      </c>
      <c r="G55" s="48" t="n">
        <f aca="false">SUM(G41:G54)</f>
        <v>1377910.16010496</v>
      </c>
      <c r="H55" s="48" t="n">
        <f aca="false">SUM(H41:H54)</f>
        <v>1371407.05024768</v>
      </c>
      <c r="I55" s="48" t="n">
        <f aca="false">SUM(I41:I54)</f>
        <v>1364903.9403904</v>
      </c>
      <c r="J55" s="48" t="n">
        <f aca="false">SUM(J41:J54)</f>
        <v>1358400.83053312</v>
      </c>
      <c r="K55" s="48" t="n">
        <f aca="false">SUM(K41:K54)</f>
        <v>1351897.72067584</v>
      </c>
      <c r="L55" s="48" t="n">
        <f aca="false">SUM(L41:L54)</f>
        <v>1345394.61081856</v>
      </c>
      <c r="M55" s="48" t="n">
        <f aca="false">SUM(M41:M54)</f>
        <v>1338891.50096128</v>
      </c>
      <c r="N55" s="48" t="n">
        <f aca="false">SUM(N41:N54)</f>
        <v>1367276.391104</v>
      </c>
      <c r="O55" s="48" t="n">
        <f aca="false">SUM(O41:O54)</f>
        <v>1360773.28124672</v>
      </c>
      <c r="P55" s="48" t="n">
        <f aca="false">SUM(P41:P54)</f>
        <v>1354270.17138944</v>
      </c>
      <c r="Q55" s="48" t="n">
        <f aca="false">SUM(Q41:Q54)</f>
        <v>1347767.06153216</v>
      </c>
      <c r="R55" s="48" t="n">
        <f aca="false">SUM(R41:R54)</f>
        <v>1341263.95167488</v>
      </c>
      <c r="S55" s="48" t="n">
        <f aca="false">SUM(S41:S54)</f>
        <v>1334760.8418176</v>
      </c>
      <c r="T55" s="48" t="n">
        <f aca="false">SUM(T41:T54)</f>
        <v>1328257.73196032</v>
      </c>
      <c r="U55" s="48" t="n">
        <f aca="false">SUM(U41:U54)</f>
        <v>1321754.62210304</v>
      </c>
      <c r="V55" s="48" t="n">
        <f aca="false">SUM(V41:V54)</f>
        <v>1315251.51224576</v>
      </c>
      <c r="W55" s="48" t="n">
        <f aca="false">SUM(W41:W54)</f>
        <v>1308748.40238848</v>
      </c>
      <c r="X55" s="150"/>
      <c r="Y55" s="151"/>
      <c r="Z55" s="152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customFormat="false" ht="18.75" hidden="false" customHeight="true" outlineLevel="0" collapsed="false">
      <c r="B56" s="49" t="s">
        <v>41</v>
      </c>
      <c r="D56" s="50" t="n">
        <f aca="false">C55+D55</f>
        <v>-21715880.5103232</v>
      </c>
      <c r="E56" s="50" t="n">
        <f aca="false">D56+E55</f>
        <v>-20324964.1305037</v>
      </c>
      <c r="F56" s="50" t="n">
        <f aca="false">E56+F55</f>
        <v>-18940550.8605414</v>
      </c>
      <c r="G56" s="50" t="n">
        <f aca="false">F56+G55</f>
        <v>-17562640.7004365</v>
      </c>
      <c r="H56" s="50" t="n">
        <f aca="false">G56+H55</f>
        <v>-16191233.6501888</v>
      </c>
      <c r="I56" s="50" t="n">
        <f aca="false">H56+I55</f>
        <v>-14826329.7097984</v>
      </c>
      <c r="J56" s="50" t="n">
        <f aca="false">I56+J55</f>
        <v>-13467928.8792653</v>
      </c>
      <c r="K56" s="50" t="n">
        <f aca="false">J56+K55</f>
        <v>-12116031.1585894</v>
      </c>
      <c r="L56" s="50" t="n">
        <f aca="false">K56+L55</f>
        <v>-10770636.5477709</v>
      </c>
      <c r="M56" s="50" t="n">
        <f aca="false">L56+M55</f>
        <v>-9431745.0468096</v>
      </c>
      <c r="N56" s="50" t="n">
        <f aca="false">M56+N55</f>
        <v>-8064468.6557056</v>
      </c>
      <c r="O56" s="50" t="n">
        <f aca="false">N56+O55</f>
        <v>-6703695.37445888</v>
      </c>
      <c r="P56" s="50" t="n">
        <f aca="false">O56+P55</f>
        <v>-5349425.20306944</v>
      </c>
      <c r="Q56" s="50" t="n">
        <f aca="false">P56+Q55</f>
        <v>-4001658.14153728</v>
      </c>
      <c r="R56" s="50" t="n">
        <f aca="false">Q56+R55</f>
        <v>-2660394.1898624</v>
      </c>
      <c r="S56" s="50" t="n">
        <f aca="false">R56+S55</f>
        <v>-1325633.3480448</v>
      </c>
      <c r="T56" s="50" t="n">
        <f aca="false">S56+T55</f>
        <v>2624.38391551841</v>
      </c>
      <c r="U56" s="50" t="n">
        <f aca="false">T56+U55</f>
        <v>1324379.00601856</v>
      </c>
      <c r="V56" s="50" t="n">
        <f aca="false">U56+V55</f>
        <v>2639630.51826432</v>
      </c>
      <c r="W56" s="50" t="n">
        <f aca="false">V56+W55</f>
        <v>3948378.9206528</v>
      </c>
      <c r="X56" s="50" t="n">
        <f aca="false">W56+X55</f>
        <v>3948378.9206528</v>
      </c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</row>
    <row r="57" customFormat="false" ht="18.75" hidden="false" customHeight="true" outlineLevel="0" collapsed="false">
      <c r="B57" s="51" t="s">
        <v>42</v>
      </c>
      <c r="C57" s="52"/>
      <c r="D57" s="53" t="str">
        <f aca="false">IF((D56)&gt;0,"回收","未回收")</f>
        <v>未回收</v>
      </c>
      <c r="E57" s="54" t="str">
        <f aca="false">IF((E56)&gt;0,"回收","未回收")</f>
        <v>未回收</v>
      </c>
      <c r="F57" s="54" t="str">
        <f aca="false">IF((F56)&gt;0,"回收","未回收")</f>
        <v>未回收</v>
      </c>
      <c r="G57" s="54" t="str">
        <f aca="false">IF((G56)&gt;0,"回收","未回收")</f>
        <v>未回收</v>
      </c>
      <c r="H57" s="54" t="str">
        <f aca="false">IF((H56)&gt;0,"回收","未回收")</f>
        <v>未回收</v>
      </c>
      <c r="I57" s="54" t="str">
        <f aca="false">IF((I56)&gt;0,"回收","未回收")</f>
        <v>未回收</v>
      </c>
      <c r="J57" s="54" t="str">
        <f aca="false">IF((J56)&gt;0,"回收","未回收")</f>
        <v>未回收</v>
      </c>
      <c r="K57" s="54" t="str">
        <f aca="false">IF((K56)&gt;0,"回收","未回收")</f>
        <v>未回收</v>
      </c>
      <c r="L57" s="54" t="str">
        <f aca="false">IF((L56)&gt;0,"回收","未回收")</f>
        <v>未回收</v>
      </c>
      <c r="M57" s="54" t="str">
        <f aca="false">IF((M56)&gt;0,"回收","未回收")</f>
        <v>未回收</v>
      </c>
      <c r="N57" s="54" t="str">
        <f aca="false">IF((N56)&gt;0,"回收","未回收")</f>
        <v>未回收</v>
      </c>
      <c r="O57" s="54" t="str">
        <f aca="false">IF((O56)&gt;0,"回收","未回收")</f>
        <v>未回收</v>
      </c>
      <c r="P57" s="54" t="str">
        <f aca="false">IF((P56)&gt;0,"回收","未回收")</f>
        <v>未回收</v>
      </c>
      <c r="Q57" s="54" t="str">
        <f aca="false">IF((Q56)&gt;0,"回收","未回收")</f>
        <v>未回收</v>
      </c>
      <c r="R57" s="54" t="str">
        <f aca="false">IF((R56)&gt;0,"回收","未回收")</f>
        <v>未回收</v>
      </c>
      <c r="S57" s="54" t="str">
        <f aca="false">IF((S56)&gt;0,"回收","未回收")</f>
        <v>未回收</v>
      </c>
      <c r="T57" s="54" t="str">
        <f aca="false">IF((T56)&gt;0,"回收","未回收")</f>
        <v>回收</v>
      </c>
      <c r="U57" s="54" t="str">
        <f aca="false">IF((U56)&gt;0,"回收","未回收")</f>
        <v>回收</v>
      </c>
      <c r="V57" s="54" t="str">
        <f aca="false">IF((V56)&gt;0,"回收","未回收")</f>
        <v>回收</v>
      </c>
      <c r="W57" s="54" t="str">
        <f aca="false">IF((W56)&gt;0,"回收","未回收")</f>
        <v>回收</v>
      </c>
      <c r="X57" s="54" t="str">
        <f aca="false">IF((X56)&gt;0,"回收","未回收")</f>
        <v>回收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</row>
    <row r="58" customFormat="false" ht="18.75" hidden="false" customHeight="true" outlineLevel="0" collapsed="false">
      <c r="B58" s="55" t="s">
        <v>43</v>
      </c>
      <c r="C58" s="56" t="n">
        <f aca="false">IRR(C55:W55)</f>
        <v>0.0156645146482055</v>
      </c>
      <c r="D58" s="57"/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customFormat="false" ht="18.75" hidden="false" customHeight="true" outlineLevel="0" collapsed="false">
      <c r="B59" s="58"/>
      <c r="C59" s="57"/>
      <c r="D59" s="57"/>
      <c r="E59" s="57"/>
      <c r="F59" s="58"/>
      <c r="G59" s="58"/>
      <c r="H59" s="58"/>
      <c r="I59" s="58"/>
      <c r="J59" s="58"/>
      <c r="K59" s="58"/>
      <c r="L59" s="58"/>
      <c r="M59" s="57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customFormat="false" ht="18.75" hidden="false" customHeight="true" outlineLevel="0" collapsed="false">
      <c r="B60" s="16"/>
      <c r="C60" s="17" t="s">
        <v>0</v>
      </c>
      <c r="D60" s="17" t="n">
        <f aca="false">D37</f>
        <v>2023</v>
      </c>
      <c r="E60" s="17" t="n">
        <f aca="false">E37</f>
        <v>2024</v>
      </c>
      <c r="F60" s="17" t="n">
        <f aca="false">F37</f>
        <v>2025</v>
      </c>
      <c r="G60" s="17" t="n">
        <f aca="false">G37</f>
        <v>2026</v>
      </c>
      <c r="H60" s="17" t="n">
        <f aca="false">H37</f>
        <v>2027</v>
      </c>
      <c r="I60" s="17" t="n">
        <f aca="false">I37</f>
        <v>2028</v>
      </c>
      <c r="J60" s="17" t="n">
        <f aca="false">J37</f>
        <v>2029</v>
      </c>
      <c r="K60" s="17" t="n">
        <f aca="false">K37</f>
        <v>2030</v>
      </c>
      <c r="L60" s="17" t="n">
        <f aca="false">L37</f>
        <v>2031</v>
      </c>
      <c r="M60" s="17" t="n">
        <f aca="false">M37</f>
        <v>2032</v>
      </c>
      <c r="N60" s="17" t="n">
        <f aca="false">N37</f>
        <v>2033</v>
      </c>
      <c r="O60" s="17" t="n">
        <f aca="false">O37</f>
        <v>2034</v>
      </c>
      <c r="P60" s="17" t="n">
        <f aca="false">P37</f>
        <v>2035</v>
      </c>
      <c r="Q60" s="17" t="n">
        <f aca="false">Q37</f>
        <v>2036</v>
      </c>
      <c r="R60" s="17" t="n">
        <f aca="false">R37</f>
        <v>2037</v>
      </c>
      <c r="S60" s="17" t="n">
        <f aca="false">S37</f>
        <v>2038</v>
      </c>
      <c r="T60" s="17" t="n">
        <f aca="false">T37</f>
        <v>2039</v>
      </c>
      <c r="U60" s="17" t="n">
        <f aca="false">U37</f>
        <v>2040</v>
      </c>
      <c r="V60" s="17" t="n">
        <f aca="false">V37</f>
        <v>2041</v>
      </c>
      <c r="W60" s="17" t="n">
        <f aca="false">W37</f>
        <v>2042</v>
      </c>
      <c r="X60" s="17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customFormat="false" ht="18.75" hidden="false" customHeight="true" outlineLevel="0" collapsed="false">
      <c r="B61" s="18" t="n">
        <v>0</v>
      </c>
      <c r="C61" s="19"/>
      <c r="D61" s="20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59" t="s">
        <v>44</v>
      </c>
      <c r="U61" s="22"/>
      <c r="V61" s="22"/>
      <c r="W61" s="22"/>
      <c r="X61" s="139"/>
    </row>
    <row r="62" customFormat="false" ht="18.75" hidden="false" customHeight="true" outlineLevel="0" collapsed="false">
      <c r="B62" s="24" t="s">
        <v>23</v>
      </c>
      <c r="C62" s="25" t="n">
        <v>0</v>
      </c>
      <c r="D62" s="26" t="n">
        <v>1</v>
      </c>
      <c r="E62" s="26" t="n">
        <v>2</v>
      </c>
      <c r="F62" s="26" t="n">
        <v>3</v>
      </c>
      <c r="G62" s="26" t="n">
        <v>4</v>
      </c>
      <c r="H62" s="26" t="n">
        <v>5</v>
      </c>
      <c r="I62" s="26" t="n">
        <v>6</v>
      </c>
      <c r="J62" s="26" t="n">
        <v>7</v>
      </c>
      <c r="K62" s="26" t="n">
        <v>8</v>
      </c>
      <c r="L62" s="26" t="n">
        <v>9</v>
      </c>
      <c r="M62" s="26" t="n">
        <v>10</v>
      </c>
      <c r="N62" s="26" t="n">
        <v>11</v>
      </c>
      <c r="O62" s="26" t="n">
        <v>12</v>
      </c>
      <c r="P62" s="26" t="n">
        <v>13</v>
      </c>
      <c r="Q62" s="26" t="n">
        <v>14</v>
      </c>
      <c r="R62" s="26" t="n">
        <v>15</v>
      </c>
      <c r="S62" s="26" t="n">
        <v>16</v>
      </c>
      <c r="T62" s="60" t="n">
        <v>17</v>
      </c>
      <c r="U62" s="26" t="n">
        <v>18</v>
      </c>
      <c r="V62" s="26" t="n">
        <v>19</v>
      </c>
      <c r="W62" s="26" t="n">
        <v>20</v>
      </c>
      <c r="X62" s="140"/>
    </row>
    <row r="63" customFormat="false" ht="18.75" hidden="false" customHeight="true" outlineLevel="0" collapsed="false">
      <c r="B63" s="141" t="s">
        <v>24</v>
      </c>
      <c r="C63" s="29" t="n">
        <v>0</v>
      </c>
      <c r="D63" s="30" t="n">
        <f aca="false">D40</f>
        <v>541531.98</v>
      </c>
      <c r="E63" s="30" t="n">
        <f aca="false">E40</f>
        <v>539343.972</v>
      </c>
      <c r="F63" s="30" t="n">
        <f aca="false">F40</f>
        <v>537155.964</v>
      </c>
      <c r="G63" s="30" t="n">
        <f aca="false">G40</f>
        <v>534967.956</v>
      </c>
      <c r="H63" s="30" t="n">
        <f aca="false">H40</f>
        <v>532779.948</v>
      </c>
      <c r="I63" s="30" t="n">
        <f aca="false">I40</f>
        <v>530591.94</v>
      </c>
      <c r="J63" s="30" t="n">
        <f aca="false">J40</f>
        <v>528403.932</v>
      </c>
      <c r="K63" s="30" t="n">
        <f aca="false">K40</f>
        <v>526215.924</v>
      </c>
      <c r="L63" s="30" t="n">
        <f aca="false">L40</f>
        <v>524027.916</v>
      </c>
      <c r="M63" s="30" t="n">
        <f aca="false">M40</f>
        <v>521839.908</v>
      </c>
      <c r="N63" s="30" t="n">
        <f aca="false">N40</f>
        <v>519651.9</v>
      </c>
      <c r="O63" s="30" t="n">
        <f aca="false">O40</f>
        <v>517463.892</v>
      </c>
      <c r="P63" s="30" t="n">
        <f aca="false">P40</f>
        <v>515275.884</v>
      </c>
      <c r="Q63" s="30" t="n">
        <f aca="false">Q40</f>
        <v>513087.876</v>
      </c>
      <c r="R63" s="30" t="n">
        <f aca="false">R40</f>
        <v>510899.868</v>
      </c>
      <c r="S63" s="30" t="n">
        <f aca="false">S40</f>
        <v>508711.86</v>
      </c>
      <c r="T63" s="30" t="n">
        <f aca="false">T40</f>
        <v>506523.852</v>
      </c>
      <c r="U63" s="30" t="n">
        <f aca="false">U40</f>
        <v>504335.844</v>
      </c>
      <c r="V63" s="30" t="n">
        <f aca="false">V40</f>
        <v>502147.836</v>
      </c>
      <c r="W63" s="30" t="n">
        <f aca="false">W40</f>
        <v>499959.828</v>
      </c>
      <c r="X63" s="142"/>
    </row>
    <row r="64" customFormat="false" ht="18.75" hidden="false" customHeight="true" outlineLevel="0" collapsed="false">
      <c r="B64" s="31" t="s">
        <v>25</v>
      </c>
      <c r="C64" s="32" t="s">
        <v>26</v>
      </c>
      <c r="D64" s="33" t="n">
        <f aca="false">D41</f>
        <v>2011899.612096</v>
      </c>
      <c r="E64" s="33" t="n">
        <f aca="false">E41</f>
        <v>2003770.7247744</v>
      </c>
      <c r="F64" s="33" t="n">
        <f aca="false">F41</f>
        <v>1995641.8374528</v>
      </c>
      <c r="G64" s="33" t="n">
        <f aca="false">G41</f>
        <v>1987512.9501312</v>
      </c>
      <c r="H64" s="33" t="n">
        <f aca="false">H41</f>
        <v>1979384.0628096</v>
      </c>
      <c r="I64" s="33" t="n">
        <f aca="false">I41</f>
        <v>1971255.175488</v>
      </c>
      <c r="J64" s="33" t="n">
        <f aca="false">J41</f>
        <v>1963126.2881664</v>
      </c>
      <c r="K64" s="33" t="n">
        <f aca="false">K41</f>
        <v>1954997.4008448</v>
      </c>
      <c r="L64" s="33" t="n">
        <f aca="false">L41</f>
        <v>1946868.5135232</v>
      </c>
      <c r="M64" s="33" t="n">
        <f aca="false">M41</f>
        <v>1938739.6262016</v>
      </c>
      <c r="N64" s="33" t="n">
        <f aca="false">N41</f>
        <v>1930610.73888</v>
      </c>
      <c r="O64" s="33" t="n">
        <f aca="false">O41</f>
        <v>1922481.8515584</v>
      </c>
      <c r="P64" s="33" t="n">
        <f aca="false">P41</f>
        <v>1914352.9642368</v>
      </c>
      <c r="Q64" s="33" t="n">
        <f aca="false">Q41</f>
        <v>1906224.0769152</v>
      </c>
      <c r="R64" s="33" t="n">
        <f aca="false">R41</f>
        <v>1898095.1895936</v>
      </c>
      <c r="S64" s="33" t="n">
        <f aca="false">S41</f>
        <v>1889966.302272</v>
      </c>
      <c r="T64" s="33" t="n">
        <f aca="false">T41</f>
        <v>1881837.4149504</v>
      </c>
      <c r="U64" s="33" t="n">
        <f aca="false">U41</f>
        <v>1873708.5276288</v>
      </c>
      <c r="V64" s="33" t="n">
        <f aca="false">V41</f>
        <v>1865579.6403072</v>
      </c>
      <c r="W64" s="33" t="n">
        <f aca="false">W41</f>
        <v>1857450.7529856</v>
      </c>
      <c r="X64" s="143"/>
    </row>
    <row r="65" customFormat="false" ht="18.75" hidden="false" customHeight="true" outlineLevel="0" collapsed="false">
      <c r="B65" s="34" t="s">
        <v>27</v>
      </c>
      <c r="C65" s="35" t="s">
        <v>26</v>
      </c>
      <c r="D65" s="144"/>
      <c r="E65" s="144"/>
      <c r="F65" s="144"/>
      <c r="G65" s="37" t="s">
        <v>26</v>
      </c>
      <c r="H65" s="37" t="s">
        <v>26</v>
      </c>
      <c r="I65" s="37" t="s">
        <v>26</v>
      </c>
      <c r="J65" s="37" t="s">
        <v>26</v>
      </c>
      <c r="K65" s="37" t="s">
        <v>26</v>
      </c>
      <c r="L65" s="37" t="s">
        <v>26</v>
      </c>
      <c r="M65" s="37" t="s">
        <v>26</v>
      </c>
      <c r="N65" s="37" t="s">
        <v>26</v>
      </c>
      <c r="O65" s="37" t="s">
        <v>26</v>
      </c>
      <c r="P65" s="37" t="s">
        <v>26</v>
      </c>
      <c r="Q65" s="37" t="s">
        <v>26</v>
      </c>
      <c r="R65" s="37" t="s">
        <v>26</v>
      </c>
      <c r="S65" s="37" t="s">
        <v>26</v>
      </c>
      <c r="T65" s="37" t="s">
        <v>26</v>
      </c>
      <c r="U65" s="37" t="s">
        <v>26</v>
      </c>
      <c r="V65" s="37" t="s">
        <v>26</v>
      </c>
      <c r="W65" s="37" t="s">
        <v>26</v>
      </c>
      <c r="X65" s="145"/>
    </row>
    <row r="66" customFormat="false" ht="18.75" hidden="false" customHeight="true" outlineLevel="0" collapsed="false">
      <c r="B66" s="38" t="s">
        <v>28</v>
      </c>
      <c r="C66" s="146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</row>
    <row r="67" customFormat="false" ht="18.75" hidden="false" customHeight="true" outlineLevel="0" collapsed="false">
      <c r="B67" s="41" t="s">
        <v>45</v>
      </c>
      <c r="C67" s="35"/>
      <c r="D67" s="61" t="n">
        <f aca="false">$C$44/$E$16</f>
        <v>-1155665</v>
      </c>
      <c r="E67" s="61" t="n">
        <f aca="false">$C$44/$E$16</f>
        <v>-1155665</v>
      </c>
      <c r="F67" s="61" t="n">
        <f aca="false">$C$44/$E$16</f>
        <v>-1155665</v>
      </c>
      <c r="G67" s="61" t="n">
        <f aca="false">$C$44/$E$16</f>
        <v>-1155665</v>
      </c>
      <c r="H67" s="61" t="n">
        <f aca="false">$C$44/$E$16</f>
        <v>-1155665</v>
      </c>
      <c r="I67" s="61" t="n">
        <f aca="false">$C$44/$E$16</f>
        <v>-1155665</v>
      </c>
      <c r="J67" s="61" t="n">
        <f aca="false">$C$44/$E$16</f>
        <v>-1155665</v>
      </c>
      <c r="K67" s="61" t="n">
        <f aca="false">$C$44/$E$16</f>
        <v>-1155665</v>
      </c>
      <c r="L67" s="61" t="n">
        <f aca="false">$C$44/$E$16</f>
        <v>-1155665</v>
      </c>
      <c r="M67" s="61" t="n">
        <f aca="false">$C$44/$E$16</f>
        <v>-1155665</v>
      </c>
      <c r="N67" s="61" t="n">
        <f aca="false">$C$44/$E$16</f>
        <v>-1155665</v>
      </c>
      <c r="O67" s="61" t="n">
        <f aca="false">$C$44/$E$16</f>
        <v>-1155665</v>
      </c>
      <c r="P67" s="61" t="n">
        <f aca="false">$C$44/$E$16</f>
        <v>-1155665</v>
      </c>
      <c r="Q67" s="61" t="n">
        <f aca="false">$C$44/$E$16</f>
        <v>-1155665</v>
      </c>
      <c r="R67" s="61" t="n">
        <f aca="false">$C$44/$E$16</f>
        <v>-1155665</v>
      </c>
      <c r="S67" s="61" t="n">
        <f aca="false">$C$44/$E$16</f>
        <v>-1155665</v>
      </c>
      <c r="T67" s="61" t="n">
        <f aca="false">$C$44/$E$16</f>
        <v>-1155665</v>
      </c>
      <c r="U67" s="61" t="n">
        <f aca="false">$C$44/$E$16</f>
        <v>-1155665</v>
      </c>
      <c r="V67" s="61" t="n">
        <f aca="false">$C$44/$E$16</f>
        <v>-1155665</v>
      </c>
      <c r="W67" s="61" t="n">
        <f aca="false">$C$44/$E$16</f>
        <v>-1155665</v>
      </c>
      <c r="X67" s="145"/>
    </row>
    <row r="68" customFormat="false" ht="18.75" hidden="false" customHeight="true" outlineLevel="0" collapsed="false">
      <c r="B68" s="41" t="s">
        <v>30</v>
      </c>
      <c r="C68" s="35" t="s">
        <v>26</v>
      </c>
      <c r="D68" s="149" t="n">
        <f aca="false">D45</f>
        <v>-290201</v>
      </c>
      <c r="E68" s="149" t="n">
        <f aca="false">E45</f>
        <v>-290201</v>
      </c>
      <c r="F68" s="149" t="n">
        <f aca="false">F45</f>
        <v>-290201</v>
      </c>
      <c r="G68" s="149" t="n">
        <f aca="false">G45</f>
        <v>-290201</v>
      </c>
      <c r="H68" s="149" t="n">
        <f aca="false">H45</f>
        <v>-290201</v>
      </c>
      <c r="I68" s="149" t="n">
        <f aca="false">I45</f>
        <v>-290201</v>
      </c>
      <c r="J68" s="149" t="n">
        <f aca="false">J45</f>
        <v>-290201</v>
      </c>
      <c r="K68" s="149" t="n">
        <f aca="false">K45</f>
        <v>-290201</v>
      </c>
      <c r="L68" s="149" t="n">
        <f aca="false">L45</f>
        <v>-290201</v>
      </c>
      <c r="M68" s="149" t="n">
        <f aca="false">M45</f>
        <v>-290201</v>
      </c>
      <c r="N68" s="149" t="n">
        <f aca="false">N45</f>
        <v>-290201</v>
      </c>
      <c r="O68" s="149" t="n">
        <f aca="false">O45</f>
        <v>-290201</v>
      </c>
      <c r="P68" s="149" t="n">
        <f aca="false">P45</f>
        <v>-290201</v>
      </c>
      <c r="Q68" s="149" t="n">
        <f aca="false">Q45</f>
        <v>-290201</v>
      </c>
      <c r="R68" s="149" t="n">
        <f aca="false">R45</f>
        <v>-290201</v>
      </c>
      <c r="S68" s="149" t="n">
        <f aca="false">S45</f>
        <v>-290201</v>
      </c>
      <c r="T68" s="149" t="n">
        <f aca="false">T45</f>
        <v>-290201</v>
      </c>
      <c r="U68" s="149" t="n">
        <f aca="false">U45</f>
        <v>-290201</v>
      </c>
      <c r="V68" s="149" t="n">
        <f aca="false">V45</f>
        <v>-290201</v>
      </c>
      <c r="W68" s="149" t="n">
        <f aca="false">W45</f>
        <v>-290201</v>
      </c>
      <c r="X68" s="145"/>
    </row>
    <row r="69" customFormat="false" ht="18.75" hidden="false" customHeight="true" outlineLevel="0" collapsed="false">
      <c r="B69" s="41" t="s">
        <v>31</v>
      </c>
      <c r="C69" s="3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customFormat="false" ht="18.75" hidden="false" customHeight="true" outlineLevel="0" collapsed="false">
      <c r="B70" s="41" t="s">
        <v>32</v>
      </c>
      <c r="C70" s="35" t="s">
        <v>26</v>
      </c>
      <c r="D70" s="149" t="n">
        <v>0</v>
      </c>
      <c r="E70" s="149" t="n">
        <v>0</v>
      </c>
      <c r="F70" s="149" t="n">
        <v>0</v>
      </c>
      <c r="G70" s="149" t="n">
        <v>0</v>
      </c>
      <c r="H70" s="149" t="n">
        <v>0</v>
      </c>
      <c r="I70" s="149" t="n">
        <v>0</v>
      </c>
      <c r="J70" s="149" t="n">
        <v>0</v>
      </c>
      <c r="K70" s="149" t="n">
        <v>0</v>
      </c>
      <c r="L70" s="149" t="n">
        <v>0</v>
      </c>
      <c r="M70" s="149" t="n">
        <v>0</v>
      </c>
      <c r="N70" s="149" t="n">
        <v>0</v>
      </c>
      <c r="O70" s="149" t="n">
        <v>0</v>
      </c>
      <c r="P70" s="149" t="n">
        <v>0</v>
      </c>
      <c r="Q70" s="149" t="n">
        <v>0</v>
      </c>
      <c r="R70" s="149" t="n">
        <v>0</v>
      </c>
      <c r="S70" s="149" t="n">
        <v>0</v>
      </c>
      <c r="T70" s="149" t="n">
        <v>0</v>
      </c>
      <c r="U70" s="149" t="n">
        <v>0</v>
      </c>
      <c r="V70" s="149" t="n">
        <v>0</v>
      </c>
      <c r="W70" s="149" t="n">
        <v>0</v>
      </c>
      <c r="X70" s="145"/>
    </row>
    <row r="71" customFormat="false" ht="18.75" hidden="false" customHeight="true" outlineLevel="0" collapsed="false">
      <c r="B71" s="41" t="s">
        <v>33</v>
      </c>
      <c r="C71" s="35" t="s">
        <v>26</v>
      </c>
      <c r="D71" s="149" t="n">
        <f aca="false">D48</f>
        <v>-174440</v>
      </c>
      <c r="E71" s="149" t="n">
        <f aca="false">E48</f>
        <v>-174440</v>
      </c>
      <c r="F71" s="149" t="n">
        <f aca="false">F48</f>
        <v>-174440</v>
      </c>
      <c r="G71" s="149" t="n">
        <f aca="false">G48</f>
        <v>-174440</v>
      </c>
      <c r="H71" s="149" t="n">
        <f aca="false">H48</f>
        <v>-174440</v>
      </c>
      <c r="I71" s="149" t="n">
        <f aca="false">I48</f>
        <v>-174440</v>
      </c>
      <c r="J71" s="149" t="n">
        <f aca="false">J48</f>
        <v>-174440</v>
      </c>
      <c r="K71" s="149" t="n">
        <f aca="false">K48</f>
        <v>-174440</v>
      </c>
      <c r="L71" s="149" t="n">
        <f aca="false">L48</f>
        <v>-174440</v>
      </c>
      <c r="M71" s="149" t="n">
        <f aca="false">M48</f>
        <v>-174440</v>
      </c>
      <c r="N71" s="149" t="n">
        <f aca="false">N48</f>
        <v>-174440</v>
      </c>
      <c r="O71" s="149" t="n">
        <f aca="false">O48</f>
        <v>-174440</v>
      </c>
      <c r="P71" s="149" t="n">
        <f aca="false">P48</f>
        <v>-174440</v>
      </c>
      <c r="Q71" s="149" t="n">
        <f aca="false">Q48</f>
        <v>-174440</v>
      </c>
      <c r="R71" s="149" t="n">
        <f aca="false">R48</f>
        <v>-174440</v>
      </c>
      <c r="S71" s="149" t="n">
        <f aca="false">S48</f>
        <v>-174440</v>
      </c>
      <c r="T71" s="149" t="n">
        <f aca="false">T48</f>
        <v>-174440</v>
      </c>
      <c r="U71" s="149" t="n">
        <f aca="false">U48</f>
        <v>-174440</v>
      </c>
      <c r="V71" s="149" t="n">
        <f aca="false">V48</f>
        <v>-174440</v>
      </c>
      <c r="W71" s="149" t="n">
        <f aca="false">W48</f>
        <v>-174440</v>
      </c>
      <c r="X71" s="145"/>
    </row>
    <row r="72" customFormat="false" ht="18.75" hidden="false" customHeight="true" outlineLevel="0" collapsed="false">
      <c r="B72" s="41" t="s">
        <v>34</v>
      </c>
      <c r="C72" s="35" t="s">
        <v>26</v>
      </c>
      <c r="D72" s="149" t="n">
        <f aca="false">D49</f>
        <v>-45790.5</v>
      </c>
      <c r="E72" s="149" t="n">
        <f aca="false">E49</f>
        <v>-45790.5</v>
      </c>
      <c r="F72" s="149" t="n">
        <f aca="false">F49</f>
        <v>-45790.5</v>
      </c>
      <c r="G72" s="149" t="n">
        <f aca="false">G49</f>
        <v>-45790.5</v>
      </c>
      <c r="H72" s="149" t="n">
        <f aca="false">H49</f>
        <v>-45790.5</v>
      </c>
      <c r="I72" s="149" t="n">
        <f aca="false">I49</f>
        <v>-45790.5</v>
      </c>
      <c r="J72" s="149" t="n">
        <f aca="false">J49</f>
        <v>-45790.5</v>
      </c>
      <c r="K72" s="149" t="n">
        <f aca="false">K49</f>
        <v>-45790.5</v>
      </c>
      <c r="L72" s="149" t="n">
        <f aca="false">L49</f>
        <v>-45790.5</v>
      </c>
      <c r="M72" s="149" t="n">
        <f aca="false">M49</f>
        <v>-45790.5</v>
      </c>
      <c r="N72" s="149" t="n">
        <f aca="false">N49</f>
        <v>-45790.5</v>
      </c>
      <c r="O72" s="149" t="n">
        <f aca="false">O49</f>
        <v>-45790.5</v>
      </c>
      <c r="P72" s="149" t="n">
        <f aca="false">P49</f>
        <v>-45790.5</v>
      </c>
      <c r="Q72" s="149" t="n">
        <f aca="false">Q49</f>
        <v>-45790.5</v>
      </c>
      <c r="R72" s="149" t="n">
        <f aca="false">R49</f>
        <v>-45790.5</v>
      </c>
      <c r="S72" s="149" t="n">
        <f aca="false">S49</f>
        <v>-45790.5</v>
      </c>
      <c r="T72" s="149" t="n">
        <f aca="false">T49</f>
        <v>-45790.5</v>
      </c>
      <c r="U72" s="149" t="n">
        <f aca="false">U49</f>
        <v>-45790.5</v>
      </c>
      <c r="V72" s="149" t="n">
        <f aca="false">V49</f>
        <v>-45790.5</v>
      </c>
      <c r="W72" s="149" t="n">
        <f aca="false">W49</f>
        <v>-45790.5</v>
      </c>
      <c r="X72" s="145"/>
    </row>
    <row r="73" customFormat="false" ht="18.75" hidden="false" customHeight="true" outlineLevel="0" collapsed="false">
      <c r="B73" s="41" t="s">
        <v>35</v>
      </c>
      <c r="C73" s="35"/>
      <c r="D73" s="149" t="n">
        <f aca="false">D50</f>
        <v>-43610</v>
      </c>
      <c r="E73" s="149" t="n">
        <f aca="false">E50</f>
        <v>-43610</v>
      </c>
      <c r="F73" s="149" t="n">
        <f aca="false">F50</f>
        <v>-43610</v>
      </c>
      <c r="G73" s="149" t="n">
        <f aca="false">G50</f>
        <v>-43610</v>
      </c>
      <c r="H73" s="149" t="n">
        <f aca="false">H50</f>
        <v>-43610</v>
      </c>
      <c r="I73" s="149" t="n">
        <f aca="false">I50</f>
        <v>-43610</v>
      </c>
      <c r="J73" s="149" t="n">
        <f aca="false">J50</f>
        <v>-43610</v>
      </c>
      <c r="K73" s="149" t="n">
        <f aca="false">K50</f>
        <v>-43610</v>
      </c>
      <c r="L73" s="149" t="n">
        <f aca="false">L50</f>
        <v>-43610</v>
      </c>
      <c r="M73" s="149" t="n">
        <f aca="false">M50</f>
        <v>-43610</v>
      </c>
      <c r="N73" s="149" t="n">
        <f aca="false">N50</f>
        <v>0</v>
      </c>
      <c r="O73" s="149" t="n">
        <f aca="false">O50</f>
        <v>0</v>
      </c>
      <c r="P73" s="149" t="n">
        <f aca="false">P50</f>
        <v>0</v>
      </c>
      <c r="Q73" s="149" t="n">
        <f aca="false">Q50</f>
        <v>0</v>
      </c>
      <c r="R73" s="149" t="n">
        <f aca="false">R50</f>
        <v>0</v>
      </c>
      <c r="S73" s="149" t="n">
        <f aca="false">S50</f>
        <v>0</v>
      </c>
      <c r="T73" s="149" t="n">
        <f aca="false">T50</f>
        <v>0</v>
      </c>
      <c r="U73" s="149" t="n">
        <f aca="false">U50</f>
        <v>0</v>
      </c>
      <c r="V73" s="149" t="n">
        <f aca="false">V50</f>
        <v>0</v>
      </c>
      <c r="W73" s="149" t="n">
        <f aca="false">W50</f>
        <v>0</v>
      </c>
      <c r="X73" s="145"/>
    </row>
    <row r="74" customFormat="false" ht="18.75" hidden="false" customHeight="true" outlineLevel="0" collapsed="false">
      <c r="B74" s="41" t="s">
        <v>36</v>
      </c>
      <c r="C74" s="44"/>
      <c r="D74" s="62"/>
      <c r="E74" s="6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customFormat="false" ht="18.75" hidden="false" customHeight="true" outlineLevel="0" collapsed="false">
      <c r="B75" s="41" t="s">
        <v>37</v>
      </c>
      <c r="C75" s="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customFormat="false" ht="18.75" hidden="false" customHeight="true" outlineLevel="0" collapsed="false">
      <c r="B76" s="46" t="s">
        <v>46</v>
      </c>
      <c r="C76" s="155"/>
      <c r="D76" s="48" t="n">
        <f aca="false">SUM(D64:D75)</f>
        <v>302193.112096</v>
      </c>
      <c r="E76" s="48" t="n">
        <f aca="false">SUM(E64:E75)</f>
        <v>294064.2247744</v>
      </c>
      <c r="F76" s="48" t="n">
        <f aca="false">SUM(F64:F75)</f>
        <v>285935.3374528</v>
      </c>
      <c r="G76" s="48" t="n">
        <f aca="false">SUM(G64:G75)</f>
        <v>277806.4501312</v>
      </c>
      <c r="H76" s="48" t="n">
        <f aca="false">SUM(H64:H75)</f>
        <v>269677.5628096</v>
      </c>
      <c r="I76" s="48" t="n">
        <f aca="false">SUM(I64:I75)</f>
        <v>261548.675488</v>
      </c>
      <c r="J76" s="48" t="n">
        <f aca="false">SUM(J64:J75)</f>
        <v>253419.7881664</v>
      </c>
      <c r="K76" s="48" t="n">
        <f aca="false">SUM(K64:K75)</f>
        <v>245290.9008448</v>
      </c>
      <c r="L76" s="48" t="n">
        <f aca="false">SUM(L64:L75)</f>
        <v>237162.0135232</v>
      </c>
      <c r="M76" s="48" t="n">
        <f aca="false">SUM(M64:M75)</f>
        <v>229033.1262016</v>
      </c>
      <c r="N76" s="48" t="n">
        <f aca="false">SUM(N64:N75)</f>
        <v>264514.23888</v>
      </c>
      <c r="O76" s="48" t="n">
        <f aca="false">SUM(O64:O75)</f>
        <v>256385.3515584</v>
      </c>
      <c r="P76" s="48" t="n">
        <f aca="false">SUM(P64:P75)</f>
        <v>248256.4642368</v>
      </c>
      <c r="Q76" s="48" t="n">
        <f aca="false">SUM(Q64:Q75)</f>
        <v>240127.5769152</v>
      </c>
      <c r="R76" s="48" t="n">
        <f aca="false">SUM(R64:R75)</f>
        <v>231998.6895936</v>
      </c>
      <c r="S76" s="48" t="n">
        <f aca="false">SUM(S64:S75)</f>
        <v>223869.802272</v>
      </c>
      <c r="T76" s="48" t="n">
        <f aca="false">SUM(T64:T75)</f>
        <v>215740.9149504</v>
      </c>
      <c r="U76" s="48" t="n">
        <f aca="false">SUM(U64:U75)</f>
        <v>207612.0276288</v>
      </c>
      <c r="V76" s="48" t="n">
        <f aca="false">SUM(V64:V75)</f>
        <v>199483.1403072</v>
      </c>
      <c r="W76" s="48" t="n">
        <f aca="false">SUM(W64:W75)</f>
        <v>191354.2529856</v>
      </c>
      <c r="X76" s="48" t="n">
        <f aca="false">SUM(X64:X75)</f>
        <v>0</v>
      </c>
    </row>
    <row r="77" customFormat="false" ht="18.75" hidden="false" customHeight="true" outlineLevel="0" collapsed="false">
      <c r="B77" s="45" t="s">
        <v>39</v>
      </c>
      <c r="C77" s="44"/>
      <c r="D77" s="149" t="n">
        <f aca="false">-D76*0.2</f>
        <v>-60438.6224192</v>
      </c>
      <c r="E77" s="149" t="n">
        <f aca="false">-E76*0.2</f>
        <v>-58812.84495488</v>
      </c>
      <c r="F77" s="149" t="n">
        <f aca="false">-F76*0.2</f>
        <v>-57187.06749056</v>
      </c>
      <c r="G77" s="149" t="n">
        <f aca="false">-G76*0.2</f>
        <v>-55561.29002624</v>
      </c>
      <c r="H77" s="149" t="n">
        <f aca="false">-H76*0.2</f>
        <v>-53935.51256192</v>
      </c>
      <c r="I77" s="149" t="n">
        <f aca="false">-I76*0.2</f>
        <v>-52309.7350976</v>
      </c>
      <c r="J77" s="149" t="n">
        <f aca="false">-J76*0.2</f>
        <v>-50683.95763328</v>
      </c>
      <c r="K77" s="149" t="n">
        <f aca="false">-K76*0.2</f>
        <v>-49058.18016896</v>
      </c>
      <c r="L77" s="149" t="n">
        <f aca="false">-L76*0.2</f>
        <v>-47432.40270464</v>
      </c>
      <c r="M77" s="149" t="n">
        <f aca="false">-M76*0.2</f>
        <v>-45806.62524032</v>
      </c>
      <c r="N77" s="149" t="n">
        <f aca="false">-N76*0.2</f>
        <v>-52902.847776</v>
      </c>
      <c r="O77" s="149" t="n">
        <f aca="false">-O76*0.2</f>
        <v>-51277.07031168</v>
      </c>
      <c r="P77" s="149" t="n">
        <f aca="false">-P76*0.2</f>
        <v>-49651.29284736</v>
      </c>
      <c r="Q77" s="149" t="n">
        <f aca="false">-Q76*0.2</f>
        <v>-48025.51538304</v>
      </c>
      <c r="R77" s="149" t="n">
        <f aca="false">-R76*0.2</f>
        <v>-46399.73791872</v>
      </c>
      <c r="S77" s="149" t="n">
        <f aca="false">-S76*0.2</f>
        <v>-44773.9604544</v>
      </c>
      <c r="T77" s="149" t="n">
        <f aca="false">-T76*0.2</f>
        <v>-43148.1829900799</v>
      </c>
      <c r="U77" s="149" t="n">
        <f aca="false">-U76*0.2</f>
        <v>-41522.40552576</v>
      </c>
      <c r="V77" s="149" t="n">
        <f aca="false">-V76*0.2</f>
        <v>-39896.6280614399</v>
      </c>
      <c r="W77" s="149" t="n">
        <f aca="false">-W76*0.2</f>
        <v>-38270.85059712</v>
      </c>
      <c r="X77" s="149" t="n">
        <f aca="false">-X76*0.2</f>
        <v>-0</v>
      </c>
    </row>
    <row r="78" customFormat="false" ht="15" hidden="false" customHeight="true" outlineLevel="0" collapsed="false">
      <c r="B78" s="65" t="s">
        <v>47</v>
      </c>
      <c r="D78" s="149" t="n">
        <f aca="false">SUM(D76:D77)</f>
        <v>241754.4896768</v>
      </c>
      <c r="E78" s="149" t="n">
        <f aca="false">SUM(E76:E77)</f>
        <v>235251.37981952</v>
      </c>
      <c r="F78" s="149" t="n">
        <f aca="false">SUM(F76:F77)</f>
        <v>228748.26996224</v>
      </c>
      <c r="G78" s="149" t="n">
        <f aca="false">SUM(G76:G77)</f>
        <v>222245.16010496</v>
      </c>
      <c r="H78" s="149" t="n">
        <f aca="false">SUM(H76:H77)</f>
        <v>215742.05024768</v>
      </c>
      <c r="I78" s="149" t="n">
        <f aca="false">SUM(I76:I77)</f>
        <v>209238.9403904</v>
      </c>
      <c r="J78" s="149" t="n">
        <f aca="false">SUM(J76:J77)</f>
        <v>202735.83053312</v>
      </c>
      <c r="K78" s="149" t="n">
        <f aca="false">SUM(K76:K77)</f>
        <v>196232.72067584</v>
      </c>
      <c r="L78" s="149" t="n">
        <f aca="false">SUM(L76:L77)</f>
        <v>189729.61081856</v>
      </c>
      <c r="M78" s="149" t="n">
        <f aca="false">SUM(M76:M77)</f>
        <v>183226.50096128</v>
      </c>
      <c r="N78" s="149" t="n">
        <f aca="false">SUM(N76:N77)</f>
        <v>211611.391104</v>
      </c>
      <c r="O78" s="149" t="n">
        <f aca="false">SUM(O76:O77)</f>
        <v>205108.28124672</v>
      </c>
      <c r="P78" s="149" t="n">
        <f aca="false">SUM(P76:P77)</f>
        <v>198605.17138944</v>
      </c>
      <c r="Q78" s="149" t="n">
        <f aca="false">SUM(Q76:Q77)</f>
        <v>192102.06153216</v>
      </c>
      <c r="R78" s="149" t="n">
        <f aca="false">SUM(R76:R77)</f>
        <v>185598.95167488</v>
      </c>
      <c r="S78" s="149" t="n">
        <f aca="false">SUM(S76:S77)</f>
        <v>179095.8418176</v>
      </c>
      <c r="T78" s="149" t="n">
        <f aca="false">SUM(T76:T77)</f>
        <v>172592.73196032</v>
      </c>
      <c r="U78" s="149" t="n">
        <f aca="false">SUM(U76:U77)</f>
        <v>166089.62210304</v>
      </c>
      <c r="V78" s="149" t="n">
        <f aca="false">SUM(V76:V77)</f>
        <v>159586.51224576</v>
      </c>
      <c r="W78" s="149" t="n">
        <f aca="false">SUM(W76:W77)</f>
        <v>153083.40238848</v>
      </c>
      <c r="X78" s="149" t="n">
        <f aca="false">SUM(X76:X77)</f>
        <v>0</v>
      </c>
    </row>
    <row r="79" customFormat="false" ht="18.75" hidden="false" customHeight="true" outlineLevel="0" collapsed="false">
      <c r="B79" s="49" t="s">
        <v>41</v>
      </c>
      <c r="C79" s="52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7"/>
    </row>
    <row r="80" customFormat="false" ht="18.75" hidden="false" customHeight="true" outlineLevel="0" collapsed="false">
      <c r="B80" s="68" t="s">
        <v>42</v>
      </c>
      <c r="C80" s="69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9"/>
    </row>
    <row r="81" customFormat="false" ht="18.75" hidden="false" customHeight="true" outlineLevel="0" collapsed="false">
      <c r="B81" s="58"/>
      <c r="C81" s="57"/>
      <c r="D81" s="57"/>
      <c r="E81" s="57"/>
      <c r="F81" s="58"/>
      <c r="G81" s="58"/>
      <c r="H81" s="58"/>
      <c r="I81" s="58"/>
      <c r="J81" s="58"/>
      <c r="K81" s="58"/>
      <c r="L81" s="58"/>
      <c r="M81" s="57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91" t="s">
        <v>63</v>
      </c>
      <c r="C1" s="92"/>
      <c r="D1" s="92"/>
      <c r="E1" s="93"/>
      <c r="F1" s="94" t="s">
        <v>64</v>
      </c>
      <c r="P1" s="95" t="n">
        <f aca="false">1-D11</f>
        <v>0.99</v>
      </c>
      <c r="Q1" s="95" t="n">
        <f aca="false">P1-$D12</f>
        <v>0.986</v>
      </c>
      <c r="R1" s="95" t="n">
        <f aca="false">Q1-$D12</f>
        <v>0.982</v>
      </c>
      <c r="S1" s="95" t="n">
        <f aca="false">R1-$D12</f>
        <v>0.978</v>
      </c>
      <c r="T1" s="95" t="n">
        <f aca="false">S1-$D12</f>
        <v>0.974</v>
      </c>
      <c r="U1" s="95" t="n">
        <f aca="false">T1-$D12</f>
        <v>0.97</v>
      </c>
      <c r="V1" s="95" t="n">
        <f aca="false">U1-$D12</f>
        <v>0.966</v>
      </c>
      <c r="W1" s="95" t="n">
        <f aca="false">V1-$D12</f>
        <v>0.962</v>
      </c>
      <c r="X1" s="95" t="n">
        <f aca="false">W1-$D12</f>
        <v>0.958</v>
      </c>
      <c r="Y1" s="95" t="n">
        <f aca="false">X1-$D12</f>
        <v>0.954</v>
      </c>
      <c r="Z1" s="95" t="n">
        <f aca="false">Y1-$D12</f>
        <v>0.95</v>
      </c>
      <c r="AA1" s="95" t="n">
        <f aca="false">Z1-$D12</f>
        <v>0.946</v>
      </c>
      <c r="AB1" s="95" t="n">
        <f aca="false">AA1-$D12</f>
        <v>0.942</v>
      </c>
      <c r="AC1" s="95" t="n">
        <f aca="false">AB1-$D12</f>
        <v>0.938</v>
      </c>
      <c r="AD1" s="95" t="n">
        <f aca="false">AC1-$D12</f>
        <v>0.934</v>
      </c>
      <c r="AE1" s="95" t="n">
        <f aca="false">AD1-$D12</f>
        <v>0.93</v>
      </c>
      <c r="AF1" s="95" t="n">
        <f aca="false">AE1-$D12</f>
        <v>0.926</v>
      </c>
      <c r="AG1" s="95" t="n">
        <f aca="false">AF1-$D12</f>
        <v>0.922</v>
      </c>
      <c r="AH1" s="95" t="n">
        <f aca="false">AG1-$D12</f>
        <v>0.918</v>
      </c>
      <c r="AI1" s="95" t="n">
        <f aca="false">AH1-$D12</f>
        <v>0.914</v>
      </c>
    </row>
    <row r="2" customFormat="false" ht="21.75" hidden="false" customHeight="true" outlineLevel="0" collapsed="false">
      <c r="B2" s="96" t="s">
        <v>65</v>
      </c>
      <c r="C2" s="97" t="s">
        <v>2</v>
      </c>
      <c r="D2" s="98" t="s">
        <v>26</v>
      </c>
      <c r="E2" s="99" t="s">
        <v>26</v>
      </c>
      <c r="F2" s="100" t="s">
        <v>66</v>
      </c>
    </row>
    <row r="3" customFormat="false" ht="21.75" hidden="false" customHeight="true" outlineLevel="0" collapsed="false">
      <c r="B3" s="101" t="s">
        <v>67</v>
      </c>
      <c r="C3" s="102" t="n">
        <v>20</v>
      </c>
      <c r="D3" s="103" t="s">
        <v>26</v>
      </c>
      <c r="E3" s="104" t="s">
        <v>26</v>
      </c>
      <c r="F3" s="105" t="s">
        <v>68</v>
      </c>
    </row>
    <row r="4" customFormat="false" ht="21.75" hidden="false" customHeight="true" outlineLevel="0" collapsed="false">
      <c r="B4" s="101" t="s">
        <v>69</v>
      </c>
      <c r="C4" s="102" t="n">
        <v>436.1</v>
      </c>
      <c r="D4" s="103" t="s">
        <v>26</v>
      </c>
      <c r="E4" s="104" t="s">
        <v>26</v>
      </c>
      <c r="F4" s="105" t="s">
        <v>70</v>
      </c>
      <c r="M4" s="106" t="s">
        <v>137</v>
      </c>
    </row>
    <row r="5" customFormat="false" ht="22.5" hidden="false" customHeight="true" outlineLevel="0" collapsed="false">
      <c r="B5" s="107" t="s">
        <v>72</v>
      </c>
      <c r="C5" s="102" t="n">
        <v>2023</v>
      </c>
      <c r="D5" s="107" t="s">
        <v>73</v>
      </c>
      <c r="E5" s="108" t="n">
        <v>2042</v>
      </c>
      <c r="F5" s="105" t="s">
        <v>74</v>
      </c>
      <c r="M5" s="106" t="s">
        <v>138</v>
      </c>
    </row>
    <row r="6" customFormat="false" ht="20.25" hidden="false" customHeight="true" outlineLevel="0" collapsed="false">
      <c r="B6" s="109"/>
      <c r="C6" s="109"/>
      <c r="D6" s="109"/>
      <c r="E6" s="109"/>
      <c r="M6" s="106" t="s">
        <v>139</v>
      </c>
    </row>
    <row r="7" customFormat="false" ht="22.5" hidden="false" customHeight="true" outlineLevel="0" collapsed="false">
      <c r="B7" s="91" t="s">
        <v>77</v>
      </c>
      <c r="C7" s="92"/>
      <c r="D7" s="92"/>
      <c r="E7" s="93"/>
      <c r="M7" s="106" t="s">
        <v>140</v>
      </c>
    </row>
    <row r="8" customFormat="false" ht="22.5" hidden="false" customHeight="true" outlineLevel="0" collapsed="false">
      <c r="B8" s="110" t="s">
        <v>79</v>
      </c>
      <c r="E8" s="111"/>
      <c r="M8" s="106" t="s">
        <v>141</v>
      </c>
    </row>
    <row r="9" customFormat="false" ht="22.5" hidden="false" customHeight="true" outlineLevel="0" collapsed="false">
      <c r="B9" s="112" t="s">
        <v>81</v>
      </c>
      <c r="C9" s="113" t="s">
        <v>82</v>
      </c>
      <c r="D9" s="113" t="s">
        <v>83</v>
      </c>
      <c r="E9" s="114" t="s">
        <v>84</v>
      </c>
      <c r="F9" s="94" t="s">
        <v>64</v>
      </c>
      <c r="M9" s="106" t="s">
        <v>85</v>
      </c>
    </row>
    <row r="10" customFormat="false" ht="30" hidden="false" customHeight="true" outlineLevel="0" collapsed="false">
      <c r="B10" s="115" t="s">
        <v>86</v>
      </c>
      <c r="C10" s="116" t="s">
        <v>87</v>
      </c>
      <c r="D10" s="117" t="n">
        <v>547002</v>
      </c>
      <c r="E10" s="118" t="n">
        <v>20</v>
      </c>
      <c r="F10" s="105" t="s">
        <v>88</v>
      </c>
      <c r="M10" s="106" t="s">
        <v>142</v>
      </c>
    </row>
    <row r="11" customFormat="false" ht="30" hidden="false" customHeight="true" outlineLevel="0" collapsed="false">
      <c r="B11" s="119"/>
      <c r="C11" s="107" t="s">
        <v>90</v>
      </c>
      <c r="D11" s="120" t="n">
        <v>0.01</v>
      </c>
      <c r="E11" s="121"/>
      <c r="F11" s="105" t="s">
        <v>91</v>
      </c>
    </row>
    <row r="12" customFormat="false" ht="30" hidden="false" customHeight="true" outlineLevel="0" collapsed="false">
      <c r="B12" s="119"/>
      <c r="C12" s="107" t="s">
        <v>92</v>
      </c>
      <c r="D12" s="122" t="n">
        <v>0.004</v>
      </c>
      <c r="E12" s="121"/>
      <c r="F12" s="105" t="s">
        <v>93</v>
      </c>
    </row>
    <row r="13" customFormat="false" ht="22.5" hidden="false" customHeight="true" outlineLevel="0" collapsed="false">
      <c r="B13" s="119"/>
      <c r="C13" s="123" t="s">
        <v>94</v>
      </c>
      <c r="D13" s="124" t="n">
        <v>3.7152</v>
      </c>
      <c r="E13" s="121"/>
      <c r="F13" s="105" t="s">
        <v>95</v>
      </c>
    </row>
    <row r="14" customFormat="false" ht="22.5" hidden="false" customHeight="true" outlineLevel="0" collapsed="false">
      <c r="B14" s="125" t="s">
        <v>96</v>
      </c>
      <c r="C14" s="92"/>
      <c r="D14" s="92"/>
      <c r="E14" s="93"/>
    </row>
    <row r="15" customFormat="false" ht="22.5" hidden="false" customHeight="true" outlineLevel="0" collapsed="false">
      <c r="B15" s="112" t="s">
        <v>81</v>
      </c>
      <c r="C15" s="113" t="s">
        <v>82</v>
      </c>
      <c r="D15" s="113" t="s">
        <v>83</v>
      </c>
      <c r="E15" s="114" t="s">
        <v>97</v>
      </c>
      <c r="F15" s="94" t="s">
        <v>64</v>
      </c>
    </row>
    <row r="16" customFormat="false" ht="21.75" hidden="false" customHeight="true" outlineLevel="0" collapsed="false">
      <c r="B16" s="116" t="s">
        <v>98</v>
      </c>
      <c r="C16" s="116" t="s">
        <v>99</v>
      </c>
      <c r="D16" s="126" t="n">
        <v>33000</v>
      </c>
      <c r="E16" s="99" t="n">
        <v>20</v>
      </c>
      <c r="F16" s="105" t="s">
        <v>100</v>
      </c>
    </row>
    <row r="17" customFormat="false" ht="21.75" hidden="false" customHeight="true" outlineLevel="0" collapsed="false">
      <c r="B17" s="119"/>
      <c r="C17" s="107" t="s">
        <v>101</v>
      </c>
      <c r="D17" s="127" t="n">
        <v>0.3</v>
      </c>
      <c r="E17" s="121"/>
      <c r="F17" s="105" t="s">
        <v>102</v>
      </c>
    </row>
    <row r="18" customFormat="false" ht="21.75" hidden="false" customHeight="true" outlineLevel="0" collapsed="false">
      <c r="B18" s="128"/>
      <c r="C18" s="107" t="s">
        <v>103</v>
      </c>
      <c r="D18" s="129" t="n">
        <v>3000</v>
      </c>
      <c r="E18" s="130"/>
      <c r="F18" s="105" t="s">
        <v>104</v>
      </c>
    </row>
    <row r="19" customFormat="false" ht="54" hidden="false" customHeight="true" outlineLevel="0" collapsed="false">
      <c r="B19" s="107" t="s">
        <v>105</v>
      </c>
      <c r="C19" s="131" t="s">
        <v>106</v>
      </c>
      <c r="D19" s="127" t="n">
        <v>1</v>
      </c>
      <c r="E19" s="99" t="n">
        <v>0</v>
      </c>
      <c r="F19" s="105" t="s">
        <v>107</v>
      </c>
    </row>
    <row r="20" customFormat="false" ht="20.25" hidden="false" customHeight="true" outlineLevel="0" collapsed="false">
      <c r="B20" s="119"/>
      <c r="C20" s="132" t="s">
        <v>108</v>
      </c>
      <c r="D20" s="129" t="n">
        <v>290201</v>
      </c>
      <c r="E20" s="99" t="n">
        <v>20</v>
      </c>
      <c r="F20" s="105" t="s">
        <v>109</v>
      </c>
    </row>
    <row r="21" customFormat="false" ht="30" hidden="false" customHeight="true" outlineLevel="0" collapsed="false">
      <c r="B21" s="128"/>
      <c r="C21" s="107" t="s">
        <v>110</v>
      </c>
      <c r="D21" s="127" t="n">
        <v>0</v>
      </c>
      <c r="E21" s="104" t="n">
        <v>0</v>
      </c>
      <c r="F21" s="105" t="s">
        <v>111</v>
      </c>
    </row>
    <row r="22" customFormat="false" ht="30" hidden="false" customHeight="true" outlineLevel="0" collapsed="false">
      <c r="B22" s="107" t="s">
        <v>112</v>
      </c>
      <c r="C22" s="107" t="s">
        <v>113</v>
      </c>
      <c r="D22" s="133" t="n">
        <v>400</v>
      </c>
      <c r="E22" s="104" t="n">
        <v>20</v>
      </c>
      <c r="F22" s="105" t="s">
        <v>114</v>
      </c>
    </row>
    <row r="23" customFormat="false" ht="30" hidden="false" customHeight="true" outlineLevel="0" collapsed="false">
      <c r="B23" s="107" t="s">
        <v>115</v>
      </c>
      <c r="C23" s="107" t="s">
        <v>116</v>
      </c>
      <c r="D23" s="127" t="n">
        <v>0.003</v>
      </c>
      <c r="E23" s="104" t="n">
        <v>20</v>
      </c>
      <c r="F23" s="105" t="s">
        <v>117</v>
      </c>
    </row>
    <row r="24" customFormat="false" ht="30" hidden="false" customHeight="true" outlineLevel="0" collapsed="false">
      <c r="B24" s="107" t="s">
        <v>118</v>
      </c>
      <c r="C24" s="107" t="s">
        <v>119</v>
      </c>
      <c r="D24" s="133" t="n">
        <v>1000</v>
      </c>
      <c r="E24" s="134" t="n">
        <v>10</v>
      </c>
      <c r="F24" s="105" t="s">
        <v>120</v>
      </c>
    </row>
    <row r="25" customFormat="false" ht="30" hidden="false" customHeight="true" outlineLevel="0" collapsed="false">
      <c r="B25" s="107" t="s">
        <v>121</v>
      </c>
      <c r="C25" s="107" t="s">
        <v>122</v>
      </c>
      <c r="D25" s="135" t="n">
        <v>0.025595</v>
      </c>
      <c r="E25" s="104" t="n">
        <v>0</v>
      </c>
      <c r="F25" s="105" t="s">
        <v>123</v>
      </c>
    </row>
    <row r="26" customFormat="false" ht="30" hidden="false" customHeight="true" outlineLevel="0" collapsed="false">
      <c r="B26" s="107" t="s">
        <v>14</v>
      </c>
      <c r="C26" s="107" t="s">
        <v>124</v>
      </c>
      <c r="D26" s="127" t="n">
        <v>0.2</v>
      </c>
      <c r="E26" s="104" t="n">
        <v>0</v>
      </c>
      <c r="F26" s="105" t="s">
        <v>125</v>
      </c>
    </row>
    <row r="27" customFormat="false" ht="20.25" hidden="false" customHeight="true" outlineLevel="0" collapsed="false">
      <c r="B27" s="109"/>
      <c r="C27" s="109"/>
      <c r="D27" s="109"/>
      <c r="E27" s="109"/>
    </row>
    <row r="28" customFormat="false" ht="20.25" hidden="false" customHeight="true" outlineLevel="0" collapsed="false">
      <c r="B28" s="109"/>
      <c r="C28" s="109"/>
      <c r="D28" s="109"/>
      <c r="E28" s="109"/>
    </row>
    <row r="29" customFormat="false" ht="22.5" hidden="false" customHeight="true" outlineLevel="0" collapsed="false">
      <c r="B29" s="91" t="s">
        <v>126</v>
      </c>
      <c r="C29" s="92"/>
      <c r="D29" s="93"/>
      <c r="E29" s="109"/>
    </row>
    <row r="30" customFormat="false" ht="22.5" hidden="false" customHeight="true" outlineLevel="0" collapsed="false">
      <c r="B30" s="112" t="s">
        <v>127</v>
      </c>
      <c r="C30" s="136" t="s">
        <v>82</v>
      </c>
      <c r="D30" s="137" t="s">
        <v>83</v>
      </c>
      <c r="E30" s="109"/>
      <c r="F30" s="94" t="s">
        <v>64</v>
      </c>
    </row>
    <row r="31" customFormat="false" ht="30" hidden="false" customHeight="true" outlineLevel="0" collapsed="false">
      <c r="B31" s="116" t="s">
        <v>128</v>
      </c>
      <c r="C31" s="96" t="s">
        <v>129</v>
      </c>
      <c r="D31" s="138" t="n">
        <v>0.8</v>
      </c>
      <c r="E31" s="109"/>
      <c r="F31" s="105" t="s">
        <v>130</v>
      </c>
    </row>
    <row r="32" customFormat="false" ht="18.75" hidden="false" customHeight="true" outlineLevel="0" collapsed="false">
      <c r="B32" s="116" t="s">
        <v>131</v>
      </c>
      <c r="C32" s="96" t="s">
        <v>132</v>
      </c>
      <c r="D32" s="138" t="n">
        <v>15</v>
      </c>
      <c r="E32" s="109"/>
      <c r="F32" s="105" t="s">
        <v>133</v>
      </c>
    </row>
    <row r="33" customFormat="false" ht="18.75" hidden="false" customHeight="true" outlineLevel="0" collapsed="false">
      <c r="B33" s="107" t="s">
        <v>53</v>
      </c>
      <c r="C33" s="101" t="s">
        <v>134</v>
      </c>
      <c r="D33" s="127" t="n">
        <v>0.9</v>
      </c>
      <c r="E33" s="109"/>
      <c r="F33" s="105" t="s">
        <v>135</v>
      </c>
    </row>
    <row r="34" customFormat="false" ht="30" hidden="false" customHeight="true" outlineLevel="0" collapsed="false">
      <c r="B34" s="107" t="s">
        <v>54</v>
      </c>
      <c r="C34" s="101" t="s">
        <v>132</v>
      </c>
      <c r="D34" s="127" t="n">
        <v>4</v>
      </c>
      <c r="E34" s="109"/>
      <c r="F34" s="105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6"/>
      <c r="C37" s="17" t="s">
        <v>0</v>
      </c>
      <c r="D37" s="17" t="n">
        <v>2023</v>
      </c>
      <c r="E37" s="17" t="n">
        <v>2024</v>
      </c>
      <c r="F37" s="17" t="n">
        <v>2025</v>
      </c>
      <c r="G37" s="17" t="n">
        <v>2026</v>
      </c>
      <c r="H37" s="17" t="n">
        <v>2027</v>
      </c>
      <c r="I37" s="17" t="n">
        <v>2028</v>
      </c>
      <c r="J37" s="17" t="n">
        <v>2029</v>
      </c>
      <c r="K37" s="17" t="n">
        <v>2030</v>
      </c>
      <c r="L37" s="17" t="n">
        <v>2031</v>
      </c>
      <c r="M37" s="17" t="n">
        <v>2032</v>
      </c>
      <c r="N37" s="17" t="n">
        <v>2033</v>
      </c>
      <c r="O37" s="17" t="n">
        <v>2034</v>
      </c>
      <c r="P37" s="17" t="n">
        <v>2035</v>
      </c>
      <c r="Q37" s="17" t="n">
        <v>2036</v>
      </c>
      <c r="R37" s="17" t="n">
        <v>2037</v>
      </c>
      <c r="S37" s="17" t="n">
        <v>2038</v>
      </c>
      <c r="T37" s="17" t="n">
        <v>2039</v>
      </c>
      <c r="U37" s="17" t="n">
        <v>2040</v>
      </c>
      <c r="V37" s="17" t="n">
        <v>2041</v>
      </c>
      <c r="W37" s="17" t="n">
        <v>2042</v>
      </c>
      <c r="X37" s="17"/>
    </row>
    <row r="38" customFormat="false" ht="18.75" hidden="false" customHeight="true" outlineLevel="0" collapsed="false">
      <c r="B38" s="18" t="n">
        <v>0</v>
      </c>
      <c r="C38" s="19"/>
      <c r="D38" s="20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2"/>
      <c r="W38" s="22"/>
      <c r="X38" s="139"/>
    </row>
    <row r="39" customFormat="false" ht="18.75" hidden="false" customHeight="true" outlineLevel="0" collapsed="false">
      <c r="B39" s="24" t="s">
        <v>23</v>
      </c>
      <c r="C39" s="25" t="n">
        <v>0</v>
      </c>
      <c r="D39" s="26" t="n">
        <v>1</v>
      </c>
      <c r="E39" s="26" t="n">
        <v>2</v>
      </c>
      <c r="F39" s="26" t="n">
        <v>3</v>
      </c>
      <c r="G39" s="26" t="n">
        <v>4</v>
      </c>
      <c r="H39" s="26" t="n">
        <v>5</v>
      </c>
      <c r="I39" s="26" t="n">
        <v>6</v>
      </c>
      <c r="J39" s="26" t="n">
        <v>7</v>
      </c>
      <c r="K39" s="26" t="n">
        <v>8</v>
      </c>
      <c r="L39" s="26" t="n">
        <v>9</v>
      </c>
      <c r="M39" s="26" t="n">
        <v>10</v>
      </c>
      <c r="N39" s="26" t="n">
        <v>11</v>
      </c>
      <c r="O39" s="26" t="n">
        <v>12</v>
      </c>
      <c r="P39" s="26" t="n">
        <v>13</v>
      </c>
      <c r="Q39" s="26" t="n">
        <v>14</v>
      </c>
      <c r="R39" s="26" t="n">
        <v>15</v>
      </c>
      <c r="S39" s="26" t="n">
        <v>16</v>
      </c>
      <c r="T39" s="27" t="n">
        <v>17</v>
      </c>
      <c r="U39" s="26" t="n">
        <v>18</v>
      </c>
      <c r="V39" s="26" t="n">
        <v>19</v>
      </c>
      <c r="W39" s="26" t="n">
        <v>20</v>
      </c>
      <c r="X39" s="140"/>
    </row>
    <row r="40" customFormat="false" ht="18.75" hidden="false" customHeight="true" outlineLevel="0" collapsed="false">
      <c r="B40" s="141" t="s">
        <v>24</v>
      </c>
      <c r="C40" s="29" t="n">
        <v>0</v>
      </c>
      <c r="D40" s="30" t="n">
        <f aca="false">$D$10*P1</f>
        <v>541531.98</v>
      </c>
      <c r="E40" s="30" t="n">
        <f aca="false">$D$10*Q1</f>
        <v>539343.972</v>
      </c>
      <c r="F40" s="30" t="n">
        <f aca="false">$D$10*R1</f>
        <v>537155.964</v>
      </c>
      <c r="G40" s="30" t="n">
        <f aca="false">$D$10*S1</f>
        <v>534967.956</v>
      </c>
      <c r="H40" s="30" t="n">
        <f aca="false">$D$10*T1</f>
        <v>532779.948</v>
      </c>
      <c r="I40" s="30" t="n">
        <f aca="false">$D$10*U1</f>
        <v>530591.94</v>
      </c>
      <c r="J40" s="30" t="n">
        <f aca="false">$D$10*V1</f>
        <v>528403.932</v>
      </c>
      <c r="K40" s="30" t="n">
        <f aca="false">$D$10*W1</f>
        <v>526215.924</v>
      </c>
      <c r="L40" s="30" t="n">
        <f aca="false">$D$10*X1</f>
        <v>524027.916</v>
      </c>
      <c r="M40" s="30" t="n">
        <f aca="false">$D$10*Y1</f>
        <v>521839.908</v>
      </c>
      <c r="N40" s="30" t="n">
        <f aca="false">$D$10*Z1</f>
        <v>519651.9</v>
      </c>
      <c r="O40" s="30" t="n">
        <f aca="false">$D$10*AA1</f>
        <v>517463.892</v>
      </c>
      <c r="P40" s="30" t="n">
        <f aca="false">$D$10*AB1</f>
        <v>515275.884</v>
      </c>
      <c r="Q40" s="30" t="n">
        <f aca="false">$D$10*AC1</f>
        <v>513087.876</v>
      </c>
      <c r="R40" s="30" t="n">
        <f aca="false">$D$10*AD1</f>
        <v>510899.868</v>
      </c>
      <c r="S40" s="30" t="n">
        <f aca="false">$D$10*AE1</f>
        <v>508711.86</v>
      </c>
      <c r="T40" s="30" t="n">
        <f aca="false">$D$10*AF1</f>
        <v>506523.852</v>
      </c>
      <c r="U40" s="30" t="n">
        <f aca="false">$D$10*AG1</f>
        <v>504335.844</v>
      </c>
      <c r="V40" s="30" t="n">
        <f aca="false">$D$10*AH1</f>
        <v>502147.836</v>
      </c>
      <c r="W40" s="30" t="n">
        <f aca="false">$D$10*AI1</f>
        <v>499959.828</v>
      </c>
      <c r="X40" s="142"/>
    </row>
    <row r="41" customFormat="false" ht="18.75" hidden="false" customHeight="true" outlineLevel="0" collapsed="false">
      <c r="B41" s="31" t="s">
        <v>25</v>
      </c>
      <c r="C41" s="32" t="s">
        <v>26</v>
      </c>
      <c r="D41" s="33" t="n">
        <f aca="false">D40*$D$13</f>
        <v>2011899.612096</v>
      </c>
      <c r="E41" s="33" t="n">
        <f aca="false">E40*$D$13</f>
        <v>2003770.7247744</v>
      </c>
      <c r="F41" s="33" t="n">
        <f aca="false">F40*$D$13</f>
        <v>1995641.8374528</v>
      </c>
      <c r="G41" s="33" t="n">
        <f aca="false">G40*$D$13</f>
        <v>1987512.9501312</v>
      </c>
      <c r="H41" s="33" t="n">
        <f aca="false">H40*$D$13</f>
        <v>1979384.0628096</v>
      </c>
      <c r="I41" s="33" t="n">
        <f aca="false">I40*$D$13</f>
        <v>1971255.175488</v>
      </c>
      <c r="J41" s="33" t="n">
        <f aca="false">J40*$D$13</f>
        <v>1963126.2881664</v>
      </c>
      <c r="K41" s="33" t="n">
        <f aca="false">K40*$D$13</f>
        <v>1954997.4008448</v>
      </c>
      <c r="L41" s="33" t="n">
        <f aca="false">L40*$D$13</f>
        <v>1946868.5135232</v>
      </c>
      <c r="M41" s="33" t="n">
        <f aca="false">M40*$D$13</f>
        <v>1938739.6262016</v>
      </c>
      <c r="N41" s="33" t="n">
        <f aca="false">N40*$D$13</f>
        <v>1930610.73888</v>
      </c>
      <c r="O41" s="33" t="n">
        <f aca="false">O40*$D$13</f>
        <v>1922481.8515584</v>
      </c>
      <c r="P41" s="33" t="n">
        <f aca="false">P40*$D$13</f>
        <v>1914352.9642368</v>
      </c>
      <c r="Q41" s="33" t="n">
        <f aca="false">Q40*$D$13</f>
        <v>1906224.0769152</v>
      </c>
      <c r="R41" s="33" t="n">
        <f aca="false">R40*$D$13</f>
        <v>1898095.1895936</v>
      </c>
      <c r="S41" s="33" t="n">
        <f aca="false">S40*$D$13</f>
        <v>1889966.302272</v>
      </c>
      <c r="T41" s="33" t="n">
        <f aca="false">T40*$D$13</f>
        <v>1881837.4149504</v>
      </c>
      <c r="U41" s="33" t="n">
        <f aca="false">U40*$D$13</f>
        <v>1873708.5276288</v>
      </c>
      <c r="V41" s="33" t="n">
        <f aca="false">V40*$D$13</f>
        <v>1865579.6403072</v>
      </c>
      <c r="W41" s="33" t="n">
        <f aca="false">W40*$D$13</f>
        <v>1857450.7529856</v>
      </c>
      <c r="X41" s="143"/>
    </row>
    <row r="42" customFormat="false" ht="18.75" hidden="false" customHeight="true" outlineLevel="0" collapsed="false">
      <c r="B42" s="34" t="s">
        <v>27</v>
      </c>
      <c r="C42" s="35" t="s">
        <v>26</v>
      </c>
      <c r="D42" s="144"/>
      <c r="E42" s="144"/>
      <c r="F42" s="144"/>
      <c r="G42" s="37" t="s">
        <v>26</v>
      </c>
      <c r="H42" s="37" t="s">
        <v>26</v>
      </c>
      <c r="I42" s="37" t="s">
        <v>26</v>
      </c>
      <c r="J42" s="37" t="s">
        <v>26</v>
      </c>
      <c r="K42" s="37" t="s">
        <v>26</v>
      </c>
      <c r="L42" s="37" t="s">
        <v>26</v>
      </c>
      <c r="M42" s="37" t="s">
        <v>26</v>
      </c>
      <c r="N42" s="37" t="s">
        <v>26</v>
      </c>
      <c r="O42" s="37" t="s">
        <v>26</v>
      </c>
      <c r="P42" s="37" t="s">
        <v>26</v>
      </c>
      <c r="Q42" s="37" t="s">
        <v>26</v>
      </c>
      <c r="R42" s="37" t="s">
        <v>26</v>
      </c>
      <c r="S42" s="37" t="s">
        <v>26</v>
      </c>
      <c r="T42" s="37" t="s">
        <v>26</v>
      </c>
      <c r="U42" s="37" t="s">
        <v>26</v>
      </c>
      <c r="V42" s="37" t="s">
        <v>26</v>
      </c>
      <c r="W42" s="37" t="s">
        <v>26</v>
      </c>
      <c r="X42" s="145"/>
    </row>
    <row r="43" customFormat="false" ht="18.75" hidden="false" customHeight="true" outlineLevel="0" collapsed="false">
      <c r="B43" s="38" t="s">
        <v>28</v>
      </c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8"/>
    </row>
    <row r="44" customFormat="false" ht="18.75" hidden="false" customHeight="true" outlineLevel="0" collapsed="false">
      <c r="B44" s="41" t="s">
        <v>29</v>
      </c>
      <c r="C44" s="42" t="n">
        <f aca="false">-(D16/(1-D17)+D18)*C4</f>
        <v>-21867300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</row>
    <row r="45" customFormat="false" ht="18.75" hidden="false" customHeight="true" outlineLevel="0" collapsed="false">
      <c r="B45" s="41" t="s">
        <v>30</v>
      </c>
      <c r="C45" s="35" t="s">
        <v>26</v>
      </c>
      <c r="D45" s="149" t="n">
        <v>-290201</v>
      </c>
      <c r="E45" s="149" t="n">
        <v>-290201</v>
      </c>
      <c r="F45" s="149" t="n">
        <v>-290201</v>
      </c>
      <c r="G45" s="149" t="n">
        <v>-290201</v>
      </c>
      <c r="H45" s="149" t="n">
        <v>-290201</v>
      </c>
      <c r="I45" s="149" t="n">
        <v>-290201</v>
      </c>
      <c r="J45" s="149" t="n">
        <v>-290201</v>
      </c>
      <c r="K45" s="149" t="n">
        <v>-290201</v>
      </c>
      <c r="L45" s="149" t="n">
        <v>-290201</v>
      </c>
      <c r="M45" s="149" t="n">
        <v>-290201</v>
      </c>
      <c r="N45" s="149" t="n">
        <v>-290201</v>
      </c>
      <c r="O45" s="149" t="n">
        <v>-290201</v>
      </c>
      <c r="P45" s="149" t="n">
        <v>-290201</v>
      </c>
      <c r="Q45" s="149" t="n">
        <v>-290201</v>
      </c>
      <c r="R45" s="149" t="n">
        <v>-290201</v>
      </c>
      <c r="S45" s="149" t="n">
        <v>-290201</v>
      </c>
      <c r="T45" s="149" t="n">
        <v>-290201</v>
      </c>
      <c r="U45" s="149" t="n">
        <v>-290201</v>
      </c>
      <c r="V45" s="149" t="n">
        <v>-290201</v>
      </c>
      <c r="W45" s="149" t="n">
        <v>-290201</v>
      </c>
      <c r="X45" s="149"/>
    </row>
    <row r="46" customFormat="false" ht="18.75" hidden="false" customHeight="true" outlineLevel="0" collapsed="false">
      <c r="B46" s="41" t="s">
        <v>31</v>
      </c>
      <c r="C46" s="35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customFormat="false" ht="18.75" hidden="false" customHeight="true" outlineLevel="0" collapsed="false">
      <c r="B47" s="41" t="s">
        <v>32</v>
      </c>
      <c r="C47" s="35" t="s">
        <v>26</v>
      </c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</row>
    <row r="48" customFormat="false" ht="18.75" hidden="false" customHeight="true" outlineLevel="0" collapsed="false">
      <c r="B48" s="41" t="s">
        <v>33</v>
      </c>
      <c r="C48" s="35" t="s">
        <v>26</v>
      </c>
      <c r="D48" s="149" t="n">
        <v>-174440</v>
      </c>
      <c r="E48" s="149" t="n">
        <v>-174440</v>
      </c>
      <c r="F48" s="149" t="n">
        <v>-174440</v>
      </c>
      <c r="G48" s="149" t="n">
        <v>-174440</v>
      </c>
      <c r="H48" s="149" t="n">
        <v>-174440</v>
      </c>
      <c r="I48" s="149" t="n">
        <v>-174440</v>
      </c>
      <c r="J48" s="149" t="n">
        <v>-174440</v>
      </c>
      <c r="K48" s="149" t="n">
        <v>-174440</v>
      </c>
      <c r="L48" s="149" t="n">
        <v>-174440</v>
      </c>
      <c r="M48" s="149" t="n">
        <v>-174440</v>
      </c>
      <c r="N48" s="149" t="n">
        <v>-174440</v>
      </c>
      <c r="O48" s="149" t="n">
        <v>-174440</v>
      </c>
      <c r="P48" s="149" t="n">
        <v>-174440</v>
      </c>
      <c r="Q48" s="149" t="n">
        <v>-174440</v>
      </c>
      <c r="R48" s="149" t="n">
        <v>-174440</v>
      </c>
      <c r="S48" s="149" t="n">
        <v>-174440</v>
      </c>
      <c r="T48" s="149" t="n">
        <v>-174440</v>
      </c>
      <c r="U48" s="149" t="n">
        <v>-174440</v>
      </c>
      <c r="V48" s="149" t="n">
        <v>-174440</v>
      </c>
      <c r="W48" s="149" t="n">
        <v>-174440</v>
      </c>
      <c r="X48" s="149"/>
    </row>
    <row r="49" customFormat="false" ht="18.75" hidden="false" customHeight="true" outlineLevel="0" collapsed="false">
      <c r="B49" s="41" t="s">
        <v>34</v>
      </c>
      <c r="C49" s="35" t="s">
        <v>26</v>
      </c>
      <c r="D49" s="149" t="n">
        <v>-43173.9</v>
      </c>
      <c r="E49" s="149" t="n">
        <v>-43173.9</v>
      </c>
      <c r="F49" s="149" t="n">
        <v>-43173.9</v>
      </c>
      <c r="G49" s="149" t="n">
        <v>-43173.9</v>
      </c>
      <c r="H49" s="149" t="n">
        <v>-43173.9</v>
      </c>
      <c r="I49" s="149" t="n">
        <v>-43173.9</v>
      </c>
      <c r="J49" s="149" t="n">
        <v>-43173.9</v>
      </c>
      <c r="K49" s="149" t="n">
        <v>-43173.9</v>
      </c>
      <c r="L49" s="149" t="n">
        <v>-43173.9</v>
      </c>
      <c r="M49" s="149" t="n">
        <v>-43173.9</v>
      </c>
      <c r="N49" s="149" t="n">
        <v>-43173.9</v>
      </c>
      <c r="O49" s="149" t="n">
        <v>-43173.9</v>
      </c>
      <c r="P49" s="149" t="n">
        <v>-43173.9</v>
      </c>
      <c r="Q49" s="149" t="n">
        <v>-43173.9</v>
      </c>
      <c r="R49" s="149" t="n">
        <v>-43173.9</v>
      </c>
      <c r="S49" s="149" t="n">
        <v>-43173.9</v>
      </c>
      <c r="T49" s="149" t="n">
        <v>-43173.9</v>
      </c>
      <c r="U49" s="149" t="n">
        <v>-43173.9</v>
      </c>
      <c r="V49" s="149" t="n">
        <v>-43173.9</v>
      </c>
      <c r="W49" s="149" t="n">
        <v>-43173.9</v>
      </c>
      <c r="X49" s="149"/>
    </row>
    <row r="50" customFormat="false" ht="18.75" hidden="false" customHeight="true" outlineLevel="0" collapsed="false">
      <c r="B50" s="41" t="s">
        <v>35</v>
      </c>
      <c r="C50" s="35"/>
      <c r="D50" s="149" t="n">
        <v>-43610</v>
      </c>
      <c r="E50" s="149" t="n">
        <v>-43610</v>
      </c>
      <c r="F50" s="149" t="n">
        <v>-43610</v>
      </c>
      <c r="G50" s="149" t="n">
        <v>-43610</v>
      </c>
      <c r="H50" s="149" t="n">
        <v>-43610</v>
      </c>
      <c r="I50" s="149" t="n">
        <v>-43610</v>
      </c>
      <c r="J50" s="149" t="n">
        <v>-43610</v>
      </c>
      <c r="K50" s="149" t="n">
        <v>-43610</v>
      </c>
      <c r="L50" s="149" t="n">
        <v>-43610</v>
      </c>
      <c r="M50" s="149" t="n">
        <v>-43610</v>
      </c>
      <c r="N50" s="149" t="n">
        <v>0</v>
      </c>
      <c r="O50" s="149" t="n">
        <v>0</v>
      </c>
      <c r="P50" s="149" t="n">
        <v>0</v>
      </c>
      <c r="Q50" s="149" t="n">
        <v>0</v>
      </c>
      <c r="R50" s="149" t="n">
        <v>0</v>
      </c>
      <c r="S50" s="149" t="n">
        <v>0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/>
    </row>
    <row r="51" customFormat="false" ht="18.75" hidden="false" customHeight="true" outlineLevel="0" collapsed="false">
      <c r="B51" s="41" t="s">
        <v>36</v>
      </c>
      <c r="C51" s="4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</row>
    <row r="52" customFormat="false" ht="18.75" hidden="false" customHeight="true" outlineLevel="0" collapsed="false">
      <c r="B52" s="41" t="s">
        <v>37</v>
      </c>
      <c r="C52" s="4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customFormat="false" ht="18.75" hidden="false" customHeight="true" outlineLevel="0" collapsed="false">
      <c r="B53" s="45" t="s">
        <v>38</v>
      </c>
      <c r="C53" s="4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</row>
    <row r="54" customFormat="false" ht="18.75" hidden="false" customHeight="true" outlineLevel="0" collapsed="false">
      <c r="B54" s="45" t="s">
        <v>39</v>
      </c>
      <c r="C54" s="44"/>
      <c r="D54" s="149" t="n">
        <f aca="false">D77</f>
        <v>-73421.9424191999</v>
      </c>
      <c r="E54" s="149" t="n">
        <f aca="false">E77</f>
        <v>-71796.1649548799</v>
      </c>
      <c r="F54" s="149" t="n">
        <f aca="false">F77</f>
        <v>-70170.38749056</v>
      </c>
      <c r="G54" s="149" t="n">
        <f aca="false">G77</f>
        <v>-68544.61002624</v>
      </c>
      <c r="H54" s="149" t="n">
        <f aca="false">H77</f>
        <v>-66918.8325619199</v>
      </c>
      <c r="I54" s="149" t="n">
        <f aca="false">I77</f>
        <v>-65293.0550975999</v>
      </c>
      <c r="J54" s="149" t="n">
        <f aca="false">J77</f>
        <v>-63667.27763328</v>
      </c>
      <c r="K54" s="149" t="n">
        <f aca="false">K77</f>
        <v>-62041.5001689599</v>
      </c>
      <c r="L54" s="149" t="n">
        <f aca="false">L77</f>
        <v>-60415.7227046399</v>
      </c>
      <c r="M54" s="149" t="n">
        <f aca="false">M77</f>
        <v>-58789.9452403199</v>
      </c>
      <c r="N54" s="149" t="n">
        <f aca="false">N77</f>
        <v>-65886.1677759999</v>
      </c>
      <c r="O54" s="149" t="n">
        <f aca="false">O77</f>
        <v>-64260.3903116799</v>
      </c>
      <c r="P54" s="149" t="n">
        <f aca="false">P77</f>
        <v>-62634.6128473599</v>
      </c>
      <c r="Q54" s="149" t="n">
        <f aca="false">Q77</f>
        <v>-61008.8353830399</v>
      </c>
      <c r="R54" s="149" t="n">
        <f aca="false">R77</f>
        <v>-59383.0579187199</v>
      </c>
      <c r="S54" s="149" t="n">
        <f aca="false">S77</f>
        <v>-57757.2804543999</v>
      </c>
      <c r="T54" s="149" t="n">
        <f aca="false">T77</f>
        <v>-56131.5029900799</v>
      </c>
      <c r="U54" s="149" t="n">
        <f aca="false">U77</f>
        <v>-54505.7255257599</v>
      </c>
      <c r="V54" s="149" t="n">
        <f aca="false">V77</f>
        <v>-52879.9480614399</v>
      </c>
      <c r="W54" s="149" t="n">
        <f aca="false">W77</f>
        <v>-51254.1705971199</v>
      </c>
      <c r="X54" s="144"/>
    </row>
    <row r="55" customFormat="false" ht="18.75" hidden="false" customHeight="true" outlineLevel="0" collapsed="false">
      <c r="B55" s="46" t="s">
        <v>40</v>
      </c>
      <c r="C55" s="47" t="n">
        <f aca="false">C44</f>
        <v>-21867300</v>
      </c>
      <c r="D55" s="48" t="n">
        <f aca="false">SUM(D41:D54)</f>
        <v>1387052.7696768</v>
      </c>
      <c r="E55" s="48" t="n">
        <f aca="false">SUM(E41:E54)</f>
        <v>1380549.65981952</v>
      </c>
      <c r="F55" s="48" t="n">
        <f aca="false">SUM(F41:F54)</f>
        <v>1374046.54996224</v>
      </c>
      <c r="G55" s="48" t="n">
        <f aca="false">SUM(G41:G54)</f>
        <v>1367543.44010496</v>
      </c>
      <c r="H55" s="48" t="n">
        <f aca="false">SUM(H41:H54)</f>
        <v>1361040.33024768</v>
      </c>
      <c r="I55" s="48" t="n">
        <f aca="false">SUM(I41:I54)</f>
        <v>1354537.2203904</v>
      </c>
      <c r="J55" s="48" t="n">
        <f aca="false">SUM(J41:J54)</f>
        <v>1348034.11053312</v>
      </c>
      <c r="K55" s="48" t="n">
        <f aca="false">SUM(K41:K54)</f>
        <v>1341531.00067584</v>
      </c>
      <c r="L55" s="48" t="n">
        <f aca="false">SUM(L41:L54)</f>
        <v>1335027.89081856</v>
      </c>
      <c r="M55" s="48" t="n">
        <f aca="false">SUM(M41:M54)</f>
        <v>1328524.78096128</v>
      </c>
      <c r="N55" s="48" t="n">
        <f aca="false">SUM(N41:N54)</f>
        <v>1356909.671104</v>
      </c>
      <c r="O55" s="48" t="n">
        <f aca="false">SUM(O41:O54)</f>
        <v>1350406.56124672</v>
      </c>
      <c r="P55" s="48" t="n">
        <f aca="false">SUM(P41:P54)</f>
        <v>1343903.45138944</v>
      </c>
      <c r="Q55" s="48" t="n">
        <f aca="false">SUM(Q41:Q54)</f>
        <v>1337400.34153216</v>
      </c>
      <c r="R55" s="48" t="n">
        <f aca="false">SUM(R41:R54)</f>
        <v>1330897.23167488</v>
      </c>
      <c r="S55" s="48" t="n">
        <f aca="false">SUM(S41:S54)</f>
        <v>1324394.1218176</v>
      </c>
      <c r="T55" s="48" t="n">
        <f aca="false">SUM(T41:T54)</f>
        <v>1317891.01196032</v>
      </c>
      <c r="U55" s="48" t="n">
        <f aca="false">SUM(U41:U54)</f>
        <v>1311387.90210304</v>
      </c>
      <c r="V55" s="48" t="n">
        <f aca="false">SUM(V41:V54)</f>
        <v>1304884.79224576</v>
      </c>
      <c r="W55" s="48" t="n">
        <f aca="false">SUM(W41:W54)</f>
        <v>1298381.68238848</v>
      </c>
      <c r="X55" s="150"/>
      <c r="Y55" s="151"/>
      <c r="Z55" s="152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customFormat="false" ht="18.75" hidden="false" customHeight="true" outlineLevel="0" collapsed="false">
      <c r="B56" s="49" t="s">
        <v>41</v>
      </c>
      <c r="D56" s="50" t="n">
        <f aca="false">C55+D55</f>
        <v>-20480247.2303232</v>
      </c>
      <c r="E56" s="50" t="n">
        <f aca="false">D56+E55</f>
        <v>-19099697.5705037</v>
      </c>
      <c r="F56" s="50" t="n">
        <f aca="false">E56+F55</f>
        <v>-17725651.0205414</v>
      </c>
      <c r="G56" s="50" t="n">
        <f aca="false">F56+G55</f>
        <v>-16358107.5804365</v>
      </c>
      <c r="H56" s="50" t="n">
        <f aca="false">G56+H55</f>
        <v>-14997067.2501888</v>
      </c>
      <c r="I56" s="50" t="n">
        <f aca="false">H56+I55</f>
        <v>-13642530.0297984</v>
      </c>
      <c r="J56" s="50" t="n">
        <f aca="false">I56+J55</f>
        <v>-12294495.9192653</v>
      </c>
      <c r="K56" s="50" t="n">
        <f aca="false">J56+K55</f>
        <v>-10952964.9185894</v>
      </c>
      <c r="L56" s="50" t="n">
        <f aca="false">K56+L55</f>
        <v>-9617937.02777088</v>
      </c>
      <c r="M56" s="50" t="n">
        <f aca="false">L56+M55</f>
        <v>-8289412.2468096</v>
      </c>
      <c r="N56" s="50" t="n">
        <f aca="false">M56+N55</f>
        <v>-6932502.5757056</v>
      </c>
      <c r="O56" s="50" t="n">
        <f aca="false">N56+O55</f>
        <v>-5582096.01445888</v>
      </c>
      <c r="P56" s="50" t="n">
        <f aca="false">O56+P55</f>
        <v>-4238192.56306944</v>
      </c>
      <c r="Q56" s="50" t="n">
        <f aca="false">P56+Q55</f>
        <v>-2900792.22153728</v>
      </c>
      <c r="R56" s="50" t="n">
        <f aca="false">Q56+R55</f>
        <v>-1569894.9898624</v>
      </c>
      <c r="S56" s="50" t="n">
        <f aca="false">R56+S55</f>
        <v>-245500.8680448</v>
      </c>
      <c r="T56" s="50" t="n">
        <f aca="false">S56+T55</f>
        <v>1072390.14391552</v>
      </c>
      <c r="U56" s="50" t="n">
        <f aca="false">T56+U55</f>
        <v>2383778.04601856</v>
      </c>
      <c r="V56" s="50" t="n">
        <f aca="false">U56+V55</f>
        <v>3688662.83826432</v>
      </c>
      <c r="W56" s="50" t="n">
        <f aca="false">V56+W55</f>
        <v>4987044.5206528</v>
      </c>
      <c r="X56" s="50" t="n">
        <f aca="false">W56+X55</f>
        <v>4987044.5206528</v>
      </c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</row>
    <row r="57" customFormat="false" ht="18.75" hidden="false" customHeight="true" outlineLevel="0" collapsed="false">
      <c r="B57" s="51" t="s">
        <v>42</v>
      </c>
      <c r="C57" s="52"/>
      <c r="D57" s="53" t="str">
        <f aca="false">IF((D56)&gt;0,"回收","未回收")</f>
        <v>未回收</v>
      </c>
      <c r="E57" s="54" t="str">
        <f aca="false">IF((E56)&gt;0,"回收","未回收")</f>
        <v>未回收</v>
      </c>
      <c r="F57" s="54" t="str">
        <f aca="false">IF((F56)&gt;0,"回收","未回收")</f>
        <v>未回收</v>
      </c>
      <c r="G57" s="54" t="str">
        <f aca="false">IF((G56)&gt;0,"回收","未回收")</f>
        <v>未回收</v>
      </c>
      <c r="H57" s="54" t="str">
        <f aca="false">IF((H56)&gt;0,"回收","未回收")</f>
        <v>未回收</v>
      </c>
      <c r="I57" s="54" t="str">
        <f aca="false">IF((I56)&gt;0,"回收","未回收")</f>
        <v>未回收</v>
      </c>
      <c r="J57" s="54" t="str">
        <f aca="false">IF((J56)&gt;0,"回收","未回收")</f>
        <v>未回收</v>
      </c>
      <c r="K57" s="54" t="str">
        <f aca="false">IF((K56)&gt;0,"回收","未回收")</f>
        <v>未回收</v>
      </c>
      <c r="L57" s="54" t="str">
        <f aca="false">IF((L56)&gt;0,"回收","未回收")</f>
        <v>未回收</v>
      </c>
      <c r="M57" s="54" t="str">
        <f aca="false">IF((M56)&gt;0,"回收","未回收")</f>
        <v>未回收</v>
      </c>
      <c r="N57" s="54" t="str">
        <f aca="false">IF((N56)&gt;0,"回收","未回收")</f>
        <v>未回收</v>
      </c>
      <c r="O57" s="54" t="str">
        <f aca="false">IF((O56)&gt;0,"回收","未回收")</f>
        <v>未回收</v>
      </c>
      <c r="P57" s="54" t="str">
        <f aca="false">IF((P56)&gt;0,"回收","未回收")</f>
        <v>未回收</v>
      </c>
      <c r="Q57" s="54" t="str">
        <f aca="false">IF((Q56)&gt;0,"回收","未回收")</f>
        <v>未回收</v>
      </c>
      <c r="R57" s="54" t="str">
        <f aca="false">IF((R56)&gt;0,"回收","未回收")</f>
        <v>未回收</v>
      </c>
      <c r="S57" s="54" t="str">
        <f aca="false">IF((S56)&gt;0,"回收","未回收")</f>
        <v>未回收</v>
      </c>
      <c r="T57" s="54" t="str">
        <f aca="false">IF((T56)&gt;0,"回收","未回收")</f>
        <v>回收</v>
      </c>
      <c r="U57" s="54" t="str">
        <f aca="false">IF((U56)&gt;0,"回收","未回收")</f>
        <v>回收</v>
      </c>
      <c r="V57" s="54" t="str">
        <f aca="false">IF((V56)&gt;0,"回收","未回收")</f>
        <v>回收</v>
      </c>
      <c r="W57" s="54" t="str">
        <f aca="false">IF((W56)&gt;0,"回收","未回收")</f>
        <v>回收</v>
      </c>
      <c r="X57" s="54" t="str">
        <f aca="false">IF((X56)&gt;0,"回收","未回收")</f>
        <v>回收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</row>
    <row r="58" customFormat="false" ht="18.75" hidden="false" customHeight="true" outlineLevel="0" collapsed="false">
      <c r="B58" s="55" t="s">
        <v>43</v>
      </c>
      <c r="C58" s="56" t="n">
        <f aca="false">IRR(C55:W55)</f>
        <v>0.0206197740698437</v>
      </c>
      <c r="D58" s="57"/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customFormat="false" ht="18.75" hidden="false" customHeight="true" outlineLevel="0" collapsed="false">
      <c r="B59" s="58"/>
      <c r="C59" s="57"/>
      <c r="D59" s="57"/>
      <c r="E59" s="57"/>
      <c r="F59" s="58"/>
      <c r="G59" s="58"/>
      <c r="H59" s="58"/>
      <c r="I59" s="58"/>
      <c r="J59" s="58"/>
      <c r="K59" s="58"/>
      <c r="L59" s="58"/>
      <c r="M59" s="57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customFormat="false" ht="18.75" hidden="false" customHeight="true" outlineLevel="0" collapsed="false">
      <c r="B60" s="16"/>
      <c r="C60" s="17" t="s">
        <v>0</v>
      </c>
      <c r="D60" s="17" t="n">
        <f aca="false">D37</f>
        <v>2023</v>
      </c>
      <c r="E60" s="17" t="n">
        <f aca="false">E37</f>
        <v>2024</v>
      </c>
      <c r="F60" s="17" t="n">
        <f aca="false">F37</f>
        <v>2025</v>
      </c>
      <c r="G60" s="17" t="n">
        <f aca="false">G37</f>
        <v>2026</v>
      </c>
      <c r="H60" s="17" t="n">
        <f aca="false">H37</f>
        <v>2027</v>
      </c>
      <c r="I60" s="17" t="n">
        <f aca="false">I37</f>
        <v>2028</v>
      </c>
      <c r="J60" s="17" t="n">
        <f aca="false">J37</f>
        <v>2029</v>
      </c>
      <c r="K60" s="17" t="n">
        <f aca="false">K37</f>
        <v>2030</v>
      </c>
      <c r="L60" s="17" t="n">
        <f aca="false">L37</f>
        <v>2031</v>
      </c>
      <c r="M60" s="17" t="n">
        <f aca="false">M37</f>
        <v>2032</v>
      </c>
      <c r="N60" s="17" t="n">
        <f aca="false">N37</f>
        <v>2033</v>
      </c>
      <c r="O60" s="17" t="n">
        <f aca="false">O37</f>
        <v>2034</v>
      </c>
      <c r="P60" s="17" t="n">
        <f aca="false">P37</f>
        <v>2035</v>
      </c>
      <c r="Q60" s="17" t="n">
        <f aca="false">Q37</f>
        <v>2036</v>
      </c>
      <c r="R60" s="17" t="n">
        <f aca="false">R37</f>
        <v>2037</v>
      </c>
      <c r="S60" s="17" t="n">
        <f aca="false">S37</f>
        <v>2038</v>
      </c>
      <c r="T60" s="17" t="n">
        <f aca="false">T37</f>
        <v>2039</v>
      </c>
      <c r="U60" s="17" t="n">
        <f aca="false">U37</f>
        <v>2040</v>
      </c>
      <c r="V60" s="17" t="n">
        <f aca="false">V37</f>
        <v>2041</v>
      </c>
      <c r="W60" s="17" t="n">
        <f aca="false">W37</f>
        <v>2042</v>
      </c>
      <c r="X60" s="17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customFormat="false" ht="18.75" hidden="false" customHeight="true" outlineLevel="0" collapsed="false">
      <c r="B61" s="18" t="n">
        <v>0</v>
      </c>
      <c r="C61" s="19"/>
      <c r="D61" s="20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59" t="s">
        <v>44</v>
      </c>
      <c r="U61" s="22"/>
      <c r="V61" s="22"/>
      <c r="W61" s="22"/>
      <c r="X61" s="139"/>
    </row>
    <row r="62" customFormat="false" ht="18.75" hidden="false" customHeight="true" outlineLevel="0" collapsed="false">
      <c r="B62" s="24" t="s">
        <v>23</v>
      </c>
      <c r="C62" s="25" t="n">
        <v>0</v>
      </c>
      <c r="D62" s="26" t="n">
        <v>1</v>
      </c>
      <c r="E62" s="26" t="n">
        <v>2</v>
      </c>
      <c r="F62" s="26" t="n">
        <v>3</v>
      </c>
      <c r="G62" s="26" t="n">
        <v>4</v>
      </c>
      <c r="H62" s="26" t="n">
        <v>5</v>
      </c>
      <c r="I62" s="26" t="n">
        <v>6</v>
      </c>
      <c r="J62" s="26" t="n">
        <v>7</v>
      </c>
      <c r="K62" s="26" t="n">
        <v>8</v>
      </c>
      <c r="L62" s="26" t="n">
        <v>9</v>
      </c>
      <c r="M62" s="26" t="n">
        <v>10</v>
      </c>
      <c r="N62" s="26" t="n">
        <v>11</v>
      </c>
      <c r="O62" s="26" t="n">
        <v>12</v>
      </c>
      <c r="P62" s="26" t="n">
        <v>13</v>
      </c>
      <c r="Q62" s="26" t="n">
        <v>14</v>
      </c>
      <c r="R62" s="26" t="n">
        <v>15</v>
      </c>
      <c r="S62" s="26" t="n">
        <v>16</v>
      </c>
      <c r="T62" s="60" t="n">
        <v>17</v>
      </c>
      <c r="U62" s="26" t="n">
        <v>18</v>
      </c>
      <c r="V62" s="26" t="n">
        <v>19</v>
      </c>
      <c r="W62" s="26" t="n">
        <v>20</v>
      </c>
      <c r="X62" s="140"/>
    </row>
    <row r="63" customFormat="false" ht="18.75" hidden="false" customHeight="true" outlineLevel="0" collapsed="false">
      <c r="B63" s="141" t="s">
        <v>24</v>
      </c>
      <c r="C63" s="29" t="n">
        <v>0</v>
      </c>
      <c r="D63" s="30" t="n">
        <f aca="false">D40</f>
        <v>541531.98</v>
      </c>
      <c r="E63" s="30" t="n">
        <f aca="false">E40</f>
        <v>539343.972</v>
      </c>
      <c r="F63" s="30" t="n">
        <f aca="false">F40</f>
        <v>537155.964</v>
      </c>
      <c r="G63" s="30" t="n">
        <f aca="false">G40</f>
        <v>534967.956</v>
      </c>
      <c r="H63" s="30" t="n">
        <f aca="false">H40</f>
        <v>532779.948</v>
      </c>
      <c r="I63" s="30" t="n">
        <f aca="false">I40</f>
        <v>530591.94</v>
      </c>
      <c r="J63" s="30" t="n">
        <f aca="false">J40</f>
        <v>528403.932</v>
      </c>
      <c r="K63" s="30" t="n">
        <f aca="false">K40</f>
        <v>526215.924</v>
      </c>
      <c r="L63" s="30" t="n">
        <f aca="false">L40</f>
        <v>524027.916</v>
      </c>
      <c r="M63" s="30" t="n">
        <f aca="false">M40</f>
        <v>521839.908</v>
      </c>
      <c r="N63" s="30" t="n">
        <f aca="false">N40</f>
        <v>519651.9</v>
      </c>
      <c r="O63" s="30" t="n">
        <f aca="false">O40</f>
        <v>517463.892</v>
      </c>
      <c r="P63" s="30" t="n">
        <f aca="false">P40</f>
        <v>515275.884</v>
      </c>
      <c r="Q63" s="30" t="n">
        <f aca="false">Q40</f>
        <v>513087.876</v>
      </c>
      <c r="R63" s="30" t="n">
        <f aca="false">R40</f>
        <v>510899.868</v>
      </c>
      <c r="S63" s="30" t="n">
        <f aca="false">S40</f>
        <v>508711.86</v>
      </c>
      <c r="T63" s="30" t="n">
        <f aca="false">T40</f>
        <v>506523.852</v>
      </c>
      <c r="U63" s="30" t="n">
        <f aca="false">U40</f>
        <v>504335.844</v>
      </c>
      <c r="V63" s="30" t="n">
        <f aca="false">V40</f>
        <v>502147.836</v>
      </c>
      <c r="W63" s="30" t="n">
        <f aca="false">W40</f>
        <v>499959.828</v>
      </c>
      <c r="X63" s="142"/>
    </row>
    <row r="64" customFormat="false" ht="18.75" hidden="false" customHeight="true" outlineLevel="0" collapsed="false">
      <c r="B64" s="31" t="s">
        <v>25</v>
      </c>
      <c r="C64" s="32" t="s">
        <v>26</v>
      </c>
      <c r="D64" s="33" t="n">
        <f aca="false">D41</f>
        <v>2011899.612096</v>
      </c>
      <c r="E64" s="33" t="n">
        <f aca="false">E41</f>
        <v>2003770.7247744</v>
      </c>
      <c r="F64" s="33" t="n">
        <f aca="false">F41</f>
        <v>1995641.8374528</v>
      </c>
      <c r="G64" s="33" t="n">
        <f aca="false">G41</f>
        <v>1987512.9501312</v>
      </c>
      <c r="H64" s="33" t="n">
        <f aca="false">H41</f>
        <v>1979384.0628096</v>
      </c>
      <c r="I64" s="33" t="n">
        <f aca="false">I41</f>
        <v>1971255.175488</v>
      </c>
      <c r="J64" s="33" t="n">
        <f aca="false">J41</f>
        <v>1963126.2881664</v>
      </c>
      <c r="K64" s="33" t="n">
        <f aca="false">K41</f>
        <v>1954997.4008448</v>
      </c>
      <c r="L64" s="33" t="n">
        <f aca="false">L41</f>
        <v>1946868.5135232</v>
      </c>
      <c r="M64" s="33" t="n">
        <f aca="false">M41</f>
        <v>1938739.6262016</v>
      </c>
      <c r="N64" s="33" t="n">
        <f aca="false">N41</f>
        <v>1930610.73888</v>
      </c>
      <c r="O64" s="33" t="n">
        <f aca="false">O41</f>
        <v>1922481.8515584</v>
      </c>
      <c r="P64" s="33" t="n">
        <f aca="false">P41</f>
        <v>1914352.9642368</v>
      </c>
      <c r="Q64" s="33" t="n">
        <f aca="false">Q41</f>
        <v>1906224.0769152</v>
      </c>
      <c r="R64" s="33" t="n">
        <f aca="false">R41</f>
        <v>1898095.1895936</v>
      </c>
      <c r="S64" s="33" t="n">
        <f aca="false">S41</f>
        <v>1889966.302272</v>
      </c>
      <c r="T64" s="33" t="n">
        <f aca="false">T41</f>
        <v>1881837.4149504</v>
      </c>
      <c r="U64" s="33" t="n">
        <f aca="false">U41</f>
        <v>1873708.5276288</v>
      </c>
      <c r="V64" s="33" t="n">
        <f aca="false">V41</f>
        <v>1865579.6403072</v>
      </c>
      <c r="W64" s="33" t="n">
        <f aca="false">W41</f>
        <v>1857450.7529856</v>
      </c>
      <c r="X64" s="143"/>
    </row>
    <row r="65" customFormat="false" ht="18.75" hidden="false" customHeight="true" outlineLevel="0" collapsed="false">
      <c r="B65" s="34" t="s">
        <v>27</v>
      </c>
      <c r="C65" s="35" t="s">
        <v>26</v>
      </c>
      <c r="D65" s="144"/>
      <c r="E65" s="144"/>
      <c r="F65" s="144"/>
      <c r="G65" s="37" t="s">
        <v>26</v>
      </c>
      <c r="H65" s="37" t="s">
        <v>26</v>
      </c>
      <c r="I65" s="37" t="s">
        <v>26</v>
      </c>
      <c r="J65" s="37" t="s">
        <v>26</v>
      </c>
      <c r="K65" s="37" t="s">
        <v>26</v>
      </c>
      <c r="L65" s="37" t="s">
        <v>26</v>
      </c>
      <c r="M65" s="37" t="s">
        <v>26</v>
      </c>
      <c r="N65" s="37" t="s">
        <v>26</v>
      </c>
      <c r="O65" s="37" t="s">
        <v>26</v>
      </c>
      <c r="P65" s="37" t="s">
        <v>26</v>
      </c>
      <c r="Q65" s="37" t="s">
        <v>26</v>
      </c>
      <c r="R65" s="37" t="s">
        <v>26</v>
      </c>
      <c r="S65" s="37" t="s">
        <v>26</v>
      </c>
      <c r="T65" s="37" t="s">
        <v>26</v>
      </c>
      <c r="U65" s="37" t="s">
        <v>26</v>
      </c>
      <c r="V65" s="37" t="s">
        <v>26</v>
      </c>
      <c r="W65" s="37" t="s">
        <v>26</v>
      </c>
      <c r="X65" s="145"/>
    </row>
    <row r="66" customFormat="false" ht="18.75" hidden="false" customHeight="true" outlineLevel="0" collapsed="false">
      <c r="B66" s="38" t="s">
        <v>28</v>
      </c>
      <c r="C66" s="146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</row>
    <row r="67" customFormat="false" ht="18.75" hidden="false" customHeight="true" outlineLevel="0" collapsed="false">
      <c r="B67" s="41" t="s">
        <v>45</v>
      </c>
      <c r="C67" s="35"/>
      <c r="D67" s="61" t="n">
        <f aca="false">$C$44/$E$16</f>
        <v>-1093365</v>
      </c>
      <c r="E67" s="61" t="n">
        <f aca="false">$C$44/$E$16</f>
        <v>-1093365</v>
      </c>
      <c r="F67" s="61" t="n">
        <f aca="false">$C$44/$E$16</f>
        <v>-1093365</v>
      </c>
      <c r="G67" s="61" t="n">
        <f aca="false">$C$44/$E$16</f>
        <v>-1093365</v>
      </c>
      <c r="H67" s="61" t="n">
        <f aca="false">$C$44/$E$16</f>
        <v>-1093365</v>
      </c>
      <c r="I67" s="61" t="n">
        <f aca="false">$C$44/$E$16</f>
        <v>-1093365</v>
      </c>
      <c r="J67" s="61" t="n">
        <f aca="false">$C$44/$E$16</f>
        <v>-1093365</v>
      </c>
      <c r="K67" s="61" t="n">
        <f aca="false">$C$44/$E$16</f>
        <v>-1093365</v>
      </c>
      <c r="L67" s="61" t="n">
        <f aca="false">$C$44/$E$16</f>
        <v>-1093365</v>
      </c>
      <c r="M67" s="61" t="n">
        <f aca="false">$C$44/$E$16</f>
        <v>-1093365</v>
      </c>
      <c r="N67" s="61" t="n">
        <f aca="false">$C$44/$E$16</f>
        <v>-1093365</v>
      </c>
      <c r="O67" s="61" t="n">
        <f aca="false">$C$44/$E$16</f>
        <v>-1093365</v>
      </c>
      <c r="P67" s="61" t="n">
        <f aca="false">$C$44/$E$16</f>
        <v>-1093365</v>
      </c>
      <c r="Q67" s="61" t="n">
        <f aca="false">$C$44/$E$16</f>
        <v>-1093365</v>
      </c>
      <c r="R67" s="61" t="n">
        <f aca="false">$C$44/$E$16</f>
        <v>-1093365</v>
      </c>
      <c r="S67" s="61" t="n">
        <f aca="false">$C$44/$E$16</f>
        <v>-1093365</v>
      </c>
      <c r="T67" s="61" t="n">
        <f aca="false">$C$44/$E$16</f>
        <v>-1093365</v>
      </c>
      <c r="U67" s="61" t="n">
        <f aca="false">$C$44/$E$16</f>
        <v>-1093365</v>
      </c>
      <c r="V67" s="61" t="n">
        <f aca="false">$C$44/$E$16</f>
        <v>-1093365</v>
      </c>
      <c r="W67" s="61" t="n">
        <f aca="false">$C$44/$E$16</f>
        <v>-1093365</v>
      </c>
      <c r="X67" s="145"/>
    </row>
    <row r="68" customFormat="false" ht="18.75" hidden="false" customHeight="true" outlineLevel="0" collapsed="false">
      <c r="B68" s="41" t="s">
        <v>30</v>
      </c>
      <c r="C68" s="35" t="s">
        <v>26</v>
      </c>
      <c r="D68" s="149" t="n">
        <f aca="false">D45</f>
        <v>-290201</v>
      </c>
      <c r="E68" s="149" t="n">
        <f aca="false">E45</f>
        <v>-290201</v>
      </c>
      <c r="F68" s="149" t="n">
        <f aca="false">F45</f>
        <v>-290201</v>
      </c>
      <c r="G68" s="149" t="n">
        <f aca="false">G45</f>
        <v>-290201</v>
      </c>
      <c r="H68" s="149" t="n">
        <f aca="false">H45</f>
        <v>-290201</v>
      </c>
      <c r="I68" s="149" t="n">
        <f aca="false">I45</f>
        <v>-290201</v>
      </c>
      <c r="J68" s="149" t="n">
        <f aca="false">J45</f>
        <v>-290201</v>
      </c>
      <c r="K68" s="149" t="n">
        <f aca="false">K45</f>
        <v>-290201</v>
      </c>
      <c r="L68" s="149" t="n">
        <f aca="false">L45</f>
        <v>-290201</v>
      </c>
      <c r="M68" s="149" t="n">
        <f aca="false">M45</f>
        <v>-290201</v>
      </c>
      <c r="N68" s="149" t="n">
        <f aca="false">N45</f>
        <v>-290201</v>
      </c>
      <c r="O68" s="149" t="n">
        <f aca="false">O45</f>
        <v>-290201</v>
      </c>
      <c r="P68" s="149" t="n">
        <f aca="false">P45</f>
        <v>-290201</v>
      </c>
      <c r="Q68" s="149" t="n">
        <f aca="false">Q45</f>
        <v>-290201</v>
      </c>
      <c r="R68" s="149" t="n">
        <f aca="false">R45</f>
        <v>-290201</v>
      </c>
      <c r="S68" s="149" t="n">
        <f aca="false">S45</f>
        <v>-290201</v>
      </c>
      <c r="T68" s="149" t="n">
        <f aca="false">T45</f>
        <v>-290201</v>
      </c>
      <c r="U68" s="149" t="n">
        <f aca="false">U45</f>
        <v>-290201</v>
      </c>
      <c r="V68" s="149" t="n">
        <f aca="false">V45</f>
        <v>-290201</v>
      </c>
      <c r="W68" s="149" t="n">
        <f aca="false">W45</f>
        <v>-290201</v>
      </c>
      <c r="X68" s="145"/>
    </row>
    <row r="69" customFormat="false" ht="18.75" hidden="false" customHeight="true" outlineLevel="0" collapsed="false">
      <c r="B69" s="41" t="s">
        <v>31</v>
      </c>
      <c r="C69" s="3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customFormat="false" ht="18.75" hidden="false" customHeight="true" outlineLevel="0" collapsed="false">
      <c r="B70" s="41" t="s">
        <v>32</v>
      </c>
      <c r="C70" s="35" t="s">
        <v>26</v>
      </c>
      <c r="D70" s="149" t="n">
        <v>0</v>
      </c>
      <c r="E70" s="149" t="n">
        <v>0</v>
      </c>
      <c r="F70" s="149" t="n">
        <v>0</v>
      </c>
      <c r="G70" s="149" t="n">
        <v>0</v>
      </c>
      <c r="H70" s="149" t="n">
        <v>0</v>
      </c>
      <c r="I70" s="149" t="n">
        <v>0</v>
      </c>
      <c r="J70" s="149" t="n">
        <v>0</v>
      </c>
      <c r="K70" s="149" t="n">
        <v>0</v>
      </c>
      <c r="L70" s="149" t="n">
        <v>0</v>
      </c>
      <c r="M70" s="149" t="n">
        <v>0</v>
      </c>
      <c r="N70" s="149" t="n">
        <v>0</v>
      </c>
      <c r="O70" s="149" t="n">
        <v>0</v>
      </c>
      <c r="P70" s="149" t="n">
        <v>0</v>
      </c>
      <c r="Q70" s="149" t="n">
        <v>0</v>
      </c>
      <c r="R70" s="149" t="n">
        <v>0</v>
      </c>
      <c r="S70" s="149" t="n">
        <v>0</v>
      </c>
      <c r="T70" s="149" t="n">
        <v>0</v>
      </c>
      <c r="U70" s="149" t="n">
        <v>0</v>
      </c>
      <c r="V70" s="149" t="n">
        <v>0</v>
      </c>
      <c r="W70" s="149" t="n">
        <v>0</v>
      </c>
      <c r="X70" s="145"/>
    </row>
    <row r="71" customFormat="false" ht="18.75" hidden="false" customHeight="true" outlineLevel="0" collapsed="false">
      <c r="B71" s="41" t="s">
        <v>33</v>
      </c>
      <c r="C71" s="35" t="s">
        <v>26</v>
      </c>
      <c r="D71" s="149" t="n">
        <f aca="false">D48</f>
        <v>-174440</v>
      </c>
      <c r="E71" s="149" t="n">
        <f aca="false">E48</f>
        <v>-174440</v>
      </c>
      <c r="F71" s="149" t="n">
        <f aca="false">F48</f>
        <v>-174440</v>
      </c>
      <c r="G71" s="149" t="n">
        <f aca="false">G48</f>
        <v>-174440</v>
      </c>
      <c r="H71" s="149" t="n">
        <f aca="false">H48</f>
        <v>-174440</v>
      </c>
      <c r="I71" s="149" t="n">
        <f aca="false">I48</f>
        <v>-174440</v>
      </c>
      <c r="J71" s="149" t="n">
        <f aca="false">J48</f>
        <v>-174440</v>
      </c>
      <c r="K71" s="149" t="n">
        <f aca="false">K48</f>
        <v>-174440</v>
      </c>
      <c r="L71" s="149" t="n">
        <f aca="false">L48</f>
        <v>-174440</v>
      </c>
      <c r="M71" s="149" t="n">
        <f aca="false">M48</f>
        <v>-174440</v>
      </c>
      <c r="N71" s="149" t="n">
        <f aca="false">N48</f>
        <v>-174440</v>
      </c>
      <c r="O71" s="149" t="n">
        <f aca="false">O48</f>
        <v>-174440</v>
      </c>
      <c r="P71" s="149" t="n">
        <f aca="false">P48</f>
        <v>-174440</v>
      </c>
      <c r="Q71" s="149" t="n">
        <f aca="false">Q48</f>
        <v>-174440</v>
      </c>
      <c r="R71" s="149" t="n">
        <f aca="false">R48</f>
        <v>-174440</v>
      </c>
      <c r="S71" s="149" t="n">
        <f aca="false">S48</f>
        <v>-174440</v>
      </c>
      <c r="T71" s="149" t="n">
        <f aca="false">T48</f>
        <v>-174440</v>
      </c>
      <c r="U71" s="149" t="n">
        <f aca="false">U48</f>
        <v>-174440</v>
      </c>
      <c r="V71" s="149" t="n">
        <f aca="false">V48</f>
        <v>-174440</v>
      </c>
      <c r="W71" s="149" t="n">
        <f aca="false">W48</f>
        <v>-174440</v>
      </c>
      <c r="X71" s="145"/>
    </row>
    <row r="72" customFormat="false" ht="18.75" hidden="false" customHeight="true" outlineLevel="0" collapsed="false">
      <c r="B72" s="41" t="s">
        <v>34</v>
      </c>
      <c r="C72" s="35" t="s">
        <v>26</v>
      </c>
      <c r="D72" s="149" t="n">
        <f aca="false">D49</f>
        <v>-43173.9</v>
      </c>
      <c r="E72" s="149" t="n">
        <f aca="false">E49</f>
        <v>-43173.9</v>
      </c>
      <c r="F72" s="149" t="n">
        <f aca="false">F49</f>
        <v>-43173.9</v>
      </c>
      <c r="G72" s="149" t="n">
        <f aca="false">G49</f>
        <v>-43173.9</v>
      </c>
      <c r="H72" s="149" t="n">
        <f aca="false">H49</f>
        <v>-43173.9</v>
      </c>
      <c r="I72" s="149" t="n">
        <f aca="false">I49</f>
        <v>-43173.9</v>
      </c>
      <c r="J72" s="149" t="n">
        <f aca="false">J49</f>
        <v>-43173.9</v>
      </c>
      <c r="K72" s="149" t="n">
        <f aca="false">K49</f>
        <v>-43173.9</v>
      </c>
      <c r="L72" s="149" t="n">
        <f aca="false">L49</f>
        <v>-43173.9</v>
      </c>
      <c r="M72" s="149" t="n">
        <f aca="false">M49</f>
        <v>-43173.9</v>
      </c>
      <c r="N72" s="149" t="n">
        <f aca="false">N49</f>
        <v>-43173.9</v>
      </c>
      <c r="O72" s="149" t="n">
        <f aca="false">O49</f>
        <v>-43173.9</v>
      </c>
      <c r="P72" s="149" t="n">
        <f aca="false">P49</f>
        <v>-43173.9</v>
      </c>
      <c r="Q72" s="149" t="n">
        <f aca="false">Q49</f>
        <v>-43173.9</v>
      </c>
      <c r="R72" s="149" t="n">
        <f aca="false">R49</f>
        <v>-43173.9</v>
      </c>
      <c r="S72" s="149" t="n">
        <f aca="false">S49</f>
        <v>-43173.9</v>
      </c>
      <c r="T72" s="149" t="n">
        <f aca="false">T49</f>
        <v>-43173.9</v>
      </c>
      <c r="U72" s="149" t="n">
        <f aca="false">U49</f>
        <v>-43173.9</v>
      </c>
      <c r="V72" s="149" t="n">
        <f aca="false">V49</f>
        <v>-43173.9</v>
      </c>
      <c r="W72" s="149" t="n">
        <f aca="false">W49</f>
        <v>-43173.9</v>
      </c>
      <c r="X72" s="145"/>
    </row>
    <row r="73" customFormat="false" ht="18.75" hidden="false" customHeight="true" outlineLevel="0" collapsed="false">
      <c r="B73" s="41" t="s">
        <v>35</v>
      </c>
      <c r="C73" s="35"/>
      <c r="D73" s="149" t="n">
        <f aca="false">D50</f>
        <v>-43610</v>
      </c>
      <c r="E73" s="149" t="n">
        <f aca="false">E50</f>
        <v>-43610</v>
      </c>
      <c r="F73" s="149" t="n">
        <f aca="false">F50</f>
        <v>-43610</v>
      </c>
      <c r="G73" s="149" t="n">
        <f aca="false">G50</f>
        <v>-43610</v>
      </c>
      <c r="H73" s="149" t="n">
        <f aca="false">H50</f>
        <v>-43610</v>
      </c>
      <c r="I73" s="149" t="n">
        <f aca="false">I50</f>
        <v>-43610</v>
      </c>
      <c r="J73" s="149" t="n">
        <f aca="false">J50</f>
        <v>-43610</v>
      </c>
      <c r="K73" s="149" t="n">
        <f aca="false">K50</f>
        <v>-43610</v>
      </c>
      <c r="L73" s="149" t="n">
        <f aca="false">L50</f>
        <v>-43610</v>
      </c>
      <c r="M73" s="149" t="n">
        <f aca="false">M50</f>
        <v>-43610</v>
      </c>
      <c r="N73" s="149" t="n">
        <f aca="false">N50</f>
        <v>0</v>
      </c>
      <c r="O73" s="149" t="n">
        <f aca="false">O50</f>
        <v>0</v>
      </c>
      <c r="P73" s="149" t="n">
        <f aca="false">P50</f>
        <v>0</v>
      </c>
      <c r="Q73" s="149" t="n">
        <f aca="false">Q50</f>
        <v>0</v>
      </c>
      <c r="R73" s="149" t="n">
        <f aca="false">R50</f>
        <v>0</v>
      </c>
      <c r="S73" s="149" t="n">
        <f aca="false">S50</f>
        <v>0</v>
      </c>
      <c r="T73" s="149" t="n">
        <f aca="false">T50</f>
        <v>0</v>
      </c>
      <c r="U73" s="149" t="n">
        <f aca="false">U50</f>
        <v>0</v>
      </c>
      <c r="V73" s="149" t="n">
        <f aca="false">V50</f>
        <v>0</v>
      </c>
      <c r="W73" s="149" t="n">
        <f aca="false">W50</f>
        <v>0</v>
      </c>
      <c r="X73" s="145"/>
    </row>
    <row r="74" customFormat="false" ht="18.75" hidden="false" customHeight="true" outlineLevel="0" collapsed="false">
      <c r="B74" s="41" t="s">
        <v>36</v>
      </c>
      <c r="C74" s="44"/>
      <c r="D74" s="62"/>
      <c r="E74" s="6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customFormat="false" ht="18.75" hidden="false" customHeight="true" outlineLevel="0" collapsed="false">
      <c r="B75" s="41" t="s">
        <v>37</v>
      </c>
      <c r="C75" s="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customFormat="false" ht="18.75" hidden="false" customHeight="true" outlineLevel="0" collapsed="false">
      <c r="B76" s="46" t="s">
        <v>46</v>
      </c>
      <c r="C76" s="155"/>
      <c r="D76" s="48" t="n">
        <f aca="false">SUM(D64:D75)</f>
        <v>367109.712096</v>
      </c>
      <c r="E76" s="48" t="n">
        <f aca="false">SUM(E64:E75)</f>
        <v>358980.8247744</v>
      </c>
      <c r="F76" s="48" t="n">
        <f aca="false">SUM(F64:F75)</f>
        <v>350851.9374528</v>
      </c>
      <c r="G76" s="48" t="n">
        <f aca="false">SUM(G64:G75)</f>
        <v>342723.0501312</v>
      </c>
      <c r="H76" s="48" t="n">
        <f aca="false">SUM(H64:H75)</f>
        <v>334594.1628096</v>
      </c>
      <c r="I76" s="48" t="n">
        <f aca="false">SUM(I64:I75)</f>
        <v>326465.275488</v>
      </c>
      <c r="J76" s="48" t="n">
        <f aca="false">SUM(J64:J75)</f>
        <v>318336.3881664</v>
      </c>
      <c r="K76" s="48" t="n">
        <f aca="false">SUM(K64:K75)</f>
        <v>310207.5008448</v>
      </c>
      <c r="L76" s="48" t="n">
        <f aca="false">SUM(L64:L75)</f>
        <v>302078.6135232</v>
      </c>
      <c r="M76" s="48" t="n">
        <f aca="false">SUM(M64:M75)</f>
        <v>293949.7262016</v>
      </c>
      <c r="N76" s="48" t="n">
        <f aca="false">SUM(N64:N75)</f>
        <v>329430.83888</v>
      </c>
      <c r="O76" s="48" t="n">
        <f aca="false">SUM(O64:O75)</f>
        <v>321301.9515584</v>
      </c>
      <c r="P76" s="48" t="n">
        <f aca="false">SUM(P64:P75)</f>
        <v>313173.0642368</v>
      </c>
      <c r="Q76" s="48" t="n">
        <f aca="false">SUM(Q64:Q75)</f>
        <v>305044.1769152</v>
      </c>
      <c r="R76" s="48" t="n">
        <f aca="false">SUM(R64:R75)</f>
        <v>296915.2895936</v>
      </c>
      <c r="S76" s="48" t="n">
        <f aca="false">SUM(S64:S75)</f>
        <v>288786.402272</v>
      </c>
      <c r="T76" s="48" t="n">
        <f aca="false">SUM(T64:T75)</f>
        <v>280657.514950399</v>
      </c>
      <c r="U76" s="48" t="n">
        <f aca="false">SUM(U64:U75)</f>
        <v>272528.6276288</v>
      </c>
      <c r="V76" s="48" t="n">
        <f aca="false">SUM(V64:V75)</f>
        <v>264399.740307199</v>
      </c>
      <c r="W76" s="48" t="n">
        <f aca="false">SUM(W64:W75)</f>
        <v>256270.8529856</v>
      </c>
      <c r="X76" s="48" t="n">
        <f aca="false">SUM(X64:X75)</f>
        <v>0</v>
      </c>
    </row>
    <row r="77" customFormat="false" ht="18.75" hidden="false" customHeight="true" outlineLevel="0" collapsed="false">
      <c r="B77" s="45" t="s">
        <v>39</v>
      </c>
      <c r="C77" s="44"/>
      <c r="D77" s="149" t="n">
        <f aca="false">-D76*0.2</f>
        <v>-73421.9424191999</v>
      </c>
      <c r="E77" s="149" t="n">
        <f aca="false">-E76*0.2</f>
        <v>-71796.1649548799</v>
      </c>
      <c r="F77" s="149" t="n">
        <f aca="false">-F76*0.2</f>
        <v>-70170.38749056</v>
      </c>
      <c r="G77" s="149" t="n">
        <f aca="false">-G76*0.2</f>
        <v>-68544.61002624</v>
      </c>
      <c r="H77" s="149" t="n">
        <f aca="false">-H76*0.2</f>
        <v>-66918.8325619199</v>
      </c>
      <c r="I77" s="149" t="n">
        <f aca="false">-I76*0.2</f>
        <v>-65293.0550975999</v>
      </c>
      <c r="J77" s="149" t="n">
        <f aca="false">-J76*0.2</f>
        <v>-63667.27763328</v>
      </c>
      <c r="K77" s="149" t="n">
        <f aca="false">-K76*0.2</f>
        <v>-62041.5001689599</v>
      </c>
      <c r="L77" s="149" t="n">
        <f aca="false">-L76*0.2</f>
        <v>-60415.7227046399</v>
      </c>
      <c r="M77" s="149" t="n">
        <f aca="false">-M76*0.2</f>
        <v>-58789.9452403199</v>
      </c>
      <c r="N77" s="149" t="n">
        <f aca="false">-N76*0.2</f>
        <v>-65886.1677759999</v>
      </c>
      <c r="O77" s="149" t="n">
        <f aca="false">-O76*0.2</f>
        <v>-64260.3903116799</v>
      </c>
      <c r="P77" s="149" t="n">
        <f aca="false">-P76*0.2</f>
        <v>-62634.6128473599</v>
      </c>
      <c r="Q77" s="149" t="n">
        <f aca="false">-Q76*0.2</f>
        <v>-61008.8353830399</v>
      </c>
      <c r="R77" s="149" t="n">
        <f aca="false">-R76*0.2</f>
        <v>-59383.0579187199</v>
      </c>
      <c r="S77" s="149" t="n">
        <f aca="false">-S76*0.2</f>
        <v>-57757.2804543999</v>
      </c>
      <c r="T77" s="149" t="n">
        <f aca="false">-T76*0.2</f>
        <v>-56131.5029900799</v>
      </c>
      <c r="U77" s="149" t="n">
        <f aca="false">-U76*0.2</f>
        <v>-54505.7255257599</v>
      </c>
      <c r="V77" s="149" t="n">
        <f aca="false">-V76*0.2</f>
        <v>-52879.9480614399</v>
      </c>
      <c r="W77" s="149" t="n">
        <f aca="false">-W76*0.2</f>
        <v>-51254.1705971199</v>
      </c>
      <c r="X77" s="149" t="n">
        <f aca="false">-X76*0.2</f>
        <v>-0</v>
      </c>
    </row>
    <row r="78" customFormat="false" ht="15" hidden="false" customHeight="true" outlineLevel="0" collapsed="false">
      <c r="B78" s="65" t="s">
        <v>47</v>
      </c>
      <c r="D78" s="149" t="n">
        <f aca="false">SUM(D76:D77)</f>
        <v>293687.7696768</v>
      </c>
      <c r="E78" s="149" t="n">
        <f aca="false">SUM(E76:E77)</f>
        <v>287184.65981952</v>
      </c>
      <c r="F78" s="149" t="n">
        <f aca="false">SUM(F76:F77)</f>
        <v>280681.54996224</v>
      </c>
      <c r="G78" s="149" t="n">
        <f aca="false">SUM(G76:G77)</f>
        <v>274178.44010496</v>
      </c>
      <c r="H78" s="149" t="n">
        <f aca="false">SUM(H76:H77)</f>
        <v>267675.33024768</v>
      </c>
      <c r="I78" s="149" t="n">
        <f aca="false">SUM(I76:I77)</f>
        <v>261172.2203904</v>
      </c>
      <c r="J78" s="149" t="n">
        <f aca="false">SUM(J76:J77)</f>
        <v>254669.11053312</v>
      </c>
      <c r="K78" s="149" t="n">
        <f aca="false">SUM(K76:K77)</f>
        <v>248166.00067584</v>
      </c>
      <c r="L78" s="149" t="n">
        <f aca="false">SUM(L76:L77)</f>
        <v>241662.89081856</v>
      </c>
      <c r="M78" s="149" t="n">
        <f aca="false">SUM(M76:M77)</f>
        <v>235159.78096128</v>
      </c>
      <c r="N78" s="149" t="n">
        <f aca="false">SUM(N76:N77)</f>
        <v>263544.671104</v>
      </c>
      <c r="O78" s="149" t="n">
        <f aca="false">SUM(O76:O77)</f>
        <v>257041.56124672</v>
      </c>
      <c r="P78" s="149" t="n">
        <f aca="false">SUM(P76:P77)</f>
        <v>250538.45138944</v>
      </c>
      <c r="Q78" s="149" t="n">
        <f aca="false">SUM(Q76:Q77)</f>
        <v>244035.34153216</v>
      </c>
      <c r="R78" s="149" t="n">
        <f aca="false">SUM(R76:R77)</f>
        <v>237532.23167488</v>
      </c>
      <c r="S78" s="149" t="n">
        <f aca="false">SUM(S76:S77)</f>
        <v>231029.1218176</v>
      </c>
      <c r="T78" s="149" t="n">
        <f aca="false">SUM(T76:T77)</f>
        <v>224526.01196032</v>
      </c>
      <c r="U78" s="149" t="n">
        <f aca="false">SUM(U76:U77)</f>
        <v>218022.90210304</v>
      </c>
      <c r="V78" s="149" t="n">
        <f aca="false">SUM(V76:V77)</f>
        <v>211519.79224576</v>
      </c>
      <c r="W78" s="149" t="n">
        <f aca="false">SUM(W76:W77)</f>
        <v>205016.68238848</v>
      </c>
      <c r="X78" s="149" t="n">
        <f aca="false">SUM(X76:X77)</f>
        <v>0</v>
      </c>
    </row>
    <row r="79" customFormat="false" ht="18.75" hidden="false" customHeight="true" outlineLevel="0" collapsed="false">
      <c r="B79" s="49" t="s">
        <v>41</v>
      </c>
      <c r="C79" s="52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7"/>
    </row>
    <row r="80" customFormat="false" ht="18.75" hidden="false" customHeight="true" outlineLevel="0" collapsed="false">
      <c r="B80" s="68" t="s">
        <v>42</v>
      </c>
      <c r="C80" s="69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9"/>
    </row>
    <row r="81" customFormat="false" ht="18.75" hidden="false" customHeight="true" outlineLevel="0" collapsed="false">
      <c r="B81" s="58"/>
      <c r="C81" s="57"/>
      <c r="D81" s="57"/>
      <c r="E81" s="57"/>
      <c r="F81" s="58"/>
      <c r="G81" s="58"/>
      <c r="H81" s="58"/>
      <c r="I81" s="58"/>
      <c r="J81" s="58"/>
      <c r="K81" s="58"/>
      <c r="L81" s="58"/>
      <c r="M81" s="57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91" t="s">
        <v>63</v>
      </c>
      <c r="C1" s="92"/>
      <c r="D1" s="92"/>
      <c r="E1" s="93"/>
      <c r="F1" s="94" t="s">
        <v>64</v>
      </c>
      <c r="P1" s="95" t="n">
        <f aca="false">1-D11</f>
        <v>0.99</v>
      </c>
      <c r="Q1" s="95" t="n">
        <f aca="false">P1-$D12</f>
        <v>0.986</v>
      </c>
      <c r="R1" s="95" t="n">
        <f aca="false">Q1-$D12</f>
        <v>0.982</v>
      </c>
      <c r="S1" s="95" t="n">
        <f aca="false">R1-$D12</f>
        <v>0.978</v>
      </c>
      <c r="T1" s="95" t="n">
        <f aca="false">S1-$D12</f>
        <v>0.974</v>
      </c>
      <c r="U1" s="95" t="n">
        <f aca="false">T1-$D12</f>
        <v>0.97</v>
      </c>
      <c r="V1" s="95" t="n">
        <f aca="false">U1-$D12</f>
        <v>0.966</v>
      </c>
      <c r="W1" s="95" t="n">
        <f aca="false">V1-$D12</f>
        <v>0.962</v>
      </c>
      <c r="X1" s="95" t="n">
        <f aca="false">W1-$D12</f>
        <v>0.958</v>
      </c>
      <c r="Y1" s="95" t="n">
        <f aca="false">X1-$D12</f>
        <v>0.954</v>
      </c>
      <c r="Z1" s="95" t="n">
        <f aca="false">Y1-$D12</f>
        <v>0.95</v>
      </c>
      <c r="AA1" s="95" t="n">
        <f aca="false">Z1-$D12</f>
        <v>0.946</v>
      </c>
      <c r="AB1" s="95" t="n">
        <f aca="false">AA1-$D12</f>
        <v>0.942</v>
      </c>
      <c r="AC1" s="95" t="n">
        <f aca="false">AB1-$D12</f>
        <v>0.938</v>
      </c>
      <c r="AD1" s="95" t="n">
        <f aca="false">AC1-$D12</f>
        <v>0.934</v>
      </c>
      <c r="AE1" s="95" t="n">
        <f aca="false">AD1-$D12</f>
        <v>0.93</v>
      </c>
      <c r="AF1" s="95" t="n">
        <f aca="false">AE1-$D12</f>
        <v>0.926</v>
      </c>
      <c r="AG1" s="95" t="n">
        <f aca="false">AF1-$D12</f>
        <v>0.922</v>
      </c>
      <c r="AH1" s="95" t="n">
        <f aca="false">AG1-$D12</f>
        <v>0.918</v>
      </c>
      <c r="AI1" s="95" t="n">
        <f aca="false">AH1-$D12</f>
        <v>0.914</v>
      </c>
    </row>
    <row r="2" customFormat="false" ht="21.75" hidden="false" customHeight="true" outlineLevel="0" collapsed="false">
      <c r="B2" s="96" t="s">
        <v>65</v>
      </c>
      <c r="C2" s="97" t="s">
        <v>2</v>
      </c>
      <c r="D2" s="98" t="s">
        <v>26</v>
      </c>
      <c r="E2" s="99" t="s">
        <v>26</v>
      </c>
      <c r="F2" s="100" t="s">
        <v>66</v>
      </c>
    </row>
    <row r="3" customFormat="false" ht="21.75" hidden="false" customHeight="true" outlineLevel="0" collapsed="false">
      <c r="B3" s="101" t="s">
        <v>67</v>
      </c>
      <c r="C3" s="102" t="n">
        <v>20</v>
      </c>
      <c r="D3" s="103" t="s">
        <v>26</v>
      </c>
      <c r="E3" s="104" t="s">
        <v>26</v>
      </c>
      <c r="F3" s="105" t="s">
        <v>68</v>
      </c>
    </row>
    <row r="4" customFormat="false" ht="21.75" hidden="false" customHeight="true" outlineLevel="0" collapsed="false">
      <c r="B4" s="101" t="s">
        <v>69</v>
      </c>
      <c r="C4" s="102" t="n">
        <v>436.1</v>
      </c>
      <c r="D4" s="103" t="s">
        <v>26</v>
      </c>
      <c r="E4" s="104" t="s">
        <v>26</v>
      </c>
      <c r="F4" s="105" t="s">
        <v>70</v>
      </c>
      <c r="M4" s="106" t="s">
        <v>143</v>
      </c>
    </row>
    <row r="5" customFormat="false" ht="22.5" hidden="false" customHeight="true" outlineLevel="0" collapsed="false">
      <c r="B5" s="107" t="s">
        <v>72</v>
      </c>
      <c r="C5" s="102" t="n">
        <v>2023</v>
      </c>
      <c r="D5" s="107" t="s">
        <v>73</v>
      </c>
      <c r="E5" s="108" t="n">
        <v>2042</v>
      </c>
      <c r="F5" s="105" t="s">
        <v>74</v>
      </c>
      <c r="M5" s="106" t="s">
        <v>144</v>
      </c>
    </row>
    <row r="6" customFormat="false" ht="20.25" hidden="false" customHeight="true" outlineLevel="0" collapsed="false">
      <c r="B6" s="109"/>
      <c r="C6" s="109"/>
      <c r="D6" s="109"/>
      <c r="E6" s="109"/>
      <c r="M6" s="106" t="s">
        <v>145</v>
      </c>
    </row>
    <row r="7" customFormat="false" ht="22.5" hidden="false" customHeight="true" outlineLevel="0" collapsed="false">
      <c r="B7" s="91" t="s">
        <v>77</v>
      </c>
      <c r="C7" s="92"/>
      <c r="D7" s="92"/>
      <c r="E7" s="93"/>
      <c r="M7" s="106" t="s">
        <v>146</v>
      </c>
    </row>
    <row r="8" customFormat="false" ht="22.5" hidden="false" customHeight="true" outlineLevel="0" collapsed="false">
      <c r="B8" s="110" t="s">
        <v>79</v>
      </c>
      <c r="E8" s="111"/>
      <c r="M8" s="106" t="s">
        <v>147</v>
      </c>
    </row>
    <row r="9" customFormat="false" ht="22.5" hidden="false" customHeight="true" outlineLevel="0" collapsed="false">
      <c r="B9" s="112" t="s">
        <v>81</v>
      </c>
      <c r="C9" s="113" t="s">
        <v>82</v>
      </c>
      <c r="D9" s="113" t="s">
        <v>83</v>
      </c>
      <c r="E9" s="114" t="s">
        <v>84</v>
      </c>
      <c r="F9" s="94" t="s">
        <v>64</v>
      </c>
      <c r="M9" s="106" t="s">
        <v>85</v>
      </c>
    </row>
    <row r="10" customFormat="false" ht="30" hidden="false" customHeight="true" outlineLevel="0" collapsed="false">
      <c r="B10" s="115" t="s">
        <v>86</v>
      </c>
      <c r="C10" s="116" t="s">
        <v>87</v>
      </c>
      <c r="D10" s="117" t="n">
        <v>547002</v>
      </c>
      <c r="E10" s="118" t="n">
        <v>20</v>
      </c>
      <c r="F10" s="105" t="s">
        <v>88</v>
      </c>
      <c r="M10" s="106" t="s">
        <v>148</v>
      </c>
    </row>
    <row r="11" customFormat="false" ht="30" hidden="false" customHeight="true" outlineLevel="0" collapsed="false">
      <c r="B11" s="119"/>
      <c r="C11" s="107" t="s">
        <v>90</v>
      </c>
      <c r="D11" s="120" t="n">
        <v>0.01</v>
      </c>
      <c r="E11" s="121"/>
      <c r="F11" s="105" t="s">
        <v>91</v>
      </c>
    </row>
    <row r="12" customFormat="false" ht="30" hidden="false" customHeight="true" outlineLevel="0" collapsed="false">
      <c r="B12" s="119"/>
      <c r="C12" s="107" t="s">
        <v>92</v>
      </c>
      <c r="D12" s="122" t="n">
        <v>0.004</v>
      </c>
      <c r="E12" s="121"/>
      <c r="F12" s="105" t="s">
        <v>93</v>
      </c>
    </row>
    <row r="13" customFormat="false" ht="22.5" hidden="false" customHeight="true" outlineLevel="0" collapsed="false">
      <c r="B13" s="119"/>
      <c r="C13" s="123" t="s">
        <v>94</v>
      </c>
      <c r="D13" s="124" t="n">
        <v>3.7152</v>
      </c>
      <c r="E13" s="121"/>
      <c r="F13" s="105" t="s">
        <v>95</v>
      </c>
    </row>
    <row r="14" customFormat="false" ht="22.5" hidden="false" customHeight="true" outlineLevel="0" collapsed="false">
      <c r="B14" s="125" t="s">
        <v>96</v>
      </c>
      <c r="C14" s="92"/>
      <c r="D14" s="92"/>
      <c r="E14" s="93"/>
    </row>
    <row r="15" customFormat="false" ht="22.5" hidden="false" customHeight="true" outlineLevel="0" collapsed="false">
      <c r="B15" s="112" t="s">
        <v>81</v>
      </c>
      <c r="C15" s="113" t="s">
        <v>82</v>
      </c>
      <c r="D15" s="113" t="s">
        <v>83</v>
      </c>
      <c r="E15" s="114" t="s">
        <v>97</v>
      </c>
      <c r="F15" s="94" t="s">
        <v>64</v>
      </c>
    </row>
    <row r="16" customFormat="false" ht="21.75" hidden="false" customHeight="true" outlineLevel="0" collapsed="false">
      <c r="B16" s="116" t="s">
        <v>98</v>
      </c>
      <c r="C16" s="116" t="s">
        <v>99</v>
      </c>
      <c r="D16" s="126" t="n">
        <v>31000</v>
      </c>
      <c r="E16" s="99" t="n">
        <v>20</v>
      </c>
      <c r="F16" s="105" t="s">
        <v>100</v>
      </c>
    </row>
    <row r="17" customFormat="false" ht="21.75" hidden="false" customHeight="true" outlineLevel="0" collapsed="false">
      <c r="B17" s="119"/>
      <c r="C17" s="107" t="s">
        <v>101</v>
      </c>
      <c r="D17" s="127" t="n">
        <v>0.3</v>
      </c>
      <c r="E17" s="121"/>
      <c r="F17" s="105" t="s">
        <v>102</v>
      </c>
    </row>
    <row r="18" customFormat="false" ht="21.75" hidden="false" customHeight="true" outlineLevel="0" collapsed="false">
      <c r="B18" s="128"/>
      <c r="C18" s="107" t="s">
        <v>103</v>
      </c>
      <c r="D18" s="129" t="n">
        <v>3000</v>
      </c>
      <c r="E18" s="130"/>
      <c r="F18" s="105" t="s">
        <v>104</v>
      </c>
    </row>
    <row r="19" customFormat="false" ht="54" hidden="false" customHeight="true" outlineLevel="0" collapsed="false">
      <c r="B19" s="107" t="s">
        <v>105</v>
      </c>
      <c r="C19" s="131" t="s">
        <v>106</v>
      </c>
      <c r="D19" s="127" t="n">
        <v>1</v>
      </c>
      <c r="E19" s="99" t="n">
        <v>0</v>
      </c>
      <c r="F19" s="105" t="s">
        <v>107</v>
      </c>
    </row>
    <row r="20" customFormat="false" ht="20.25" hidden="false" customHeight="true" outlineLevel="0" collapsed="false">
      <c r="B20" s="119"/>
      <c r="C20" s="132" t="s">
        <v>108</v>
      </c>
      <c r="D20" s="129" t="n">
        <v>290201</v>
      </c>
      <c r="E20" s="99" t="n">
        <v>20</v>
      </c>
      <c r="F20" s="105" t="s">
        <v>109</v>
      </c>
    </row>
    <row r="21" customFormat="false" ht="30" hidden="false" customHeight="true" outlineLevel="0" collapsed="false">
      <c r="B21" s="128"/>
      <c r="C21" s="107" t="s">
        <v>110</v>
      </c>
      <c r="D21" s="127" t="n">
        <v>0</v>
      </c>
      <c r="E21" s="104" t="n">
        <v>0</v>
      </c>
      <c r="F21" s="105" t="s">
        <v>111</v>
      </c>
    </row>
    <row r="22" customFormat="false" ht="30" hidden="false" customHeight="true" outlineLevel="0" collapsed="false">
      <c r="B22" s="107" t="s">
        <v>112</v>
      </c>
      <c r="C22" s="107" t="s">
        <v>113</v>
      </c>
      <c r="D22" s="133" t="n">
        <v>400</v>
      </c>
      <c r="E22" s="104" t="n">
        <v>20</v>
      </c>
      <c r="F22" s="105" t="s">
        <v>114</v>
      </c>
    </row>
    <row r="23" customFormat="false" ht="30" hidden="false" customHeight="true" outlineLevel="0" collapsed="false">
      <c r="B23" s="107" t="s">
        <v>115</v>
      </c>
      <c r="C23" s="107" t="s">
        <v>116</v>
      </c>
      <c r="D23" s="127" t="n">
        <v>0.003</v>
      </c>
      <c r="E23" s="104" t="n">
        <v>20</v>
      </c>
      <c r="F23" s="105" t="s">
        <v>117</v>
      </c>
    </row>
    <row r="24" customFormat="false" ht="30" hidden="false" customHeight="true" outlineLevel="0" collapsed="false">
      <c r="B24" s="107" t="s">
        <v>118</v>
      </c>
      <c r="C24" s="107" t="s">
        <v>119</v>
      </c>
      <c r="D24" s="133" t="n">
        <v>1000</v>
      </c>
      <c r="E24" s="134" t="n">
        <v>10</v>
      </c>
      <c r="F24" s="105" t="s">
        <v>120</v>
      </c>
    </row>
    <row r="25" customFormat="false" ht="30" hidden="false" customHeight="true" outlineLevel="0" collapsed="false">
      <c r="B25" s="107" t="s">
        <v>121</v>
      </c>
      <c r="C25" s="107" t="s">
        <v>122</v>
      </c>
      <c r="D25" s="135" t="n">
        <v>0.025595</v>
      </c>
      <c r="E25" s="104" t="n">
        <v>0</v>
      </c>
      <c r="F25" s="105" t="s">
        <v>123</v>
      </c>
    </row>
    <row r="26" customFormat="false" ht="30" hidden="false" customHeight="true" outlineLevel="0" collapsed="false">
      <c r="B26" s="107" t="s">
        <v>14</v>
      </c>
      <c r="C26" s="107" t="s">
        <v>124</v>
      </c>
      <c r="D26" s="127" t="n">
        <v>0.2</v>
      </c>
      <c r="E26" s="104" t="n">
        <v>0</v>
      </c>
      <c r="F26" s="105" t="s">
        <v>125</v>
      </c>
    </row>
    <row r="27" customFormat="false" ht="20.25" hidden="false" customHeight="true" outlineLevel="0" collapsed="false">
      <c r="B27" s="109"/>
      <c r="C27" s="109"/>
      <c r="D27" s="109"/>
      <c r="E27" s="109"/>
    </row>
    <row r="28" customFormat="false" ht="20.25" hidden="false" customHeight="true" outlineLevel="0" collapsed="false">
      <c r="B28" s="109"/>
      <c r="C28" s="109"/>
      <c r="D28" s="109"/>
      <c r="E28" s="109"/>
    </row>
    <row r="29" customFormat="false" ht="22.5" hidden="false" customHeight="true" outlineLevel="0" collapsed="false">
      <c r="B29" s="91" t="s">
        <v>126</v>
      </c>
      <c r="C29" s="92"/>
      <c r="D29" s="93"/>
      <c r="E29" s="109"/>
    </row>
    <row r="30" customFormat="false" ht="22.5" hidden="false" customHeight="true" outlineLevel="0" collapsed="false">
      <c r="B30" s="112" t="s">
        <v>127</v>
      </c>
      <c r="C30" s="136" t="s">
        <v>82</v>
      </c>
      <c r="D30" s="137" t="s">
        <v>83</v>
      </c>
      <c r="E30" s="109"/>
      <c r="F30" s="94" t="s">
        <v>64</v>
      </c>
    </row>
    <row r="31" customFormat="false" ht="30" hidden="false" customHeight="true" outlineLevel="0" collapsed="false">
      <c r="B31" s="116" t="s">
        <v>128</v>
      </c>
      <c r="C31" s="96" t="s">
        <v>129</v>
      </c>
      <c r="D31" s="138" t="n">
        <v>0.8</v>
      </c>
      <c r="E31" s="109"/>
      <c r="F31" s="105" t="s">
        <v>130</v>
      </c>
    </row>
    <row r="32" customFormat="false" ht="18.75" hidden="false" customHeight="true" outlineLevel="0" collapsed="false">
      <c r="B32" s="116" t="s">
        <v>131</v>
      </c>
      <c r="C32" s="96" t="s">
        <v>132</v>
      </c>
      <c r="D32" s="138" t="n">
        <v>15</v>
      </c>
      <c r="E32" s="109"/>
      <c r="F32" s="105" t="s">
        <v>133</v>
      </c>
    </row>
    <row r="33" customFormat="false" ht="18.75" hidden="false" customHeight="true" outlineLevel="0" collapsed="false">
      <c r="B33" s="107" t="s">
        <v>53</v>
      </c>
      <c r="C33" s="101" t="s">
        <v>134</v>
      </c>
      <c r="D33" s="127" t="n">
        <v>0.9</v>
      </c>
      <c r="E33" s="109"/>
      <c r="F33" s="105" t="s">
        <v>135</v>
      </c>
    </row>
    <row r="34" customFormat="false" ht="30" hidden="false" customHeight="true" outlineLevel="0" collapsed="false">
      <c r="B34" s="107" t="s">
        <v>54</v>
      </c>
      <c r="C34" s="101" t="s">
        <v>132</v>
      </c>
      <c r="D34" s="127" t="n">
        <v>4</v>
      </c>
      <c r="E34" s="109"/>
      <c r="F34" s="105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6"/>
      <c r="C37" s="17" t="s">
        <v>0</v>
      </c>
      <c r="D37" s="17" t="n">
        <v>2023</v>
      </c>
      <c r="E37" s="17" t="n">
        <v>2024</v>
      </c>
      <c r="F37" s="17" t="n">
        <v>2025</v>
      </c>
      <c r="G37" s="17" t="n">
        <v>2026</v>
      </c>
      <c r="H37" s="17" t="n">
        <v>2027</v>
      </c>
      <c r="I37" s="17" t="n">
        <v>2028</v>
      </c>
      <c r="J37" s="17" t="n">
        <v>2029</v>
      </c>
      <c r="K37" s="17" t="n">
        <v>2030</v>
      </c>
      <c r="L37" s="17" t="n">
        <v>2031</v>
      </c>
      <c r="M37" s="17" t="n">
        <v>2032</v>
      </c>
      <c r="N37" s="17" t="n">
        <v>2033</v>
      </c>
      <c r="O37" s="17" t="n">
        <v>2034</v>
      </c>
      <c r="P37" s="17" t="n">
        <v>2035</v>
      </c>
      <c r="Q37" s="17" t="n">
        <v>2036</v>
      </c>
      <c r="R37" s="17" t="n">
        <v>2037</v>
      </c>
      <c r="S37" s="17" t="n">
        <v>2038</v>
      </c>
      <c r="T37" s="17" t="n">
        <v>2039</v>
      </c>
      <c r="U37" s="17" t="n">
        <v>2040</v>
      </c>
      <c r="V37" s="17" t="n">
        <v>2041</v>
      </c>
      <c r="W37" s="17" t="n">
        <v>2042</v>
      </c>
      <c r="X37" s="17"/>
    </row>
    <row r="38" customFormat="false" ht="18.75" hidden="false" customHeight="true" outlineLevel="0" collapsed="false">
      <c r="B38" s="18" t="n">
        <v>0</v>
      </c>
      <c r="C38" s="19"/>
      <c r="D38" s="20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2"/>
      <c r="W38" s="22"/>
      <c r="X38" s="139"/>
    </row>
    <row r="39" customFormat="false" ht="18.75" hidden="false" customHeight="true" outlineLevel="0" collapsed="false">
      <c r="B39" s="24" t="s">
        <v>23</v>
      </c>
      <c r="C39" s="25" t="n">
        <v>0</v>
      </c>
      <c r="D39" s="26" t="n">
        <v>1</v>
      </c>
      <c r="E39" s="26" t="n">
        <v>2</v>
      </c>
      <c r="F39" s="26" t="n">
        <v>3</v>
      </c>
      <c r="G39" s="26" t="n">
        <v>4</v>
      </c>
      <c r="H39" s="26" t="n">
        <v>5</v>
      </c>
      <c r="I39" s="26" t="n">
        <v>6</v>
      </c>
      <c r="J39" s="26" t="n">
        <v>7</v>
      </c>
      <c r="K39" s="26" t="n">
        <v>8</v>
      </c>
      <c r="L39" s="26" t="n">
        <v>9</v>
      </c>
      <c r="M39" s="26" t="n">
        <v>10</v>
      </c>
      <c r="N39" s="26" t="n">
        <v>11</v>
      </c>
      <c r="O39" s="26" t="n">
        <v>12</v>
      </c>
      <c r="P39" s="26" t="n">
        <v>13</v>
      </c>
      <c r="Q39" s="26" t="n">
        <v>14</v>
      </c>
      <c r="R39" s="26" t="n">
        <v>15</v>
      </c>
      <c r="S39" s="26" t="n">
        <v>16</v>
      </c>
      <c r="T39" s="27" t="n">
        <v>17</v>
      </c>
      <c r="U39" s="26" t="n">
        <v>18</v>
      </c>
      <c r="V39" s="26" t="n">
        <v>19</v>
      </c>
      <c r="W39" s="26" t="n">
        <v>20</v>
      </c>
      <c r="X39" s="140"/>
    </row>
    <row r="40" customFormat="false" ht="18.75" hidden="false" customHeight="true" outlineLevel="0" collapsed="false">
      <c r="B40" s="141" t="s">
        <v>24</v>
      </c>
      <c r="C40" s="29" t="n">
        <v>0</v>
      </c>
      <c r="D40" s="30" t="n">
        <f aca="false">$D$10*P1</f>
        <v>541531.98</v>
      </c>
      <c r="E40" s="30" t="n">
        <f aca="false">$D$10*Q1</f>
        <v>539343.972</v>
      </c>
      <c r="F40" s="30" t="n">
        <f aca="false">$D$10*R1</f>
        <v>537155.964</v>
      </c>
      <c r="G40" s="30" t="n">
        <f aca="false">$D$10*S1</f>
        <v>534967.956</v>
      </c>
      <c r="H40" s="30" t="n">
        <f aca="false">$D$10*T1</f>
        <v>532779.948</v>
      </c>
      <c r="I40" s="30" t="n">
        <f aca="false">$D$10*U1</f>
        <v>530591.94</v>
      </c>
      <c r="J40" s="30" t="n">
        <f aca="false">$D$10*V1</f>
        <v>528403.932</v>
      </c>
      <c r="K40" s="30" t="n">
        <f aca="false">$D$10*W1</f>
        <v>526215.924</v>
      </c>
      <c r="L40" s="30" t="n">
        <f aca="false">$D$10*X1</f>
        <v>524027.916</v>
      </c>
      <c r="M40" s="30" t="n">
        <f aca="false">$D$10*Y1</f>
        <v>521839.908</v>
      </c>
      <c r="N40" s="30" t="n">
        <f aca="false">$D$10*Z1</f>
        <v>519651.9</v>
      </c>
      <c r="O40" s="30" t="n">
        <f aca="false">$D$10*AA1</f>
        <v>517463.892</v>
      </c>
      <c r="P40" s="30" t="n">
        <f aca="false">$D$10*AB1</f>
        <v>515275.884</v>
      </c>
      <c r="Q40" s="30" t="n">
        <f aca="false">$D$10*AC1</f>
        <v>513087.876</v>
      </c>
      <c r="R40" s="30" t="n">
        <f aca="false">$D$10*AD1</f>
        <v>510899.868</v>
      </c>
      <c r="S40" s="30" t="n">
        <f aca="false">$D$10*AE1</f>
        <v>508711.86</v>
      </c>
      <c r="T40" s="30" t="n">
        <f aca="false">$D$10*AF1</f>
        <v>506523.852</v>
      </c>
      <c r="U40" s="30" t="n">
        <f aca="false">$D$10*AG1</f>
        <v>504335.844</v>
      </c>
      <c r="V40" s="30" t="n">
        <f aca="false">$D$10*AH1</f>
        <v>502147.836</v>
      </c>
      <c r="W40" s="30" t="n">
        <f aca="false">$D$10*AI1</f>
        <v>499959.828</v>
      </c>
      <c r="X40" s="142"/>
    </row>
    <row r="41" customFormat="false" ht="18.75" hidden="false" customHeight="true" outlineLevel="0" collapsed="false">
      <c r="B41" s="31" t="s">
        <v>25</v>
      </c>
      <c r="C41" s="32" t="s">
        <v>26</v>
      </c>
      <c r="D41" s="33" t="n">
        <f aca="false">D40*$D$13</f>
        <v>2011899.612096</v>
      </c>
      <c r="E41" s="33" t="n">
        <f aca="false">E40*$D$13</f>
        <v>2003770.7247744</v>
      </c>
      <c r="F41" s="33" t="n">
        <f aca="false">F40*$D$13</f>
        <v>1995641.8374528</v>
      </c>
      <c r="G41" s="33" t="n">
        <f aca="false">G40*$D$13</f>
        <v>1987512.9501312</v>
      </c>
      <c r="H41" s="33" t="n">
        <f aca="false">H40*$D$13</f>
        <v>1979384.0628096</v>
      </c>
      <c r="I41" s="33" t="n">
        <f aca="false">I40*$D$13</f>
        <v>1971255.175488</v>
      </c>
      <c r="J41" s="33" t="n">
        <f aca="false">J40*$D$13</f>
        <v>1963126.2881664</v>
      </c>
      <c r="K41" s="33" t="n">
        <f aca="false">K40*$D$13</f>
        <v>1954997.4008448</v>
      </c>
      <c r="L41" s="33" t="n">
        <f aca="false">L40*$D$13</f>
        <v>1946868.5135232</v>
      </c>
      <c r="M41" s="33" t="n">
        <f aca="false">M40*$D$13</f>
        <v>1938739.6262016</v>
      </c>
      <c r="N41" s="33" t="n">
        <f aca="false">N40*$D$13</f>
        <v>1930610.73888</v>
      </c>
      <c r="O41" s="33" t="n">
        <f aca="false">O40*$D$13</f>
        <v>1922481.8515584</v>
      </c>
      <c r="P41" s="33" t="n">
        <f aca="false">P40*$D$13</f>
        <v>1914352.9642368</v>
      </c>
      <c r="Q41" s="33" t="n">
        <f aca="false">Q40*$D$13</f>
        <v>1906224.0769152</v>
      </c>
      <c r="R41" s="33" t="n">
        <f aca="false">R40*$D$13</f>
        <v>1898095.1895936</v>
      </c>
      <c r="S41" s="33" t="n">
        <f aca="false">S40*$D$13</f>
        <v>1889966.302272</v>
      </c>
      <c r="T41" s="33" t="n">
        <f aca="false">T40*$D$13</f>
        <v>1881837.4149504</v>
      </c>
      <c r="U41" s="33" t="n">
        <f aca="false">U40*$D$13</f>
        <v>1873708.5276288</v>
      </c>
      <c r="V41" s="33" t="n">
        <f aca="false">V40*$D$13</f>
        <v>1865579.6403072</v>
      </c>
      <c r="W41" s="33" t="n">
        <f aca="false">W40*$D$13</f>
        <v>1857450.7529856</v>
      </c>
      <c r="X41" s="143"/>
    </row>
    <row r="42" customFormat="false" ht="18.75" hidden="false" customHeight="true" outlineLevel="0" collapsed="false">
      <c r="B42" s="34" t="s">
        <v>27</v>
      </c>
      <c r="C42" s="35" t="s">
        <v>26</v>
      </c>
      <c r="D42" s="144"/>
      <c r="E42" s="144"/>
      <c r="F42" s="144"/>
      <c r="G42" s="37" t="s">
        <v>26</v>
      </c>
      <c r="H42" s="37" t="s">
        <v>26</v>
      </c>
      <c r="I42" s="37" t="s">
        <v>26</v>
      </c>
      <c r="J42" s="37" t="s">
        <v>26</v>
      </c>
      <c r="K42" s="37" t="s">
        <v>26</v>
      </c>
      <c r="L42" s="37" t="s">
        <v>26</v>
      </c>
      <c r="M42" s="37" t="s">
        <v>26</v>
      </c>
      <c r="N42" s="37" t="s">
        <v>26</v>
      </c>
      <c r="O42" s="37" t="s">
        <v>26</v>
      </c>
      <c r="P42" s="37" t="s">
        <v>26</v>
      </c>
      <c r="Q42" s="37" t="s">
        <v>26</v>
      </c>
      <c r="R42" s="37" t="s">
        <v>26</v>
      </c>
      <c r="S42" s="37" t="s">
        <v>26</v>
      </c>
      <c r="T42" s="37" t="s">
        <v>26</v>
      </c>
      <c r="U42" s="37" t="s">
        <v>26</v>
      </c>
      <c r="V42" s="37" t="s">
        <v>26</v>
      </c>
      <c r="W42" s="37" t="s">
        <v>26</v>
      </c>
      <c r="X42" s="145"/>
    </row>
    <row r="43" customFormat="false" ht="18.75" hidden="false" customHeight="true" outlineLevel="0" collapsed="false">
      <c r="B43" s="38" t="s">
        <v>28</v>
      </c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8"/>
    </row>
    <row r="44" customFormat="false" ht="18.75" hidden="false" customHeight="true" outlineLevel="0" collapsed="false">
      <c r="B44" s="41" t="s">
        <v>29</v>
      </c>
      <c r="C44" s="42" t="n">
        <f aca="false">-(D16/(1-D17)+D18)*C4</f>
        <v>-20621300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</row>
    <row r="45" customFormat="false" ht="18.75" hidden="false" customHeight="true" outlineLevel="0" collapsed="false">
      <c r="B45" s="41" t="s">
        <v>30</v>
      </c>
      <c r="C45" s="35" t="s">
        <v>26</v>
      </c>
      <c r="D45" s="149" t="n">
        <v>-290201</v>
      </c>
      <c r="E45" s="149" t="n">
        <v>-290201</v>
      </c>
      <c r="F45" s="149" t="n">
        <v>-290201</v>
      </c>
      <c r="G45" s="149" t="n">
        <v>-290201</v>
      </c>
      <c r="H45" s="149" t="n">
        <v>-290201</v>
      </c>
      <c r="I45" s="149" t="n">
        <v>-290201</v>
      </c>
      <c r="J45" s="149" t="n">
        <v>-290201</v>
      </c>
      <c r="K45" s="149" t="n">
        <v>-290201</v>
      </c>
      <c r="L45" s="149" t="n">
        <v>-290201</v>
      </c>
      <c r="M45" s="149" t="n">
        <v>-290201</v>
      </c>
      <c r="N45" s="149" t="n">
        <v>-290201</v>
      </c>
      <c r="O45" s="149" t="n">
        <v>-290201</v>
      </c>
      <c r="P45" s="149" t="n">
        <v>-290201</v>
      </c>
      <c r="Q45" s="149" t="n">
        <v>-290201</v>
      </c>
      <c r="R45" s="149" t="n">
        <v>-290201</v>
      </c>
      <c r="S45" s="149" t="n">
        <v>-290201</v>
      </c>
      <c r="T45" s="149" t="n">
        <v>-290201</v>
      </c>
      <c r="U45" s="149" t="n">
        <v>-290201</v>
      </c>
      <c r="V45" s="149" t="n">
        <v>-290201</v>
      </c>
      <c r="W45" s="149" t="n">
        <v>-290201</v>
      </c>
      <c r="X45" s="149"/>
    </row>
    <row r="46" customFormat="false" ht="18.75" hidden="false" customHeight="true" outlineLevel="0" collapsed="false">
      <c r="B46" s="41" t="s">
        <v>31</v>
      </c>
      <c r="C46" s="35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customFormat="false" ht="18.75" hidden="false" customHeight="true" outlineLevel="0" collapsed="false">
      <c r="B47" s="41" t="s">
        <v>32</v>
      </c>
      <c r="C47" s="35" t="s">
        <v>26</v>
      </c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</row>
    <row r="48" customFormat="false" ht="18.75" hidden="false" customHeight="true" outlineLevel="0" collapsed="false">
      <c r="B48" s="41" t="s">
        <v>33</v>
      </c>
      <c r="C48" s="35" t="s">
        <v>26</v>
      </c>
      <c r="D48" s="149" t="n">
        <v>-174440</v>
      </c>
      <c r="E48" s="149" t="n">
        <v>-174440</v>
      </c>
      <c r="F48" s="149" t="n">
        <v>-174440</v>
      </c>
      <c r="G48" s="149" t="n">
        <v>-174440</v>
      </c>
      <c r="H48" s="149" t="n">
        <v>-174440</v>
      </c>
      <c r="I48" s="149" t="n">
        <v>-174440</v>
      </c>
      <c r="J48" s="149" t="n">
        <v>-174440</v>
      </c>
      <c r="K48" s="149" t="n">
        <v>-174440</v>
      </c>
      <c r="L48" s="149" t="n">
        <v>-174440</v>
      </c>
      <c r="M48" s="149" t="n">
        <v>-174440</v>
      </c>
      <c r="N48" s="149" t="n">
        <v>-174440</v>
      </c>
      <c r="O48" s="149" t="n">
        <v>-174440</v>
      </c>
      <c r="P48" s="149" t="n">
        <v>-174440</v>
      </c>
      <c r="Q48" s="149" t="n">
        <v>-174440</v>
      </c>
      <c r="R48" s="149" t="n">
        <v>-174440</v>
      </c>
      <c r="S48" s="149" t="n">
        <v>-174440</v>
      </c>
      <c r="T48" s="149" t="n">
        <v>-174440</v>
      </c>
      <c r="U48" s="149" t="n">
        <v>-174440</v>
      </c>
      <c r="V48" s="149" t="n">
        <v>-174440</v>
      </c>
      <c r="W48" s="149" t="n">
        <v>-174440</v>
      </c>
      <c r="X48" s="149"/>
    </row>
    <row r="49" customFormat="false" ht="18.75" hidden="false" customHeight="true" outlineLevel="0" collapsed="false">
      <c r="B49" s="41" t="s">
        <v>34</v>
      </c>
      <c r="C49" s="35" t="s">
        <v>26</v>
      </c>
      <c r="D49" s="149" t="n">
        <v>-40557.3</v>
      </c>
      <c r="E49" s="149" t="n">
        <v>-40557.3</v>
      </c>
      <c r="F49" s="149" t="n">
        <v>-40557.3</v>
      </c>
      <c r="G49" s="149" t="n">
        <v>-40557.3</v>
      </c>
      <c r="H49" s="149" t="n">
        <v>-40557.3</v>
      </c>
      <c r="I49" s="149" t="n">
        <v>-40557.3</v>
      </c>
      <c r="J49" s="149" t="n">
        <v>-40557.3</v>
      </c>
      <c r="K49" s="149" t="n">
        <v>-40557.3</v>
      </c>
      <c r="L49" s="149" t="n">
        <v>-40557.3</v>
      </c>
      <c r="M49" s="149" t="n">
        <v>-40557.3</v>
      </c>
      <c r="N49" s="149" t="n">
        <v>-40557.3</v>
      </c>
      <c r="O49" s="149" t="n">
        <v>-40557.3</v>
      </c>
      <c r="P49" s="149" t="n">
        <v>-40557.3</v>
      </c>
      <c r="Q49" s="149" t="n">
        <v>-40557.3</v>
      </c>
      <c r="R49" s="149" t="n">
        <v>-40557.3</v>
      </c>
      <c r="S49" s="149" t="n">
        <v>-40557.3</v>
      </c>
      <c r="T49" s="149" t="n">
        <v>-40557.3</v>
      </c>
      <c r="U49" s="149" t="n">
        <v>-40557.3</v>
      </c>
      <c r="V49" s="149" t="n">
        <v>-40557.3</v>
      </c>
      <c r="W49" s="149" t="n">
        <v>-40557.3</v>
      </c>
      <c r="X49" s="149"/>
    </row>
    <row r="50" customFormat="false" ht="18.75" hidden="false" customHeight="true" outlineLevel="0" collapsed="false">
      <c r="B50" s="41" t="s">
        <v>35</v>
      </c>
      <c r="C50" s="35"/>
      <c r="D50" s="149" t="n">
        <v>-43610</v>
      </c>
      <c r="E50" s="149" t="n">
        <v>-43610</v>
      </c>
      <c r="F50" s="149" t="n">
        <v>-43610</v>
      </c>
      <c r="G50" s="149" t="n">
        <v>-43610</v>
      </c>
      <c r="H50" s="149" t="n">
        <v>-43610</v>
      </c>
      <c r="I50" s="149" t="n">
        <v>-43610</v>
      </c>
      <c r="J50" s="149" t="n">
        <v>-43610</v>
      </c>
      <c r="K50" s="149" t="n">
        <v>-43610</v>
      </c>
      <c r="L50" s="149" t="n">
        <v>-43610</v>
      </c>
      <c r="M50" s="149" t="n">
        <v>-43610</v>
      </c>
      <c r="N50" s="149" t="n">
        <v>0</v>
      </c>
      <c r="O50" s="149" t="n">
        <v>0</v>
      </c>
      <c r="P50" s="149" t="n">
        <v>0</v>
      </c>
      <c r="Q50" s="149" t="n">
        <v>0</v>
      </c>
      <c r="R50" s="149" t="n">
        <v>0</v>
      </c>
      <c r="S50" s="149" t="n">
        <v>0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/>
    </row>
    <row r="51" customFormat="false" ht="18.75" hidden="false" customHeight="true" outlineLevel="0" collapsed="false">
      <c r="B51" s="41" t="s">
        <v>36</v>
      </c>
      <c r="C51" s="44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</row>
    <row r="52" customFormat="false" ht="18.75" hidden="false" customHeight="true" outlineLevel="0" collapsed="false">
      <c r="B52" s="41" t="s">
        <v>37</v>
      </c>
      <c r="C52" s="44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customFormat="false" ht="18.75" hidden="false" customHeight="true" outlineLevel="0" collapsed="false">
      <c r="B53" s="45" t="s">
        <v>38</v>
      </c>
      <c r="C53" s="44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</row>
    <row r="54" customFormat="false" ht="18.75" hidden="false" customHeight="true" outlineLevel="0" collapsed="false">
      <c r="B54" s="45" t="s">
        <v>39</v>
      </c>
      <c r="C54" s="44"/>
      <c r="D54" s="149" t="n">
        <f aca="false">D77</f>
        <v>-86405.2624191999</v>
      </c>
      <c r="E54" s="149" t="n">
        <f aca="false">E77</f>
        <v>-84779.4849548799</v>
      </c>
      <c r="F54" s="149" t="n">
        <f aca="false">F77</f>
        <v>-83153.70749056</v>
      </c>
      <c r="G54" s="149" t="n">
        <f aca="false">G77</f>
        <v>-81527.93002624</v>
      </c>
      <c r="H54" s="149" t="n">
        <f aca="false">H77</f>
        <v>-79902.1525619199</v>
      </c>
      <c r="I54" s="149" t="n">
        <f aca="false">I77</f>
        <v>-78276.3750975999</v>
      </c>
      <c r="J54" s="149" t="n">
        <f aca="false">J77</f>
        <v>-76650.59763328</v>
      </c>
      <c r="K54" s="149" t="n">
        <f aca="false">K77</f>
        <v>-75024.8201689599</v>
      </c>
      <c r="L54" s="149" t="n">
        <f aca="false">L77</f>
        <v>-73399.0427046399</v>
      </c>
      <c r="M54" s="149" t="n">
        <f aca="false">M77</f>
        <v>-71773.2652403199</v>
      </c>
      <c r="N54" s="149" t="n">
        <f aca="false">N77</f>
        <v>-78869.4877759999</v>
      </c>
      <c r="O54" s="149" t="n">
        <f aca="false">O77</f>
        <v>-77243.7103116799</v>
      </c>
      <c r="P54" s="149" t="n">
        <f aca="false">P77</f>
        <v>-75617.9328473599</v>
      </c>
      <c r="Q54" s="149" t="n">
        <f aca="false">Q77</f>
        <v>-73992.1553830399</v>
      </c>
      <c r="R54" s="149" t="n">
        <f aca="false">R77</f>
        <v>-72366.3779187199</v>
      </c>
      <c r="S54" s="149" t="n">
        <f aca="false">S77</f>
        <v>-70740.6004543999</v>
      </c>
      <c r="T54" s="149" t="n">
        <f aca="false">T77</f>
        <v>-69114.8229900799</v>
      </c>
      <c r="U54" s="149" t="n">
        <f aca="false">U77</f>
        <v>-67489.0455257599</v>
      </c>
      <c r="V54" s="149" t="n">
        <f aca="false">V77</f>
        <v>-65863.2680614399</v>
      </c>
      <c r="W54" s="149" t="n">
        <f aca="false">W77</f>
        <v>-64237.4905971199</v>
      </c>
      <c r="X54" s="144"/>
    </row>
    <row r="55" customFormat="false" ht="18.75" hidden="false" customHeight="true" outlineLevel="0" collapsed="false">
      <c r="B55" s="46" t="s">
        <v>40</v>
      </c>
      <c r="C55" s="47" t="n">
        <f aca="false">C44</f>
        <v>-20621300</v>
      </c>
      <c r="D55" s="48" t="n">
        <f aca="false">SUM(D41:D54)</f>
        <v>1376686.0496768</v>
      </c>
      <c r="E55" s="48" t="n">
        <f aca="false">SUM(E41:E54)</f>
        <v>1370182.93981952</v>
      </c>
      <c r="F55" s="48" t="n">
        <f aca="false">SUM(F41:F54)</f>
        <v>1363679.82996224</v>
      </c>
      <c r="G55" s="48" t="n">
        <f aca="false">SUM(G41:G54)</f>
        <v>1357176.72010496</v>
      </c>
      <c r="H55" s="48" t="n">
        <f aca="false">SUM(H41:H54)</f>
        <v>1350673.61024768</v>
      </c>
      <c r="I55" s="48" t="n">
        <f aca="false">SUM(I41:I54)</f>
        <v>1344170.5003904</v>
      </c>
      <c r="J55" s="48" t="n">
        <f aca="false">SUM(J41:J54)</f>
        <v>1337667.39053312</v>
      </c>
      <c r="K55" s="48" t="n">
        <f aca="false">SUM(K41:K54)</f>
        <v>1331164.28067584</v>
      </c>
      <c r="L55" s="48" t="n">
        <f aca="false">SUM(L41:L54)</f>
        <v>1324661.17081856</v>
      </c>
      <c r="M55" s="48" t="n">
        <f aca="false">SUM(M41:M54)</f>
        <v>1318158.06096128</v>
      </c>
      <c r="N55" s="48" t="n">
        <f aca="false">SUM(N41:N54)</f>
        <v>1346542.951104</v>
      </c>
      <c r="O55" s="48" t="n">
        <f aca="false">SUM(O41:O54)</f>
        <v>1340039.84124672</v>
      </c>
      <c r="P55" s="48" t="n">
        <f aca="false">SUM(P41:P54)</f>
        <v>1333536.73138944</v>
      </c>
      <c r="Q55" s="48" t="n">
        <f aca="false">SUM(Q41:Q54)</f>
        <v>1327033.62153216</v>
      </c>
      <c r="R55" s="48" t="n">
        <f aca="false">SUM(R41:R54)</f>
        <v>1320530.51167488</v>
      </c>
      <c r="S55" s="48" t="n">
        <f aca="false">SUM(S41:S54)</f>
        <v>1314027.4018176</v>
      </c>
      <c r="T55" s="48" t="n">
        <f aca="false">SUM(T41:T54)</f>
        <v>1307524.29196032</v>
      </c>
      <c r="U55" s="48" t="n">
        <f aca="false">SUM(U41:U54)</f>
        <v>1301021.18210304</v>
      </c>
      <c r="V55" s="48" t="n">
        <f aca="false">SUM(V41:V54)</f>
        <v>1294518.07224576</v>
      </c>
      <c r="W55" s="48" t="n">
        <f aca="false">SUM(W41:W54)</f>
        <v>1288014.96238848</v>
      </c>
      <c r="X55" s="150"/>
      <c r="Y55" s="151"/>
      <c r="Z55" s="152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customFormat="false" ht="18.75" hidden="false" customHeight="true" outlineLevel="0" collapsed="false">
      <c r="B56" s="49" t="s">
        <v>41</v>
      </c>
      <c r="D56" s="50" t="n">
        <f aca="false">C55+D55</f>
        <v>-19244613.9503232</v>
      </c>
      <c r="E56" s="50" t="n">
        <f aca="false">D56+E55</f>
        <v>-17874431.0105037</v>
      </c>
      <c r="F56" s="50" t="n">
        <f aca="false">E56+F55</f>
        <v>-16510751.1805414</v>
      </c>
      <c r="G56" s="50" t="n">
        <f aca="false">F56+G55</f>
        <v>-15153574.4604365</v>
      </c>
      <c r="H56" s="50" t="n">
        <f aca="false">G56+H55</f>
        <v>-13802900.8501888</v>
      </c>
      <c r="I56" s="50" t="n">
        <f aca="false">H56+I55</f>
        <v>-12458730.3497984</v>
      </c>
      <c r="J56" s="50" t="n">
        <f aca="false">I56+J55</f>
        <v>-11121062.9592653</v>
      </c>
      <c r="K56" s="50" t="n">
        <f aca="false">J56+K55</f>
        <v>-9789898.67858945</v>
      </c>
      <c r="L56" s="50" t="n">
        <f aca="false">K56+L55</f>
        <v>-8465237.50777089</v>
      </c>
      <c r="M56" s="50" t="n">
        <f aca="false">L56+M55</f>
        <v>-7147079.44680961</v>
      </c>
      <c r="N56" s="50" t="n">
        <f aca="false">M56+N55</f>
        <v>-5800536.49570561</v>
      </c>
      <c r="O56" s="50" t="n">
        <f aca="false">N56+O55</f>
        <v>-4460496.65445889</v>
      </c>
      <c r="P56" s="50" t="n">
        <f aca="false">O56+P55</f>
        <v>-3126959.92306945</v>
      </c>
      <c r="Q56" s="50" t="n">
        <f aca="false">P56+Q55</f>
        <v>-1799926.30153729</v>
      </c>
      <c r="R56" s="50" t="n">
        <f aca="false">Q56+R55</f>
        <v>-479395.789862409</v>
      </c>
      <c r="S56" s="50" t="n">
        <f aca="false">R56+S55</f>
        <v>834631.611955192</v>
      </c>
      <c r="T56" s="50" t="n">
        <f aca="false">S56+T55</f>
        <v>2142155.90391551</v>
      </c>
      <c r="U56" s="50" t="n">
        <f aca="false">T56+U55</f>
        <v>3443177.08601855</v>
      </c>
      <c r="V56" s="50" t="n">
        <f aca="false">U56+V55</f>
        <v>4737695.15826431</v>
      </c>
      <c r="W56" s="50" t="n">
        <f aca="false">V56+W55</f>
        <v>6025710.12065279</v>
      </c>
      <c r="X56" s="50" t="n">
        <f aca="false">W56+X55</f>
        <v>6025710.12065279</v>
      </c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</row>
    <row r="57" customFormat="false" ht="18.75" hidden="false" customHeight="true" outlineLevel="0" collapsed="false">
      <c r="B57" s="51" t="s">
        <v>42</v>
      </c>
      <c r="C57" s="52"/>
      <c r="D57" s="53" t="str">
        <f aca="false">IF((D56)&gt;0,"回收","未回收")</f>
        <v>未回收</v>
      </c>
      <c r="E57" s="54" t="str">
        <f aca="false">IF((E56)&gt;0,"回收","未回收")</f>
        <v>未回收</v>
      </c>
      <c r="F57" s="54" t="str">
        <f aca="false">IF((F56)&gt;0,"回收","未回收")</f>
        <v>未回收</v>
      </c>
      <c r="G57" s="54" t="str">
        <f aca="false">IF((G56)&gt;0,"回收","未回收")</f>
        <v>未回收</v>
      </c>
      <c r="H57" s="54" t="str">
        <f aca="false">IF((H56)&gt;0,"回收","未回收")</f>
        <v>未回收</v>
      </c>
      <c r="I57" s="54" t="str">
        <f aca="false">IF((I56)&gt;0,"回收","未回收")</f>
        <v>未回收</v>
      </c>
      <c r="J57" s="54" t="str">
        <f aca="false">IF((J56)&gt;0,"回收","未回收")</f>
        <v>未回收</v>
      </c>
      <c r="K57" s="54" t="str">
        <f aca="false">IF((K56)&gt;0,"回收","未回收")</f>
        <v>未回收</v>
      </c>
      <c r="L57" s="54" t="str">
        <f aca="false">IF((L56)&gt;0,"回收","未回收")</f>
        <v>未回收</v>
      </c>
      <c r="M57" s="54" t="str">
        <f aca="false">IF((M56)&gt;0,"回收","未回收")</f>
        <v>未回收</v>
      </c>
      <c r="N57" s="54" t="str">
        <f aca="false">IF((N56)&gt;0,"回收","未回收")</f>
        <v>未回收</v>
      </c>
      <c r="O57" s="54" t="str">
        <f aca="false">IF((O56)&gt;0,"回收","未回收")</f>
        <v>未回收</v>
      </c>
      <c r="P57" s="54" t="str">
        <f aca="false">IF((P56)&gt;0,"回收","未回收")</f>
        <v>未回收</v>
      </c>
      <c r="Q57" s="54" t="str">
        <f aca="false">IF((Q56)&gt;0,"回收","未回收")</f>
        <v>未回收</v>
      </c>
      <c r="R57" s="54" t="str">
        <f aca="false">IF((R56)&gt;0,"回收","未回收")</f>
        <v>未回收</v>
      </c>
      <c r="S57" s="54" t="str">
        <f aca="false">IF((S56)&gt;0,"回收","未回收")</f>
        <v>回收</v>
      </c>
      <c r="T57" s="54" t="str">
        <f aca="false">IF((T56)&gt;0,"回收","未回收")</f>
        <v>回收</v>
      </c>
      <c r="U57" s="54" t="str">
        <f aca="false">IF((U56)&gt;0,"回收","未回收")</f>
        <v>回收</v>
      </c>
      <c r="V57" s="54" t="str">
        <f aca="false">IF((V56)&gt;0,"回收","未回收")</f>
        <v>回收</v>
      </c>
      <c r="W57" s="54" t="str">
        <f aca="false">IF((W56)&gt;0,"回收","未回收")</f>
        <v>回收</v>
      </c>
      <c r="X57" s="54" t="str">
        <f aca="false">IF((X56)&gt;0,"回收","未回收")</f>
        <v>回收</v>
      </c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</row>
    <row r="58" customFormat="false" ht="18.75" hidden="false" customHeight="true" outlineLevel="0" collapsed="false">
      <c r="B58" s="55" t="s">
        <v>43</v>
      </c>
      <c r="C58" s="56" t="n">
        <f aca="false">IRR(C55:W55)</f>
        <v>0.0260261384222685</v>
      </c>
      <c r="D58" s="57"/>
      <c r="E58" s="57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customFormat="false" ht="18.75" hidden="false" customHeight="true" outlineLevel="0" collapsed="false">
      <c r="B59" s="58"/>
      <c r="C59" s="57"/>
      <c r="D59" s="57"/>
      <c r="E59" s="57"/>
      <c r="F59" s="58"/>
      <c r="G59" s="58"/>
      <c r="H59" s="58"/>
      <c r="I59" s="58"/>
      <c r="J59" s="58"/>
      <c r="K59" s="58"/>
      <c r="L59" s="58"/>
      <c r="M59" s="57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customFormat="false" ht="18.75" hidden="false" customHeight="true" outlineLevel="0" collapsed="false">
      <c r="B60" s="16"/>
      <c r="C60" s="17" t="s">
        <v>0</v>
      </c>
      <c r="D60" s="17" t="n">
        <f aca="false">D37</f>
        <v>2023</v>
      </c>
      <c r="E60" s="17" t="n">
        <f aca="false">E37</f>
        <v>2024</v>
      </c>
      <c r="F60" s="17" t="n">
        <f aca="false">F37</f>
        <v>2025</v>
      </c>
      <c r="G60" s="17" t="n">
        <f aca="false">G37</f>
        <v>2026</v>
      </c>
      <c r="H60" s="17" t="n">
        <f aca="false">H37</f>
        <v>2027</v>
      </c>
      <c r="I60" s="17" t="n">
        <f aca="false">I37</f>
        <v>2028</v>
      </c>
      <c r="J60" s="17" t="n">
        <f aca="false">J37</f>
        <v>2029</v>
      </c>
      <c r="K60" s="17" t="n">
        <f aca="false">K37</f>
        <v>2030</v>
      </c>
      <c r="L60" s="17" t="n">
        <f aca="false">L37</f>
        <v>2031</v>
      </c>
      <c r="M60" s="17" t="n">
        <f aca="false">M37</f>
        <v>2032</v>
      </c>
      <c r="N60" s="17" t="n">
        <f aca="false">N37</f>
        <v>2033</v>
      </c>
      <c r="O60" s="17" t="n">
        <f aca="false">O37</f>
        <v>2034</v>
      </c>
      <c r="P60" s="17" t="n">
        <f aca="false">P37</f>
        <v>2035</v>
      </c>
      <c r="Q60" s="17" t="n">
        <f aca="false">Q37</f>
        <v>2036</v>
      </c>
      <c r="R60" s="17" t="n">
        <f aca="false">R37</f>
        <v>2037</v>
      </c>
      <c r="S60" s="17" t="n">
        <f aca="false">S37</f>
        <v>2038</v>
      </c>
      <c r="T60" s="17" t="n">
        <f aca="false">T37</f>
        <v>2039</v>
      </c>
      <c r="U60" s="17" t="n">
        <f aca="false">U37</f>
        <v>2040</v>
      </c>
      <c r="V60" s="17" t="n">
        <f aca="false">V37</f>
        <v>2041</v>
      </c>
      <c r="W60" s="17" t="n">
        <f aca="false">W37</f>
        <v>2042</v>
      </c>
      <c r="X60" s="17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customFormat="false" ht="18.75" hidden="false" customHeight="true" outlineLevel="0" collapsed="false">
      <c r="B61" s="18" t="n">
        <v>0</v>
      </c>
      <c r="C61" s="19"/>
      <c r="D61" s="20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59" t="s">
        <v>44</v>
      </c>
      <c r="U61" s="22"/>
      <c r="V61" s="22"/>
      <c r="W61" s="22"/>
      <c r="X61" s="139"/>
    </row>
    <row r="62" customFormat="false" ht="18.75" hidden="false" customHeight="true" outlineLevel="0" collapsed="false">
      <c r="B62" s="24" t="s">
        <v>23</v>
      </c>
      <c r="C62" s="25" t="n">
        <v>0</v>
      </c>
      <c r="D62" s="26" t="n">
        <v>1</v>
      </c>
      <c r="E62" s="26" t="n">
        <v>2</v>
      </c>
      <c r="F62" s="26" t="n">
        <v>3</v>
      </c>
      <c r="G62" s="26" t="n">
        <v>4</v>
      </c>
      <c r="H62" s="26" t="n">
        <v>5</v>
      </c>
      <c r="I62" s="26" t="n">
        <v>6</v>
      </c>
      <c r="J62" s="26" t="n">
        <v>7</v>
      </c>
      <c r="K62" s="26" t="n">
        <v>8</v>
      </c>
      <c r="L62" s="26" t="n">
        <v>9</v>
      </c>
      <c r="M62" s="26" t="n">
        <v>10</v>
      </c>
      <c r="N62" s="26" t="n">
        <v>11</v>
      </c>
      <c r="O62" s="26" t="n">
        <v>12</v>
      </c>
      <c r="P62" s="26" t="n">
        <v>13</v>
      </c>
      <c r="Q62" s="26" t="n">
        <v>14</v>
      </c>
      <c r="R62" s="26" t="n">
        <v>15</v>
      </c>
      <c r="S62" s="26" t="n">
        <v>16</v>
      </c>
      <c r="T62" s="60" t="n">
        <v>17</v>
      </c>
      <c r="U62" s="26" t="n">
        <v>18</v>
      </c>
      <c r="V62" s="26" t="n">
        <v>19</v>
      </c>
      <c r="W62" s="26" t="n">
        <v>20</v>
      </c>
      <c r="X62" s="140"/>
    </row>
    <row r="63" customFormat="false" ht="18.75" hidden="false" customHeight="true" outlineLevel="0" collapsed="false">
      <c r="B63" s="141" t="s">
        <v>24</v>
      </c>
      <c r="C63" s="29" t="n">
        <v>0</v>
      </c>
      <c r="D63" s="30" t="n">
        <f aca="false">D40</f>
        <v>541531.98</v>
      </c>
      <c r="E63" s="30" t="n">
        <f aca="false">E40</f>
        <v>539343.972</v>
      </c>
      <c r="F63" s="30" t="n">
        <f aca="false">F40</f>
        <v>537155.964</v>
      </c>
      <c r="G63" s="30" t="n">
        <f aca="false">G40</f>
        <v>534967.956</v>
      </c>
      <c r="H63" s="30" t="n">
        <f aca="false">H40</f>
        <v>532779.948</v>
      </c>
      <c r="I63" s="30" t="n">
        <f aca="false">I40</f>
        <v>530591.94</v>
      </c>
      <c r="J63" s="30" t="n">
        <f aca="false">J40</f>
        <v>528403.932</v>
      </c>
      <c r="K63" s="30" t="n">
        <f aca="false">K40</f>
        <v>526215.924</v>
      </c>
      <c r="L63" s="30" t="n">
        <f aca="false">L40</f>
        <v>524027.916</v>
      </c>
      <c r="M63" s="30" t="n">
        <f aca="false">M40</f>
        <v>521839.908</v>
      </c>
      <c r="N63" s="30" t="n">
        <f aca="false">N40</f>
        <v>519651.9</v>
      </c>
      <c r="O63" s="30" t="n">
        <f aca="false">O40</f>
        <v>517463.892</v>
      </c>
      <c r="P63" s="30" t="n">
        <f aca="false">P40</f>
        <v>515275.884</v>
      </c>
      <c r="Q63" s="30" t="n">
        <f aca="false">Q40</f>
        <v>513087.876</v>
      </c>
      <c r="R63" s="30" t="n">
        <f aca="false">R40</f>
        <v>510899.868</v>
      </c>
      <c r="S63" s="30" t="n">
        <f aca="false">S40</f>
        <v>508711.86</v>
      </c>
      <c r="T63" s="30" t="n">
        <f aca="false">T40</f>
        <v>506523.852</v>
      </c>
      <c r="U63" s="30" t="n">
        <f aca="false">U40</f>
        <v>504335.844</v>
      </c>
      <c r="V63" s="30" t="n">
        <f aca="false">V40</f>
        <v>502147.836</v>
      </c>
      <c r="W63" s="30" t="n">
        <f aca="false">W40</f>
        <v>499959.828</v>
      </c>
      <c r="X63" s="142"/>
    </row>
    <row r="64" customFormat="false" ht="18.75" hidden="false" customHeight="true" outlineLevel="0" collapsed="false">
      <c r="B64" s="31" t="s">
        <v>25</v>
      </c>
      <c r="C64" s="32" t="s">
        <v>26</v>
      </c>
      <c r="D64" s="33" t="n">
        <f aca="false">D41</f>
        <v>2011899.612096</v>
      </c>
      <c r="E64" s="33" t="n">
        <f aca="false">E41</f>
        <v>2003770.7247744</v>
      </c>
      <c r="F64" s="33" t="n">
        <f aca="false">F41</f>
        <v>1995641.8374528</v>
      </c>
      <c r="G64" s="33" t="n">
        <f aca="false">G41</f>
        <v>1987512.9501312</v>
      </c>
      <c r="H64" s="33" t="n">
        <f aca="false">H41</f>
        <v>1979384.0628096</v>
      </c>
      <c r="I64" s="33" t="n">
        <f aca="false">I41</f>
        <v>1971255.175488</v>
      </c>
      <c r="J64" s="33" t="n">
        <f aca="false">J41</f>
        <v>1963126.2881664</v>
      </c>
      <c r="K64" s="33" t="n">
        <f aca="false">K41</f>
        <v>1954997.4008448</v>
      </c>
      <c r="L64" s="33" t="n">
        <f aca="false">L41</f>
        <v>1946868.5135232</v>
      </c>
      <c r="M64" s="33" t="n">
        <f aca="false">M41</f>
        <v>1938739.6262016</v>
      </c>
      <c r="N64" s="33" t="n">
        <f aca="false">N41</f>
        <v>1930610.73888</v>
      </c>
      <c r="O64" s="33" t="n">
        <f aca="false">O41</f>
        <v>1922481.8515584</v>
      </c>
      <c r="P64" s="33" t="n">
        <f aca="false">P41</f>
        <v>1914352.9642368</v>
      </c>
      <c r="Q64" s="33" t="n">
        <f aca="false">Q41</f>
        <v>1906224.0769152</v>
      </c>
      <c r="R64" s="33" t="n">
        <f aca="false">R41</f>
        <v>1898095.1895936</v>
      </c>
      <c r="S64" s="33" t="n">
        <f aca="false">S41</f>
        <v>1889966.302272</v>
      </c>
      <c r="T64" s="33" t="n">
        <f aca="false">T41</f>
        <v>1881837.4149504</v>
      </c>
      <c r="U64" s="33" t="n">
        <f aca="false">U41</f>
        <v>1873708.5276288</v>
      </c>
      <c r="V64" s="33" t="n">
        <f aca="false">V41</f>
        <v>1865579.6403072</v>
      </c>
      <c r="W64" s="33" t="n">
        <f aca="false">W41</f>
        <v>1857450.7529856</v>
      </c>
      <c r="X64" s="143"/>
    </row>
    <row r="65" customFormat="false" ht="18.75" hidden="false" customHeight="true" outlineLevel="0" collapsed="false">
      <c r="B65" s="34" t="s">
        <v>27</v>
      </c>
      <c r="C65" s="35" t="s">
        <v>26</v>
      </c>
      <c r="D65" s="144"/>
      <c r="E65" s="144"/>
      <c r="F65" s="144"/>
      <c r="G65" s="37" t="s">
        <v>26</v>
      </c>
      <c r="H65" s="37" t="s">
        <v>26</v>
      </c>
      <c r="I65" s="37" t="s">
        <v>26</v>
      </c>
      <c r="J65" s="37" t="s">
        <v>26</v>
      </c>
      <c r="K65" s="37" t="s">
        <v>26</v>
      </c>
      <c r="L65" s="37" t="s">
        <v>26</v>
      </c>
      <c r="M65" s="37" t="s">
        <v>26</v>
      </c>
      <c r="N65" s="37" t="s">
        <v>26</v>
      </c>
      <c r="O65" s="37" t="s">
        <v>26</v>
      </c>
      <c r="P65" s="37" t="s">
        <v>26</v>
      </c>
      <c r="Q65" s="37" t="s">
        <v>26</v>
      </c>
      <c r="R65" s="37" t="s">
        <v>26</v>
      </c>
      <c r="S65" s="37" t="s">
        <v>26</v>
      </c>
      <c r="T65" s="37" t="s">
        <v>26</v>
      </c>
      <c r="U65" s="37" t="s">
        <v>26</v>
      </c>
      <c r="V65" s="37" t="s">
        <v>26</v>
      </c>
      <c r="W65" s="37" t="s">
        <v>26</v>
      </c>
      <c r="X65" s="145"/>
    </row>
    <row r="66" customFormat="false" ht="18.75" hidden="false" customHeight="true" outlineLevel="0" collapsed="false">
      <c r="B66" s="38" t="s">
        <v>28</v>
      </c>
      <c r="C66" s="146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</row>
    <row r="67" customFormat="false" ht="18.75" hidden="false" customHeight="true" outlineLevel="0" collapsed="false">
      <c r="B67" s="41" t="s">
        <v>45</v>
      </c>
      <c r="C67" s="35"/>
      <c r="D67" s="61" t="n">
        <f aca="false">$C$44/$E$16</f>
        <v>-1031065</v>
      </c>
      <c r="E67" s="61" t="n">
        <f aca="false">$C$44/$E$16</f>
        <v>-1031065</v>
      </c>
      <c r="F67" s="61" t="n">
        <f aca="false">$C$44/$E$16</f>
        <v>-1031065</v>
      </c>
      <c r="G67" s="61" t="n">
        <f aca="false">$C$44/$E$16</f>
        <v>-1031065</v>
      </c>
      <c r="H67" s="61" t="n">
        <f aca="false">$C$44/$E$16</f>
        <v>-1031065</v>
      </c>
      <c r="I67" s="61" t="n">
        <f aca="false">$C$44/$E$16</f>
        <v>-1031065</v>
      </c>
      <c r="J67" s="61" t="n">
        <f aca="false">$C$44/$E$16</f>
        <v>-1031065</v>
      </c>
      <c r="K67" s="61" t="n">
        <f aca="false">$C$44/$E$16</f>
        <v>-1031065</v>
      </c>
      <c r="L67" s="61" t="n">
        <f aca="false">$C$44/$E$16</f>
        <v>-1031065</v>
      </c>
      <c r="M67" s="61" t="n">
        <f aca="false">$C$44/$E$16</f>
        <v>-1031065</v>
      </c>
      <c r="N67" s="61" t="n">
        <f aca="false">$C$44/$E$16</f>
        <v>-1031065</v>
      </c>
      <c r="O67" s="61" t="n">
        <f aca="false">$C$44/$E$16</f>
        <v>-1031065</v>
      </c>
      <c r="P67" s="61" t="n">
        <f aca="false">$C$44/$E$16</f>
        <v>-1031065</v>
      </c>
      <c r="Q67" s="61" t="n">
        <f aca="false">$C$44/$E$16</f>
        <v>-1031065</v>
      </c>
      <c r="R67" s="61" t="n">
        <f aca="false">$C$44/$E$16</f>
        <v>-1031065</v>
      </c>
      <c r="S67" s="61" t="n">
        <f aca="false">$C$44/$E$16</f>
        <v>-1031065</v>
      </c>
      <c r="T67" s="61" t="n">
        <f aca="false">$C$44/$E$16</f>
        <v>-1031065</v>
      </c>
      <c r="U67" s="61" t="n">
        <f aca="false">$C$44/$E$16</f>
        <v>-1031065</v>
      </c>
      <c r="V67" s="61" t="n">
        <f aca="false">$C$44/$E$16</f>
        <v>-1031065</v>
      </c>
      <c r="W67" s="61" t="n">
        <f aca="false">$C$44/$E$16</f>
        <v>-1031065</v>
      </c>
      <c r="X67" s="145"/>
    </row>
    <row r="68" customFormat="false" ht="18.75" hidden="false" customHeight="true" outlineLevel="0" collapsed="false">
      <c r="B68" s="41" t="s">
        <v>30</v>
      </c>
      <c r="C68" s="35" t="s">
        <v>26</v>
      </c>
      <c r="D68" s="149" t="n">
        <f aca="false">D45</f>
        <v>-290201</v>
      </c>
      <c r="E68" s="149" t="n">
        <f aca="false">E45</f>
        <v>-290201</v>
      </c>
      <c r="F68" s="149" t="n">
        <f aca="false">F45</f>
        <v>-290201</v>
      </c>
      <c r="G68" s="149" t="n">
        <f aca="false">G45</f>
        <v>-290201</v>
      </c>
      <c r="H68" s="149" t="n">
        <f aca="false">H45</f>
        <v>-290201</v>
      </c>
      <c r="I68" s="149" t="n">
        <f aca="false">I45</f>
        <v>-290201</v>
      </c>
      <c r="J68" s="149" t="n">
        <f aca="false">J45</f>
        <v>-290201</v>
      </c>
      <c r="K68" s="149" t="n">
        <f aca="false">K45</f>
        <v>-290201</v>
      </c>
      <c r="L68" s="149" t="n">
        <f aca="false">L45</f>
        <v>-290201</v>
      </c>
      <c r="M68" s="149" t="n">
        <f aca="false">M45</f>
        <v>-290201</v>
      </c>
      <c r="N68" s="149" t="n">
        <f aca="false">N45</f>
        <v>-290201</v>
      </c>
      <c r="O68" s="149" t="n">
        <f aca="false">O45</f>
        <v>-290201</v>
      </c>
      <c r="P68" s="149" t="n">
        <f aca="false">P45</f>
        <v>-290201</v>
      </c>
      <c r="Q68" s="149" t="n">
        <f aca="false">Q45</f>
        <v>-290201</v>
      </c>
      <c r="R68" s="149" t="n">
        <f aca="false">R45</f>
        <v>-290201</v>
      </c>
      <c r="S68" s="149" t="n">
        <f aca="false">S45</f>
        <v>-290201</v>
      </c>
      <c r="T68" s="149" t="n">
        <f aca="false">T45</f>
        <v>-290201</v>
      </c>
      <c r="U68" s="149" t="n">
        <f aca="false">U45</f>
        <v>-290201</v>
      </c>
      <c r="V68" s="149" t="n">
        <f aca="false">V45</f>
        <v>-290201</v>
      </c>
      <c r="W68" s="149" t="n">
        <f aca="false">W45</f>
        <v>-290201</v>
      </c>
      <c r="X68" s="145"/>
    </row>
    <row r="69" customFormat="false" ht="18.75" hidden="false" customHeight="true" outlineLevel="0" collapsed="false">
      <c r="B69" s="41" t="s">
        <v>31</v>
      </c>
      <c r="C69" s="3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customFormat="false" ht="18.75" hidden="false" customHeight="true" outlineLevel="0" collapsed="false">
      <c r="B70" s="41" t="s">
        <v>32</v>
      </c>
      <c r="C70" s="35" t="s">
        <v>26</v>
      </c>
      <c r="D70" s="149" t="n">
        <v>0</v>
      </c>
      <c r="E70" s="149" t="n">
        <v>0</v>
      </c>
      <c r="F70" s="149" t="n">
        <v>0</v>
      </c>
      <c r="G70" s="149" t="n">
        <v>0</v>
      </c>
      <c r="H70" s="149" t="n">
        <v>0</v>
      </c>
      <c r="I70" s="149" t="n">
        <v>0</v>
      </c>
      <c r="J70" s="149" t="n">
        <v>0</v>
      </c>
      <c r="K70" s="149" t="n">
        <v>0</v>
      </c>
      <c r="L70" s="149" t="n">
        <v>0</v>
      </c>
      <c r="M70" s="149" t="n">
        <v>0</v>
      </c>
      <c r="N70" s="149" t="n">
        <v>0</v>
      </c>
      <c r="O70" s="149" t="n">
        <v>0</v>
      </c>
      <c r="P70" s="149" t="n">
        <v>0</v>
      </c>
      <c r="Q70" s="149" t="n">
        <v>0</v>
      </c>
      <c r="R70" s="149" t="n">
        <v>0</v>
      </c>
      <c r="S70" s="149" t="n">
        <v>0</v>
      </c>
      <c r="T70" s="149" t="n">
        <v>0</v>
      </c>
      <c r="U70" s="149" t="n">
        <v>0</v>
      </c>
      <c r="V70" s="149" t="n">
        <v>0</v>
      </c>
      <c r="W70" s="149" t="n">
        <v>0</v>
      </c>
      <c r="X70" s="145"/>
    </row>
    <row r="71" customFormat="false" ht="18.75" hidden="false" customHeight="true" outlineLevel="0" collapsed="false">
      <c r="B71" s="41" t="s">
        <v>33</v>
      </c>
      <c r="C71" s="35" t="s">
        <v>26</v>
      </c>
      <c r="D71" s="149" t="n">
        <f aca="false">D48</f>
        <v>-174440</v>
      </c>
      <c r="E71" s="149" t="n">
        <f aca="false">E48</f>
        <v>-174440</v>
      </c>
      <c r="F71" s="149" t="n">
        <f aca="false">F48</f>
        <v>-174440</v>
      </c>
      <c r="G71" s="149" t="n">
        <f aca="false">G48</f>
        <v>-174440</v>
      </c>
      <c r="H71" s="149" t="n">
        <f aca="false">H48</f>
        <v>-174440</v>
      </c>
      <c r="I71" s="149" t="n">
        <f aca="false">I48</f>
        <v>-174440</v>
      </c>
      <c r="J71" s="149" t="n">
        <f aca="false">J48</f>
        <v>-174440</v>
      </c>
      <c r="K71" s="149" t="n">
        <f aca="false">K48</f>
        <v>-174440</v>
      </c>
      <c r="L71" s="149" t="n">
        <f aca="false">L48</f>
        <v>-174440</v>
      </c>
      <c r="M71" s="149" t="n">
        <f aca="false">M48</f>
        <v>-174440</v>
      </c>
      <c r="N71" s="149" t="n">
        <f aca="false">N48</f>
        <v>-174440</v>
      </c>
      <c r="O71" s="149" t="n">
        <f aca="false">O48</f>
        <v>-174440</v>
      </c>
      <c r="P71" s="149" t="n">
        <f aca="false">P48</f>
        <v>-174440</v>
      </c>
      <c r="Q71" s="149" t="n">
        <f aca="false">Q48</f>
        <v>-174440</v>
      </c>
      <c r="R71" s="149" t="n">
        <f aca="false">R48</f>
        <v>-174440</v>
      </c>
      <c r="S71" s="149" t="n">
        <f aca="false">S48</f>
        <v>-174440</v>
      </c>
      <c r="T71" s="149" t="n">
        <f aca="false">T48</f>
        <v>-174440</v>
      </c>
      <c r="U71" s="149" t="n">
        <f aca="false">U48</f>
        <v>-174440</v>
      </c>
      <c r="V71" s="149" t="n">
        <f aca="false">V48</f>
        <v>-174440</v>
      </c>
      <c r="W71" s="149" t="n">
        <f aca="false">W48</f>
        <v>-174440</v>
      </c>
      <c r="X71" s="145"/>
    </row>
    <row r="72" customFormat="false" ht="18.75" hidden="false" customHeight="true" outlineLevel="0" collapsed="false">
      <c r="B72" s="41" t="s">
        <v>34</v>
      </c>
      <c r="C72" s="35" t="s">
        <v>26</v>
      </c>
      <c r="D72" s="149" t="n">
        <f aca="false">D49</f>
        <v>-40557.3</v>
      </c>
      <c r="E72" s="149" t="n">
        <f aca="false">E49</f>
        <v>-40557.3</v>
      </c>
      <c r="F72" s="149" t="n">
        <f aca="false">F49</f>
        <v>-40557.3</v>
      </c>
      <c r="G72" s="149" t="n">
        <f aca="false">G49</f>
        <v>-40557.3</v>
      </c>
      <c r="H72" s="149" t="n">
        <f aca="false">H49</f>
        <v>-40557.3</v>
      </c>
      <c r="I72" s="149" t="n">
        <f aca="false">I49</f>
        <v>-40557.3</v>
      </c>
      <c r="J72" s="149" t="n">
        <f aca="false">J49</f>
        <v>-40557.3</v>
      </c>
      <c r="K72" s="149" t="n">
        <f aca="false">K49</f>
        <v>-40557.3</v>
      </c>
      <c r="L72" s="149" t="n">
        <f aca="false">L49</f>
        <v>-40557.3</v>
      </c>
      <c r="M72" s="149" t="n">
        <f aca="false">M49</f>
        <v>-40557.3</v>
      </c>
      <c r="N72" s="149" t="n">
        <f aca="false">N49</f>
        <v>-40557.3</v>
      </c>
      <c r="O72" s="149" t="n">
        <f aca="false">O49</f>
        <v>-40557.3</v>
      </c>
      <c r="P72" s="149" t="n">
        <f aca="false">P49</f>
        <v>-40557.3</v>
      </c>
      <c r="Q72" s="149" t="n">
        <f aca="false">Q49</f>
        <v>-40557.3</v>
      </c>
      <c r="R72" s="149" t="n">
        <f aca="false">R49</f>
        <v>-40557.3</v>
      </c>
      <c r="S72" s="149" t="n">
        <f aca="false">S49</f>
        <v>-40557.3</v>
      </c>
      <c r="T72" s="149" t="n">
        <f aca="false">T49</f>
        <v>-40557.3</v>
      </c>
      <c r="U72" s="149" t="n">
        <f aca="false">U49</f>
        <v>-40557.3</v>
      </c>
      <c r="V72" s="149" t="n">
        <f aca="false">V49</f>
        <v>-40557.3</v>
      </c>
      <c r="W72" s="149" t="n">
        <f aca="false">W49</f>
        <v>-40557.3</v>
      </c>
      <c r="X72" s="145"/>
    </row>
    <row r="73" customFormat="false" ht="18.75" hidden="false" customHeight="true" outlineLevel="0" collapsed="false">
      <c r="B73" s="41" t="s">
        <v>35</v>
      </c>
      <c r="C73" s="35"/>
      <c r="D73" s="149" t="n">
        <f aca="false">D50</f>
        <v>-43610</v>
      </c>
      <c r="E73" s="149" t="n">
        <f aca="false">E50</f>
        <v>-43610</v>
      </c>
      <c r="F73" s="149" t="n">
        <f aca="false">F50</f>
        <v>-43610</v>
      </c>
      <c r="G73" s="149" t="n">
        <f aca="false">G50</f>
        <v>-43610</v>
      </c>
      <c r="H73" s="149" t="n">
        <f aca="false">H50</f>
        <v>-43610</v>
      </c>
      <c r="I73" s="149" t="n">
        <f aca="false">I50</f>
        <v>-43610</v>
      </c>
      <c r="J73" s="149" t="n">
        <f aca="false">J50</f>
        <v>-43610</v>
      </c>
      <c r="K73" s="149" t="n">
        <f aca="false">K50</f>
        <v>-43610</v>
      </c>
      <c r="L73" s="149" t="n">
        <f aca="false">L50</f>
        <v>-43610</v>
      </c>
      <c r="M73" s="149" t="n">
        <f aca="false">M50</f>
        <v>-43610</v>
      </c>
      <c r="N73" s="149" t="n">
        <f aca="false">N50</f>
        <v>0</v>
      </c>
      <c r="O73" s="149" t="n">
        <f aca="false">O50</f>
        <v>0</v>
      </c>
      <c r="P73" s="149" t="n">
        <f aca="false">P50</f>
        <v>0</v>
      </c>
      <c r="Q73" s="149" t="n">
        <f aca="false">Q50</f>
        <v>0</v>
      </c>
      <c r="R73" s="149" t="n">
        <f aca="false">R50</f>
        <v>0</v>
      </c>
      <c r="S73" s="149" t="n">
        <f aca="false">S50</f>
        <v>0</v>
      </c>
      <c r="T73" s="149" t="n">
        <f aca="false">T50</f>
        <v>0</v>
      </c>
      <c r="U73" s="149" t="n">
        <f aca="false">U50</f>
        <v>0</v>
      </c>
      <c r="V73" s="149" t="n">
        <f aca="false">V50</f>
        <v>0</v>
      </c>
      <c r="W73" s="149" t="n">
        <f aca="false">W50</f>
        <v>0</v>
      </c>
      <c r="X73" s="145"/>
    </row>
    <row r="74" customFormat="false" ht="18.75" hidden="false" customHeight="true" outlineLevel="0" collapsed="false">
      <c r="B74" s="41" t="s">
        <v>36</v>
      </c>
      <c r="C74" s="44"/>
      <c r="D74" s="62"/>
      <c r="E74" s="6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customFormat="false" ht="18.75" hidden="false" customHeight="true" outlineLevel="0" collapsed="false">
      <c r="B75" s="41" t="s">
        <v>37</v>
      </c>
      <c r="C75" s="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customFormat="false" ht="18.75" hidden="false" customHeight="true" outlineLevel="0" collapsed="false">
      <c r="B76" s="46" t="s">
        <v>46</v>
      </c>
      <c r="C76" s="155"/>
      <c r="D76" s="48" t="n">
        <f aca="false">SUM(D64:D75)</f>
        <v>432026.312096</v>
      </c>
      <c r="E76" s="48" t="n">
        <f aca="false">SUM(E64:E75)</f>
        <v>423897.4247744</v>
      </c>
      <c r="F76" s="48" t="n">
        <f aca="false">SUM(F64:F75)</f>
        <v>415768.5374528</v>
      </c>
      <c r="G76" s="48" t="n">
        <f aca="false">SUM(G64:G75)</f>
        <v>407639.6501312</v>
      </c>
      <c r="H76" s="48" t="n">
        <f aca="false">SUM(H64:H75)</f>
        <v>399510.7628096</v>
      </c>
      <c r="I76" s="48" t="n">
        <f aca="false">SUM(I64:I75)</f>
        <v>391381.875488</v>
      </c>
      <c r="J76" s="48" t="n">
        <f aca="false">SUM(J64:J75)</f>
        <v>383252.9881664</v>
      </c>
      <c r="K76" s="48" t="n">
        <f aca="false">SUM(K64:K75)</f>
        <v>375124.1008448</v>
      </c>
      <c r="L76" s="48" t="n">
        <f aca="false">SUM(L64:L75)</f>
        <v>366995.2135232</v>
      </c>
      <c r="M76" s="48" t="n">
        <f aca="false">SUM(M64:M75)</f>
        <v>358866.3262016</v>
      </c>
      <c r="N76" s="48" t="n">
        <f aca="false">SUM(N64:N75)</f>
        <v>394347.43888</v>
      </c>
      <c r="O76" s="48" t="n">
        <f aca="false">SUM(O64:O75)</f>
        <v>386218.5515584</v>
      </c>
      <c r="P76" s="48" t="n">
        <f aca="false">SUM(P64:P75)</f>
        <v>378089.6642368</v>
      </c>
      <c r="Q76" s="48" t="n">
        <f aca="false">SUM(Q64:Q75)</f>
        <v>369960.7769152</v>
      </c>
      <c r="R76" s="48" t="n">
        <f aca="false">SUM(R64:R75)</f>
        <v>361831.8895936</v>
      </c>
      <c r="S76" s="48" t="n">
        <f aca="false">SUM(S64:S75)</f>
        <v>353703.002272</v>
      </c>
      <c r="T76" s="48" t="n">
        <f aca="false">SUM(T64:T75)</f>
        <v>345574.114950399</v>
      </c>
      <c r="U76" s="48" t="n">
        <f aca="false">SUM(U64:U75)</f>
        <v>337445.2276288</v>
      </c>
      <c r="V76" s="48" t="n">
        <f aca="false">SUM(V64:V75)</f>
        <v>329316.340307199</v>
      </c>
      <c r="W76" s="48" t="n">
        <f aca="false">SUM(W64:W75)</f>
        <v>321187.4529856</v>
      </c>
      <c r="X76" s="48" t="n">
        <f aca="false">SUM(X64:X75)</f>
        <v>0</v>
      </c>
    </row>
    <row r="77" customFormat="false" ht="18.75" hidden="false" customHeight="true" outlineLevel="0" collapsed="false">
      <c r="B77" s="45" t="s">
        <v>39</v>
      </c>
      <c r="C77" s="44"/>
      <c r="D77" s="149" t="n">
        <f aca="false">-D76*0.2</f>
        <v>-86405.2624191999</v>
      </c>
      <c r="E77" s="149" t="n">
        <f aca="false">-E76*0.2</f>
        <v>-84779.4849548799</v>
      </c>
      <c r="F77" s="149" t="n">
        <f aca="false">-F76*0.2</f>
        <v>-83153.70749056</v>
      </c>
      <c r="G77" s="149" t="n">
        <f aca="false">-G76*0.2</f>
        <v>-81527.93002624</v>
      </c>
      <c r="H77" s="149" t="n">
        <f aca="false">-H76*0.2</f>
        <v>-79902.1525619199</v>
      </c>
      <c r="I77" s="149" t="n">
        <f aca="false">-I76*0.2</f>
        <v>-78276.3750975999</v>
      </c>
      <c r="J77" s="149" t="n">
        <f aca="false">-J76*0.2</f>
        <v>-76650.59763328</v>
      </c>
      <c r="K77" s="149" t="n">
        <f aca="false">-K76*0.2</f>
        <v>-75024.8201689599</v>
      </c>
      <c r="L77" s="149" t="n">
        <f aca="false">-L76*0.2</f>
        <v>-73399.0427046399</v>
      </c>
      <c r="M77" s="149" t="n">
        <f aca="false">-M76*0.2</f>
        <v>-71773.2652403199</v>
      </c>
      <c r="N77" s="149" t="n">
        <f aca="false">-N76*0.2</f>
        <v>-78869.4877759999</v>
      </c>
      <c r="O77" s="149" t="n">
        <f aca="false">-O76*0.2</f>
        <v>-77243.7103116799</v>
      </c>
      <c r="P77" s="149" t="n">
        <f aca="false">-P76*0.2</f>
        <v>-75617.9328473599</v>
      </c>
      <c r="Q77" s="149" t="n">
        <f aca="false">-Q76*0.2</f>
        <v>-73992.1553830399</v>
      </c>
      <c r="R77" s="149" t="n">
        <f aca="false">-R76*0.2</f>
        <v>-72366.3779187199</v>
      </c>
      <c r="S77" s="149" t="n">
        <f aca="false">-S76*0.2</f>
        <v>-70740.6004543999</v>
      </c>
      <c r="T77" s="149" t="n">
        <f aca="false">-T76*0.2</f>
        <v>-69114.8229900799</v>
      </c>
      <c r="U77" s="149" t="n">
        <f aca="false">-U76*0.2</f>
        <v>-67489.0455257599</v>
      </c>
      <c r="V77" s="149" t="n">
        <f aca="false">-V76*0.2</f>
        <v>-65863.2680614399</v>
      </c>
      <c r="W77" s="149" t="n">
        <f aca="false">-W76*0.2</f>
        <v>-64237.4905971199</v>
      </c>
      <c r="X77" s="149" t="n">
        <f aca="false">-X76*0.2</f>
        <v>-0</v>
      </c>
    </row>
    <row r="78" customFormat="false" ht="15" hidden="false" customHeight="true" outlineLevel="0" collapsed="false">
      <c r="B78" s="65" t="s">
        <v>47</v>
      </c>
      <c r="D78" s="149" t="n">
        <f aca="false">SUM(D76:D77)</f>
        <v>345621.0496768</v>
      </c>
      <c r="E78" s="149" t="n">
        <f aca="false">SUM(E76:E77)</f>
        <v>339117.93981952</v>
      </c>
      <c r="F78" s="149" t="n">
        <f aca="false">SUM(F76:F77)</f>
        <v>332614.82996224</v>
      </c>
      <c r="G78" s="149" t="n">
        <f aca="false">SUM(G76:G77)</f>
        <v>326111.72010496</v>
      </c>
      <c r="H78" s="149" t="n">
        <f aca="false">SUM(H76:H77)</f>
        <v>319608.61024768</v>
      </c>
      <c r="I78" s="149" t="n">
        <f aca="false">SUM(I76:I77)</f>
        <v>313105.5003904</v>
      </c>
      <c r="J78" s="149" t="n">
        <f aca="false">SUM(J76:J77)</f>
        <v>306602.39053312</v>
      </c>
      <c r="K78" s="149" t="n">
        <f aca="false">SUM(K76:K77)</f>
        <v>300099.28067584</v>
      </c>
      <c r="L78" s="149" t="n">
        <f aca="false">SUM(L76:L77)</f>
        <v>293596.17081856</v>
      </c>
      <c r="M78" s="149" t="n">
        <f aca="false">SUM(M76:M77)</f>
        <v>287093.06096128</v>
      </c>
      <c r="N78" s="149" t="n">
        <f aca="false">SUM(N76:N77)</f>
        <v>315477.951104</v>
      </c>
      <c r="O78" s="149" t="n">
        <f aca="false">SUM(O76:O77)</f>
        <v>308974.84124672</v>
      </c>
      <c r="P78" s="149" t="n">
        <f aca="false">SUM(P76:P77)</f>
        <v>302471.73138944</v>
      </c>
      <c r="Q78" s="149" t="n">
        <f aca="false">SUM(Q76:Q77)</f>
        <v>295968.62153216</v>
      </c>
      <c r="R78" s="149" t="n">
        <f aca="false">SUM(R76:R77)</f>
        <v>289465.51167488</v>
      </c>
      <c r="S78" s="149" t="n">
        <f aca="false">SUM(S76:S77)</f>
        <v>282962.4018176</v>
      </c>
      <c r="T78" s="149" t="n">
        <f aca="false">SUM(T76:T77)</f>
        <v>276459.29196032</v>
      </c>
      <c r="U78" s="149" t="n">
        <f aca="false">SUM(U76:U77)</f>
        <v>269956.18210304</v>
      </c>
      <c r="V78" s="149" t="n">
        <f aca="false">SUM(V76:V77)</f>
        <v>263453.07224576</v>
      </c>
      <c r="W78" s="149" t="n">
        <f aca="false">SUM(W76:W77)</f>
        <v>256949.96238848</v>
      </c>
      <c r="X78" s="149" t="n">
        <f aca="false">SUM(X76:X77)</f>
        <v>0</v>
      </c>
    </row>
    <row r="79" customFormat="false" ht="18.75" hidden="false" customHeight="true" outlineLevel="0" collapsed="false">
      <c r="B79" s="49" t="s">
        <v>41</v>
      </c>
      <c r="C79" s="52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7"/>
    </row>
    <row r="80" customFormat="false" ht="18.75" hidden="false" customHeight="true" outlineLevel="0" collapsed="false">
      <c r="B80" s="68" t="s">
        <v>42</v>
      </c>
      <c r="C80" s="69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9"/>
    </row>
    <row r="81" customFormat="false" ht="18.75" hidden="false" customHeight="true" outlineLevel="0" collapsed="false">
      <c r="B81" s="58"/>
      <c r="C81" s="57"/>
      <c r="D81" s="57"/>
      <c r="E81" s="57"/>
      <c r="F81" s="58"/>
      <c r="G81" s="58"/>
      <c r="H81" s="58"/>
      <c r="I81" s="58"/>
      <c r="J81" s="58"/>
      <c r="K81" s="58"/>
      <c r="L81" s="58"/>
      <c r="M81" s="57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2026-04-08T10:48:44Z</dcterms:created>
  <dc:creator>openpyxl</dc:creator>
  <dc:description/>
  <dc:language>zh-TW</dc:language>
  <cp:lastModifiedBy/>
  <dcterms:modified xsi:type="dcterms:W3CDTF">2026-04-08T10:51:02Z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