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name="多站彙整" sheetId="1" state="visible" r:id="rId1"/>
    <sheet name="工作表1" sheetId="2" state="visible" r:id="rId2"/>
    <sheet name="滾算紀錄單(總紀錄)" sheetId="3" state="visible" r:id="rId3"/>
    <sheet name="滾算紀錄1" sheetId="4" state="visible" r:id="rId4"/>
    <sheet name="滾算紀錄2" sheetId="5" state="visible" r:id="rId5"/>
    <sheet name="滾算紀錄3" sheetId="6" state="visible" r:id="rId6"/>
    <sheet name="滾算紀錄4" sheetId="7" state="visible" r:id="rId7"/>
    <sheet name="滾算紀錄5" sheetId="8" state="visible" r:id="rId8"/>
    <sheet name="滾算紀錄6" sheetId="9" state="visible" r:id="rId9"/>
    <sheet name="滾算紀錄7" sheetId="10" state="visible" r:id="rId10"/>
    <sheet name="滾算紀錄8" sheetId="11" state="visible" r:id="rId11"/>
    <sheet name="滾算紀錄9" sheetId="12" state="visible" r:id="rId12"/>
    <sheet name="滾算紀錄10" sheetId="13" state="visible" r:id="rId13"/>
    <sheet name="滾算紀錄11" sheetId="14" state="visible" r:id="rId14"/>
    <sheet name="滾算紀錄12" sheetId="15" state="visible" r:id="rId15"/>
    <sheet name="滾算紀錄13" sheetId="16" state="visible" r:id="rId16"/>
    <sheet name="滾算紀錄14" sheetId="17" state="visible" r:id="rId17"/>
    <sheet name="滾算紀錄15" sheetId="18" state="visible" r:id="rId18"/>
    <sheet name="滾算紀錄16" sheetId="19" state="visible" r:id="rId19"/>
    <sheet name="表 105_滾算紀錄2" sheetId="20" state="visible" r:id="rId20"/>
    <sheet name="表 105_滾算紀錄3" sheetId="21" state="visible" r:id="rId21"/>
    <sheet name="表 105_滾算紀錄4" sheetId="22" state="visible" r:id="rId22"/>
    <sheet name="表 106_滾算紀錄2" sheetId="23" state="visible" r:id="rId23"/>
    <sheet name="表 106_滾算紀錄1" sheetId="24" state="visible" r:id="rId24"/>
    <sheet name="表 106_滾算紀錄3" sheetId="25" state="visible" r:id="rId25"/>
    <sheet name="表 106_滾算紀錄2_1" sheetId="26" state="visible" r:id="rId26"/>
    <sheet name="表 106_滾算紀錄3_1" sheetId="27" state="visible" r:id="rId27"/>
    <sheet name="表 106_滾算紀錄4" sheetId="28" state="visible" r:id="rId28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#,##0.000"/>
    <numFmt numFmtId="165" formatCode="#,##0.00%"/>
    <numFmt numFmtId="166" formatCode="0.00_);[Red]\(0.00\)"/>
    <numFmt numFmtId="167" formatCode="0_);[Red]\(0\)"/>
    <numFmt numFmtId="168" formatCode="&quot;$&quot;#,##0.00_);[Red]\(&quot;$&quot;#,##0.00\)"/>
    <numFmt numFmtId="169" formatCode="&quot;$&quot;#,##0_);[Red]\(&quot;$&quot;#,##0\)"/>
    <numFmt numFmtId="170" formatCode="0.00000%"/>
    <numFmt numFmtId="171" formatCode="_-&quot;$&quot;* #,##0_-;\-&quot;$&quot;* #,##0_-;_-&quot;$&quot;* &quot;-&quot;??_-;_-@_-"/>
    <numFmt numFmtId="172" formatCode="0.0000%"/>
    <numFmt numFmtId="173" formatCode="0.000%"/>
  </numFmts>
  <fonts count="37">
    <font>
      <name val="新細明體"/>
      <family val="2"/>
      <color theme="1"/>
      <sz val="11"/>
      <scheme val="minor"/>
    </font>
    <font>
      <name val="微軟正黑體"/>
      <charset val="136"/>
      <family val="2"/>
      <b val="1"/>
      <color theme="0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2"/>
      <sz val="9"/>
      <scheme val="minor"/>
    </font>
    <font>
      <name val="微軟正黑體"/>
      <charset val="136"/>
      <family val="2"/>
      <color theme="1"/>
      <sz val="12"/>
    </font>
    <font>
      <name val="Calibri"/>
      <charset val="136"/>
      <family val="2"/>
      <color theme="1"/>
      <sz val="12"/>
    </font>
    <font>
      <name val="Calibri"/>
      <family val="2"/>
      <color theme="1"/>
      <sz val="12"/>
    </font>
    <font>
      <name val="Calibri"/>
      <family val="2"/>
      <b val="1"/>
      <color theme="0"/>
      <sz val="12"/>
    </font>
    <font>
      <name val="微軟正黑體"/>
      <family val="2"/>
      <color rgb="FF000000"/>
      <sz val="12"/>
    </font>
    <font>
      <name val="新細明體"/>
      <family val="2"/>
      <color theme="1"/>
      <sz val="12"/>
    </font>
    <font>
      <name val="新細明體"/>
      <family val="2"/>
      <color rgb="FFFFFFFF"/>
      <sz val="12"/>
    </font>
    <font>
      <name val="Arial"/>
      <family val="2"/>
      <b val="1"/>
      <color theme="1"/>
      <sz val="14"/>
    </font>
    <font>
      <name val="微軟正黑體"/>
      <family val="2"/>
      <b val="1"/>
      <color theme="1"/>
      <sz val="14"/>
    </font>
    <font>
      <name val="微軟正黑體"/>
      <family val="2"/>
      <color theme="1"/>
      <sz val="12"/>
    </font>
    <font>
      <name val="Arial"/>
      <family val="2"/>
      <color theme="1"/>
      <sz val="12"/>
    </font>
    <font>
      <name val="Arial"/>
      <family val="2"/>
      <b val="1"/>
      <color rgb="FFFF0000"/>
      <sz val="12"/>
    </font>
    <font>
      <name val="Arial"/>
      <family val="2"/>
      <color rgb="FF000000"/>
      <sz val="12"/>
    </font>
    <font>
      <name val="細明體"/>
      <family val="2"/>
      <color rgb="FF000000"/>
      <sz val="12"/>
    </font>
    <font>
      <name val="Arial"/>
      <family val="2"/>
      <color rgb="FF000080"/>
      <sz val="12"/>
    </font>
    <font>
      <name val="新細明體"/>
      <family val="2"/>
      <color rgb="FF000000"/>
      <sz val="12"/>
    </font>
    <font>
      <name val="細明體"/>
      <family val="2"/>
      <b val="1"/>
      <color rgb="FF000000"/>
      <sz val="12"/>
    </font>
    <font>
      <name val="Arial"/>
      <family val="2"/>
      <b val="1"/>
      <color theme="1"/>
      <sz val="12"/>
    </font>
    <font>
      <name val="Arial"/>
      <family val="2"/>
      <b val="1"/>
      <color rgb="FF993366"/>
      <sz val="12"/>
    </font>
    <font>
      <name val="Arial"/>
      <family val="2"/>
      <b val="1"/>
      <color rgb="FF000000"/>
      <sz val="12"/>
    </font>
    <font>
      <name val="新細明體"/>
      <family val="2"/>
      <b val="1"/>
      <color theme="1"/>
      <sz val="12"/>
    </font>
    <font>
      <name val="細明體"/>
      <family val="2"/>
      <b val="1"/>
      <color theme="1"/>
      <sz val="12"/>
    </font>
    <font>
      <name val="新細明體"/>
      <family val="2"/>
      <color rgb="FF000000"/>
      <sz val="10"/>
    </font>
    <font>
      <name val="微軟正黑體"/>
      <family val="2"/>
      <b val="1"/>
      <color rgb="FFFFFFFF"/>
      <sz val="12"/>
    </font>
    <font>
      <name val="Calibri"/>
      <family val="2"/>
      <color rgb="FF000000"/>
      <sz val="12"/>
    </font>
    <font>
      <name val="Calibri"/>
      <family val="2"/>
      <b val="1"/>
      <color rgb="FFFFFFFF"/>
      <sz val="12"/>
    </font>
    <font>
      <name val="Calibri"/>
      <family val="2"/>
      <color theme="1"/>
      <sz val="11"/>
    </font>
    <font>
      <name val="Arial"/>
      <family val="2"/>
      <sz val="12"/>
    </font>
    <font>
      <name val="細明體"/>
      <charset val="136"/>
      <family val="3"/>
      <b val="1"/>
      <color rgb="FF000000"/>
      <sz val="12"/>
    </font>
    <font>
      <name val="新細明體"/>
      <charset val="136"/>
      <family val="1"/>
      <b val="1"/>
      <color theme="1"/>
      <sz val="12"/>
    </font>
    <font>
      <name val="新細明體"/>
      <charset val="136"/>
      <family val="1"/>
      <b val="1"/>
      <color theme="1"/>
      <sz val="11"/>
      <scheme val="minor"/>
    </font>
    <font>
      <name val="新細明體"/>
      <family val="2"/>
      <color theme="0" tint="-0.1499984740745262"/>
      <sz val="11"/>
      <scheme val="minor"/>
    </font>
    <font>
      <color rgb="00FFFFFF"/>
    </font>
  </fonts>
  <fills count="24">
    <fill>
      <patternFill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FFCC"/>
      </patternFill>
    </fill>
    <fill>
      <patternFill patternType="solid">
        <fgColor rgb="FF376092"/>
      </patternFill>
    </fill>
    <fill>
      <patternFill patternType="solid">
        <fgColor rgb="FFFFFF00"/>
      </patternFill>
    </fill>
    <fill>
      <patternFill patternType="solid">
        <fgColor rgb="FFFFCC00"/>
      </patternFill>
    </fill>
    <fill>
      <patternFill patternType="solid">
        <fgColor rgb="FF00CCFF"/>
      </patternFill>
    </fill>
    <fill>
      <patternFill patternType="solid">
        <fgColor rgb="FFFF0000"/>
      </patternFill>
    </fill>
    <fill>
      <patternFill patternType="solid">
        <fgColor rgb="FF2F75B5"/>
      </patternFill>
    </fill>
    <fill>
      <patternFill patternType="solid">
        <fgColor rgb="FFFFCCCC"/>
      </patternFill>
    </fill>
    <fill>
      <patternFill patternType="solid">
        <fgColor rgb="FF9BC2E6"/>
      </patternFill>
    </fill>
    <fill>
      <patternFill patternType="solid">
        <fgColor rgb="FF0070C0"/>
      </patternFill>
    </fill>
    <fill>
      <patternFill patternType="solid">
        <fgColor rgb="FFDCE6F2"/>
      </patternFill>
    </fill>
    <fill>
      <patternFill patternType="solid">
        <fgColor rgb="FFD99694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F2DCDB"/>
      </patternFill>
    </fill>
    <fill>
      <patternFill patternType="solid">
        <fgColor rgb="00FCD5B5"/>
      </patternFill>
    </fill>
    <fill>
      <patternFill patternType="solid">
        <fgColor rgb="00DCE6F1"/>
      </patternFill>
    </fill>
    <fill>
      <patternFill patternType="solid">
        <fgColor rgb="00F2F2F2"/>
      </patternFill>
    </fill>
    <fill>
      <patternFill patternType="solid">
        <fgColor rgb="00DAEEF3"/>
      </patternFill>
    </fill>
  </fills>
  <borders count="5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C6C6C6"/>
      </left>
      <right style="thin">
        <color rgb="FFC6C6C6"/>
      </right>
      <top style="medium">
        <color rgb="FF000000"/>
      </top>
      <bottom style="thin">
        <color rgb="FFC6C6C6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C6C6C6"/>
      </left>
      <right style="medium">
        <color rgb="FF000000"/>
      </right>
      <top style="thin">
        <color rgb="FFC6C6C6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thin">
        <color rgb="FFC6C6C6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/>
      <right style="thin">
        <color rgb="FFC6C6C6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1">
    <xf numFmtId="0" fontId="0" fillId="0" borderId="0" pivotButton="0" quotePrefix="0" xfId="0"/>
    <xf numFmtId="0" fontId="4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9" fontId="6" fillId="0" borderId="5" applyAlignment="1" pivotButton="0" quotePrefix="0" xfId="0">
      <alignment horizontal="left" vertical="center"/>
    </xf>
    <xf numFmtId="10" fontId="6" fillId="0" borderId="5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0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/>
    </xf>
    <xf numFmtId="10" fontId="6" fillId="0" borderId="5" applyAlignment="1" pivotButton="0" quotePrefix="0" xfId="0">
      <alignment vertical="center"/>
    </xf>
    <xf numFmtId="0" fontId="6" fillId="0" borderId="9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3" fontId="0" fillId="0" borderId="0" pivotButton="0" quotePrefix="0" xfId="0"/>
    <xf numFmtId="4" fontId="0" fillId="0" borderId="0" pivotButton="0" quotePrefix="0" xfId="0"/>
    <xf numFmtId="4" fontId="9" fillId="0" borderId="0" applyAlignment="1" pivotButton="0" quotePrefix="0" xfId="0">
      <alignment horizontal="left"/>
    </xf>
    <xf numFmtId="3" fontId="10" fillId="6" borderId="14" applyAlignment="1" pivotButton="0" quotePrefix="0" xfId="0">
      <alignment horizontal="center"/>
    </xf>
    <xf numFmtId="0" fontId="10" fillId="6" borderId="14" applyAlignment="1" pivotButton="0" quotePrefix="0" xfId="0">
      <alignment horizontal="center"/>
    </xf>
    <xf numFmtId="4" fontId="11" fillId="0" borderId="16" applyAlignment="1" pivotButton="0" quotePrefix="0" xfId="0">
      <alignment horizontal="right"/>
    </xf>
    <xf numFmtId="3" fontId="12" fillId="0" borderId="17" applyAlignment="1" pivotButton="0" quotePrefix="0" xfId="0">
      <alignment horizontal="left"/>
    </xf>
    <xf numFmtId="3" fontId="12" fillId="0" borderId="18" applyAlignment="1" pivotButton="0" quotePrefix="0" xfId="0">
      <alignment horizontal="left"/>
    </xf>
    <xf numFmtId="3" fontId="13" fillId="7" borderId="19" applyAlignment="1" pivotButton="0" quotePrefix="0" xfId="0">
      <alignment horizontal="left"/>
    </xf>
    <xf numFmtId="3" fontId="9" fillId="0" borderId="18" applyAlignment="1" pivotButton="0" quotePrefix="0" xfId="0">
      <alignment horizontal="left"/>
    </xf>
    <xf numFmtId="3" fontId="9" fillId="8" borderId="19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4" fontId="14" fillId="0" borderId="21" applyAlignment="1" pivotButton="0" quotePrefix="0" xfId="0">
      <alignment horizontal="right"/>
    </xf>
    <xf numFmtId="3" fontId="14" fillId="0" borderId="15" applyAlignment="1" pivotButton="0" quotePrefix="0" xfId="0">
      <alignment horizontal="center"/>
    </xf>
    <xf numFmtId="3" fontId="14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/>
    </xf>
    <xf numFmtId="0" fontId="14" fillId="0" borderId="22" applyAlignment="1" pivotButton="0" quotePrefix="0" xfId="0">
      <alignment horizontal="center"/>
    </xf>
    <xf numFmtId="4" fontId="16" fillId="0" borderId="23" applyAlignment="1" pivotButton="0" quotePrefix="0" xfId="0">
      <alignment horizontal="right"/>
    </xf>
    <xf numFmtId="3" fontId="14" fillId="5" borderId="24" applyAlignment="1" pivotButton="0" quotePrefix="0" xfId="0">
      <alignment horizontal="center"/>
    </xf>
    <xf numFmtId="4" fontId="16" fillId="9" borderId="25" applyAlignment="1" pivotButton="0" quotePrefix="0" xfId="0">
      <alignment horizontal="left"/>
    </xf>
    <xf numFmtId="3" fontId="14" fillId="0" borderId="17" applyAlignment="1" pivotButton="0" quotePrefix="0" xfId="0">
      <alignment horizontal="center"/>
    </xf>
    <xf numFmtId="3" fontId="14" fillId="0" borderId="18" applyAlignment="1" pivotButton="0" quotePrefix="0" xfId="0">
      <alignment horizontal="center"/>
    </xf>
    <xf numFmtId="3" fontId="14" fillId="0" borderId="20" applyAlignment="1" pivotButton="0" quotePrefix="0" xfId="0">
      <alignment horizontal="center"/>
    </xf>
    <xf numFmtId="4" fontId="16" fillId="9" borderId="26" applyAlignment="1" pivotButton="0" quotePrefix="0" xfId="0">
      <alignment horizontal="left"/>
    </xf>
    <xf numFmtId="3" fontId="14" fillId="0" borderId="22" applyAlignment="1" pivotButton="0" quotePrefix="0" xfId="0">
      <alignment horizontal="center"/>
    </xf>
    <xf numFmtId="4" fontId="16" fillId="9" borderId="27" applyAlignment="1" pivotButton="0" quotePrefix="0" xfId="0">
      <alignment horizontal="left"/>
    </xf>
    <xf numFmtId="3" fontId="14" fillId="0" borderId="28" applyAlignment="1" pivotButton="0" quotePrefix="0" xfId="0">
      <alignment horizontal="center"/>
    </xf>
    <xf numFmtId="3" fontId="14" fillId="0" borderId="29" applyAlignment="1" pivotButton="0" quotePrefix="0" xfId="0">
      <alignment horizontal="center"/>
    </xf>
    <xf numFmtId="3" fontId="14" fillId="0" borderId="30" applyAlignment="1" pivotButton="0" quotePrefix="0" xfId="0">
      <alignment horizontal="center"/>
    </xf>
    <xf numFmtId="4" fontId="16" fillId="10" borderId="26" applyAlignment="1" pivotButton="0" quotePrefix="0" xfId="0">
      <alignment horizontal="left"/>
    </xf>
    <xf numFmtId="3" fontId="14" fillId="7" borderId="14" applyAlignment="1" pivotButton="0" quotePrefix="0" xfId="0">
      <alignment horizontal="center"/>
    </xf>
    <xf numFmtId="3" fontId="9" fillId="0" borderId="15" applyAlignment="1" pivotButton="0" quotePrefix="0" xfId="0">
      <alignment horizontal="left"/>
    </xf>
    <xf numFmtId="3" fontId="9" fillId="0" borderId="31" applyAlignment="1" pivotButton="0" quotePrefix="0" xfId="0">
      <alignment horizontal="left"/>
    </xf>
    <xf numFmtId="3" fontId="9" fillId="0" borderId="0" applyAlignment="1" pivotButton="0" quotePrefix="0" xfId="0">
      <alignment horizontal="left"/>
    </xf>
    <xf numFmtId="4" fontId="17" fillId="10" borderId="26" applyAlignment="1" pivotButton="0" quotePrefix="0" xfId="0">
      <alignment horizontal="left"/>
    </xf>
    <xf numFmtId="3" fontId="9" fillId="0" borderId="0" applyAlignment="1" pivotButton="0" quotePrefix="0" xfId="0">
      <alignment horizontal="center"/>
    </xf>
    <xf numFmtId="4" fontId="16" fillId="10" borderId="26" applyAlignment="1" pivotButton="0" quotePrefix="0" xfId="0">
      <alignment horizontal="right"/>
    </xf>
    <xf numFmtId="0" fontId="9" fillId="0" borderId="22" applyAlignment="1" pivotButton="0" quotePrefix="0" xfId="0">
      <alignment horizontal="center"/>
    </xf>
    <xf numFmtId="4" fontId="17" fillId="0" borderId="16" applyAlignment="1" pivotButton="0" quotePrefix="0" xfId="0">
      <alignment horizontal="right"/>
    </xf>
    <xf numFmtId="3" fontId="18" fillId="0" borderId="18" applyAlignment="1" pivotButton="0" quotePrefix="0" xfId="0">
      <alignment horizontal="center"/>
    </xf>
    <xf numFmtId="3" fontId="18" fillId="0" borderId="32" applyAlignment="1" pivotButton="0" quotePrefix="0" xfId="0">
      <alignment horizontal="center"/>
    </xf>
    <xf numFmtId="3" fontId="18" fillId="0" borderId="20" applyAlignment="1" pivotButton="0" quotePrefix="0" xfId="0">
      <alignment horizontal="center"/>
    </xf>
    <xf numFmtId="0" fontId="19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4" fontId="20" fillId="0" borderId="23" applyAlignment="1" pivotButton="0" quotePrefix="0" xfId="0">
      <alignment horizontal="right"/>
    </xf>
    <xf numFmtId="3" fontId="21" fillId="0" borderId="28" applyAlignment="1" pivotButton="0" quotePrefix="0" xfId="0">
      <alignment horizontal="center"/>
    </xf>
    <xf numFmtId="3" fontId="21" fillId="0" borderId="29" applyAlignment="1" pivotButton="0" quotePrefix="0" xfId="0">
      <alignment horizontal="center"/>
    </xf>
    <xf numFmtId="3" fontId="21" fillId="0" borderId="30" applyAlignment="1" pivotButton="0" quotePrefix="0" xfId="0">
      <alignment horizontal="center"/>
    </xf>
    <xf numFmtId="4" fontId="16" fillId="0" borderId="21" applyAlignment="1" pivotButton="0" quotePrefix="0" xfId="0">
      <alignment horizontal="left"/>
    </xf>
    <xf numFmtId="3" fontId="22" fillId="0" borderId="15" applyAlignment="1" pivotButton="0" quotePrefix="0" xfId="0">
      <alignment horizontal="center"/>
    </xf>
    <xf numFmtId="3" fontId="22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3" fontId="16" fillId="0" borderId="22" applyAlignment="1" pivotButton="0" quotePrefix="0" xfId="0">
      <alignment horizontal="center"/>
    </xf>
    <xf numFmtId="3" fontId="9" fillId="0" borderId="15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4" fontId="23" fillId="0" borderId="3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3" fontId="24" fillId="0" borderId="34" applyAlignment="1" pivotButton="0" quotePrefix="0" xfId="0">
      <alignment horizontal="center"/>
    </xf>
    <xf numFmtId="3" fontId="24" fillId="0" borderId="35" applyAlignment="1" pivotButton="0" quotePrefix="0" xfId="0">
      <alignment horizontal="center"/>
    </xf>
    <xf numFmtId="4" fontId="21" fillId="0" borderId="21" applyAlignment="1" pivotButton="0" quotePrefix="0" xfId="0">
      <alignment horizontal="left"/>
    </xf>
    <xf numFmtId="3" fontId="24" fillId="0" borderId="15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4" fontId="21" fillId="0" borderId="0" applyAlignment="1" pivotButton="0" quotePrefix="0" xfId="0">
      <alignment horizontal="center"/>
    </xf>
    <xf numFmtId="4" fontId="21" fillId="0" borderId="22" applyAlignment="1" pivotButton="0" quotePrefix="0" xfId="0">
      <alignment horizontal="center"/>
    </xf>
    <xf numFmtId="4" fontId="25" fillId="0" borderId="23" applyAlignment="1" pivotButton="0" quotePrefix="0" xfId="0">
      <alignment horizontal="right"/>
    </xf>
    <xf numFmtId="3" fontId="24" fillId="0" borderId="28" applyAlignment="1" pivotButton="0" quotePrefix="0" xfId="0">
      <alignment horizontal="center"/>
    </xf>
    <xf numFmtId="3" fontId="21" fillId="0" borderId="36" applyAlignment="1" pivotButton="0" quotePrefix="0" xfId="0">
      <alignment horizontal="center"/>
    </xf>
    <xf numFmtId="4" fontId="21" fillId="0" borderId="37" applyAlignment="1" pivotButton="0" quotePrefix="0" xfId="0">
      <alignment horizontal="center"/>
    </xf>
    <xf numFmtId="164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3" fontId="9" fillId="0" borderId="0" applyAlignment="1" pivotButton="0" quotePrefix="0" xfId="0">
      <alignment horizontal="right"/>
    </xf>
    <xf numFmtId="3" fontId="10" fillId="11" borderId="14" applyAlignment="1" pivotButton="0" quotePrefix="0" xfId="0">
      <alignment horizontal="left"/>
    </xf>
    <xf numFmtId="3" fontId="10" fillId="11" borderId="14" applyAlignment="1" pivotButton="0" quotePrefix="0" xfId="0">
      <alignment horizontal="center"/>
    </xf>
    <xf numFmtId="0" fontId="16" fillId="0" borderId="0" applyAlignment="1" pivotButton="0" quotePrefix="0" xfId="0">
      <alignment horizontal="left"/>
    </xf>
    <xf numFmtId="4" fontId="8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4" fontId="8" fillId="0" borderId="0" applyAlignment="1" pivotButton="0" quotePrefix="0" xfId="0">
      <alignment horizontal="left"/>
    </xf>
    <xf numFmtId="3" fontId="8" fillId="0" borderId="0" applyAlignment="1" pivotButton="0" quotePrefix="0" xfId="0">
      <alignment horizontal="left"/>
    </xf>
    <xf numFmtId="3" fontId="8" fillId="12" borderId="14" applyAlignment="1" pivotButton="0" quotePrefix="0" xfId="0">
      <alignment horizontal="left"/>
    </xf>
    <xf numFmtId="3" fontId="8" fillId="0" borderId="34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3" fontId="8" fillId="0" borderId="0" applyAlignment="1" pivotButton="0" quotePrefix="0" xfId="0">
      <alignment horizontal="right"/>
    </xf>
    <xf numFmtId="4" fontId="8" fillId="0" borderId="38" applyAlignment="1" pivotButton="0" quotePrefix="0" xfId="0">
      <alignment horizontal="left"/>
    </xf>
    <xf numFmtId="3" fontId="8" fillId="0" borderId="38" applyAlignment="1" pivotButton="0" quotePrefix="0" xfId="0">
      <alignment horizontal="right"/>
    </xf>
    <xf numFmtId="3" fontId="8" fillId="0" borderId="38" applyAlignment="1" pivotButton="0" quotePrefix="0" xfId="0">
      <alignment horizontal="left"/>
    </xf>
    <xf numFmtId="3" fontId="8" fillId="13" borderId="14" applyAlignment="1" pivotButton="0" quotePrefix="0" xfId="0">
      <alignment horizontal="left"/>
    </xf>
    <xf numFmtId="4" fontId="8" fillId="0" borderId="39" applyAlignment="1" pivotButton="0" quotePrefix="0" xfId="0">
      <alignment horizontal="left"/>
    </xf>
    <xf numFmtId="3" fontId="8" fillId="0" borderId="39" applyAlignment="1" pivotButton="0" quotePrefix="0" xfId="0">
      <alignment horizontal="right"/>
    </xf>
    <xf numFmtId="3" fontId="8" fillId="0" borderId="3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4" fontId="8" fillId="0" borderId="34" applyAlignment="1" pivotButton="0" quotePrefix="0" xfId="0">
      <alignment horizontal="left"/>
    </xf>
    <xf numFmtId="3" fontId="8" fillId="0" borderId="34" applyAlignment="1" pivotButton="0" quotePrefix="0" xfId="0">
      <alignment horizontal="right"/>
    </xf>
    <xf numFmtId="3" fontId="8" fillId="5" borderId="40" applyAlignment="1" pivotButton="0" quotePrefix="0" xfId="0">
      <alignment horizontal="left"/>
    </xf>
    <xf numFmtId="3" fontId="8" fillId="7" borderId="14" applyAlignment="1" pivotButton="0" quotePrefix="0" xfId="0">
      <alignment horizontal="left"/>
    </xf>
    <xf numFmtId="165" fontId="8" fillId="0" borderId="0" applyAlignment="1" pivotButton="0" quotePrefix="0" xfId="0">
      <alignment horizontal="right"/>
    </xf>
    <xf numFmtId="4" fontId="26" fillId="0" borderId="0" applyAlignment="1" pivotButton="0" quotePrefix="0" xfId="0">
      <alignment horizontal="left"/>
    </xf>
    <xf numFmtId="0" fontId="6" fillId="0" borderId="11" applyAlignment="1" pivotButton="0" quotePrefix="0" xfId="0">
      <alignment horizontal="left" vertical="center"/>
    </xf>
    <xf numFmtId="0" fontId="6" fillId="0" borderId="4" applyAlignment="1" pivotButton="0" quotePrefix="0" xfId="0">
      <alignment horizontal="left" vertical="center"/>
    </xf>
    <xf numFmtId="0" fontId="6" fillId="0" borderId="11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12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6" fillId="3" borderId="7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0" fontId="1" fillId="2" borderId="4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7" fillId="2" borderId="41" applyAlignment="1" pivotButton="0" quotePrefix="0" xfId="0">
      <alignment horizontal="center" vertical="center"/>
    </xf>
    <xf numFmtId="0" fontId="6" fillId="3" borderId="1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11" pivotButton="0" quotePrefix="0" xfId="0"/>
    <xf numFmtId="0" fontId="6" fillId="4" borderId="41" applyAlignment="1" pivotButton="0" quotePrefix="0" xfId="0">
      <alignment horizontal="center" vertical="center"/>
    </xf>
    <xf numFmtId="0" fontId="0" fillId="0" borderId="4" pivotButton="0" quotePrefix="0" xfId="0"/>
    <xf numFmtId="164" fontId="9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0" fontId="0" fillId="0" borderId="0" pivotButton="0" quotePrefix="0" xfId="0"/>
    <xf numFmtId="166" fontId="27" fillId="14" borderId="44" applyAlignment="1" pivotButton="0" quotePrefix="0" xfId="0">
      <alignment horizontal="center"/>
    </xf>
    <xf numFmtId="0" fontId="0" fillId="0" borderId="36" pivotButton="0" quotePrefix="0" xfId="0"/>
    <xf numFmtId="0" fontId="0" fillId="0" borderId="45" pivotButton="0" quotePrefix="0" xfId="0"/>
    <xf numFmtId="166" fontId="8" fillId="0" borderId="46" applyAlignment="1" pivotButton="0" quotePrefix="0" xfId="0">
      <alignment horizontal="left"/>
    </xf>
    <xf numFmtId="166" fontId="28" fillId="0" borderId="46" applyAlignment="1" pivotButton="0" quotePrefix="0" xfId="0">
      <alignment horizontal="left"/>
    </xf>
    <xf numFmtId="166" fontId="28" fillId="0" borderId="46" applyAlignment="1" pivotButton="0" quotePrefix="0" xfId="0">
      <alignment horizontal="center"/>
    </xf>
    <xf numFmtId="166" fontId="8" fillId="0" borderId="13" applyAlignment="1" pivotButton="0" quotePrefix="0" xfId="0">
      <alignment horizontal="left"/>
    </xf>
    <xf numFmtId="166" fontId="28" fillId="0" borderId="13" applyAlignment="1" pivotButton="0" quotePrefix="0" xfId="0">
      <alignment horizontal="left"/>
    </xf>
    <xf numFmtId="166" fontId="28" fillId="0" borderId="13" applyAlignment="1" pivotButton="0" quotePrefix="0" xfId="0">
      <alignment horizontal="center"/>
    </xf>
    <xf numFmtId="166" fontId="28" fillId="0" borderId="0" applyAlignment="1" pivotButton="0" quotePrefix="0" xfId="0">
      <alignment horizontal="left"/>
    </xf>
    <xf numFmtId="166" fontId="29" fillId="14" borderId="44" applyAlignment="1" pivotButton="0" quotePrefix="0" xfId="0">
      <alignment horizontal="center"/>
    </xf>
    <xf numFmtId="166" fontId="28" fillId="15" borderId="47" applyAlignment="1" pivotButton="0" quotePrefix="0" xfId="0">
      <alignment horizontal="center"/>
    </xf>
    <xf numFmtId="0" fontId="0" fillId="0" borderId="48" pivotButton="0" quotePrefix="0" xfId="0"/>
    <xf numFmtId="0" fontId="0" fillId="0" borderId="49" pivotButton="0" quotePrefix="0" xfId="0"/>
    <xf numFmtId="166" fontId="28" fillId="0" borderId="50" applyAlignment="1" pivotButton="0" quotePrefix="0" xfId="0">
      <alignment horizontal="left"/>
    </xf>
    <xf numFmtId="166" fontId="28" fillId="0" borderId="51" applyAlignment="1" pivotButton="0" quotePrefix="0" xfId="0">
      <alignment horizontal="left"/>
    </xf>
    <xf numFmtId="166" fontId="8" fillId="0" borderId="52" applyAlignment="1" pivotButton="0" quotePrefix="0" xfId="0">
      <alignment horizontal="left"/>
    </xf>
    <xf numFmtId="166" fontId="28" fillId="0" borderId="15" applyAlignment="1" pivotButton="0" quotePrefix="0" xfId="0">
      <alignment horizontal="left" vertical="top"/>
    </xf>
    <xf numFmtId="0" fontId="0" fillId="0" borderId="15" pivotButton="0" quotePrefix="0" xfId="0"/>
    <xf numFmtId="166" fontId="28" fillId="0" borderId="53" applyAlignment="1" pivotButton="0" quotePrefix="0" xfId="0">
      <alignment horizontal="left"/>
    </xf>
    <xf numFmtId="166" fontId="28" fillId="16" borderId="44" applyAlignment="1" pivotButton="0" quotePrefix="0" xfId="0">
      <alignment horizontal="center"/>
    </xf>
    <xf numFmtId="166" fontId="28" fillId="0" borderId="52" applyAlignment="1" pivotButton="0" quotePrefix="0" xfId="0">
      <alignment horizontal="left"/>
    </xf>
    <xf numFmtId="166" fontId="28" fillId="0" borderId="46" applyAlignment="1" pivotButton="0" quotePrefix="0" xfId="0">
      <alignment horizontal="left" vertical="top"/>
    </xf>
    <xf numFmtId="166" fontId="28" fillId="0" borderId="46" applyAlignment="1" pivotButton="0" quotePrefix="0" xfId="0">
      <alignment horizontal="center" vertical="top"/>
    </xf>
    <xf numFmtId="0" fontId="0" fillId="0" borderId="46" pivotButton="0" quotePrefix="0" xfId="0"/>
    <xf numFmtId="166" fontId="28" fillId="0" borderId="13" applyAlignment="1" pivotButton="0" quotePrefix="0" xfId="0">
      <alignment horizontal="left" vertical="top"/>
    </xf>
    <xf numFmtId="166" fontId="8" fillId="0" borderId="13" applyAlignment="1" pivotButton="0" quotePrefix="0" xfId="0">
      <alignment horizontal="left" wrapText="1"/>
    </xf>
    <xf numFmtId="166" fontId="30" fillId="0" borderId="0" applyAlignment="1" pivotButton="0" quotePrefix="0" xfId="0">
      <alignment horizontal="left"/>
    </xf>
    <xf numFmtId="166" fontId="28" fillId="0" borderId="13" applyAlignment="1" pivotButton="0" quotePrefix="0" xfId="0">
      <alignment horizontal="right"/>
    </xf>
    <xf numFmtId="166" fontId="11" fillId="0" borderId="16" applyAlignment="1" pivotButton="0" quotePrefix="0" xfId="0">
      <alignment horizontal="right"/>
    </xf>
    <xf numFmtId="166" fontId="12" fillId="0" borderId="17" applyAlignment="1" pivotButton="0" quotePrefix="0" xfId="0">
      <alignment horizontal="left"/>
    </xf>
    <xf numFmtId="166" fontId="12" fillId="0" borderId="18" applyAlignment="1" pivotButton="0" quotePrefix="0" xfId="0">
      <alignment horizontal="left"/>
    </xf>
    <xf numFmtId="166" fontId="13" fillId="0" borderId="19" applyAlignment="1" pivotButton="0" quotePrefix="0" xfId="0">
      <alignment horizontal="left"/>
    </xf>
    <xf numFmtId="166" fontId="9" fillId="0" borderId="18" applyAlignment="1" pivotButton="0" quotePrefix="0" xfId="0">
      <alignment horizontal="left"/>
    </xf>
    <xf numFmtId="166" fontId="9" fillId="0" borderId="19" applyAlignment="1" pivotButton="0" quotePrefix="0" xfId="0">
      <alignment horizontal="center"/>
    </xf>
    <xf numFmtId="166" fontId="9" fillId="0" borderId="20" applyAlignment="1" pivotButton="0" quotePrefix="0" xfId="0">
      <alignment horizontal="left"/>
    </xf>
    <xf numFmtId="0" fontId="14" fillId="0" borderId="21" applyAlignment="1" pivotButton="0" quotePrefix="0" xfId="0">
      <alignment horizontal="right"/>
    </xf>
    <xf numFmtId="0" fontId="14" fillId="0" borderId="1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1" fillId="0" borderId="0" applyAlignment="1" pivotButton="0" quotePrefix="0" xfId="0">
      <alignment horizontal="center"/>
    </xf>
    <xf numFmtId="166" fontId="16" fillId="0" borderId="23" applyAlignment="1" pivotButton="0" quotePrefix="0" xfId="0">
      <alignment horizontal="right"/>
    </xf>
    <xf numFmtId="166" fontId="14" fillId="0" borderId="15" applyAlignment="1" pivotButton="0" quotePrefix="0" xfId="0">
      <alignment horizontal="center"/>
    </xf>
    <xf numFmtId="167" fontId="14" fillId="0" borderId="0" applyAlignment="1" pivotButton="0" quotePrefix="0" xfId="0">
      <alignment horizontal="center"/>
    </xf>
    <xf numFmtId="166" fontId="14" fillId="5" borderId="24" applyAlignment="1" pivotButton="0" quotePrefix="0" xfId="0">
      <alignment horizontal="center"/>
    </xf>
    <xf numFmtId="168" fontId="16" fillId="9" borderId="25" applyAlignment="1" pivotButton="0" quotePrefix="0" xfId="0">
      <alignment horizontal="left"/>
    </xf>
    <xf numFmtId="168" fontId="14" fillId="0" borderId="17" applyAlignment="1" pivotButton="0" quotePrefix="0" xfId="0">
      <alignment horizontal="center"/>
    </xf>
    <xf numFmtId="169" fontId="14" fillId="0" borderId="18" applyAlignment="1" pivotButton="0" quotePrefix="0" xfId="0">
      <alignment horizontal="center"/>
    </xf>
    <xf numFmtId="168" fontId="14" fillId="0" borderId="20" applyAlignment="1" pivotButton="0" quotePrefix="0" xfId="0">
      <alignment horizontal="center"/>
    </xf>
    <xf numFmtId="168" fontId="16" fillId="9" borderId="26" applyAlignment="1" pivotButton="0" quotePrefix="0" xfId="0">
      <alignment horizontal="left"/>
    </xf>
    <xf numFmtId="168" fontId="14" fillId="0" borderId="15" applyAlignment="1" pivotButton="0" quotePrefix="0" xfId="0">
      <alignment horizontal="center"/>
    </xf>
    <xf numFmtId="168" fontId="14" fillId="0" borderId="0" applyAlignment="1" pivotButton="0" quotePrefix="0" xfId="0">
      <alignment horizontal="center"/>
    </xf>
    <xf numFmtId="168" fontId="14" fillId="0" borderId="22" applyAlignment="1" pivotButton="0" quotePrefix="0" xfId="0">
      <alignment horizontal="center"/>
    </xf>
    <xf numFmtId="168" fontId="16" fillId="9" borderId="27" applyAlignment="1" pivotButton="0" quotePrefix="0" xfId="0">
      <alignment horizontal="left"/>
    </xf>
    <xf numFmtId="168" fontId="14" fillId="0" borderId="28" applyAlignment="1" pivotButton="0" quotePrefix="0" xfId="0">
      <alignment horizontal="center"/>
    </xf>
    <xf numFmtId="168" fontId="14" fillId="0" borderId="29" applyAlignment="1" pivotButton="0" quotePrefix="0" xfId="0">
      <alignment horizontal="center"/>
    </xf>
    <xf numFmtId="168" fontId="14" fillId="0" borderId="30" applyAlignment="1" pivotButton="0" quotePrefix="0" xfId="0">
      <alignment horizontal="center"/>
    </xf>
    <xf numFmtId="168" fontId="16" fillId="10" borderId="26" applyAlignment="1" pivotButton="0" quotePrefix="0" xfId="0">
      <alignment horizontal="left"/>
    </xf>
    <xf numFmtId="169" fontId="14" fillId="0" borderId="15" applyAlignment="1" pivotButton="0" quotePrefix="0" xfId="0">
      <alignment horizontal="center"/>
    </xf>
    <xf numFmtId="169" fontId="14" fillId="0" borderId="0" applyAlignment="1" pivotButton="0" quotePrefix="0" xfId="0">
      <alignment horizontal="center"/>
    </xf>
    <xf numFmtId="168" fontId="9" fillId="0" borderId="15" applyAlignment="1" pivotButton="0" quotePrefix="0" xfId="0">
      <alignment horizontal="left"/>
    </xf>
    <xf numFmtId="168" fontId="17" fillId="10" borderId="26" applyAlignment="1" pivotButton="0" quotePrefix="0" xfId="0">
      <alignment horizontal="left"/>
    </xf>
    <xf numFmtId="168" fontId="32" fillId="0" borderId="16" applyAlignment="1" pivotButton="0" quotePrefix="0" xfId="0">
      <alignment horizontal="right"/>
    </xf>
    <xf numFmtId="169" fontId="21" fillId="0" borderId="28" applyAlignment="1" pivotButton="0" quotePrefix="0" xfId="0">
      <alignment horizontal="center"/>
    </xf>
    <xf numFmtId="169" fontId="18" fillId="0" borderId="32" applyAlignment="1" pivotButton="0" quotePrefix="0" xfId="0">
      <alignment horizontal="center"/>
    </xf>
    <xf numFmtId="168" fontId="18" fillId="0" borderId="32" applyAlignment="1" pivotButton="0" quotePrefix="0" xfId="0">
      <alignment horizontal="center"/>
    </xf>
    <xf numFmtId="168" fontId="19" fillId="0" borderId="0" applyAlignment="1" pivotButton="0" quotePrefix="0" xfId="0">
      <alignment horizontal="left"/>
    </xf>
    <xf numFmtId="168" fontId="19" fillId="0" borderId="0" applyAlignment="1" pivotButton="0" quotePrefix="0" xfId="0">
      <alignment horizontal="right"/>
    </xf>
    <xf numFmtId="168" fontId="20" fillId="0" borderId="23" applyAlignment="1" pivotButton="0" quotePrefix="0" xfId="0">
      <alignment horizontal="right"/>
    </xf>
    <xf numFmtId="169" fontId="21" fillId="0" borderId="29" applyAlignment="1" pivotButton="0" quotePrefix="0" xfId="0">
      <alignment horizontal="center"/>
    </xf>
    <xf numFmtId="168" fontId="25" fillId="0" borderId="23" applyAlignment="1" pivotButton="0" quotePrefix="0" xfId="0">
      <alignment horizontal="right"/>
    </xf>
    <xf numFmtId="168" fontId="24" fillId="0" borderId="28" applyAlignment="1" pivotButton="0" quotePrefix="0" xfId="0">
      <alignment horizontal="center"/>
    </xf>
    <xf numFmtId="169" fontId="21" fillId="0" borderId="36" applyAlignment="1" pivotButton="0" quotePrefix="0" xfId="0">
      <alignment horizontal="center"/>
    </xf>
    <xf numFmtId="168" fontId="21" fillId="0" borderId="36" applyAlignment="1" pivotButton="0" quotePrefix="0" xfId="0">
      <alignment horizontal="center"/>
    </xf>
    <xf numFmtId="166" fontId="33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6" fontId="9" fillId="0" borderId="0" applyAlignment="1" pivotButton="0" quotePrefix="0" xfId="0">
      <alignment horizontal="right"/>
    </xf>
    <xf numFmtId="166" fontId="9" fillId="0" borderId="0" applyAlignment="1" pivotButton="0" quotePrefix="0" xfId="0">
      <alignment horizontal="left"/>
    </xf>
    <xf numFmtId="166" fontId="19" fillId="0" borderId="0" applyAlignment="1" pivotButton="0" quotePrefix="0" xfId="0">
      <alignment horizontal="left"/>
    </xf>
    <xf numFmtId="166" fontId="9" fillId="8" borderId="19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169" fontId="14" fillId="7" borderId="14" applyAlignment="1" pivotButton="0" quotePrefix="0" xfId="0">
      <alignment horizontal="center"/>
    </xf>
    <xf numFmtId="168" fontId="9" fillId="0" borderId="31" applyAlignment="1" pivotButton="0" quotePrefix="0" xfId="0">
      <alignment horizontal="left"/>
    </xf>
    <xf numFmtId="168" fontId="9" fillId="0" borderId="0" applyAlignment="1" pivotButton="0" quotePrefix="0" xfId="0">
      <alignment horizontal="left"/>
    </xf>
    <xf numFmtId="168" fontId="18" fillId="0" borderId="18" applyAlignment="1" pivotButton="0" quotePrefix="0" xfId="0">
      <alignment horizontal="center"/>
    </xf>
    <xf numFmtId="168" fontId="34" fillId="0" borderId="0" applyAlignment="1" pivotButton="0" quotePrefix="0" xfId="0">
      <alignment horizontal="right"/>
    </xf>
    <xf numFmtId="168" fontId="21" fillId="0" borderId="28" applyAlignment="1" pivotButton="0" quotePrefix="0" xfId="0">
      <alignment horizontal="center"/>
    </xf>
    <xf numFmtId="168" fontId="21" fillId="0" borderId="29" applyAlignment="1" pivotButton="0" quotePrefix="0" xfId="0">
      <alignment horizontal="center"/>
    </xf>
    <xf numFmtId="168" fontId="21" fillId="0" borderId="30" applyAlignment="1" pivotButton="0" quotePrefix="0" xfId="0">
      <alignment horizontal="center"/>
    </xf>
    <xf numFmtId="166" fontId="25" fillId="0" borderId="23" applyAlignment="1" pivotButton="0" quotePrefix="0" xfId="0">
      <alignment horizontal="right"/>
    </xf>
    <xf numFmtId="166" fontId="24" fillId="0" borderId="28" applyAlignment="1" pivotButton="0" quotePrefix="0" xfId="0">
      <alignment horizontal="center"/>
    </xf>
    <xf numFmtId="166" fontId="21" fillId="0" borderId="36" applyAlignment="1" pivotButton="0" quotePrefix="0" xfId="0">
      <alignment horizontal="center"/>
    </xf>
    <xf numFmtId="166" fontId="21" fillId="0" borderId="37" applyAlignment="1" pivotButton="0" quotePrefix="0" xfId="0">
      <alignment horizontal="center"/>
    </xf>
    <xf numFmtId="0" fontId="10" fillId="11" borderId="14" applyAlignment="1" pivotButton="0" quotePrefix="0" xfId="0">
      <alignment horizontal="left"/>
    </xf>
    <xf numFmtId="0" fontId="10" fillId="11" borderId="14" applyAlignment="1" pivotButton="0" quotePrefix="0" xfId="0">
      <alignment horizontal="center"/>
    </xf>
    <xf numFmtId="166" fontId="1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168" fontId="8" fillId="0" borderId="0" applyAlignment="1" pivotButton="0" quotePrefix="0" xfId="0">
      <alignment horizontal="left"/>
    </xf>
    <xf numFmtId="169" fontId="8" fillId="0" borderId="0" applyAlignment="1" pivotButton="0" quotePrefix="0" xfId="0">
      <alignment horizontal="center"/>
    </xf>
    <xf numFmtId="169" fontId="8" fillId="12" borderId="14" applyAlignment="1" pivotButton="0" quotePrefix="0" xfId="0">
      <alignment horizontal="center"/>
    </xf>
    <xf numFmtId="169" fontId="8" fillId="0" borderId="14" applyAlignment="1" pivotButton="0" quotePrefix="0" xfId="0">
      <alignment horizontal="center"/>
    </xf>
    <xf numFmtId="169" fontId="8" fillId="0" borderId="34" applyAlignment="1" pivotButton="0" quotePrefix="0" xfId="0">
      <alignment horizontal="center"/>
    </xf>
    <xf numFmtId="168" fontId="16" fillId="0" borderId="0" applyAlignment="1" pivotButton="0" quotePrefix="0" xfId="0">
      <alignment horizontal="right"/>
    </xf>
    <xf numFmtId="168" fontId="8" fillId="0" borderId="0" applyAlignment="1" pivotButton="0" quotePrefix="0" xfId="0">
      <alignment horizontal="right"/>
    </xf>
    <xf numFmtId="168" fontId="16" fillId="0" borderId="0" applyAlignment="1" pivotButton="0" quotePrefix="0" xfId="0">
      <alignment horizontal="left"/>
    </xf>
    <xf numFmtId="168" fontId="8" fillId="0" borderId="38" applyAlignment="1" pivotButton="0" quotePrefix="0" xfId="0">
      <alignment horizontal="left"/>
    </xf>
    <xf numFmtId="168" fontId="8" fillId="0" borderId="38" applyAlignment="1" pivotButton="0" quotePrefix="0" xfId="0">
      <alignment horizontal="right"/>
    </xf>
    <xf numFmtId="169" fontId="8" fillId="0" borderId="38" applyAlignment="1" pivotButton="0" quotePrefix="0" xfId="0">
      <alignment horizontal="center"/>
    </xf>
    <xf numFmtId="168" fontId="16" fillId="0" borderId="0" applyAlignment="1" pivotButton="0" quotePrefix="0" xfId="0">
      <alignment horizontal="center"/>
    </xf>
    <xf numFmtId="169" fontId="8" fillId="0" borderId="0" applyAlignment="1" pivotButton="0" quotePrefix="0" xfId="0">
      <alignment horizontal="left"/>
    </xf>
    <xf numFmtId="171" fontId="8" fillId="13" borderId="14" applyAlignment="1" pivotButton="0" quotePrefix="0" xfId="0">
      <alignment horizontal="center"/>
    </xf>
    <xf numFmtId="168" fontId="8" fillId="0" borderId="39" applyAlignment="1" pivotButton="0" quotePrefix="0" xfId="0">
      <alignment horizontal="left"/>
    </xf>
    <xf numFmtId="168" fontId="8" fillId="0" borderId="39" applyAlignment="1" pivotButton="0" quotePrefix="0" xfId="0">
      <alignment horizontal="right"/>
    </xf>
    <xf numFmtId="171" fontId="8" fillId="0" borderId="39" applyAlignment="1" pivotButton="0" quotePrefix="0" xfId="0">
      <alignment horizontal="right"/>
    </xf>
    <xf numFmtId="171" fontId="16" fillId="0" borderId="0" applyAlignment="1" pivotButton="0" quotePrefix="0" xfId="0">
      <alignment horizontal="center"/>
    </xf>
    <xf numFmtId="168" fontId="8" fillId="0" borderId="34" applyAlignment="1" pivotButton="0" quotePrefix="0" xfId="0">
      <alignment horizontal="left"/>
    </xf>
    <xf numFmtId="168" fontId="8" fillId="0" borderId="34" applyAlignment="1" pivotButton="0" quotePrefix="0" xfId="0">
      <alignment horizontal="right"/>
    </xf>
    <xf numFmtId="169" fontId="8" fillId="5" borderId="40" applyAlignment="1" pivotButton="0" quotePrefix="0" xfId="0">
      <alignment horizontal="center"/>
    </xf>
    <xf numFmtId="172" fontId="8" fillId="7" borderId="14" applyAlignment="1" pivotButton="0" quotePrefix="0" xfId="0">
      <alignment horizontal="left"/>
    </xf>
    <xf numFmtId="173" fontId="8" fillId="7" borderId="14" applyAlignment="1" pivotButton="0" quotePrefix="0" xfId="0">
      <alignment horizontal="left"/>
    </xf>
    <xf numFmtId="166" fontId="26" fillId="0" borderId="0" applyAlignment="1" pivotButton="0" quotePrefix="0" xfId="0">
      <alignment horizontal="left"/>
    </xf>
    <xf numFmtId="166" fontId="19" fillId="0" borderId="0" applyAlignment="1" pivotButton="0" quotePrefix="0" xfId="0">
      <alignment horizontal="right"/>
    </xf>
    <xf numFmtId="0" fontId="36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166" fontId="35" fillId="0" borderId="0" pivotButton="0" quotePrefix="0" xfId="0"/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22"/>
  <sheetViews>
    <sheetView workbookViewId="0">
      <selection activeCell="A1" sqref="A1"/>
    </sheetView>
  </sheetViews>
  <sheetFormatPr baseColWidth="8" defaultRowHeight="15"/>
  <cols>
    <col width="33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/>
    <row r="2"/>
    <row r="3"/>
    <row r="4">
      <c r="C4" s="273" t="inlineStr">
        <is>
          <t>年份</t>
        </is>
      </c>
      <c r="D4" s="273" t="n">
        <v>2023</v>
      </c>
      <c r="E4" s="273" t="n">
        <v>2024</v>
      </c>
      <c r="F4" s="273" t="n">
        <v>2025</v>
      </c>
      <c r="G4" s="273" t="n">
        <v>2026</v>
      </c>
      <c r="H4" s="273" t="n">
        <v>2027</v>
      </c>
      <c r="I4" s="273" t="n">
        <v>2028</v>
      </c>
      <c r="J4" s="273" t="n">
        <v>2029</v>
      </c>
      <c r="K4" s="273" t="n">
        <v>2030</v>
      </c>
      <c r="L4" s="273" t="n">
        <v>2031</v>
      </c>
      <c r="M4" s="273" t="n">
        <v>2032</v>
      </c>
      <c r="N4" s="273" t="n">
        <v>2033</v>
      </c>
      <c r="O4" s="273" t="n">
        <v>2034</v>
      </c>
      <c r="P4" s="273" t="n">
        <v>2035</v>
      </c>
      <c r="Q4" s="273" t="n">
        <v>2036</v>
      </c>
      <c r="R4" s="273" t="n">
        <v>2037</v>
      </c>
      <c r="S4" s="273" t="n">
        <v>2038</v>
      </c>
      <c r="T4" s="273" t="n">
        <v>2039</v>
      </c>
      <c r="U4" s="273" t="n">
        <v>2040</v>
      </c>
      <c r="V4" s="273" t="n">
        <v>2041</v>
      </c>
      <c r="W4" s="273" t="n">
        <v>2042</v>
      </c>
    </row>
    <row r="5">
      <c r="C5" t="inlineStr">
        <is>
          <t>預估發電度數</t>
        </is>
      </c>
    </row>
    <row r="6">
      <c r="B6" t="inlineStr">
        <is>
          <t>表 106</t>
        </is>
      </c>
      <c r="D6">
        <f>ABS('表 106_滾算紀錄2_1'!D40)</f>
        <v/>
      </c>
      <c r="E6">
        <f>ABS('表 106_滾算紀錄2_1'!E40)</f>
        <v/>
      </c>
      <c r="F6">
        <f>ABS('表 106_滾算紀錄2_1'!F40)</f>
        <v/>
      </c>
      <c r="G6">
        <f>ABS('表 106_滾算紀錄2_1'!G40)</f>
        <v/>
      </c>
      <c r="H6">
        <f>ABS('表 106_滾算紀錄2_1'!H40)</f>
        <v/>
      </c>
      <c r="I6">
        <f>ABS('表 106_滾算紀錄2_1'!I40)</f>
        <v/>
      </c>
      <c r="J6">
        <f>ABS('表 106_滾算紀錄2_1'!J40)</f>
        <v/>
      </c>
      <c r="K6">
        <f>ABS('表 106_滾算紀錄2_1'!K40)</f>
        <v/>
      </c>
      <c r="L6">
        <f>ABS('表 106_滾算紀錄2_1'!L40)</f>
        <v/>
      </c>
      <c r="M6">
        <f>ABS('表 106_滾算紀錄2_1'!M40)</f>
        <v/>
      </c>
      <c r="N6">
        <f>ABS('表 106_滾算紀錄2_1'!N40)</f>
        <v/>
      </c>
      <c r="O6">
        <f>ABS('表 106_滾算紀錄2_1'!O40)</f>
        <v/>
      </c>
      <c r="P6">
        <f>ABS('表 106_滾算紀錄2_1'!P40)</f>
        <v/>
      </c>
      <c r="Q6">
        <f>ABS('表 106_滾算紀錄2_1'!Q40)</f>
        <v/>
      </c>
      <c r="R6">
        <f>ABS('表 106_滾算紀錄2_1'!R40)</f>
        <v/>
      </c>
      <c r="S6">
        <f>ABS('表 106_滾算紀錄2_1'!S40)</f>
        <v/>
      </c>
      <c r="T6">
        <f>ABS('表 106_滾算紀錄2_1'!T40)</f>
        <v/>
      </c>
      <c r="U6">
        <f>ABS('表 106_滾算紀錄2_1'!U40)</f>
        <v/>
      </c>
      <c r="V6">
        <f>ABS('表 106_滾算紀錄2_1'!V40)</f>
        <v/>
      </c>
      <c r="W6">
        <f>ABS('表 106_滾算紀錄2_1'!W40)</f>
        <v/>
      </c>
    </row>
    <row r="7">
      <c r="B7" t="inlineStr">
        <is>
          <t>表 106</t>
        </is>
      </c>
      <c r="D7">
        <f>ABS('表 106_滾算紀錄3_1'!D40)</f>
        <v/>
      </c>
      <c r="E7">
        <f>ABS('表 106_滾算紀錄3_1'!E40)</f>
        <v/>
      </c>
      <c r="F7">
        <f>ABS('表 106_滾算紀錄3_1'!F40)</f>
        <v/>
      </c>
      <c r="G7">
        <f>ABS('表 106_滾算紀錄3_1'!G40)</f>
        <v/>
      </c>
      <c r="H7">
        <f>ABS('表 106_滾算紀錄3_1'!H40)</f>
        <v/>
      </c>
      <c r="I7">
        <f>ABS('表 106_滾算紀錄3_1'!I40)</f>
        <v/>
      </c>
      <c r="J7">
        <f>ABS('表 106_滾算紀錄3_1'!J40)</f>
        <v/>
      </c>
      <c r="K7">
        <f>ABS('表 106_滾算紀錄3_1'!K40)</f>
        <v/>
      </c>
      <c r="L7">
        <f>ABS('表 106_滾算紀錄3_1'!L40)</f>
        <v/>
      </c>
      <c r="M7">
        <f>ABS('表 106_滾算紀錄3_1'!M40)</f>
        <v/>
      </c>
      <c r="N7">
        <f>ABS('表 106_滾算紀錄3_1'!N40)</f>
        <v/>
      </c>
      <c r="O7">
        <f>ABS('表 106_滾算紀錄3_1'!O40)</f>
        <v/>
      </c>
      <c r="P7">
        <f>ABS('表 106_滾算紀錄3_1'!P40)</f>
        <v/>
      </c>
      <c r="Q7">
        <f>ABS('表 106_滾算紀錄3_1'!Q40)</f>
        <v/>
      </c>
      <c r="R7">
        <f>ABS('表 106_滾算紀錄3_1'!R40)</f>
        <v/>
      </c>
      <c r="S7">
        <f>ABS('表 106_滾算紀錄3_1'!S40)</f>
        <v/>
      </c>
      <c r="T7">
        <f>ABS('表 106_滾算紀錄3_1'!T40)</f>
        <v/>
      </c>
      <c r="U7">
        <f>ABS('表 106_滾算紀錄3_1'!U40)</f>
        <v/>
      </c>
      <c r="V7">
        <f>ABS('表 106_滾算紀錄3_1'!V40)</f>
        <v/>
      </c>
      <c r="W7">
        <f>ABS('表 106_滾算紀錄3_1'!W40)</f>
        <v/>
      </c>
    </row>
    <row r="8">
      <c r="B8" t="inlineStr">
        <is>
          <t>表 106</t>
        </is>
      </c>
      <c r="D8">
        <f>ABS('表 106_滾算紀錄4'!D40)</f>
        <v/>
      </c>
      <c r="E8">
        <f>ABS('表 106_滾算紀錄4'!E40)</f>
        <v/>
      </c>
      <c r="F8">
        <f>ABS('表 106_滾算紀錄4'!F40)</f>
        <v/>
      </c>
      <c r="G8">
        <f>ABS('表 106_滾算紀錄4'!G40)</f>
        <v/>
      </c>
      <c r="H8">
        <f>ABS('表 106_滾算紀錄4'!H40)</f>
        <v/>
      </c>
      <c r="I8">
        <f>ABS('表 106_滾算紀錄4'!I40)</f>
        <v/>
      </c>
      <c r="J8">
        <f>ABS('表 106_滾算紀錄4'!J40)</f>
        <v/>
      </c>
      <c r="K8">
        <f>ABS('表 106_滾算紀錄4'!K40)</f>
        <v/>
      </c>
      <c r="L8">
        <f>ABS('表 106_滾算紀錄4'!L40)</f>
        <v/>
      </c>
      <c r="M8">
        <f>ABS('表 106_滾算紀錄4'!M40)</f>
        <v/>
      </c>
      <c r="N8">
        <f>ABS('表 106_滾算紀錄4'!N40)</f>
        <v/>
      </c>
      <c r="O8">
        <f>ABS('表 106_滾算紀錄4'!O40)</f>
        <v/>
      </c>
      <c r="P8">
        <f>ABS('表 106_滾算紀錄4'!P40)</f>
        <v/>
      </c>
      <c r="Q8">
        <f>ABS('表 106_滾算紀錄4'!Q40)</f>
        <v/>
      </c>
      <c r="R8">
        <f>ABS('表 106_滾算紀錄4'!R40)</f>
        <v/>
      </c>
      <c r="S8">
        <f>ABS('表 106_滾算紀錄4'!S40)</f>
        <v/>
      </c>
      <c r="T8">
        <f>ABS('表 106_滾算紀錄4'!T40)</f>
        <v/>
      </c>
      <c r="U8">
        <f>ABS('表 106_滾算紀錄4'!U40)</f>
        <v/>
      </c>
      <c r="V8">
        <f>ABS('表 106_滾算紀錄4'!V40)</f>
        <v/>
      </c>
      <c r="W8">
        <f>ABS('表 106_滾算紀錄4'!W40)</f>
        <v/>
      </c>
    </row>
    <row r="9">
      <c r="C9" s="274" t="inlineStr">
        <is>
          <t>預估發電度數/年總計</t>
        </is>
      </c>
      <c r="D9" s="274">
        <f>SUM(D6:D8)</f>
        <v/>
      </c>
      <c r="E9" s="274">
        <f>SUM(E6:E8)</f>
        <v/>
      </c>
      <c r="F9" s="274">
        <f>SUM(F6:F8)</f>
        <v/>
      </c>
      <c r="G9" s="274">
        <f>SUM(G6:G8)</f>
        <v/>
      </c>
      <c r="H9" s="274">
        <f>SUM(H6:H8)</f>
        <v/>
      </c>
      <c r="I9" s="274">
        <f>SUM(I6:I8)</f>
        <v/>
      </c>
      <c r="J9" s="274">
        <f>SUM(J6:J8)</f>
        <v/>
      </c>
      <c r="K9" s="274">
        <f>SUM(K6:K8)</f>
        <v/>
      </c>
      <c r="L9" s="274">
        <f>SUM(L6:L8)</f>
        <v/>
      </c>
      <c r="M9" s="274">
        <f>SUM(M6:M8)</f>
        <v/>
      </c>
      <c r="N9" s="274">
        <f>SUM(N6:N8)</f>
        <v/>
      </c>
      <c r="O9" s="274">
        <f>SUM(O6:O8)</f>
        <v/>
      </c>
      <c r="P9" s="274">
        <f>SUM(P6:P8)</f>
        <v/>
      </c>
      <c r="Q9" s="274">
        <f>SUM(Q6:Q8)</f>
        <v/>
      </c>
      <c r="R9" s="274">
        <f>SUM(R6:R8)</f>
        <v/>
      </c>
      <c r="S9" s="274">
        <f>SUM(S6:S8)</f>
        <v/>
      </c>
      <c r="T9" s="274">
        <f>SUM(T6:T8)</f>
        <v/>
      </c>
      <c r="U9" s="274">
        <f>SUM(U6:U8)</f>
        <v/>
      </c>
      <c r="V9" s="274">
        <f>SUM(V6:V8)</f>
        <v/>
      </c>
      <c r="W9" s="274">
        <f>SUM(W6:W8)</f>
        <v/>
      </c>
    </row>
    <row r="10">
      <c r="C10" s="273" t="inlineStr">
        <is>
          <t>預估收入</t>
        </is>
      </c>
      <c r="D10" s="273" t="n">
        <v>2023</v>
      </c>
      <c r="E10" s="273" t="n">
        <v>2024</v>
      </c>
      <c r="F10" s="273" t="n">
        <v>2025</v>
      </c>
      <c r="G10" s="273" t="n">
        <v>2026</v>
      </c>
      <c r="H10" s="273" t="n">
        <v>2027</v>
      </c>
      <c r="I10" s="273" t="n">
        <v>2028</v>
      </c>
      <c r="J10" s="273" t="n">
        <v>2029</v>
      </c>
      <c r="K10" s="273" t="n">
        <v>2030</v>
      </c>
      <c r="L10" s="273" t="n">
        <v>2031</v>
      </c>
      <c r="M10" s="273" t="n">
        <v>2032</v>
      </c>
      <c r="N10" s="273" t="n">
        <v>2033</v>
      </c>
      <c r="O10" s="273" t="n">
        <v>2034</v>
      </c>
      <c r="P10" s="273" t="n">
        <v>2035</v>
      </c>
      <c r="Q10" s="273" t="n">
        <v>2036</v>
      </c>
      <c r="R10" s="273" t="n">
        <v>2037</v>
      </c>
      <c r="S10" s="273" t="n">
        <v>2038</v>
      </c>
      <c r="T10" s="273" t="n">
        <v>2039</v>
      </c>
      <c r="U10" s="273" t="n">
        <v>2040</v>
      </c>
      <c r="V10" s="273" t="n">
        <v>2041</v>
      </c>
      <c r="W10" s="273" t="n">
        <v>2042</v>
      </c>
    </row>
    <row r="11">
      <c r="B11" t="inlineStr">
        <is>
          <t>表 106</t>
        </is>
      </c>
      <c r="D11">
        <f>ABS('表 106_滾算紀錄2_1'!D41)</f>
        <v/>
      </c>
      <c r="E11">
        <f>ABS('表 106_滾算紀錄2_1'!E41)</f>
        <v/>
      </c>
      <c r="F11">
        <f>ABS('表 106_滾算紀錄2_1'!F41)</f>
        <v/>
      </c>
      <c r="G11">
        <f>ABS('表 106_滾算紀錄2_1'!G41)</f>
        <v/>
      </c>
      <c r="H11">
        <f>ABS('表 106_滾算紀錄2_1'!H41)</f>
        <v/>
      </c>
      <c r="I11">
        <f>ABS('表 106_滾算紀錄2_1'!I41)</f>
        <v/>
      </c>
      <c r="J11">
        <f>ABS('表 106_滾算紀錄2_1'!J41)</f>
        <v/>
      </c>
      <c r="K11">
        <f>ABS('表 106_滾算紀錄2_1'!K41)</f>
        <v/>
      </c>
      <c r="L11">
        <f>ABS('表 106_滾算紀錄2_1'!L41)</f>
        <v/>
      </c>
      <c r="M11">
        <f>ABS('表 106_滾算紀錄2_1'!M41)</f>
        <v/>
      </c>
      <c r="N11">
        <f>ABS('表 106_滾算紀錄2_1'!N41)</f>
        <v/>
      </c>
      <c r="O11">
        <f>ABS('表 106_滾算紀錄2_1'!O41)</f>
        <v/>
      </c>
      <c r="P11">
        <f>ABS('表 106_滾算紀錄2_1'!P41)</f>
        <v/>
      </c>
      <c r="Q11">
        <f>ABS('表 106_滾算紀錄2_1'!Q41)</f>
        <v/>
      </c>
      <c r="R11">
        <f>ABS('表 106_滾算紀錄2_1'!R41)</f>
        <v/>
      </c>
      <c r="S11">
        <f>ABS('表 106_滾算紀錄2_1'!S41)</f>
        <v/>
      </c>
      <c r="T11">
        <f>ABS('表 106_滾算紀錄2_1'!T41)</f>
        <v/>
      </c>
      <c r="U11">
        <f>ABS('表 106_滾算紀錄2_1'!U41)</f>
        <v/>
      </c>
      <c r="V11">
        <f>ABS('表 106_滾算紀錄2_1'!V41)</f>
        <v/>
      </c>
      <c r="W11">
        <f>ABS('表 106_滾算紀錄2_1'!W41)</f>
        <v/>
      </c>
    </row>
    <row r="12">
      <c r="B12" t="inlineStr">
        <is>
          <t>表 106</t>
        </is>
      </c>
      <c r="D12">
        <f>ABS('表 106_滾算紀錄3_1'!D41)</f>
        <v/>
      </c>
      <c r="E12">
        <f>ABS('表 106_滾算紀錄3_1'!E41)</f>
        <v/>
      </c>
      <c r="F12">
        <f>ABS('表 106_滾算紀錄3_1'!F41)</f>
        <v/>
      </c>
      <c r="G12">
        <f>ABS('表 106_滾算紀錄3_1'!G41)</f>
        <v/>
      </c>
      <c r="H12">
        <f>ABS('表 106_滾算紀錄3_1'!H41)</f>
        <v/>
      </c>
      <c r="I12">
        <f>ABS('表 106_滾算紀錄3_1'!I41)</f>
        <v/>
      </c>
      <c r="J12">
        <f>ABS('表 106_滾算紀錄3_1'!J41)</f>
        <v/>
      </c>
      <c r="K12">
        <f>ABS('表 106_滾算紀錄3_1'!K41)</f>
        <v/>
      </c>
      <c r="L12">
        <f>ABS('表 106_滾算紀錄3_1'!L41)</f>
        <v/>
      </c>
      <c r="M12">
        <f>ABS('表 106_滾算紀錄3_1'!M41)</f>
        <v/>
      </c>
      <c r="N12">
        <f>ABS('表 106_滾算紀錄3_1'!N41)</f>
        <v/>
      </c>
      <c r="O12">
        <f>ABS('表 106_滾算紀錄3_1'!O41)</f>
        <v/>
      </c>
      <c r="P12">
        <f>ABS('表 106_滾算紀錄3_1'!P41)</f>
        <v/>
      </c>
      <c r="Q12">
        <f>ABS('表 106_滾算紀錄3_1'!Q41)</f>
        <v/>
      </c>
      <c r="R12">
        <f>ABS('表 106_滾算紀錄3_1'!R41)</f>
        <v/>
      </c>
      <c r="S12">
        <f>ABS('表 106_滾算紀錄3_1'!S41)</f>
        <v/>
      </c>
      <c r="T12">
        <f>ABS('表 106_滾算紀錄3_1'!T41)</f>
        <v/>
      </c>
      <c r="U12">
        <f>ABS('表 106_滾算紀錄3_1'!U41)</f>
        <v/>
      </c>
      <c r="V12">
        <f>ABS('表 106_滾算紀錄3_1'!V41)</f>
        <v/>
      </c>
      <c r="W12">
        <f>ABS('表 106_滾算紀錄3_1'!W41)</f>
        <v/>
      </c>
    </row>
    <row r="13">
      <c r="B13" t="inlineStr">
        <is>
          <t>表 106</t>
        </is>
      </c>
      <c r="D13">
        <f>ABS('表 106_滾算紀錄4'!D41)</f>
        <v/>
      </c>
      <c r="E13">
        <f>ABS('表 106_滾算紀錄4'!E41)</f>
        <v/>
      </c>
      <c r="F13">
        <f>ABS('表 106_滾算紀錄4'!F41)</f>
        <v/>
      </c>
      <c r="G13">
        <f>ABS('表 106_滾算紀錄4'!G41)</f>
        <v/>
      </c>
      <c r="H13">
        <f>ABS('表 106_滾算紀錄4'!H41)</f>
        <v/>
      </c>
      <c r="I13">
        <f>ABS('表 106_滾算紀錄4'!I41)</f>
        <v/>
      </c>
      <c r="J13">
        <f>ABS('表 106_滾算紀錄4'!J41)</f>
        <v/>
      </c>
      <c r="K13">
        <f>ABS('表 106_滾算紀錄4'!K41)</f>
        <v/>
      </c>
      <c r="L13">
        <f>ABS('表 106_滾算紀錄4'!L41)</f>
        <v/>
      </c>
      <c r="M13">
        <f>ABS('表 106_滾算紀錄4'!M41)</f>
        <v/>
      </c>
      <c r="N13">
        <f>ABS('表 106_滾算紀錄4'!N41)</f>
        <v/>
      </c>
      <c r="O13">
        <f>ABS('表 106_滾算紀錄4'!O41)</f>
        <v/>
      </c>
      <c r="P13">
        <f>ABS('表 106_滾算紀錄4'!P41)</f>
        <v/>
      </c>
      <c r="Q13">
        <f>ABS('表 106_滾算紀錄4'!Q41)</f>
        <v/>
      </c>
      <c r="R13">
        <f>ABS('表 106_滾算紀錄4'!R41)</f>
        <v/>
      </c>
      <c r="S13">
        <f>ABS('表 106_滾算紀錄4'!S41)</f>
        <v/>
      </c>
      <c r="T13">
        <f>ABS('表 106_滾算紀錄4'!T41)</f>
        <v/>
      </c>
      <c r="U13">
        <f>ABS('表 106_滾算紀錄4'!U41)</f>
        <v/>
      </c>
      <c r="V13">
        <f>ABS('表 106_滾算紀錄4'!V41)</f>
        <v/>
      </c>
      <c r="W13">
        <f>ABS('表 106_滾算紀錄4'!W41)</f>
        <v/>
      </c>
    </row>
    <row r="14">
      <c r="C14" s="275" t="inlineStr">
        <is>
          <t>預估收入/年總計</t>
        </is>
      </c>
      <c r="D14" s="275">
        <f>SUM(D11:D13)</f>
        <v/>
      </c>
      <c r="E14" s="275">
        <f>SUM(E11:E13)</f>
        <v/>
      </c>
      <c r="F14" s="275">
        <f>SUM(F11:F13)</f>
        <v/>
      </c>
      <c r="G14" s="275">
        <f>SUM(G11:G13)</f>
        <v/>
      </c>
      <c r="H14" s="275">
        <f>SUM(H11:H13)</f>
        <v/>
      </c>
      <c r="I14" s="275">
        <f>SUM(I11:I13)</f>
        <v/>
      </c>
      <c r="J14" s="275">
        <f>SUM(J11:J13)</f>
        <v/>
      </c>
      <c r="K14" s="275">
        <f>SUM(K11:K13)</f>
        <v/>
      </c>
      <c r="L14" s="275">
        <f>SUM(L11:L13)</f>
        <v/>
      </c>
      <c r="M14" s="275">
        <f>SUM(M11:M13)</f>
        <v/>
      </c>
      <c r="N14" s="275">
        <f>SUM(N11:N13)</f>
        <v/>
      </c>
      <c r="O14" s="275">
        <f>SUM(O11:O13)</f>
        <v/>
      </c>
      <c r="P14" s="275">
        <f>SUM(P11:P13)</f>
        <v/>
      </c>
      <c r="Q14" s="275">
        <f>SUM(Q11:Q13)</f>
        <v/>
      </c>
      <c r="R14" s="275">
        <f>SUM(R11:R13)</f>
        <v/>
      </c>
      <c r="S14" s="275">
        <f>SUM(S11:S13)</f>
        <v/>
      </c>
      <c r="T14" s="275">
        <f>SUM(T11:T13)</f>
        <v/>
      </c>
      <c r="U14" s="275">
        <f>SUM(U11:U13)</f>
        <v/>
      </c>
      <c r="V14" s="275">
        <f>SUM(V11:V13)</f>
        <v/>
      </c>
      <c r="W14" s="275">
        <f>SUM(W11:W13)</f>
        <v/>
      </c>
    </row>
    <row r="15">
      <c r="C15" s="273" t="inlineStr">
        <is>
          <t>租金</t>
        </is>
      </c>
      <c r="D15" s="273" t="n">
        <v>2023</v>
      </c>
      <c r="E15" s="273" t="n">
        <v>2024</v>
      </c>
      <c r="F15" s="273" t="n">
        <v>2025</v>
      </c>
      <c r="G15" s="273" t="n">
        <v>2026</v>
      </c>
      <c r="H15" s="273" t="n">
        <v>2027</v>
      </c>
      <c r="I15" s="273" t="n">
        <v>2028</v>
      </c>
      <c r="J15" s="273" t="n">
        <v>2029</v>
      </c>
      <c r="K15" s="273" t="n">
        <v>2030</v>
      </c>
      <c r="L15" s="273" t="n">
        <v>2031</v>
      </c>
      <c r="M15" s="273" t="n">
        <v>2032</v>
      </c>
      <c r="N15" s="273" t="n">
        <v>2033</v>
      </c>
      <c r="O15" s="273" t="n">
        <v>2034</v>
      </c>
      <c r="P15" s="273" t="n">
        <v>2035</v>
      </c>
      <c r="Q15" s="273" t="n">
        <v>2036</v>
      </c>
      <c r="R15" s="273" t="n">
        <v>2037</v>
      </c>
      <c r="S15" s="273" t="n">
        <v>2038</v>
      </c>
      <c r="T15" s="273" t="n">
        <v>2039</v>
      </c>
      <c r="U15" s="273" t="n">
        <v>2040</v>
      </c>
      <c r="V15" s="273" t="n">
        <v>2041</v>
      </c>
      <c r="W15" s="273" t="n">
        <v>2042</v>
      </c>
    </row>
    <row r="16">
      <c r="B16" t="inlineStr">
        <is>
          <t>表 106</t>
        </is>
      </c>
      <c r="D16">
        <f>ABS('表 106_滾算紀錄2_1'!D45)</f>
        <v/>
      </c>
      <c r="E16">
        <f>ABS('表 106_滾算紀錄2_1'!E45)</f>
        <v/>
      </c>
      <c r="F16">
        <f>ABS('表 106_滾算紀錄2_1'!F45)</f>
        <v/>
      </c>
      <c r="G16">
        <f>ABS('表 106_滾算紀錄2_1'!G45)</f>
        <v/>
      </c>
      <c r="H16">
        <f>ABS('表 106_滾算紀錄2_1'!H45)</f>
        <v/>
      </c>
      <c r="I16">
        <f>ABS('表 106_滾算紀錄2_1'!I45)</f>
        <v/>
      </c>
      <c r="J16">
        <f>ABS('表 106_滾算紀錄2_1'!J45)</f>
        <v/>
      </c>
      <c r="K16">
        <f>ABS('表 106_滾算紀錄2_1'!K45)</f>
        <v/>
      </c>
      <c r="L16">
        <f>ABS('表 106_滾算紀錄2_1'!L45)</f>
        <v/>
      </c>
      <c r="M16">
        <f>ABS('表 106_滾算紀錄2_1'!M45)</f>
        <v/>
      </c>
      <c r="N16">
        <f>ABS('表 106_滾算紀錄2_1'!N45)</f>
        <v/>
      </c>
      <c r="O16">
        <f>ABS('表 106_滾算紀錄2_1'!O45)</f>
        <v/>
      </c>
      <c r="P16">
        <f>ABS('表 106_滾算紀錄2_1'!P45)</f>
        <v/>
      </c>
      <c r="Q16">
        <f>ABS('表 106_滾算紀錄2_1'!Q45)</f>
        <v/>
      </c>
      <c r="R16">
        <f>ABS('表 106_滾算紀錄2_1'!R45)</f>
        <v/>
      </c>
      <c r="S16">
        <f>ABS('表 106_滾算紀錄2_1'!S45)</f>
        <v/>
      </c>
      <c r="T16">
        <f>ABS('表 106_滾算紀錄2_1'!T45)</f>
        <v/>
      </c>
      <c r="U16">
        <f>ABS('表 106_滾算紀錄2_1'!U45)</f>
        <v/>
      </c>
      <c r="V16">
        <f>ABS('表 106_滾算紀錄2_1'!V45)</f>
        <v/>
      </c>
      <c r="W16">
        <f>ABS('表 106_滾算紀錄2_1'!W45)</f>
        <v/>
      </c>
    </row>
    <row r="17">
      <c r="B17" t="inlineStr">
        <is>
          <t>表 106</t>
        </is>
      </c>
      <c r="D17">
        <f>ABS('表 106_滾算紀錄3_1'!D45)</f>
        <v/>
      </c>
      <c r="E17">
        <f>ABS('表 106_滾算紀錄3_1'!E45)</f>
        <v/>
      </c>
      <c r="F17">
        <f>ABS('表 106_滾算紀錄3_1'!F45)</f>
        <v/>
      </c>
      <c r="G17">
        <f>ABS('表 106_滾算紀錄3_1'!G45)</f>
        <v/>
      </c>
      <c r="H17">
        <f>ABS('表 106_滾算紀錄3_1'!H45)</f>
        <v/>
      </c>
      <c r="I17">
        <f>ABS('表 106_滾算紀錄3_1'!I45)</f>
        <v/>
      </c>
      <c r="J17">
        <f>ABS('表 106_滾算紀錄3_1'!J45)</f>
        <v/>
      </c>
      <c r="K17">
        <f>ABS('表 106_滾算紀錄3_1'!K45)</f>
        <v/>
      </c>
      <c r="L17">
        <f>ABS('表 106_滾算紀錄3_1'!L45)</f>
        <v/>
      </c>
      <c r="M17">
        <f>ABS('表 106_滾算紀錄3_1'!M45)</f>
        <v/>
      </c>
      <c r="N17">
        <f>ABS('表 106_滾算紀錄3_1'!N45)</f>
        <v/>
      </c>
      <c r="O17">
        <f>ABS('表 106_滾算紀錄3_1'!O45)</f>
        <v/>
      </c>
      <c r="P17">
        <f>ABS('表 106_滾算紀錄3_1'!P45)</f>
        <v/>
      </c>
      <c r="Q17">
        <f>ABS('表 106_滾算紀錄3_1'!Q45)</f>
        <v/>
      </c>
      <c r="R17">
        <f>ABS('表 106_滾算紀錄3_1'!R45)</f>
        <v/>
      </c>
      <c r="S17">
        <f>ABS('表 106_滾算紀錄3_1'!S45)</f>
        <v/>
      </c>
      <c r="T17">
        <f>ABS('表 106_滾算紀錄3_1'!T45)</f>
        <v/>
      </c>
      <c r="U17">
        <f>ABS('表 106_滾算紀錄3_1'!U45)</f>
        <v/>
      </c>
      <c r="V17">
        <f>ABS('表 106_滾算紀錄3_1'!V45)</f>
        <v/>
      </c>
      <c r="W17">
        <f>ABS('表 106_滾算紀錄3_1'!W45)</f>
        <v/>
      </c>
    </row>
    <row r="18">
      <c r="B18" t="inlineStr">
        <is>
          <t>表 106</t>
        </is>
      </c>
      <c r="D18">
        <f>ABS('表 106_滾算紀錄4'!D45)</f>
        <v/>
      </c>
      <c r="E18">
        <f>ABS('表 106_滾算紀錄4'!E45)</f>
        <v/>
      </c>
      <c r="F18">
        <f>ABS('表 106_滾算紀錄4'!F45)</f>
        <v/>
      </c>
      <c r="G18">
        <f>ABS('表 106_滾算紀錄4'!G45)</f>
        <v/>
      </c>
      <c r="H18">
        <f>ABS('表 106_滾算紀錄4'!H45)</f>
        <v/>
      </c>
      <c r="I18">
        <f>ABS('表 106_滾算紀錄4'!I45)</f>
        <v/>
      </c>
      <c r="J18">
        <f>ABS('表 106_滾算紀錄4'!J45)</f>
        <v/>
      </c>
      <c r="K18">
        <f>ABS('表 106_滾算紀錄4'!K45)</f>
        <v/>
      </c>
      <c r="L18">
        <f>ABS('表 106_滾算紀錄4'!L45)</f>
        <v/>
      </c>
      <c r="M18">
        <f>ABS('表 106_滾算紀錄4'!M45)</f>
        <v/>
      </c>
      <c r="N18">
        <f>ABS('表 106_滾算紀錄4'!N45)</f>
        <v/>
      </c>
      <c r="O18">
        <f>ABS('表 106_滾算紀錄4'!O45)</f>
        <v/>
      </c>
      <c r="P18">
        <f>ABS('表 106_滾算紀錄4'!P45)</f>
        <v/>
      </c>
      <c r="Q18">
        <f>ABS('表 106_滾算紀錄4'!Q45)</f>
        <v/>
      </c>
      <c r="R18">
        <f>ABS('表 106_滾算紀錄4'!R45)</f>
        <v/>
      </c>
      <c r="S18">
        <f>ABS('表 106_滾算紀錄4'!S45)</f>
        <v/>
      </c>
      <c r="T18">
        <f>ABS('表 106_滾算紀錄4'!T45)</f>
        <v/>
      </c>
      <c r="U18">
        <f>ABS('表 106_滾算紀錄4'!U45)</f>
        <v/>
      </c>
      <c r="V18">
        <f>ABS('表 106_滾算紀錄4'!V45)</f>
        <v/>
      </c>
      <c r="W18">
        <f>ABS('表 106_滾算紀錄4'!W45)</f>
        <v/>
      </c>
    </row>
    <row r="19">
      <c r="C19" s="276" t="inlineStr">
        <is>
          <t>租金/年總計</t>
        </is>
      </c>
      <c r="D19" s="276">
        <f>SUM(D16:D18)</f>
        <v/>
      </c>
      <c r="E19" s="276">
        <f>SUM(E16:E18)</f>
        <v/>
      </c>
      <c r="F19" s="276">
        <f>SUM(F16:F18)</f>
        <v/>
      </c>
      <c r="G19" s="276">
        <f>SUM(G16:G18)</f>
        <v/>
      </c>
      <c r="H19" s="276">
        <f>SUM(H16:H18)</f>
        <v/>
      </c>
      <c r="I19" s="276">
        <f>SUM(I16:I18)</f>
        <v/>
      </c>
      <c r="J19" s="276">
        <f>SUM(J16:J18)</f>
        <v/>
      </c>
      <c r="K19" s="276">
        <f>SUM(K16:K18)</f>
        <v/>
      </c>
      <c r="L19" s="276">
        <f>SUM(L16:L18)</f>
        <v/>
      </c>
      <c r="M19" s="276">
        <f>SUM(M16:M18)</f>
        <v/>
      </c>
      <c r="N19" s="276">
        <f>SUM(N16:N18)</f>
        <v/>
      </c>
      <c r="O19" s="276">
        <f>SUM(O16:O18)</f>
        <v/>
      </c>
      <c r="P19" s="276">
        <f>SUM(P16:P18)</f>
        <v/>
      </c>
      <c r="Q19" s="276">
        <f>SUM(Q16:Q18)</f>
        <v/>
      </c>
      <c r="R19" s="276">
        <f>SUM(R16:R18)</f>
        <v/>
      </c>
      <c r="S19" s="276">
        <f>SUM(S16:S18)</f>
        <v/>
      </c>
      <c r="T19" s="276">
        <f>SUM(T16:T18)</f>
        <v/>
      </c>
      <c r="U19" s="276">
        <f>SUM(U16:U18)</f>
        <v/>
      </c>
      <c r="V19" s="276">
        <f>SUM(V16:V18)</f>
        <v/>
      </c>
      <c r="W19" s="276">
        <f>SUM(W16:W18)</f>
        <v/>
      </c>
    </row>
    <row r="20">
      <c r="C20" s="273" t="inlineStr">
        <is>
          <t>運維</t>
        </is>
      </c>
      <c r="D20" s="273" t="n">
        <v>2023</v>
      </c>
      <c r="E20" s="273" t="n">
        <v>2024</v>
      </c>
      <c r="F20" s="273" t="n">
        <v>2025</v>
      </c>
      <c r="G20" s="273" t="n">
        <v>2026</v>
      </c>
      <c r="H20" s="273" t="n">
        <v>2027</v>
      </c>
      <c r="I20" s="273" t="n">
        <v>2028</v>
      </c>
      <c r="J20" s="273" t="n">
        <v>2029</v>
      </c>
      <c r="K20" s="273" t="n">
        <v>2030</v>
      </c>
      <c r="L20" s="273" t="n">
        <v>2031</v>
      </c>
      <c r="M20" s="273" t="n">
        <v>2032</v>
      </c>
      <c r="N20" s="273" t="n">
        <v>2033</v>
      </c>
      <c r="O20" s="273" t="n">
        <v>2034</v>
      </c>
      <c r="P20" s="273" t="n">
        <v>2035</v>
      </c>
      <c r="Q20" s="273" t="n">
        <v>2036</v>
      </c>
      <c r="R20" s="273" t="n">
        <v>2037</v>
      </c>
      <c r="S20" s="273" t="n">
        <v>2038</v>
      </c>
      <c r="T20" s="273" t="n">
        <v>2039</v>
      </c>
      <c r="U20" s="273" t="n">
        <v>2040</v>
      </c>
      <c r="V20" s="273" t="n">
        <v>2041</v>
      </c>
      <c r="W20" s="273" t="n">
        <v>2042</v>
      </c>
    </row>
    <row r="21">
      <c r="B21" t="inlineStr">
        <is>
          <t>表 106</t>
        </is>
      </c>
      <c r="D21">
        <f>ABS('表 106_滾算紀錄2_1'!D48)</f>
        <v/>
      </c>
      <c r="E21">
        <f>ABS('表 106_滾算紀錄2_1'!E48)</f>
        <v/>
      </c>
      <c r="F21">
        <f>ABS('表 106_滾算紀錄2_1'!F48)</f>
        <v/>
      </c>
      <c r="G21">
        <f>ABS('表 106_滾算紀錄2_1'!G48)</f>
        <v/>
      </c>
      <c r="H21">
        <f>ABS('表 106_滾算紀錄2_1'!H48)</f>
        <v/>
      </c>
      <c r="I21">
        <f>ABS('表 106_滾算紀錄2_1'!I48)</f>
        <v/>
      </c>
      <c r="J21">
        <f>ABS('表 106_滾算紀錄2_1'!J48)</f>
        <v/>
      </c>
      <c r="K21">
        <f>ABS('表 106_滾算紀錄2_1'!K48)</f>
        <v/>
      </c>
      <c r="L21">
        <f>ABS('表 106_滾算紀錄2_1'!L48)</f>
        <v/>
      </c>
      <c r="M21">
        <f>ABS('表 106_滾算紀錄2_1'!M48)</f>
        <v/>
      </c>
      <c r="N21">
        <f>ABS('表 106_滾算紀錄2_1'!N48)</f>
        <v/>
      </c>
      <c r="O21">
        <f>ABS('表 106_滾算紀錄2_1'!O48)</f>
        <v/>
      </c>
      <c r="P21">
        <f>ABS('表 106_滾算紀錄2_1'!P48)</f>
        <v/>
      </c>
      <c r="Q21">
        <f>ABS('表 106_滾算紀錄2_1'!Q48)</f>
        <v/>
      </c>
      <c r="R21">
        <f>ABS('表 106_滾算紀錄2_1'!R48)</f>
        <v/>
      </c>
      <c r="S21">
        <f>ABS('表 106_滾算紀錄2_1'!S48)</f>
        <v/>
      </c>
      <c r="T21">
        <f>ABS('表 106_滾算紀錄2_1'!T48)</f>
        <v/>
      </c>
      <c r="U21">
        <f>ABS('表 106_滾算紀錄2_1'!U48)</f>
        <v/>
      </c>
      <c r="V21">
        <f>ABS('表 106_滾算紀錄2_1'!V48)</f>
        <v/>
      </c>
      <c r="W21">
        <f>ABS('表 106_滾算紀錄2_1'!W48)</f>
        <v/>
      </c>
    </row>
    <row r="22">
      <c r="B22" t="inlineStr">
        <is>
          <t>表 106</t>
        </is>
      </c>
      <c r="D22">
        <f>ABS('表 106_滾算紀錄3_1'!D48)</f>
        <v/>
      </c>
      <c r="E22">
        <f>ABS('表 106_滾算紀錄3_1'!E48)</f>
        <v/>
      </c>
      <c r="F22">
        <f>ABS('表 106_滾算紀錄3_1'!F48)</f>
        <v/>
      </c>
      <c r="G22">
        <f>ABS('表 106_滾算紀錄3_1'!G48)</f>
        <v/>
      </c>
      <c r="H22">
        <f>ABS('表 106_滾算紀錄3_1'!H48)</f>
        <v/>
      </c>
      <c r="I22">
        <f>ABS('表 106_滾算紀錄3_1'!I48)</f>
        <v/>
      </c>
      <c r="J22">
        <f>ABS('表 106_滾算紀錄3_1'!J48)</f>
        <v/>
      </c>
      <c r="K22">
        <f>ABS('表 106_滾算紀錄3_1'!K48)</f>
        <v/>
      </c>
      <c r="L22">
        <f>ABS('表 106_滾算紀錄3_1'!L48)</f>
        <v/>
      </c>
      <c r="M22">
        <f>ABS('表 106_滾算紀錄3_1'!M48)</f>
        <v/>
      </c>
      <c r="N22">
        <f>ABS('表 106_滾算紀錄3_1'!N48)</f>
        <v/>
      </c>
      <c r="O22">
        <f>ABS('表 106_滾算紀錄3_1'!O48)</f>
        <v/>
      </c>
      <c r="P22">
        <f>ABS('表 106_滾算紀錄3_1'!P48)</f>
        <v/>
      </c>
      <c r="Q22">
        <f>ABS('表 106_滾算紀錄3_1'!Q48)</f>
        <v/>
      </c>
      <c r="R22">
        <f>ABS('表 106_滾算紀錄3_1'!R48)</f>
        <v/>
      </c>
      <c r="S22">
        <f>ABS('表 106_滾算紀錄3_1'!S48)</f>
        <v/>
      </c>
      <c r="T22">
        <f>ABS('表 106_滾算紀錄3_1'!T48)</f>
        <v/>
      </c>
      <c r="U22">
        <f>ABS('表 106_滾算紀錄3_1'!U48)</f>
        <v/>
      </c>
      <c r="V22">
        <f>ABS('表 106_滾算紀錄3_1'!V48)</f>
        <v/>
      </c>
      <c r="W22">
        <f>ABS('表 106_滾算紀錄3_1'!W48)</f>
        <v/>
      </c>
    </row>
    <row r="23">
      <c r="B23" t="inlineStr">
        <is>
          <t>表 106</t>
        </is>
      </c>
      <c r="D23">
        <f>ABS('表 106_滾算紀錄4'!D48)</f>
        <v/>
      </c>
      <c r="E23">
        <f>ABS('表 106_滾算紀錄4'!E48)</f>
        <v/>
      </c>
      <c r="F23">
        <f>ABS('表 106_滾算紀錄4'!F48)</f>
        <v/>
      </c>
      <c r="G23">
        <f>ABS('表 106_滾算紀錄4'!G48)</f>
        <v/>
      </c>
      <c r="H23">
        <f>ABS('表 106_滾算紀錄4'!H48)</f>
        <v/>
      </c>
      <c r="I23">
        <f>ABS('表 106_滾算紀錄4'!I48)</f>
        <v/>
      </c>
      <c r="J23">
        <f>ABS('表 106_滾算紀錄4'!J48)</f>
        <v/>
      </c>
      <c r="K23">
        <f>ABS('表 106_滾算紀錄4'!K48)</f>
        <v/>
      </c>
      <c r="L23">
        <f>ABS('表 106_滾算紀錄4'!L48)</f>
        <v/>
      </c>
      <c r="M23">
        <f>ABS('表 106_滾算紀錄4'!M48)</f>
        <v/>
      </c>
      <c r="N23">
        <f>ABS('表 106_滾算紀錄4'!N48)</f>
        <v/>
      </c>
      <c r="O23">
        <f>ABS('表 106_滾算紀錄4'!O48)</f>
        <v/>
      </c>
      <c r="P23">
        <f>ABS('表 106_滾算紀錄4'!P48)</f>
        <v/>
      </c>
      <c r="Q23">
        <f>ABS('表 106_滾算紀錄4'!Q48)</f>
        <v/>
      </c>
      <c r="R23">
        <f>ABS('表 106_滾算紀錄4'!R48)</f>
        <v/>
      </c>
      <c r="S23">
        <f>ABS('表 106_滾算紀錄4'!S48)</f>
        <v/>
      </c>
      <c r="T23">
        <f>ABS('表 106_滾算紀錄4'!T48)</f>
        <v/>
      </c>
      <c r="U23">
        <f>ABS('表 106_滾算紀錄4'!U48)</f>
        <v/>
      </c>
      <c r="V23">
        <f>ABS('表 106_滾算紀錄4'!V48)</f>
        <v/>
      </c>
      <c r="W23">
        <f>ABS('表 106_滾算紀錄4'!W48)</f>
        <v/>
      </c>
    </row>
    <row r="24">
      <c r="C24" s="277" t="inlineStr">
        <is>
          <t>運維/年總計</t>
        </is>
      </c>
      <c r="D24" s="277">
        <f>SUM(D21:D23)</f>
        <v/>
      </c>
      <c r="E24" s="277">
        <f>SUM(E21:E23)</f>
        <v/>
      </c>
      <c r="F24" s="277">
        <f>SUM(F21:F23)</f>
        <v/>
      </c>
      <c r="G24" s="277">
        <f>SUM(G21:G23)</f>
        <v/>
      </c>
      <c r="H24" s="277">
        <f>SUM(H21:H23)</f>
        <v/>
      </c>
      <c r="I24" s="277">
        <f>SUM(I21:I23)</f>
        <v/>
      </c>
      <c r="J24" s="277">
        <f>SUM(J21:J23)</f>
        <v/>
      </c>
      <c r="K24" s="277">
        <f>SUM(K21:K23)</f>
        <v/>
      </c>
      <c r="L24" s="277">
        <f>SUM(L21:L23)</f>
        <v/>
      </c>
      <c r="M24" s="277">
        <f>SUM(M21:M23)</f>
        <v/>
      </c>
      <c r="N24" s="277">
        <f>SUM(N21:N23)</f>
        <v/>
      </c>
      <c r="O24" s="277">
        <f>SUM(O21:O23)</f>
        <v/>
      </c>
      <c r="P24" s="277">
        <f>SUM(P21:P23)</f>
        <v/>
      </c>
      <c r="Q24" s="277">
        <f>SUM(Q21:Q23)</f>
        <v/>
      </c>
      <c r="R24" s="277">
        <f>SUM(R21:R23)</f>
        <v/>
      </c>
      <c r="S24" s="277">
        <f>SUM(S21:S23)</f>
        <v/>
      </c>
      <c r="T24" s="277">
        <f>SUM(T21:T23)</f>
        <v/>
      </c>
      <c r="U24" s="277">
        <f>SUM(U21:U23)</f>
        <v/>
      </c>
      <c r="V24" s="277">
        <f>SUM(V21:V23)</f>
        <v/>
      </c>
      <c r="W24" s="277">
        <f>SUM(W21:W23)</f>
        <v/>
      </c>
    </row>
    <row r="25">
      <c r="C25" s="273" t="inlineStr">
        <is>
          <t>保險</t>
        </is>
      </c>
      <c r="D25" s="273" t="n">
        <v>2023</v>
      </c>
      <c r="E25" s="273" t="n">
        <v>2024</v>
      </c>
      <c r="F25" s="273" t="n">
        <v>2025</v>
      </c>
      <c r="G25" s="273" t="n">
        <v>2026</v>
      </c>
      <c r="H25" s="273" t="n">
        <v>2027</v>
      </c>
      <c r="I25" s="273" t="n">
        <v>2028</v>
      </c>
      <c r="J25" s="273" t="n">
        <v>2029</v>
      </c>
      <c r="K25" s="273" t="n">
        <v>2030</v>
      </c>
      <c r="L25" s="273" t="n">
        <v>2031</v>
      </c>
      <c r="M25" s="273" t="n">
        <v>2032</v>
      </c>
      <c r="N25" s="273" t="n">
        <v>2033</v>
      </c>
      <c r="O25" s="273" t="n">
        <v>2034</v>
      </c>
      <c r="P25" s="273" t="n">
        <v>2035</v>
      </c>
      <c r="Q25" s="273" t="n">
        <v>2036</v>
      </c>
      <c r="R25" s="273" t="n">
        <v>2037</v>
      </c>
      <c r="S25" s="273" t="n">
        <v>2038</v>
      </c>
      <c r="T25" s="273" t="n">
        <v>2039</v>
      </c>
      <c r="U25" s="273" t="n">
        <v>2040</v>
      </c>
      <c r="V25" s="273" t="n">
        <v>2041</v>
      </c>
      <c r="W25" s="273" t="n">
        <v>2042</v>
      </c>
    </row>
    <row r="26">
      <c r="B26" t="inlineStr">
        <is>
          <t>表 106</t>
        </is>
      </c>
      <c r="D26">
        <f>ABS('表 106_滾算紀錄2_1'!D49)</f>
        <v/>
      </c>
      <c r="E26">
        <f>ABS('表 106_滾算紀錄2_1'!E49)</f>
        <v/>
      </c>
      <c r="F26">
        <f>ABS('表 106_滾算紀錄2_1'!F49)</f>
        <v/>
      </c>
      <c r="G26">
        <f>ABS('表 106_滾算紀錄2_1'!G49)</f>
        <v/>
      </c>
      <c r="H26">
        <f>ABS('表 106_滾算紀錄2_1'!H49)</f>
        <v/>
      </c>
      <c r="I26">
        <f>ABS('表 106_滾算紀錄2_1'!I49)</f>
        <v/>
      </c>
      <c r="J26">
        <f>ABS('表 106_滾算紀錄2_1'!J49)</f>
        <v/>
      </c>
      <c r="K26">
        <f>ABS('表 106_滾算紀錄2_1'!K49)</f>
        <v/>
      </c>
      <c r="L26">
        <f>ABS('表 106_滾算紀錄2_1'!L49)</f>
        <v/>
      </c>
      <c r="M26">
        <f>ABS('表 106_滾算紀錄2_1'!M49)</f>
        <v/>
      </c>
      <c r="N26">
        <f>ABS('表 106_滾算紀錄2_1'!N49)</f>
        <v/>
      </c>
      <c r="O26">
        <f>ABS('表 106_滾算紀錄2_1'!O49)</f>
        <v/>
      </c>
      <c r="P26">
        <f>ABS('表 106_滾算紀錄2_1'!P49)</f>
        <v/>
      </c>
      <c r="Q26">
        <f>ABS('表 106_滾算紀錄2_1'!Q49)</f>
        <v/>
      </c>
      <c r="R26">
        <f>ABS('表 106_滾算紀錄2_1'!R49)</f>
        <v/>
      </c>
      <c r="S26">
        <f>ABS('表 106_滾算紀錄2_1'!S49)</f>
        <v/>
      </c>
      <c r="T26">
        <f>ABS('表 106_滾算紀錄2_1'!T49)</f>
        <v/>
      </c>
      <c r="U26">
        <f>ABS('表 106_滾算紀錄2_1'!U49)</f>
        <v/>
      </c>
      <c r="V26">
        <f>ABS('表 106_滾算紀錄2_1'!V49)</f>
        <v/>
      </c>
      <c r="W26">
        <f>ABS('表 106_滾算紀錄2_1'!W49)</f>
        <v/>
      </c>
    </row>
    <row r="27">
      <c r="B27" t="inlineStr">
        <is>
          <t>表 106</t>
        </is>
      </c>
      <c r="D27">
        <f>ABS('表 106_滾算紀錄3_1'!D49)</f>
        <v/>
      </c>
      <c r="E27">
        <f>ABS('表 106_滾算紀錄3_1'!E49)</f>
        <v/>
      </c>
      <c r="F27">
        <f>ABS('表 106_滾算紀錄3_1'!F49)</f>
        <v/>
      </c>
      <c r="G27">
        <f>ABS('表 106_滾算紀錄3_1'!G49)</f>
        <v/>
      </c>
      <c r="H27">
        <f>ABS('表 106_滾算紀錄3_1'!H49)</f>
        <v/>
      </c>
      <c r="I27">
        <f>ABS('表 106_滾算紀錄3_1'!I49)</f>
        <v/>
      </c>
      <c r="J27">
        <f>ABS('表 106_滾算紀錄3_1'!J49)</f>
        <v/>
      </c>
      <c r="K27">
        <f>ABS('表 106_滾算紀錄3_1'!K49)</f>
        <v/>
      </c>
      <c r="L27">
        <f>ABS('表 106_滾算紀錄3_1'!L49)</f>
        <v/>
      </c>
      <c r="M27">
        <f>ABS('表 106_滾算紀錄3_1'!M49)</f>
        <v/>
      </c>
      <c r="N27">
        <f>ABS('表 106_滾算紀錄3_1'!N49)</f>
        <v/>
      </c>
      <c r="O27">
        <f>ABS('表 106_滾算紀錄3_1'!O49)</f>
        <v/>
      </c>
      <c r="P27">
        <f>ABS('表 106_滾算紀錄3_1'!P49)</f>
        <v/>
      </c>
      <c r="Q27">
        <f>ABS('表 106_滾算紀錄3_1'!Q49)</f>
        <v/>
      </c>
      <c r="R27">
        <f>ABS('表 106_滾算紀錄3_1'!R49)</f>
        <v/>
      </c>
      <c r="S27">
        <f>ABS('表 106_滾算紀錄3_1'!S49)</f>
        <v/>
      </c>
      <c r="T27">
        <f>ABS('表 106_滾算紀錄3_1'!T49)</f>
        <v/>
      </c>
      <c r="U27">
        <f>ABS('表 106_滾算紀錄3_1'!U49)</f>
        <v/>
      </c>
      <c r="V27">
        <f>ABS('表 106_滾算紀錄3_1'!V49)</f>
        <v/>
      </c>
      <c r="W27">
        <f>ABS('表 106_滾算紀錄3_1'!W49)</f>
        <v/>
      </c>
    </row>
    <row r="28">
      <c r="B28" t="inlineStr">
        <is>
          <t>表 106</t>
        </is>
      </c>
      <c r="D28">
        <f>ABS('表 106_滾算紀錄4'!D49)</f>
        <v/>
      </c>
      <c r="E28">
        <f>ABS('表 106_滾算紀錄4'!E49)</f>
        <v/>
      </c>
      <c r="F28">
        <f>ABS('表 106_滾算紀錄4'!F49)</f>
        <v/>
      </c>
      <c r="G28">
        <f>ABS('表 106_滾算紀錄4'!G49)</f>
        <v/>
      </c>
      <c r="H28">
        <f>ABS('表 106_滾算紀錄4'!H49)</f>
        <v/>
      </c>
      <c r="I28">
        <f>ABS('表 106_滾算紀錄4'!I49)</f>
        <v/>
      </c>
      <c r="J28">
        <f>ABS('表 106_滾算紀錄4'!J49)</f>
        <v/>
      </c>
      <c r="K28">
        <f>ABS('表 106_滾算紀錄4'!K49)</f>
        <v/>
      </c>
      <c r="L28">
        <f>ABS('表 106_滾算紀錄4'!L49)</f>
        <v/>
      </c>
      <c r="M28">
        <f>ABS('表 106_滾算紀錄4'!M49)</f>
        <v/>
      </c>
      <c r="N28">
        <f>ABS('表 106_滾算紀錄4'!N49)</f>
        <v/>
      </c>
      <c r="O28">
        <f>ABS('表 106_滾算紀錄4'!O49)</f>
        <v/>
      </c>
      <c r="P28">
        <f>ABS('表 106_滾算紀錄4'!P49)</f>
        <v/>
      </c>
      <c r="Q28">
        <f>ABS('表 106_滾算紀錄4'!Q49)</f>
        <v/>
      </c>
      <c r="R28">
        <f>ABS('表 106_滾算紀錄4'!R49)</f>
        <v/>
      </c>
      <c r="S28">
        <f>ABS('表 106_滾算紀錄4'!S49)</f>
        <v/>
      </c>
      <c r="T28">
        <f>ABS('表 106_滾算紀錄4'!T49)</f>
        <v/>
      </c>
      <c r="U28">
        <f>ABS('表 106_滾算紀錄4'!U49)</f>
        <v/>
      </c>
      <c r="V28">
        <f>ABS('表 106_滾算紀錄4'!V49)</f>
        <v/>
      </c>
      <c r="W28">
        <f>ABS('表 106_滾算紀錄4'!W49)</f>
        <v/>
      </c>
    </row>
    <row r="29">
      <c r="C29" s="278" t="inlineStr">
        <is>
          <t>保險/年總計</t>
        </is>
      </c>
      <c r="D29" s="278">
        <f>SUM(D26:D28)</f>
        <v/>
      </c>
      <c r="E29" s="278">
        <f>SUM(E26:E28)</f>
        <v/>
      </c>
      <c r="F29" s="278">
        <f>SUM(F26:F28)</f>
        <v/>
      </c>
      <c r="G29" s="278">
        <f>SUM(G26:G28)</f>
        <v/>
      </c>
      <c r="H29" s="278">
        <f>SUM(H26:H28)</f>
        <v/>
      </c>
      <c r="I29" s="278">
        <f>SUM(I26:I28)</f>
        <v/>
      </c>
      <c r="J29" s="278">
        <f>SUM(J26:J28)</f>
        <v/>
      </c>
      <c r="K29" s="278">
        <f>SUM(K26:K28)</f>
        <v/>
      </c>
      <c r="L29" s="278">
        <f>SUM(L26:L28)</f>
        <v/>
      </c>
      <c r="M29" s="278">
        <f>SUM(M26:M28)</f>
        <v/>
      </c>
      <c r="N29" s="278">
        <f>SUM(N26:N28)</f>
        <v/>
      </c>
      <c r="O29" s="278">
        <f>SUM(O26:O28)</f>
        <v/>
      </c>
      <c r="P29" s="278">
        <f>SUM(P26:P28)</f>
        <v/>
      </c>
      <c r="Q29" s="278">
        <f>SUM(Q26:Q28)</f>
        <v/>
      </c>
      <c r="R29" s="278">
        <f>SUM(R26:R28)</f>
        <v/>
      </c>
      <c r="S29" s="278">
        <f>SUM(S26:S28)</f>
        <v/>
      </c>
      <c r="T29" s="278">
        <f>SUM(T26:T28)</f>
        <v/>
      </c>
      <c r="U29" s="278">
        <f>SUM(U26:U28)</f>
        <v/>
      </c>
      <c r="V29" s="278">
        <f>SUM(V26:V28)</f>
        <v/>
      </c>
      <c r="W29" s="278">
        <f>SUM(W26:W28)</f>
        <v/>
      </c>
    </row>
    <row r="30">
      <c r="C30" s="273" t="inlineStr">
        <is>
          <t>模組回收費</t>
        </is>
      </c>
      <c r="D30" s="273" t="n">
        <v>2023</v>
      </c>
      <c r="E30" s="273" t="n">
        <v>2024</v>
      </c>
      <c r="F30" s="273" t="n">
        <v>2025</v>
      </c>
      <c r="G30" s="273" t="n">
        <v>2026</v>
      </c>
      <c r="H30" s="273" t="n">
        <v>2027</v>
      </c>
      <c r="I30" s="273" t="n">
        <v>2028</v>
      </c>
      <c r="J30" s="273" t="n">
        <v>2029</v>
      </c>
      <c r="K30" s="273" t="n">
        <v>2030</v>
      </c>
      <c r="L30" s="273" t="n">
        <v>2031</v>
      </c>
      <c r="M30" s="273" t="n">
        <v>2032</v>
      </c>
      <c r="N30" s="273" t="n">
        <v>2033</v>
      </c>
      <c r="O30" s="273" t="n">
        <v>2034</v>
      </c>
      <c r="P30" s="273" t="n">
        <v>2035</v>
      </c>
      <c r="Q30" s="273" t="n">
        <v>2036</v>
      </c>
      <c r="R30" s="273" t="n">
        <v>2037</v>
      </c>
      <c r="S30" s="273" t="n">
        <v>2038</v>
      </c>
      <c r="T30" s="273" t="n">
        <v>2039</v>
      </c>
      <c r="U30" s="273" t="n">
        <v>2040</v>
      </c>
      <c r="V30" s="273" t="n">
        <v>2041</v>
      </c>
      <c r="W30" s="273" t="n">
        <v>2042</v>
      </c>
    </row>
    <row r="31">
      <c r="B31" t="inlineStr">
        <is>
          <t>表 106</t>
        </is>
      </c>
      <c r="D31">
        <f>ABS('表 106_滾算紀錄2_1'!D50)</f>
        <v/>
      </c>
      <c r="E31">
        <f>ABS('表 106_滾算紀錄2_1'!E50)</f>
        <v/>
      </c>
      <c r="F31">
        <f>ABS('表 106_滾算紀錄2_1'!F50)</f>
        <v/>
      </c>
      <c r="G31">
        <f>ABS('表 106_滾算紀錄2_1'!G50)</f>
        <v/>
      </c>
      <c r="H31">
        <f>ABS('表 106_滾算紀錄2_1'!H50)</f>
        <v/>
      </c>
      <c r="I31">
        <f>ABS('表 106_滾算紀錄2_1'!I50)</f>
        <v/>
      </c>
      <c r="J31">
        <f>ABS('表 106_滾算紀錄2_1'!J50)</f>
        <v/>
      </c>
      <c r="K31">
        <f>ABS('表 106_滾算紀錄2_1'!K50)</f>
        <v/>
      </c>
      <c r="L31">
        <f>ABS('表 106_滾算紀錄2_1'!L50)</f>
        <v/>
      </c>
      <c r="M31">
        <f>ABS('表 106_滾算紀錄2_1'!M50)</f>
        <v/>
      </c>
      <c r="N31">
        <f>ABS('表 106_滾算紀錄2_1'!N50)</f>
        <v/>
      </c>
      <c r="O31">
        <f>ABS('表 106_滾算紀錄2_1'!O50)</f>
        <v/>
      </c>
      <c r="P31">
        <f>ABS('表 106_滾算紀錄2_1'!P50)</f>
        <v/>
      </c>
      <c r="Q31">
        <f>ABS('表 106_滾算紀錄2_1'!Q50)</f>
        <v/>
      </c>
      <c r="R31">
        <f>ABS('表 106_滾算紀錄2_1'!R50)</f>
        <v/>
      </c>
      <c r="S31">
        <f>ABS('表 106_滾算紀錄2_1'!S50)</f>
        <v/>
      </c>
      <c r="T31">
        <f>ABS('表 106_滾算紀錄2_1'!T50)</f>
        <v/>
      </c>
      <c r="U31">
        <f>ABS('表 106_滾算紀錄2_1'!U50)</f>
        <v/>
      </c>
      <c r="V31">
        <f>ABS('表 106_滾算紀錄2_1'!V50)</f>
        <v/>
      </c>
      <c r="W31">
        <f>ABS('表 106_滾算紀錄2_1'!W50)</f>
        <v/>
      </c>
    </row>
    <row r="32">
      <c r="B32" t="inlineStr">
        <is>
          <t>表 106</t>
        </is>
      </c>
      <c r="D32">
        <f>ABS('表 106_滾算紀錄3_1'!D50)</f>
        <v/>
      </c>
      <c r="E32">
        <f>ABS('表 106_滾算紀錄3_1'!E50)</f>
        <v/>
      </c>
      <c r="F32">
        <f>ABS('表 106_滾算紀錄3_1'!F50)</f>
        <v/>
      </c>
      <c r="G32">
        <f>ABS('表 106_滾算紀錄3_1'!G50)</f>
        <v/>
      </c>
      <c r="H32">
        <f>ABS('表 106_滾算紀錄3_1'!H50)</f>
        <v/>
      </c>
      <c r="I32">
        <f>ABS('表 106_滾算紀錄3_1'!I50)</f>
        <v/>
      </c>
      <c r="J32">
        <f>ABS('表 106_滾算紀錄3_1'!J50)</f>
        <v/>
      </c>
      <c r="K32">
        <f>ABS('表 106_滾算紀錄3_1'!K50)</f>
        <v/>
      </c>
      <c r="L32">
        <f>ABS('表 106_滾算紀錄3_1'!L50)</f>
        <v/>
      </c>
      <c r="M32">
        <f>ABS('表 106_滾算紀錄3_1'!M50)</f>
        <v/>
      </c>
      <c r="N32">
        <f>ABS('表 106_滾算紀錄3_1'!N50)</f>
        <v/>
      </c>
      <c r="O32">
        <f>ABS('表 106_滾算紀錄3_1'!O50)</f>
        <v/>
      </c>
      <c r="P32">
        <f>ABS('表 106_滾算紀錄3_1'!P50)</f>
        <v/>
      </c>
      <c r="Q32">
        <f>ABS('表 106_滾算紀錄3_1'!Q50)</f>
        <v/>
      </c>
      <c r="R32">
        <f>ABS('表 106_滾算紀錄3_1'!R50)</f>
        <v/>
      </c>
      <c r="S32">
        <f>ABS('表 106_滾算紀錄3_1'!S50)</f>
        <v/>
      </c>
      <c r="T32">
        <f>ABS('表 106_滾算紀錄3_1'!T50)</f>
        <v/>
      </c>
      <c r="U32">
        <f>ABS('表 106_滾算紀錄3_1'!U50)</f>
        <v/>
      </c>
      <c r="V32">
        <f>ABS('表 106_滾算紀錄3_1'!V50)</f>
        <v/>
      </c>
      <c r="W32">
        <f>ABS('表 106_滾算紀錄3_1'!W50)</f>
        <v/>
      </c>
    </row>
    <row r="33">
      <c r="B33" t="inlineStr">
        <is>
          <t>表 106</t>
        </is>
      </c>
      <c r="D33">
        <f>ABS('表 106_滾算紀錄4'!D50)</f>
        <v/>
      </c>
      <c r="E33">
        <f>ABS('表 106_滾算紀錄4'!E50)</f>
        <v/>
      </c>
      <c r="F33">
        <f>ABS('表 106_滾算紀錄4'!F50)</f>
        <v/>
      </c>
      <c r="G33">
        <f>ABS('表 106_滾算紀錄4'!G50)</f>
        <v/>
      </c>
      <c r="H33">
        <f>ABS('表 106_滾算紀錄4'!H50)</f>
        <v/>
      </c>
      <c r="I33">
        <f>ABS('表 106_滾算紀錄4'!I50)</f>
        <v/>
      </c>
      <c r="J33">
        <f>ABS('表 106_滾算紀錄4'!J50)</f>
        <v/>
      </c>
      <c r="K33">
        <f>ABS('表 106_滾算紀錄4'!K50)</f>
        <v/>
      </c>
      <c r="L33">
        <f>ABS('表 106_滾算紀錄4'!L50)</f>
        <v/>
      </c>
      <c r="M33">
        <f>ABS('表 106_滾算紀錄4'!M50)</f>
        <v/>
      </c>
      <c r="N33">
        <f>ABS('表 106_滾算紀錄4'!N50)</f>
        <v/>
      </c>
      <c r="O33">
        <f>ABS('表 106_滾算紀錄4'!O50)</f>
        <v/>
      </c>
      <c r="P33">
        <f>ABS('表 106_滾算紀錄4'!P50)</f>
        <v/>
      </c>
      <c r="Q33">
        <f>ABS('表 106_滾算紀錄4'!Q50)</f>
        <v/>
      </c>
      <c r="R33">
        <f>ABS('表 106_滾算紀錄4'!R50)</f>
        <v/>
      </c>
      <c r="S33">
        <f>ABS('表 106_滾算紀錄4'!S50)</f>
        <v/>
      </c>
      <c r="T33">
        <f>ABS('表 106_滾算紀錄4'!T50)</f>
        <v/>
      </c>
      <c r="U33">
        <f>ABS('表 106_滾算紀錄4'!U50)</f>
        <v/>
      </c>
      <c r="V33">
        <f>ABS('表 106_滾算紀錄4'!V50)</f>
        <v/>
      </c>
      <c r="W33">
        <f>ABS('表 106_滾算紀錄4'!W50)</f>
        <v/>
      </c>
    </row>
    <row r="34">
      <c r="C34" s="275" t="inlineStr">
        <is>
          <t>模組回收費/年總計</t>
        </is>
      </c>
      <c r="D34" s="275">
        <f>SUM(D31:D33)</f>
        <v/>
      </c>
      <c r="E34" s="275">
        <f>SUM(E31:E33)</f>
        <v/>
      </c>
      <c r="F34" s="275">
        <f>SUM(F31:F33)</f>
        <v/>
      </c>
      <c r="G34" s="275">
        <f>SUM(G31:G33)</f>
        <v/>
      </c>
      <c r="H34" s="275">
        <f>SUM(H31:H33)</f>
        <v/>
      </c>
      <c r="I34" s="275">
        <f>SUM(I31:I33)</f>
        <v/>
      </c>
      <c r="J34" s="275">
        <f>SUM(J31:J33)</f>
        <v/>
      </c>
      <c r="K34" s="275">
        <f>SUM(K31:K33)</f>
        <v/>
      </c>
      <c r="L34" s="275">
        <f>SUM(L31:L33)</f>
        <v/>
      </c>
      <c r="M34" s="275">
        <f>SUM(M31:M33)</f>
        <v/>
      </c>
      <c r="N34" s="275">
        <f>SUM(N31:N33)</f>
        <v/>
      </c>
      <c r="O34" s="275">
        <f>SUM(O31:O33)</f>
        <v/>
      </c>
      <c r="P34" s="275">
        <f>SUM(P31:P33)</f>
        <v/>
      </c>
      <c r="Q34" s="275">
        <f>SUM(Q31:Q33)</f>
        <v/>
      </c>
      <c r="R34" s="275">
        <f>SUM(R31:R33)</f>
        <v/>
      </c>
      <c r="S34" s="275">
        <f>SUM(S31:S33)</f>
        <v/>
      </c>
      <c r="T34" s="275">
        <f>SUM(T31:T33)</f>
        <v/>
      </c>
      <c r="U34" s="275">
        <f>SUM(U31:U33)</f>
        <v/>
      </c>
      <c r="V34" s="275">
        <f>SUM(V31:V33)</f>
        <v/>
      </c>
      <c r="W34" s="275">
        <f>SUM(W31:W33)</f>
        <v/>
      </c>
    </row>
    <row r="35">
      <c r="C35" s="273" t="inlineStr">
        <is>
          <t>所得稅</t>
        </is>
      </c>
      <c r="D35" s="273" t="n">
        <v>2023</v>
      </c>
      <c r="E35" s="273" t="n">
        <v>2024</v>
      </c>
      <c r="F35" s="273" t="n">
        <v>2025</v>
      </c>
      <c r="G35" s="273" t="n">
        <v>2026</v>
      </c>
      <c r="H35" s="273" t="n">
        <v>2027</v>
      </c>
      <c r="I35" s="273" t="n">
        <v>2028</v>
      </c>
      <c r="J35" s="273" t="n">
        <v>2029</v>
      </c>
      <c r="K35" s="273" t="n">
        <v>2030</v>
      </c>
      <c r="L35" s="273" t="n">
        <v>2031</v>
      </c>
      <c r="M35" s="273" t="n">
        <v>2032</v>
      </c>
      <c r="N35" s="273" t="n">
        <v>2033</v>
      </c>
      <c r="O35" s="273" t="n">
        <v>2034</v>
      </c>
      <c r="P35" s="273" t="n">
        <v>2035</v>
      </c>
      <c r="Q35" s="273" t="n">
        <v>2036</v>
      </c>
      <c r="R35" s="273" t="n">
        <v>2037</v>
      </c>
      <c r="S35" s="273" t="n">
        <v>2038</v>
      </c>
      <c r="T35" s="273" t="n">
        <v>2039</v>
      </c>
      <c r="U35" s="273" t="n">
        <v>2040</v>
      </c>
      <c r="V35" s="273" t="n">
        <v>2041</v>
      </c>
      <c r="W35" s="273" t="n">
        <v>2042</v>
      </c>
    </row>
    <row r="36">
      <c r="B36" t="inlineStr">
        <is>
          <t>表 106</t>
        </is>
      </c>
      <c r="D36">
        <f>ABS('表 106_滾算紀錄2_1'!D54)</f>
        <v/>
      </c>
      <c r="E36">
        <f>ABS('表 106_滾算紀錄2_1'!E54)</f>
        <v/>
      </c>
      <c r="F36">
        <f>ABS('表 106_滾算紀錄2_1'!F54)</f>
        <v/>
      </c>
      <c r="G36">
        <f>ABS('表 106_滾算紀錄2_1'!G54)</f>
        <v/>
      </c>
      <c r="H36">
        <f>ABS('表 106_滾算紀錄2_1'!H54)</f>
        <v/>
      </c>
      <c r="I36">
        <f>ABS('表 106_滾算紀錄2_1'!I54)</f>
        <v/>
      </c>
      <c r="J36">
        <f>ABS('表 106_滾算紀錄2_1'!J54)</f>
        <v/>
      </c>
      <c r="K36">
        <f>ABS('表 106_滾算紀錄2_1'!K54)</f>
        <v/>
      </c>
      <c r="L36">
        <f>ABS('表 106_滾算紀錄2_1'!L54)</f>
        <v/>
      </c>
      <c r="M36">
        <f>ABS('表 106_滾算紀錄2_1'!M54)</f>
        <v/>
      </c>
      <c r="N36">
        <f>ABS('表 106_滾算紀錄2_1'!N54)</f>
        <v/>
      </c>
      <c r="O36">
        <f>ABS('表 106_滾算紀錄2_1'!O54)</f>
        <v/>
      </c>
      <c r="P36">
        <f>ABS('表 106_滾算紀錄2_1'!P54)</f>
        <v/>
      </c>
      <c r="Q36">
        <f>ABS('表 106_滾算紀錄2_1'!Q54)</f>
        <v/>
      </c>
      <c r="R36">
        <f>ABS('表 106_滾算紀錄2_1'!R54)</f>
        <v/>
      </c>
      <c r="S36">
        <f>ABS('表 106_滾算紀錄2_1'!S54)</f>
        <v/>
      </c>
      <c r="T36">
        <f>ABS('表 106_滾算紀錄2_1'!T54)</f>
        <v/>
      </c>
      <c r="U36">
        <f>ABS('表 106_滾算紀錄2_1'!U54)</f>
        <v/>
      </c>
      <c r="V36">
        <f>ABS('表 106_滾算紀錄2_1'!V54)</f>
        <v/>
      </c>
      <c r="W36">
        <f>ABS('表 106_滾算紀錄2_1'!W54)</f>
        <v/>
      </c>
    </row>
    <row r="37">
      <c r="B37" t="inlineStr">
        <is>
          <t>表 106</t>
        </is>
      </c>
      <c r="D37">
        <f>ABS('表 106_滾算紀錄3_1'!D54)</f>
        <v/>
      </c>
      <c r="E37">
        <f>ABS('表 106_滾算紀錄3_1'!E54)</f>
        <v/>
      </c>
      <c r="F37">
        <f>ABS('表 106_滾算紀錄3_1'!F54)</f>
        <v/>
      </c>
      <c r="G37">
        <f>ABS('表 106_滾算紀錄3_1'!G54)</f>
        <v/>
      </c>
      <c r="H37">
        <f>ABS('表 106_滾算紀錄3_1'!H54)</f>
        <v/>
      </c>
      <c r="I37">
        <f>ABS('表 106_滾算紀錄3_1'!I54)</f>
        <v/>
      </c>
      <c r="J37">
        <f>ABS('表 106_滾算紀錄3_1'!J54)</f>
        <v/>
      </c>
      <c r="K37">
        <f>ABS('表 106_滾算紀錄3_1'!K54)</f>
        <v/>
      </c>
      <c r="L37">
        <f>ABS('表 106_滾算紀錄3_1'!L54)</f>
        <v/>
      </c>
      <c r="M37">
        <f>ABS('表 106_滾算紀錄3_1'!M54)</f>
        <v/>
      </c>
      <c r="N37">
        <f>ABS('表 106_滾算紀錄3_1'!N54)</f>
        <v/>
      </c>
      <c r="O37">
        <f>ABS('表 106_滾算紀錄3_1'!O54)</f>
        <v/>
      </c>
      <c r="P37">
        <f>ABS('表 106_滾算紀錄3_1'!P54)</f>
        <v/>
      </c>
      <c r="Q37">
        <f>ABS('表 106_滾算紀錄3_1'!Q54)</f>
        <v/>
      </c>
      <c r="R37">
        <f>ABS('表 106_滾算紀錄3_1'!R54)</f>
        <v/>
      </c>
      <c r="S37">
        <f>ABS('表 106_滾算紀錄3_1'!S54)</f>
        <v/>
      </c>
      <c r="T37">
        <f>ABS('表 106_滾算紀錄3_1'!T54)</f>
        <v/>
      </c>
      <c r="U37">
        <f>ABS('表 106_滾算紀錄3_1'!U54)</f>
        <v/>
      </c>
      <c r="V37">
        <f>ABS('表 106_滾算紀錄3_1'!V54)</f>
        <v/>
      </c>
      <c r="W37">
        <f>ABS('表 106_滾算紀錄3_1'!W54)</f>
        <v/>
      </c>
    </row>
    <row r="38">
      <c r="B38" t="inlineStr">
        <is>
          <t>表 106</t>
        </is>
      </c>
      <c r="D38">
        <f>ABS('表 106_滾算紀錄4'!D54)</f>
        <v/>
      </c>
      <c r="E38">
        <f>ABS('表 106_滾算紀錄4'!E54)</f>
        <v/>
      </c>
      <c r="F38">
        <f>ABS('表 106_滾算紀錄4'!F54)</f>
        <v/>
      </c>
      <c r="G38">
        <f>ABS('表 106_滾算紀錄4'!G54)</f>
        <v/>
      </c>
      <c r="H38">
        <f>ABS('表 106_滾算紀錄4'!H54)</f>
        <v/>
      </c>
      <c r="I38">
        <f>ABS('表 106_滾算紀錄4'!I54)</f>
        <v/>
      </c>
      <c r="J38">
        <f>ABS('表 106_滾算紀錄4'!J54)</f>
        <v/>
      </c>
      <c r="K38">
        <f>ABS('表 106_滾算紀錄4'!K54)</f>
        <v/>
      </c>
      <c r="L38">
        <f>ABS('表 106_滾算紀錄4'!L54)</f>
        <v/>
      </c>
      <c r="M38">
        <f>ABS('表 106_滾算紀錄4'!M54)</f>
        <v/>
      </c>
      <c r="N38">
        <f>ABS('表 106_滾算紀錄4'!N54)</f>
        <v/>
      </c>
      <c r="O38">
        <f>ABS('表 106_滾算紀錄4'!O54)</f>
        <v/>
      </c>
      <c r="P38">
        <f>ABS('表 106_滾算紀錄4'!P54)</f>
        <v/>
      </c>
      <c r="Q38">
        <f>ABS('表 106_滾算紀錄4'!Q54)</f>
        <v/>
      </c>
      <c r="R38">
        <f>ABS('表 106_滾算紀錄4'!R54)</f>
        <v/>
      </c>
      <c r="S38">
        <f>ABS('表 106_滾算紀錄4'!S54)</f>
        <v/>
      </c>
      <c r="T38">
        <f>ABS('表 106_滾算紀錄4'!T54)</f>
        <v/>
      </c>
      <c r="U38">
        <f>ABS('表 106_滾算紀錄4'!U54)</f>
        <v/>
      </c>
      <c r="V38">
        <f>ABS('表 106_滾算紀錄4'!V54)</f>
        <v/>
      </c>
      <c r="W38">
        <f>ABS('表 106_滾算紀錄4'!W54)</f>
        <v/>
      </c>
    </row>
    <row r="39">
      <c r="C39" s="274" t="inlineStr">
        <is>
          <t>所得稅/年總計</t>
        </is>
      </c>
      <c r="D39" s="274">
        <f>SUM(D36:D38)</f>
        <v/>
      </c>
      <c r="E39" s="274">
        <f>SUM(E36:E38)</f>
        <v/>
      </c>
      <c r="F39" s="274">
        <f>SUM(F36:F38)</f>
        <v/>
      </c>
      <c r="G39" s="274">
        <f>SUM(G36:G38)</f>
        <v/>
      </c>
      <c r="H39" s="274">
        <f>SUM(H36:H38)</f>
        <v/>
      </c>
      <c r="I39" s="274">
        <f>SUM(I36:I38)</f>
        <v/>
      </c>
      <c r="J39" s="274">
        <f>SUM(J36:J38)</f>
        <v/>
      </c>
      <c r="K39" s="274">
        <f>SUM(K36:K38)</f>
        <v/>
      </c>
      <c r="L39" s="274">
        <f>SUM(L36:L38)</f>
        <v/>
      </c>
      <c r="M39" s="274">
        <f>SUM(M36:M38)</f>
        <v/>
      </c>
      <c r="N39" s="274">
        <f>SUM(N36:N38)</f>
        <v/>
      </c>
      <c r="O39" s="274">
        <f>SUM(O36:O38)</f>
        <v/>
      </c>
      <c r="P39" s="274">
        <f>SUM(P36:P38)</f>
        <v/>
      </c>
      <c r="Q39" s="274">
        <f>SUM(Q36:Q38)</f>
        <v/>
      </c>
      <c r="R39" s="274">
        <f>SUM(R36:R38)</f>
        <v/>
      </c>
      <c r="S39" s="274">
        <f>SUM(S36:S38)</f>
        <v/>
      </c>
      <c r="T39" s="274">
        <f>SUM(T36:T38)</f>
        <v/>
      </c>
      <c r="U39" s="274">
        <f>SUM(U36:U38)</f>
        <v/>
      </c>
      <c r="V39" s="274">
        <f>SUM(V36:V38)</f>
        <v/>
      </c>
      <c r="W39" s="274">
        <f>SUM(W36:W38)</f>
        <v/>
      </c>
    </row>
    <row r="40">
      <c r="C40" s="273" t="inlineStr">
        <is>
          <t>設備折舊</t>
        </is>
      </c>
      <c r="D40" s="273" t="n">
        <v>2023</v>
      </c>
      <c r="E40" s="273" t="n">
        <v>2024</v>
      </c>
      <c r="F40" s="273" t="n">
        <v>2025</v>
      </c>
      <c r="G40" s="273" t="n">
        <v>2026</v>
      </c>
      <c r="H40" s="273" t="n">
        <v>2027</v>
      </c>
      <c r="I40" s="273" t="n">
        <v>2028</v>
      </c>
      <c r="J40" s="273" t="n">
        <v>2029</v>
      </c>
      <c r="K40" s="273" t="n">
        <v>2030</v>
      </c>
      <c r="L40" s="273" t="n">
        <v>2031</v>
      </c>
      <c r="M40" s="273" t="n">
        <v>2032</v>
      </c>
      <c r="N40" s="273" t="n">
        <v>2033</v>
      </c>
      <c r="O40" s="273" t="n">
        <v>2034</v>
      </c>
      <c r="P40" s="273" t="n">
        <v>2035</v>
      </c>
      <c r="Q40" s="273" t="n">
        <v>2036</v>
      </c>
      <c r="R40" s="273" t="n">
        <v>2037</v>
      </c>
      <c r="S40" s="273" t="n">
        <v>2038</v>
      </c>
      <c r="T40" s="273" t="n">
        <v>2039</v>
      </c>
      <c r="U40" s="273" t="n">
        <v>2040</v>
      </c>
      <c r="V40" s="273" t="n">
        <v>2041</v>
      </c>
      <c r="W40" s="273" t="n">
        <v>2042</v>
      </c>
    </row>
    <row r="41">
      <c r="B41" t="inlineStr">
        <is>
          <t>表 106</t>
        </is>
      </c>
      <c r="D41">
        <f>ABS('表 106_滾算紀錄2_1'!D67)</f>
        <v/>
      </c>
      <c r="E41">
        <f>ABS('表 106_滾算紀錄2_1'!E67)</f>
        <v/>
      </c>
      <c r="F41">
        <f>ABS('表 106_滾算紀錄2_1'!F67)</f>
        <v/>
      </c>
      <c r="G41">
        <f>ABS('表 106_滾算紀錄2_1'!G67)</f>
        <v/>
      </c>
      <c r="H41">
        <f>ABS('表 106_滾算紀錄2_1'!H67)</f>
        <v/>
      </c>
      <c r="I41">
        <f>ABS('表 106_滾算紀錄2_1'!I67)</f>
        <v/>
      </c>
      <c r="J41">
        <f>ABS('表 106_滾算紀錄2_1'!J67)</f>
        <v/>
      </c>
      <c r="K41">
        <f>ABS('表 106_滾算紀錄2_1'!K67)</f>
        <v/>
      </c>
      <c r="L41">
        <f>ABS('表 106_滾算紀錄2_1'!L67)</f>
        <v/>
      </c>
      <c r="M41">
        <f>ABS('表 106_滾算紀錄2_1'!M67)</f>
        <v/>
      </c>
      <c r="N41">
        <f>ABS('表 106_滾算紀錄2_1'!N67)</f>
        <v/>
      </c>
      <c r="O41">
        <f>ABS('表 106_滾算紀錄2_1'!O67)</f>
        <v/>
      </c>
      <c r="P41">
        <f>ABS('表 106_滾算紀錄2_1'!P67)</f>
        <v/>
      </c>
      <c r="Q41">
        <f>ABS('表 106_滾算紀錄2_1'!Q67)</f>
        <v/>
      </c>
      <c r="R41">
        <f>ABS('表 106_滾算紀錄2_1'!R67)</f>
        <v/>
      </c>
      <c r="S41">
        <f>ABS('表 106_滾算紀錄2_1'!S67)</f>
        <v/>
      </c>
      <c r="T41">
        <f>ABS('表 106_滾算紀錄2_1'!T67)</f>
        <v/>
      </c>
      <c r="U41">
        <f>ABS('表 106_滾算紀錄2_1'!U67)</f>
        <v/>
      </c>
      <c r="V41">
        <f>ABS('表 106_滾算紀錄2_1'!V67)</f>
        <v/>
      </c>
      <c r="W41">
        <f>ABS('表 106_滾算紀錄2_1'!W67)</f>
        <v/>
      </c>
    </row>
    <row r="42">
      <c r="B42" t="inlineStr">
        <is>
          <t>表 106</t>
        </is>
      </c>
      <c r="D42">
        <f>ABS('表 106_滾算紀錄3_1'!D67)</f>
        <v/>
      </c>
      <c r="E42">
        <f>ABS('表 106_滾算紀錄3_1'!E67)</f>
        <v/>
      </c>
      <c r="F42">
        <f>ABS('表 106_滾算紀錄3_1'!F67)</f>
        <v/>
      </c>
      <c r="G42">
        <f>ABS('表 106_滾算紀錄3_1'!G67)</f>
        <v/>
      </c>
      <c r="H42">
        <f>ABS('表 106_滾算紀錄3_1'!H67)</f>
        <v/>
      </c>
      <c r="I42">
        <f>ABS('表 106_滾算紀錄3_1'!I67)</f>
        <v/>
      </c>
      <c r="J42">
        <f>ABS('表 106_滾算紀錄3_1'!J67)</f>
        <v/>
      </c>
      <c r="K42">
        <f>ABS('表 106_滾算紀錄3_1'!K67)</f>
        <v/>
      </c>
      <c r="L42">
        <f>ABS('表 106_滾算紀錄3_1'!L67)</f>
        <v/>
      </c>
      <c r="M42">
        <f>ABS('表 106_滾算紀錄3_1'!M67)</f>
        <v/>
      </c>
      <c r="N42">
        <f>ABS('表 106_滾算紀錄3_1'!N67)</f>
        <v/>
      </c>
      <c r="O42">
        <f>ABS('表 106_滾算紀錄3_1'!O67)</f>
        <v/>
      </c>
      <c r="P42">
        <f>ABS('表 106_滾算紀錄3_1'!P67)</f>
        <v/>
      </c>
      <c r="Q42">
        <f>ABS('表 106_滾算紀錄3_1'!Q67)</f>
        <v/>
      </c>
      <c r="R42">
        <f>ABS('表 106_滾算紀錄3_1'!R67)</f>
        <v/>
      </c>
      <c r="S42">
        <f>ABS('表 106_滾算紀錄3_1'!S67)</f>
        <v/>
      </c>
      <c r="T42">
        <f>ABS('表 106_滾算紀錄3_1'!T67)</f>
        <v/>
      </c>
      <c r="U42">
        <f>ABS('表 106_滾算紀錄3_1'!U67)</f>
        <v/>
      </c>
      <c r="V42">
        <f>ABS('表 106_滾算紀錄3_1'!V67)</f>
        <v/>
      </c>
      <c r="W42">
        <f>ABS('表 106_滾算紀錄3_1'!W67)</f>
        <v/>
      </c>
    </row>
    <row r="43">
      <c r="B43" t="inlineStr">
        <is>
          <t>表 106</t>
        </is>
      </c>
      <c r="D43">
        <f>ABS('表 106_滾算紀錄4'!D67)</f>
        <v/>
      </c>
      <c r="E43">
        <f>ABS('表 106_滾算紀錄4'!E67)</f>
        <v/>
      </c>
      <c r="F43">
        <f>ABS('表 106_滾算紀錄4'!F67)</f>
        <v/>
      </c>
      <c r="G43">
        <f>ABS('表 106_滾算紀錄4'!G67)</f>
        <v/>
      </c>
      <c r="H43">
        <f>ABS('表 106_滾算紀錄4'!H67)</f>
        <v/>
      </c>
      <c r="I43">
        <f>ABS('表 106_滾算紀錄4'!I67)</f>
        <v/>
      </c>
      <c r="J43">
        <f>ABS('表 106_滾算紀錄4'!J67)</f>
        <v/>
      </c>
      <c r="K43">
        <f>ABS('表 106_滾算紀錄4'!K67)</f>
        <v/>
      </c>
      <c r="L43">
        <f>ABS('表 106_滾算紀錄4'!L67)</f>
        <v/>
      </c>
      <c r="M43">
        <f>ABS('表 106_滾算紀錄4'!M67)</f>
        <v/>
      </c>
      <c r="N43">
        <f>ABS('表 106_滾算紀錄4'!N67)</f>
        <v/>
      </c>
      <c r="O43">
        <f>ABS('表 106_滾算紀錄4'!O67)</f>
        <v/>
      </c>
      <c r="P43">
        <f>ABS('表 106_滾算紀錄4'!P67)</f>
        <v/>
      </c>
      <c r="Q43">
        <f>ABS('表 106_滾算紀錄4'!Q67)</f>
        <v/>
      </c>
      <c r="R43">
        <f>ABS('表 106_滾算紀錄4'!R67)</f>
        <v/>
      </c>
      <c r="S43">
        <f>ABS('表 106_滾算紀錄4'!S67)</f>
        <v/>
      </c>
      <c r="T43">
        <f>ABS('表 106_滾算紀錄4'!T67)</f>
        <v/>
      </c>
      <c r="U43">
        <f>ABS('表 106_滾算紀錄4'!U67)</f>
        <v/>
      </c>
      <c r="V43">
        <f>ABS('表 106_滾算紀錄4'!V67)</f>
        <v/>
      </c>
      <c r="W43">
        <f>ABS('表 106_滾算紀錄4'!W67)</f>
        <v/>
      </c>
    </row>
    <row r="44">
      <c r="C44" s="279" t="inlineStr">
        <is>
          <t>設備折舊/年總計</t>
        </is>
      </c>
      <c r="D44" s="279">
        <f>SUM(D41:D43)</f>
        <v/>
      </c>
      <c r="E44" s="279">
        <f>SUM(E41:E43)</f>
        <v/>
      </c>
      <c r="F44" s="279">
        <f>SUM(F41:F43)</f>
        <v/>
      </c>
      <c r="G44" s="279">
        <f>SUM(G41:G43)</f>
        <v/>
      </c>
      <c r="H44" s="279">
        <f>SUM(H41:H43)</f>
        <v/>
      </c>
      <c r="I44" s="279">
        <f>SUM(I41:I43)</f>
        <v/>
      </c>
      <c r="J44" s="279">
        <f>SUM(J41:J43)</f>
        <v/>
      </c>
      <c r="K44" s="279">
        <f>SUM(K41:K43)</f>
        <v/>
      </c>
      <c r="L44" s="279">
        <f>SUM(L41:L43)</f>
        <v/>
      </c>
      <c r="M44" s="279">
        <f>SUM(M41:M43)</f>
        <v/>
      </c>
      <c r="N44" s="279">
        <f>SUM(N41:N43)</f>
        <v/>
      </c>
      <c r="O44" s="279">
        <f>SUM(O41:O43)</f>
        <v/>
      </c>
      <c r="P44" s="279">
        <f>SUM(P41:P43)</f>
        <v/>
      </c>
      <c r="Q44" s="279">
        <f>SUM(Q41:Q43)</f>
        <v/>
      </c>
      <c r="R44" s="279">
        <f>SUM(R41:R43)</f>
        <v/>
      </c>
      <c r="S44" s="279">
        <f>SUM(S41:S43)</f>
        <v/>
      </c>
      <c r="T44" s="279">
        <f>SUM(T41:T43)</f>
        <v/>
      </c>
      <c r="U44" s="279">
        <f>SUM(U41:U43)</f>
        <v/>
      </c>
      <c r="V44" s="279">
        <f>SUM(V41:V43)</f>
        <v/>
      </c>
      <c r="W44" s="279">
        <f>SUM(W41:W43)</f>
        <v/>
      </c>
    </row>
    <row r="45"/>
    <row r="46">
      <c r="B46" t="inlineStr">
        <is>
          <t>貸款成數(%)</t>
        </is>
      </c>
      <c r="C46" t="n">
        <v>80</v>
      </c>
    </row>
    <row r="47">
      <c r="B47" t="inlineStr">
        <is>
          <t>還款期數</t>
        </is>
      </c>
      <c r="C47" t="n">
        <v>15</v>
      </c>
    </row>
    <row r="48">
      <c r="B48" t="inlineStr">
        <is>
          <t>股利比率(%)</t>
        </is>
      </c>
      <c r="C48" t="n">
        <v>90</v>
      </c>
    </row>
    <row r="49">
      <c r="B49" t="inlineStr">
        <is>
          <t>年底減資攤還期數</t>
        </is>
      </c>
      <c r="C49" t="n">
        <v>4</v>
      </c>
    </row>
    <row r="50">
      <c r="B50" t="inlineStr">
        <is>
          <t>銀行利率(%)</t>
        </is>
      </c>
      <c r="C50" t="n">
        <v>2.5595</v>
      </c>
    </row>
    <row r="51" ht="18.75" customHeight="1">
      <c r="B51" s="95" t="n"/>
      <c r="C51" s="30" t="inlineStr">
        <is>
          <t>年份</t>
        </is>
      </c>
      <c r="D51" s="30" t="n">
        <v>2023</v>
      </c>
      <c r="E51" s="30" t="n">
        <v>2024</v>
      </c>
      <c r="F51" s="30" t="n">
        <v>2025</v>
      </c>
      <c r="G51" s="30" t="n">
        <v>2026</v>
      </c>
      <c r="H51" s="30" t="n">
        <v>2027</v>
      </c>
      <c r="I51" s="30" t="n">
        <v>2028</v>
      </c>
      <c r="J51" s="30" t="n">
        <v>2029</v>
      </c>
      <c r="K51" s="30" t="n">
        <v>2030</v>
      </c>
      <c r="L51" s="30" t="n">
        <v>2031</v>
      </c>
      <c r="M51" s="30" t="n">
        <v>2032</v>
      </c>
      <c r="N51" s="30" t="n">
        <v>2033</v>
      </c>
      <c r="O51" s="30" t="n">
        <v>2034</v>
      </c>
      <c r="P51" s="30" t="n">
        <v>2035</v>
      </c>
      <c r="Q51" s="30" t="n">
        <v>2036</v>
      </c>
      <c r="R51" s="30" t="n">
        <v>2037</v>
      </c>
      <c r="S51" s="30" t="n">
        <v>2038</v>
      </c>
      <c r="T51" s="30" t="n">
        <v>2039</v>
      </c>
      <c r="U51" s="30" t="n">
        <v>2040</v>
      </c>
      <c r="V51" s="30" t="n">
        <v>2041</v>
      </c>
      <c r="W51" s="30" t="n">
        <v>2042</v>
      </c>
    </row>
    <row r="52" ht="18.75" customHeight="1">
      <c r="B52" s="181" t="n">
        <v>0</v>
      </c>
      <c r="C52" s="182" t="n"/>
      <c r="D52" s="183" t="n"/>
      <c r="E52" s="183" t="n"/>
      <c r="F52" s="184" t="n"/>
      <c r="G52" s="185" t="n"/>
      <c r="H52" s="185" t="n"/>
      <c r="I52" s="185" t="n"/>
      <c r="J52" s="185" t="n"/>
      <c r="K52" s="185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6" t="n"/>
      <c r="U52" s="185" t="n"/>
      <c r="V52" s="185" t="n"/>
      <c r="W52" s="185" t="n"/>
    </row>
    <row r="53" ht="18.75" customHeight="1">
      <c r="B53" s="188" t="inlineStr">
        <is>
          <t>(Unit : Currency)</t>
        </is>
      </c>
      <c r="C53" s="189" t="n">
        <v>0</v>
      </c>
      <c r="D53" s="190" t="n">
        <v>1</v>
      </c>
      <c r="E53" s="190" t="n">
        <v>2</v>
      </c>
      <c r="F53" s="190" t="n">
        <v>3</v>
      </c>
      <c r="G53" s="190" t="n">
        <v>4</v>
      </c>
      <c r="H53" s="190" t="n">
        <v>5</v>
      </c>
      <c r="I53" s="190" t="n">
        <v>6</v>
      </c>
      <c r="J53" s="190" t="n">
        <v>7</v>
      </c>
      <c r="K53" s="190" t="n">
        <v>8</v>
      </c>
      <c r="L53" s="190" t="n">
        <v>9</v>
      </c>
      <c r="M53" s="190" t="n">
        <v>10</v>
      </c>
      <c r="N53" s="190" t="n">
        <v>11</v>
      </c>
      <c r="O53" s="190" t="n">
        <v>12</v>
      </c>
      <c r="P53" s="190" t="n">
        <v>13</v>
      </c>
      <c r="Q53" s="190" t="n">
        <v>14</v>
      </c>
      <c r="R53" s="190" t="n">
        <v>15</v>
      </c>
      <c r="S53" s="190" t="n">
        <v>16</v>
      </c>
      <c r="T53" s="191" t="n">
        <v>17</v>
      </c>
      <c r="U53" s="190" t="n">
        <v>18</v>
      </c>
      <c r="V53" s="190" t="n">
        <v>19</v>
      </c>
      <c r="W53" s="190" t="n">
        <v>20</v>
      </c>
    </row>
    <row r="54" ht="18.75" customHeight="1">
      <c r="B54" s="192" t="inlineStr">
        <is>
          <t>發電度數(KWH)</t>
        </is>
      </c>
      <c r="C54" s="193" t="n">
        <v>0</v>
      </c>
      <c r="D54" s="194">
        <f>D9</f>
        <v/>
      </c>
      <c r="E54" s="194">
        <f>E9</f>
        <v/>
      </c>
      <c r="F54" s="194">
        <f>F9</f>
        <v/>
      </c>
      <c r="G54" s="194">
        <f>G9</f>
        <v/>
      </c>
      <c r="H54" s="194">
        <f>H9</f>
        <v/>
      </c>
      <c r="I54" s="194">
        <f>I9</f>
        <v/>
      </c>
      <c r="J54" s="194">
        <f>J9</f>
        <v/>
      </c>
      <c r="K54" s="194">
        <f>K9</f>
        <v/>
      </c>
      <c r="L54" s="194">
        <f>L9</f>
        <v/>
      </c>
      <c r="M54" s="194">
        <f>M9</f>
        <v/>
      </c>
      <c r="N54" s="194">
        <f>N9</f>
        <v/>
      </c>
      <c r="O54" s="194">
        <f>O9</f>
        <v/>
      </c>
      <c r="P54" s="194">
        <f>P9</f>
        <v/>
      </c>
      <c r="Q54" s="194">
        <f>Q9</f>
        <v/>
      </c>
      <c r="R54" s="194">
        <f>R9</f>
        <v/>
      </c>
      <c r="S54" s="194">
        <f>S9</f>
        <v/>
      </c>
      <c r="T54" s="194">
        <f>T9</f>
        <v/>
      </c>
      <c r="U54" s="194">
        <f>U9</f>
        <v/>
      </c>
      <c r="V54" s="194">
        <f>V9</f>
        <v/>
      </c>
      <c r="W54" s="194">
        <f>W9</f>
        <v/>
      </c>
    </row>
    <row r="55" ht="18.75" customHeight="1">
      <c r="B55" s="196" t="inlineStr">
        <is>
          <t>Inflow : 電費收入</t>
        </is>
      </c>
      <c r="C55" s="197" t="inlineStr">
        <is>
          <t>-</t>
        </is>
      </c>
      <c r="D55" s="198">
        <f>D14</f>
        <v/>
      </c>
      <c r="E55" s="198">
        <f>E14</f>
        <v/>
      </c>
      <c r="F55" s="198">
        <f>F14</f>
        <v/>
      </c>
      <c r="G55" s="198">
        <f>G14</f>
        <v/>
      </c>
      <c r="H55" s="198">
        <f>H14</f>
        <v/>
      </c>
      <c r="I55" s="198">
        <f>I14</f>
        <v/>
      </c>
      <c r="J55" s="198">
        <f>J14</f>
        <v/>
      </c>
      <c r="K55" s="198">
        <f>K14</f>
        <v/>
      </c>
      <c r="L55" s="198">
        <f>L14</f>
        <v/>
      </c>
      <c r="M55" s="198">
        <f>M14</f>
        <v/>
      </c>
      <c r="N55" s="198">
        <f>N14</f>
        <v/>
      </c>
      <c r="O55" s="198">
        <f>O14</f>
        <v/>
      </c>
      <c r="P55" s="198">
        <f>P14</f>
        <v/>
      </c>
      <c r="Q55" s="198">
        <f>Q14</f>
        <v/>
      </c>
      <c r="R55" s="198">
        <f>R14</f>
        <v/>
      </c>
      <c r="S55" s="198">
        <f>S14</f>
        <v/>
      </c>
      <c r="T55" s="198">
        <f>T14</f>
        <v/>
      </c>
      <c r="U55" s="198">
        <f>U14</f>
        <v/>
      </c>
      <c r="V55" s="198">
        <f>V14</f>
        <v/>
      </c>
      <c r="W55" s="198">
        <f>W14</f>
        <v/>
      </c>
    </row>
    <row r="56" ht="18.75" customHeight="1">
      <c r="B56" s="200" t="inlineStr">
        <is>
          <t>Inflow : 政府補助</t>
        </is>
      </c>
      <c r="C56" s="201" t="inlineStr">
        <is>
          <t>-</t>
        </is>
      </c>
      <c r="D56" s="202" t="n"/>
      <c r="E56" s="202" t="n"/>
      <c r="F56" s="202" t="n"/>
      <c r="G56" s="202" t="inlineStr">
        <is>
          <t>-</t>
        </is>
      </c>
      <c r="H56" s="202" t="inlineStr">
        <is>
          <t>-</t>
        </is>
      </c>
      <c r="I56" s="202" t="inlineStr">
        <is>
          <t>-</t>
        </is>
      </c>
      <c r="J56" s="202" t="inlineStr">
        <is>
          <t>-</t>
        </is>
      </c>
      <c r="K56" s="202" t="inlineStr">
        <is>
          <t>-</t>
        </is>
      </c>
      <c r="L56" s="202" t="inlineStr">
        <is>
          <t>-</t>
        </is>
      </c>
      <c r="M56" s="202" t="inlineStr">
        <is>
          <t>-</t>
        </is>
      </c>
      <c r="N56" s="202" t="inlineStr">
        <is>
          <t>-</t>
        </is>
      </c>
      <c r="O56" s="202" t="inlineStr">
        <is>
          <t>-</t>
        </is>
      </c>
      <c r="P56" s="202" t="inlineStr">
        <is>
          <t>-</t>
        </is>
      </c>
      <c r="Q56" s="202" t="inlineStr">
        <is>
          <t>-</t>
        </is>
      </c>
      <c r="R56" s="202" t="inlineStr">
        <is>
          <t>-</t>
        </is>
      </c>
      <c r="S56" s="202" t="inlineStr">
        <is>
          <t>-</t>
        </is>
      </c>
      <c r="T56" s="202" t="inlineStr">
        <is>
          <t>-</t>
        </is>
      </c>
      <c r="U56" s="202" t="inlineStr">
        <is>
          <t>-</t>
        </is>
      </c>
      <c r="V56" s="202" t="inlineStr">
        <is>
          <t>-</t>
        </is>
      </c>
      <c r="W56" s="202" t="inlineStr">
        <is>
          <t>-</t>
        </is>
      </c>
    </row>
    <row r="57" ht="18.75" customHeight="1">
      <c r="B57" s="204" t="inlineStr">
        <is>
          <t>Inflow : 銀行借款</t>
        </is>
      </c>
      <c r="C57" s="205" t="n"/>
      <c r="D57" s="206" t="n"/>
      <c r="E57" s="206" t="n"/>
      <c r="F57" s="206" t="n"/>
      <c r="G57" s="206" t="n"/>
      <c r="H57" s="206" t="n"/>
      <c r="I57" s="206" t="n"/>
      <c r="J57" s="206" t="n"/>
      <c r="K57" s="206" t="n"/>
      <c r="L57" s="206" t="n"/>
      <c r="M57" s="206" t="n"/>
      <c r="N57" s="206" t="n"/>
      <c r="O57" s="206" t="n"/>
      <c r="P57" s="206" t="n"/>
      <c r="Q57" s="206" t="n"/>
      <c r="R57" s="206" t="n"/>
      <c r="S57" s="206" t="n"/>
      <c r="T57" s="206" t="n"/>
      <c r="U57" s="206" t="n"/>
      <c r="V57" s="206" t="n"/>
      <c r="W57" s="206" t="n"/>
    </row>
    <row r="58" ht="18.75" customHeight="1">
      <c r="B58" s="208" t="inlineStr">
        <is>
          <t>Outflow : 設備費用</t>
        </is>
      </c>
      <c r="C58" s="209">
        <f>-SUM(D44:W44)</f>
        <v/>
      </c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</row>
    <row r="59" ht="18.75" customHeight="1">
      <c r="B59" s="208" t="inlineStr">
        <is>
          <t>Outflow : 設備放置區域租金</t>
        </is>
      </c>
      <c r="C59" s="201" t="inlineStr">
        <is>
          <t>-</t>
        </is>
      </c>
      <c r="D59" s="210">
        <f>-D19</f>
        <v/>
      </c>
      <c r="E59" s="210">
        <f>-E19</f>
        <v/>
      </c>
      <c r="F59" s="210">
        <f>-F19</f>
        <v/>
      </c>
      <c r="G59" s="210">
        <f>-G19</f>
        <v/>
      </c>
      <c r="H59" s="210">
        <f>-H19</f>
        <v/>
      </c>
      <c r="I59" s="210">
        <f>-I19</f>
        <v/>
      </c>
      <c r="J59" s="210">
        <f>-J19</f>
        <v/>
      </c>
      <c r="K59" s="210">
        <f>-K19</f>
        <v/>
      </c>
      <c r="L59" s="210">
        <f>-L19</f>
        <v/>
      </c>
      <c r="M59" s="210">
        <f>-M19</f>
        <v/>
      </c>
      <c r="N59" s="210">
        <f>-N19</f>
        <v/>
      </c>
      <c r="O59" s="210">
        <f>-O19</f>
        <v/>
      </c>
      <c r="P59" s="210">
        <f>-P19</f>
        <v/>
      </c>
      <c r="Q59" s="210">
        <f>-Q19</f>
        <v/>
      </c>
      <c r="R59" s="210">
        <f>-R19</f>
        <v/>
      </c>
      <c r="S59" s="210">
        <f>-S19</f>
        <v/>
      </c>
      <c r="T59" s="210">
        <f>-T19</f>
        <v/>
      </c>
      <c r="U59" s="210">
        <f>-U19</f>
        <v/>
      </c>
      <c r="V59" s="210">
        <f>-V19</f>
        <v/>
      </c>
      <c r="W59" s="210">
        <f>-W19</f>
        <v/>
      </c>
    </row>
    <row r="60" ht="18.75" customHeight="1">
      <c r="B60" s="208" t="inlineStr">
        <is>
          <t>Outflow : 返還借款</t>
        </is>
      </c>
      <c r="C60" s="201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</row>
    <row r="61" ht="18.75" customHeight="1">
      <c r="B61" s="208" t="inlineStr">
        <is>
          <t>Outflow : 利息費用</t>
        </is>
      </c>
      <c r="C61" s="201" t="inlineStr">
        <is>
          <t>-</t>
        </is>
      </c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</row>
    <row r="62" ht="18.75" customHeight="1">
      <c r="B62" s="208" t="inlineStr">
        <is>
          <t>Outflow : 維運費</t>
        </is>
      </c>
      <c r="C62" s="201" t="inlineStr">
        <is>
          <t>-</t>
        </is>
      </c>
      <c r="D62" s="210">
        <f>-D24</f>
        <v/>
      </c>
      <c r="E62" s="210">
        <f>-E24</f>
        <v/>
      </c>
      <c r="F62" s="210">
        <f>-F24</f>
        <v/>
      </c>
      <c r="G62" s="210">
        <f>-G24</f>
        <v/>
      </c>
      <c r="H62" s="210">
        <f>-H24</f>
        <v/>
      </c>
      <c r="I62" s="210">
        <f>-I24</f>
        <v/>
      </c>
      <c r="J62" s="210">
        <f>-J24</f>
        <v/>
      </c>
      <c r="K62" s="210">
        <f>-K24</f>
        <v/>
      </c>
      <c r="L62" s="210">
        <f>-L24</f>
        <v/>
      </c>
      <c r="M62" s="210">
        <f>-M24</f>
        <v/>
      </c>
      <c r="N62" s="210">
        <f>-N24</f>
        <v/>
      </c>
      <c r="O62" s="210">
        <f>-O24</f>
        <v/>
      </c>
      <c r="P62" s="210">
        <f>-P24</f>
        <v/>
      </c>
      <c r="Q62" s="210">
        <f>-Q24</f>
        <v/>
      </c>
      <c r="R62" s="210">
        <f>-R24</f>
        <v/>
      </c>
      <c r="S62" s="210">
        <f>-S24</f>
        <v/>
      </c>
      <c r="T62" s="210">
        <f>-T24</f>
        <v/>
      </c>
      <c r="U62" s="210">
        <f>-U24</f>
        <v/>
      </c>
      <c r="V62" s="210">
        <f>-V24</f>
        <v/>
      </c>
      <c r="W62" s="210">
        <f>-W24</f>
        <v/>
      </c>
    </row>
    <row r="63" ht="18.75" customHeight="1">
      <c r="B63" s="208" t="inlineStr">
        <is>
          <t>Outflow : 保險費</t>
        </is>
      </c>
      <c r="C63" s="201" t="inlineStr">
        <is>
          <t>-</t>
        </is>
      </c>
      <c r="D63" s="210">
        <f>-D29</f>
        <v/>
      </c>
      <c r="E63" s="210">
        <f>-E29</f>
        <v/>
      </c>
      <c r="F63" s="210">
        <f>-F29</f>
        <v/>
      </c>
      <c r="G63" s="210">
        <f>-G29</f>
        <v/>
      </c>
      <c r="H63" s="210">
        <f>-H29</f>
        <v/>
      </c>
      <c r="I63" s="210">
        <f>-I29</f>
        <v/>
      </c>
      <c r="J63" s="210">
        <f>-J29</f>
        <v/>
      </c>
      <c r="K63" s="210">
        <f>-K29</f>
        <v/>
      </c>
      <c r="L63" s="210">
        <f>-L29</f>
        <v/>
      </c>
      <c r="M63" s="210">
        <f>-M29</f>
        <v/>
      </c>
      <c r="N63" s="210">
        <f>-N29</f>
        <v/>
      </c>
      <c r="O63" s="210">
        <f>-O29</f>
        <v/>
      </c>
      <c r="P63" s="210">
        <f>-P29</f>
        <v/>
      </c>
      <c r="Q63" s="210">
        <f>-Q29</f>
        <v/>
      </c>
      <c r="R63" s="210">
        <f>-R29</f>
        <v/>
      </c>
      <c r="S63" s="210">
        <f>-S29</f>
        <v/>
      </c>
      <c r="T63" s="210">
        <f>-T29</f>
        <v/>
      </c>
      <c r="U63" s="210">
        <f>-U29</f>
        <v/>
      </c>
      <c r="V63" s="210">
        <f>-V29</f>
        <v/>
      </c>
      <c r="W63" s="210">
        <f>-W29</f>
        <v/>
      </c>
    </row>
    <row r="64" ht="18.75" customHeight="1">
      <c r="B64" s="208" t="inlineStr">
        <is>
          <t>Outflow : 模組回收費</t>
        </is>
      </c>
      <c r="C64" s="201" t="n"/>
      <c r="D64" s="210">
        <f>-D34</f>
        <v/>
      </c>
      <c r="E64" s="210">
        <f>-E34</f>
        <v/>
      </c>
      <c r="F64" s="210">
        <f>-F34</f>
        <v/>
      </c>
      <c r="G64" s="210">
        <f>-G34</f>
        <v/>
      </c>
      <c r="H64" s="210">
        <f>-H34</f>
        <v/>
      </c>
      <c r="I64" s="210">
        <f>-I34</f>
        <v/>
      </c>
      <c r="J64" s="210">
        <f>-J34</f>
        <v/>
      </c>
      <c r="K64" s="210">
        <f>-K34</f>
        <v/>
      </c>
      <c r="L64" s="210">
        <f>-L34</f>
        <v/>
      </c>
      <c r="M64" s="210">
        <f>-M34</f>
        <v/>
      </c>
      <c r="N64" s="210">
        <f>-N34</f>
        <v/>
      </c>
      <c r="O64" s="210">
        <f>-O34</f>
        <v/>
      </c>
      <c r="P64" s="210">
        <f>-P34</f>
        <v/>
      </c>
      <c r="Q64" s="210">
        <f>-Q34</f>
        <v/>
      </c>
      <c r="R64" s="210">
        <f>-R34</f>
        <v/>
      </c>
      <c r="S64" s="210">
        <f>-S34</f>
        <v/>
      </c>
      <c r="T64" s="210">
        <f>-T34</f>
        <v/>
      </c>
      <c r="U64" s="210">
        <f>-U34</f>
        <v/>
      </c>
      <c r="V64" s="210">
        <f>-V34</f>
        <v/>
      </c>
      <c r="W64" s="210">
        <f>-W34</f>
        <v/>
      </c>
    </row>
    <row r="65" ht="18.75" customHeight="1">
      <c r="B65" s="208" t="inlineStr">
        <is>
          <t>Outflow : 其它費用(人事薪資…等)</t>
        </is>
      </c>
      <c r="C65" s="211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</row>
    <row r="66" ht="18.75" customHeight="1">
      <c r="B66" s="208" t="inlineStr">
        <is>
          <t>1%管理費</t>
        </is>
      </c>
      <c r="C66" s="211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</row>
    <row r="67" ht="18.75" customHeight="1">
      <c r="B67" s="212" t="inlineStr">
        <is>
          <t>績效獎金</t>
        </is>
      </c>
      <c r="C67" s="211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</row>
    <row r="68" ht="18.75" customHeight="1">
      <c r="B68" s="212" t="inlineStr">
        <is>
          <t>所得稅20%</t>
        </is>
      </c>
      <c r="C68" s="211" t="n"/>
      <c r="D68" s="210">
        <f>-D91</f>
        <v/>
      </c>
      <c r="E68" s="210">
        <f>-E91</f>
        <v/>
      </c>
      <c r="F68" s="210">
        <f>-F91</f>
        <v/>
      </c>
      <c r="G68" s="210">
        <f>-G91</f>
        <v/>
      </c>
      <c r="H68" s="210">
        <f>-H91</f>
        <v/>
      </c>
      <c r="I68" s="210">
        <f>-I91</f>
        <v/>
      </c>
      <c r="J68" s="210">
        <f>-J91</f>
        <v/>
      </c>
      <c r="K68" s="210">
        <f>-K91</f>
        <v/>
      </c>
      <c r="L68" s="210">
        <f>-L91</f>
        <v/>
      </c>
      <c r="M68" s="210">
        <f>-M91</f>
        <v/>
      </c>
      <c r="N68" s="210">
        <f>-N91</f>
        <v/>
      </c>
      <c r="O68" s="210">
        <f>-O91</f>
        <v/>
      </c>
      <c r="P68" s="210">
        <f>-P91</f>
        <v/>
      </c>
      <c r="Q68" s="210">
        <f>-Q91</f>
        <v/>
      </c>
      <c r="R68" s="210">
        <f>-R91</f>
        <v/>
      </c>
      <c r="S68" s="210">
        <f>-S91</f>
        <v/>
      </c>
      <c r="T68" s="210">
        <f>-T91</f>
        <v/>
      </c>
      <c r="U68" s="210">
        <f>-U91</f>
        <v/>
      </c>
      <c r="V68" s="210">
        <f>-V91</f>
        <v/>
      </c>
      <c r="W68" s="210">
        <f>-W91</f>
        <v/>
      </c>
    </row>
    <row r="69" ht="18.75" customHeight="1">
      <c r="B69" s="213" t="inlineStr">
        <is>
          <t>現金流</t>
        </is>
      </c>
      <c r="C69" s="214">
        <f>C58</f>
        <v/>
      </c>
      <c r="D69" s="215">
        <f>SUM(D55:D68)</f>
        <v/>
      </c>
      <c r="E69" s="215">
        <f>SUM(E55:E68)</f>
        <v/>
      </c>
      <c r="F69" s="215">
        <f>SUM(F55:F68)</f>
        <v/>
      </c>
      <c r="G69" s="215">
        <f>SUM(G55:G68)</f>
        <v/>
      </c>
      <c r="H69" s="215">
        <f>SUM(H55:H68)</f>
        <v/>
      </c>
      <c r="I69" s="215">
        <f>SUM(I55:I68)</f>
        <v/>
      </c>
      <c r="J69" s="215">
        <f>SUM(J55:J68)</f>
        <v/>
      </c>
      <c r="K69" s="215">
        <f>SUM(K55:K68)</f>
        <v/>
      </c>
      <c r="L69" s="215">
        <f>SUM(L55:L68)</f>
        <v/>
      </c>
      <c r="M69" s="215">
        <f>SUM(M55:M68)</f>
        <v/>
      </c>
      <c r="N69" s="215">
        <f>SUM(N55:N68)</f>
        <v/>
      </c>
      <c r="O69" s="215">
        <f>SUM(O55:O68)</f>
        <v/>
      </c>
      <c r="P69" s="215">
        <f>SUM(P55:P68)</f>
        <v/>
      </c>
      <c r="Q69" s="215">
        <f>SUM(Q55:Q68)</f>
        <v/>
      </c>
      <c r="R69" s="215">
        <f>SUM(R55:R68)</f>
        <v/>
      </c>
      <c r="S69" s="215">
        <f>SUM(S55:S68)</f>
        <v/>
      </c>
      <c r="T69" s="215">
        <f>SUM(T55:T68)</f>
        <v/>
      </c>
      <c r="U69" s="215">
        <f>SUM(U55:U68)</f>
        <v/>
      </c>
      <c r="V69" s="215">
        <f>SUM(V55:V68)</f>
        <v/>
      </c>
      <c r="W69" s="215">
        <f>SUM(W55:W68)</f>
        <v/>
      </c>
    </row>
    <row r="70" ht="18.75" customHeight="1">
      <c r="B70" s="219" t="inlineStr">
        <is>
          <t>累計現金流</t>
        </is>
      </c>
      <c r="D70" s="220">
        <f>C55+D55</f>
        <v/>
      </c>
      <c r="E70" s="220">
        <f>D56+E55</f>
        <v/>
      </c>
      <c r="F70" s="220">
        <f>E56+F55</f>
        <v/>
      </c>
      <c r="G70" s="220">
        <f>F56+G55</f>
        <v/>
      </c>
      <c r="H70" s="220">
        <f>G56+H55</f>
        <v/>
      </c>
      <c r="I70" s="220">
        <f>H56+I55</f>
        <v/>
      </c>
      <c r="J70" s="220">
        <f>I56+J55</f>
        <v/>
      </c>
      <c r="K70" s="220">
        <f>J56+K55</f>
        <v/>
      </c>
      <c r="L70" s="220">
        <f>K56+L55</f>
        <v/>
      </c>
      <c r="M70" s="220">
        <f>L56+M55</f>
        <v/>
      </c>
      <c r="N70" s="220">
        <f>M56+N55</f>
        <v/>
      </c>
      <c r="O70" s="220">
        <f>N56+O55</f>
        <v/>
      </c>
      <c r="P70" s="220">
        <f>O56+P55</f>
        <v/>
      </c>
      <c r="Q70" s="220">
        <f>P56+Q55</f>
        <v/>
      </c>
      <c r="R70" s="220">
        <f>Q56+R55</f>
        <v/>
      </c>
      <c r="S70" s="220">
        <f>R56+S55</f>
        <v/>
      </c>
      <c r="T70" s="220">
        <f>S56+T55</f>
        <v/>
      </c>
      <c r="U70" s="220">
        <f>T56+U55</f>
        <v/>
      </c>
      <c r="V70" s="220">
        <f>U56+V55</f>
        <v/>
      </c>
      <c r="W70" s="220">
        <f>V56+W55</f>
        <v/>
      </c>
    </row>
    <row r="71" ht="18.75" customHeight="1">
      <c r="B71" s="221" t="inlineStr">
        <is>
          <t>回收年限評估</t>
        </is>
      </c>
      <c r="C71" s="222" t="n"/>
      <c r="D71" s="223">
        <f>IF((D56)&gt;0,"回收","未回收")</f>
        <v/>
      </c>
      <c r="E71" s="224">
        <f>IF((E56)&gt;0,"回收","未回收")</f>
        <v/>
      </c>
      <c r="F71" s="224">
        <f>IF((F56)&gt;0,"回收","未回收")</f>
        <v/>
      </c>
      <c r="G71" s="224">
        <f>IF((G56)&gt;0,"回收","未回收")</f>
        <v/>
      </c>
      <c r="H71" s="224">
        <f>IF((H56)&gt;0,"回收","未回收")</f>
        <v/>
      </c>
      <c r="I71" s="224">
        <f>IF((I56)&gt;0,"回收","未回收")</f>
        <v/>
      </c>
      <c r="J71" s="224">
        <f>IF((J56)&gt;0,"回收","未回收")</f>
        <v/>
      </c>
      <c r="K71" s="224">
        <f>IF((K56)&gt;0,"回收","未回收")</f>
        <v/>
      </c>
      <c r="L71" s="224">
        <f>IF((L56)&gt;0,"回收","未回收")</f>
        <v/>
      </c>
      <c r="M71" s="224">
        <f>IF((M56)&gt;0,"回收","未回收")</f>
        <v/>
      </c>
      <c r="N71" s="224">
        <f>IF((N56)&gt;0,"回收","未回收")</f>
        <v/>
      </c>
      <c r="O71" s="224">
        <f>IF((O56)&gt;0,"回收","未回收")</f>
        <v/>
      </c>
      <c r="P71" s="224">
        <f>IF((P56)&gt;0,"回收","未回收")</f>
        <v/>
      </c>
      <c r="Q71" s="224">
        <f>IF((Q56)&gt;0,"回收","未回收")</f>
        <v/>
      </c>
      <c r="R71" s="224">
        <f>IF((R56)&gt;0,"回收","未回收")</f>
        <v/>
      </c>
      <c r="S71" s="224">
        <f>IF((S56)&gt;0,"回收","未回收")</f>
        <v/>
      </c>
      <c r="T71" s="224">
        <f>IF((T56)&gt;0,"回收","未回收")</f>
        <v/>
      </c>
      <c r="U71" s="224">
        <f>IF((U56)&gt;0,"回收","未回收")</f>
        <v/>
      </c>
      <c r="V71" s="224">
        <f>IF((V56)&gt;0,"回收","未回收")</f>
        <v/>
      </c>
      <c r="W71" s="224">
        <f>IF((W56)&gt;0,"回收","未回收")</f>
        <v/>
      </c>
    </row>
    <row r="72" ht="18.75" customHeight="1">
      <c r="B72" s="225" t="inlineStr">
        <is>
          <t>專案法IRR</t>
        </is>
      </c>
      <c r="C72" s="226">
        <f>IRR(C69:W69)</f>
        <v/>
      </c>
      <c r="D72" s="227" t="n"/>
      <c r="E72" s="227" t="n"/>
      <c r="F72" s="228" t="n"/>
      <c r="G72" s="228" t="n"/>
      <c r="H72" s="228" t="n"/>
      <c r="I72" s="228" t="n"/>
      <c r="J72" s="228" t="n"/>
      <c r="K72" s="228" t="n"/>
      <c r="L72" s="228" t="n"/>
      <c r="M72" s="228" t="n"/>
      <c r="N72" s="228" t="n"/>
      <c r="O72" s="228" t="n"/>
      <c r="P72" s="228" t="n"/>
      <c r="Q72" s="228" t="n"/>
      <c r="R72" s="228" t="n"/>
      <c r="S72" s="228" t="n"/>
      <c r="T72" s="228" t="n"/>
      <c r="U72" s="228" t="n"/>
      <c r="V72" s="228" t="n"/>
      <c r="W72" s="228" t="n"/>
    </row>
    <row r="73" ht="18.75" customHeight="1">
      <c r="B73" s="228" t="n"/>
      <c r="C73" s="227" t="n"/>
      <c r="D73" s="227" t="n"/>
      <c r="E73" s="227" t="n"/>
      <c r="F73" s="228" t="n"/>
      <c r="G73" s="228" t="n"/>
      <c r="H73" s="228" t="n"/>
      <c r="I73" s="228" t="n"/>
      <c r="J73" s="228" t="n"/>
      <c r="K73" s="228" t="n"/>
      <c r="L73" s="228" t="n"/>
      <c r="M73" s="227" t="n"/>
      <c r="N73" s="228" t="n"/>
      <c r="O73" s="228" t="n"/>
      <c r="P73" s="228" t="n"/>
      <c r="Q73" s="228" t="n"/>
      <c r="R73" s="228" t="n"/>
      <c r="S73" s="228" t="n"/>
      <c r="T73" s="228" t="n"/>
      <c r="U73" s="228" t="n"/>
      <c r="V73" s="228" t="n"/>
      <c r="W73" s="228" t="n"/>
    </row>
    <row r="74" ht="18.75" customHeight="1">
      <c r="B74" s="95" t="n"/>
      <c r="C74" s="30" t="inlineStr">
        <is>
          <t>年份</t>
        </is>
      </c>
      <c r="D74" s="30" t="n">
        <v>2023</v>
      </c>
      <c r="E74" s="30" t="n">
        <v>2024</v>
      </c>
      <c r="F74" s="30" t="n">
        <v>2025</v>
      </c>
      <c r="G74" s="30" t="n">
        <v>2026</v>
      </c>
      <c r="H74" s="30" t="n">
        <v>2027</v>
      </c>
      <c r="I74" s="30" t="n">
        <v>2028</v>
      </c>
      <c r="J74" s="30" t="n">
        <v>2029</v>
      </c>
      <c r="K74" s="30" t="n">
        <v>2030</v>
      </c>
      <c r="L74" s="30" t="n">
        <v>2031</v>
      </c>
      <c r="M74" s="30" t="n">
        <v>2032</v>
      </c>
      <c r="N74" s="30" t="n">
        <v>2033</v>
      </c>
      <c r="O74" s="30" t="n">
        <v>2034</v>
      </c>
      <c r="P74" s="30" t="n">
        <v>2035</v>
      </c>
      <c r="Q74" s="30" t="n">
        <v>2036</v>
      </c>
      <c r="R74" s="30" t="n">
        <v>2037</v>
      </c>
      <c r="S74" s="30" t="n">
        <v>2038</v>
      </c>
      <c r="T74" s="30" t="n">
        <v>2039</v>
      </c>
      <c r="U74" s="30" t="n">
        <v>2040</v>
      </c>
      <c r="V74" s="30" t="n">
        <v>2041</v>
      </c>
      <c r="W74" s="30" t="n">
        <v>2042</v>
      </c>
    </row>
    <row r="75" ht="18.75" customHeight="1">
      <c r="B75" s="181" t="n">
        <v>0</v>
      </c>
      <c r="C75" s="182" t="n"/>
      <c r="D75" s="183" t="n"/>
      <c r="E75" s="183" t="n"/>
      <c r="F75" s="184" t="n"/>
      <c r="G75" s="185" t="n"/>
      <c r="H75" s="185" t="n"/>
      <c r="I75" s="185" t="n"/>
      <c r="J75" s="185" t="n"/>
      <c r="K75" s="185" t="n"/>
      <c r="L75" s="185" t="n"/>
      <c r="M75" s="185" t="n"/>
      <c r="N75" s="185" t="n"/>
      <c r="O75" s="185" t="n"/>
      <c r="P75" s="185" t="n"/>
      <c r="Q75" s="185" t="n"/>
      <c r="R75" s="185" t="n"/>
      <c r="S75" s="185" t="n"/>
      <c r="T75" s="230" t="inlineStr">
        <is>
          <t>償還年限</t>
        </is>
      </c>
      <c r="U75" s="185" t="n"/>
      <c r="V75" s="185" t="n"/>
      <c r="W75" s="185" t="n"/>
    </row>
    <row r="76" ht="18.75" customHeight="1">
      <c r="B76" s="188" t="inlineStr">
        <is>
          <t>(Unit : Currency)</t>
        </is>
      </c>
      <c r="C76" s="189" t="n">
        <v>0</v>
      </c>
      <c r="D76" s="190" t="n">
        <v>1</v>
      </c>
      <c r="E76" s="190" t="n">
        <v>2</v>
      </c>
      <c r="F76" s="190" t="n">
        <v>3</v>
      </c>
      <c r="G76" s="190" t="n">
        <v>4</v>
      </c>
      <c r="H76" s="190" t="n">
        <v>5</v>
      </c>
      <c r="I76" s="190" t="n">
        <v>6</v>
      </c>
      <c r="J76" s="190" t="n">
        <v>7</v>
      </c>
      <c r="K76" s="190" t="n">
        <v>8</v>
      </c>
      <c r="L76" s="190" t="n">
        <v>9</v>
      </c>
      <c r="M76" s="190" t="n">
        <v>10</v>
      </c>
      <c r="N76" s="190" t="n">
        <v>11</v>
      </c>
      <c r="O76" s="190" t="n">
        <v>12</v>
      </c>
      <c r="P76" s="190" t="n">
        <v>13</v>
      </c>
      <c r="Q76" s="190" t="n">
        <v>14</v>
      </c>
      <c r="R76" s="190" t="n">
        <v>15</v>
      </c>
      <c r="S76" s="190" t="n">
        <v>16</v>
      </c>
      <c r="T76" s="231" t="n">
        <v>17</v>
      </c>
      <c r="U76" s="190" t="n">
        <v>18</v>
      </c>
      <c r="V76" s="190" t="n">
        <v>19</v>
      </c>
      <c r="W76" s="190" t="n">
        <v>20</v>
      </c>
    </row>
    <row r="77" ht="18.75" customHeight="1">
      <c r="B77" s="192" t="inlineStr">
        <is>
          <t>發電度數(KWH)</t>
        </is>
      </c>
      <c r="C77" s="193" t="n">
        <v>0</v>
      </c>
      <c r="D77" s="194">
        <f>D9</f>
        <v/>
      </c>
      <c r="E77" s="194">
        <f>E9</f>
        <v/>
      </c>
      <c r="F77" s="194">
        <f>F9</f>
        <v/>
      </c>
      <c r="G77" s="194">
        <f>G9</f>
        <v/>
      </c>
      <c r="H77" s="194">
        <f>H9</f>
        <v/>
      </c>
      <c r="I77" s="194">
        <f>I9</f>
        <v/>
      </c>
      <c r="J77" s="194">
        <f>J9</f>
        <v/>
      </c>
      <c r="K77" s="194">
        <f>K9</f>
        <v/>
      </c>
      <c r="L77" s="194">
        <f>L9</f>
        <v/>
      </c>
      <c r="M77" s="194">
        <f>M9</f>
        <v/>
      </c>
      <c r="N77" s="194">
        <f>N9</f>
        <v/>
      </c>
      <c r="O77" s="194">
        <f>O9</f>
        <v/>
      </c>
      <c r="P77" s="194">
        <f>P9</f>
        <v/>
      </c>
      <c r="Q77" s="194">
        <f>Q9</f>
        <v/>
      </c>
      <c r="R77" s="194">
        <f>R9</f>
        <v/>
      </c>
      <c r="S77" s="194">
        <f>S9</f>
        <v/>
      </c>
      <c r="T77" s="194">
        <f>T9</f>
        <v/>
      </c>
      <c r="U77" s="194">
        <f>U9</f>
        <v/>
      </c>
      <c r="V77" s="194">
        <f>V9</f>
        <v/>
      </c>
      <c r="W77" s="194">
        <f>W9</f>
        <v/>
      </c>
    </row>
    <row r="78" ht="18.75" customHeight="1">
      <c r="B78" s="196" t="inlineStr">
        <is>
          <t>Inflow : 電費收入</t>
        </is>
      </c>
      <c r="C78" s="197" t="inlineStr">
        <is>
          <t>-</t>
        </is>
      </c>
      <c r="D78" s="198">
        <f>D14</f>
        <v/>
      </c>
      <c r="E78" s="198">
        <f>E14</f>
        <v/>
      </c>
      <c r="F78" s="198">
        <f>F14</f>
        <v/>
      </c>
      <c r="G78" s="198">
        <f>G14</f>
        <v/>
      </c>
      <c r="H78" s="198">
        <f>H14</f>
        <v/>
      </c>
      <c r="I78" s="198">
        <f>I14</f>
        <v/>
      </c>
      <c r="J78" s="198">
        <f>J14</f>
        <v/>
      </c>
      <c r="K78" s="198">
        <f>K14</f>
        <v/>
      </c>
      <c r="L78" s="198">
        <f>L14</f>
        <v/>
      </c>
      <c r="M78" s="198">
        <f>M14</f>
        <v/>
      </c>
      <c r="N78" s="198">
        <f>N14</f>
        <v/>
      </c>
      <c r="O78" s="198">
        <f>O14</f>
        <v/>
      </c>
      <c r="P78" s="198">
        <f>P14</f>
        <v/>
      </c>
      <c r="Q78" s="198">
        <f>Q14</f>
        <v/>
      </c>
      <c r="R78" s="198">
        <f>R14</f>
        <v/>
      </c>
      <c r="S78" s="198">
        <f>S14</f>
        <v/>
      </c>
      <c r="T78" s="198">
        <f>T14</f>
        <v/>
      </c>
      <c r="U78" s="198">
        <f>U14</f>
        <v/>
      </c>
      <c r="V78" s="198">
        <f>V14</f>
        <v/>
      </c>
      <c r="W78" s="198">
        <f>W14</f>
        <v/>
      </c>
    </row>
    <row r="79" ht="18.75" customHeight="1">
      <c r="B79" s="200" t="inlineStr">
        <is>
          <t>Inflow : 政府補助</t>
        </is>
      </c>
      <c r="C79" s="201" t="inlineStr">
        <is>
          <t>-</t>
        </is>
      </c>
      <c r="D79" s="202" t="n"/>
      <c r="E79" s="202" t="n"/>
      <c r="F79" s="202" t="n"/>
      <c r="G79" s="202" t="inlineStr">
        <is>
          <t>-</t>
        </is>
      </c>
      <c r="H79" s="202" t="inlineStr">
        <is>
          <t>-</t>
        </is>
      </c>
      <c r="I79" s="202" t="inlineStr">
        <is>
          <t>-</t>
        </is>
      </c>
      <c r="J79" s="202" t="inlineStr">
        <is>
          <t>-</t>
        </is>
      </c>
      <c r="K79" s="202" t="inlineStr">
        <is>
          <t>-</t>
        </is>
      </c>
      <c r="L79" s="202" t="inlineStr">
        <is>
          <t>-</t>
        </is>
      </c>
      <c r="M79" s="202" t="inlineStr">
        <is>
          <t>-</t>
        </is>
      </c>
      <c r="N79" s="202" t="inlineStr">
        <is>
          <t>-</t>
        </is>
      </c>
      <c r="O79" s="202" t="inlineStr">
        <is>
          <t>-</t>
        </is>
      </c>
      <c r="P79" s="202" t="inlineStr">
        <is>
          <t>-</t>
        </is>
      </c>
      <c r="Q79" s="202" t="inlineStr">
        <is>
          <t>-</t>
        </is>
      </c>
      <c r="R79" s="202" t="inlineStr">
        <is>
          <t>-</t>
        </is>
      </c>
      <c r="S79" s="202" t="inlineStr">
        <is>
          <t>-</t>
        </is>
      </c>
      <c r="T79" s="202" t="inlineStr">
        <is>
          <t>-</t>
        </is>
      </c>
      <c r="U79" s="202" t="inlineStr">
        <is>
          <t>-</t>
        </is>
      </c>
      <c r="V79" s="202" t="inlineStr">
        <is>
          <t>-</t>
        </is>
      </c>
      <c r="W79" s="202" t="inlineStr">
        <is>
          <t>-</t>
        </is>
      </c>
    </row>
    <row r="80" ht="18.75" customHeight="1">
      <c r="B80" s="204" t="inlineStr">
        <is>
          <t>Inflow : 銀行借款</t>
        </is>
      </c>
      <c r="C80" s="205" t="n"/>
      <c r="D80" s="206" t="n"/>
      <c r="E80" s="206" t="n"/>
      <c r="F80" s="206" t="n"/>
      <c r="G80" s="206" t="n"/>
      <c r="H80" s="206" t="n"/>
      <c r="I80" s="206" t="n"/>
      <c r="J80" s="206" t="n"/>
      <c r="K80" s="206" t="n"/>
      <c r="L80" s="206" t="n"/>
      <c r="M80" s="206" t="n"/>
      <c r="N80" s="206" t="n"/>
      <c r="O80" s="206" t="n"/>
      <c r="P80" s="206" t="n"/>
      <c r="Q80" s="206" t="n"/>
      <c r="R80" s="206" t="n"/>
      <c r="S80" s="206" t="n"/>
      <c r="T80" s="206" t="n"/>
      <c r="U80" s="206" t="n"/>
      <c r="V80" s="206" t="n"/>
      <c r="W80" s="206" t="n"/>
    </row>
    <row r="81" ht="18.75" customHeight="1">
      <c r="B81" s="208" t="inlineStr">
        <is>
          <t>Outflow : 設備折舊</t>
        </is>
      </c>
      <c r="C81" s="201" t="n"/>
      <c r="D81" s="232">
        <f>-D44</f>
        <v/>
      </c>
      <c r="E81" s="232">
        <f>-E44</f>
        <v/>
      </c>
      <c r="F81" s="232">
        <f>-F44</f>
        <v/>
      </c>
      <c r="G81" s="232">
        <f>-G44</f>
        <v/>
      </c>
      <c r="H81" s="232">
        <f>-H44</f>
        <v/>
      </c>
      <c r="I81" s="232">
        <f>-I44</f>
        <v/>
      </c>
      <c r="J81" s="232">
        <f>-J44</f>
        <v/>
      </c>
      <c r="K81" s="232">
        <f>-K44</f>
        <v/>
      </c>
      <c r="L81" s="232">
        <f>-L44</f>
        <v/>
      </c>
      <c r="M81" s="232">
        <f>-M44</f>
        <v/>
      </c>
      <c r="N81" s="232">
        <f>-N44</f>
        <v/>
      </c>
      <c r="O81" s="232">
        <f>-O44</f>
        <v/>
      </c>
      <c r="P81" s="232">
        <f>-P44</f>
        <v/>
      </c>
      <c r="Q81" s="232">
        <f>-Q44</f>
        <v/>
      </c>
      <c r="R81" s="232">
        <f>-R44</f>
        <v/>
      </c>
      <c r="S81" s="232">
        <f>-S44</f>
        <v/>
      </c>
      <c r="T81" s="232">
        <f>-T44</f>
        <v/>
      </c>
      <c r="U81" s="232">
        <f>-U44</f>
        <v/>
      </c>
      <c r="V81" s="232">
        <f>-V44</f>
        <v/>
      </c>
      <c r="W81" s="232">
        <f>-W44</f>
        <v/>
      </c>
    </row>
    <row r="82" ht="18.75" customHeight="1">
      <c r="B82" s="208" t="inlineStr">
        <is>
          <t>Outflow : 設備放置區域租金</t>
        </is>
      </c>
      <c r="C82" s="201" t="inlineStr">
        <is>
          <t>-</t>
        </is>
      </c>
      <c r="D82" s="210">
        <f>-D19</f>
        <v/>
      </c>
      <c r="E82" s="210">
        <f>-E19</f>
        <v/>
      </c>
      <c r="F82" s="210">
        <f>-F19</f>
        <v/>
      </c>
      <c r="G82" s="210">
        <f>-G19</f>
        <v/>
      </c>
      <c r="H82" s="210">
        <f>-H19</f>
        <v/>
      </c>
      <c r="I82" s="210">
        <f>-I19</f>
        <v/>
      </c>
      <c r="J82" s="210">
        <f>-J19</f>
        <v/>
      </c>
      <c r="K82" s="210">
        <f>-K19</f>
        <v/>
      </c>
      <c r="L82" s="210">
        <f>-L19</f>
        <v/>
      </c>
      <c r="M82" s="210">
        <f>-M19</f>
        <v/>
      </c>
      <c r="N82" s="210">
        <f>-N19</f>
        <v/>
      </c>
      <c r="O82" s="210">
        <f>-O19</f>
        <v/>
      </c>
      <c r="P82" s="210">
        <f>-P19</f>
        <v/>
      </c>
      <c r="Q82" s="210">
        <f>-Q19</f>
        <v/>
      </c>
      <c r="R82" s="210">
        <f>-R19</f>
        <v/>
      </c>
      <c r="S82" s="210">
        <f>-S19</f>
        <v/>
      </c>
      <c r="T82" s="210">
        <f>-T19</f>
        <v/>
      </c>
      <c r="U82" s="210">
        <f>-U19</f>
        <v/>
      </c>
      <c r="V82" s="210">
        <f>-V19</f>
        <v/>
      </c>
      <c r="W82" s="210">
        <f>-W19</f>
        <v/>
      </c>
    </row>
    <row r="83" ht="18.75" customHeight="1">
      <c r="B83" s="208" t="inlineStr">
        <is>
          <t>Outflow : 返還借款</t>
        </is>
      </c>
      <c r="C83" s="201" t="n"/>
      <c r="D83" s="202" t="n"/>
      <c r="E83" s="202" t="n"/>
      <c r="F83" s="202" t="n"/>
      <c r="G83" s="202" t="n"/>
      <c r="H83" s="202" t="n"/>
      <c r="I83" s="202" t="n"/>
      <c r="J83" s="202" t="n"/>
      <c r="K83" s="202" t="n"/>
      <c r="L83" s="202" t="n"/>
      <c r="M83" s="202" t="n"/>
      <c r="N83" s="202" t="n"/>
      <c r="O83" s="202" t="n"/>
      <c r="P83" s="202" t="n"/>
      <c r="Q83" s="202" t="n"/>
      <c r="R83" s="202" t="n"/>
      <c r="S83" s="202" t="n"/>
      <c r="T83" s="202" t="n"/>
      <c r="U83" s="202" t="n"/>
      <c r="V83" s="202" t="n"/>
      <c r="W83" s="202" t="n"/>
    </row>
    <row r="84" ht="18.75" customHeight="1">
      <c r="B84" s="208" t="inlineStr">
        <is>
          <t>Outflow : 利息費用</t>
        </is>
      </c>
      <c r="C84" s="201" t="inlineStr">
        <is>
          <t>-</t>
        </is>
      </c>
      <c r="D84" s="210">
        <f>-D122*C50/100</f>
        <v/>
      </c>
      <c r="E84" s="210">
        <f>-E122*C50/100</f>
        <v/>
      </c>
      <c r="F84" s="210">
        <f>-F122*C50/100</f>
        <v/>
      </c>
      <c r="G84" s="210">
        <f>-G122*C50/100</f>
        <v/>
      </c>
      <c r="H84" s="210">
        <f>-H122*C50/100</f>
        <v/>
      </c>
      <c r="I84" s="210">
        <f>-I122*C50/100</f>
        <v/>
      </c>
      <c r="J84" s="210">
        <f>-J122*C50/100</f>
        <v/>
      </c>
      <c r="K84" s="210">
        <f>-K122*C50/100</f>
        <v/>
      </c>
      <c r="L84" s="210">
        <f>-L122*C50/100</f>
        <v/>
      </c>
      <c r="M84" s="210">
        <f>-M122*C50/100</f>
        <v/>
      </c>
      <c r="N84" s="210">
        <f>-N122*C50/100</f>
        <v/>
      </c>
      <c r="O84" s="210">
        <f>-O122*C50/100</f>
        <v/>
      </c>
      <c r="P84" s="210">
        <f>-P122*C50/100</f>
        <v/>
      </c>
      <c r="Q84" s="210">
        <f>-Q122*C50/100</f>
        <v/>
      </c>
      <c r="R84" s="210">
        <f>-R122*C50/100</f>
        <v/>
      </c>
      <c r="S84" s="210">
        <f>-S122*C50/100</f>
        <v/>
      </c>
      <c r="T84" s="210">
        <f>-T122*C50/100</f>
        <v/>
      </c>
      <c r="U84" s="210">
        <f>-U122*C50/100</f>
        <v/>
      </c>
      <c r="V84" s="210">
        <f>-V122*C50/100</f>
        <v/>
      </c>
      <c r="W84" s="210">
        <f>-W122*C50/100</f>
        <v/>
      </c>
    </row>
    <row r="85" ht="18.75" customHeight="1">
      <c r="B85" s="208" t="inlineStr">
        <is>
          <t>Outflow : 維運費</t>
        </is>
      </c>
      <c r="C85" s="201" t="inlineStr">
        <is>
          <t>-</t>
        </is>
      </c>
      <c r="D85" s="210">
        <f>-D24</f>
        <v/>
      </c>
      <c r="E85" s="210">
        <f>-E24</f>
        <v/>
      </c>
      <c r="F85" s="210">
        <f>-F24</f>
        <v/>
      </c>
      <c r="G85" s="210">
        <f>-G24</f>
        <v/>
      </c>
      <c r="H85" s="210">
        <f>-H24</f>
        <v/>
      </c>
      <c r="I85" s="210">
        <f>-I24</f>
        <v/>
      </c>
      <c r="J85" s="210">
        <f>-J24</f>
        <v/>
      </c>
      <c r="K85" s="210">
        <f>-K24</f>
        <v/>
      </c>
      <c r="L85" s="210">
        <f>-L24</f>
        <v/>
      </c>
      <c r="M85" s="210">
        <f>-M24</f>
        <v/>
      </c>
      <c r="N85" s="210">
        <f>-N24</f>
        <v/>
      </c>
      <c r="O85" s="210">
        <f>-O24</f>
        <v/>
      </c>
      <c r="P85" s="210">
        <f>-P24</f>
        <v/>
      </c>
      <c r="Q85" s="210">
        <f>-Q24</f>
        <v/>
      </c>
      <c r="R85" s="210">
        <f>-R24</f>
        <v/>
      </c>
      <c r="S85" s="210">
        <f>-S24</f>
        <v/>
      </c>
      <c r="T85" s="210">
        <f>-T24</f>
        <v/>
      </c>
      <c r="U85" s="210">
        <f>-U24</f>
        <v/>
      </c>
      <c r="V85" s="210">
        <f>-V24</f>
        <v/>
      </c>
      <c r="W85" s="210">
        <f>-W24</f>
        <v/>
      </c>
    </row>
    <row r="86" ht="18.75" customHeight="1">
      <c r="B86" s="208" t="inlineStr">
        <is>
          <t>Outflow : 保險費</t>
        </is>
      </c>
      <c r="C86" s="201" t="inlineStr">
        <is>
          <t>-</t>
        </is>
      </c>
      <c r="D86" s="210">
        <f>-D29</f>
        <v/>
      </c>
      <c r="E86" s="210">
        <f>-E29</f>
        <v/>
      </c>
      <c r="F86" s="210">
        <f>-F29</f>
        <v/>
      </c>
      <c r="G86" s="210">
        <f>-G29</f>
        <v/>
      </c>
      <c r="H86" s="210">
        <f>-H29</f>
        <v/>
      </c>
      <c r="I86" s="210">
        <f>-I29</f>
        <v/>
      </c>
      <c r="J86" s="210">
        <f>-J29</f>
        <v/>
      </c>
      <c r="K86" s="210">
        <f>-K29</f>
        <v/>
      </c>
      <c r="L86" s="210">
        <f>-L29</f>
        <v/>
      </c>
      <c r="M86" s="210">
        <f>-M29</f>
        <v/>
      </c>
      <c r="N86" s="210">
        <f>-N29</f>
        <v/>
      </c>
      <c r="O86" s="210">
        <f>-O29</f>
        <v/>
      </c>
      <c r="P86" s="210">
        <f>-P29</f>
        <v/>
      </c>
      <c r="Q86" s="210">
        <f>-Q29</f>
        <v/>
      </c>
      <c r="R86" s="210">
        <f>-R29</f>
        <v/>
      </c>
      <c r="S86" s="210">
        <f>-S29</f>
        <v/>
      </c>
      <c r="T86" s="210">
        <f>-T29</f>
        <v/>
      </c>
      <c r="U86" s="210">
        <f>-U29</f>
        <v/>
      </c>
      <c r="V86" s="210">
        <f>-V29</f>
        <v/>
      </c>
      <c r="W86" s="210">
        <f>-W29</f>
        <v/>
      </c>
    </row>
    <row r="87" ht="18.75" customHeight="1">
      <c r="B87" s="208" t="inlineStr">
        <is>
          <t>Outflow : 模組回收費</t>
        </is>
      </c>
      <c r="C87" s="201" t="n"/>
      <c r="D87" s="210">
        <f>-D34</f>
        <v/>
      </c>
      <c r="E87" s="210">
        <f>-E34</f>
        <v/>
      </c>
      <c r="F87" s="210">
        <f>-F34</f>
        <v/>
      </c>
      <c r="G87" s="210">
        <f>-G34</f>
        <v/>
      </c>
      <c r="H87" s="210">
        <f>-H34</f>
        <v/>
      </c>
      <c r="I87" s="210">
        <f>-I34</f>
        <v/>
      </c>
      <c r="J87" s="210">
        <f>-J34</f>
        <v/>
      </c>
      <c r="K87" s="210">
        <f>-K34</f>
        <v/>
      </c>
      <c r="L87" s="210">
        <f>-L34</f>
        <v/>
      </c>
      <c r="M87" s="210">
        <f>-M34</f>
        <v/>
      </c>
      <c r="N87" s="210">
        <f>-N34</f>
        <v/>
      </c>
      <c r="O87" s="210">
        <f>-O34</f>
        <v/>
      </c>
      <c r="P87" s="210">
        <f>-P34</f>
        <v/>
      </c>
      <c r="Q87" s="210">
        <f>-Q34</f>
        <v/>
      </c>
      <c r="R87" s="210">
        <f>-R34</f>
        <v/>
      </c>
      <c r="S87" s="210">
        <f>-S34</f>
        <v/>
      </c>
      <c r="T87" s="210">
        <f>-T34</f>
        <v/>
      </c>
      <c r="U87" s="210">
        <f>-U34</f>
        <v/>
      </c>
      <c r="V87" s="210">
        <f>-V34</f>
        <v/>
      </c>
      <c r="W87" s="210">
        <f>-W34</f>
        <v/>
      </c>
    </row>
    <row r="88" ht="18.75" customHeight="1">
      <c r="B88" s="208" t="inlineStr">
        <is>
          <t>Outflow : 其它費用(人事薪資…等)</t>
        </is>
      </c>
      <c r="C88" s="211" t="n"/>
      <c r="D88" s="233" t="n"/>
      <c r="E88" s="234" t="n"/>
      <c r="F88" s="202" t="n"/>
      <c r="G88" s="202" t="n"/>
      <c r="H88" s="202" t="n"/>
      <c r="I88" s="202" t="n"/>
      <c r="J88" s="202" t="n"/>
      <c r="K88" s="202" t="n"/>
      <c r="L88" s="202" t="n"/>
      <c r="M88" s="202" t="n"/>
      <c r="N88" s="202" t="n"/>
      <c r="O88" s="202" t="n"/>
      <c r="P88" s="202" t="n"/>
      <c r="Q88" s="202" t="n"/>
      <c r="R88" s="202" t="n"/>
      <c r="S88" s="202" t="n"/>
      <c r="T88" s="202" t="n"/>
      <c r="U88" s="202" t="n"/>
      <c r="V88" s="202" t="n"/>
      <c r="W88" s="202" t="n"/>
    </row>
    <row r="89" ht="18.75" customHeight="1">
      <c r="B89" s="208" t="inlineStr">
        <is>
          <t>1%管理費</t>
        </is>
      </c>
      <c r="C89" s="211" t="n"/>
      <c r="D89" s="202" t="n"/>
      <c r="E89" s="202" t="n"/>
      <c r="F89" s="202" t="n"/>
      <c r="G89" s="202" t="n"/>
      <c r="H89" s="202" t="n"/>
      <c r="I89" s="202" t="n"/>
      <c r="J89" s="202" t="n"/>
      <c r="K89" s="202" t="n"/>
      <c r="L89" s="202" t="n"/>
      <c r="M89" s="202" t="n"/>
      <c r="N89" s="202" t="n"/>
      <c r="O89" s="202" t="n"/>
      <c r="P89" s="202" t="n"/>
      <c r="Q89" s="202" t="n"/>
      <c r="R89" s="202" t="n"/>
      <c r="S89" s="202" t="n"/>
      <c r="T89" s="202" t="n"/>
      <c r="U89" s="202" t="n"/>
      <c r="V89" s="202" t="n"/>
      <c r="W89" s="202" t="n"/>
    </row>
    <row r="90" ht="18.75" customHeight="1">
      <c r="B90" s="213" t="inlineStr">
        <is>
          <t>稅前淨利</t>
        </is>
      </c>
      <c r="C90" s="235" t="n"/>
      <c r="D90" s="215">
        <f>SUM(D78:D89)</f>
        <v/>
      </c>
      <c r="E90" s="215">
        <f>SUM(E78:E89)</f>
        <v/>
      </c>
      <c r="F90" s="215">
        <f>SUM(F78:F89)</f>
        <v/>
      </c>
      <c r="G90" s="215">
        <f>SUM(G78:G89)</f>
        <v/>
      </c>
      <c r="H90" s="215">
        <f>SUM(H78:H89)</f>
        <v/>
      </c>
      <c r="I90" s="215">
        <f>SUM(I78:I89)</f>
        <v/>
      </c>
      <c r="J90" s="215">
        <f>SUM(J78:J89)</f>
        <v/>
      </c>
      <c r="K90" s="215">
        <f>SUM(K78:K89)</f>
        <v/>
      </c>
      <c r="L90" s="215">
        <f>SUM(L78:L89)</f>
        <v/>
      </c>
      <c r="M90" s="215">
        <f>SUM(M78:M89)</f>
        <v/>
      </c>
      <c r="N90" s="215">
        <f>SUM(N78:N89)</f>
        <v/>
      </c>
      <c r="O90" s="215">
        <f>SUM(O78:O89)</f>
        <v/>
      </c>
      <c r="P90" s="215">
        <f>SUM(P78:P89)</f>
        <v/>
      </c>
      <c r="Q90" s="215">
        <f>SUM(Q78:Q89)</f>
        <v/>
      </c>
      <c r="R90" s="215">
        <f>SUM(R78:R89)</f>
        <v/>
      </c>
      <c r="S90" s="215">
        <f>SUM(S78:S89)</f>
        <v/>
      </c>
      <c r="T90" s="215">
        <f>SUM(T78:T89)</f>
        <v/>
      </c>
      <c r="U90" s="215">
        <f>SUM(U78:U89)</f>
        <v/>
      </c>
      <c r="V90" s="215">
        <f>SUM(V78:V89)</f>
        <v/>
      </c>
      <c r="W90" s="215">
        <f>SUM(W78:W89)</f>
        <v/>
      </c>
    </row>
    <row r="91" ht="18.75" customHeight="1">
      <c r="B91" s="212" t="inlineStr">
        <is>
          <t>所得稅20%</t>
        </is>
      </c>
      <c r="C91" s="211" t="n"/>
      <c r="D91" s="210">
        <f>D90*0.2</f>
        <v/>
      </c>
      <c r="E91" s="210">
        <f>E90*0.2</f>
        <v/>
      </c>
      <c r="F91" s="210">
        <f>F90*0.2</f>
        <v/>
      </c>
      <c r="G91" s="210">
        <f>G90*0.2</f>
        <v/>
      </c>
      <c r="H91" s="210">
        <f>H90*0.2</f>
        <v/>
      </c>
      <c r="I91" s="210">
        <f>I90*0.2</f>
        <v/>
      </c>
      <c r="J91" s="210">
        <f>J90*0.2</f>
        <v/>
      </c>
      <c r="K91" s="210">
        <f>K90*0.2</f>
        <v/>
      </c>
      <c r="L91" s="210">
        <f>L90*0.2</f>
        <v/>
      </c>
      <c r="M91" s="210">
        <f>M90*0.2</f>
        <v/>
      </c>
      <c r="N91" s="210">
        <f>N90*0.2</f>
        <v/>
      </c>
      <c r="O91" s="210">
        <f>O90*0.2</f>
        <v/>
      </c>
      <c r="P91" s="210">
        <f>P90*0.2</f>
        <v/>
      </c>
      <c r="Q91" s="210">
        <f>Q90*0.2</f>
        <v/>
      </c>
      <c r="R91" s="210">
        <f>R90*0.2</f>
        <v/>
      </c>
      <c r="S91" s="210">
        <f>S90*0.2</f>
        <v/>
      </c>
      <c r="T91" s="210">
        <f>T90*0.2</f>
        <v/>
      </c>
      <c r="U91" s="210">
        <f>U90*0.2</f>
        <v/>
      </c>
      <c r="V91" s="210">
        <f>V90*0.2</f>
        <v/>
      </c>
      <c r="W91" s="210">
        <f>W90*0.2</f>
        <v/>
      </c>
    </row>
    <row r="92">
      <c r="B92" s="236" t="inlineStr">
        <is>
          <t>稅後淨利</t>
        </is>
      </c>
      <c r="D92" s="210">
        <f>D90-D91</f>
        <v/>
      </c>
      <c r="E92" s="210">
        <f>E90-E91</f>
        <v/>
      </c>
      <c r="F92" s="210">
        <f>F90-F91</f>
        <v/>
      </c>
      <c r="G92" s="210">
        <f>G90-G91</f>
        <v/>
      </c>
      <c r="H92" s="210">
        <f>H90-H91</f>
        <v/>
      </c>
      <c r="I92" s="210">
        <f>I90-I91</f>
        <v/>
      </c>
      <c r="J92" s="210">
        <f>J90-J91</f>
        <v/>
      </c>
      <c r="K92" s="210">
        <f>K90-K91</f>
        <v/>
      </c>
      <c r="L92" s="210">
        <f>L90-L91</f>
        <v/>
      </c>
      <c r="M92" s="210">
        <f>M90-M91</f>
        <v/>
      </c>
      <c r="N92" s="210">
        <f>N90-N91</f>
        <v/>
      </c>
      <c r="O92" s="210">
        <f>O90-O91</f>
        <v/>
      </c>
      <c r="P92" s="210">
        <f>P90-P91</f>
        <v/>
      </c>
      <c r="Q92" s="210">
        <f>Q90-Q91</f>
        <v/>
      </c>
      <c r="R92" s="210">
        <f>R90-R91</f>
        <v/>
      </c>
      <c r="S92" s="210">
        <f>S90-S91</f>
        <v/>
      </c>
      <c r="T92" s="210">
        <f>T90-T91</f>
        <v/>
      </c>
      <c r="U92" s="210">
        <f>U90-U91</f>
        <v/>
      </c>
      <c r="V92" s="210">
        <f>V90-V91</f>
        <v/>
      </c>
      <c r="W92" s="210">
        <f>W90-W91</f>
        <v/>
      </c>
    </row>
    <row r="93" ht="18.75" customHeight="1">
      <c r="B93" s="219" t="inlineStr">
        <is>
          <t>累計現金流</t>
        </is>
      </c>
      <c r="C93" s="237" t="n"/>
      <c r="D93" s="238" t="n"/>
      <c r="E93" s="238" t="n"/>
      <c r="F93" s="238" t="n"/>
      <c r="G93" s="238" t="n"/>
      <c r="H93" s="238" t="n"/>
      <c r="I93" s="238" t="n"/>
      <c r="J93" s="238" t="n"/>
      <c r="K93" s="238" t="n"/>
      <c r="L93" s="238" t="n"/>
      <c r="M93" s="238" t="n"/>
      <c r="N93" s="238" t="n"/>
      <c r="O93" s="238" t="n"/>
      <c r="P93" s="238" t="n"/>
      <c r="Q93" s="238" t="n"/>
      <c r="R93" s="238" t="n"/>
      <c r="S93" s="238" t="n"/>
      <c r="T93" s="238" t="n"/>
      <c r="U93" s="238" t="n"/>
      <c r="V93" s="238" t="n"/>
      <c r="W93" s="238" t="n"/>
    </row>
    <row r="94" ht="18.75" customHeight="1">
      <c r="B94" s="240" t="inlineStr">
        <is>
          <t>回收年限評估</t>
        </is>
      </c>
      <c r="C94" s="241" t="n"/>
      <c r="D94" s="242" t="n"/>
      <c r="E94" s="242" t="n"/>
      <c r="F94" s="242" t="n"/>
      <c r="G94" s="242" t="n"/>
      <c r="H94" s="242" t="n"/>
      <c r="I94" s="242" t="n"/>
      <c r="J94" s="242" t="n"/>
      <c r="K94" s="242" t="n"/>
      <c r="L94" s="242" t="n"/>
      <c r="M94" s="242" t="n"/>
      <c r="N94" s="242" t="n"/>
      <c r="O94" s="242" t="n"/>
      <c r="P94" s="242" t="n"/>
      <c r="Q94" s="242" t="n"/>
      <c r="R94" s="242" t="n"/>
      <c r="S94" s="242" t="n"/>
      <c r="T94" s="242" t="n"/>
      <c r="U94" s="242" t="n"/>
      <c r="V94" s="242" t="n"/>
      <c r="W94" s="242" t="n"/>
    </row>
    <row r="95" ht="18.75" customHeight="1">
      <c r="C95" s="244" t="inlineStr">
        <is>
          <t>年份</t>
        </is>
      </c>
      <c r="D95" s="245" t="n">
        <v>2023</v>
      </c>
      <c r="E95" s="245" t="n">
        <v>2024</v>
      </c>
      <c r="F95" s="245" t="n">
        <v>2025</v>
      </c>
      <c r="G95" s="245" t="n">
        <v>2026</v>
      </c>
      <c r="H95" s="245" t="n">
        <v>2027</v>
      </c>
      <c r="I95" s="245" t="n">
        <v>2028</v>
      </c>
      <c r="J95" s="245" t="n">
        <v>2029</v>
      </c>
      <c r="K95" s="245" t="n">
        <v>2030</v>
      </c>
      <c r="L95" s="245" t="n">
        <v>2031</v>
      </c>
      <c r="M95" s="245" t="n">
        <v>2032</v>
      </c>
      <c r="N95" s="245" t="n">
        <v>2033</v>
      </c>
      <c r="O95" s="245" t="n">
        <v>2034</v>
      </c>
      <c r="P95" s="245" t="n">
        <v>2035</v>
      </c>
      <c r="Q95" s="245" t="n">
        <v>2036</v>
      </c>
      <c r="R95" s="245" t="n">
        <v>2037</v>
      </c>
      <c r="S95" s="245" t="n">
        <v>2038</v>
      </c>
      <c r="T95" s="245" t="n">
        <v>2039</v>
      </c>
      <c r="U95" s="245" t="n">
        <v>2040</v>
      </c>
      <c r="V95" s="245" t="n">
        <v>2041</v>
      </c>
      <c r="W95" s="245" t="n">
        <v>2042</v>
      </c>
      <c r="X95" s="245" t="n"/>
    </row>
    <row r="96" ht="18.75" customHeight="1"/>
    <row r="97" ht="18.75" customHeight="1">
      <c r="B97" s="247" t="inlineStr">
        <is>
          <t>(Unit : Currency)</t>
        </is>
      </c>
      <c r="C97" s="247" t="n">
        <v>0</v>
      </c>
      <c r="D97" s="247" t="n">
        <v>1</v>
      </c>
      <c r="E97" s="247" t="n">
        <v>2</v>
      </c>
      <c r="F97" s="247" t="n">
        <v>3</v>
      </c>
      <c r="G97" s="247" t="n">
        <v>4</v>
      </c>
      <c r="H97" s="247" t="n">
        <v>5</v>
      </c>
      <c r="I97" s="247" t="n">
        <v>6</v>
      </c>
      <c r="J97" s="247" t="n">
        <v>7</v>
      </c>
      <c r="K97" s="247" t="n">
        <v>8</v>
      </c>
      <c r="L97" s="247" t="n">
        <v>9</v>
      </c>
      <c r="M97" s="247" t="n">
        <v>10</v>
      </c>
      <c r="N97" s="247" t="n">
        <v>11</v>
      </c>
      <c r="O97" s="247" t="n">
        <v>12</v>
      </c>
      <c r="P97" s="247" t="n">
        <v>13</v>
      </c>
      <c r="Q97" s="247" t="n">
        <v>14</v>
      </c>
      <c r="R97" s="247" t="n">
        <v>15</v>
      </c>
      <c r="S97" s="247" t="n">
        <v>16</v>
      </c>
      <c r="T97" s="247" t="n">
        <v>17</v>
      </c>
      <c r="U97" s="247" t="n">
        <v>18</v>
      </c>
      <c r="V97" s="247" t="n">
        <v>19</v>
      </c>
      <c r="W97" s="247" t="n">
        <v>20</v>
      </c>
      <c r="X97" s="247" t="n"/>
    </row>
    <row r="98" ht="18.75" customHeight="1">
      <c r="B98" s="248" t="inlineStr">
        <is>
          <t>稅後淨利</t>
        </is>
      </c>
      <c r="C98" s="248" t="n"/>
      <c r="D98" s="249">
        <f>D92</f>
        <v/>
      </c>
      <c r="E98" s="249">
        <f>E92</f>
        <v/>
      </c>
      <c r="F98" s="249">
        <f>F92</f>
        <v/>
      </c>
      <c r="G98" s="249">
        <f>G92</f>
        <v/>
      </c>
      <c r="H98" s="249">
        <f>H92</f>
        <v/>
      </c>
      <c r="I98" s="249">
        <f>I92</f>
        <v/>
      </c>
      <c r="J98" s="249">
        <f>J92</f>
        <v/>
      </c>
      <c r="K98" s="249">
        <f>K92</f>
        <v/>
      </c>
      <c r="L98" s="249">
        <f>L92</f>
        <v/>
      </c>
      <c r="M98" s="249">
        <f>M92</f>
        <v/>
      </c>
      <c r="N98" s="249">
        <f>N92</f>
        <v/>
      </c>
      <c r="O98" s="249">
        <f>O92</f>
        <v/>
      </c>
      <c r="P98" s="249">
        <f>P92</f>
        <v/>
      </c>
      <c r="Q98" s="249">
        <f>Q92</f>
        <v/>
      </c>
      <c r="R98" s="249">
        <f>R92</f>
        <v/>
      </c>
      <c r="S98" s="249">
        <f>S92</f>
        <v/>
      </c>
      <c r="T98" s="249">
        <f>T92</f>
        <v/>
      </c>
      <c r="U98" s="249">
        <f>U92</f>
        <v/>
      </c>
      <c r="V98" s="249">
        <f>V92</f>
        <v/>
      </c>
      <c r="W98" s="249">
        <f>W92</f>
        <v/>
      </c>
      <c r="X98" s="249" t="n"/>
    </row>
    <row r="99">
      <c r="B99" s="248" t="inlineStr">
        <is>
          <t>設備折舊</t>
        </is>
      </c>
      <c r="C99" s="248" t="n"/>
      <c r="D99" s="250">
        <f>D44</f>
        <v/>
      </c>
      <c r="E99" s="250">
        <f>E44</f>
        <v/>
      </c>
      <c r="F99" s="250">
        <f>F44</f>
        <v/>
      </c>
      <c r="G99" s="250">
        <f>G44</f>
        <v/>
      </c>
      <c r="H99" s="250">
        <f>H44</f>
        <v/>
      </c>
      <c r="I99" s="250">
        <f>I44</f>
        <v/>
      </c>
      <c r="J99" s="250">
        <f>J44</f>
        <v/>
      </c>
      <c r="K99" s="250">
        <f>K44</f>
        <v/>
      </c>
      <c r="L99" s="250">
        <f>L44</f>
        <v/>
      </c>
      <c r="M99" s="250">
        <f>M44</f>
        <v/>
      </c>
      <c r="N99" s="250">
        <f>N44</f>
        <v/>
      </c>
      <c r="O99" s="250">
        <f>O44</f>
        <v/>
      </c>
      <c r="P99" s="250">
        <f>P44</f>
        <v/>
      </c>
      <c r="Q99" s="250">
        <f>Q44</f>
        <v/>
      </c>
      <c r="R99" s="250">
        <f>R44</f>
        <v/>
      </c>
      <c r="S99" s="250">
        <f>S44</f>
        <v/>
      </c>
      <c r="T99" s="250">
        <f>T44</f>
        <v/>
      </c>
      <c r="U99" s="250">
        <f>U44</f>
        <v/>
      </c>
      <c r="V99" s="250">
        <f>V44</f>
        <v/>
      </c>
      <c r="W99" s="250">
        <f>W44</f>
        <v/>
      </c>
      <c r="X99" s="250" t="n"/>
    </row>
    <row r="100">
      <c r="B100" s="248" t="inlineStr">
        <is>
          <t>營運活動現金流量</t>
        </is>
      </c>
      <c r="C100" s="248" t="n"/>
      <c r="D100" s="252">
        <f>D98+D99</f>
        <v/>
      </c>
      <c r="E100" s="252">
        <f>E98+E99</f>
        <v/>
      </c>
      <c r="F100" s="252">
        <f>F98+F99</f>
        <v/>
      </c>
      <c r="G100" s="252">
        <f>G98+G99</f>
        <v/>
      </c>
      <c r="H100" s="252">
        <f>H98+H99</f>
        <v/>
      </c>
      <c r="I100" s="252">
        <f>I98+I99</f>
        <v/>
      </c>
      <c r="J100" s="252">
        <f>J98+J99</f>
        <v/>
      </c>
      <c r="K100" s="252">
        <f>K98+K99</f>
        <v/>
      </c>
      <c r="L100" s="252">
        <f>L98+L99</f>
        <v/>
      </c>
      <c r="M100" s="252">
        <f>M98+M99</f>
        <v/>
      </c>
      <c r="N100" s="252">
        <f>N98+N99</f>
        <v/>
      </c>
      <c r="O100" s="252">
        <f>O98+O99</f>
        <v/>
      </c>
      <c r="P100" s="252">
        <f>P98+P99</f>
        <v/>
      </c>
      <c r="Q100" s="252">
        <f>Q98+Q99</f>
        <v/>
      </c>
      <c r="R100" s="252">
        <f>R98+R99</f>
        <v/>
      </c>
      <c r="S100" s="252">
        <f>S98+S99</f>
        <v/>
      </c>
      <c r="T100" s="252">
        <f>T98+T99</f>
        <v/>
      </c>
      <c r="U100" s="252">
        <f>U98+U99</f>
        <v/>
      </c>
      <c r="V100" s="252">
        <f>V98+V99</f>
        <v/>
      </c>
      <c r="W100" s="252">
        <f>W98+W99</f>
        <v/>
      </c>
      <c r="X100" s="252" t="n"/>
    </row>
    <row r="101">
      <c r="B101" s="248" t="n"/>
      <c r="C101" s="248" t="n"/>
      <c r="D101" s="248" t="n"/>
      <c r="E101" s="248" t="n"/>
      <c r="F101" s="254" t="n"/>
      <c r="G101" s="254" t="n"/>
      <c r="H101" s="254" t="n"/>
      <c r="I101" s="254" t="n"/>
      <c r="J101" s="254" t="n"/>
      <c r="K101" s="254" t="n"/>
      <c r="L101" s="254" t="n"/>
      <c r="M101" s="254" t="n"/>
      <c r="N101" s="254" t="n"/>
      <c r="O101" s="254" t="n"/>
      <c r="P101" s="254" t="n"/>
      <c r="Q101" s="254" t="n"/>
      <c r="R101" s="254" t="n"/>
      <c r="S101" s="254" t="n"/>
      <c r="T101" s="254" t="n"/>
      <c r="U101" s="254" t="n"/>
      <c r="V101" s="254" t="n"/>
      <c r="W101" s="254" t="n"/>
      <c r="X101" s="248" t="n"/>
    </row>
    <row r="102">
      <c r="B102" s="256" t="inlineStr">
        <is>
          <t>投資活動-設備支出</t>
        </is>
      </c>
      <c r="C102" s="257" t="n"/>
      <c r="D102" s="258">
        <f>C58</f>
        <v/>
      </c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</row>
    <row r="103">
      <c r="B103" s="248" t="n"/>
      <c r="C103" s="248" t="n"/>
      <c r="D103" s="248" t="n"/>
      <c r="E103" s="248" t="n"/>
      <c r="F103" s="254" t="n"/>
      <c r="G103" s="254" t="n"/>
      <c r="H103" s="254" t="n"/>
      <c r="I103" s="254" t="n"/>
      <c r="J103" s="254" t="n"/>
      <c r="K103" s="254" t="n"/>
      <c r="L103" s="254" t="n"/>
      <c r="M103" s="254" t="n"/>
      <c r="N103" s="254" t="n"/>
      <c r="O103" s="254" t="n"/>
      <c r="P103" s="254" t="n"/>
      <c r="Q103" s="254" t="n"/>
      <c r="R103" s="254" t="n"/>
      <c r="S103" s="254" t="n"/>
      <c r="T103" s="254" t="n"/>
      <c r="U103" s="254" t="n"/>
      <c r="V103" s="254" t="n"/>
      <c r="W103" s="254" t="n"/>
      <c r="X103" s="248" t="n"/>
    </row>
    <row r="104">
      <c r="B104" s="248" t="n"/>
      <c r="C104" s="248" t="n"/>
      <c r="D104" s="248" t="n"/>
      <c r="E104" s="248" t="n"/>
      <c r="F104" s="254" t="n"/>
      <c r="G104" s="254" t="n"/>
      <c r="H104" s="254" t="n"/>
      <c r="I104" s="254" t="n"/>
      <c r="J104" s="254" t="n"/>
      <c r="K104" s="254" t="n"/>
      <c r="L104" s="254" t="n"/>
      <c r="M104" s="254" t="n"/>
      <c r="N104" s="254" t="n"/>
      <c r="O104" s="254" t="n"/>
      <c r="P104" s="254" t="n"/>
      <c r="Q104" s="254" t="n"/>
      <c r="R104" s="254" t="n"/>
      <c r="S104" s="254" t="n"/>
      <c r="T104" s="254" t="n"/>
      <c r="U104" s="254" t="n"/>
      <c r="V104" s="254" t="n"/>
      <c r="W104" s="254" t="n"/>
      <c r="X104" s="248" t="n"/>
    </row>
    <row r="105">
      <c r="B105" s="256" t="inlineStr">
        <is>
          <t>理財活動-借款</t>
        </is>
      </c>
      <c r="C105" s="257" t="n"/>
      <c r="D105" s="258">
        <f>-D102*C46/100</f>
        <v/>
      </c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</row>
    <row r="106">
      <c r="B106" s="248" t="inlineStr">
        <is>
          <t>理財活動-還款</t>
        </is>
      </c>
      <c r="C106" s="248" t="n"/>
      <c r="D106" s="260" t="n"/>
      <c r="E106" s="260">
        <f>-D105/C47</f>
        <v/>
      </c>
      <c r="F106" s="260">
        <f>-D105/C47</f>
        <v/>
      </c>
      <c r="G106" s="260">
        <f>-D105/C47</f>
        <v/>
      </c>
      <c r="H106" s="260">
        <f>-D105/C47</f>
        <v/>
      </c>
      <c r="I106" s="260">
        <f>-D105/C47</f>
        <v/>
      </c>
      <c r="J106" s="260">
        <f>-D105/C47</f>
        <v/>
      </c>
      <c r="K106" s="260">
        <f>-D105/C47</f>
        <v/>
      </c>
      <c r="L106" s="260">
        <f>-D105/C47</f>
        <v/>
      </c>
      <c r="M106" s="260">
        <f>-D105/C47</f>
        <v/>
      </c>
      <c r="N106" s="260">
        <f>-D105/C47</f>
        <v/>
      </c>
      <c r="O106" s="260">
        <f>-D105/C47</f>
        <v/>
      </c>
      <c r="P106" s="260">
        <f>-D105/C47</f>
        <v/>
      </c>
      <c r="Q106" s="260">
        <f>-D105/C47</f>
        <v/>
      </c>
      <c r="R106" s="260">
        <f>-D105/C47</f>
        <v/>
      </c>
      <c r="S106" s="260">
        <f>-D105/C47</f>
        <v/>
      </c>
      <c r="T106" s="260" t="n"/>
      <c r="U106" s="260" t="n"/>
      <c r="V106" s="260" t="n"/>
      <c r="W106" s="260" t="n"/>
      <c r="X106" s="260" t="n"/>
    </row>
    <row r="107">
      <c r="B107" s="248" t="inlineStr">
        <is>
          <t>理財活動-現金增資</t>
        </is>
      </c>
      <c r="C107" s="254" t="n"/>
      <c r="D107" s="249">
        <f>-D102*(1-C46/100)</f>
        <v/>
      </c>
      <c r="E107" s="254" t="n"/>
      <c r="F107" s="254" t="n"/>
      <c r="G107" s="254" t="n"/>
      <c r="H107" s="254" t="n"/>
      <c r="I107" s="254" t="n"/>
      <c r="J107" s="254" t="n"/>
      <c r="K107" s="254" t="n"/>
      <c r="L107" s="254" t="n"/>
      <c r="M107" s="254" t="n"/>
      <c r="N107" s="254" t="n"/>
      <c r="O107" s="254" t="n"/>
      <c r="P107" s="254" t="n"/>
      <c r="Q107" s="254" t="n"/>
      <c r="R107" s="254" t="n"/>
      <c r="S107" s="254" t="n"/>
      <c r="T107" s="254" t="n"/>
      <c r="U107" s="254" t="n"/>
      <c r="V107" s="254" t="n"/>
      <c r="W107" s="254" t="n"/>
      <c r="X107" s="254" t="n"/>
    </row>
    <row r="108">
      <c r="B108" s="248" t="inlineStr">
        <is>
          <t>現金股利</t>
        </is>
      </c>
      <c r="C108" s="254" t="n"/>
      <c r="D108" s="254" t="n"/>
      <c r="E108" s="261">
        <f>-D98*C48/100</f>
        <v/>
      </c>
      <c r="F108" s="261">
        <f>-E98*C48/100</f>
        <v/>
      </c>
      <c r="G108" s="261">
        <f>-F98*C48/100</f>
        <v/>
      </c>
      <c r="H108" s="261">
        <f>-G98*C48/100</f>
        <v/>
      </c>
      <c r="I108" s="261">
        <f>-H98*C48/100</f>
        <v/>
      </c>
      <c r="J108" s="261">
        <f>-I98*C48/100</f>
        <v/>
      </c>
      <c r="K108" s="261">
        <f>-J98*C48/100</f>
        <v/>
      </c>
      <c r="L108" s="261">
        <f>-K98*C48/100</f>
        <v/>
      </c>
      <c r="M108" s="261">
        <f>-L98*C48/100</f>
        <v/>
      </c>
      <c r="N108" s="261">
        <f>-M98*C48/100</f>
        <v/>
      </c>
      <c r="O108" s="261">
        <f>-N98*C48/100</f>
        <v/>
      </c>
      <c r="P108" s="261">
        <f>-O98*C48/100</f>
        <v/>
      </c>
      <c r="Q108" s="261">
        <f>-P98*C48/100</f>
        <v/>
      </c>
      <c r="R108" s="261">
        <f>-Q98*C48/100</f>
        <v/>
      </c>
      <c r="S108" s="261">
        <f>-R98*C48/100</f>
        <v/>
      </c>
      <c r="T108" s="261">
        <f>-S98*C48/100</f>
        <v/>
      </c>
      <c r="U108" s="261">
        <f>-T98*C48/100</f>
        <v/>
      </c>
      <c r="V108" s="261">
        <f>-U98*C48/100</f>
        <v/>
      </c>
      <c r="W108" s="261">
        <f>-V98*C48/100</f>
        <v/>
      </c>
      <c r="X108" s="261" t="n"/>
    </row>
    <row r="109">
      <c r="B109" s="262" t="inlineStr">
        <is>
          <t>年底減資</t>
        </is>
      </c>
      <c r="C109" s="263" t="n"/>
      <c r="D109" s="263" t="n"/>
      <c r="E109" s="264" t="n"/>
      <c r="F109" s="264" t="n"/>
      <c r="G109" s="264" t="n"/>
      <c r="H109" s="264" t="n"/>
      <c r="I109" s="264" t="n"/>
      <c r="J109" s="264" t="n"/>
      <c r="K109" s="264" t="n"/>
      <c r="L109" s="264" t="n"/>
      <c r="M109" s="264" t="n"/>
      <c r="N109" s="264" t="n"/>
      <c r="O109" s="264" t="n"/>
      <c r="P109" s="264" t="n"/>
      <c r="Q109" s="264" t="n"/>
      <c r="R109" s="264" t="n"/>
      <c r="S109" s="264" t="n"/>
      <c r="T109" s="264">
        <f>-D107/C49</f>
        <v/>
      </c>
      <c r="U109" s="264">
        <f>-D107/C49</f>
        <v/>
      </c>
      <c r="V109" s="264">
        <f>-D107/C49</f>
        <v/>
      </c>
      <c r="W109" s="264">
        <f>-D107/C49</f>
        <v/>
      </c>
      <c r="X109" s="264" t="n"/>
    </row>
    <row r="110">
      <c r="B110" s="254" t="n"/>
      <c r="C110" s="254" t="n"/>
      <c r="D110" s="254" t="n"/>
      <c r="E110" s="254" t="n"/>
      <c r="F110" s="254" t="n"/>
      <c r="G110" s="254" t="n"/>
      <c r="H110" s="254" t="n"/>
      <c r="I110" s="254" t="n"/>
      <c r="J110" s="254" t="n"/>
      <c r="K110" s="254" t="n"/>
      <c r="L110" s="254" t="n"/>
      <c r="M110" s="254" t="n"/>
      <c r="N110" s="254" t="n"/>
      <c r="O110" s="254" t="n"/>
      <c r="P110" s="254" t="n"/>
      <c r="Q110" s="254" t="n"/>
      <c r="R110" s="254" t="n"/>
      <c r="S110" s="254" t="n"/>
      <c r="T110" s="254" t="n"/>
      <c r="U110" s="254" t="n"/>
      <c r="V110" s="254" t="n"/>
      <c r="W110" s="254" t="n"/>
      <c r="X110" s="254" t="n"/>
    </row>
    <row r="111">
      <c r="B111" s="254" t="n"/>
      <c r="C111" s="254" t="n"/>
      <c r="D111" s="254" t="n"/>
      <c r="E111" s="254" t="n"/>
      <c r="F111" s="254" t="n"/>
      <c r="G111" s="254" t="n"/>
      <c r="H111" s="254" t="n"/>
      <c r="I111" s="254" t="n"/>
      <c r="J111" s="254" t="n"/>
      <c r="K111" s="254" t="n"/>
      <c r="L111" s="254" t="n"/>
      <c r="M111" s="254" t="n"/>
      <c r="N111" s="254" t="n"/>
      <c r="O111" s="254" t="n"/>
      <c r="P111" s="254" t="n"/>
      <c r="Q111" s="254" t="n"/>
      <c r="R111" s="254" t="n"/>
      <c r="S111" s="254" t="n"/>
      <c r="T111" s="254" t="n"/>
      <c r="U111" s="254" t="n"/>
      <c r="V111" s="254" t="n"/>
      <c r="W111" s="254" t="n"/>
      <c r="X111" s="254" t="n"/>
    </row>
    <row r="112">
      <c r="B112" s="248" t="inlineStr">
        <is>
          <t>現金淨流入(出 )</t>
        </is>
      </c>
      <c r="C112" s="249" t="n">
        <v>0</v>
      </c>
      <c r="D112" s="249">
        <f>SUM(D100:D109)</f>
        <v/>
      </c>
      <c r="E112" s="249">
        <f>SUM(E100:E109)</f>
        <v/>
      </c>
      <c r="F112" s="249">
        <f>SUM(F100:F109)</f>
        <v/>
      </c>
      <c r="G112" s="249">
        <f>SUM(G100:G109)</f>
        <v/>
      </c>
      <c r="H112" s="249">
        <f>SUM(H100:H109)</f>
        <v/>
      </c>
      <c r="I112" s="249">
        <f>SUM(I100:I109)</f>
        <v/>
      </c>
      <c r="J112" s="249">
        <f>SUM(J100:J109)</f>
        <v/>
      </c>
      <c r="K112" s="249">
        <f>SUM(K100:K109)</f>
        <v/>
      </c>
      <c r="L112" s="249">
        <f>SUM(L100:L109)</f>
        <v/>
      </c>
      <c r="M112" s="249">
        <f>SUM(M100:M109)</f>
        <v/>
      </c>
      <c r="N112" s="249">
        <f>SUM(N100:N109)</f>
        <v/>
      </c>
      <c r="O112" s="249">
        <f>SUM(O100:O109)</f>
        <v/>
      </c>
      <c r="P112" s="249">
        <f>SUM(P100:P109)</f>
        <v/>
      </c>
      <c r="Q112" s="249">
        <f>SUM(Q100:Q109)</f>
        <v/>
      </c>
      <c r="R112" s="249">
        <f>SUM(R100:R109)</f>
        <v/>
      </c>
      <c r="S112" s="249">
        <f>SUM(S100:S109)</f>
        <v/>
      </c>
      <c r="T112" s="249">
        <f>SUM(T100:T109)</f>
        <v/>
      </c>
      <c r="U112" s="249">
        <f>SUM(U100:U109)</f>
        <v/>
      </c>
      <c r="V112" s="249">
        <f>SUM(V100:V109)</f>
        <v/>
      </c>
      <c r="W112" s="249">
        <f>SUM(W100:W109)</f>
        <v/>
      </c>
      <c r="X112" s="249" t="n"/>
    </row>
    <row r="113">
      <c r="B113" s="248" t="inlineStr">
        <is>
          <t>期初淨現金</t>
        </is>
      </c>
      <c r="C113" s="249" t="n">
        <v>0</v>
      </c>
      <c r="D113" s="249" t="n">
        <v>0</v>
      </c>
      <c r="E113" s="249">
        <f>D114</f>
        <v/>
      </c>
      <c r="F113" s="249">
        <f>E114</f>
        <v/>
      </c>
      <c r="G113" s="249">
        <f>F114</f>
        <v/>
      </c>
      <c r="H113" s="249">
        <f>G114</f>
        <v/>
      </c>
      <c r="I113" s="249">
        <f>H114</f>
        <v/>
      </c>
      <c r="J113" s="249">
        <f>I114</f>
        <v/>
      </c>
      <c r="K113" s="249">
        <f>J114</f>
        <v/>
      </c>
      <c r="L113" s="249">
        <f>K114</f>
        <v/>
      </c>
      <c r="M113" s="249">
        <f>L114</f>
        <v/>
      </c>
      <c r="N113" s="249">
        <f>M114</f>
        <v/>
      </c>
      <c r="O113" s="249">
        <f>N114</f>
        <v/>
      </c>
      <c r="P113" s="249">
        <f>O114</f>
        <v/>
      </c>
      <c r="Q113" s="249">
        <f>P114</f>
        <v/>
      </c>
      <c r="R113" s="249">
        <f>Q114</f>
        <v/>
      </c>
      <c r="S113" s="249">
        <f>R114</f>
        <v/>
      </c>
      <c r="T113" s="249">
        <f>S114</f>
        <v/>
      </c>
      <c r="U113" s="249">
        <f>T114</f>
        <v/>
      </c>
      <c r="V113" s="249">
        <f>U114</f>
        <v/>
      </c>
      <c r="W113" s="249">
        <f>V114</f>
        <v/>
      </c>
      <c r="X113" s="249" t="n"/>
    </row>
    <row r="114">
      <c r="B114" s="248" t="inlineStr">
        <is>
          <t>期未淨現金</t>
        </is>
      </c>
      <c r="C114" s="249" t="n">
        <v>0</v>
      </c>
      <c r="D114" s="249">
        <f>D112+D113</f>
        <v/>
      </c>
      <c r="E114" s="249">
        <f>E112+E113</f>
        <v/>
      </c>
      <c r="F114" s="249">
        <f>F112+F113</f>
        <v/>
      </c>
      <c r="G114" s="249">
        <f>G112+G113</f>
        <v/>
      </c>
      <c r="H114" s="249">
        <f>H112+H113</f>
        <v/>
      </c>
      <c r="I114" s="249">
        <f>I112+I113</f>
        <v/>
      </c>
      <c r="J114" s="249">
        <f>J112+J113</f>
        <v/>
      </c>
      <c r="K114" s="249">
        <f>K112+K113</f>
        <v/>
      </c>
      <c r="L114" s="249">
        <f>L112+L113</f>
        <v/>
      </c>
      <c r="M114" s="249">
        <f>M112+M113</f>
        <v/>
      </c>
      <c r="N114" s="249">
        <f>N112+N113</f>
        <v/>
      </c>
      <c r="O114" s="249">
        <f>O112+O113</f>
        <v/>
      </c>
      <c r="P114" s="249">
        <f>P112+P113</f>
        <v/>
      </c>
      <c r="Q114" s="249">
        <f>Q112+Q113</f>
        <v/>
      </c>
      <c r="R114" s="249">
        <f>R112+R113</f>
        <v/>
      </c>
      <c r="S114" s="249">
        <f>S112+S113</f>
        <v/>
      </c>
      <c r="T114" s="249">
        <f>T112+T113</f>
        <v/>
      </c>
      <c r="U114" s="249">
        <f>U112+U113</f>
        <v/>
      </c>
      <c r="V114" s="249">
        <f>V112+V113</f>
        <v/>
      </c>
      <c r="W114" s="249">
        <f>W112+W113</f>
        <v/>
      </c>
      <c r="X114" s="249" t="n"/>
    </row>
    <row r="115">
      <c r="B115" s="248" t="n"/>
      <c r="C115" s="248" t="n"/>
      <c r="D115" s="248" t="n"/>
      <c r="E115" s="248" t="n"/>
      <c r="F115" s="248" t="n"/>
      <c r="G115" s="248" t="n"/>
      <c r="H115" s="248" t="n"/>
      <c r="I115" s="248" t="n"/>
      <c r="J115" s="248" t="n"/>
      <c r="K115" s="248" t="n"/>
      <c r="L115" s="248" t="n"/>
      <c r="M115" s="248" t="n"/>
      <c r="N115" s="248" t="n"/>
      <c r="O115" s="248" t="n"/>
      <c r="P115" s="248" t="n"/>
      <c r="Q115" s="248" t="n"/>
      <c r="R115" s="248" t="n"/>
      <c r="S115" s="248" t="n"/>
      <c r="T115" s="248" t="n"/>
      <c r="U115" s="248" t="n"/>
      <c r="V115" s="248" t="n"/>
      <c r="W115" s="248" t="n"/>
      <c r="X115" s="248" t="n"/>
    </row>
    <row r="116">
      <c r="B116" s="248" t="n"/>
      <c r="C116" s="248" t="n"/>
      <c r="D116" s="248" t="n"/>
      <c r="E116" s="248" t="n"/>
      <c r="F116" s="254" t="n"/>
      <c r="G116" s="248" t="n"/>
      <c r="H116" s="248" t="n"/>
      <c r="I116" s="248" t="n"/>
      <c r="J116" s="248" t="n"/>
      <c r="K116" s="248" t="n"/>
      <c r="L116" s="248" t="n"/>
      <c r="M116" s="248" t="n"/>
      <c r="N116" s="248" t="n"/>
      <c r="O116" s="248" t="n"/>
      <c r="P116" s="248" t="n"/>
      <c r="Q116" s="248" t="n"/>
      <c r="R116" s="248" t="n"/>
      <c r="S116" s="248" t="n"/>
      <c r="T116" s="248" t="n"/>
      <c r="U116" s="248" t="n"/>
      <c r="V116" s="248" t="n"/>
      <c r="W116" s="248" t="n"/>
      <c r="X116" s="248" t="n"/>
    </row>
    <row r="117">
      <c r="B117" s="266" t="inlineStr">
        <is>
          <t>成本法實際現金流</t>
        </is>
      </c>
      <c r="C117" s="267" t="n"/>
      <c r="D117" s="268">
        <f>-D107</f>
        <v/>
      </c>
      <c r="E117" s="252">
        <f>-E108-E109</f>
        <v/>
      </c>
      <c r="F117" s="252">
        <f>-F108-F109</f>
        <v/>
      </c>
      <c r="G117" s="252">
        <f>-G108-G109</f>
        <v/>
      </c>
      <c r="H117" s="252">
        <f>-H108-H109</f>
        <v/>
      </c>
      <c r="I117" s="252">
        <f>-I108-I109</f>
        <v/>
      </c>
      <c r="J117" s="252">
        <f>-J108-J109</f>
        <v/>
      </c>
      <c r="K117" s="252">
        <f>-K108-K109</f>
        <v/>
      </c>
      <c r="L117" s="252">
        <f>-L108-L109</f>
        <v/>
      </c>
      <c r="M117" s="252">
        <f>-M108-M109</f>
        <v/>
      </c>
      <c r="N117" s="252">
        <f>-N108-N109</f>
        <v/>
      </c>
      <c r="O117" s="252">
        <f>-O108-O109</f>
        <v/>
      </c>
      <c r="P117" s="252">
        <f>-P108-P109</f>
        <v/>
      </c>
      <c r="Q117" s="252">
        <f>-Q108-Q109</f>
        <v/>
      </c>
      <c r="R117" s="252">
        <f>-R108-R109</f>
        <v/>
      </c>
      <c r="S117" s="252">
        <f>-S108-S109</f>
        <v/>
      </c>
      <c r="T117" s="252">
        <f>-T108-T109</f>
        <v/>
      </c>
      <c r="U117" s="252">
        <f>-U108-U109</f>
        <v/>
      </c>
      <c r="V117" s="252">
        <f>-V108-V109</f>
        <v/>
      </c>
      <c r="W117" s="252">
        <f>-W108-W109</f>
        <v/>
      </c>
      <c r="X117" s="252" t="n"/>
    </row>
    <row r="118">
      <c r="B118" s="248" t="inlineStr">
        <is>
          <t>成本法IRR</t>
        </is>
      </c>
      <c r="C118" s="269">
        <f>IRR(D117:W117)</f>
        <v/>
      </c>
      <c r="D118" s="254" t="n"/>
      <c r="E118" s="254" t="n"/>
      <c r="F118" s="248" t="n"/>
      <c r="G118" s="248" t="n"/>
      <c r="H118" s="248" t="n"/>
      <c r="I118" s="248" t="n"/>
      <c r="J118" s="248" t="n"/>
      <c r="K118" s="248" t="n"/>
      <c r="L118" s="248" t="n"/>
      <c r="M118" s="248" t="n"/>
      <c r="N118" s="248" t="n"/>
      <c r="O118" s="248" t="n"/>
      <c r="P118" s="248" t="n"/>
      <c r="Q118" s="248" t="n"/>
      <c r="R118" s="248" t="n"/>
      <c r="S118" s="248" t="n"/>
      <c r="T118" s="248" t="n"/>
      <c r="U118" s="248" t="n"/>
      <c r="V118" s="248" t="n"/>
      <c r="W118" s="248" t="n"/>
      <c r="X118" s="254" t="n"/>
    </row>
    <row r="119">
      <c r="B119" s="266" t="inlineStr">
        <is>
          <t>權益法實際現金流</t>
        </is>
      </c>
      <c r="C119" s="267" t="n"/>
      <c r="D119" s="268">
        <f>D98-D107</f>
        <v/>
      </c>
      <c r="E119" s="252">
        <f>E98-E109</f>
        <v/>
      </c>
      <c r="F119" s="252">
        <f>F98-F109</f>
        <v/>
      </c>
      <c r="G119" s="252">
        <f>G98-G109</f>
        <v/>
      </c>
      <c r="H119" s="252">
        <f>H98-H109</f>
        <v/>
      </c>
      <c r="I119" s="252">
        <f>I98-I109</f>
        <v/>
      </c>
      <c r="J119" s="252">
        <f>J98-J109</f>
        <v/>
      </c>
      <c r="K119" s="252">
        <f>K98-K109</f>
        <v/>
      </c>
      <c r="L119" s="252">
        <f>L98-L109</f>
        <v/>
      </c>
      <c r="M119" s="252">
        <f>M98-M109</f>
        <v/>
      </c>
      <c r="N119" s="252">
        <f>N98-N109</f>
        <v/>
      </c>
      <c r="O119" s="252">
        <f>O98-O109</f>
        <v/>
      </c>
      <c r="P119" s="252">
        <f>P98-P109</f>
        <v/>
      </c>
      <c r="Q119" s="252">
        <f>Q98-Q109</f>
        <v/>
      </c>
      <c r="R119" s="252">
        <f>R98-R109</f>
        <v/>
      </c>
      <c r="S119" s="252">
        <f>S98-S109</f>
        <v/>
      </c>
      <c r="T119" s="252">
        <f>T98-T109</f>
        <v/>
      </c>
      <c r="U119" s="252">
        <f>U98-U109</f>
        <v/>
      </c>
      <c r="V119" s="252">
        <f>V98-V109</f>
        <v/>
      </c>
      <c r="W119" s="252">
        <f>W98-W109</f>
        <v/>
      </c>
      <c r="X119" s="252" t="n"/>
    </row>
    <row r="120">
      <c r="B120" s="266" t="inlineStr">
        <is>
          <t>權益法IRR</t>
        </is>
      </c>
      <c r="C120" s="270">
        <f>IRR(D119:W119)</f>
        <v/>
      </c>
      <c r="D120" s="254" t="n"/>
      <c r="E120" s="254" t="n"/>
      <c r="F120" s="248" t="n"/>
      <c r="G120" s="248" t="n"/>
      <c r="H120" s="248" t="n"/>
      <c r="I120" s="248" t="n"/>
      <c r="J120" s="248" t="n"/>
      <c r="K120" s="248" t="n"/>
      <c r="L120" s="248" t="n"/>
      <c r="M120" s="248" t="n"/>
      <c r="N120" s="248" t="n"/>
      <c r="O120" s="248" t="n"/>
      <c r="P120" s="248" t="n"/>
      <c r="Q120" s="248" t="n"/>
      <c r="R120" s="248" t="n"/>
      <c r="S120" s="248" t="n"/>
      <c r="T120" s="248" t="n"/>
      <c r="U120" s="248" t="n"/>
      <c r="V120" s="248" t="n"/>
      <c r="W120" s="248" t="n"/>
      <c r="X120" s="254" t="n"/>
    </row>
    <row r="121">
      <c r="B121" s="248" t="n"/>
      <c r="C121" s="248" t="n"/>
      <c r="D121" s="248" t="n"/>
      <c r="E121" s="248" t="n"/>
      <c r="F121" s="248" t="n"/>
      <c r="G121" s="248" t="n"/>
      <c r="H121" s="248" t="n"/>
      <c r="I121" s="248" t="n"/>
      <c r="J121" s="248" t="n"/>
      <c r="K121" s="248" t="n"/>
      <c r="L121" s="248" t="n"/>
      <c r="M121" s="248" t="n"/>
      <c r="N121" s="248" t="n"/>
      <c r="O121" s="248" t="n"/>
      <c r="P121" s="248" t="n"/>
      <c r="Q121" s="248" t="n"/>
      <c r="R121" s="248" t="n"/>
      <c r="S121" s="248" t="n"/>
      <c r="T121" s="248" t="n"/>
      <c r="U121" s="248" t="n"/>
      <c r="V121" s="248" t="n"/>
      <c r="W121" s="248" t="n"/>
      <c r="X121" s="248" t="n"/>
    </row>
    <row r="122">
      <c r="B122" s="248" t="inlineStr">
        <is>
          <t>借款餘額</t>
        </is>
      </c>
      <c r="C122" s="249" t="n">
        <v>0</v>
      </c>
      <c r="D122" s="249">
        <f>D105</f>
        <v/>
      </c>
      <c r="E122" s="249">
        <f>D122+E106</f>
        <v/>
      </c>
      <c r="F122" s="249">
        <f>E122+F106</f>
        <v/>
      </c>
      <c r="G122" s="249">
        <f>F122+G106</f>
        <v/>
      </c>
      <c r="H122" s="249">
        <f>G122+H106</f>
        <v/>
      </c>
      <c r="I122" s="249">
        <f>H122+I106</f>
        <v/>
      </c>
      <c r="J122" s="249">
        <f>I122+J106</f>
        <v/>
      </c>
      <c r="K122" s="249">
        <f>J122+K106</f>
        <v/>
      </c>
      <c r="L122" s="249">
        <f>K122+L106</f>
        <v/>
      </c>
      <c r="M122" s="249">
        <f>L122+M106</f>
        <v/>
      </c>
      <c r="N122" s="249">
        <f>M122+N106</f>
        <v/>
      </c>
      <c r="O122" s="249">
        <f>N122+O106</f>
        <v/>
      </c>
      <c r="P122" s="249">
        <f>O122+P106</f>
        <v/>
      </c>
      <c r="Q122" s="249">
        <f>P122+Q106</f>
        <v/>
      </c>
      <c r="R122" s="249">
        <f>Q122+R106</f>
        <v/>
      </c>
      <c r="S122" s="249">
        <f>R122+S106</f>
        <v/>
      </c>
      <c r="T122" s="249">
        <f>S122+T106</f>
        <v/>
      </c>
      <c r="U122" s="249">
        <f>T122+U106</f>
        <v/>
      </c>
      <c r="V122" s="249">
        <f>U122+V106</f>
        <v/>
      </c>
      <c r="W122" s="249">
        <f>V122+W106</f>
        <v/>
      </c>
      <c r="X122" s="24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7"/>
  <sheetViews>
    <sheetView tabSelected="1" topLeftCell="A7" workbookViewId="0">
      <selection activeCell="C20" sqref="C20"/>
    </sheetView>
  </sheetViews>
  <sheetFormatPr baseColWidth="8" defaultRowHeight="15.75"/>
  <cols>
    <col width="34" bestFit="1" customWidth="1" style="27" min="1" max="1"/>
    <col width="38" bestFit="1" customWidth="1" style="26" min="2" max="2"/>
    <col width="50" bestFit="1" customWidth="1" style="26" min="3" max="22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  <col width="50" customWidth="1" min="13" max="13"/>
    <col width="50" customWidth="1" min="14" max="14"/>
    <col width="50" customWidth="1" min="15" max="15"/>
    <col width="50" customWidth="1" min="16" max="16"/>
    <col width="50" customWidth="1" min="17" max="17"/>
    <col width="50" customWidth="1" min="18" max="18"/>
    <col width="50" customWidth="1" min="19" max="19"/>
    <col width="50" customWidth="1" min="20" max="20"/>
    <col width="50" customWidth="1" min="21" max="21"/>
    <col width="50" customWidth="1" min="22" max="22"/>
    <col width="8" bestFit="1" customWidth="1" min="23" max="23"/>
    <col width="8" bestFit="1" customWidth="1" min="24" max="24"/>
    <col width="8" bestFit="1" customWidth="1" min="25" max="28"/>
    <col width="8" customWidth="1" min="26" max="26"/>
    <col width="8" customWidth="1" min="27" max="27"/>
    <col width="8" customWidth="1" min="28" max="28"/>
    <col width="8" bestFit="1" customWidth="1" min="29" max="29"/>
    <col width="8" bestFit="1" customWidth="1" min="30" max="30"/>
    <col width="8" bestFit="1" customWidth="1" min="31" max="31"/>
    <col width="8" bestFit="1" customWidth="1" min="32" max="32"/>
    <col width="8" bestFit="1" customWidth="1" min="33" max="33"/>
    <col width="8" bestFit="1" customWidth="1" min="34" max="34"/>
    <col width="8" bestFit="1" customWidth="1" min="35" max="35"/>
  </cols>
  <sheetData>
    <row r="1" ht="22.5" customHeight="1" thickBot="1">
      <c r="A1" s="140" t="inlineStr">
        <is>
          <t>電站基本資料</t>
        </is>
      </c>
      <c r="B1" s="141" t="n"/>
      <c r="C1" s="141" t="n"/>
      <c r="D1" s="142" t="n"/>
    </row>
    <row r="2" ht="21.75" customHeight="1">
      <c r="A2" s="1" t="inlineStr">
        <is>
          <t>電站名稱</t>
        </is>
      </c>
      <c r="B2" s="2" t="inlineStr">
        <is>
          <t>淡江大學-財務模擬案場</t>
        </is>
      </c>
      <c r="C2" s="126" t="inlineStr">
        <is>
          <t>-</t>
        </is>
      </c>
      <c r="D2" s="126" t="inlineStr">
        <is>
          <t>-</t>
        </is>
      </c>
    </row>
    <row r="3" ht="21.75" customHeight="1">
      <c r="A3" s="4" t="inlineStr">
        <is>
          <t>電站壽命</t>
        </is>
      </c>
      <c r="B3" s="5" t="n">
        <v>20</v>
      </c>
      <c r="C3" s="6" t="inlineStr">
        <is>
          <t>-</t>
        </is>
      </c>
      <c r="D3" s="6" t="inlineStr">
        <is>
          <t>-</t>
        </is>
      </c>
    </row>
    <row r="4" ht="21.75" customHeight="1">
      <c r="A4" s="4" t="inlineStr">
        <is>
          <t>建置量(kWp)</t>
        </is>
      </c>
      <c r="B4" s="5" t="n">
        <v>436.1</v>
      </c>
      <c r="C4" s="6" t="inlineStr">
        <is>
          <t>-</t>
        </is>
      </c>
      <c r="D4" s="6" t="inlineStr">
        <is>
          <t>-</t>
        </is>
      </c>
    </row>
    <row r="5" ht="22.5" customHeight="1">
      <c r="A5" s="7" t="inlineStr">
        <is>
          <t>起始年度</t>
        </is>
      </c>
      <c r="B5" s="7" t="n">
        <v>2023</v>
      </c>
      <c r="C5" s="7" t="inlineStr">
        <is>
          <t>結束年度</t>
        </is>
      </c>
      <c r="D5" s="7" t="n">
        <v>2042</v>
      </c>
    </row>
    <row r="6" ht="20.25" customHeight="1" thickBot="1">
      <c r="A6" s="8" t="n"/>
      <c r="B6" s="8" t="n"/>
      <c r="C6" s="8" t="n"/>
      <c r="D6" s="8" t="n"/>
    </row>
    <row r="7" ht="22.5" customHeight="1" thickBot="1">
      <c r="A7" s="143" t="inlineStr">
        <is>
          <t>綜合損益表</t>
        </is>
      </c>
      <c r="B7" s="141" t="n"/>
      <c r="C7" s="141" t="n"/>
      <c r="D7" s="142" t="n"/>
    </row>
    <row r="8" ht="22.5" customHeight="1" thickBot="1">
      <c r="A8" s="144" t="inlineStr">
        <is>
          <t>收入</t>
        </is>
      </c>
      <c r="D8" s="145" t="n"/>
    </row>
    <row r="9" ht="22.5" customHeight="1" thickBot="1">
      <c r="A9" s="9" t="inlineStr">
        <is>
          <t>收支項目</t>
        </is>
      </c>
      <c r="B9" s="10" t="inlineStr">
        <is>
          <t>相關參數</t>
        </is>
      </c>
      <c r="C9" s="10" t="inlineStr">
        <is>
          <t>參數數值</t>
        </is>
      </c>
      <c r="D9" s="11" t="inlineStr">
        <is>
          <t>年限</t>
        </is>
      </c>
    </row>
    <row r="10" ht="21.75" customHeight="1">
      <c r="A10" s="123" t="inlineStr">
        <is>
          <t>電費收入</t>
        </is>
      </c>
      <c r="B10" s="124" t="inlineStr">
        <is>
          <t>年度AC併網總發電量</t>
        </is>
      </c>
      <c r="C10" s="124" t="n">
        <v>547002</v>
      </c>
      <c r="D10" s="123" t="n">
        <v>20</v>
      </c>
    </row>
    <row r="11" ht="21.75" customHeight="1">
      <c r="A11" s="146" t="n"/>
      <c r="B11" s="7" t="inlineStr">
        <is>
          <t>首年衰退率</t>
        </is>
      </c>
      <c r="C11" s="13" t="n">
        <v>0.01</v>
      </c>
      <c r="D11" s="146" t="n"/>
    </row>
    <row r="12" ht="21.75" customHeight="1">
      <c r="A12" s="146" t="n"/>
      <c r="B12" s="7" t="inlineStr">
        <is>
          <t>次年衰退率</t>
        </is>
      </c>
      <c r="C12" s="14" t="n">
        <v>0.004</v>
      </c>
      <c r="D12" s="146" t="n"/>
    </row>
    <row r="13" ht="22.5" customHeight="1" thickBot="1">
      <c r="A13" s="146" t="n"/>
      <c r="B13" s="127" t="inlineStr">
        <is>
          <t>躉售費率(FIT)</t>
        </is>
      </c>
      <c r="C13" s="127" t="n">
        <v>3.7152</v>
      </c>
      <c r="D13" s="146" t="n"/>
    </row>
    <row r="14" ht="22.5" customHeight="1" thickBot="1">
      <c r="A14" s="147" t="inlineStr">
        <is>
          <t>支出</t>
        </is>
      </c>
      <c r="B14" s="141" t="n"/>
      <c r="C14" s="141" t="n"/>
      <c r="D14" s="142" t="n"/>
    </row>
    <row r="15" ht="22.5" customHeight="1" thickBot="1">
      <c r="A15" s="9" t="inlineStr">
        <is>
          <t>收支項目</t>
        </is>
      </c>
      <c r="B15" s="10" t="inlineStr">
        <is>
          <t>相關參數</t>
        </is>
      </c>
      <c r="C15" s="10" t="inlineStr">
        <is>
          <t>參數數值</t>
        </is>
      </c>
      <c r="D15" s="16" t="inlineStr">
        <is>
          <t>攤提年限</t>
        </is>
      </c>
    </row>
    <row r="16" ht="21.75" customHeight="1">
      <c r="A16" s="124" t="inlineStr">
        <is>
          <t>設備費用(價金)</t>
        </is>
      </c>
      <c r="B16" s="17" t="inlineStr">
        <is>
          <t>每kWp設備成本</t>
        </is>
      </c>
      <c r="C16" s="124" t="n">
        <v>35000</v>
      </c>
      <c r="D16" s="126" t="n">
        <v>20</v>
      </c>
    </row>
    <row r="17" ht="21.75" customHeight="1">
      <c r="A17" s="146" t="n"/>
      <c r="B17" s="7" t="inlineStr">
        <is>
          <t>信邦利潤率</t>
        </is>
      </c>
      <c r="C17" s="5" t="n">
        <v>0.3</v>
      </c>
      <c r="D17" s="146" t="n"/>
    </row>
    <row r="18" ht="21.75" customHeight="1">
      <c r="A18" s="148" t="n"/>
      <c r="B18" s="7" t="inlineStr">
        <is>
          <t>開發費</t>
        </is>
      </c>
      <c r="C18" s="5" t="n">
        <v>3000</v>
      </c>
      <c r="D18" s="148" t="n"/>
    </row>
    <row r="19" ht="54" customHeight="1">
      <c r="A19" s="7" t="inlineStr">
        <is>
          <t>租金費用</t>
        </is>
      </c>
      <c r="B19" s="18" t="inlineStr">
        <is>
          <t>租金計算方式
(1=固定攤提/2=電費抽成)</t>
        </is>
      </c>
      <c r="C19" s="5" t="n">
        <v>1</v>
      </c>
      <c r="D19" s="126" t="inlineStr">
        <is>
          <t>-</t>
        </is>
      </c>
    </row>
    <row r="20" ht="20.25" customHeight="1">
      <c r="A20" s="146" t="n"/>
      <c r="B20" s="19" t="inlineStr">
        <is>
          <t>【方式1參數】租金總額</t>
        </is>
      </c>
      <c r="C20" s="5" t="n">
        <v>290201</v>
      </c>
      <c r="D20" s="126" t="n">
        <v>20</v>
      </c>
    </row>
    <row r="21" ht="21.75" customHeight="1">
      <c r="A21" s="148" t="n"/>
      <c r="B21" s="20" t="inlineStr">
        <is>
          <t>【方式2參數】抽成比率</t>
        </is>
      </c>
      <c r="C21" s="5" t="n"/>
      <c r="D21" s="6" t="inlineStr">
        <is>
          <t>-</t>
        </is>
      </c>
    </row>
    <row r="22" ht="21.75" customHeight="1">
      <c r="A22" s="7" t="inlineStr">
        <is>
          <t>運維費用</t>
        </is>
      </c>
      <c r="B22" s="20" t="inlineStr">
        <is>
          <t>每kw運維成本</t>
        </is>
      </c>
      <c r="C22" s="5" t="n">
        <v>400</v>
      </c>
      <c r="D22" s="6" t="n">
        <v>20</v>
      </c>
    </row>
    <row r="23" ht="21.75" customHeight="1">
      <c r="A23" s="7" t="inlineStr">
        <is>
          <t>保險費用</t>
        </is>
      </c>
      <c r="B23" s="21" t="inlineStr">
        <is>
          <t>占整體設備費用比例</t>
        </is>
      </c>
      <c r="C23" s="5" t="n">
        <v>0.003</v>
      </c>
      <c r="D23" s="6" t="n">
        <v>20</v>
      </c>
    </row>
    <row r="24" ht="21.75" customHeight="1">
      <c r="A24" s="7" t="inlineStr">
        <is>
          <t>模組回收費用</t>
        </is>
      </c>
      <c r="B24" s="20" t="inlineStr">
        <is>
          <t>每kw模組回收成本</t>
        </is>
      </c>
      <c r="C24" s="5" t="n">
        <v>1000</v>
      </c>
      <c r="D24" s="6" t="n">
        <v>10</v>
      </c>
    </row>
    <row r="25" ht="21.75" customHeight="1">
      <c r="A25" s="7" t="inlineStr">
        <is>
          <t>利息費用</t>
        </is>
      </c>
      <c r="B25" s="7" t="inlineStr">
        <is>
          <t>銀行利率</t>
        </is>
      </c>
      <c r="C25" s="22" t="n">
        <v>0.025595</v>
      </c>
      <c r="D25" s="6" t="inlineStr">
        <is>
          <t>-</t>
        </is>
      </c>
    </row>
    <row r="26" ht="22.5" customHeight="1">
      <c r="A26" s="7" t="inlineStr">
        <is>
          <t>所得稅</t>
        </is>
      </c>
      <c r="B26" s="7" t="inlineStr">
        <is>
          <t>所得稅率</t>
        </is>
      </c>
      <c r="C26" s="5" t="n">
        <v>0.2</v>
      </c>
      <c r="D26" s="6" t="inlineStr">
        <is>
          <t>-</t>
        </is>
      </c>
    </row>
    <row r="27" ht="20.25" customHeight="1">
      <c r="A27" s="8" t="n"/>
      <c r="B27" s="8" t="n"/>
      <c r="C27" s="8" t="n"/>
      <c r="D27" s="8" t="n"/>
    </row>
    <row r="28" ht="20.25" customHeight="1" thickBot="1">
      <c r="A28" s="8" t="n"/>
      <c r="B28" s="8" t="n"/>
      <c r="C28" s="8" t="n"/>
      <c r="D28" s="8" t="n"/>
    </row>
    <row r="29" ht="22.5" customHeight="1" thickBot="1">
      <c r="A29" s="143" t="inlineStr">
        <is>
          <t>現金流量表</t>
        </is>
      </c>
      <c r="B29" s="141" t="n"/>
      <c r="C29" s="142" t="n"/>
      <c r="D29" s="8" t="n"/>
    </row>
    <row r="30" ht="22.5" customHeight="1" thickBot="1">
      <c r="A30" s="9" t="inlineStr">
        <is>
          <t>金流項目</t>
        </is>
      </c>
      <c r="B30" s="23" t="inlineStr">
        <is>
          <t>相關參數</t>
        </is>
      </c>
      <c r="C30" s="24" t="inlineStr">
        <is>
          <t>參數數值</t>
        </is>
      </c>
      <c r="D30" s="8" t="n"/>
    </row>
    <row r="31" ht="18.75" customHeight="1">
      <c r="A31" s="17" t="inlineStr">
        <is>
          <t>貸款成數</t>
        </is>
      </c>
      <c r="B31" s="1" t="inlineStr">
        <is>
          <t>占總設備費用比例</t>
        </is>
      </c>
      <c r="C31" s="25" t="n">
        <v>0.8</v>
      </c>
      <c r="D31" s="8" t="n"/>
    </row>
    <row r="32" ht="18.75" customHeight="1">
      <c r="A32" s="124" t="inlineStr">
        <is>
          <t>貸款還款</t>
        </is>
      </c>
      <c r="B32" s="25" t="inlineStr">
        <is>
          <t>攤還期數</t>
        </is>
      </c>
      <c r="C32" s="25" t="n">
        <v>15</v>
      </c>
      <c r="D32" s="8" t="n"/>
    </row>
    <row r="33" ht="18.75" customHeight="1">
      <c r="A33" s="7" t="inlineStr">
        <is>
          <t>現金股利</t>
        </is>
      </c>
      <c r="B33" s="5" t="inlineStr">
        <is>
          <t>股利比率</t>
        </is>
      </c>
      <c r="C33" s="5" t="n">
        <v>0.9</v>
      </c>
      <c r="D33" s="8" t="n"/>
    </row>
    <row r="34" ht="18.75" customHeight="1">
      <c r="A34" s="7" t="inlineStr">
        <is>
          <t>年底減資</t>
        </is>
      </c>
      <c r="B34" s="5" t="inlineStr">
        <is>
          <t>攤還期數</t>
        </is>
      </c>
      <c r="C34" s="5" t="n">
        <v>4</v>
      </c>
      <c r="D34" s="8" t="n"/>
    </row>
    <row r="35" ht="18.75" customHeight="1"/>
    <row r="36" ht="18.75" customHeight="1"/>
    <row r="37" ht="18.75" customHeight="1" thickBot="1">
      <c r="A37" s="28" t="n"/>
      <c r="B37" s="29" t="inlineStr">
        <is>
          <t>年份</t>
        </is>
      </c>
      <c r="C37" s="29" t="n">
        <v>2020</v>
      </c>
      <c r="D37" s="29" t="n">
        <v>2021</v>
      </c>
      <c r="E37" s="29" t="n">
        <v>2022</v>
      </c>
      <c r="F37" s="29" t="n">
        <v>2023</v>
      </c>
      <c r="G37" s="29" t="n">
        <v>2024</v>
      </c>
      <c r="H37" s="29" t="n">
        <v>2025</v>
      </c>
      <c r="I37" s="29" t="n">
        <v>2026</v>
      </c>
      <c r="J37" s="29" t="n">
        <v>2027</v>
      </c>
      <c r="K37" s="29" t="n">
        <v>2028</v>
      </c>
      <c r="L37" s="29" t="n">
        <v>2029</v>
      </c>
      <c r="M37" s="29" t="n">
        <v>2030</v>
      </c>
      <c r="N37" s="29" t="n">
        <v>2031</v>
      </c>
      <c r="O37" s="29" t="n">
        <v>2032</v>
      </c>
      <c r="P37" s="29" t="n">
        <v>2033</v>
      </c>
      <c r="Q37" s="29" t="n">
        <v>2034</v>
      </c>
      <c r="R37" s="29" t="n">
        <v>2035</v>
      </c>
      <c r="S37" s="29" t="n">
        <v>2036</v>
      </c>
      <c r="T37" s="29" t="n">
        <v>2037</v>
      </c>
      <c r="U37" s="29" t="n">
        <v>2038</v>
      </c>
      <c r="V37" s="29" t="n">
        <v>2039</v>
      </c>
      <c r="W37" s="30" t="n"/>
    </row>
    <row r="38" ht="18.75" customHeight="1">
      <c r="A38" s="31" t="n">
        <v>0</v>
      </c>
      <c r="B38" s="32" t="n"/>
      <c r="C38" s="33" t="n"/>
      <c r="D38" s="33" t="n"/>
      <c r="E38" s="34" t="inlineStr">
        <is>
          <t>手動計算值</t>
        </is>
      </c>
      <c r="F38" s="35" t="n"/>
      <c r="G38" s="35" t="n"/>
      <c r="H38" s="35" t="n"/>
      <c r="I38" s="35" t="n"/>
      <c r="J38" s="35" t="n"/>
      <c r="K38" s="35" t="n"/>
      <c r="L38" s="35" t="n"/>
      <c r="M38" s="35" t="n"/>
      <c r="N38" s="35" t="n"/>
      <c r="O38" s="35" t="n"/>
      <c r="P38" s="35" t="n"/>
      <c r="Q38" s="35" t="n"/>
      <c r="R38" s="35" t="n"/>
      <c r="S38" s="36" t="inlineStr">
        <is>
          <t>償還年限</t>
        </is>
      </c>
      <c r="T38" s="35" t="n"/>
      <c r="U38" s="35" t="n"/>
      <c r="V38" s="35" t="n"/>
      <c r="W38" s="37" t="n"/>
    </row>
    <row r="39" ht="18.75" customHeight="1">
      <c r="A39" s="38" t="inlineStr">
        <is>
          <t>(Unit : Currency)</t>
        </is>
      </c>
      <c r="B39" s="39" t="n">
        <v>0</v>
      </c>
      <c r="C39" s="40" t="n">
        <v>1</v>
      </c>
      <c r="D39" s="40" t="n">
        <v>2</v>
      </c>
      <c r="E39" s="40" t="n">
        <v>3</v>
      </c>
      <c r="F39" s="40" t="n">
        <v>4</v>
      </c>
      <c r="G39" s="40" t="n">
        <v>5</v>
      </c>
      <c r="H39" s="40" t="n">
        <v>6</v>
      </c>
      <c r="I39" s="40" t="n">
        <v>7</v>
      </c>
      <c r="J39" s="40" t="n">
        <v>8</v>
      </c>
      <c r="K39" s="40" t="n">
        <v>9</v>
      </c>
      <c r="L39" s="40" t="n">
        <v>10</v>
      </c>
      <c r="M39" s="40" t="n">
        <v>11</v>
      </c>
      <c r="N39" s="40" t="n">
        <v>12</v>
      </c>
      <c r="O39" s="40" t="n">
        <v>13</v>
      </c>
      <c r="P39" s="40" t="n">
        <v>14</v>
      </c>
      <c r="Q39" s="40" t="n">
        <v>15</v>
      </c>
      <c r="R39" s="40" t="n">
        <v>16</v>
      </c>
      <c r="S39" s="41" t="n">
        <v>17</v>
      </c>
      <c r="T39" s="40" t="n">
        <v>18</v>
      </c>
      <c r="U39" s="40" t="n">
        <v>19</v>
      </c>
      <c r="V39" s="40" t="n">
        <v>20</v>
      </c>
      <c r="W39" s="42" t="n"/>
    </row>
    <row r="40" ht="18.75" customHeight="1" thickBot="1">
      <c r="A40" s="43" t="inlineStr">
        <is>
          <t>發電度數(KWH)</t>
        </is>
      </c>
      <c r="B40" s="39" t="n">
        <v>0</v>
      </c>
      <c r="C40" s="40">
        <f>#REF!</f>
        <v/>
      </c>
      <c r="D40" s="40">
        <f>#REF!</f>
        <v/>
      </c>
      <c r="E40" s="40">
        <f>#REF!</f>
        <v/>
      </c>
      <c r="F40" s="40">
        <f>#REF!</f>
        <v/>
      </c>
      <c r="G40" s="40">
        <f>#REF!</f>
        <v/>
      </c>
      <c r="H40" s="40">
        <f>#REF!</f>
        <v/>
      </c>
      <c r="I40" s="40">
        <f>#REF!</f>
        <v/>
      </c>
      <c r="J40" s="40">
        <f>#REF!</f>
        <v/>
      </c>
      <c r="K40" s="40">
        <f>#REF!</f>
        <v/>
      </c>
      <c r="L40" s="40">
        <f>#REF!</f>
        <v/>
      </c>
      <c r="M40" s="40">
        <f>#REF!</f>
        <v/>
      </c>
      <c r="N40" s="40">
        <f>#REF!</f>
        <v/>
      </c>
      <c r="O40" s="40">
        <f>#REF!</f>
        <v/>
      </c>
      <c r="P40" s="40">
        <f>#REF!</f>
        <v/>
      </c>
      <c r="Q40" s="40">
        <f>#REF!</f>
        <v/>
      </c>
      <c r="R40" s="40">
        <f>#REF!</f>
        <v/>
      </c>
      <c r="S40" s="40">
        <f>#REF!</f>
        <v/>
      </c>
      <c r="T40" s="40">
        <f>#REF!</f>
        <v/>
      </c>
      <c r="U40" s="40">
        <f>#REF!</f>
        <v/>
      </c>
      <c r="V40" s="40">
        <f>#REF!</f>
        <v/>
      </c>
      <c r="W40" s="44" t="n"/>
    </row>
    <row r="41" ht="18.75" customHeight="1">
      <c r="A41" s="45" t="inlineStr">
        <is>
          <t>Inflow : 電費收入</t>
        </is>
      </c>
      <c r="B41" s="46" t="inlineStr">
        <is>
          <t>-</t>
        </is>
      </c>
      <c r="C41" s="47">
        <f>#REF!</f>
        <v/>
      </c>
      <c r="D41" s="47">
        <f>#REF!</f>
        <v/>
      </c>
      <c r="E41" s="47">
        <f>#REF!</f>
        <v/>
      </c>
      <c r="F41" s="47">
        <f>#REF!</f>
        <v/>
      </c>
      <c r="G41" s="47">
        <f>#REF!</f>
        <v/>
      </c>
      <c r="H41" s="47">
        <f>#REF!</f>
        <v/>
      </c>
      <c r="I41" s="47">
        <f>#REF!</f>
        <v/>
      </c>
      <c r="J41" s="47">
        <f>#REF!</f>
        <v/>
      </c>
      <c r="K41" s="47">
        <f>#REF!</f>
        <v/>
      </c>
      <c r="L41" s="47">
        <f>#REF!</f>
        <v/>
      </c>
      <c r="M41" s="47">
        <f>#REF!</f>
        <v/>
      </c>
      <c r="N41" s="47">
        <f>#REF!</f>
        <v/>
      </c>
      <c r="O41" s="47">
        <f>#REF!</f>
        <v/>
      </c>
      <c r="P41" s="47">
        <f>#REF!</f>
        <v/>
      </c>
      <c r="Q41" s="47">
        <f>#REF!</f>
        <v/>
      </c>
      <c r="R41" s="47">
        <f>#REF!</f>
        <v/>
      </c>
      <c r="S41" s="47">
        <f>#REF!</f>
        <v/>
      </c>
      <c r="T41" s="47">
        <f>#REF!</f>
        <v/>
      </c>
      <c r="U41" s="47">
        <f>#REF!</f>
        <v/>
      </c>
      <c r="V41" s="47">
        <f>#REF!</f>
        <v/>
      </c>
      <c r="W41" s="48" t="n"/>
    </row>
    <row r="42" ht="18.75" customHeight="1">
      <c r="A42" s="49" t="inlineStr">
        <is>
          <t>Inflow : 政府補助</t>
        </is>
      </c>
      <c r="B42" s="39" t="inlineStr">
        <is>
          <t>-</t>
        </is>
      </c>
      <c r="C42" s="40" t="n"/>
      <c r="D42" s="40" t="n"/>
      <c r="E42" s="40" t="n">
        <v>0</v>
      </c>
      <c r="F42" s="40" t="inlineStr">
        <is>
          <t>-</t>
        </is>
      </c>
      <c r="G42" s="40" t="inlineStr">
        <is>
          <t>-</t>
        </is>
      </c>
      <c r="H42" s="40" t="inlineStr">
        <is>
          <t>-</t>
        </is>
      </c>
      <c r="I42" s="40" t="inlineStr">
        <is>
          <t>-</t>
        </is>
      </c>
      <c r="J42" s="40" t="inlineStr">
        <is>
          <t>-</t>
        </is>
      </c>
      <c r="K42" s="40" t="inlineStr">
        <is>
          <t>-</t>
        </is>
      </c>
      <c r="L42" s="40" t="inlineStr">
        <is>
          <t>-</t>
        </is>
      </c>
      <c r="M42" s="40" t="inlineStr">
        <is>
          <t>-</t>
        </is>
      </c>
      <c r="N42" s="40" t="inlineStr">
        <is>
          <t>-</t>
        </is>
      </c>
      <c r="O42" s="40" t="inlineStr">
        <is>
          <t>-</t>
        </is>
      </c>
      <c r="P42" s="40" t="inlineStr">
        <is>
          <t>-</t>
        </is>
      </c>
      <c r="Q42" s="40" t="inlineStr">
        <is>
          <t>-</t>
        </is>
      </c>
      <c r="R42" s="40" t="inlineStr">
        <is>
          <t>-</t>
        </is>
      </c>
      <c r="S42" s="40" t="inlineStr">
        <is>
          <t>-</t>
        </is>
      </c>
      <c r="T42" s="40" t="inlineStr">
        <is>
          <t>-</t>
        </is>
      </c>
      <c r="U42" s="40" t="inlineStr">
        <is>
          <t>-</t>
        </is>
      </c>
      <c r="V42" s="40" t="inlineStr">
        <is>
          <t>-</t>
        </is>
      </c>
      <c r="W42" s="50" t="n"/>
    </row>
    <row r="43" ht="18.75" customHeight="1" thickBot="1">
      <c r="A43" s="51" t="inlineStr">
        <is>
          <t>Inflow : 銀行借款</t>
        </is>
      </c>
      <c r="B43" s="52" t="n"/>
      <c r="C43" s="53" t="n"/>
      <c r="D43" s="53" t="n"/>
      <c r="E43" s="53" t="n"/>
      <c r="F43" s="53" t="n"/>
      <c r="G43" s="53" t="n"/>
      <c r="H43" s="53" t="n"/>
      <c r="I43" s="53" t="n"/>
      <c r="J43" s="53" t="n"/>
      <c r="K43" s="53" t="n"/>
      <c r="L43" s="53" t="n"/>
      <c r="M43" s="53" t="n"/>
      <c r="N43" s="53" t="n"/>
      <c r="O43" s="53" t="n"/>
      <c r="P43" s="53" t="n"/>
      <c r="Q43" s="53" t="n"/>
      <c r="R43" s="53" t="n"/>
      <c r="S43" s="53" t="n"/>
      <c r="T43" s="53" t="n"/>
      <c r="U43" s="53" t="n"/>
      <c r="V43" s="53" t="n"/>
      <c r="W43" s="54" t="n"/>
    </row>
    <row r="44" ht="18.75" customHeight="1">
      <c r="A44" s="55" t="inlineStr">
        <is>
          <t>Outflow : 設備費用</t>
        </is>
      </c>
      <c r="B44" s="39">
        <f>-#REF!</f>
        <v/>
      </c>
      <c r="C44" s="56" t="n"/>
      <c r="D44" s="40" t="n"/>
      <c r="E44" s="40" t="inlineStr">
        <is>
          <t>-</t>
        </is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0" t="inlineStr">
        <is>
          <t>-</t>
        </is>
      </c>
      <c r="K44" s="40" t="inlineStr">
        <is>
          <t>-</t>
        </is>
      </c>
      <c r="L44" s="40" t="inlineStr">
        <is>
          <t>-</t>
        </is>
      </c>
      <c r="M44" s="40" t="inlineStr">
        <is>
          <t>-</t>
        </is>
      </c>
      <c r="N44" s="40" t="inlineStr">
        <is>
          <t>-</t>
        </is>
      </c>
      <c r="O44" s="40" t="inlineStr">
        <is>
          <t>-</t>
        </is>
      </c>
      <c r="P44" s="40" t="inlineStr">
        <is>
          <t>-</t>
        </is>
      </c>
      <c r="Q44" s="40" t="inlineStr">
        <is>
          <t>-</t>
        </is>
      </c>
      <c r="R44" s="40" t="inlineStr">
        <is>
          <t>-</t>
        </is>
      </c>
      <c r="S44" s="40" t="inlineStr">
        <is>
          <t>-</t>
        </is>
      </c>
      <c r="T44" s="40" t="inlineStr">
        <is>
          <t>-</t>
        </is>
      </c>
      <c r="U44" s="40" t="inlineStr">
        <is>
          <t>-</t>
        </is>
      </c>
      <c r="V44" s="40" t="inlineStr">
        <is>
          <t>-</t>
        </is>
      </c>
      <c r="W44" s="50" t="n"/>
    </row>
    <row r="45" ht="18.75" customHeight="1">
      <c r="A45" s="55" t="inlineStr">
        <is>
          <t>Outflow : 設備放置區域租金</t>
        </is>
      </c>
      <c r="B45" s="39" t="inlineStr">
        <is>
          <t>-</t>
        </is>
      </c>
      <c r="C45" s="40">
        <f>-#REF!</f>
        <v/>
      </c>
      <c r="D45" s="40">
        <f>-#REF!</f>
        <v/>
      </c>
      <c r="E45" s="40">
        <f>-#REF!</f>
        <v/>
      </c>
      <c r="F45" s="40">
        <f>-#REF!</f>
        <v/>
      </c>
      <c r="G45" s="40">
        <f>-#REF!</f>
        <v/>
      </c>
      <c r="H45" s="40">
        <f>-#REF!</f>
        <v/>
      </c>
      <c r="I45" s="40">
        <f>-#REF!</f>
        <v/>
      </c>
      <c r="J45" s="40">
        <f>-#REF!</f>
        <v/>
      </c>
      <c r="K45" s="40">
        <f>-#REF!</f>
        <v/>
      </c>
      <c r="L45" s="40">
        <f>-#REF!</f>
        <v/>
      </c>
      <c r="M45" s="40">
        <f>-#REF!</f>
        <v/>
      </c>
      <c r="N45" s="40">
        <f>-#REF!</f>
        <v/>
      </c>
      <c r="O45" s="40">
        <f>-#REF!</f>
        <v/>
      </c>
      <c r="P45" s="40">
        <f>-#REF!</f>
        <v/>
      </c>
      <c r="Q45" s="40">
        <f>-#REF!</f>
        <v/>
      </c>
      <c r="R45" s="40">
        <f>-#REF!</f>
        <v/>
      </c>
      <c r="S45" s="40">
        <f>-#REF!</f>
        <v/>
      </c>
      <c r="T45" s="40">
        <f>-#REF!</f>
        <v/>
      </c>
      <c r="U45" s="40">
        <f>-#REF!</f>
        <v/>
      </c>
      <c r="V45" s="40">
        <f>-#REF!</f>
        <v/>
      </c>
      <c r="W45" s="50" t="n"/>
    </row>
    <row r="46" ht="18.75" customHeight="1">
      <c r="A46" s="55" t="inlineStr">
        <is>
          <t>Outflow : 返還借款</t>
        </is>
      </c>
      <c r="B46" s="39" t="n">
        <v>0</v>
      </c>
      <c r="C46" s="40" t="n"/>
      <c r="D46" s="40" t="n"/>
      <c r="E46" s="40" t="n"/>
      <c r="F46" s="40" t="n"/>
      <c r="G46" s="40" t="n"/>
      <c r="H46" s="40" t="n"/>
      <c r="I46" s="40" t="n"/>
      <c r="J46" s="40" t="n"/>
      <c r="K46" s="40" t="n"/>
      <c r="L46" s="40" t="n"/>
      <c r="M46" s="40" t="n"/>
      <c r="N46" s="40" t="n"/>
      <c r="O46" s="40" t="n"/>
      <c r="P46" s="40" t="n"/>
      <c r="Q46" s="40" t="n"/>
      <c r="R46" s="40" t="n"/>
      <c r="S46" s="40" t="n"/>
      <c r="T46" s="40" t="n"/>
      <c r="U46" s="40" t="n">
        <v>0</v>
      </c>
      <c r="V46" s="40" t="n">
        <v>0</v>
      </c>
      <c r="W46" s="50" t="n"/>
    </row>
    <row r="47" ht="18.75" customHeight="1">
      <c r="A47" s="55" t="inlineStr">
        <is>
          <t>Outflow : 利息費用</t>
        </is>
      </c>
      <c r="B47" s="39" t="inlineStr">
        <is>
          <t>-</t>
        </is>
      </c>
      <c r="C47" s="40" t="n"/>
      <c r="D47" s="40" t="n"/>
      <c r="E47" s="40" t="n"/>
      <c r="F47" s="40" t="n"/>
      <c r="G47" s="40" t="n"/>
      <c r="H47" s="40" t="n"/>
      <c r="I47" s="40" t="n"/>
      <c r="J47" s="40" t="n"/>
      <c r="K47" s="40" t="n"/>
      <c r="L47" s="40" t="n"/>
      <c r="M47" s="40" t="n"/>
      <c r="N47" s="40" t="n"/>
      <c r="O47" s="40" t="n"/>
      <c r="P47" s="40" t="n"/>
      <c r="Q47" s="40" t="n"/>
      <c r="R47" s="40" t="n"/>
      <c r="S47" s="40" t="n"/>
      <c r="T47" s="40" t="n"/>
      <c r="U47" s="40" t="n"/>
      <c r="V47" s="40" t="n"/>
      <c r="W47" s="50" t="n"/>
    </row>
    <row r="48" ht="18.75" customHeight="1">
      <c r="A48" s="55" t="inlineStr">
        <is>
          <t>Outflow : 維運費</t>
        </is>
      </c>
      <c r="B48" s="39" t="inlineStr">
        <is>
          <t>-</t>
        </is>
      </c>
      <c r="C48" s="40">
        <f>-#REF!</f>
        <v/>
      </c>
      <c r="D48" s="40">
        <f>-#REF!</f>
        <v/>
      </c>
      <c r="E48" s="40">
        <f>-#REF!</f>
        <v/>
      </c>
      <c r="F48" s="40">
        <f>-#REF!</f>
        <v/>
      </c>
      <c r="G48" s="40">
        <f>-#REF!</f>
        <v/>
      </c>
      <c r="H48" s="40">
        <f>-#REF!</f>
        <v/>
      </c>
      <c r="I48" s="40">
        <f>-#REF!</f>
        <v/>
      </c>
      <c r="J48" s="40">
        <f>-#REF!</f>
        <v/>
      </c>
      <c r="K48" s="40">
        <f>-#REF!</f>
        <v/>
      </c>
      <c r="L48" s="40">
        <f>-#REF!</f>
        <v/>
      </c>
      <c r="M48" s="40">
        <f>-#REF!</f>
        <v/>
      </c>
      <c r="N48" s="40">
        <f>-#REF!</f>
        <v/>
      </c>
      <c r="O48" s="40">
        <f>-#REF!</f>
        <v/>
      </c>
      <c r="P48" s="40">
        <f>-#REF!</f>
        <v/>
      </c>
      <c r="Q48" s="40">
        <f>-#REF!</f>
        <v/>
      </c>
      <c r="R48" s="40">
        <f>-#REF!</f>
        <v/>
      </c>
      <c r="S48" s="40">
        <f>-#REF!</f>
        <v/>
      </c>
      <c r="T48" s="40">
        <f>-#REF!</f>
        <v/>
      </c>
      <c r="U48" s="40">
        <f>-#REF!</f>
        <v/>
      </c>
      <c r="V48" s="40">
        <f>-#REF!</f>
        <v/>
      </c>
      <c r="W48" s="50" t="n"/>
    </row>
    <row r="49" ht="18.75" customHeight="1">
      <c r="A49" s="55" t="inlineStr">
        <is>
          <t>Outflow : 保險費</t>
        </is>
      </c>
      <c r="B49" s="39" t="inlineStr">
        <is>
          <t>-</t>
        </is>
      </c>
      <c r="C49" s="40">
        <f>-#REF!</f>
        <v/>
      </c>
      <c r="D49" s="40">
        <f>-#REF!</f>
        <v/>
      </c>
      <c r="E49" s="40">
        <f>-#REF!</f>
        <v/>
      </c>
      <c r="F49" s="40">
        <f>-#REF!</f>
        <v/>
      </c>
      <c r="G49" s="40">
        <f>-#REF!</f>
        <v/>
      </c>
      <c r="H49" s="40">
        <f>-#REF!</f>
        <v/>
      </c>
      <c r="I49" s="40">
        <f>-#REF!</f>
        <v/>
      </c>
      <c r="J49" s="40">
        <f>-#REF!</f>
        <v/>
      </c>
      <c r="K49" s="40">
        <f>-#REF!</f>
        <v/>
      </c>
      <c r="L49" s="40">
        <f>-#REF!</f>
        <v/>
      </c>
      <c r="M49" s="40">
        <f>-#REF!</f>
        <v/>
      </c>
      <c r="N49" s="40">
        <f>-#REF!</f>
        <v/>
      </c>
      <c r="O49" s="40">
        <f>-#REF!</f>
        <v/>
      </c>
      <c r="P49" s="40">
        <f>-#REF!</f>
        <v/>
      </c>
      <c r="Q49" s="40">
        <f>-#REF!</f>
        <v/>
      </c>
      <c r="R49" s="40">
        <f>-#REF!</f>
        <v/>
      </c>
      <c r="S49" s="40">
        <f>-#REF!</f>
        <v/>
      </c>
      <c r="T49" s="40">
        <f>-#REF!</f>
        <v/>
      </c>
      <c r="U49" s="40">
        <f>-#REF!</f>
        <v/>
      </c>
      <c r="V49" s="40">
        <f>-#REF!</f>
        <v/>
      </c>
      <c r="W49" s="50" t="n"/>
    </row>
    <row r="50" ht="18.75" customHeight="1">
      <c r="A50" s="55" t="inlineStr">
        <is>
          <t>Outflow : 模組回收費</t>
        </is>
      </c>
      <c r="B50" s="39" t="n"/>
      <c r="C50" s="40">
        <f>-#REF!</f>
        <v/>
      </c>
      <c r="D50" s="40">
        <f>-#REF!</f>
        <v/>
      </c>
      <c r="E50" s="40">
        <f>-#REF!</f>
        <v/>
      </c>
      <c r="F50" s="40">
        <f>-#REF!</f>
        <v/>
      </c>
      <c r="G50" s="40">
        <f>-#REF!</f>
        <v/>
      </c>
      <c r="H50" s="40">
        <f>-#REF!</f>
        <v/>
      </c>
      <c r="I50" s="40">
        <f>-#REF!</f>
        <v/>
      </c>
      <c r="J50" s="40">
        <f>-#REF!</f>
        <v/>
      </c>
      <c r="K50" s="40">
        <f>-#REF!</f>
        <v/>
      </c>
      <c r="L50" s="40">
        <f>-#REF!</f>
        <v/>
      </c>
      <c r="M50" s="40">
        <f>-#REF!</f>
        <v/>
      </c>
      <c r="N50" s="40">
        <f>-#REF!</f>
        <v/>
      </c>
      <c r="O50" s="40">
        <f>-#REF!</f>
        <v/>
      </c>
      <c r="P50" s="40">
        <f>-#REF!</f>
        <v/>
      </c>
      <c r="Q50" s="40">
        <f>-#REF!</f>
        <v/>
      </c>
      <c r="R50" s="40">
        <f>-#REF!</f>
        <v/>
      </c>
      <c r="S50" s="40">
        <f>-#REF!</f>
        <v/>
      </c>
      <c r="T50" s="40">
        <f>-#REF!</f>
        <v/>
      </c>
      <c r="U50" s="40">
        <f>-#REF!</f>
        <v/>
      </c>
      <c r="V50" s="40">
        <f>-#REF!</f>
        <v/>
      </c>
      <c r="W50" s="50" t="n"/>
    </row>
    <row r="51" ht="18.75" customHeight="1">
      <c r="A51" s="55" t="inlineStr">
        <is>
          <t>Outflow : 其它費用(人事薪資…等)</t>
        </is>
      </c>
      <c r="B51" s="57" t="n"/>
      <c r="C51" s="58" t="n"/>
      <c r="D51" s="59" t="n"/>
      <c r="E51" s="40">
        <f>-(E41*#REF!)</f>
        <v/>
      </c>
      <c r="F51" s="40">
        <f>-(F41*#REF!)</f>
        <v/>
      </c>
      <c r="G51" s="40">
        <f>-(G41*#REF!)</f>
        <v/>
      </c>
      <c r="H51" s="40">
        <f>-(H41*#REF!)</f>
        <v/>
      </c>
      <c r="I51" s="40">
        <f>-(I41*#REF!)</f>
        <v/>
      </c>
      <c r="J51" s="40">
        <f>-(J41*#REF!)</f>
        <v/>
      </c>
      <c r="K51" s="40">
        <f>-(K41*#REF!)</f>
        <v/>
      </c>
      <c r="L51" s="40">
        <f>-(L41*#REF!)</f>
        <v/>
      </c>
      <c r="M51" s="40">
        <f>-(M41*#REF!)</f>
        <v/>
      </c>
      <c r="N51" s="40">
        <f>-(N41*#REF!)</f>
        <v/>
      </c>
      <c r="O51" s="40">
        <f>-(O41*#REF!)</f>
        <v/>
      </c>
      <c r="P51" s="40">
        <f>-(P41*#REF!)</f>
        <v/>
      </c>
      <c r="Q51" s="40">
        <f>-(Q41*#REF!)</f>
        <v/>
      </c>
      <c r="R51" s="40">
        <f>-(R41*#REF!)</f>
        <v/>
      </c>
      <c r="S51" s="40">
        <f>-(S41*#REF!)</f>
        <v/>
      </c>
      <c r="T51" s="40">
        <f>-(T41*#REF!)</f>
        <v/>
      </c>
      <c r="U51" s="40">
        <f>-(U41*#REF!)</f>
        <v/>
      </c>
      <c r="V51" s="40">
        <f>-(V41*#REF!)</f>
        <v/>
      </c>
      <c r="W51" s="50" t="n"/>
    </row>
    <row r="52" ht="18.75" customHeight="1">
      <c r="A52" s="55" t="inlineStr">
        <is>
          <t>1%管理費</t>
        </is>
      </c>
      <c r="B52" s="57" t="n"/>
      <c r="C52" s="40" t="n"/>
      <c r="D52" s="40" t="n"/>
      <c r="E52" s="40" t="n"/>
      <c r="F52" s="40" t="n"/>
      <c r="G52" s="40" t="n"/>
      <c r="H52" s="40" t="n"/>
      <c r="I52" s="40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 t="n"/>
      <c r="V52" s="40" t="n"/>
      <c r="W52" s="50" t="n"/>
    </row>
    <row r="53" ht="18.75" customHeight="1">
      <c r="A53" s="60" t="inlineStr">
        <is>
          <t>績效獎金</t>
        </is>
      </c>
      <c r="B53" s="57" t="n"/>
      <c r="C53" s="61" t="n"/>
      <c r="D53" s="61" t="n"/>
      <c r="E53" s="40" t="n"/>
      <c r="F53" s="40" t="n"/>
      <c r="G53" s="40" t="n"/>
      <c r="H53" s="40" t="n"/>
      <c r="I53" s="40" t="n"/>
      <c r="J53" s="40" t="n"/>
      <c r="K53" s="40" t="n"/>
      <c r="L53" s="40" t="n"/>
      <c r="M53" s="40" t="n"/>
      <c r="N53" s="40" t="n"/>
      <c r="O53" s="40" t="n"/>
      <c r="P53" s="40" t="n"/>
      <c r="Q53" s="40" t="n"/>
      <c r="R53" s="40" t="n"/>
      <c r="S53" s="40" t="n"/>
      <c r="T53" s="40" t="n"/>
      <c r="U53" s="40" t="n"/>
      <c r="V53" s="40" t="n"/>
      <c r="W53" s="50" t="n"/>
    </row>
    <row r="54" ht="18.75" customHeight="1">
      <c r="A54" s="60" t="inlineStr">
        <is>
          <t>所得稅20%</t>
        </is>
      </c>
      <c r="B54" s="57" t="n"/>
      <c r="C54" s="40">
        <f>IF((#REF!+SUM(#REF!+#REF!+#REF!+#REF!+#REF!+#REF!))&gt;0,-(#REF!+SUM(#REF!+#REF!+#REF!+#REF!+#REF!+#REF!))*0.2,0)</f>
        <v/>
      </c>
      <c r="D54" s="40">
        <f>IF((#REF!+SUM(#REF!+#REF!+#REF!+#REF!+#REF!+#REF!))&gt;0,-(#REF!+SUM(#REF!+#REF!+#REF!+#REF!+#REF!+#REF!))*0.2,0)</f>
        <v/>
      </c>
      <c r="E54" s="40">
        <f>IF((#REF!+SUM(#REF!+#REF!+#REF!+#REF!+#REF!+#REF!))&gt;0,-(#REF!+SUM(#REF!+#REF!+#REF!+#REF!+#REF!+#REF!))*0.2,0)</f>
        <v/>
      </c>
      <c r="F54" s="40">
        <f>IF((#REF!+SUM(#REF!+#REF!+#REF!+#REF!+#REF!+#REF!))&gt;0,-(#REF!+SUM(#REF!+#REF!+#REF!+#REF!+#REF!+#REF!))*0.2,0)</f>
        <v/>
      </c>
      <c r="G54" s="40">
        <f>IF((#REF!+SUM(#REF!+#REF!+#REF!+#REF!+#REF!+#REF!))&gt;0,-(#REF!+SUM(#REF!+#REF!+#REF!+#REF!+#REF!+#REF!))*0.2,0)</f>
        <v/>
      </c>
      <c r="H54" s="40">
        <f>IF((#REF!+SUM(#REF!+#REF!+#REF!+#REF!+#REF!+#REF!))&gt;0,-(#REF!+SUM(#REF!+#REF!+#REF!+#REF!+#REF!+#REF!))*0.2,0)</f>
        <v/>
      </c>
      <c r="I54" s="40">
        <f>IF((#REF!+SUM(#REF!+#REF!+#REF!+#REF!+#REF!+#REF!))&gt;0,-(#REF!+SUM(#REF!+#REF!+#REF!+#REF!+#REF!+#REF!))*0.2,0)</f>
        <v/>
      </c>
      <c r="J54" s="40">
        <f>IF((#REF!+SUM(#REF!+#REF!+#REF!+#REF!+#REF!+#REF!))&gt;0,-(#REF!+SUM(#REF!+#REF!+#REF!+#REF!+#REF!+#REF!))*0.2,0)</f>
        <v/>
      </c>
      <c r="K54" s="40">
        <f>IF((#REF!+SUM(#REF!+#REF!+#REF!+#REF!+#REF!+#REF!))&gt;0,-(#REF!+SUM(#REF!+#REF!+#REF!+#REF!+#REF!+#REF!))*0.2,0)</f>
        <v/>
      </c>
      <c r="L54" s="40">
        <f>IF((#REF!+SUM(#REF!+#REF!+#REF!+#REF!+#REF!+#REF!))&gt;0,-(#REF!+SUM(#REF!+#REF!+#REF!+#REF!+#REF!+#REF!))*0.2,0)</f>
        <v/>
      </c>
      <c r="M54" s="40">
        <f>IF((#REF!+SUM(#REF!+#REF!+#REF!+#REF!+#REF!+#REF!))&gt;0,-(#REF!+SUM(#REF!+#REF!+#REF!+#REF!+#REF!+#REF!))*0.2,0)</f>
        <v/>
      </c>
      <c r="N54" s="40">
        <f>IF((#REF!+SUM(#REF!+#REF!+#REF!+#REF!+#REF!+#REF!))&gt;0,-(#REF!+SUM(#REF!+#REF!+#REF!+#REF!+#REF!+#REF!))*0.2,0)</f>
        <v/>
      </c>
      <c r="O54" s="40">
        <f>IF((#REF!+SUM(#REF!+#REF!+#REF!+#REF!+#REF!+#REF!))&gt;0,-(#REF!+SUM(#REF!+#REF!+#REF!+#REF!+#REF!+#REF!))*0.2,0)</f>
        <v/>
      </c>
      <c r="P54" s="40">
        <f>IF((#REF!+SUM(#REF!+#REF!+#REF!+#REF!+#REF!+#REF!))&gt;0,-(#REF!+SUM(#REF!+#REF!+#REF!+#REF!+#REF!+#REF!))*0.2,0)</f>
        <v/>
      </c>
      <c r="Q54" s="40">
        <f>IF((#REF!+SUM(#REF!+#REF!+#REF!+#REF!+#REF!+#REF!))&gt;0,-(#REF!+SUM(#REF!+#REF!+#REF!+#REF!+#REF!+#REF!))*0.2,0)</f>
        <v/>
      </c>
      <c r="R54" s="40">
        <f>IF((#REF!+SUM(#REF!+#REF!+#REF!+#REF!+#REF!+#REF!))&gt;0,-(#REF!+SUM(#REF!+#REF!+#REF!+#REF!+#REF!+#REF!))*0.2,0)</f>
        <v/>
      </c>
      <c r="S54" s="40">
        <f>IF((#REF!+SUM(#REF!+#REF!+#REF!+#REF!+#REF!+#REF!))&gt;0,-(#REF!+SUM(#REF!+#REF!+#REF!+#REF!+#REF!+#REF!))*0.2,0)</f>
        <v/>
      </c>
      <c r="T54" s="40">
        <f>IF((#REF!+SUM(#REF!+#REF!+#REF!+#REF!+#REF!+#REF!))&gt;0,-(#REF!+SUM(#REF!+#REF!+#REF!+#REF!+#REF!+#REF!))*0.2,0)</f>
        <v/>
      </c>
      <c r="U54" s="40">
        <f>IF((#REF!+SUM(#REF!+#REF!+#REF!+#REF!+#REF!+#REF!))&gt;0,-(#REF!+SUM(#REF!+#REF!+#REF!+#REF!+#REF!+#REF!))*0.2,0)</f>
        <v/>
      </c>
      <c r="V54" s="40">
        <f>IF((#REF!+SUM(#REF!+#REF!+#REF!+#REF!+#REF!+#REF!))&gt;0,-(#REF!+SUM(#REF!+#REF!+#REF!+#REF!+#REF!+#REF!))*0.2,0)</f>
        <v/>
      </c>
      <c r="W54" s="50" t="n"/>
    </row>
    <row r="55" ht="18.75" customHeight="1" thickBot="1">
      <c r="A55" s="62" t="n"/>
      <c r="B55" s="57" t="n"/>
      <c r="C55" s="59" t="n"/>
      <c r="D55" s="59" t="n"/>
      <c r="E55" s="61" t="n"/>
      <c r="F55" s="61" t="n"/>
      <c r="G55" s="61" t="n"/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1" t="n"/>
      <c r="U55" s="61" t="n"/>
      <c r="V55" s="61" t="n"/>
      <c r="W55" s="63" t="n"/>
    </row>
    <row r="56" ht="18.75" customHeight="1">
      <c r="A56" s="64" t="inlineStr">
        <is>
          <t>現金流</t>
        </is>
      </c>
      <c r="B56" s="65">
        <f>B44</f>
        <v/>
      </c>
      <c r="C56" s="66">
        <f>SUM(C41:C54)</f>
        <v/>
      </c>
      <c r="D56" s="65">
        <f>SUM(D41:D54)</f>
        <v/>
      </c>
      <c r="E56" s="65">
        <f>SUM(E41:E54)</f>
        <v/>
      </c>
      <c r="F56" s="65">
        <f>SUM(F41:F54)</f>
        <v/>
      </c>
      <c r="G56" s="65">
        <f>SUM(G41:G54)</f>
        <v/>
      </c>
      <c r="H56" s="65">
        <f>SUM(H41:H54)</f>
        <v/>
      </c>
      <c r="I56" s="65">
        <f>SUM(I41:I54)</f>
        <v/>
      </c>
      <c r="J56" s="65">
        <f>SUM(J41:J54)</f>
        <v/>
      </c>
      <c r="K56" s="65">
        <f>SUM(K41:K54)</f>
        <v/>
      </c>
      <c r="L56" s="65">
        <f>SUM(L41:L54)</f>
        <v/>
      </c>
      <c r="M56" s="65">
        <f>SUM(M41:M54)</f>
        <v/>
      </c>
      <c r="N56" s="65">
        <f>SUM(N41:N54)</f>
        <v/>
      </c>
      <c r="O56" s="65">
        <f>SUM(O41:O54)</f>
        <v/>
      </c>
      <c r="P56" s="65">
        <f>SUM(P41:P54)</f>
        <v/>
      </c>
      <c r="Q56" s="65">
        <f>SUM(Q41:Q54)</f>
        <v/>
      </c>
      <c r="R56" s="65">
        <f>SUM(R41:R54)</f>
        <v/>
      </c>
      <c r="S56" s="65">
        <f>SUM(S41:S54)</f>
        <v/>
      </c>
      <c r="T56" s="65">
        <f>SUM(T41:T54)</f>
        <v/>
      </c>
      <c r="U56" s="65">
        <f>SUM(U41:U54)</f>
        <v/>
      </c>
      <c r="V56" s="65">
        <f>SUM(V41:V54)</f>
        <v/>
      </c>
      <c r="W56" s="67" t="n"/>
      <c r="X56" s="68" t="n"/>
      <c r="Y56" s="69" t="n"/>
      <c r="Z56" s="68" t="n"/>
      <c r="AA56" s="68" t="n"/>
      <c r="AB56" s="68" t="n"/>
      <c r="AC56" s="68" t="n"/>
      <c r="AD56" s="68" t="n"/>
      <c r="AE56" s="68" t="n"/>
      <c r="AF56" s="68" t="n"/>
      <c r="AG56" s="68" t="n"/>
      <c r="AH56" s="68" t="n"/>
      <c r="AI56" s="68" t="n"/>
    </row>
    <row r="57" ht="18.75" customHeight="1" thickBot="1">
      <c r="A57" s="70" t="inlineStr">
        <is>
          <t>累計現金流</t>
        </is>
      </c>
      <c r="B57" s="71" t="n"/>
      <c r="C57" s="72">
        <f>C56+B56</f>
        <v/>
      </c>
      <c r="D57" s="72">
        <f>D56+C57</f>
        <v/>
      </c>
      <c r="E57" s="72">
        <f>E56+D57</f>
        <v/>
      </c>
      <c r="F57" s="72">
        <f>F56+E57</f>
        <v/>
      </c>
      <c r="G57" s="72">
        <f>G56+F57</f>
        <v/>
      </c>
      <c r="H57" s="72">
        <f>H56+G57</f>
        <v/>
      </c>
      <c r="I57" s="72">
        <f>I56+H57</f>
        <v/>
      </c>
      <c r="J57" s="72">
        <f>J56+I57</f>
        <v/>
      </c>
      <c r="K57" s="72">
        <f>K56+J57</f>
        <v/>
      </c>
      <c r="L57" s="72">
        <f>L56+K57</f>
        <v/>
      </c>
      <c r="M57" s="72">
        <f>M56+L57</f>
        <v/>
      </c>
      <c r="N57" s="72">
        <f>N56+M57</f>
        <v/>
      </c>
      <c r="O57" s="72">
        <f>O56+N57</f>
        <v/>
      </c>
      <c r="P57" s="72">
        <f>P56+O57</f>
        <v/>
      </c>
      <c r="Q57" s="72">
        <f>Q56+P57</f>
        <v/>
      </c>
      <c r="R57" s="72">
        <f>R56+Q57</f>
        <v/>
      </c>
      <c r="S57" s="72">
        <f>S56+R57</f>
        <v/>
      </c>
      <c r="T57" s="72">
        <f>T56+S57</f>
        <v/>
      </c>
      <c r="U57" s="72">
        <f>U56+T57</f>
        <v/>
      </c>
      <c r="V57" s="72">
        <f>V56+U57</f>
        <v/>
      </c>
      <c r="W57" s="73" t="n"/>
      <c r="X57" s="68" t="n"/>
      <c r="Y57" s="68" t="n"/>
      <c r="Z57" s="68" t="n"/>
      <c r="AA57" s="68" t="n"/>
      <c r="AB57" s="68" t="n"/>
      <c r="AC57" s="68" t="n"/>
      <c r="AD57" s="68" t="n"/>
      <c r="AE57" s="68" t="n"/>
      <c r="AF57" s="68" t="n"/>
      <c r="AG57" s="68" t="n"/>
      <c r="AH57" s="68" t="n"/>
      <c r="AI57" s="68" t="n"/>
    </row>
    <row r="58" hidden="1" ht="18.75" customHeight="1">
      <c r="A58" s="74" t="inlineStr">
        <is>
          <t>Discounted cash flow</t>
        </is>
      </c>
      <c r="B58" s="75" t="n">
        <v>-37721416.4</v>
      </c>
      <c r="C58" s="76" t="n"/>
      <c r="D58" s="76" t="n"/>
      <c r="E58" s="77" t="n">
        <v>4765724.101934625</v>
      </c>
      <c r="F58" s="77" t="n">
        <v>4715578.687122989</v>
      </c>
      <c r="G58" s="77" t="n">
        <v>4665433.272311353</v>
      </c>
      <c r="H58" s="77" t="n">
        <v>4615287.857499719</v>
      </c>
      <c r="I58" s="77" t="n">
        <v>4565142.442688081</v>
      </c>
      <c r="J58" s="77" t="n">
        <v>4517504.29861703</v>
      </c>
      <c r="K58" s="77" t="n">
        <v>4469866.154545976</v>
      </c>
      <c r="L58" s="77" t="n">
        <v>4422228.010474921</v>
      </c>
      <c r="M58" s="77" t="n">
        <v>4374589.866403867</v>
      </c>
      <c r="N58" s="77" t="n">
        <v>4326951.722332815</v>
      </c>
      <c r="O58" s="77" t="n">
        <v>4284954.937428069</v>
      </c>
      <c r="P58" s="77" t="n">
        <v>4242958.152523325</v>
      </c>
      <c r="Q58" s="77" t="n">
        <v>4200961.36761858</v>
      </c>
      <c r="R58" s="77" t="n">
        <v>4158964.582713835</v>
      </c>
      <c r="S58" s="77" t="n">
        <v>4116967.797809093</v>
      </c>
      <c r="T58" s="77" t="n">
        <v>4074971.012904346</v>
      </c>
      <c r="U58" s="77" t="n">
        <v>4032974.227999602</v>
      </c>
      <c r="V58" s="77" t="n">
        <v>3990977.443094858</v>
      </c>
      <c r="W58" s="78" t="n"/>
      <c r="X58" s="68" t="n"/>
      <c r="Y58" s="68" t="n"/>
      <c r="Z58" s="68" t="n"/>
      <c r="AA58" s="68" t="n"/>
      <c r="AB58" s="68" t="n"/>
      <c r="AC58" s="68" t="n"/>
      <c r="AD58" s="68" t="n"/>
      <c r="AE58" s="68" t="n"/>
      <c r="AF58" s="68" t="n"/>
      <c r="AG58" s="68" t="n"/>
      <c r="AH58" s="68" t="n"/>
      <c r="AI58" s="68" t="n"/>
    </row>
    <row r="59" hidden="1" ht="18.75" customHeight="1">
      <c r="A59" s="74" t="inlineStr">
        <is>
          <t>Minus : Depreciation</t>
        </is>
      </c>
      <c r="B59" s="79" t="n"/>
      <c r="C59" s="61" t="n"/>
      <c r="D59" s="61" t="n"/>
      <c r="E59" s="61" t="n">
        <v>1886070.82</v>
      </c>
      <c r="F59" s="61" t="n">
        <v>1886070.82</v>
      </c>
      <c r="G59" s="61" t="n">
        <v>1886070.82</v>
      </c>
      <c r="H59" s="61" t="n">
        <v>1886070.82</v>
      </c>
      <c r="I59" s="61" t="n">
        <v>1886070.82</v>
      </c>
      <c r="J59" s="61" t="n">
        <v>1886070.82</v>
      </c>
      <c r="K59" s="61" t="n">
        <v>1886070.82</v>
      </c>
      <c r="L59" s="61" t="n">
        <v>1886070.82</v>
      </c>
      <c r="M59" s="61" t="n">
        <v>1886070.82</v>
      </c>
      <c r="N59" s="61" t="n">
        <v>1886070.82</v>
      </c>
      <c r="O59" s="61" t="n">
        <v>1886070.82</v>
      </c>
      <c r="P59" s="61" t="n">
        <v>1886070.82</v>
      </c>
      <c r="Q59" s="61" t="n">
        <v>1886070.82</v>
      </c>
      <c r="R59" s="61" t="n">
        <v>1886070.82</v>
      </c>
      <c r="S59" s="61" t="n">
        <v>1886070.82</v>
      </c>
      <c r="T59" s="61" t="n">
        <v>1886070.82</v>
      </c>
      <c r="U59" s="61" t="n">
        <v>1886070.82</v>
      </c>
      <c r="V59" s="61" t="n">
        <v>1886070.82</v>
      </c>
      <c r="W59" s="80" t="n"/>
      <c r="X59" s="68" t="n"/>
      <c r="Y59" s="68" t="n"/>
      <c r="Z59" s="68" t="n"/>
      <c r="AA59" s="68" t="n"/>
      <c r="AB59" s="68" t="n"/>
      <c r="AC59" s="68" t="n"/>
      <c r="AD59" s="68" t="n"/>
      <c r="AE59" s="68" t="n"/>
      <c r="AF59" s="68" t="n"/>
      <c r="AG59" s="68" t="n"/>
      <c r="AH59" s="68" t="n"/>
      <c r="AI59" s="68" t="n"/>
    </row>
    <row r="60" hidden="1" ht="18.75" customHeight="1">
      <c r="A60" s="74" t="inlineStr">
        <is>
          <t>Plus : Principle payment</t>
        </is>
      </c>
      <c r="B60" s="79" t="n"/>
      <c r="C60" s="61" t="n"/>
      <c r="D60" s="61" t="n"/>
      <c r="E60" s="61" t="n">
        <v>0</v>
      </c>
      <c r="F60" s="61" t="n">
        <v>0</v>
      </c>
      <c r="G60" s="61" t="n">
        <v>0</v>
      </c>
      <c r="H60" s="61" t="n">
        <v>0</v>
      </c>
      <c r="I60" s="61" t="n">
        <v>0</v>
      </c>
      <c r="J60" s="61" t="n">
        <v>0</v>
      </c>
      <c r="K60" s="61" t="n">
        <v>0</v>
      </c>
      <c r="L60" s="61" t="n">
        <v>0</v>
      </c>
      <c r="M60" s="61" t="n">
        <v>0</v>
      </c>
      <c r="N60" s="61" t="n">
        <v>0</v>
      </c>
      <c r="O60" s="61" t="n">
        <v>0</v>
      </c>
      <c r="P60" s="61" t="n">
        <v>0</v>
      </c>
      <c r="Q60" s="61" t="n">
        <v>0</v>
      </c>
      <c r="R60" s="61" t="n">
        <v>0</v>
      </c>
      <c r="S60" s="61" t="n">
        <v>0</v>
      </c>
      <c r="T60" s="61" t="n">
        <v>0</v>
      </c>
      <c r="U60" s="61" t="n">
        <v>0</v>
      </c>
      <c r="V60" s="61" t="n">
        <v>0</v>
      </c>
      <c r="W60" s="80" t="n"/>
      <c r="X60" s="68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</row>
    <row r="61" hidden="1" ht="18.75" customHeight="1">
      <c r="A61" s="81" t="inlineStr">
        <is>
          <t>Profit</t>
        </is>
      </c>
      <c r="B61" s="82" t="n"/>
      <c r="C61" s="83" t="n"/>
      <c r="D61" s="83" t="n"/>
      <c r="E61" s="83" t="n">
        <v>2879653.281934625</v>
      </c>
      <c r="F61" s="83" t="n">
        <v>2829507.867122989</v>
      </c>
      <c r="G61" s="83" t="n">
        <v>2779362.452311353</v>
      </c>
      <c r="H61" s="83" t="n">
        <v>2729217.037499719</v>
      </c>
      <c r="I61" s="83" t="n">
        <v>2679071.622688082</v>
      </c>
      <c r="J61" s="83" t="n">
        <v>2631433.47861703</v>
      </c>
      <c r="K61" s="83" t="n">
        <v>2583795.334545976</v>
      </c>
      <c r="L61" s="83" t="n">
        <v>2536157.190474921</v>
      </c>
      <c r="M61" s="83" t="n">
        <v>2488519.046403868</v>
      </c>
      <c r="N61" s="83" t="n">
        <v>2440880.902332815</v>
      </c>
      <c r="O61" s="83" t="n">
        <v>2398884.117428069</v>
      </c>
      <c r="P61" s="83" t="n">
        <v>2356887.332523325</v>
      </c>
      <c r="Q61" s="83" t="n">
        <v>2314890.547618581</v>
      </c>
      <c r="R61" s="83" t="n">
        <v>2272893.762713836</v>
      </c>
      <c r="S61" s="83" t="n">
        <v>2230896.977809093</v>
      </c>
      <c r="T61" s="83" t="n">
        <v>2188900.192904347</v>
      </c>
      <c r="U61" s="83" t="n">
        <v>2146903.407999602</v>
      </c>
      <c r="V61" s="83" t="n">
        <v>2104906.623094858</v>
      </c>
      <c r="W61" s="84" t="n"/>
      <c r="X61" s="68" t="n"/>
      <c r="Y61" s="68" t="n"/>
      <c r="Z61" s="68" t="n"/>
      <c r="AA61" s="68" t="n"/>
      <c r="AB61" s="68" t="n"/>
      <c r="AC61" s="68" t="n"/>
      <c r="AD61" s="68" t="n"/>
      <c r="AE61" s="68" t="n"/>
      <c r="AF61" s="68" t="n"/>
      <c r="AG61" s="68" t="n"/>
      <c r="AH61" s="68" t="n"/>
      <c r="AI61" s="68" t="n"/>
    </row>
    <row r="62" hidden="1" ht="18.75" customHeight="1">
      <c r="A62" s="85" t="inlineStr">
        <is>
          <t>EPS</t>
        </is>
      </c>
      <c r="B62" s="86" t="n"/>
      <c r="C62" s="87" t="n"/>
      <c r="D62" s="87" t="n"/>
      <c r="E62" s="88" t="n">
        <v>0.7634000938349244</v>
      </c>
      <c r="F62" s="88" t="n">
        <v>0.7501064745604274</v>
      </c>
      <c r="G62" s="88" t="n">
        <v>0.7368128552859308</v>
      </c>
      <c r="H62" s="88" t="n">
        <v>0.7235192360114343</v>
      </c>
      <c r="I62" s="88" t="n">
        <v>0.7102256167369372</v>
      </c>
      <c r="J62" s="88" t="n">
        <v>0.6975966784261659</v>
      </c>
      <c r="K62" s="88" t="n">
        <v>0.6849677401153941</v>
      </c>
      <c r="L62" s="88" t="n">
        <v>0.6723388018046219</v>
      </c>
      <c r="M62" s="88" t="n">
        <v>0.6597098634938501</v>
      </c>
      <c r="N62" s="88" t="n">
        <v>0.6470809251830785</v>
      </c>
      <c r="O62" s="88" t="n">
        <v>0.6359475190406874</v>
      </c>
      <c r="P62" s="88" t="n">
        <v>0.6248141128982965</v>
      </c>
      <c r="Q62" s="88" t="n">
        <v>0.6136807067559056</v>
      </c>
      <c r="R62" s="88" t="n">
        <v>0.6025473006135146</v>
      </c>
      <c r="S62" s="88" t="n">
        <v>0.5914138944711241</v>
      </c>
      <c r="T62" s="88" t="n">
        <v>0.5802804883287328</v>
      </c>
      <c r="U62" s="88" t="n">
        <v>0.5691470821863418</v>
      </c>
      <c r="V62" s="88" t="n">
        <v>0.5580136760439509</v>
      </c>
      <c r="W62" s="89" t="n"/>
      <c r="X62" s="68" t="n"/>
      <c r="Y62" s="68" t="n"/>
      <c r="Z62" s="68" t="n"/>
      <c r="AA62" s="68" t="n"/>
      <c r="AB62" s="68" t="n"/>
      <c r="AC62" s="68" t="n"/>
      <c r="AD62" s="68" t="n"/>
      <c r="AE62" s="68" t="n"/>
      <c r="AF62" s="68" t="n"/>
      <c r="AG62" s="68" t="n"/>
      <c r="AH62" s="68" t="n"/>
      <c r="AI62" s="68" t="n"/>
    </row>
    <row r="63" ht="18.75" customHeight="1" thickBot="1">
      <c r="A63" s="90" t="inlineStr">
        <is>
          <t>回收年限評估</t>
        </is>
      </c>
      <c r="B63" s="91" t="n"/>
      <c r="C63" s="92">
        <f>IF((C57)&gt;0,"回收","未回收")</f>
        <v/>
      </c>
      <c r="D63" s="92">
        <f>IF((D57)&gt;0,"回收","未回收")</f>
        <v/>
      </c>
      <c r="E63" s="92">
        <f>IF((E57)&gt;0,"回收","未回收")</f>
        <v/>
      </c>
      <c r="F63" s="92">
        <f>IF((F57)&gt;0,"回收","未回收")</f>
        <v/>
      </c>
      <c r="G63" s="92">
        <f>IF((G57)&gt;0,"回收","未回收")</f>
        <v/>
      </c>
      <c r="H63" s="92">
        <f>IF((H57)&gt;0,"回收","未回收")</f>
        <v/>
      </c>
      <c r="I63" s="92">
        <f>IF((I57)&gt;0,"回收","未回收")</f>
        <v/>
      </c>
      <c r="J63" s="92">
        <f>IF((J57)&gt;0,"回收","未回收")</f>
        <v/>
      </c>
      <c r="K63" s="92">
        <f>IF((K57)&gt;0,"回收","未回收")</f>
        <v/>
      </c>
      <c r="L63" s="92">
        <f>IF((L57)&gt;0,"回收","未回收")</f>
        <v/>
      </c>
      <c r="M63" s="92">
        <f>IF((M57)&gt;0,"回收","未回收")</f>
        <v/>
      </c>
      <c r="N63" s="92">
        <f>IF((N57)&gt;0,"回收","未回收")</f>
        <v/>
      </c>
      <c r="O63" s="92">
        <f>IF((O57)&gt;0,"回收","未回收")</f>
        <v/>
      </c>
      <c r="P63" s="92">
        <f>IF((P57)&gt;0,"回收","未回收")</f>
        <v/>
      </c>
      <c r="Q63" s="92">
        <f>IF((Q57)&gt;0,"回收","未回收")</f>
        <v/>
      </c>
      <c r="R63" s="92">
        <f>IF((R57)&gt;0,"回收","未回收")</f>
        <v/>
      </c>
      <c r="S63" s="92">
        <f>IF((S57)&gt;0,"回收","未回收")</f>
        <v/>
      </c>
      <c r="T63" s="92">
        <f>IF((T57)&gt;0,"回收","未回收")</f>
        <v/>
      </c>
      <c r="U63" s="92">
        <f>IF((U57)&gt;0,"回收","未回收")</f>
        <v/>
      </c>
      <c r="V63" s="92">
        <f>IF((V57)&gt;0,"回收","未回收")</f>
        <v/>
      </c>
      <c r="W63" s="93" t="n"/>
      <c r="X63" s="68" t="n"/>
      <c r="Y63" s="68" t="n"/>
      <c r="Z63" s="68" t="n"/>
      <c r="AA63" s="68" t="n"/>
      <c r="AB63" s="68" t="n"/>
      <c r="AC63" s="68" t="n"/>
      <c r="AD63" s="68" t="n"/>
      <c r="AE63" s="68" t="n"/>
      <c r="AF63" s="68" t="n"/>
      <c r="AG63" s="68" t="n"/>
      <c r="AH63" s="68" t="n"/>
      <c r="AI63" s="68" t="n"/>
    </row>
    <row r="64" ht="18.75" customHeight="1">
      <c r="A64" s="28" t="n"/>
      <c r="B64" s="149" t="n"/>
      <c r="C64" s="149" t="n"/>
      <c r="D64" s="14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95" t="n"/>
      <c r="X64" s="68" t="n"/>
      <c r="Y64" s="68" t="n"/>
      <c r="Z64" s="68" t="n"/>
      <c r="AA64" s="68" t="n"/>
      <c r="AB64" s="68" t="n"/>
      <c r="AC64" s="68" t="n"/>
      <c r="AD64" s="68" t="n"/>
      <c r="AE64" s="68" t="n"/>
      <c r="AF64" s="68" t="n"/>
      <c r="AG64" s="68" t="n"/>
      <c r="AH64" s="68" t="n"/>
      <c r="AI64" s="68" t="n"/>
    </row>
    <row r="65" ht="18.75" customHeight="1">
      <c r="A65" s="28" t="n"/>
      <c r="B65" s="149" t="n"/>
      <c r="C65" s="149" t="n"/>
      <c r="D65" s="149" t="n"/>
      <c r="E65" s="59" t="n"/>
      <c r="F65" s="59" t="n"/>
      <c r="G65" s="59" t="n"/>
      <c r="H65" s="59" t="n"/>
      <c r="I65" s="59" t="n"/>
      <c r="J65" s="59" t="n"/>
      <c r="K65" s="59" t="inlineStr">
        <is>
          <t>預估可建置量</t>
        </is>
      </c>
      <c r="L65" s="96" t="n">
        <v>0</v>
      </c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95" t="n"/>
      <c r="X65" s="68" t="n"/>
      <c r="Y65" s="68" t="n"/>
      <c r="Z65" s="68" t="n"/>
      <c r="AA65" s="68" t="n"/>
      <c r="AB65" s="68" t="n"/>
      <c r="AC65" s="68" t="n"/>
      <c r="AD65" s="68" t="n"/>
      <c r="AE65" s="68" t="n"/>
      <c r="AF65" s="68" t="n"/>
      <c r="AG65" s="68" t="n"/>
      <c r="AH65" s="68" t="n"/>
      <c r="AI65" s="68" t="n"/>
    </row>
    <row r="66" ht="18.75" customHeight="1">
      <c r="A66" s="28" t="n"/>
      <c r="B66" s="149" t="n"/>
      <c r="C66" s="149" t="n"/>
      <c r="D66" s="149" t="n"/>
      <c r="E66" s="59" t="n"/>
      <c r="F66" s="59" t="n"/>
      <c r="G66" s="59" t="n"/>
      <c r="H66" s="59" t="n"/>
      <c r="I66" s="59" t="n"/>
      <c r="J66" s="59" t="n"/>
      <c r="K66" s="59" t="inlineStr">
        <is>
          <t>預估可建置量</t>
        </is>
      </c>
      <c r="L66" s="96" t="n">
        <v>0</v>
      </c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95" t="n"/>
      <c r="X66" s="68" t="n"/>
      <c r="Y66" s="68" t="n"/>
      <c r="Z66" s="68" t="n"/>
      <c r="AA66" s="68" t="n"/>
      <c r="AB66" s="68" t="n"/>
      <c r="AC66" s="68" t="n"/>
      <c r="AD66" s="68" t="n"/>
      <c r="AE66" s="68" t="n"/>
      <c r="AF66" s="68" t="n"/>
      <c r="AG66" s="68" t="n"/>
      <c r="AH66" s="68" t="n"/>
      <c r="AI66" s="68" t="n"/>
    </row>
    <row r="67" ht="18.75" customHeight="1">
      <c r="B67" s="97" t="inlineStr">
        <is>
          <t>年份</t>
        </is>
      </c>
      <c r="C67" s="98" t="n">
        <v>2020</v>
      </c>
      <c r="D67" s="98" t="n">
        <v>2021</v>
      </c>
      <c r="E67" s="98" t="n">
        <v>2022</v>
      </c>
      <c r="F67" s="98" t="n">
        <v>2023</v>
      </c>
      <c r="G67" s="98" t="n">
        <v>2024</v>
      </c>
      <c r="H67" s="98" t="n">
        <v>2025</v>
      </c>
      <c r="I67" s="98" t="n">
        <v>2026</v>
      </c>
      <c r="J67" s="98" t="n">
        <v>2027</v>
      </c>
      <c r="K67" s="98" t="n">
        <v>2028</v>
      </c>
      <c r="L67" s="98" t="n">
        <v>2029</v>
      </c>
      <c r="M67" s="98" t="n">
        <v>2030</v>
      </c>
      <c r="N67" s="98" t="n">
        <v>2031</v>
      </c>
      <c r="O67" s="98" t="n">
        <v>2032</v>
      </c>
      <c r="P67" s="98" t="n">
        <v>2033</v>
      </c>
      <c r="Q67" s="98" t="n">
        <v>2034</v>
      </c>
      <c r="R67" s="98" t="n">
        <v>2035</v>
      </c>
      <c r="S67" s="98" t="n">
        <v>2036</v>
      </c>
      <c r="T67" s="98" t="n">
        <v>2037</v>
      </c>
      <c r="U67" s="98" t="n">
        <v>2038</v>
      </c>
      <c r="V67" s="98" t="n">
        <v>2039</v>
      </c>
      <c r="W67" s="99" t="n"/>
    </row>
    <row r="68" ht="18.75" customHeight="1">
      <c r="W68" s="99" t="n"/>
    </row>
    <row r="69" ht="18.75" customHeight="1">
      <c r="A69" s="100" t="inlineStr">
        <is>
          <t>(Unit : Currency)</t>
        </is>
      </c>
      <c r="B69" s="101" t="n">
        <v>0</v>
      </c>
      <c r="C69" s="101" t="n">
        <v>1</v>
      </c>
      <c r="D69" s="101" t="n">
        <v>2</v>
      </c>
      <c r="E69" s="101" t="n">
        <v>3</v>
      </c>
      <c r="F69" s="101" t="n">
        <v>4</v>
      </c>
      <c r="G69" s="101" t="n">
        <v>5</v>
      </c>
      <c r="H69" s="101" t="n">
        <v>6</v>
      </c>
      <c r="I69" s="101" t="n">
        <v>7</v>
      </c>
      <c r="J69" s="101" t="n">
        <v>8</v>
      </c>
      <c r="K69" s="101" t="n">
        <v>9</v>
      </c>
      <c r="L69" s="101" t="n">
        <v>10</v>
      </c>
      <c r="M69" s="101" t="n">
        <v>11</v>
      </c>
      <c r="N69" s="101" t="n">
        <v>12</v>
      </c>
      <c r="O69" s="101" t="n">
        <v>13</v>
      </c>
      <c r="P69" s="101" t="n">
        <v>14</v>
      </c>
      <c r="Q69" s="101" t="n">
        <v>15</v>
      </c>
      <c r="R69" s="101" t="n">
        <v>16</v>
      </c>
      <c r="S69" s="101" t="n">
        <v>17</v>
      </c>
      <c r="T69" s="101" t="n">
        <v>18</v>
      </c>
      <c r="U69" s="101" t="n">
        <v>19</v>
      </c>
      <c r="V69" s="101" t="n">
        <v>20</v>
      </c>
      <c r="W69" s="102" t="n"/>
    </row>
    <row r="70" ht="18.75" customHeight="1">
      <c r="A70" s="103" t="inlineStr">
        <is>
          <t>稅後淨利</t>
        </is>
      </c>
      <c r="B70" s="104" t="n"/>
      <c r="C70" s="104">
        <f>#REF!</f>
        <v/>
      </c>
      <c r="D70" s="104">
        <f>#REF!</f>
        <v/>
      </c>
      <c r="E70" s="104">
        <f>#REF!</f>
        <v/>
      </c>
      <c r="F70" s="104">
        <f>#REF!</f>
        <v/>
      </c>
      <c r="G70" s="104">
        <f>#REF!</f>
        <v/>
      </c>
      <c r="H70" s="104">
        <f>#REF!</f>
        <v/>
      </c>
      <c r="I70" s="104">
        <f>#REF!</f>
        <v/>
      </c>
      <c r="J70" s="104">
        <f>#REF!</f>
        <v/>
      </c>
      <c r="K70" s="104">
        <f>#REF!</f>
        <v/>
      </c>
      <c r="L70" s="104">
        <f>#REF!</f>
        <v/>
      </c>
      <c r="M70" s="104">
        <f>#REF!</f>
        <v/>
      </c>
      <c r="N70" s="104">
        <f>#REF!</f>
        <v/>
      </c>
      <c r="O70" s="104">
        <f>#REF!</f>
        <v/>
      </c>
      <c r="P70" s="104">
        <f>#REF!</f>
        <v/>
      </c>
      <c r="Q70" s="104">
        <f>#REF!</f>
        <v/>
      </c>
      <c r="R70" s="104">
        <f>#REF!</f>
        <v/>
      </c>
      <c r="S70" s="104">
        <f>#REF!</f>
        <v/>
      </c>
      <c r="T70" s="104">
        <f>#REF!</f>
        <v/>
      </c>
      <c r="U70" s="104">
        <f>#REF!</f>
        <v/>
      </c>
      <c r="V70" s="104">
        <f>#REF!</f>
        <v/>
      </c>
      <c r="W70" s="77" t="n"/>
    </row>
    <row r="71" ht="18.75" customHeight="1">
      <c r="A71" s="103" t="inlineStr">
        <is>
          <t>設備折舊</t>
        </is>
      </c>
      <c r="B71" s="104" t="n"/>
      <c r="C71" s="105">
        <f>-#REF!</f>
        <v/>
      </c>
      <c r="D71" s="105">
        <f>-#REF!</f>
        <v/>
      </c>
      <c r="E71" s="105">
        <f>-#REF!</f>
        <v/>
      </c>
      <c r="F71" s="105">
        <f>-#REF!</f>
        <v/>
      </c>
      <c r="G71" s="105">
        <f>-#REF!</f>
        <v/>
      </c>
      <c r="H71" s="105">
        <f>-#REF!</f>
        <v/>
      </c>
      <c r="I71" s="105">
        <f>-#REF!</f>
        <v/>
      </c>
      <c r="J71" s="105">
        <f>-#REF!</f>
        <v/>
      </c>
      <c r="K71" s="105">
        <f>-#REF!</f>
        <v/>
      </c>
      <c r="L71" s="105">
        <f>-#REF!</f>
        <v/>
      </c>
      <c r="M71" s="105">
        <f>-#REF!</f>
        <v/>
      </c>
      <c r="N71" s="105">
        <f>-#REF!</f>
        <v/>
      </c>
      <c r="O71" s="105">
        <f>-#REF!</f>
        <v/>
      </c>
      <c r="P71" s="105">
        <f>-#REF!</f>
        <v/>
      </c>
      <c r="Q71" s="105">
        <f>-#REF!</f>
        <v/>
      </c>
      <c r="R71" s="105">
        <f>-#REF!</f>
        <v/>
      </c>
      <c r="S71" s="105">
        <f>-#REF!</f>
        <v/>
      </c>
      <c r="T71" s="105">
        <f>-#REF!</f>
        <v/>
      </c>
      <c r="U71" s="105">
        <f>-#REF!</f>
        <v/>
      </c>
      <c r="V71" s="105">
        <f>-#REF!</f>
        <v/>
      </c>
      <c r="W71" s="77" t="n"/>
    </row>
    <row r="72" ht="18.75" customHeight="1">
      <c r="A72" s="103" t="inlineStr">
        <is>
          <t>營運活動現金流量</t>
        </is>
      </c>
      <c r="B72" s="104" t="n"/>
      <c r="C72" s="106">
        <f>SUM(C70:C71)</f>
        <v/>
      </c>
      <c r="D72" s="106">
        <f>SUM(D70:D71)</f>
        <v/>
      </c>
      <c r="E72" s="106">
        <f>SUM(E70:E71)</f>
        <v/>
      </c>
      <c r="F72" s="106">
        <f>SUM(F70:F71)</f>
        <v/>
      </c>
      <c r="G72" s="106">
        <f>SUM(G70:G71)</f>
        <v/>
      </c>
      <c r="H72" s="106">
        <f>SUM(H70:H71)</f>
        <v/>
      </c>
      <c r="I72" s="106">
        <f>SUM(I70:I71)</f>
        <v/>
      </c>
      <c r="J72" s="106">
        <f>SUM(J70:J71)</f>
        <v/>
      </c>
      <c r="K72" s="106">
        <f>SUM(K70:K71)</f>
        <v/>
      </c>
      <c r="L72" s="106">
        <f>SUM(L70:L71)</f>
        <v/>
      </c>
      <c r="M72" s="106">
        <f>SUM(M70:M71)</f>
        <v/>
      </c>
      <c r="N72" s="106">
        <f>SUM(N70:N71)</f>
        <v/>
      </c>
      <c r="O72" s="106">
        <f>SUM(O70:O71)</f>
        <v/>
      </c>
      <c r="P72" s="106">
        <f>SUM(P70:P71)</f>
        <v/>
      </c>
      <c r="Q72" s="106">
        <f>SUM(Q70:Q71)</f>
        <v/>
      </c>
      <c r="R72" s="106">
        <f>SUM(R70:R71)</f>
        <v/>
      </c>
      <c r="S72" s="106">
        <f>SUM(S70:S71)</f>
        <v/>
      </c>
      <c r="T72" s="106">
        <f>SUM(T70:T71)</f>
        <v/>
      </c>
      <c r="U72" s="106">
        <f>SUM(U70:U71)</f>
        <v/>
      </c>
      <c r="V72" s="106">
        <f>SUM(V70:V71)</f>
        <v/>
      </c>
      <c r="W72" s="107" t="n"/>
    </row>
    <row r="73" ht="18.75" customHeight="1">
      <c r="A73" s="103" t="n"/>
      <c r="B73" s="104" t="n"/>
      <c r="C73" s="104" t="n"/>
      <c r="D73" s="104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  <c r="U73" s="108" t="n"/>
      <c r="V73" s="108" t="n"/>
      <c r="W73" s="99" t="n"/>
    </row>
    <row r="74" ht="18.75" customHeight="1">
      <c r="A74" s="109" t="inlineStr">
        <is>
          <t>投資活動-設備支出</t>
        </is>
      </c>
      <c r="B74" s="110" t="n"/>
      <c r="C74" s="111">
        <f>B44</f>
        <v/>
      </c>
      <c r="D74" s="110" t="n">
        <v>0</v>
      </c>
      <c r="E74" s="110" t="n"/>
      <c r="F74" s="110" t="n">
        <v>0</v>
      </c>
      <c r="G74" s="110" t="n">
        <v>0</v>
      </c>
      <c r="H74" s="110" t="n">
        <v>0</v>
      </c>
      <c r="I74" s="110" t="n">
        <v>0</v>
      </c>
      <c r="J74" s="110" t="n">
        <v>0</v>
      </c>
      <c r="K74" s="110" t="n">
        <v>0</v>
      </c>
      <c r="L74" s="110" t="n">
        <v>0</v>
      </c>
      <c r="M74" s="110" t="n">
        <v>0</v>
      </c>
      <c r="N74" s="110" t="n">
        <v>0</v>
      </c>
      <c r="O74" s="110" t="n">
        <v>0</v>
      </c>
      <c r="P74" s="110" t="n">
        <v>0</v>
      </c>
      <c r="Q74" s="110" t="n">
        <v>0</v>
      </c>
      <c r="R74" s="110" t="n">
        <v>0</v>
      </c>
      <c r="S74" s="110" t="n">
        <v>0</v>
      </c>
      <c r="T74" s="110" t="n">
        <v>0</v>
      </c>
      <c r="U74" s="110" t="n">
        <v>0</v>
      </c>
      <c r="V74" s="110" t="n">
        <v>0</v>
      </c>
      <c r="W74" s="77" t="n"/>
    </row>
    <row r="75" ht="18.75" customHeight="1">
      <c r="A75" s="103" t="n"/>
      <c r="B75" s="104" t="n"/>
      <c r="C75" s="104" t="n"/>
      <c r="D75" s="104" t="n"/>
      <c r="E75" s="108" t="n"/>
      <c r="F75" s="108" t="n"/>
      <c r="G75" s="108" t="n"/>
      <c r="H75" s="108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  <c r="U75" s="108" t="n"/>
      <c r="V75" s="108" t="n"/>
      <c r="W75" s="99" t="n"/>
    </row>
    <row r="76" ht="18.75" customHeight="1">
      <c r="A76" s="103" t="n"/>
      <c r="B76" s="104" t="n"/>
      <c r="C76" s="104" t="n"/>
      <c r="D76" s="104" t="n"/>
      <c r="E76" s="108" t="n"/>
      <c r="F76" s="108" t="n"/>
      <c r="G76" s="108" t="n"/>
      <c r="H76" s="108" t="n"/>
      <c r="I76" s="108" t="n"/>
      <c r="J76" s="108" t="n"/>
      <c r="K76" s="108" t="n"/>
      <c r="L76" s="108" t="n"/>
      <c r="M76" s="108" t="n"/>
      <c r="N76" s="108" t="n"/>
      <c r="O76" s="108" t="n"/>
      <c r="P76" s="108" t="n"/>
      <c r="Q76" s="108" t="n"/>
      <c r="R76" s="108" t="n"/>
      <c r="S76" s="108" t="n"/>
      <c r="T76" s="108" t="n"/>
      <c r="U76" s="108" t="n"/>
      <c r="V76" s="108" t="n"/>
      <c r="W76" s="99" t="n"/>
    </row>
    <row r="77" ht="18.75" customHeight="1">
      <c r="A77" s="109" t="inlineStr">
        <is>
          <t>理財活動-借款</t>
        </is>
      </c>
      <c r="B77" s="110" t="n"/>
      <c r="C77" s="111">
        <f>#REF!*0.8</f>
        <v/>
      </c>
      <c r="D77" s="110" t="n"/>
      <c r="E77" s="110" t="n"/>
      <c r="F77" s="110" t="n">
        <v>0</v>
      </c>
      <c r="G77" s="110" t="n">
        <v>0</v>
      </c>
      <c r="H77" s="110" t="n">
        <v>0</v>
      </c>
      <c r="I77" s="110" t="n">
        <v>0</v>
      </c>
      <c r="J77" s="110" t="n">
        <v>0</v>
      </c>
      <c r="K77" s="110" t="n">
        <v>0</v>
      </c>
      <c r="L77" s="110" t="n">
        <v>0</v>
      </c>
      <c r="M77" s="110" t="n">
        <v>0</v>
      </c>
      <c r="N77" s="110" t="n">
        <v>0</v>
      </c>
      <c r="O77" s="110" t="n">
        <v>0</v>
      </c>
      <c r="P77" s="110" t="n">
        <v>0</v>
      </c>
      <c r="Q77" s="110" t="n">
        <v>0</v>
      </c>
      <c r="R77" s="110" t="n">
        <v>0</v>
      </c>
      <c r="S77" s="110" t="n">
        <v>0</v>
      </c>
      <c r="T77" s="110" t="n">
        <v>0</v>
      </c>
      <c r="U77" s="110" t="n">
        <v>0</v>
      </c>
      <c r="V77" s="110" t="n">
        <v>0</v>
      </c>
      <c r="W77" s="99" t="n"/>
    </row>
    <row r="78" ht="18.75" customHeight="1">
      <c r="A78" s="103" t="inlineStr">
        <is>
          <t>理財活動-還款</t>
        </is>
      </c>
      <c r="B78" s="104" t="n"/>
      <c r="C78" s="104" t="n"/>
      <c r="D78" s="104">
        <f>-#REF!</f>
        <v/>
      </c>
      <c r="E78" s="104">
        <f>-#REF!</f>
        <v/>
      </c>
      <c r="F78" s="104">
        <f>-#REF!</f>
        <v/>
      </c>
      <c r="G78" s="104">
        <f>-#REF!</f>
        <v/>
      </c>
      <c r="H78" s="104">
        <f>-#REF!</f>
        <v/>
      </c>
      <c r="I78" s="104">
        <f>-#REF!</f>
        <v/>
      </c>
      <c r="J78" s="104">
        <f>-#REF!</f>
        <v/>
      </c>
      <c r="K78" s="104">
        <f>-#REF!</f>
        <v/>
      </c>
      <c r="L78" s="104">
        <f>-#REF!</f>
        <v/>
      </c>
      <c r="M78" s="104">
        <f>-#REF!</f>
        <v/>
      </c>
      <c r="N78" s="104">
        <f>-#REF!</f>
        <v/>
      </c>
      <c r="O78" s="104">
        <f>-#REF!</f>
        <v/>
      </c>
      <c r="P78" s="104">
        <f>-#REF!</f>
        <v/>
      </c>
      <c r="Q78" s="104">
        <f>-#REF!</f>
        <v/>
      </c>
      <c r="R78" s="104">
        <f>-#REF!</f>
        <v/>
      </c>
      <c r="S78" s="108" t="n"/>
      <c r="T78" s="108" t="n"/>
      <c r="U78" s="108" t="n"/>
      <c r="V78" s="108" t="n"/>
      <c r="W78" s="77" t="n"/>
    </row>
    <row r="79" ht="18.75" customHeight="1">
      <c r="A79" s="103" t="inlineStr">
        <is>
          <t>理財活動-現金增資</t>
        </is>
      </c>
      <c r="B79" s="108" t="n"/>
      <c r="C79" s="104">
        <f>#REF!*0.2</f>
        <v/>
      </c>
      <c r="D79" s="108" t="n"/>
      <c r="E79" s="108" t="n"/>
      <c r="F79" s="108" t="n"/>
      <c r="G79" s="108" t="n"/>
      <c r="H79" s="108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  <c r="U79" s="108" t="n"/>
      <c r="V79" s="108" t="n"/>
      <c r="W79" s="107" t="n"/>
    </row>
    <row r="80" ht="18.75" customHeight="1">
      <c r="A80" s="103" t="inlineStr">
        <is>
          <t>現金股利</t>
        </is>
      </c>
      <c r="B80" s="108" t="n"/>
      <c r="C80" s="108" t="n"/>
      <c r="D80" s="112">
        <f>-C70*0.9</f>
        <v/>
      </c>
      <c r="E80" s="104">
        <f>-D70*0.9</f>
        <v/>
      </c>
      <c r="F80" s="104">
        <f>-E70*0.9</f>
        <v/>
      </c>
      <c r="G80" s="104">
        <f>-F70*0.9</f>
        <v/>
      </c>
      <c r="H80" s="104">
        <f>-G70*0.9</f>
        <v/>
      </c>
      <c r="I80" s="104">
        <f>-H70*0.9</f>
        <v/>
      </c>
      <c r="J80" s="104">
        <f>-I70*0.9</f>
        <v/>
      </c>
      <c r="K80" s="104">
        <f>-J70*0.9</f>
        <v/>
      </c>
      <c r="L80" s="104">
        <f>-K70*0.9</f>
        <v/>
      </c>
      <c r="M80" s="104">
        <f>-L70*0.9</f>
        <v/>
      </c>
      <c r="N80" s="104">
        <f>-M70*0.9</f>
        <v/>
      </c>
      <c r="O80" s="104">
        <f>-N70*0.9</f>
        <v/>
      </c>
      <c r="P80" s="104">
        <f>-O70*0.9</f>
        <v/>
      </c>
      <c r="Q80" s="104">
        <f>-P70*0.9</f>
        <v/>
      </c>
      <c r="R80" s="104">
        <f>-Q70*0.9</f>
        <v/>
      </c>
      <c r="S80" s="104">
        <f>-R70*0.9</f>
        <v/>
      </c>
      <c r="T80" s="104">
        <f>-S70*0.9</f>
        <v/>
      </c>
      <c r="U80" s="108" t="n"/>
      <c r="V80" s="104">
        <f>-U70*0.9</f>
        <v/>
      </c>
      <c r="W80" s="107" t="n"/>
    </row>
    <row r="81" ht="18.75" customHeight="1">
      <c r="A81" s="113" t="inlineStr">
        <is>
          <t>年底減資</t>
        </is>
      </c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  <c r="K81" s="114" t="n"/>
      <c r="L81" s="114" t="n"/>
      <c r="M81" s="114" t="n"/>
      <c r="N81" s="114" t="n"/>
      <c r="O81" s="114" t="n"/>
      <c r="P81" s="114" t="n"/>
      <c r="Q81" s="115">
        <f>-$C$79/4</f>
        <v/>
      </c>
      <c r="R81" s="115">
        <f>-$C$79/4</f>
        <v/>
      </c>
      <c r="S81" s="115">
        <f>-$C$79/4</f>
        <v/>
      </c>
      <c r="T81" s="115">
        <f>-$C$79/4</f>
        <v/>
      </c>
      <c r="U81" s="114" t="n"/>
      <c r="V81" s="114" t="n"/>
      <c r="W81" s="107" t="n"/>
    </row>
    <row r="82" ht="18.75" customHeight="1">
      <c r="A82" s="108" t="n"/>
      <c r="B82" s="108" t="n"/>
      <c r="C82" s="108" t="n"/>
      <c r="D82" s="108" t="n"/>
      <c r="E82" s="108" t="n"/>
      <c r="F82" s="108" t="n"/>
      <c r="G82" s="108" t="n"/>
      <c r="H82" s="108" t="n"/>
      <c r="I82" s="108" t="n"/>
      <c r="J82" s="108" t="n"/>
      <c r="K82" s="108" t="n"/>
      <c r="L82" s="108" t="n"/>
      <c r="M82" s="108" t="n"/>
      <c r="N82" s="108" t="n"/>
      <c r="O82" s="108" t="n"/>
      <c r="P82" s="108" t="n"/>
      <c r="Q82" s="108" t="n"/>
      <c r="R82" s="108" t="n"/>
      <c r="S82" s="108" t="n"/>
      <c r="T82" s="108" t="n"/>
      <c r="U82" s="108" t="n"/>
      <c r="V82" s="108" t="n"/>
      <c r="W82" s="107" t="n"/>
    </row>
    <row r="83" ht="18.75" customHeight="1">
      <c r="A83" s="108" t="n"/>
      <c r="B83" s="108" t="n"/>
      <c r="C83" s="108" t="n"/>
      <c r="D83" s="108" t="n"/>
      <c r="E83" s="108" t="n"/>
      <c r="F83" s="108" t="n"/>
      <c r="G83" s="108" t="n"/>
      <c r="H83" s="108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  <c r="U83" s="108" t="n"/>
      <c r="V83" s="108" t="n"/>
      <c r="W83" s="107" t="n"/>
    </row>
    <row r="84" ht="18.75" customHeight="1">
      <c r="A84" s="103" t="inlineStr">
        <is>
          <t>現金淨流入(出 )</t>
        </is>
      </c>
      <c r="B84" s="108">
        <f>SUM(B74:B83)</f>
        <v/>
      </c>
      <c r="C84" s="106">
        <f>SUM(C72:C83)</f>
        <v/>
      </c>
      <c r="D84" s="106">
        <f>SUM(D72:D83)</f>
        <v/>
      </c>
      <c r="E84" s="106">
        <f>SUM(E72:E83)</f>
        <v/>
      </c>
      <c r="F84" s="106">
        <f>SUM(F72:F83)</f>
        <v/>
      </c>
      <c r="G84" s="106">
        <f>SUM(G72:G83)</f>
        <v/>
      </c>
      <c r="H84" s="106">
        <f>SUM(H72:H83)</f>
        <v/>
      </c>
      <c r="I84" s="106">
        <f>SUM(I72:I83)</f>
        <v/>
      </c>
      <c r="J84" s="106">
        <f>SUM(J72:J83)</f>
        <v/>
      </c>
      <c r="K84" s="106">
        <f>SUM(K72:K83)</f>
        <v/>
      </c>
      <c r="L84" s="106">
        <f>SUM(L72:L83)</f>
        <v/>
      </c>
      <c r="M84" s="106">
        <f>SUM(M72:M83)</f>
        <v/>
      </c>
      <c r="N84" s="106">
        <f>SUM(N72:N83)</f>
        <v/>
      </c>
      <c r="O84" s="106">
        <f>SUM(O72:O83)</f>
        <v/>
      </c>
      <c r="P84" s="106">
        <f>SUM(P72:P83)</f>
        <v/>
      </c>
      <c r="Q84" s="106">
        <f>SUM(Q72:Q83)</f>
        <v/>
      </c>
      <c r="R84" s="106">
        <f>SUM(R72:R83)</f>
        <v/>
      </c>
      <c r="S84" s="106">
        <f>SUM(S72:S83)</f>
        <v/>
      </c>
      <c r="T84" s="106">
        <f>SUM(T72:T83)</f>
        <v/>
      </c>
      <c r="U84" s="106">
        <f>SUM(U72:U83)</f>
        <v/>
      </c>
      <c r="V84" s="106">
        <f>SUM(V72:V83)</f>
        <v/>
      </c>
      <c r="W84" s="107" t="n"/>
    </row>
    <row r="85" ht="18.75" customHeight="1">
      <c r="A85" s="103" t="inlineStr">
        <is>
          <t>期初淨現金</t>
        </is>
      </c>
      <c r="B85" s="108" t="n">
        <v>0</v>
      </c>
      <c r="C85" s="108">
        <f>B86</f>
        <v/>
      </c>
      <c r="D85" s="104">
        <f>C86</f>
        <v/>
      </c>
      <c r="E85" s="104">
        <f>D86</f>
        <v/>
      </c>
      <c r="F85" s="104">
        <f>E86</f>
        <v/>
      </c>
      <c r="G85" s="104">
        <f>F86</f>
        <v/>
      </c>
      <c r="H85" s="104">
        <f>G86</f>
        <v/>
      </c>
      <c r="I85" s="104">
        <f>H86</f>
        <v/>
      </c>
      <c r="J85" s="104">
        <f>I86</f>
        <v/>
      </c>
      <c r="K85" s="104">
        <f>J86</f>
        <v/>
      </c>
      <c r="L85" s="104">
        <f>K86</f>
        <v/>
      </c>
      <c r="M85" s="104">
        <f>L86</f>
        <v/>
      </c>
      <c r="N85" s="104">
        <f>M86</f>
        <v/>
      </c>
      <c r="O85" s="104">
        <f>N86</f>
        <v/>
      </c>
      <c r="P85" s="104">
        <f>O86</f>
        <v/>
      </c>
      <c r="Q85" s="104">
        <f>P86</f>
        <v/>
      </c>
      <c r="R85" s="104">
        <f>Q86</f>
        <v/>
      </c>
      <c r="S85" s="104">
        <f>R86</f>
        <v/>
      </c>
      <c r="T85" s="104">
        <f>S86</f>
        <v/>
      </c>
      <c r="U85" s="108" t="n"/>
      <c r="V85" s="108" t="n"/>
      <c r="W85" s="99" t="n"/>
    </row>
    <row r="86" ht="18.75" customHeight="1">
      <c r="A86" s="103" t="inlineStr">
        <is>
          <t>期未淨現金</t>
        </is>
      </c>
      <c r="B86" s="108">
        <f>B84</f>
        <v/>
      </c>
      <c r="C86" s="104">
        <f>C84+C85</f>
        <v/>
      </c>
      <c r="D86" s="104">
        <f>D84+D85</f>
        <v/>
      </c>
      <c r="E86" s="104">
        <f>E84+E85</f>
        <v/>
      </c>
      <c r="F86" s="104">
        <f>F84+F85</f>
        <v/>
      </c>
      <c r="G86" s="104">
        <f>G84+G85</f>
        <v/>
      </c>
      <c r="H86" s="104">
        <f>H84+H85</f>
        <v/>
      </c>
      <c r="I86" s="104">
        <f>I84+I85</f>
        <v/>
      </c>
      <c r="J86" s="104">
        <f>J84+J85</f>
        <v/>
      </c>
      <c r="K86" s="104">
        <f>K84+K85</f>
        <v/>
      </c>
      <c r="L86" s="104">
        <f>L84+L85</f>
        <v/>
      </c>
      <c r="M86" s="104">
        <f>M84+M85</f>
        <v/>
      </c>
      <c r="N86" s="104">
        <f>N84+N85</f>
        <v/>
      </c>
      <c r="O86" s="104">
        <f>O84+O85</f>
        <v/>
      </c>
      <c r="P86" s="104">
        <f>P84+P85</f>
        <v/>
      </c>
      <c r="Q86" s="104">
        <f>Q84+Q85</f>
        <v/>
      </c>
      <c r="R86" s="104">
        <f>R84+R85</f>
        <v/>
      </c>
      <c r="S86" s="104">
        <f>S84+S85</f>
        <v/>
      </c>
      <c r="T86" s="104">
        <f>T84+T85</f>
        <v/>
      </c>
      <c r="U86" s="108" t="n"/>
      <c r="V86" s="108" t="n"/>
      <c r="W86" s="99" t="n"/>
    </row>
    <row r="87" ht="18.75" customHeight="1">
      <c r="A87" s="103" t="n"/>
      <c r="B87" s="10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M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16" t="n"/>
    </row>
    <row r="88" ht="18.75" customHeight="1">
      <c r="A88" s="103" t="n"/>
      <c r="B88" s="104" t="n"/>
      <c r="C88" s="104" t="n"/>
      <c r="D88" s="104" t="n"/>
      <c r="E88" s="108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16" t="n"/>
    </row>
    <row r="89" ht="18.75" customHeight="1">
      <c r="A89" s="117" t="inlineStr">
        <is>
          <t>成本法實際現金流</t>
        </is>
      </c>
      <c r="B89" s="118" t="n"/>
      <c r="C89" s="119">
        <f>-C79</f>
        <v/>
      </c>
      <c r="D89" s="106">
        <f>-D80-D81</f>
        <v/>
      </c>
      <c r="E89" s="106">
        <f>-E80-E81</f>
        <v/>
      </c>
      <c r="F89" s="106">
        <f>-F80-F81</f>
        <v/>
      </c>
      <c r="G89" s="106">
        <f>-G80-G81</f>
        <v/>
      </c>
      <c r="H89" s="106">
        <f>-H80-H81</f>
        <v/>
      </c>
      <c r="I89" s="106">
        <f>-I80-I81</f>
        <v/>
      </c>
      <c r="J89" s="106">
        <f>-J80-J81</f>
        <v/>
      </c>
      <c r="K89" s="106">
        <f>-K80-K81</f>
        <v/>
      </c>
      <c r="L89" s="106">
        <f>-L80-L81</f>
        <v/>
      </c>
      <c r="M89" s="106">
        <f>-M80-M81</f>
        <v/>
      </c>
      <c r="N89" s="106">
        <f>-N80-N81</f>
        <v/>
      </c>
      <c r="O89" s="106">
        <f>-O80-O81</f>
        <v/>
      </c>
      <c r="P89" s="106">
        <f>-P80-P81</f>
        <v/>
      </c>
      <c r="Q89" s="106">
        <f>-Q80-Q81</f>
        <v/>
      </c>
      <c r="R89" s="106">
        <f>-R80-R81</f>
        <v/>
      </c>
      <c r="S89" s="106">
        <f>-S80-S81</f>
        <v/>
      </c>
      <c r="T89" s="106">
        <f>-T80-T81</f>
        <v/>
      </c>
      <c r="U89" s="118">
        <f>-U80-U81</f>
        <v/>
      </c>
      <c r="V89" s="106">
        <f>-V80-V81</f>
        <v/>
      </c>
      <c r="W89" s="107" t="n"/>
    </row>
    <row r="90" ht="18.75" customHeight="1">
      <c r="A90" s="103" t="inlineStr">
        <is>
          <t>成本法IRR</t>
        </is>
      </c>
      <c r="B90" s="120">
        <f>IRR(C89:V89)</f>
        <v/>
      </c>
      <c r="C90" s="150" t="n"/>
      <c r="D90" s="150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M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16" t="n"/>
    </row>
    <row r="91" ht="18.75" customHeight="1">
      <c r="A91" s="117" t="inlineStr">
        <is>
          <t>權益法實際現金流</t>
        </is>
      </c>
      <c r="B91" s="118" t="n"/>
      <c r="C91" s="119">
        <f>#REF!-C79</f>
        <v/>
      </c>
      <c r="D91" s="106">
        <f>#REF!</f>
        <v/>
      </c>
      <c r="E91" s="106">
        <f>#REF!-E81</f>
        <v/>
      </c>
      <c r="F91" s="106">
        <f>#REF!-F81</f>
        <v/>
      </c>
      <c r="G91" s="106">
        <f>#REF!-G81</f>
        <v/>
      </c>
      <c r="H91" s="106">
        <f>#REF!-H81</f>
        <v/>
      </c>
      <c r="I91" s="106">
        <f>#REF!-I81</f>
        <v/>
      </c>
      <c r="J91" s="106">
        <f>#REF!-J81</f>
        <v/>
      </c>
      <c r="K91" s="106">
        <f>#REF!-K81</f>
        <v/>
      </c>
      <c r="L91" s="106">
        <f>#REF!-L81</f>
        <v/>
      </c>
      <c r="M91" s="106">
        <f>#REF!-M81</f>
        <v/>
      </c>
      <c r="N91" s="106">
        <f>#REF!-N81</f>
        <v/>
      </c>
      <c r="O91" s="106">
        <f>#REF!-O81</f>
        <v/>
      </c>
      <c r="P91" s="106">
        <f>#REF!-P81</f>
        <v/>
      </c>
      <c r="Q91" s="106">
        <f>#REF!-Q81</f>
        <v/>
      </c>
      <c r="R91" s="106">
        <f>#REF!-R81</f>
        <v/>
      </c>
      <c r="S91" s="106">
        <f>#REF!-S81</f>
        <v/>
      </c>
      <c r="T91" s="106">
        <f>#REF!-T81</f>
        <v/>
      </c>
      <c r="U91" s="106">
        <f>#REF!-U81</f>
        <v/>
      </c>
      <c r="V91" s="106">
        <f>#REF!-V81</f>
        <v/>
      </c>
      <c r="W91" s="77" t="n"/>
    </row>
    <row r="92" ht="18.75" customHeight="1">
      <c r="A92" s="117" t="inlineStr">
        <is>
          <t>權益法IRR</t>
        </is>
      </c>
      <c r="B92" s="120">
        <f>IRR(C91:V91)</f>
        <v/>
      </c>
      <c r="C92" s="150" t="n"/>
      <c r="D92" s="150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16" t="n"/>
    </row>
    <row r="93" ht="18.75" customHeight="1">
      <c r="A93" s="103" t="n"/>
      <c r="B93" s="10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M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16" t="n"/>
    </row>
    <row r="94" ht="18.75" customHeight="1">
      <c r="A94" s="103" t="inlineStr">
        <is>
          <t>借款餘額</t>
        </is>
      </c>
      <c r="B94" s="108" t="n">
        <v>0</v>
      </c>
      <c r="C94" s="104">
        <f>C77</f>
        <v/>
      </c>
      <c r="D94" s="104">
        <f>C94+D77+D78</f>
        <v/>
      </c>
      <c r="E94" s="104">
        <f>D94+E77+E78</f>
        <v/>
      </c>
      <c r="F94" s="104">
        <f>E94+F77+F78</f>
        <v/>
      </c>
      <c r="G94" s="104">
        <f>F94+G77+G78</f>
        <v/>
      </c>
      <c r="H94" s="104">
        <f>G94+H77+H78</f>
        <v/>
      </c>
      <c r="I94" s="104">
        <f>H94+I77+I78</f>
        <v/>
      </c>
      <c r="J94" s="104">
        <f>I94+J77+J78</f>
        <v/>
      </c>
      <c r="K94" s="104">
        <f>J94+K77+K78</f>
        <v/>
      </c>
      <c r="L94" s="104">
        <f>K94+L77+L78</f>
        <v/>
      </c>
      <c r="M94" s="104">
        <f>L94+M77+M78</f>
        <v/>
      </c>
      <c r="N94" s="104">
        <f>M94+N77+N78</f>
        <v/>
      </c>
      <c r="O94" s="104">
        <f>N94+O77+O78</f>
        <v/>
      </c>
      <c r="P94" s="104">
        <f>O94+P77+P78</f>
        <v/>
      </c>
      <c r="Q94" s="104">
        <f>P94+Q77+Q78</f>
        <v/>
      </c>
      <c r="R94" s="104">
        <f>Q94+R77+R78</f>
        <v/>
      </c>
      <c r="S94" s="108" t="n"/>
      <c r="T94" s="108" t="n"/>
      <c r="U94" s="108" t="n"/>
      <c r="V94" s="108" t="n"/>
      <c r="W94" s="108" t="n"/>
    </row>
    <row r="95" ht="18.75" customHeight="1"/>
    <row r="96" ht="18.75" customHeight="1">
      <c r="A96" s="122" t="n"/>
    </row>
    <row r="97" ht="18.75" customHeight="1">
      <c r="F97" s="69" t="n"/>
    </row>
  </sheetData>
  <mergeCells count="10">
    <mergeCell ref="A1:D1"/>
    <mergeCell ref="A8:D8"/>
    <mergeCell ref="A16:A18"/>
    <mergeCell ref="A19:A21"/>
    <mergeCell ref="A7:D7"/>
    <mergeCell ref="D16:D18"/>
    <mergeCell ref="A29:C29"/>
    <mergeCell ref="D10:D13"/>
    <mergeCell ref="A10:A13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1" customWidth="1" min="4" max="4"/>
    <col width="12" customWidth="1" min="5" max="5"/>
    <col width="20" customWidth="1" min="6" max="6"/>
    <col width="20" customWidth="1" min="7" max="7"/>
    <col width="8" customWidth="1" min="8" max="8"/>
    <col width="50" customWidth="1" min="9" max="9"/>
  </cols>
  <sheetData>
    <row r="1">
      <c r="A1" t="inlineStr">
        <is>
          <t>編號</t>
        </is>
      </c>
      <c r="B1" t="inlineStr">
        <is>
          <t>價金每KW</t>
        </is>
      </c>
      <c r="C1" t="inlineStr">
        <is>
          <t>專案法IRR</t>
        </is>
      </c>
      <c r="D1" t="inlineStr">
        <is>
          <t>權益法IRR</t>
        </is>
      </c>
      <c r="E1" t="inlineStr">
        <is>
          <t>信邦利潤率</t>
        </is>
      </c>
      <c r="F1" t="inlineStr">
        <is>
          <t>信邦利潤</t>
        </is>
      </c>
      <c r="G1" t="inlineStr">
        <is>
          <t>每kw信邦利潤</t>
        </is>
      </c>
      <c r="H1" t="inlineStr">
        <is>
          <t>開發費</t>
        </is>
      </c>
      <c r="I1" t="inlineStr">
        <is>
          <t>備註</t>
        </is>
      </c>
    </row>
    <row r="2">
      <c r="A2" t="n">
        <v>1</v>
      </c>
      <c r="B2" t="n">
        <v>35000</v>
      </c>
      <c r="C2" t="n">
        <v>1.54</v>
      </c>
      <c r="D2" t="n">
        <v>1.27</v>
      </c>
      <c r="E2" s="151" t="n">
        <v>0.3</v>
      </c>
      <c r="F2" t="n">
        <v>5233200</v>
      </c>
      <c r="G2" t="n">
        <v>12000</v>
      </c>
      <c r="H2" t="n">
        <v>3000</v>
      </c>
      <c r="I2" t="inlineStr">
        <is>
          <t>初始價金 - 現金模式，每次減少 1000 元，邊界值 20000 元</t>
        </is>
      </c>
    </row>
    <row r="3">
      <c r="A3" t="n">
        <v>2</v>
      </c>
      <c r="B3" t="n">
        <v>34000</v>
      </c>
      <c r="C3" t="n">
        <v>1.78</v>
      </c>
      <c r="D3" t="n">
        <v>1.99</v>
      </c>
      <c r="E3" s="151" t="n">
        <v>0.3</v>
      </c>
      <c r="F3" t="n">
        <v>5046300.000000001</v>
      </c>
      <c r="G3" t="n">
        <v>11571.42857142857</v>
      </c>
      <c r="H3" t="n">
        <v>3000</v>
      </c>
      <c r="I3" t="inlineStr">
        <is>
          <t>第1次滾算，減少 1000 元 - 現金模式，每次減少 1000 元</t>
        </is>
      </c>
    </row>
    <row r="4">
      <c r="A4" t="n">
        <v>3</v>
      </c>
      <c r="B4" t="n">
        <v>33000</v>
      </c>
      <c r="C4" t="n">
        <v>2.03</v>
      </c>
      <c r="D4" t="n">
        <v>2.75</v>
      </c>
      <c r="E4" s="151" t="n">
        <v>0.3</v>
      </c>
      <c r="F4" t="n">
        <v>4859400.000000001</v>
      </c>
      <c r="G4" t="n">
        <v>11142.85714285714</v>
      </c>
      <c r="H4" t="n">
        <v>3000</v>
      </c>
      <c r="I4" t="inlineStr">
        <is>
          <t>第2次滾算，減少 1000 元 - 現金模式，每次減少 1000 元</t>
        </is>
      </c>
    </row>
    <row r="5">
      <c r="A5" t="n">
        <v>4</v>
      </c>
      <c r="B5" t="n">
        <v>32000</v>
      </c>
      <c r="C5" t="n">
        <v>2.3</v>
      </c>
      <c r="D5" t="n">
        <v>3.56</v>
      </c>
      <c r="E5" s="151" t="n">
        <v>0.3</v>
      </c>
      <c r="F5" t="n">
        <v>4672500.000000002</v>
      </c>
      <c r="G5" t="n">
        <v>10714.28571428572</v>
      </c>
      <c r="H5" t="n">
        <v>3000</v>
      </c>
      <c r="I5" t="inlineStr">
        <is>
          <t>第3次滾算，減少 1000 元 - 現金模式，每次減少 1000 元</t>
        </is>
      </c>
    </row>
    <row r="6">
      <c r="A6" t="n">
        <v>5</v>
      </c>
      <c r="B6" t="n">
        <v>31000</v>
      </c>
      <c r="C6" t="n">
        <v>2.57</v>
      </c>
      <c r="D6" t="n">
        <v>4.43</v>
      </c>
      <c r="E6" s="151" t="n">
        <v>0.3</v>
      </c>
      <c r="F6" t="n">
        <v>4485600.000000002</v>
      </c>
      <c r="G6" t="n">
        <v>10285.71428571429</v>
      </c>
      <c r="H6" t="n">
        <v>3000</v>
      </c>
      <c r="I6" t="inlineStr">
        <is>
          <t>第4次滾算，減少 1000 元 - 現金模式，每次減少 1000 元</t>
        </is>
      </c>
    </row>
    <row r="7">
      <c r="A7" t="n">
        <v>6</v>
      </c>
      <c r="B7" t="n">
        <v>30000</v>
      </c>
      <c r="C7" t="n">
        <v>2.86</v>
      </c>
      <c r="D7" t="n">
        <v>5.37</v>
      </c>
      <c r="E7" s="151" t="n">
        <v>0.3</v>
      </c>
      <c r="F7" t="n">
        <v>4298700.000000003</v>
      </c>
      <c r="G7" t="n">
        <v>9857.142857142862</v>
      </c>
      <c r="H7" t="n">
        <v>3000</v>
      </c>
      <c r="I7" t="inlineStr">
        <is>
          <t>第5次滾算，減少 1000 元 - 現金模式，每次減少 1000 元</t>
        </is>
      </c>
    </row>
    <row r="8">
      <c r="A8" t="n">
        <v>7</v>
      </c>
      <c r="B8" t="n">
        <v>29000</v>
      </c>
      <c r="C8" t="n">
        <v>3.16</v>
      </c>
      <c r="D8" t="n">
        <v>6.37</v>
      </c>
      <c r="E8" s="151" t="n">
        <v>0.3</v>
      </c>
      <c r="F8" t="n">
        <v>4111800.000000003</v>
      </c>
      <c r="G8" t="n">
        <v>9428.571428571435</v>
      </c>
      <c r="H8" t="n">
        <v>3000</v>
      </c>
      <c r="I8" t="inlineStr">
        <is>
          <t>第6次滾算，減少 1000 元 - 現金模式，每次減少 1000 元</t>
        </is>
      </c>
    </row>
    <row r="9">
      <c r="A9" t="n">
        <v>8</v>
      </c>
      <c r="B9" t="n">
        <v>28000</v>
      </c>
      <c r="C9" t="n">
        <v>3.48</v>
      </c>
      <c r="D9" t="n">
        <v>7.46</v>
      </c>
      <c r="E9" s="151" t="n">
        <v>0.3</v>
      </c>
      <c r="F9" t="n">
        <v>3924900</v>
      </c>
      <c r="G9" t="n">
        <v>9000</v>
      </c>
      <c r="H9" t="n">
        <v>3000</v>
      </c>
      <c r="I9" t="inlineStr">
        <is>
          <t>第7次滾算，減少 1000 元 - 現金模式，每次減少 1000 元</t>
        </is>
      </c>
    </row>
    <row r="10">
      <c r="A10" t="n">
        <v>9</v>
      </c>
      <c r="B10" t="n">
        <v>27000</v>
      </c>
      <c r="C10" t="n">
        <v>3.82</v>
      </c>
      <c r="D10" t="n">
        <v>8.65</v>
      </c>
      <c r="E10" s="151" t="n">
        <v>0.3</v>
      </c>
      <c r="F10" t="n">
        <v>3738000</v>
      </c>
      <c r="G10" t="n">
        <v>8571.428571428572</v>
      </c>
      <c r="H10" t="n">
        <v>3000</v>
      </c>
      <c r="I10" t="inlineStr">
        <is>
          <t>第8次滾算，減少 1000 元 - 現金模式，每次減少 1000 元</t>
        </is>
      </c>
    </row>
    <row r="11">
      <c r="A11" t="n">
        <v>10</v>
      </c>
      <c r="B11" t="n">
        <v>26000</v>
      </c>
      <c r="C11" t="n">
        <v>4.17</v>
      </c>
      <c r="D11" t="n">
        <v>9.960000000000001</v>
      </c>
      <c r="E11" s="151" t="n">
        <v>0.3</v>
      </c>
      <c r="F11" t="n">
        <v>3551100.000000001</v>
      </c>
      <c r="G11" t="n">
        <v>8142.857142857145</v>
      </c>
      <c r="H11" t="n">
        <v>3000</v>
      </c>
      <c r="I11" t="inlineStr">
        <is>
          <t>第9次滾算，減少 1000 元 - 現金模式，每次減少 1000 元</t>
        </is>
      </c>
    </row>
    <row r="12">
      <c r="A12" t="n">
        <v>11</v>
      </c>
      <c r="B12" t="n">
        <v>25000</v>
      </c>
      <c r="C12" t="n">
        <v>4.54</v>
      </c>
      <c r="D12" t="n">
        <v>11.4</v>
      </c>
      <c r="E12" s="151" t="n">
        <v>0.3</v>
      </c>
      <c r="F12" t="n">
        <v>3364200.000000001</v>
      </c>
      <c r="G12" t="n">
        <v>7714.285714285717</v>
      </c>
      <c r="H12" t="n">
        <v>3000</v>
      </c>
      <c r="I12" t="inlineStr">
        <is>
          <t>第10次滾算，減少 1000 元 - 現金模式，每次減少 1000 元</t>
        </is>
      </c>
    </row>
    <row r="13">
      <c r="A13" t="n">
        <v>12</v>
      </c>
      <c r="B13" t="n">
        <v>24000</v>
      </c>
      <c r="C13" t="n">
        <v>4.94</v>
      </c>
      <c r="D13" t="n">
        <v>13</v>
      </c>
      <c r="E13" s="151" t="n">
        <v>0.3</v>
      </c>
      <c r="F13" t="n">
        <v>3177300.000000002</v>
      </c>
      <c r="G13" t="n">
        <v>7285.71428571429</v>
      </c>
      <c r="H13" t="n">
        <v>3000</v>
      </c>
      <c r="I13" t="inlineStr">
        <is>
          <t>第11次滾算，減少 1000 元 - 現金模式，每次減少 1000 元</t>
        </is>
      </c>
    </row>
    <row r="14">
      <c r="A14" t="n">
        <v>13</v>
      </c>
      <c r="B14" t="n">
        <v>23000</v>
      </c>
      <c r="C14" t="n">
        <v>5.36</v>
      </c>
      <c r="D14" t="n">
        <v>14.79</v>
      </c>
      <c r="E14" s="151" t="n">
        <v>0.3</v>
      </c>
      <c r="F14" t="n">
        <v>2990400.000000002</v>
      </c>
      <c r="G14" t="n">
        <v>6857.142857142862</v>
      </c>
      <c r="H14" t="n">
        <v>3000</v>
      </c>
      <c r="I14" t="inlineStr">
        <is>
          <t>第12次滾算，減少 1000 元 - 現金模式，每次減少 1000 元</t>
        </is>
      </c>
    </row>
    <row r="15">
      <c r="A15" t="n">
        <v>14</v>
      </c>
      <c r="B15" t="n">
        <v>22000</v>
      </c>
      <c r="C15" t="n">
        <v>5.8</v>
      </c>
      <c r="D15" t="n">
        <v>16.83</v>
      </c>
      <c r="E15" s="151" t="n">
        <v>0.3</v>
      </c>
      <c r="F15" t="n">
        <v>2803500.000000001</v>
      </c>
      <c r="G15" t="n">
        <v>6428.571428571431</v>
      </c>
      <c r="H15" t="n">
        <v>3000</v>
      </c>
      <c r="I15" t="inlineStr">
        <is>
          <t>第13次滾算，減少 1000 元 - 現金模式，每次減少 1000 元</t>
        </is>
      </c>
    </row>
    <row r="16">
      <c r="A16" t="n">
        <v>15</v>
      </c>
      <c r="B16" t="n">
        <v>21000</v>
      </c>
      <c r="C16" t="n">
        <v>6.28</v>
      </c>
      <c r="D16" t="n">
        <v>19.16</v>
      </c>
      <c r="E16" s="151" t="n">
        <v>0.3</v>
      </c>
      <c r="F16" t="n">
        <v>2616600.000000002</v>
      </c>
      <c r="G16" t="n">
        <v>6000.000000000004</v>
      </c>
      <c r="H16" t="n">
        <v>3000</v>
      </c>
      <c r="I16" t="inlineStr">
        <is>
          <t>第14次滾算，減少 1000 元 - 現金模式，每次減少 1000 元</t>
        </is>
      </c>
    </row>
    <row r="17">
      <c r="A17" t="n">
        <v>16</v>
      </c>
      <c r="B17" t="n">
        <v>20000</v>
      </c>
      <c r="C17" t="n">
        <v>6.79</v>
      </c>
      <c r="D17" t="n">
        <v>21.86</v>
      </c>
      <c r="E17" s="151" t="n">
        <v>0.3</v>
      </c>
      <c r="F17" t="n">
        <v>2429700</v>
      </c>
      <c r="G17" t="n">
        <v>5571.428571428572</v>
      </c>
      <c r="H17" t="n">
        <v>3000</v>
      </c>
      <c r="I17" t="inlineStr">
        <is>
          <t>第15次滾算，減少 1000 元 - 現金模式，每次減少 1000 元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39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1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初始價金摘要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35000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1.54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1.27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初始價金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35000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-45790</v>
      </c>
      <c r="E49" s="210" t="n">
        <v>-45790</v>
      </c>
      <c r="F49" s="210" t="n">
        <v>-45790</v>
      </c>
      <c r="G49" s="210" t="n">
        <v>-45790</v>
      </c>
      <c r="H49" s="210" t="n">
        <v>-45790</v>
      </c>
      <c r="I49" s="210" t="n">
        <v>-45790</v>
      </c>
      <c r="J49" s="210" t="n">
        <v>-45790</v>
      </c>
      <c r="K49" s="210" t="n">
        <v>-45790</v>
      </c>
      <c r="L49" s="210" t="n">
        <v>-45790</v>
      </c>
      <c r="M49" s="210" t="n">
        <v>-45790</v>
      </c>
      <c r="N49" s="210" t="n">
        <v>-45790</v>
      </c>
      <c r="O49" s="210" t="n">
        <v>-45790</v>
      </c>
      <c r="P49" s="210" t="n">
        <v>-45790</v>
      </c>
      <c r="Q49" s="210" t="n">
        <v>-45790</v>
      </c>
      <c r="R49" s="210" t="n">
        <v>-45790</v>
      </c>
      <c r="S49" s="210" t="n">
        <v>-45790</v>
      </c>
      <c r="T49" s="210" t="n">
        <v>-45790</v>
      </c>
      <c r="U49" s="210" t="n">
        <v>-45790</v>
      </c>
      <c r="V49" s="210" t="n">
        <v>-45790</v>
      </c>
      <c r="W49" s="210" t="n">
        <v>-45790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-473268</v>
      </c>
      <c r="E70" s="210" t="n">
        <v>-441717</v>
      </c>
      <c r="F70" s="210" t="n">
        <v>-410166</v>
      </c>
      <c r="G70" s="210" t="n">
        <v>-378614</v>
      </c>
      <c r="H70" s="210" t="n">
        <v>-347063</v>
      </c>
      <c r="I70" s="210" t="n">
        <v>-315512</v>
      </c>
      <c r="J70" s="210" t="n">
        <v>-283961</v>
      </c>
      <c r="K70" s="210" t="n">
        <v>-252410</v>
      </c>
      <c r="L70" s="210" t="n">
        <v>-220858</v>
      </c>
      <c r="M70" s="210" t="n">
        <v>-189307</v>
      </c>
      <c r="N70" s="210" t="n">
        <v>-157756</v>
      </c>
      <c r="O70" s="210" t="n">
        <v>-126205</v>
      </c>
      <c r="P70" s="210" t="n">
        <v>-94654</v>
      </c>
      <c r="Q70" s="210" t="n">
        <v>-63102</v>
      </c>
      <c r="R70" s="210" t="n">
        <v>-31551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-1232709</v>
      </c>
      <c r="F93" s="260" t="n">
        <v>-1232709</v>
      </c>
      <c r="G93" s="260" t="n">
        <v>-1232709</v>
      </c>
      <c r="H93" s="260" t="n">
        <v>-1232709</v>
      </c>
      <c r="I93" s="260" t="n">
        <v>-1232709</v>
      </c>
      <c r="J93" s="260" t="n">
        <v>-1232709</v>
      </c>
      <c r="K93" s="260" t="n">
        <v>-1232709</v>
      </c>
      <c r="L93" s="260" t="n">
        <v>-1232709</v>
      </c>
      <c r="M93" s="260" t="n">
        <v>-1232709</v>
      </c>
      <c r="N93" s="260" t="n">
        <v>-1232709</v>
      </c>
      <c r="O93" s="260" t="n">
        <v>-1232709</v>
      </c>
      <c r="P93" s="260" t="n">
        <v>-1232709</v>
      </c>
      <c r="Q93" s="260" t="n">
        <v>-1232709</v>
      </c>
      <c r="R93" s="260" t="n">
        <v>-1232709</v>
      </c>
      <c r="S93" s="260" t="n">
        <v>-1232709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-1155665</v>
      </c>
      <c r="U96" s="264" t="n">
        <v>-1155665</v>
      </c>
      <c r="V96" s="264" t="n">
        <v>-1155665</v>
      </c>
      <c r="W96" s="264" t="n">
        <v>-1155665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2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34000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1.78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1.99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34000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-44482</v>
      </c>
      <c r="E49" s="210" t="n">
        <v>-44482</v>
      </c>
      <c r="F49" s="210" t="n">
        <v>-44482</v>
      </c>
      <c r="G49" s="210" t="n">
        <v>-44482</v>
      </c>
      <c r="H49" s="210" t="n">
        <v>-44482</v>
      </c>
      <c r="I49" s="210" t="n">
        <v>-44482</v>
      </c>
      <c r="J49" s="210" t="n">
        <v>-44482</v>
      </c>
      <c r="K49" s="210" t="n">
        <v>-44482</v>
      </c>
      <c r="L49" s="210" t="n">
        <v>-44482</v>
      </c>
      <c r="M49" s="210" t="n">
        <v>-44482</v>
      </c>
      <c r="N49" s="210" t="n">
        <v>-44482</v>
      </c>
      <c r="O49" s="210" t="n">
        <v>-44482</v>
      </c>
      <c r="P49" s="210" t="n">
        <v>-44482</v>
      </c>
      <c r="Q49" s="210" t="n">
        <v>-44482</v>
      </c>
      <c r="R49" s="210" t="n">
        <v>-44482</v>
      </c>
      <c r="S49" s="210" t="n">
        <v>-44482</v>
      </c>
      <c r="T49" s="210" t="n">
        <v>-44482</v>
      </c>
      <c r="U49" s="210" t="n">
        <v>-44482</v>
      </c>
      <c r="V49" s="210" t="n">
        <v>-44482</v>
      </c>
      <c r="W49" s="210" t="n">
        <v>-44482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-460511</v>
      </c>
      <c r="E70" s="210" t="n">
        <v>-429811</v>
      </c>
      <c r="F70" s="210" t="n">
        <v>-399110</v>
      </c>
      <c r="G70" s="210" t="n">
        <v>-368409</v>
      </c>
      <c r="H70" s="210" t="n">
        <v>-337708</v>
      </c>
      <c r="I70" s="210" t="n">
        <v>-307008</v>
      </c>
      <c r="J70" s="210" t="n">
        <v>-276307</v>
      </c>
      <c r="K70" s="210" t="n">
        <v>-245606</v>
      </c>
      <c r="L70" s="210" t="n">
        <v>-214905</v>
      </c>
      <c r="M70" s="210" t="n">
        <v>-184205</v>
      </c>
      <c r="N70" s="210" t="n">
        <v>-153504</v>
      </c>
      <c r="O70" s="210" t="n">
        <v>-122803</v>
      </c>
      <c r="P70" s="210" t="n">
        <v>-92102</v>
      </c>
      <c r="Q70" s="210" t="n">
        <v>-61402</v>
      </c>
      <c r="R70" s="210" t="n">
        <v>-30701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-1199483</v>
      </c>
      <c r="F93" s="260" t="n">
        <v>-1199483</v>
      </c>
      <c r="G93" s="260" t="n">
        <v>-1199483</v>
      </c>
      <c r="H93" s="260" t="n">
        <v>-1199483</v>
      </c>
      <c r="I93" s="260" t="n">
        <v>-1199483</v>
      </c>
      <c r="J93" s="260" t="n">
        <v>-1199483</v>
      </c>
      <c r="K93" s="260" t="n">
        <v>-1199483</v>
      </c>
      <c r="L93" s="260" t="n">
        <v>-1199483</v>
      </c>
      <c r="M93" s="260" t="n">
        <v>-1199483</v>
      </c>
      <c r="N93" s="260" t="n">
        <v>-1199483</v>
      </c>
      <c r="O93" s="260" t="n">
        <v>-1199483</v>
      </c>
      <c r="P93" s="260" t="n">
        <v>-1199483</v>
      </c>
      <c r="Q93" s="260" t="n">
        <v>-1199483</v>
      </c>
      <c r="R93" s="260" t="n">
        <v>-1199483</v>
      </c>
      <c r="S93" s="260" t="n">
        <v>-1199483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-1124515</v>
      </c>
      <c r="U96" s="264" t="n">
        <v>-1124515</v>
      </c>
      <c r="V96" s="264" t="n">
        <v>-1124515</v>
      </c>
      <c r="W96" s="264" t="n">
        <v>-1124515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3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第2次滾算摘要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33000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2.03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2.75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第2次滾算，減少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33000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-43174</v>
      </c>
      <c r="E49" s="210" t="n">
        <v>-43174</v>
      </c>
      <c r="F49" s="210" t="n">
        <v>-43174</v>
      </c>
      <c r="G49" s="210" t="n">
        <v>-43174</v>
      </c>
      <c r="H49" s="210" t="n">
        <v>-43174</v>
      </c>
      <c r="I49" s="210" t="n">
        <v>-43174</v>
      </c>
      <c r="J49" s="210" t="n">
        <v>-43174</v>
      </c>
      <c r="K49" s="210" t="n">
        <v>-43174</v>
      </c>
      <c r="L49" s="210" t="n">
        <v>-43174</v>
      </c>
      <c r="M49" s="210" t="n">
        <v>-43174</v>
      </c>
      <c r="N49" s="210" t="n">
        <v>-43174</v>
      </c>
      <c r="O49" s="210" t="n">
        <v>-43174</v>
      </c>
      <c r="P49" s="210" t="n">
        <v>-43174</v>
      </c>
      <c r="Q49" s="210" t="n">
        <v>-43174</v>
      </c>
      <c r="R49" s="210" t="n">
        <v>-43174</v>
      </c>
      <c r="S49" s="210" t="n">
        <v>-43174</v>
      </c>
      <c r="T49" s="210" t="n">
        <v>-43174</v>
      </c>
      <c r="U49" s="210" t="n">
        <v>-43174</v>
      </c>
      <c r="V49" s="210" t="n">
        <v>-43174</v>
      </c>
      <c r="W49" s="210" t="n">
        <v>-43174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-447755</v>
      </c>
      <c r="E70" s="210" t="n">
        <v>-417905</v>
      </c>
      <c r="F70" s="210" t="n">
        <v>-388054</v>
      </c>
      <c r="G70" s="210" t="n">
        <v>-358204</v>
      </c>
      <c r="H70" s="210" t="n">
        <v>-328354</v>
      </c>
      <c r="I70" s="210" t="n">
        <v>-298503</v>
      </c>
      <c r="J70" s="210" t="n">
        <v>-268653</v>
      </c>
      <c r="K70" s="210" t="n">
        <v>-238803</v>
      </c>
      <c r="L70" s="210" t="n">
        <v>-208952</v>
      </c>
      <c r="M70" s="210" t="n">
        <v>-179102</v>
      </c>
      <c r="N70" s="210" t="n">
        <v>-149252</v>
      </c>
      <c r="O70" s="210" t="n">
        <v>-119401</v>
      </c>
      <c r="P70" s="210" t="n">
        <v>-89551</v>
      </c>
      <c r="Q70" s="210" t="n">
        <v>-59701</v>
      </c>
      <c r="R70" s="210" t="n">
        <v>-29850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-1166256</v>
      </c>
      <c r="F93" s="260" t="n">
        <v>-1166256</v>
      </c>
      <c r="G93" s="260" t="n">
        <v>-1166256</v>
      </c>
      <c r="H93" s="260" t="n">
        <v>-1166256</v>
      </c>
      <c r="I93" s="260" t="n">
        <v>-1166256</v>
      </c>
      <c r="J93" s="260" t="n">
        <v>-1166256</v>
      </c>
      <c r="K93" s="260" t="n">
        <v>-1166256</v>
      </c>
      <c r="L93" s="260" t="n">
        <v>-1166256</v>
      </c>
      <c r="M93" s="260" t="n">
        <v>-1166256</v>
      </c>
      <c r="N93" s="260" t="n">
        <v>-1166256</v>
      </c>
      <c r="O93" s="260" t="n">
        <v>-1166256</v>
      </c>
      <c r="P93" s="260" t="n">
        <v>-1166256</v>
      </c>
      <c r="Q93" s="260" t="n">
        <v>-1166256</v>
      </c>
      <c r="R93" s="260" t="n">
        <v>-1166256</v>
      </c>
      <c r="S93" s="260" t="n">
        <v>-1166256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-1093365</v>
      </c>
      <c r="U96" s="264" t="n">
        <v>-1093365</v>
      </c>
      <c r="V96" s="264" t="n">
        <v>-1093365</v>
      </c>
      <c r="W96" s="264" t="n">
        <v>-1093365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4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第3次滾算摘要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32000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2.3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3.56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第3次滾算，減少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32000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-41866</v>
      </c>
      <c r="E49" s="210" t="n">
        <v>-41866</v>
      </c>
      <c r="F49" s="210" t="n">
        <v>-41866</v>
      </c>
      <c r="G49" s="210" t="n">
        <v>-41866</v>
      </c>
      <c r="H49" s="210" t="n">
        <v>-41866</v>
      </c>
      <c r="I49" s="210" t="n">
        <v>-41866</v>
      </c>
      <c r="J49" s="210" t="n">
        <v>-41866</v>
      </c>
      <c r="K49" s="210" t="n">
        <v>-41866</v>
      </c>
      <c r="L49" s="210" t="n">
        <v>-41866</v>
      </c>
      <c r="M49" s="210" t="n">
        <v>-41866</v>
      </c>
      <c r="N49" s="210" t="n">
        <v>-41866</v>
      </c>
      <c r="O49" s="210" t="n">
        <v>-41866</v>
      </c>
      <c r="P49" s="210" t="n">
        <v>-41866</v>
      </c>
      <c r="Q49" s="210" t="n">
        <v>-41866</v>
      </c>
      <c r="R49" s="210" t="n">
        <v>-41866</v>
      </c>
      <c r="S49" s="210" t="n">
        <v>-41866</v>
      </c>
      <c r="T49" s="210" t="n">
        <v>-41866</v>
      </c>
      <c r="U49" s="210" t="n">
        <v>-41866</v>
      </c>
      <c r="V49" s="210" t="n">
        <v>-41866</v>
      </c>
      <c r="W49" s="210" t="n">
        <v>-41866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-434998</v>
      </c>
      <c r="E70" s="210" t="n">
        <v>-405998</v>
      </c>
      <c r="F70" s="210" t="n">
        <v>-376999</v>
      </c>
      <c r="G70" s="210" t="n">
        <v>-347999</v>
      </c>
      <c r="H70" s="210" t="n">
        <v>-318999</v>
      </c>
      <c r="I70" s="210" t="n">
        <v>-289999</v>
      </c>
      <c r="J70" s="210" t="n">
        <v>-260999</v>
      </c>
      <c r="K70" s="210" t="n">
        <v>-231999</v>
      </c>
      <c r="L70" s="210" t="n">
        <v>-202999</v>
      </c>
      <c r="M70" s="210" t="n">
        <v>-173999</v>
      </c>
      <c r="N70" s="210" t="n">
        <v>-144999</v>
      </c>
      <c r="O70" s="210" t="n">
        <v>-116000</v>
      </c>
      <c r="P70" s="210" t="n">
        <v>-87000</v>
      </c>
      <c r="Q70" s="210" t="n">
        <v>-58000</v>
      </c>
      <c r="R70" s="210" t="n">
        <v>-29000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-1133029</v>
      </c>
      <c r="F93" s="260" t="n">
        <v>-1133029</v>
      </c>
      <c r="G93" s="260" t="n">
        <v>-1133029</v>
      </c>
      <c r="H93" s="260" t="n">
        <v>-1133029</v>
      </c>
      <c r="I93" s="260" t="n">
        <v>-1133029</v>
      </c>
      <c r="J93" s="260" t="n">
        <v>-1133029</v>
      </c>
      <c r="K93" s="260" t="n">
        <v>-1133029</v>
      </c>
      <c r="L93" s="260" t="n">
        <v>-1133029</v>
      </c>
      <c r="M93" s="260" t="n">
        <v>-1133029</v>
      </c>
      <c r="N93" s="260" t="n">
        <v>-1133029</v>
      </c>
      <c r="O93" s="260" t="n">
        <v>-1133029</v>
      </c>
      <c r="P93" s="260" t="n">
        <v>-1133029</v>
      </c>
      <c r="Q93" s="260" t="n">
        <v>-1133029</v>
      </c>
      <c r="R93" s="260" t="n">
        <v>-1133029</v>
      </c>
      <c r="S93" s="260" t="n">
        <v>-1133029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-1062215</v>
      </c>
      <c r="U96" s="264" t="n">
        <v>-1062215</v>
      </c>
      <c r="V96" s="264" t="n">
        <v>-1062215</v>
      </c>
      <c r="W96" s="264" t="n">
        <v>-1062215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5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第4次滾算摘要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31000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2.57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4.43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第4次滾算，減少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31000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-40557</v>
      </c>
      <c r="E49" s="210" t="n">
        <v>-40557</v>
      </c>
      <c r="F49" s="210" t="n">
        <v>-40557</v>
      </c>
      <c r="G49" s="210" t="n">
        <v>-40557</v>
      </c>
      <c r="H49" s="210" t="n">
        <v>-40557</v>
      </c>
      <c r="I49" s="210" t="n">
        <v>-40557</v>
      </c>
      <c r="J49" s="210" t="n">
        <v>-40557</v>
      </c>
      <c r="K49" s="210" t="n">
        <v>-40557</v>
      </c>
      <c r="L49" s="210" t="n">
        <v>-40557</v>
      </c>
      <c r="M49" s="210" t="n">
        <v>-40557</v>
      </c>
      <c r="N49" s="210" t="n">
        <v>-40557</v>
      </c>
      <c r="O49" s="210" t="n">
        <v>-40557</v>
      </c>
      <c r="P49" s="210" t="n">
        <v>-40557</v>
      </c>
      <c r="Q49" s="210" t="n">
        <v>-40557</v>
      </c>
      <c r="R49" s="210" t="n">
        <v>-40557</v>
      </c>
      <c r="S49" s="210" t="n">
        <v>-40557</v>
      </c>
      <c r="T49" s="210" t="n">
        <v>-40557</v>
      </c>
      <c r="U49" s="210" t="n">
        <v>-40557</v>
      </c>
      <c r="V49" s="210" t="n">
        <v>-40557</v>
      </c>
      <c r="W49" s="210" t="n">
        <v>-40557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-422242</v>
      </c>
      <c r="E70" s="210" t="n">
        <v>-394092</v>
      </c>
      <c r="F70" s="210" t="n">
        <v>-365943</v>
      </c>
      <c r="G70" s="210" t="n">
        <v>-337793</v>
      </c>
      <c r="H70" s="210" t="n">
        <v>-309644</v>
      </c>
      <c r="I70" s="210" t="n">
        <v>-281494</v>
      </c>
      <c r="J70" s="210" t="n">
        <v>-253345</v>
      </c>
      <c r="K70" s="210" t="n">
        <v>-225196</v>
      </c>
      <c r="L70" s="210" t="n">
        <v>-197046</v>
      </c>
      <c r="M70" s="210" t="n">
        <v>-168897</v>
      </c>
      <c r="N70" s="210" t="n">
        <v>-140747</v>
      </c>
      <c r="O70" s="210" t="n">
        <v>-112598</v>
      </c>
      <c r="P70" s="210" t="n">
        <v>-84448</v>
      </c>
      <c r="Q70" s="210" t="n">
        <v>-56299</v>
      </c>
      <c r="R70" s="210" t="n">
        <v>-28149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-1099803</v>
      </c>
      <c r="F93" s="260" t="n">
        <v>-1099803</v>
      </c>
      <c r="G93" s="260" t="n">
        <v>-1099803</v>
      </c>
      <c r="H93" s="260" t="n">
        <v>-1099803</v>
      </c>
      <c r="I93" s="260" t="n">
        <v>-1099803</v>
      </c>
      <c r="J93" s="260" t="n">
        <v>-1099803</v>
      </c>
      <c r="K93" s="260" t="n">
        <v>-1099803</v>
      </c>
      <c r="L93" s="260" t="n">
        <v>-1099803</v>
      </c>
      <c r="M93" s="260" t="n">
        <v>-1099803</v>
      </c>
      <c r="N93" s="260" t="n">
        <v>-1099803</v>
      </c>
      <c r="O93" s="260" t="n">
        <v>-1099803</v>
      </c>
      <c r="P93" s="260" t="n">
        <v>-1099803</v>
      </c>
      <c r="Q93" s="260" t="n">
        <v>-1099803</v>
      </c>
      <c r="R93" s="260" t="n">
        <v>-1099803</v>
      </c>
      <c r="S93" s="260" t="n">
        <v>-1099803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-1031065</v>
      </c>
      <c r="U96" s="264" t="n">
        <v>-1031065</v>
      </c>
      <c r="V96" s="264" t="n">
        <v>-1031065</v>
      </c>
      <c r="W96" s="264" t="n">
        <v>-1031065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6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第5次滾算摘要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30000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2.86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5.37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第5次滾算，減少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30000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-39249</v>
      </c>
      <c r="E49" s="210" t="n">
        <v>-39249</v>
      </c>
      <c r="F49" s="210" t="n">
        <v>-39249</v>
      </c>
      <c r="G49" s="210" t="n">
        <v>-39249</v>
      </c>
      <c r="H49" s="210" t="n">
        <v>-39249</v>
      </c>
      <c r="I49" s="210" t="n">
        <v>-39249</v>
      </c>
      <c r="J49" s="210" t="n">
        <v>-39249</v>
      </c>
      <c r="K49" s="210" t="n">
        <v>-39249</v>
      </c>
      <c r="L49" s="210" t="n">
        <v>-39249</v>
      </c>
      <c r="M49" s="210" t="n">
        <v>-39249</v>
      </c>
      <c r="N49" s="210" t="n">
        <v>-39249</v>
      </c>
      <c r="O49" s="210" t="n">
        <v>-39249</v>
      </c>
      <c r="P49" s="210" t="n">
        <v>-39249</v>
      </c>
      <c r="Q49" s="210" t="n">
        <v>-39249</v>
      </c>
      <c r="R49" s="210" t="n">
        <v>-39249</v>
      </c>
      <c r="S49" s="210" t="n">
        <v>-39249</v>
      </c>
      <c r="T49" s="210" t="n">
        <v>-39249</v>
      </c>
      <c r="U49" s="210" t="n">
        <v>-39249</v>
      </c>
      <c r="V49" s="210" t="n">
        <v>-39249</v>
      </c>
      <c r="W49" s="210" t="n">
        <v>-39249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-409485</v>
      </c>
      <c r="E70" s="210" t="n">
        <v>-382186</v>
      </c>
      <c r="F70" s="210" t="n">
        <v>-354887</v>
      </c>
      <c r="G70" s="210" t="n">
        <v>-327588</v>
      </c>
      <c r="H70" s="210" t="n">
        <v>-300289</v>
      </c>
      <c r="I70" s="210" t="n">
        <v>-272990</v>
      </c>
      <c r="J70" s="210" t="n">
        <v>-245691</v>
      </c>
      <c r="K70" s="210" t="n">
        <v>-218392</v>
      </c>
      <c r="L70" s="210" t="n">
        <v>-191093</v>
      </c>
      <c r="M70" s="210" t="n">
        <v>-163794</v>
      </c>
      <c r="N70" s="210" t="n">
        <v>-136495</v>
      </c>
      <c r="O70" s="210" t="n">
        <v>-109196</v>
      </c>
      <c r="P70" s="210" t="n">
        <v>-81897</v>
      </c>
      <c r="Q70" s="210" t="n">
        <v>-54598</v>
      </c>
      <c r="R70" s="210" t="n">
        <v>-27299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-1066576</v>
      </c>
      <c r="F93" s="260" t="n">
        <v>-1066576</v>
      </c>
      <c r="G93" s="260" t="n">
        <v>-1066576</v>
      </c>
      <c r="H93" s="260" t="n">
        <v>-1066576</v>
      </c>
      <c r="I93" s="260" t="n">
        <v>-1066576</v>
      </c>
      <c r="J93" s="260" t="n">
        <v>-1066576</v>
      </c>
      <c r="K93" s="260" t="n">
        <v>-1066576</v>
      </c>
      <c r="L93" s="260" t="n">
        <v>-1066576</v>
      </c>
      <c r="M93" s="260" t="n">
        <v>-1066576</v>
      </c>
      <c r="N93" s="260" t="n">
        <v>-1066576</v>
      </c>
      <c r="O93" s="260" t="n">
        <v>-1066576</v>
      </c>
      <c r="P93" s="260" t="n">
        <v>-1066576</v>
      </c>
      <c r="Q93" s="260" t="n">
        <v>-1066576</v>
      </c>
      <c r="R93" s="260" t="n">
        <v>-1066576</v>
      </c>
      <c r="S93" s="260" t="n">
        <v>-1066576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-999915</v>
      </c>
      <c r="U96" s="264" t="n">
        <v>-999915</v>
      </c>
      <c r="V96" s="264" t="n">
        <v>-999915</v>
      </c>
      <c r="W96" s="264" t="n">
        <v>-999915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7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第6次滾算摘要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29000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3.16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6.37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第6次滾算，減少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29000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-37941</v>
      </c>
      <c r="E49" s="210" t="n">
        <v>-37941</v>
      </c>
      <c r="F49" s="210" t="n">
        <v>-37941</v>
      </c>
      <c r="G49" s="210" t="n">
        <v>-37941</v>
      </c>
      <c r="H49" s="210" t="n">
        <v>-37941</v>
      </c>
      <c r="I49" s="210" t="n">
        <v>-37941</v>
      </c>
      <c r="J49" s="210" t="n">
        <v>-37941</v>
      </c>
      <c r="K49" s="210" t="n">
        <v>-37941</v>
      </c>
      <c r="L49" s="210" t="n">
        <v>-37941</v>
      </c>
      <c r="M49" s="210" t="n">
        <v>-37941</v>
      </c>
      <c r="N49" s="210" t="n">
        <v>-37941</v>
      </c>
      <c r="O49" s="210" t="n">
        <v>-37941</v>
      </c>
      <c r="P49" s="210" t="n">
        <v>-37941</v>
      </c>
      <c r="Q49" s="210" t="n">
        <v>-37941</v>
      </c>
      <c r="R49" s="210" t="n">
        <v>-37941</v>
      </c>
      <c r="S49" s="210" t="n">
        <v>-37941</v>
      </c>
      <c r="T49" s="210" t="n">
        <v>-37941</v>
      </c>
      <c r="U49" s="210" t="n">
        <v>-37941</v>
      </c>
      <c r="V49" s="210" t="n">
        <v>-37941</v>
      </c>
      <c r="W49" s="210" t="n">
        <v>-37941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-396729</v>
      </c>
      <c r="E70" s="210" t="n">
        <v>-370280</v>
      </c>
      <c r="F70" s="210" t="n">
        <v>-343831</v>
      </c>
      <c r="G70" s="210" t="n">
        <v>-317383</v>
      </c>
      <c r="H70" s="210" t="n">
        <v>-290934</v>
      </c>
      <c r="I70" s="210" t="n">
        <v>-264486</v>
      </c>
      <c r="J70" s="210" t="n">
        <v>-238037</v>
      </c>
      <c r="K70" s="210" t="n">
        <v>-211589</v>
      </c>
      <c r="L70" s="210" t="n">
        <v>-185140</v>
      </c>
      <c r="M70" s="210" t="n">
        <v>-158691</v>
      </c>
      <c r="N70" s="210" t="n">
        <v>-132243</v>
      </c>
      <c r="O70" s="210" t="n">
        <v>-105794</v>
      </c>
      <c r="P70" s="210" t="n">
        <v>-79346</v>
      </c>
      <c r="Q70" s="210" t="n">
        <v>-52897</v>
      </c>
      <c r="R70" s="210" t="n">
        <v>-26449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-1033349</v>
      </c>
      <c r="F93" s="260" t="n">
        <v>-1033349</v>
      </c>
      <c r="G93" s="260" t="n">
        <v>-1033349</v>
      </c>
      <c r="H93" s="260" t="n">
        <v>-1033349</v>
      </c>
      <c r="I93" s="260" t="n">
        <v>-1033349</v>
      </c>
      <c r="J93" s="260" t="n">
        <v>-1033349</v>
      </c>
      <c r="K93" s="260" t="n">
        <v>-1033349</v>
      </c>
      <c r="L93" s="260" t="n">
        <v>-1033349</v>
      </c>
      <c r="M93" s="260" t="n">
        <v>-1033349</v>
      </c>
      <c r="N93" s="260" t="n">
        <v>-1033349</v>
      </c>
      <c r="O93" s="260" t="n">
        <v>-1033349</v>
      </c>
      <c r="P93" s="260" t="n">
        <v>-1033349</v>
      </c>
      <c r="Q93" s="260" t="n">
        <v>-1033349</v>
      </c>
      <c r="R93" s="260" t="n">
        <v>-1033349</v>
      </c>
      <c r="S93" s="260" t="n">
        <v>-1033349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-968765</v>
      </c>
      <c r="U96" s="264" t="n">
        <v>-968765</v>
      </c>
      <c r="V96" s="264" t="n">
        <v>-968765</v>
      </c>
      <c r="W96" s="264" t="n">
        <v>-968765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8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第7次滾算摘要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28000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3.48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7.46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第7次滾算，減少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28000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-36632</v>
      </c>
      <c r="E49" s="210" t="n">
        <v>-36632</v>
      </c>
      <c r="F49" s="210" t="n">
        <v>-36632</v>
      </c>
      <c r="G49" s="210" t="n">
        <v>-36632</v>
      </c>
      <c r="H49" s="210" t="n">
        <v>-36632</v>
      </c>
      <c r="I49" s="210" t="n">
        <v>-36632</v>
      </c>
      <c r="J49" s="210" t="n">
        <v>-36632</v>
      </c>
      <c r="K49" s="210" t="n">
        <v>-36632</v>
      </c>
      <c r="L49" s="210" t="n">
        <v>-36632</v>
      </c>
      <c r="M49" s="210" t="n">
        <v>-36632</v>
      </c>
      <c r="N49" s="210" t="n">
        <v>-36632</v>
      </c>
      <c r="O49" s="210" t="n">
        <v>-36632</v>
      </c>
      <c r="P49" s="210" t="n">
        <v>-36632</v>
      </c>
      <c r="Q49" s="210" t="n">
        <v>-36632</v>
      </c>
      <c r="R49" s="210" t="n">
        <v>-36632</v>
      </c>
      <c r="S49" s="210" t="n">
        <v>-36632</v>
      </c>
      <c r="T49" s="210" t="n">
        <v>-36632</v>
      </c>
      <c r="U49" s="210" t="n">
        <v>-36632</v>
      </c>
      <c r="V49" s="210" t="n">
        <v>-36632</v>
      </c>
      <c r="W49" s="210" t="n">
        <v>-36632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-383972</v>
      </c>
      <c r="E70" s="210" t="n">
        <v>-358374</v>
      </c>
      <c r="F70" s="210" t="n">
        <v>-332776</v>
      </c>
      <c r="G70" s="210" t="n">
        <v>-307178</v>
      </c>
      <c r="H70" s="210" t="n">
        <v>-281580</v>
      </c>
      <c r="I70" s="210" t="n">
        <v>-255981</v>
      </c>
      <c r="J70" s="210" t="n">
        <v>-230383</v>
      </c>
      <c r="K70" s="210" t="n">
        <v>-204785</v>
      </c>
      <c r="L70" s="210" t="n">
        <v>-179187</v>
      </c>
      <c r="M70" s="210" t="n">
        <v>-153589</v>
      </c>
      <c r="N70" s="210" t="n">
        <v>-127991</v>
      </c>
      <c r="O70" s="210" t="n">
        <v>-102393</v>
      </c>
      <c r="P70" s="210" t="n">
        <v>-76794</v>
      </c>
      <c r="Q70" s="210" t="n">
        <v>-51196</v>
      </c>
      <c r="R70" s="210" t="n">
        <v>-25598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-1000123</v>
      </c>
      <c r="F93" s="260" t="n">
        <v>-1000123</v>
      </c>
      <c r="G93" s="260" t="n">
        <v>-1000123</v>
      </c>
      <c r="H93" s="260" t="n">
        <v>-1000123</v>
      </c>
      <c r="I93" s="260" t="n">
        <v>-1000123</v>
      </c>
      <c r="J93" s="260" t="n">
        <v>-1000123</v>
      </c>
      <c r="K93" s="260" t="n">
        <v>-1000123</v>
      </c>
      <c r="L93" s="260" t="n">
        <v>-1000123</v>
      </c>
      <c r="M93" s="260" t="n">
        <v>-1000123</v>
      </c>
      <c r="N93" s="260" t="n">
        <v>-1000123</v>
      </c>
      <c r="O93" s="260" t="n">
        <v>-1000123</v>
      </c>
      <c r="P93" s="260" t="n">
        <v>-1000123</v>
      </c>
      <c r="Q93" s="260" t="n">
        <v>-1000123</v>
      </c>
      <c r="R93" s="260" t="n">
        <v>-1000123</v>
      </c>
      <c r="S93" s="260" t="n">
        <v>-1000123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-937615</v>
      </c>
      <c r="U96" s="264" t="n">
        <v>-937615</v>
      </c>
      <c r="V96" s="264" t="n">
        <v>-937615</v>
      </c>
      <c r="W96" s="264" t="n">
        <v>-937615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9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第8次滾算摘要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27000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3.82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8.65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第8次滾算，減少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27000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-35324</v>
      </c>
      <c r="E49" s="210" t="n">
        <v>-35324</v>
      </c>
      <c r="F49" s="210" t="n">
        <v>-35324</v>
      </c>
      <c r="G49" s="210" t="n">
        <v>-35324</v>
      </c>
      <c r="H49" s="210" t="n">
        <v>-35324</v>
      </c>
      <c r="I49" s="210" t="n">
        <v>-35324</v>
      </c>
      <c r="J49" s="210" t="n">
        <v>-35324</v>
      </c>
      <c r="K49" s="210" t="n">
        <v>-35324</v>
      </c>
      <c r="L49" s="210" t="n">
        <v>-35324</v>
      </c>
      <c r="M49" s="210" t="n">
        <v>-35324</v>
      </c>
      <c r="N49" s="210" t="n">
        <v>-35324</v>
      </c>
      <c r="O49" s="210" t="n">
        <v>-35324</v>
      </c>
      <c r="P49" s="210" t="n">
        <v>-35324</v>
      </c>
      <c r="Q49" s="210" t="n">
        <v>-35324</v>
      </c>
      <c r="R49" s="210" t="n">
        <v>-35324</v>
      </c>
      <c r="S49" s="210" t="n">
        <v>-35324</v>
      </c>
      <c r="T49" s="210" t="n">
        <v>-35324</v>
      </c>
      <c r="U49" s="210" t="n">
        <v>-35324</v>
      </c>
      <c r="V49" s="210" t="n">
        <v>-35324</v>
      </c>
      <c r="W49" s="210" t="n">
        <v>-35324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-371216</v>
      </c>
      <c r="E70" s="210" t="n">
        <v>-346468</v>
      </c>
      <c r="F70" s="210" t="n">
        <v>-321720</v>
      </c>
      <c r="G70" s="210" t="n">
        <v>-296972</v>
      </c>
      <c r="H70" s="210" t="n">
        <v>-272225</v>
      </c>
      <c r="I70" s="210" t="n">
        <v>-247477</v>
      </c>
      <c r="J70" s="210" t="n">
        <v>-222729</v>
      </c>
      <c r="K70" s="210" t="n">
        <v>-197982</v>
      </c>
      <c r="L70" s="210" t="n">
        <v>-173234</v>
      </c>
      <c r="M70" s="210" t="n">
        <v>-148486</v>
      </c>
      <c r="N70" s="210" t="n">
        <v>-123739</v>
      </c>
      <c r="O70" s="210" t="n">
        <v>-98991</v>
      </c>
      <c r="P70" s="210" t="n">
        <v>-74243</v>
      </c>
      <c r="Q70" s="210" t="n">
        <v>-49495</v>
      </c>
      <c r="R70" s="210" t="n">
        <v>-24748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-966896</v>
      </c>
      <c r="F93" s="260" t="n">
        <v>-966896</v>
      </c>
      <c r="G93" s="260" t="n">
        <v>-966896</v>
      </c>
      <c r="H93" s="260" t="n">
        <v>-966896</v>
      </c>
      <c r="I93" s="260" t="n">
        <v>-966896</v>
      </c>
      <c r="J93" s="260" t="n">
        <v>-966896</v>
      </c>
      <c r="K93" s="260" t="n">
        <v>-966896</v>
      </c>
      <c r="L93" s="260" t="n">
        <v>-966896</v>
      </c>
      <c r="M93" s="260" t="n">
        <v>-966896</v>
      </c>
      <c r="N93" s="260" t="n">
        <v>-966896</v>
      </c>
      <c r="O93" s="260" t="n">
        <v>-966896</v>
      </c>
      <c r="P93" s="260" t="n">
        <v>-966896</v>
      </c>
      <c r="Q93" s="260" t="n">
        <v>-966896</v>
      </c>
      <c r="R93" s="260" t="n">
        <v>-966896</v>
      </c>
      <c r="S93" s="260" t="n">
        <v>-966896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-906465</v>
      </c>
      <c r="U96" s="264" t="n">
        <v>-906465</v>
      </c>
      <c r="V96" s="264" t="n">
        <v>-906465</v>
      </c>
      <c r="W96" s="264" t="n">
        <v>-906465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10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第9次滾算摘要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26000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4.17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9.96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第9次滾算，減少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26000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-34016</v>
      </c>
      <c r="E49" s="210" t="n">
        <v>-34016</v>
      </c>
      <c r="F49" s="210" t="n">
        <v>-34016</v>
      </c>
      <c r="G49" s="210" t="n">
        <v>-34016</v>
      </c>
      <c r="H49" s="210" t="n">
        <v>-34016</v>
      </c>
      <c r="I49" s="210" t="n">
        <v>-34016</v>
      </c>
      <c r="J49" s="210" t="n">
        <v>-34016</v>
      </c>
      <c r="K49" s="210" t="n">
        <v>-34016</v>
      </c>
      <c r="L49" s="210" t="n">
        <v>-34016</v>
      </c>
      <c r="M49" s="210" t="n">
        <v>-34016</v>
      </c>
      <c r="N49" s="210" t="n">
        <v>-34016</v>
      </c>
      <c r="O49" s="210" t="n">
        <v>-34016</v>
      </c>
      <c r="P49" s="210" t="n">
        <v>-34016</v>
      </c>
      <c r="Q49" s="210" t="n">
        <v>-34016</v>
      </c>
      <c r="R49" s="210" t="n">
        <v>-34016</v>
      </c>
      <c r="S49" s="210" t="n">
        <v>-34016</v>
      </c>
      <c r="T49" s="210" t="n">
        <v>-34016</v>
      </c>
      <c r="U49" s="210" t="n">
        <v>-34016</v>
      </c>
      <c r="V49" s="210" t="n">
        <v>-34016</v>
      </c>
      <c r="W49" s="210" t="n">
        <v>-34016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-358459</v>
      </c>
      <c r="E70" s="210" t="n">
        <v>-334562</v>
      </c>
      <c r="F70" s="210" t="n">
        <v>-310664</v>
      </c>
      <c r="G70" s="210" t="n">
        <v>-286767</v>
      </c>
      <c r="H70" s="210" t="n">
        <v>-262870</v>
      </c>
      <c r="I70" s="210" t="n">
        <v>-238973</v>
      </c>
      <c r="J70" s="210" t="n">
        <v>-215075</v>
      </c>
      <c r="K70" s="210" t="n">
        <v>-191178</v>
      </c>
      <c r="L70" s="210" t="n">
        <v>-167281</v>
      </c>
      <c r="M70" s="210" t="n">
        <v>-143384</v>
      </c>
      <c r="N70" s="210" t="n">
        <v>-119486</v>
      </c>
      <c r="O70" s="210" t="n">
        <v>-95589</v>
      </c>
      <c r="P70" s="210" t="n">
        <v>-71692</v>
      </c>
      <c r="Q70" s="210" t="n">
        <v>-47795</v>
      </c>
      <c r="R70" s="210" t="n">
        <v>-23897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-933669</v>
      </c>
      <c r="F93" s="260" t="n">
        <v>-933669</v>
      </c>
      <c r="G93" s="260" t="n">
        <v>-933669</v>
      </c>
      <c r="H93" s="260" t="n">
        <v>-933669</v>
      </c>
      <c r="I93" s="260" t="n">
        <v>-933669</v>
      </c>
      <c r="J93" s="260" t="n">
        <v>-933669</v>
      </c>
      <c r="K93" s="260" t="n">
        <v>-933669</v>
      </c>
      <c r="L93" s="260" t="n">
        <v>-933669</v>
      </c>
      <c r="M93" s="260" t="n">
        <v>-933669</v>
      </c>
      <c r="N93" s="260" t="n">
        <v>-933669</v>
      </c>
      <c r="O93" s="260" t="n">
        <v>-933669</v>
      </c>
      <c r="P93" s="260" t="n">
        <v>-933669</v>
      </c>
      <c r="Q93" s="260" t="n">
        <v>-933669</v>
      </c>
      <c r="R93" s="260" t="n">
        <v>-933669</v>
      </c>
      <c r="S93" s="260" t="n">
        <v>-933669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-875315</v>
      </c>
      <c r="U96" s="264" t="n">
        <v>-875315</v>
      </c>
      <c r="V96" s="264" t="n">
        <v>-875315</v>
      </c>
      <c r="W96" s="264" t="n">
        <v>-875315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11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第10次滾算摘要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25000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4.54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11.4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第10次滾算，減少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25000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-32708</v>
      </c>
      <c r="E49" s="210" t="n">
        <v>-32708</v>
      </c>
      <c r="F49" s="210" t="n">
        <v>-32708</v>
      </c>
      <c r="G49" s="210" t="n">
        <v>-32708</v>
      </c>
      <c r="H49" s="210" t="n">
        <v>-32708</v>
      </c>
      <c r="I49" s="210" t="n">
        <v>-32708</v>
      </c>
      <c r="J49" s="210" t="n">
        <v>-32708</v>
      </c>
      <c r="K49" s="210" t="n">
        <v>-32708</v>
      </c>
      <c r="L49" s="210" t="n">
        <v>-32708</v>
      </c>
      <c r="M49" s="210" t="n">
        <v>-32708</v>
      </c>
      <c r="N49" s="210" t="n">
        <v>-32708</v>
      </c>
      <c r="O49" s="210" t="n">
        <v>-32708</v>
      </c>
      <c r="P49" s="210" t="n">
        <v>-32708</v>
      </c>
      <c r="Q49" s="210" t="n">
        <v>-32708</v>
      </c>
      <c r="R49" s="210" t="n">
        <v>-32708</v>
      </c>
      <c r="S49" s="210" t="n">
        <v>-32708</v>
      </c>
      <c r="T49" s="210" t="n">
        <v>-32708</v>
      </c>
      <c r="U49" s="210" t="n">
        <v>-32708</v>
      </c>
      <c r="V49" s="210" t="n">
        <v>-32708</v>
      </c>
      <c r="W49" s="210" t="n">
        <v>-32708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-345702</v>
      </c>
      <c r="E70" s="210" t="n">
        <v>-322656</v>
      </c>
      <c r="F70" s="210" t="n">
        <v>-299609</v>
      </c>
      <c r="G70" s="210" t="n">
        <v>-276562</v>
      </c>
      <c r="H70" s="210" t="n">
        <v>-253515</v>
      </c>
      <c r="I70" s="210" t="n">
        <v>-230468</v>
      </c>
      <c r="J70" s="210" t="n">
        <v>-207421</v>
      </c>
      <c r="K70" s="210" t="n">
        <v>-184375</v>
      </c>
      <c r="L70" s="210" t="n">
        <v>-161328</v>
      </c>
      <c r="M70" s="210" t="n">
        <v>-138281</v>
      </c>
      <c r="N70" s="210" t="n">
        <v>-115234</v>
      </c>
      <c r="O70" s="210" t="n">
        <v>-92187</v>
      </c>
      <c r="P70" s="210" t="n">
        <v>-69140</v>
      </c>
      <c r="Q70" s="210" t="n">
        <v>-46094</v>
      </c>
      <c r="R70" s="210" t="n">
        <v>-23047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-900443</v>
      </c>
      <c r="F93" s="260" t="n">
        <v>-900443</v>
      </c>
      <c r="G93" s="260" t="n">
        <v>-900443</v>
      </c>
      <c r="H93" s="260" t="n">
        <v>-900443</v>
      </c>
      <c r="I93" s="260" t="n">
        <v>-900443</v>
      </c>
      <c r="J93" s="260" t="n">
        <v>-900443</v>
      </c>
      <c r="K93" s="260" t="n">
        <v>-900443</v>
      </c>
      <c r="L93" s="260" t="n">
        <v>-900443</v>
      </c>
      <c r="M93" s="260" t="n">
        <v>-900443</v>
      </c>
      <c r="N93" s="260" t="n">
        <v>-900443</v>
      </c>
      <c r="O93" s="260" t="n">
        <v>-900443</v>
      </c>
      <c r="P93" s="260" t="n">
        <v>-900443</v>
      </c>
      <c r="Q93" s="260" t="n">
        <v>-900443</v>
      </c>
      <c r="R93" s="260" t="n">
        <v>-900443</v>
      </c>
      <c r="S93" s="260" t="n">
        <v>-900443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-844165</v>
      </c>
      <c r="U96" s="264" t="n">
        <v>-844165</v>
      </c>
      <c r="V96" s="264" t="n">
        <v>-844165</v>
      </c>
      <c r="W96" s="264" t="n">
        <v>-844165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12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第11次滾算摘要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24000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4.94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13.0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第11次滾算，減少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24000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-31399</v>
      </c>
      <c r="E49" s="210" t="n">
        <v>-31399</v>
      </c>
      <c r="F49" s="210" t="n">
        <v>-31399</v>
      </c>
      <c r="G49" s="210" t="n">
        <v>-31399</v>
      </c>
      <c r="H49" s="210" t="n">
        <v>-31399</v>
      </c>
      <c r="I49" s="210" t="n">
        <v>-31399</v>
      </c>
      <c r="J49" s="210" t="n">
        <v>-31399</v>
      </c>
      <c r="K49" s="210" t="n">
        <v>-31399</v>
      </c>
      <c r="L49" s="210" t="n">
        <v>-31399</v>
      </c>
      <c r="M49" s="210" t="n">
        <v>-31399</v>
      </c>
      <c r="N49" s="210" t="n">
        <v>-31399</v>
      </c>
      <c r="O49" s="210" t="n">
        <v>-31399</v>
      </c>
      <c r="P49" s="210" t="n">
        <v>-31399</v>
      </c>
      <c r="Q49" s="210" t="n">
        <v>-31399</v>
      </c>
      <c r="R49" s="210" t="n">
        <v>-31399</v>
      </c>
      <c r="S49" s="210" t="n">
        <v>-31399</v>
      </c>
      <c r="T49" s="210" t="n">
        <v>-31399</v>
      </c>
      <c r="U49" s="210" t="n">
        <v>-31399</v>
      </c>
      <c r="V49" s="210" t="n">
        <v>-31399</v>
      </c>
      <c r="W49" s="210" t="n">
        <v>-31399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-332946</v>
      </c>
      <c r="E70" s="210" t="n">
        <v>-310750</v>
      </c>
      <c r="F70" s="210" t="n">
        <v>-288553</v>
      </c>
      <c r="G70" s="210" t="n">
        <v>-266357</v>
      </c>
      <c r="H70" s="210" t="n">
        <v>-244160</v>
      </c>
      <c r="I70" s="210" t="n">
        <v>-221964</v>
      </c>
      <c r="J70" s="210" t="n">
        <v>-199768</v>
      </c>
      <c r="K70" s="210" t="n">
        <v>-177571</v>
      </c>
      <c r="L70" s="210" t="n">
        <v>-155375</v>
      </c>
      <c r="M70" s="210" t="n">
        <v>-133178</v>
      </c>
      <c r="N70" s="210" t="n">
        <v>-110982</v>
      </c>
      <c r="O70" s="210" t="n">
        <v>-88786</v>
      </c>
      <c r="P70" s="210" t="n">
        <v>-66589</v>
      </c>
      <c r="Q70" s="210" t="n">
        <v>-44393</v>
      </c>
      <c r="R70" s="210" t="n">
        <v>-22196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-867216</v>
      </c>
      <c r="F93" s="260" t="n">
        <v>-867216</v>
      </c>
      <c r="G93" s="260" t="n">
        <v>-867216</v>
      </c>
      <c r="H93" s="260" t="n">
        <v>-867216</v>
      </c>
      <c r="I93" s="260" t="n">
        <v>-867216</v>
      </c>
      <c r="J93" s="260" t="n">
        <v>-867216</v>
      </c>
      <c r="K93" s="260" t="n">
        <v>-867216</v>
      </c>
      <c r="L93" s="260" t="n">
        <v>-867216</v>
      </c>
      <c r="M93" s="260" t="n">
        <v>-867216</v>
      </c>
      <c r="N93" s="260" t="n">
        <v>-867216</v>
      </c>
      <c r="O93" s="260" t="n">
        <v>-867216</v>
      </c>
      <c r="P93" s="260" t="n">
        <v>-867216</v>
      </c>
      <c r="Q93" s="260" t="n">
        <v>-867216</v>
      </c>
      <c r="R93" s="260" t="n">
        <v>-867216</v>
      </c>
      <c r="S93" s="260" t="n">
        <v>-867216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-813015</v>
      </c>
      <c r="U96" s="264" t="n">
        <v>-813015</v>
      </c>
      <c r="V96" s="264" t="n">
        <v>-813015</v>
      </c>
      <c r="W96" s="264" t="n">
        <v>-813015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13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第12次滾算摘要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23000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5.36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14.79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第12次滾算，減少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23000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-30091</v>
      </c>
      <c r="E49" s="210" t="n">
        <v>-30091</v>
      </c>
      <c r="F49" s="210" t="n">
        <v>-30091</v>
      </c>
      <c r="G49" s="210" t="n">
        <v>-30091</v>
      </c>
      <c r="H49" s="210" t="n">
        <v>-30091</v>
      </c>
      <c r="I49" s="210" t="n">
        <v>-30091</v>
      </c>
      <c r="J49" s="210" t="n">
        <v>-30091</v>
      </c>
      <c r="K49" s="210" t="n">
        <v>-30091</v>
      </c>
      <c r="L49" s="210" t="n">
        <v>-30091</v>
      </c>
      <c r="M49" s="210" t="n">
        <v>-30091</v>
      </c>
      <c r="N49" s="210" t="n">
        <v>-30091</v>
      </c>
      <c r="O49" s="210" t="n">
        <v>-30091</v>
      </c>
      <c r="P49" s="210" t="n">
        <v>-30091</v>
      </c>
      <c r="Q49" s="210" t="n">
        <v>-30091</v>
      </c>
      <c r="R49" s="210" t="n">
        <v>-30091</v>
      </c>
      <c r="S49" s="210" t="n">
        <v>-30091</v>
      </c>
      <c r="T49" s="210" t="n">
        <v>-30091</v>
      </c>
      <c r="U49" s="210" t="n">
        <v>-30091</v>
      </c>
      <c r="V49" s="210" t="n">
        <v>-30091</v>
      </c>
      <c r="W49" s="210" t="n">
        <v>-30091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-320189</v>
      </c>
      <c r="E70" s="210" t="n">
        <v>-298843</v>
      </c>
      <c r="F70" s="210" t="n">
        <v>-277497</v>
      </c>
      <c r="G70" s="210" t="n">
        <v>-256151</v>
      </c>
      <c r="H70" s="210" t="n">
        <v>-234806</v>
      </c>
      <c r="I70" s="210" t="n">
        <v>-213460</v>
      </c>
      <c r="J70" s="210" t="n">
        <v>-192114</v>
      </c>
      <c r="K70" s="210" t="n">
        <v>-170768</v>
      </c>
      <c r="L70" s="210" t="n">
        <v>-149422</v>
      </c>
      <c r="M70" s="210" t="n">
        <v>-128076</v>
      </c>
      <c r="N70" s="210" t="n">
        <v>-106730</v>
      </c>
      <c r="O70" s="210" t="n">
        <v>-85384</v>
      </c>
      <c r="P70" s="210" t="n">
        <v>-64038</v>
      </c>
      <c r="Q70" s="210" t="n">
        <v>-42692</v>
      </c>
      <c r="R70" s="210" t="n">
        <v>-21346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-833989</v>
      </c>
      <c r="F93" s="260" t="n">
        <v>-833989</v>
      </c>
      <c r="G93" s="260" t="n">
        <v>-833989</v>
      </c>
      <c r="H93" s="260" t="n">
        <v>-833989</v>
      </c>
      <c r="I93" s="260" t="n">
        <v>-833989</v>
      </c>
      <c r="J93" s="260" t="n">
        <v>-833989</v>
      </c>
      <c r="K93" s="260" t="n">
        <v>-833989</v>
      </c>
      <c r="L93" s="260" t="n">
        <v>-833989</v>
      </c>
      <c r="M93" s="260" t="n">
        <v>-833989</v>
      </c>
      <c r="N93" s="260" t="n">
        <v>-833989</v>
      </c>
      <c r="O93" s="260" t="n">
        <v>-833989</v>
      </c>
      <c r="P93" s="260" t="n">
        <v>-833989</v>
      </c>
      <c r="Q93" s="260" t="n">
        <v>-833989</v>
      </c>
      <c r="R93" s="260" t="n">
        <v>-833989</v>
      </c>
      <c r="S93" s="260" t="n">
        <v>-833989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-781865</v>
      </c>
      <c r="U96" s="264" t="n">
        <v>-781865</v>
      </c>
      <c r="V96" s="264" t="n">
        <v>-781865</v>
      </c>
      <c r="W96" s="264" t="n">
        <v>-781865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14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第13次滾算摘要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22000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5.8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16.83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第13次滾算，減少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22000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-28783</v>
      </c>
      <c r="E49" s="210" t="n">
        <v>-28783</v>
      </c>
      <c r="F49" s="210" t="n">
        <v>-28783</v>
      </c>
      <c r="G49" s="210" t="n">
        <v>-28783</v>
      </c>
      <c r="H49" s="210" t="n">
        <v>-28783</v>
      </c>
      <c r="I49" s="210" t="n">
        <v>-28783</v>
      </c>
      <c r="J49" s="210" t="n">
        <v>-28783</v>
      </c>
      <c r="K49" s="210" t="n">
        <v>-28783</v>
      </c>
      <c r="L49" s="210" t="n">
        <v>-28783</v>
      </c>
      <c r="M49" s="210" t="n">
        <v>-28783</v>
      </c>
      <c r="N49" s="210" t="n">
        <v>-28783</v>
      </c>
      <c r="O49" s="210" t="n">
        <v>-28783</v>
      </c>
      <c r="P49" s="210" t="n">
        <v>-28783</v>
      </c>
      <c r="Q49" s="210" t="n">
        <v>-28783</v>
      </c>
      <c r="R49" s="210" t="n">
        <v>-28783</v>
      </c>
      <c r="S49" s="210" t="n">
        <v>-28783</v>
      </c>
      <c r="T49" s="210" t="n">
        <v>-28783</v>
      </c>
      <c r="U49" s="210" t="n">
        <v>-28783</v>
      </c>
      <c r="V49" s="210" t="n">
        <v>-28783</v>
      </c>
      <c r="W49" s="210" t="n">
        <v>-28783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-307433</v>
      </c>
      <c r="E70" s="210" t="n">
        <v>-286937</v>
      </c>
      <c r="F70" s="210" t="n">
        <v>-266442</v>
      </c>
      <c r="G70" s="210" t="n">
        <v>-245946</v>
      </c>
      <c r="H70" s="210" t="n">
        <v>-225451</v>
      </c>
      <c r="I70" s="210" t="n">
        <v>-204955</v>
      </c>
      <c r="J70" s="210" t="n">
        <v>-184460</v>
      </c>
      <c r="K70" s="210" t="n">
        <v>-163964</v>
      </c>
      <c r="L70" s="210" t="n">
        <v>-143469</v>
      </c>
      <c r="M70" s="210" t="n">
        <v>-122973</v>
      </c>
      <c r="N70" s="210" t="n">
        <v>-102478</v>
      </c>
      <c r="O70" s="210" t="n">
        <v>-81982</v>
      </c>
      <c r="P70" s="210" t="n">
        <v>-61487</v>
      </c>
      <c r="Q70" s="210" t="n">
        <v>-40991</v>
      </c>
      <c r="R70" s="210" t="n">
        <v>-20496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-800763</v>
      </c>
      <c r="F93" s="260" t="n">
        <v>-800763</v>
      </c>
      <c r="G93" s="260" t="n">
        <v>-800763</v>
      </c>
      <c r="H93" s="260" t="n">
        <v>-800763</v>
      </c>
      <c r="I93" s="260" t="n">
        <v>-800763</v>
      </c>
      <c r="J93" s="260" t="n">
        <v>-800763</v>
      </c>
      <c r="K93" s="260" t="n">
        <v>-800763</v>
      </c>
      <c r="L93" s="260" t="n">
        <v>-800763</v>
      </c>
      <c r="M93" s="260" t="n">
        <v>-800763</v>
      </c>
      <c r="N93" s="260" t="n">
        <v>-800763</v>
      </c>
      <c r="O93" s="260" t="n">
        <v>-800763</v>
      </c>
      <c r="P93" s="260" t="n">
        <v>-800763</v>
      </c>
      <c r="Q93" s="260" t="n">
        <v>-800763</v>
      </c>
      <c r="R93" s="260" t="n">
        <v>-800763</v>
      </c>
      <c r="S93" s="260" t="n">
        <v>-800763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-750715</v>
      </c>
      <c r="U96" s="264" t="n">
        <v>-750715</v>
      </c>
      <c r="V96" s="264" t="n">
        <v>-750715</v>
      </c>
      <c r="W96" s="264" t="n">
        <v>-750715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15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第14次滾算摘要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21000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6.28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19.16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第14次滾算，減少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21000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-27474</v>
      </c>
      <c r="E49" s="210" t="n">
        <v>-27474</v>
      </c>
      <c r="F49" s="210" t="n">
        <v>-27474</v>
      </c>
      <c r="G49" s="210" t="n">
        <v>-27474</v>
      </c>
      <c r="H49" s="210" t="n">
        <v>-27474</v>
      </c>
      <c r="I49" s="210" t="n">
        <v>-27474</v>
      </c>
      <c r="J49" s="210" t="n">
        <v>-27474</v>
      </c>
      <c r="K49" s="210" t="n">
        <v>-27474</v>
      </c>
      <c r="L49" s="210" t="n">
        <v>-27474</v>
      </c>
      <c r="M49" s="210" t="n">
        <v>-27474</v>
      </c>
      <c r="N49" s="210" t="n">
        <v>-27474</v>
      </c>
      <c r="O49" s="210" t="n">
        <v>-27474</v>
      </c>
      <c r="P49" s="210" t="n">
        <v>-27474</v>
      </c>
      <c r="Q49" s="210" t="n">
        <v>-27474</v>
      </c>
      <c r="R49" s="210" t="n">
        <v>-27474</v>
      </c>
      <c r="S49" s="210" t="n">
        <v>-27474</v>
      </c>
      <c r="T49" s="210" t="n">
        <v>-27474</v>
      </c>
      <c r="U49" s="210" t="n">
        <v>-27474</v>
      </c>
      <c r="V49" s="210" t="n">
        <v>-27474</v>
      </c>
      <c r="W49" s="210" t="n">
        <v>-27474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-294676</v>
      </c>
      <c r="E70" s="210" t="n">
        <v>-275031</v>
      </c>
      <c r="F70" s="210" t="n">
        <v>-255386</v>
      </c>
      <c r="G70" s="210" t="n">
        <v>-235741</v>
      </c>
      <c r="H70" s="210" t="n">
        <v>-216096</v>
      </c>
      <c r="I70" s="210" t="n">
        <v>-196451</v>
      </c>
      <c r="J70" s="210" t="n">
        <v>-176806</v>
      </c>
      <c r="K70" s="210" t="n">
        <v>-157161</v>
      </c>
      <c r="L70" s="210" t="n">
        <v>-137516</v>
      </c>
      <c r="M70" s="210" t="n">
        <v>-117871</v>
      </c>
      <c r="N70" s="210" t="n">
        <v>-98225</v>
      </c>
      <c r="O70" s="210" t="n">
        <v>-78580</v>
      </c>
      <c r="P70" s="210" t="n">
        <v>-58935</v>
      </c>
      <c r="Q70" s="210" t="n">
        <v>-39290</v>
      </c>
      <c r="R70" s="210" t="n">
        <v>-19645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-767536</v>
      </c>
      <c r="F93" s="260" t="n">
        <v>-767536</v>
      </c>
      <c r="G93" s="260" t="n">
        <v>-767536</v>
      </c>
      <c r="H93" s="260" t="n">
        <v>-767536</v>
      </c>
      <c r="I93" s="260" t="n">
        <v>-767536</v>
      </c>
      <c r="J93" s="260" t="n">
        <v>-767536</v>
      </c>
      <c r="K93" s="260" t="n">
        <v>-767536</v>
      </c>
      <c r="L93" s="260" t="n">
        <v>-767536</v>
      </c>
      <c r="M93" s="260" t="n">
        <v>-767536</v>
      </c>
      <c r="N93" s="260" t="n">
        <v>-767536</v>
      </c>
      <c r="O93" s="260" t="n">
        <v>-767536</v>
      </c>
      <c r="P93" s="260" t="n">
        <v>-767536</v>
      </c>
      <c r="Q93" s="260" t="n">
        <v>-767536</v>
      </c>
      <c r="R93" s="260" t="n">
        <v>-767536</v>
      </c>
      <c r="S93" s="260" t="n">
        <v>-767536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-719565</v>
      </c>
      <c r="U96" s="264" t="n">
        <v>-719565</v>
      </c>
      <c r="V96" s="264" t="n">
        <v>-719565</v>
      </c>
      <c r="W96" s="264" t="n">
        <v>-719565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AJ112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16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第15次滾算摘要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20000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6.79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21.86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第15次滾算，減少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20000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$D$10*0.99</f>
        <v/>
      </c>
      <c r="E40" s="194">
        <f>$D$10*0.986</f>
        <v/>
      </c>
      <c r="F40" s="194">
        <f>$D$10*0.982</f>
        <v/>
      </c>
      <c r="G40" s="194">
        <f>$D$10*0.978</f>
        <v/>
      </c>
      <c r="H40" s="194">
        <f>$D$10*0.974</f>
        <v/>
      </c>
      <c r="I40" s="194">
        <f>$D$10*0.97</f>
        <v/>
      </c>
      <c r="J40" s="194">
        <f>$D$10*0.966</f>
        <v/>
      </c>
      <c r="K40" s="194">
        <f>$D$10*0.962</f>
        <v/>
      </c>
      <c r="L40" s="194">
        <f>$D$10*0.958</f>
        <v/>
      </c>
      <c r="M40" s="194">
        <f>$D$10*0.954</f>
        <v/>
      </c>
      <c r="N40" s="194">
        <f>$D$10*0.95</f>
        <v/>
      </c>
      <c r="O40" s="194">
        <f>$D$10*0.946</f>
        <v/>
      </c>
      <c r="P40" s="194">
        <f>$D$10*0.942</f>
        <v/>
      </c>
      <c r="Q40" s="194">
        <f>$D$10*0.938</f>
        <v/>
      </c>
      <c r="R40" s="194">
        <f>$D$10*0.934</f>
        <v/>
      </c>
      <c r="S40" s="194">
        <f>$D$10*0.93</f>
        <v/>
      </c>
      <c r="T40" s="194">
        <f>$D$10*0.926</f>
        <v/>
      </c>
      <c r="U40" s="194">
        <f>$D$10*0.922</f>
        <v/>
      </c>
      <c r="V40" s="194">
        <f>$D$10*0.918</f>
        <v/>
      </c>
      <c r="W40" s="194">
        <f>$D$10*0.914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-26166</v>
      </c>
      <c r="E49" s="210" t="n">
        <v>-26166</v>
      </c>
      <c r="F49" s="210" t="n">
        <v>-26166</v>
      </c>
      <c r="G49" s="210" t="n">
        <v>-26166</v>
      </c>
      <c r="H49" s="210" t="n">
        <v>-26166</v>
      </c>
      <c r="I49" s="210" t="n">
        <v>-26166</v>
      </c>
      <c r="J49" s="210" t="n">
        <v>-26166</v>
      </c>
      <c r="K49" s="210" t="n">
        <v>-26166</v>
      </c>
      <c r="L49" s="210" t="n">
        <v>-26166</v>
      </c>
      <c r="M49" s="210" t="n">
        <v>-26166</v>
      </c>
      <c r="N49" s="210" t="n">
        <v>-26166</v>
      </c>
      <c r="O49" s="210" t="n">
        <v>-26166</v>
      </c>
      <c r="P49" s="210" t="n">
        <v>-26166</v>
      </c>
      <c r="Q49" s="210" t="n">
        <v>-26166</v>
      </c>
      <c r="R49" s="210" t="n">
        <v>-26166</v>
      </c>
      <c r="S49" s="210" t="n">
        <v>-26166</v>
      </c>
      <c r="T49" s="210" t="n">
        <v>-26166</v>
      </c>
      <c r="U49" s="210" t="n">
        <v>-26166</v>
      </c>
      <c r="V49" s="210" t="n">
        <v>-26166</v>
      </c>
      <c r="W49" s="210" t="n">
        <v>-26166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-(D64+D67+D68+D71+D72+D73+D74)*0.2</f>
        <v/>
      </c>
      <c r="E54" s="210">
        <f>-(E64+E67+E68+E71+E72+E73+E74)*0.2</f>
        <v/>
      </c>
      <c r="F54" s="210">
        <f>-(F64+F67+F68+F71+F72+F73+F74)*0.2</f>
        <v/>
      </c>
      <c r="G54" s="210">
        <f>-(G64+G67+G68+G71+G72+G73+G74)*0.2</f>
        <v/>
      </c>
      <c r="H54" s="210">
        <f>-(H64+H67+H68+H71+H72+H73+H74)*0.2</f>
        <v/>
      </c>
      <c r="I54" s="210">
        <f>-(I64+I67+I68+I71+I72+I73+I74)*0.2</f>
        <v/>
      </c>
      <c r="J54" s="210">
        <f>-(J64+J67+J68+J71+J72+J73+J74)*0.2</f>
        <v/>
      </c>
      <c r="K54" s="210">
        <f>-(K64+K67+K68+K71+K72+K73+K74)*0.2</f>
        <v/>
      </c>
      <c r="L54" s="210">
        <f>-(L64+L67+L68+L71+L72+L73+L74)*0.2</f>
        <v/>
      </c>
      <c r="M54" s="210">
        <f>-(M64+M67+M68+M71+M72+M73+M74)*0.2</f>
        <v/>
      </c>
      <c r="N54" s="210">
        <f>-(N64+N67+N68+N71+N72+N73+N74)*0.2</f>
        <v/>
      </c>
      <c r="O54" s="210">
        <f>-(O64+O67+O68+O71+O72+O73+O74)*0.2</f>
        <v/>
      </c>
      <c r="P54" s="210">
        <f>-(P64+P67+P68+P71+P72+P73+P74)*0.2</f>
        <v/>
      </c>
      <c r="Q54" s="210">
        <f>-(Q64+Q67+Q68+Q71+Q72+Q73+Q74)*0.2</f>
        <v/>
      </c>
      <c r="R54" s="210">
        <f>-(R64+R67+R68+R71+R72+R73+R74)*0.2</f>
        <v/>
      </c>
      <c r="S54" s="210">
        <f>-(S64+S67+S68+S71+S72+S73+S74)*0.2</f>
        <v/>
      </c>
      <c r="T54" s="210">
        <f>-(T64+T67+T68+T71+T72+T73+T74)*0.2</f>
        <v/>
      </c>
      <c r="U54" s="210">
        <f>-(U64+U67+U68+U71+U72+U73+U74)*0.2</f>
        <v/>
      </c>
      <c r="V54" s="210">
        <f>-(V64+V67+V68+V71+V72+V73+V74)*0.2</f>
        <v/>
      </c>
      <c r="W54" s="210">
        <f>-(W64+W67+W68+W71+W72+W73+W74)*0.2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D55+E55</f>
        <v/>
      </c>
      <c r="F56" s="220">
        <f>E55+F55</f>
        <v/>
      </c>
      <c r="G56" s="220">
        <f>F55+G55</f>
        <v/>
      </c>
      <c r="H56" s="220">
        <f>G55+H55</f>
        <v/>
      </c>
      <c r="I56" s="220">
        <f>H55+I55</f>
        <v/>
      </c>
      <c r="J56" s="220">
        <f>I55+J55</f>
        <v/>
      </c>
      <c r="K56" s="220">
        <f>J55+K55</f>
        <v/>
      </c>
      <c r="L56" s="220">
        <f>K55+L55</f>
        <v/>
      </c>
      <c r="M56" s="220">
        <f>L55+M55</f>
        <v/>
      </c>
      <c r="N56" s="220">
        <f>M55+N55</f>
        <v/>
      </c>
      <c r="O56" s="220">
        <f>N55+O55</f>
        <v/>
      </c>
      <c r="P56" s="220">
        <f>O55+P55</f>
        <v/>
      </c>
      <c r="Q56" s="220">
        <f>P55+Q55</f>
        <v/>
      </c>
      <c r="R56" s="220">
        <f>Q55+R55</f>
        <v/>
      </c>
      <c r="S56" s="220">
        <f>R55+S55</f>
        <v/>
      </c>
      <c r="T56" s="220">
        <f>S55+T55</f>
        <v/>
      </c>
      <c r="U56" s="220">
        <f>T55+U55</f>
        <v/>
      </c>
      <c r="V56" s="220">
        <f>U55+V55</f>
        <v/>
      </c>
      <c r="W56" s="220">
        <f>V55+W55</f>
        <v/>
      </c>
      <c r="X56" s="220">
        <f>W55+X55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-281920</v>
      </c>
      <c r="E70" s="210" t="n">
        <v>-263125</v>
      </c>
      <c r="F70" s="210" t="n">
        <v>-244330</v>
      </c>
      <c r="G70" s="210" t="n">
        <v>-225536</v>
      </c>
      <c r="H70" s="210" t="n">
        <v>-206741</v>
      </c>
      <c r="I70" s="210" t="n">
        <v>-187946</v>
      </c>
      <c r="J70" s="210" t="n">
        <v>-169152</v>
      </c>
      <c r="K70" s="210" t="n">
        <v>-150357</v>
      </c>
      <c r="L70" s="210" t="n">
        <v>-131563</v>
      </c>
      <c r="M70" s="210" t="n">
        <v>-112768</v>
      </c>
      <c r="N70" s="210" t="n">
        <v>-93973</v>
      </c>
      <c r="O70" s="210" t="n">
        <v>-75179</v>
      </c>
      <c r="P70" s="210" t="n">
        <v>-56384</v>
      </c>
      <c r="Q70" s="210" t="n">
        <v>-37589</v>
      </c>
      <c r="R70" s="210" t="n">
        <v>-18795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  <row r="82" ht="18.75" customHeight="1">
      <c r="C82" s="244" t="inlineStr">
        <is>
          <t>年份</t>
        </is>
      </c>
      <c r="D82" s="245">
        <f>D37</f>
        <v/>
      </c>
      <c r="E82" s="245">
        <f>E37</f>
        <v/>
      </c>
      <c r="F82" s="245">
        <f>F37</f>
        <v/>
      </c>
      <c r="G82" s="245">
        <f>G37</f>
        <v/>
      </c>
      <c r="H82" s="245">
        <f>H37</f>
        <v/>
      </c>
      <c r="I82" s="245">
        <f>I37</f>
        <v/>
      </c>
      <c r="J82" s="245">
        <f>J37</f>
        <v/>
      </c>
      <c r="K82" s="245">
        <f>K37</f>
        <v/>
      </c>
      <c r="L82" s="245">
        <f>L37</f>
        <v/>
      </c>
      <c r="M82" s="245">
        <f>M37</f>
        <v/>
      </c>
      <c r="N82" s="245">
        <f>N37</f>
        <v/>
      </c>
      <c r="O82" s="245">
        <f>O37</f>
        <v/>
      </c>
      <c r="P82" s="245">
        <f>P37</f>
        <v/>
      </c>
      <c r="Q82" s="245">
        <f>Q37</f>
        <v/>
      </c>
      <c r="R82" s="245">
        <f>R37</f>
        <v/>
      </c>
      <c r="S82" s="245">
        <f>S37</f>
        <v/>
      </c>
      <c r="T82" s="245">
        <f>T37</f>
        <v/>
      </c>
      <c r="U82" s="245">
        <f>U37</f>
        <v/>
      </c>
      <c r="V82" s="245">
        <f>V37</f>
        <v/>
      </c>
      <c r="W82" s="245">
        <f>W37</f>
        <v/>
      </c>
      <c r="X82" s="99" t="n"/>
    </row>
    <row r="83" ht="18.75" customHeight="1">
      <c r="X83" s="246" t="n"/>
    </row>
    <row r="84" ht="18.75" customHeight="1">
      <c r="B84" s="247" t="inlineStr">
        <is>
          <t>(Unit : Currency)</t>
        </is>
      </c>
      <c r="C84" s="247" t="n">
        <v>0</v>
      </c>
      <c r="D84" s="247" t="n">
        <v>1</v>
      </c>
      <c r="E84" s="247" t="n">
        <v>2</v>
      </c>
      <c r="F84" s="247" t="n">
        <v>3</v>
      </c>
      <c r="G84" s="247" t="n">
        <v>4</v>
      </c>
      <c r="H84" s="247" t="n">
        <v>5</v>
      </c>
      <c r="I84" s="247" t="n">
        <v>6</v>
      </c>
      <c r="J84" s="247" t="n">
        <v>7</v>
      </c>
      <c r="K84" s="247" t="n">
        <v>8</v>
      </c>
      <c r="L84" s="247" t="n">
        <v>9</v>
      </c>
      <c r="M84" s="247" t="n">
        <v>10</v>
      </c>
      <c r="N84" s="247" t="n">
        <v>11</v>
      </c>
      <c r="O84" s="247" t="n">
        <v>12</v>
      </c>
      <c r="P84" s="247" t="n">
        <v>13</v>
      </c>
      <c r="Q84" s="247" t="n">
        <v>14</v>
      </c>
      <c r="R84" s="247" t="n">
        <v>15</v>
      </c>
      <c r="S84" s="247" t="n">
        <v>16</v>
      </c>
      <c r="T84" s="247" t="n">
        <v>17</v>
      </c>
      <c r="U84" s="247" t="n">
        <v>18</v>
      </c>
      <c r="V84" s="247" t="n">
        <v>19</v>
      </c>
      <c r="W84" s="247" t="n">
        <v>20</v>
      </c>
      <c r="X84" s="102" t="n"/>
    </row>
    <row r="85" ht="18.75" customHeight="1">
      <c r="B85" s="248" t="inlineStr">
        <is>
          <t>稅後淨利</t>
        </is>
      </c>
      <c r="C85" s="248" t="n"/>
      <c r="D85" s="249">
        <f>D78</f>
        <v/>
      </c>
      <c r="E85" s="249">
        <f>E78</f>
        <v/>
      </c>
      <c r="F85" s="249">
        <f>F78</f>
        <v/>
      </c>
      <c r="G85" s="249">
        <f>G78</f>
        <v/>
      </c>
      <c r="H85" s="249">
        <f>H78</f>
        <v/>
      </c>
      <c r="I85" s="249">
        <f>I78</f>
        <v/>
      </c>
      <c r="J85" s="249">
        <f>J78</f>
        <v/>
      </c>
      <c r="K85" s="249">
        <f>K78</f>
        <v/>
      </c>
      <c r="L85" s="249">
        <f>L78</f>
        <v/>
      </c>
      <c r="M85" s="249">
        <f>M78</f>
        <v/>
      </c>
      <c r="N85" s="249">
        <f>N78</f>
        <v/>
      </c>
      <c r="O85" s="249">
        <f>O78</f>
        <v/>
      </c>
      <c r="P85" s="249">
        <f>P78</f>
        <v/>
      </c>
      <c r="Q85" s="249">
        <f>Q78</f>
        <v/>
      </c>
      <c r="R85" s="249">
        <f>R78</f>
        <v/>
      </c>
      <c r="S85" s="249">
        <f>S78</f>
        <v/>
      </c>
      <c r="T85" s="249">
        <f>T78</f>
        <v/>
      </c>
      <c r="U85" s="249">
        <f>U78</f>
        <v/>
      </c>
      <c r="V85" s="249">
        <f>V78</f>
        <v/>
      </c>
      <c r="W85" s="249">
        <f>W78</f>
        <v/>
      </c>
      <c r="X85" s="248" t="n"/>
      <c r="Y85" s="248" t="n"/>
    </row>
    <row r="86">
      <c r="B86" s="248" t="inlineStr">
        <is>
          <t>設備折舊</t>
        </is>
      </c>
      <c r="C86" s="248" t="n"/>
      <c r="D86" s="250">
        <f>-D67</f>
        <v/>
      </c>
      <c r="E86" s="250">
        <f>-E67</f>
        <v/>
      </c>
      <c r="F86" s="250">
        <f>-F67</f>
        <v/>
      </c>
      <c r="G86" s="250">
        <f>-G67</f>
        <v/>
      </c>
      <c r="H86" s="250">
        <f>-H67</f>
        <v/>
      </c>
      <c r="I86" s="250">
        <f>-I67</f>
        <v/>
      </c>
      <c r="J86" s="250">
        <f>-J67</f>
        <v/>
      </c>
      <c r="K86" s="250">
        <f>-K67</f>
        <v/>
      </c>
      <c r="L86" s="250">
        <f>-L67</f>
        <v/>
      </c>
      <c r="M86" s="250">
        <f>-M67</f>
        <v/>
      </c>
      <c r="N86" s="250">
        <f>-N67</f>
        <v/>
      </c>
      <c r="O86" s="250">
        <f>-O67</f>
        <v/>
      </c>
      <c r="P86" s="250">
        <f>-P67</f>
        <v/>
      </c>
      <c r="Q86" s="250">
        <f>-Q67</f>
        <v/>
      </c>
      <c r="R86" s="250">
        <f>-R67</f>
        <v/>
      </c>
      <c r="S86" s="250">
        <f>-S67</f>
        <v/>
      </c>
      <c r="T86" s="250">
        <f>-T67</f>
        <v/>
      </c>
      <c r="U86" s="250">
        <f>-U67</f>
        <v/>
      </c>
      <c r="V86" s="250">
        <f>-V67</f>
        <v/>
      </c>
      <c r="W86" s="250">
        <f>-W67</f>
        <v/>
      </c>
      <c r="X86" s="251" t="n"/>
      <c r="Y86" s="251" t="n"/>
    </row>
    <row r="87">
      <c r="B87" s="248" t="inlineStr">
        <is>
          <t>營運活動現金流量</t>
        </is>
      </c>
      <c r="C87" s="248" t="n"/>
      <c r="D87" s="252">
        <f>SUM(D85:D86)</f>
        <v/>
      </c>
      <c r="E87" s="252">
        <f>SUM(E85:E86)</f>
        <v/>
      </c>
      <c r="F87" s="252">
        <f>SUM(F85:F86)</f>
        <v/>
      </c>
      <c r="G87" s="252">
        <f>SUM(G85:G86)</f>
        <v/>
      </c>
      <c r="H87" s="252">
        <f>SUM(H85:H86)</f>
        <v/>
      </c>
      <c r="I87" s="252">
        <f>SUM(I85:I86)</f>
        <v/>
      </c>
      <c r="J87" s="252">
        <f>SUM(J85:J86)</f>
        <v/>
      </c>
      <c r="K87" s="252">
        <f>SUM(K85:K86)</f>
        <v/>
      </c>
      <c r="L87" s="252">
        <f>SUM(L85:L86)</f>
        <v/>
      </c>
      <c r="M87" s="252">
        <f>SUM(M85:M86)</f>
        <v/>
      </c>
      <c r="N87" s="252">
        <f>SUM(N85:N86)</f>
        <v/>
      </c>
      <c r="O87" s="252">
        <f>SUM(O85:O86)</f>
        <v/>
      </c>
      <c r="P87" s="252">
        <f>SUM(P85:P86)</f>
        <v/>
      </c>
      <c r="Q87" s="252">
        <f>SUM(Q85:Q86)</f>
        <v/>
      </c>
      <c r="R87" s="252">
        <f>SUM(R85:R86)</f>
        <v/>
      </c>
      <c r="S87" s="252">
        <f>SUM(S85:S86)</f>
        <v/>
      </c>
      <c r="T87" s="252">
        <f>SUM(T85:T86)</f>
        <v/>
      </c>
      <c r="U87" s="252">
        <f>SUM(U85:U86)</f>
        <v/>
      </c>
      <c r="V87" s="252">
        <f>SUM(V85:V86)</f>
        <v/>
      </c>
      <c r="W87" s="252">
        <f>SUM(W85:W86)</f>
        <v/>
      </c>
      <c r="X87" s="253" t="n"/>
    </row>
    <row r="88">
      <c r="B88" s="248" t="n"/>
      <c r="C88" s="248" t="n"/>
      <c r="D88" s="248" t="n"/>
      <c r="E88" s="248" t="n"/>
      <c r="F88" s="254" t="n"/>
      <c r="G88" s="254" t="n"/>
      <c r="H88" s="254" t="n"/>
      <c r="I88" s="254" t="n"/>
      <c r="J88" s="254" t="n"/>
      <c r="K88" s="254" t="n"/>
      <c r="L88" s="254" t="n"/>
      <c r="M88" s="254" t="n"/>
      <c r="N88" s="254" t="n"/>
      <c r="O88" s="254" t="n"/>
      <c r="P88" s="254" t="n"/>
      <c r="Q88" s="254" t="n"/>
      <c r="R88" s="254" t="n"/>
      <c r="S88" s="254" t="n"/>
      <c r="T88" s="254" t="n"/>
      <c r="U88" s="254" t="n"/>
      <c r="V88" s="254" t="n"/>
      <c r="W88" s="254" t="n"/>
      <c r="X88" s="255" t="n"/>
    </row>
    <row r="89">
      <c r="B89" s="256" t="inlineStr">
        <is>
          <t>投資活動-設備支出</t>
        </is>
      </c>
      <c r="C89" s="257" t="n"/>
      <c r="D89" s="258">
        <f>C44</f>
        <v/>
      </c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9" t="n"/>
    </row>
    <row r="90">
      <c r="B90" s="248" t="n"/>
      <c r="C90" s="248" t="n"/>
      <c r="D90" s="248" t="n"/>
      <c r="E90" s="248" t="n"/>
      <c r="F90" s="254" t="n"/>
      <c r="G90" s="254" t="n"/>
      <c r="H90" s="254" t="n"/>
      <c r="I90" s="254" t="n"/>
      <c r="J90" s="254" t="n"/>
      <c r="K90" s="254" t="n"/>
      <c r="L90" s="254" t="n"/>
      <c r="M90" s="254" t="n"/>
      <c r="N90" s="254" t="n"/>
      <c r="O90" s="254" t="n"/>
      <c r="P90" s="254" t="n"/>
      <c r="Q90" s="254" t="n"/>
      <c r="R90" s="254" t="n"/>
      <c r="S90" s="254" t="n"/>
      <c r="T90" s="254" t="n"/>
      <c r="U90" s="254" t="n"/>
      <c r="V90" s="254" t="n"/>
      <c r="W90" s="254" t="n"/>
      <c r="X90" s="255" t="n"/>
    </row>
    <row r="91">
      <c r="B91" s="248" t="n"/>
      <c r="C91" s="248" t="n"/>
      <c r="D91" s="248" t="n"/>
      <c r="E91" s="248" t="n"/>
      <c r="F91" s="254" t="n"/>
      <c r="G91" s="254" t="n"/>
      <c r="H91" s="254" t="n"/>
      <c r="I91" s="254" t="n"/>
      <c r="J91" s="254" t="n"/>
      <c r="K91" s="254" t="n"/>
      <c r="L91" s="254" t="n"/>
      <c r="M91" s="254" t="n"/>
      <c r="N91" s="254" t="n"/>
      <c r="O91" s="254" t="n"/>
      <c r="P91" s="254" t="n"/>
      <c r="Q91" s="254" t="n"/>
      <c r="R91" s="254" t="n"/>
      <c r="S91" s="254" t="n"/>
      <c r="T91" s="254" t="n"/>
      <c r="U91" s="254" t="n"/>
      <c r="V91" s="254" t="n"/>
      <c r="W91" s="254" t="n"/>
      <c r="X91" s="255" t="n"/>
    </row>
    <row r="92">
      <c r="B92" s="256" t="inlineStr">
        <is>
          <t>理財活動-借款</t>
        </is>
      </c>
      <c r="C92" s="257" t="n"/>
      <c r="D92" s="258">
        <f>-D89*D31</f>
        <v/>
      </c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5" t="n"/>
    </row>
    <row r="93">
      <c r="B93" s="248" t="inlineStr">
        <is>
          <t>理財活動-還款</t>
        </is>
      </c>
      <c r="C93" s="248" t="n"/>
      <c r="D93" s="260" t="n"/>
      <c r="E93" s="260" t="n">
        <v>-734309</v>
      </c>
      <c r="F93" s="260" t="n">
        <v>-734309</v>
      </c>
      <c r="G93" s="260" t="n">
        <v>-734309</v>
      </c>
      <c r="H93" s="260" t="n">
        <v>-734309</v>
      </c>
      <c r="I93" s="260" t="n">
        <v>-734309</v>
      </c>
      <c r="J93" s="260" t="n">
        <v>-734309</v>
      </c>
      <c r="K93" s="260" t="n">
        <v>-734309</v>
      </c>
      <c r="L93" s="260" t="n">
        <v>-734309</v>
      </c>
      <c r="M93" s="260" t="n">
        <v>-734309</v>
      </c>
      <c r="N93" s="260" t="n">
        <v>-734309</v>
      </c>
      <c r="O93" s="260" t="n">
        <v>-734309</v>
      </c>
      <c r="P93" s="260" t="n">
        <v>-734309</v>
      </c>
      <c r="Q93" s="260" t="n">
        <v>-734309</v>
      </c>
      <c r="R93" s="260" t="n">
        <v>-734309</v>
      </c>
      <c r="S93" s="260" t="n">
        <v>-734309</v>
      </c>
      <c r="T93" s="260" t="n">
        <v>0</v>
      </c>
      <c r="U93" s="260" t="n">
        <v>0</v>
      </c>
      <c r="V93" s="260" t="n">
        <v>0</v>
      </c>
      <c r="W93" s="260" t="n">
        <v>0</v>
      </c>
      <c r="X93" s="259" t="n"/>
    </row>
    <row r="94">
      <c r="B94" s="248" t="inlineStr">
        <is>
          <t>理財活動-現金增資</t>
        </is>
      </c>
      <c r="C94" s="254" t="n"/>
      <c r="D94" s="249">
        <f>-D89*(1-D31)</f>
        <v/>
      </c>
      <c r="E94" s="254" t="n"/>
      <c r="F94" s="254" t="n"/>
      <c r="G94" s="254" t="n"/>
      <c r="H94" s="254" t="n"/>
      <c r="I94" s="254" t="n"/>
      <c r="J94" s="254" t="n"/>
      <c r="K94" s="254" t="n"/>
      <c r="L94" s="254" t="n"/>
      <c r="M94" s="254" t="n"/>
      <c r="N94" s="254" t="n"/>
      <c r="O94" s="254" t="n"/>
      <c r="P94" s="254" t="n"/>
      <c r="Q94" s="254" t="n"/>
      <c r="R94" s="254" t="n"/>
      <c r="S94" s="254" t="n"/>
      <c r="T94" s="254" t="n"/>
      <c r="U94" s="254" t="n"/>
      <c r="V94" s="254" t="n"/>
      <c r="W94" s="254" t="n"/>
      <c r="X94" s="253" t="n"/>
    </row>
    <row r="95">
      <c r="B95" s="248" t="inlineStr">
        <is>
          <t>現金股利</t>
        </is>
      </c>
      <c r="C95" s="254" t="n"/>
      <c r="D95" s="254" t="n"/>
      <c r="E95" s="261">
        <f>-D85*$D$33</f>
        <v/>
      </c>
      <c r="F95" s="261">
        <f>-E85*$D$33</f>
        <v/>
      </c>
      <c r="G95" s="261">
        <f>-F85*$D$33</f>
        <v/>
      </c>
      <c r="H95" s="261">
        <f>-G85*$D$33</f>
        <v/>
      </c>
      <c r="I95" s="261">
        <f>-H85*$D$33</f>
        <v/>
      </c>
      <c r="J95" s="261">
        <f>-I85*$D$33</f>
        <v/>
      </c>
      <c r="K95" s="261">
        <f>-J85*$D$33</f>
        <v/>
      </c>
      <c r="L95" s="261">
        <f>-K85*$D$33</f>
        <v/>
      </c>
      <c r="M95" s="261">
        <f>-L85*$D$33</f>
        <v/>
      </c>
      <c r="N95" s="261">
        <f>-M85*$D$33</f>
        <v/>
      </c>
      <c r="O95" s="261">
        <f>-N85*$D$33</f>
        <v/>
      </c>
      <c r="P95" s="261">
        <f>-O85*$D$33</f>
        <v/>
      </c>
      <c r="Q95" s="261">
        <f>-P85*$D$33</f>
        <v/>
      </c>
      <c r="R95" s="261">
        <f>-Q85*$D$33</f>
        <v/>
      </c>
      <c r="S95" s="261">
        <f>-R85*$D$33</f>
        <v/>
      </c>
      <c r="T95" s="261">
        <f>-S85*$D$33</f>
        <v/>
      </c>
      <c r="U95" s="261">
        <f>-T85*$D$33</f>
        <v/>
      </c>
      <c r="V95" s="261">
        <f>-U85*$D$33</f>
        <v/>
      </c>
      <c r="W95" s="261">
        <f>-V85*$D$33</f>
        <v/>
      </c>
      <c r="X95" s="261">
        <f>-W85*$D$33</f>
        <v/>
      </c>
    </row>
    <row r="96">
      <c r="B96" s="262" t="inlineStr">
        <is>
          <t>年底減資</t>
        </is>
      </c>
      <c r="C96" s="263" t="n"/>
      <c r="D96" s="263" t="n">
        <v>0</v>
      </c>
      <c r="E96" s="264" t="n">
        <v>0</v>
      </c>
      <c r="F96" s="264" t="n">
        <v>0</v>
      </c>
      <c r="G96" s="264" t="n">
        <v>0</v>
      </c>
      <c r="H96" s="264" t="n">
        <v>0</v>
      </c>
      <c r="I96" s="264" t="n">
        <v>0</v>
      </c>
      <c r="J96" s="264" t="n">
        <v>0</v>
      </c>
      <c r="K96" s="264" t="n">
        <v>0</v>
      </c>
      <c r="L96" s="264" t="n">
        <v>0</v>
      </c>
      <c r="M96" s="264" t="n">
        <v>0</v>
      </c>
      <c r="N96" s="264" t="n">
        <v>0</v>
      </c>
      <c r="O96" s="264" t="n">
        <v>0</v>
      </c>
      <c r="P96" s="264" t="n">
        <v>0</v>
      </c>
      <c r="Q96" s="264" t="n">
        <v>0</v>
      </c>
      <c r="R96" s="264" t="n">
        <v>0</v>
      </c>
      <c r="S96" s="264" t="n">
        <v>0</v>
      </c>
      <c r="T96" s="264" t="n">
        <v>-688415</v>
      </c>
      <c r="U96" s="264" t="n">
        <v>-688415</v>
      </c>
      <c r="V96" s="264" t="n">
        <v>-688415</v>
      </c>
      <c r="W96" s="264" t="n">
        <v>-688415</v>
      </c>
      <c r="X96" s="265">
        <f>-W101-X95</f>
        <v/>
      </c>
    </row>
    <row r="97">
      <c r="B97" s="254" t="n"/>
      <c r="C97" s="254" t="n"/>
      <c r="D97" s="254" t="n"/>
      <c r="E97" s="254" t="n"/>
      <c r="F97" s="254" t="n"/>
      <c r="G97" s="254" t="n"/>
      <c r="H97" s="254" t="n"/>
      <c r="I97" s="254" t="n"/>
      <c r="J97" s="254" t="n"/>
      <c r="K97" s="254" t="n"/>
      <c r="L97" s="254" t="n"/>
      <c r="M97" s="254" t="n"/>
      <c r="N97" s="254" t="n"/>
      <c r="O97" s="254" t="n"/>
      <c r="P97" s="254" t="n"/>
      <c r="Q97" s="254" t="n"/>
      <c r="R97" s="254" t="n"/>
      <c r="S97" s="254" t="n"/>
      <c r="T97" s="254" t="n"/>
      <c r="U97" s="254" t="n"/>
      <c r="V97" s="254" t="n"/>
      <c r="W97" s="254" t="n"/>
      <c r="X97" s="253" t="n"/>
    </row>
    <row r="98">
      <c r="B98" s="254" t="n"/>
      <c r="C98" s="254" t="n"/>
      <c r="D98" s="254" t="n"/>
      <c r="E98" s="254" t="n"/>
      <c r="F98" s="254" t="n"/>
      <c r="G98" s="254" t="n"/>
      <c r="H98" s="254" t="n"/>
      <c r="I98" s="254" t="n"/>
      <c r="J98" s="254" t="n"/>
      <c r="K98" s="254" t="n"/>
      <c r="L98" s="254" t="n"/>
      <c r="M98" s="254" t="n"/>
      <c r="N98" s="254" t="n"/>
      <c r="O98" s="254" t="n"/>
      <c r="P98" s="254" t="n"/>
      <c r="Q98" s="254" t="n"/>
      <c r="R98" s="254" t="n"/>
      <c r="S98" s="254" t="n"/>
      <c r="T98" s="254" t="n"/>
      <c r="U98" s="254" t="n"/>
      <c r="V98" s="254" t="n"/>
      <c r="W98" s="254" t="n"/>
      <c r="X98" s="253" t="n"/>
    </row>
    <row r="99">
      <c r="B99" s="248" t="inlineStr">
        <is>
          <t>現金淨流入(出 )</t>
        </is>
      </c>
      <c r="C99" s="249" t="n">
        <v>0</v>
      </c>
      <c r="D99" s="249">
        <f>SUM(D87:D96)</f>
        <v/>
      </c>
      <c r="E99" s="249">
        <f>SUM(E87:E96)</f>
        <v/>
      </c>
      <c r="F99" s="249">
        <f>SUM(F87:F96)</f>
        <v/>
      </c>
      <c r="G99" s="249">
        <f>SUM(G87:G96)</f>
        <v/>
      </c>
      <c r="H99" s="249">
        <f>SUM(H87:H96)</f>
        <v/>
      </c>
      <c r="I99" s="249">
        <f>SUM(I87:I96)</f>
        <v/>
      </c>
      <c r="J99" s="249">
        <f>SUM(J87:J96)</f>
        <v/>
      </c>
      <c r="K99" s="249">
        <f>SUM(K87:K96)</f>
        <v/>
      </c>
      <c r="L99" s="249">
        <f>SUM(L87:L96)</f>
        <v/>
      </c>
      <c r="M99" s="249">
        <f>SUM(M87:M96)</f>
        <v/>
      </c>
      <c r="N99" s="249">
        <f>SUM(N87:N96)</f>
        <v/>
      </c>
      <c r="O99" s="249">
        <f>SUM(O87:O96)</f>
        <v/>
      </c>
      <c r="P99" s="249">
        <f>SUM(P87:P96)</f>
        <v/>
      </c>
      <c r="Q99" s="249">
        <f>SUM(Q87:Q96)</f>
        <v/>
      </c>
      <c r="R99" s="249">
        <f>SUM(R87:R96)</f>
        <v/>
      </c>
      <c r="S99" s="249">
        <f>SUM(S87:S96)</f>
        <v/>
      </c>
      <c r="T99" s="249">
        <f>SUM(T87:T96)</f>
        <v/>
      </c>
      <c r="U99" s="249">
        <f>SUM(U87:U96)</f>
        <v/>
      </c>
      <c r="V99" s="249">
        <f>SUM(V87:V96)</f>
        <v/>
      </c>
      <c r="W99" s="249">
        <f>SUM(W87:W96)</f>
        <v/>
      </c>
      <c r="X99" s="253" t="n"/>
    </row>
    <row r="100">
      <c r="B100" s="248" t="inlineStr">
        <is>
          <t>期初淨現金</t>
        </is>
      </c>
      <c r="C100" s="249" t="n">
        <v>0</v>
      </c>
      <c r="D100" s="249">
        <f>C101</f>
        <v/>
      </c>
      <c r="E100" s="249">
        <f>D101</f>
        <v/>
      </c>
      <c r="F100" s="249">
        <f>E101</f>
        <v/>
      </c>
      <c r="G100" s="249">
        <f>F101</f>
        <v/>
      </c>
      <c r="H100" s="249">
        <f>G101</f>
        <v/>
      </c>
      <c r="I100" s="249">
        <f>H101</f>
        <v/>
      </c>
      <c r="J100" s="249">
        <f>I101</f>
        <v/>
      </c>
      <c r="K100" s="249">
        <f>J101</f>
        <v/>
      </c>
      <c r="L100" s="249">
        <f>K101</f>
        <v/>
      </c>
      <c r="M100" s="249">
        <f>L101</f>
        <v/>
      </c>
      <c r="N100" s="249">
        <f>M101</f>
        <v/>
      </c>
      <c r="O100" s="249">
        <f>N101</f>
        <v/>
      </c>
      <c r="P100" s="249">
        <f>O101</f>
        <v/>
      </c>
      <c r="Q100" s="249">
        <f>P101</f>
        <v/>
      </c>
      <c r="R100" s="249">
        <f>Q101</f>
        <v/>
      </c>
      <c r="S100" s="249">
        <f>R101</f>
        <v/>
      </c>
      <c r="T100" s="249">
        <f>S101</f>
        <v/>
      </c>
      <c r="U100" s="249">
        <f>T101</f>
        <v/>
      </c>
      <c r="V100" s="249">
        <f>U101</f>
        <v/>
      </c>
      <c r="W100" s="249">
        <f>V101</f>
        <v/>
      </c>
      <c r="X100" s="255" t="n"/>
    </row>
    <row r="101">
      <c r="B101" s="248" t="inlineStr">
        <is>
          <t>期未淨現金</t>
        </is>
      </c>
      <c r="C101" s="249" t="n">
        <v>0</v>
      </c>
      <c r="D101" s="249">
        <f>D99+D100</f>
        <v/>
      </c>
      <c r="E101" s="249">
        <f>E99+E100</f>
        <v/>
      </c>
      <c r="F101" s="249">
        <f>F99+F100</f>
        <v/>
      </c>
      <c r="G101" s="249">
        <f>G99+G100</f>
        <v/>
      </c>
      <c r="H101" s="249">
        <f>H99+H100</f>
        <v/>
      </c>
      <c r="I101" s="249">
        <f>I99+I100</f>
        <v/>
      </c>
      <c r="J101" s="249">
        <f>J99+J100</f>
        <v/>
      </c>
      <c r="K101" s="249">
        <f>K99+K100</f>
        <v/>
      </c>
      <c r="L101" s="249">
        <f>L99+L100</f>
        <v/>
      </c>
      <c r="M101" s="249">
        <f>M99+M100</f>
        <v/>
      </c>
      <c r="N101" s="249">
        <f>N99+N100</f>
        <v/>
      </c>
      <c r="O101" s="249">
        <f>O99+O100</f>
        <v/>
      </c>
      <c r="P101" s="249">
        <f>P99+P100</f>
        <v/>
      </c>
      <c r="Q101" s="249">
        <f>Q99+Q100</f>
        <v/>
      </c>
      <c r="R101" s="249">
        <f>R99+R100</f>
        <v/>
      </c>
      <c r="S101" s="249">
        <f>S99+S100</f>
        <v/>
      </c>
      <c r="T101" s="249">
        <f>T99+T100</f>
        <v/>
      </c>
      <c r="U101" s="249">
        <f>U99+U100</f>
        <v/>
      </c>
      <c r="V101" s="249">
        <f>V99+V100</f>
        <v/>
      </c>
      <c r="W101" s="249">
        <f>W99+W100</f>
        <v/>
      </c>
      <c r="X101" s="255" t="n"/>
    </row>
    <row r="102">
      <c r="B102" s="248" t="n"/>
      <c r="C102" s="248" t="n"/>
      <c r="D102" s="248" t="n"/>
      <c r="E102" s="248" t="n"/>
      <c r="F102" s="248" t="n"/>
      <c r="G102" s="248" t="n"/>
      <c r="H102" s="248" t="n"/>
      <c r="I102" s="248" t="n"/>
      <c r="J102" s="248" t="n"/>
      <c r="K102" s="248" t="n"/>
      <c r="L102" s="248" t="n"/>
      <c r="M102" s="248" t="n"/>
      <c r="N102" s="248" t="n"/>
      <c r="O102" s="248" t="n"/>
      <c r="P102" s="248" t="n"/>
      <c r="Q102" s="248" t="n"/>
      <c r="R102" s="248" t="n"/>
      <c r="S102" s="248" t="n"/>
      <c r="T102" s="248" t="n"/>
      <c r="U102" s="248" t="n"/>
      <c r="V102" s="248" t="n"/>
      <c r="W102" s="248" t="n"/>
      <c r="X102" s="248" t="n"/>
    </row>
    <row r="103">
      <c r="B103" s="248" t="n"/>
      <c r="C103" s="248" t="n"/>
      <c r="D103" s="248" t="n"/>
      <c r="E103" s="248" t="n"/>
      <c r="F103" s="254" t="n"/>
      <c r="G103" s="248" t="n"/>
      <c r="H103" s="248" t="n"/>
      <c r="I103" s="248" t="n"/>
      <c r="J103" s="248" t="n"/>
      <c r="K103" s="248" t="n"/>
      <c r="L103" s="248" t="n"/>
      <c r="M103" s="248" t="n"/>
      <c r="N103" s="248" t="n"/>
      <c r="O103" s="248" t="n"/>
      <c r="P103" s="248" t="n"/>
      <c r="Q103" s="248" t="n"/>
      <c r="R103" s="248" t="n"/>
      <c r="S103" s="248" t="n"/>
      <c r="T103" s="248" t="n"/>
      <c r="U103" s="248" t="n"/>
      <c r="V103" s="248" t="n"/>
      <c r="W103" s="248" t="n"/>
      <c r="X103" s="248" t="n"/>
    </row>
    <row r="104">
      <c r="B104" s="266" t="inlineStr">
        <is>
          <t>成本法實際現金流</t>
        </is>
      </c>
      <c r="C104" s="267" t="n"/>
      <c r="D104" s="268">
        <f>-D94</f>
        <v/>
      </c>
      <c r="E104" s="252">
        <f>-E95-E96</f>
        <v/>
      </c>
      <c r="F104" s="252">
        <f>-F95-F96</f>
        <v/>
      </c>
      <c r="G104" s="252">
        <f>-G95-G96</f>
        <v/>
      </c>
      <c r="H104" s="252">
        <f>-H95-H96</f>
        <v/>
      </c>
      <c r="I104" s="252">
        <f>-I95-I96</f>
        <v/>
      </c>
      <c r="J104" s="252">
        <f>-J95-J96</f>
        <v/>
      </c>
      <c r="K104" s="252">
        <f>-K95-K96</f>
        <v/>
      </c>
      <c r="L104" s="252">
        <f>-L95-L96</f>
        <v/>
      </c>
      <c r="M104" s="252">
        <f>-M95-M96</f>
        <v/>
      </c>
      <c r="N104" s="252">
        <f>-N95-N96</f>
        <v/>
      </c>
      <c r="O104" s="252">
        <f>-O95-O96</f>
        <v/>
      </c>
      <c r="P104" s="252">
        <f>-P95-P96</f>
        <v/>
      </c>
      <c r="Q104" s="252">
        <f>-Q95-Q96</f>
        <v/>
      </c>
      <c r="R104" s="252">
        <f>-R95-R96</f>
        <v/>
      </c>
      <c r="S104" s="252">
        <f>-S95-S96</f>
        <v/>
      </c>
      <c r="T104" s="252">
        <f>-T95-T96</f>
        <v/>
      </c>
      <c r="U104" s="252">
        <f>-U95-U96</f>
        <v/>
      </c>
      <c r="V104" s="252">
        <f>-V95-V96</f>
        <v/>
      </c>
      <c r="W104" s="252">
        <f>-W95-W96</f>
        <v/>
      </c>
      <c r="X104" s="252">
        <f>-X95-X96</f>
        <v/>
      </c>
    </row>
    <row r="105">
      <c r="B105" s="248" t="inlineStr">
        <is>
          <t>成本法IRR</t>
        </is>
      </c>
      <c r="C105" s="269">
        <f>IRR(D104:X104)</f>
        <v/>
      </c>
      <c r="D105" s="254" t="n"/>
      <c r="E105" s="254" t="n"/>
      <c r="F105" s="248" t="n"/>
      <c r="G105" s="248" t="n"/>
      <c r="H105" s="248" t="n"/>
      <c r="I105" s="248" t="n"/>
      <c r="J105" s="248" t="n"/>
      <c r="K105" s="248" t="n"/>
      <c r="L105" s="248" t="n"/>
      <c r="M105" s="248" t="n"/>
      <c r="N105" s="248" t="n"/>
      <c r="O105" s="248" t="n"/>
      <c r="P105" s="248" t="n"/>
      <c r="Q105" s="248" t="n"/>
      <c r="R105" s="248" t="n"/>
      <c r="S105" s="248" t="n"/>
      <c r="T105" s="248" t="n"/>
      <c r="U105" s="248" t="n"/>
      <c r="V105" s="248" t="n"/>
      <c r="W105" s="248" t="n"/>
      <c r="X105" s="248" t="n"/>
    </row>
    <row r="106">
      <c r="B106" s="266" t="inlineStr">
        <is>
          <t>權益法實際現金流</t>
        </is>
      </c>
      <c r="C106" s="267" t="n"/>
      <c r="D106" s="268">
        <f>D85-D94</f>
        <v/>
      </c>
      <c r="E106" s="252">
        <f>E85</f>
        <v/>
      </c>
      <c r="F106" s="252">
        <f>F85-F96</f>
        <v/>
      </c>
      <c r="G106" s="252">
        <f>G85-G96</f>
        <v/>
      </c>
      <c r="H106" s="252">
        <f>H85-H96</f>
        <v/>
      </c>
      <c r="I106" s="252">
        <f>I85-I96</f>
        <v/>
      </c>
      <c r="J106" s="252">
        <f>J85-J96</f>
        <v/>
      </c>
      <c r="K106" s="252">
        <f>K85-K96</f>
        <v/>
      </c>
      <c r="L106" s="252">
        <f>L85-L96</f>
        <v/>
      </c>
      <c r="M106" s="252">
        <f>M85-M96</f>
        <v/>
      </c>
      <c r="N106" s="252">
        <f>N85-N96</f>
        <v/>
      </c>
      <c r="O106" s="252">
        <f>O85-O96</f>
        <v/>
      </c>
      <c r="P106" s="252">
        <f>P85-P96</f>
        <v/>
      </c>
      <c r="Q106" s="252">
        <f>Q85-Q96</f>
        <v/>
      </c>
      <c r="R106" s="252">
        <f>R85-R96</f>
        <v/>
      </c>
      <c r="S106" s="252">
        <f>S85-S96</f>
        <v/>
      </c>
      <c r="T106" s="252">
        <f>T85-T96</f>
        <v/>
      </c>
      <c r="U106" s="252">
        <f>U85-U96</f>
        <v/>
      </c>
      <c r="V106" s="252">
        <f>V85-V96</f>
        <v/>
      </c>
      <c r="W106" s="252">
        <f>W85-W96</f>
        <v/>
      </c>
      <c r="X106" s="259" t="n"/>
    </row>
    <row r="107">
      <c r="B107" s="266" t="inlineStr">
        <is>
          <t>權益法IRR</t>
        </is>
      </c>
      <c r="C107" s="270">
        <f>IRR(D106:W106)</f>
        <v/>
      </c>
      <c r="D107" s="254" t="n"/>
      <c r="E107" s="254" t="n"/>
      <c r="F107" s="248" t="n"/>
      <c r="G107" s="248" t="n"/>
      <c r="H107" s="248" t="n"/>
      <c r="I107" s="248" t="n"/>
      <c r="J107" s="248" t="n"/>
      <c r="K107" s="248" t="n"/>
      <c r="L107" s="248" t="n"/>
      <c r="M107" s="248" t="n"/>
      <c r="N107" s="248" t="n"/>
      <c r="O107" s="248" t="n"/>
      <c r="P107" s="248" t="n"/>
      <c r="Q107" s="248" t="n"/>
      <c r="R107" s="248" t="n"/>
      <c r="S107" s="248" t="n"/>
      <c r="T107" s="248" t="n"/>
      <c r="U107" s="248" t="n"/>
      <c r="V107" s="248" t="n"/>
      <c r="W107" s="248" t="n"/>
      <c r="X107" s="248" t="n"/>
    </row>
    <row r="108">
      <c r="B108" s="248" t="n"/>
      <c r="C108" s="248" t="n"/>
      <c r="D108" s="248" t="n"/>
      <c r="E108" s="248" t="n"/>
      <c r="F108" s="248" t="n"/>
      <c r="G108" s="248" t="n"/>
      <c r="H108" s="248" t="n"/>
      <c r="I108" s="248" t="n"/>
      <c r="J108" s="248" t="n"/>
      <c r="K108" s="248" t="n"/>
      <c r="L108" s="248" t="n"/>
      <c r="M108" s="248" t="n"/>
      <c r="N108" s="248" t="n"/>
      <c r="O108" s="248" t="n"/>
      <c r="P108" s="248" t="n"/>
      <c r="Q108" s="248" t="n"/>
      <c r="R108" s="248" t="n"/>
      <c r="S108" s="248" t="n"/>
      <c r="T108" s="248" t="n"/>
      <c r="U108" s="248" t="n"/>
      <c r="V108" s="248" t="n"/>
      <c r="W108" s="248" t="n"/>
      <c r="X108" s="248" t="n"/>
    </row>
    <row r="109">
      <c r="B109" s="248" t="inlineStr">
        <is>
          <t>借款餘額</t>
        </is>
      </c>
      <c r="C109" s="249" t="n">
        <v>0</v>
      </c>
      <c r="D109" s="249">
        <f>D92</f>
        <v/>
      </c>
      <c r="E109" s="249">
        <f>D109+E93</f>
        <v/>
      </c>
      <c r="F109" s="249">
        <f>E109+F93</f>
        <v/>
      </c>
      <c r="G109" s="249">
        <f>F109+G93</f>
        <v/>
      </c>
      <c r="H109" s="249">
        <f>G109+H93</f>
        <v/>
      </c>
      <c r="I109" s="249">
        <f>H109+I93</f>
        <v/>
      </c>
      <c r="J109" s="249">
        <f>I109+J93</f>
        <v/>
      </c>
      <c r="K109" s="249">
        <f>J109+K93</f>
        <v/>
      </c>
      <c r="L109" s="249">
        <f>K109+L93</f>
        <v/>
      </c>
      <c r="M109" s="249">
        <f>L109+M93</f>
        <v/>
      </c>
      <c r="N109" s="249">
        <f>M109+N93</f>
        <v/>
      </c>
      <c r="O109" s="249">
        <f>N109+O93</f>
        <v/>
      </c>
      <c r="P109" s="249">
        <f>O109+P93</f>
        <v/>
      </c>
      <c r="Q109" s="249">
        <f>P109+Q93</f>
        <v/>
      </c>
      <c r="R109" s="249">
        <f>Q109+R93</f>
        <v/>
      </c>
      <c r="S109" s="249">
        <f>R109+S93</f>
        <v/>
      </c>
      <c r="T109" s="249">
        <f>S109+T93</f>
        <v/>
      </c>
      <c r="U109" s="249">
        <f>T109+U93</f>
        <v/>
      </c>
      <c r="V109" s="249">
        <f>U109+V93</f>
        <v/>
      </c>
      <c r="W109" s="249">
        <f>V109+W93</f>
        <v/>
      </c>
      <c r="X109" s="254" t="n"/>
    </row>
    <row r="111">
      <c r="B111" s="271" t="n"/>
    </row>
    <row r="112" ht="16.5" customHeight="1">
      <c r="G112" s="272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AJ8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10" customWidth="1" min="25" max="25"/>
    <col width="10" customWidth="1" min="26" max="26"/>
    <col width="10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  <c r="P1" s="280">
        <f>1-D11</f>
        <v/>
      </c>
      <c r="Q1" s="280">
        <f>P1-$D12</f>
        <v/>
      </c>
      <c r="R1" s="280">
        <f>Q1-$D12</f>
        <v/>
      </c>
      <c r="S1" s="280">
        <f>R1-$D12</f>
        <v/>
      </c>
      <c r="T1" s="280">
        <f>S1-$D12</f>
        <v/>
      </c>
      <c r="U1" s="280">
        <f>T1-$D12</f>
        <v/>
      </c>
      <c r="V1" s="280">
        <f>U1-$D12</f>
        <v/>
      </c>
      <c r="W1" s="280">
        <f>V1-$D12</f>
        <v/>
      </c>
      <c r="X1" s="280">
        <f>W1-$D12</f>
        <v/>
      </c>
      <c r="Y1" s="280">
        <f>X1-$D12</f>
        <v/>
      </c>
      <c r="Z1" s="280">
        <f>Y1-$D12</f>
        <v/>
      </c>
      <c r="AA1" s="280">
        <f>Z1-$D12</f>
        <v/>
      </c>
      <c r="AB1" s="280">
        <f>AA1-$D12</f>
        <v/>
      </c>
      <c r="AC1" s="280">
        <f>AB1-$D12</f>
        <v/>
      </c>
      <c r="AD1" s="280">
        <f>AC1-$D12</f>
        <v/>
      </c>
      <c r="AE1" s="280">
        <f>AD1-$D12</f>
        <v/>
      </c>
      <c r="AF1" s="280">
        <f>AE1-$D12</f>
        <v/>
      </c>
      <c r="AG1" s="280">
        <f>AF1-$D12</f>
        <v/>
      </c>
      <c r="AH1" s="280">
        <f>AG1-$D12</f>
        <v/>
      </c>
      <c r="AI1" s="280">
        <f>AH1-$D12</f>
        <v/>
      </c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2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34000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1.78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1.99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34000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$D$10*P1</f>
        <v/>
      </c>
      <c r="E40" s="194">
        <f>$D$10*Q1</f>
        <v/>
      </c>
      <c r="F40" s="194">
        <f>$D$10*R1</f>
        <v/>
      </c>
      <c r="G40" s="194">
        <f>$D$10*S1</f>
        <v/>
      </c>
      <c r="H40" s="194">
        <f>$D$10*T1</f>
        <v/>
      </c>
      <c r="I40" s="194">
        <f>$D$10*U1</f>
        <v/>
      </c>
      <c r="J40" s="194">
        <f>$D$10*V1</f>
        <v/>
      </c>
      <c r="K40" s="194">
        <f>$D$10*W1</f>
        <v/>
      </c>
      <c r="L40" s="194">
        <f>$D$10*X1</f>
        <v/>
      </c>
      <c r="M40" s="194">
        <f>$D$10*Y1</f>
        <v/>
      </c>
      <c r="N40" s="194">
        <f>$D$10*Z1</f>
        <v/>
      </c>
      <c r="O40" s="194">
        <f>$D$10*AA1</f>
        <v/>
      </c>
      <c r="P40" s="194">
        <f>$D$10*AB1</f>
        <v/>
      </c>
      <c r="Q40" s="194">
        <f>$D$10*AC1</f>
        <v/>
      </c>
      <c r="R40" s="194">
        <f>$D$10*AD1</f>
        <v/>
      </c>
      <c r="S40" s="194">
        <f>$D$10*AE1</f>
        <v/>
      </c>
      <c r="T40" s="194">
        <f>$D$10*AF1</f>
        <v/>
      </c>
      <c r="U40" s="194">
        <f>$D$10*AG1</f>
        <v/>
      </c>
      <c r="V40" s="194">
        <f>$D$10*AH1</f>
        <v/>
      </c>
      <c r="W40" s="194">
        <f>$D$10*AI1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-44482.2</v>
      </c>
      <c r="E49" s="210" t="n">
        <v>-44482.2</v>
      </c>
      <c r="F49" s="210" t="n">
        <v>-44482.2</v>
      </c>
      <c r="G49" s="210" t="n">
        <v>-44482.2</v>
      </c>
      <c r="H49" s="210" t="n">
        <v>-44482.2</v>
      </c>
      <c r="I49" s="210" t="n">
        <v>-44482.2</v>
      </c>
      <c r="J49" s="210" t="n">
        <v>-44482.2</v>
      </c>
      <c r="K49" s="210" t="n">
        <v>-44482.2</v>
      </c>
      <c r="L49" s="210" t="n">
        <v>-44482.2</v>
      </c>
      <c r="M49" s="210" t="n">
        <v>-44482.2</v>
      </c>
      <c r="N49" s="210" t="n">
        <v>-44482.2</v>
      </c>
      <c r="O49" s="210" t="n">
        <v>-44482.2</v>
      </c>
      <c r="P49" s="210" t="n">
        <v>-44482.2</v>
      </c>
      <c r="Q49" s="210" t="n">
        <v>-44482.2</v>
      </c>
      <c r="R49" s="210" t="n">
        <v>-44482.2</v>
      </c>
      <c r="S49" s="210" t="n">
        <v>-44482.2</v>
      </c>
      <c r="T49" s="210" t="n">
        <v>-44482.2</v>
      </c>
      <c r="U49" s="210" t="n">
        <v>-44482.2</v>
      </c>
      <c r="V49" s="210" t="n">
        <v>-44482.2</v>
      </c>
      <c r="W49" s="210" t="n">
        <v>-44482.2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D77</f>
        <v/>
      </c>
      <c r="E54" s="210">
        <f>E77</f>
        <v/>
      </c>
      <c r="F54" s="210">
        <f>F77</f>
        <v/>
      </c>
      <c r="G54" s="210">
        <f>G77</f>
        <v/>
      </c>
      <c r="H54" s="210">
        <f>H77</f>
        <v/>
      </c>
      <c r="I54" s="210">
        <f>I77</f>
        <v/>
      </c>
      <c r="J54" s="210">
        <f>J77</f>
        <v/>
      </c>
      <c r="K54" s="210">
        <f>K77</f>
        <v/>
      </c>
      <c r="L54" s="210">
        <f>L77</f>
        <v/>
      </c>
      <c r="M54" s="210">
        <f>M77</f>
        <v/>
      </c>
      <c r="N54" s="210">
        <f>N77</f>
        <v/>
      </c>
      <c r="O54" s="210">
        <f>O77</f>
        <v/>
      </c>
      <c r="P54" s="210">
        <f>P77</f>
        <v/>
      </c>
      <c r="Q54" s="210">
        <f>Q77</f>
        <v/>
      </c>
      <c r="R54" s="210">
        <f>R77</f>
        <v/>
      </c>
      <c r="S54" s="210">
        <f>S77</f>
        <v/>
      </c>
      <c r="T54" s="210">
        <f>T77</f>
        <v/>
      </c>
      <c r="U54" s="210">
        <f>U77</f>
        <v/>
      </c>
      <c r="V54" s="210">
        <f>V77</f>
        <v/>
      </c>
      <c r="W54" s="210">
        <f>W77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D56+E55</f>
        <v/>
      </c>
      <c r="F56" s="220">
        <f>E56+F55</f>
        <v/>
      </c>
      <c r="G56" s="220">
        <f>F56+G55</f>
        <v/>
      </c>
      <c r="H56" s="220">
        <f>G56+H55</f>
        <v/>
      </c>
      <c r="I56" s="220">
        <f>H56+I55</f>
        <v/>
      </c>
      <c r="J56" s="220">
        <f>I56+J55</f>
        <v/>
      </c>
      <c r="K56" s="220">
        <f>J56+K55</f>
        <v/>
      </c>
      <c r="L56" s="220">
        <f>K56+L55</f>
        <v/>
      </c>
      <c r="M56" s="220">
        <f>L56+M55</f>
        <v/>
      </c>
      <c r="N56" s="220">
        <f>M56+N55</f>
        <v/>
      </c>
      <c r="O56" s="220">
        <f>N56+O55</f>
        <v/>
      </c>
      <c r="P56" s="220">
        <f>O56+P55</f>
        <v/>
      </c>
      <c r="Q56" s="220">
        <f>P56+Q55</f>
        <v/>
      </c>
      <c r="R56" s="220">
        <f>Q56+R55</f>
        <v/>
      </c>
      <c r="S56" s="220">
        <f>R56+S55</f>
        <v/>
      </c>
      <c r="T56" s="220">
        <f>S56+T55</f>
        <v/>
      </c>
      <c r="U56" s="220">
        <f>T56+U55</f>
        <v/>
      </c>
      <c r="V56" s="220">
        <f>U56+V55</f>
        <v/>
      </c>
      <c r="W56" s="220">
        <f>V56+W55</f>
        <v/>
      </c>
      <c r="X56" s="220">
        <f>W56+X55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0</v>
      </c>
      <c r="E70" s="210" t="n">
        <v>0</v>
      </c>
      <c r="F70" s="210" t="n">
        <v>0</v>
      </c>
      <c r="G70" s="210" t="n">
        <v>0</v>
      </c>
      <c r="H70" s="210" t="n">
        <v>0</v>
      </c>
      <c r="I70" s="210" t="n">
        <v>0</v>
      </c>
      <c r="J70" s="210" t="n">
        <v>0</v>
      </c>
      <c r="K70" s="210" t="n">
        <v>0</v>
      </c>
      <c r="L70" s="210" t="n">
        <v>0</v>
      </c>
      <c r="M70" s="210" t="n">
        <v>0</v>
      </c>
      <c r="N70" s="210" t="n">
        <v>0</v>
      </c>
      <c r="O70" s="210" t="n">
        <v>0</v>
      </c>
      <c r="P70" s="210" t="n">
        <v>0</v>
      </c>
      <c r="Q70" s="210" t="n">
        <v>0</v>
      </c>
      <c r="R70" s="210" t="n">
        <v>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AJ8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10" customWidth="1" min="25" max="25"/>
    <col width="10" customWidth="1" min="26" max="26"/>
    <col width="10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  <c r="P1" s="280">
        <f>1-D11</f>
        <v/>
      </c>
      <c r="Q1" s="280">
        <f>P1-$D12</f>
        <v/>
      </c>
      <c r="R1" s="280">
        <f>Q1-$D12</f>
        <v/>
      </c>
      <c r="S1" s="280">
        <f>R1-$D12</f>
        <v/>
      </c>
      <c r="T1" s="280">
        <f>S1-$D12</f>
        <v/>
      </c>
      <c r="U1" s="280">
        <f>T1-$D12</f>
        <v/>
      </c>
      <c r="V1" s="280">
        <f>U1-$D12</f>
        <v/>
      </c>
      <c r="W1" s="280">
        <f>V1-$D12</f>
        <v/>
      </c>
      <c r="X1" s="280">
        <f>W1-$D12</f>
        <v/>
      </c>
      <c r="Y1" s="280">
        <f>X1-$D12</f>
        <v/>
      </c>
      <c r="Z1" s="280">
        <f>Y1-$D12</f>
        <v/>
      </c>
      <c r="AA1" s="280">
        <f>Z1-$D12</f>
        <v/>
      </c>
      <c r="AB1" s="280">
        <f>AA1-$D12</f>
        <v/>
      </c>
      <c r="AC1" s="280">
        <f>AB1-$D12</f>
        <v/>
      </c>
      <c r="AD1" s="280">
        <f>AC1-$D12</f>
        <v/>
      </c>
      <c r="AE1" s="280">
        <f>AD1-$D12</f>
        <v/>
      </c>
      <c r="AF1" s="280">
        <f>AE1-$D12</f>
        <v/>
      </c>
      <c r="AG1" s="280">
        <f>AF1-$D12</f>
        <v/>
      </c>
      <c r="AH1" s="280">
        <f>AG1-$D12</f>
        <v/>
      </c>
      <c r="AI1" s="280">
        <f>AH1-$D12</f>
        <v/>
      </c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3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第2次滾算摘要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33000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2.03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2.75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第2次滾算，減少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33000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$D$10*P1</f>
        <v/>
      </c>
      <c r="E40" s="194">
        <f>$D$10*Q1</f>
        <v/>
      </c>
      <c r="F40" s="194">
        <f>$D$10*R1</f>
        <v/>
      </c>
      <c r="G40" s="194">
        <f>$D$10*S1</f>
        <v/>
      </c>
      <c r="H40" s="194">
        <f>$D$10*T1</f>
        <v/>
      </c>
      <c r="I40" s="194">
        <f>$D$10*U1</f>
        <v/>
      </c>
      <c r="J40" s="194">
        <f>$D$10*V1</f>
        <v/>
      </c>
      <c r="K40" s="194">
        <f>$D$10*W1</f>
        <v/>
      </c>
      <c r="L40" s="194">
        <f>$D$10*X1</f>
        <v/>
      </c>
      <c r="M40" s="194">
        <f>$D$10*Y1</f>
        <v/>
      </c>
      <c r="N40" s="194">
        <f>$D$10*Z1</f>
        <v/>
      </c>
      <c r="O40" s="194">
        <f>$D$10*AA1</f>
        <v/>
      </c>
      <c r="P40" s="194">
        <f>$D$10*AB1</f>
        <v/>
      </c>
      <c r="Q40" s="194">
        <f>$D$10*AC1</f>
        <v/>
      </c>
      <c r="R40" s="194">
        <f>$D$10*AD1</f>
        <v/>
      </c>
      <c r="S40" s="194">
        <f>$D$10*AE1</f>
        <v/>
      </c>
      <c r="T40" s="194">
        <f>$D$10*AF1</f>
        <v/>
      </c>
      <c r="U40" s="194">
        <f>$D$10*AG1</f>
        <v/>
      </c>
      <c r="V40" s="194">
        <f>$D$10*AH1</f>
        <v/>
      </c>
      <c r="W40" s="194">
        <f>$D$10*AI1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-43173.9</v>
      </c>
      <c r="E49" s="210" t="n">
        <v>-43173.9</v>
      </c>
      <c r="F49" s="210" t="n">
        <v>-43173.9</v>
      </c>
      <c r="G49" s="210" t="n">
        <v>-43173.9</v>
      </c>
      <c r="H49" s="210" t="n">
        <v>-43173.9</v>
      </c>
      <c r="I49" s="210" t="n">
        <v>-43173.9</v>
      </c>
      <c r="J49" s="210" t="n">
        <v>-43173.9</v>
      </c>
      <c r="K49" s="210" t="n">
        <v>-43173.9</v>
      </c>
      <c r="L49" s="210" t="n">
        <v>-43173.9</v>
      </c>
      <c r="M49" s="210" t="n">
        <v>-43173.9</v>
      </c>
      <c r="N49" s="210" t="n">
        <v>-43173.9</v>
      </c>
      <c r="O49" s="210" t="n">
        <v>-43173.9</v>
      </c>
      <c r="P49" s="210" t="n">
        <v>-43173.9</v>
      </c>
      <c r="Q49" s="210" t="n">
        <v>-43173.9</v>
      </c>
      <c r="R49" s="210" t="n">
        <v>-43173.9</v>
      </c>
      <c r="S49" s="210" t="n">
        <v>-43173.9</v>
      </c>
      <c r="T49" s="210" t="n">
        <v>-43173.9</v>
      </c>
      <c r="U49" s="210" t="n">
        <v>-43173.9</v>
      </c>
      <c r="V49" s="210" t="n">
        <v>-43173.9</v>
      </c>
      <c r="W49" s="210" t="n">
        <v>-43173.9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D77</f>
        <v/>
      </c>
      <c r="E54" s="210">
        <f>E77</f>
        <v/>
      </c>
      <c r="F54" s="210">
        <f>F77</f>
        <v/>
      </c>
      <c r="G54" s="210">
        <f>G77</f>
        <v/>
      </c>
      <c r="H54" s="210">
        <f>H77</f>
        <v/>
      </c>
      <c r="I54" s="210">
        <f>I77</f>
        <v/>
      </c>
      <c r="J54" s="210">
        <f>J77</f>
        <v/>
      </c>
      <c r="K54" s="210">
        <f>K77</f>
        <v/>
      </c>
      <c r="L54" s="210">
        <f>L77</f>
        <v/>
      </c>
      <c r="M54" s="210">
        <f>M77</f>
        <v/>
      </c>
      <c r="N54" s="210">
        <f>N77</f>
        <v/>
      </c>
      <c r="O54" s="210">
        <f>O77</f>
        <v/>
      </c>
      <c r="P54" s="210">
        <f>P77</f>
        <v/>
      </c>
      <c r="Q54" s="210">
        <f>Q77</f>
        <v/>
      </c>
      <c r="R54" s="210">
        <f>R77</f>
        <v/>
      </c>
      <c r="S54" s="210">
        <f>S77</f>
        <v/>
      </c>
      <c r="T54" s="210">
        <f>T77</f>
        <v/>
      </c>
      <c r="U54" s="210">
        <f>U77</f>
        <v/>
      </c>
      <c r="V54" s="210">
        <f>V77</f>
        <v/>
      </c>
      <c r="W54" s="210">
        <f>W77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D56+E55</f>
        <v/>
      </c>
      <c r="F56" s="220">
        <f>E56+F55</f>
        <v/>
      </c>
      <c r="G56" s="220">
        <f>F56+G55</f>
        <v/>
      </c>
      <c r="H56" s="220">
        <f>G56+H55</f>
        <v/>
      </c>
      <c r="I56" s="220">
        <f>H56+I55</f>
        <v/>
      </c>
      <c r="J56" s="220">
        <f>I56+J55</f>
        <v/>
      </c>
      <c r="K56" s="220">
        <f>J56+K55</f>
        <v/>
      </c>
      <c r="L56" s="220">
        <f>K56+L55</f>
        <v/>
      </c>
      <c r="M56" s="220">
        <f>L56+M55</f>
        <v/>
      </c>
      <c r="N56" s="220">
        <f>M56+N55</f>
        <v/>
      </c>
      <c r="O56" s="220">
        <f>N56+O55</f>
        <v/>
      </c>
      <c r="P56" s="220">
        <f>O56+P55</f>
        <v/>
      </c>
      <c r="Q56" s="220">
        <f>P56+Q55</f>
        <v/>
      </c>
      <c r="R56" s="220">
        <f>Q56+R55</f>
        <v/>
      </c>
      <c r="S56" s="220">
        <f>R56+S55</f>
        <v/>
      </c>
      <c r="T56" s="220">
        <f>S56+T55</f>
        <v/>
      </c>
      <c r="U56" s="220">
        <f>T56+U55</f>
        <v/>
      </c>
      <c r="V56" s="220">
        <f>U56+V55</f>
        <v/>
      </c>
      <c r="W56" s="220">
        <f>V56+W55</f>
        <v/>
      </c>
      <c r="X56" s="220">
        <f>W56+X55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0</v>
      </c>
      <c r="E70" s="210" t="n">
        <v>0</v>
      </c>
      <c r="F70" s="210" t="n">
        <v>0</v>
      </c>
      <c r="G70" s="210" t="n">
        <v>0</v>
      </c>
      <c r="H70" s="210" t="n">
        <v>0</v>
      </c>
      <c r="I70" s="210" t="n">
        <v>0</v>
      </c>
      <c r="J70" s="210" t="n">
        <v>0</v>
      </c>
      <c r="K70" s="210" t="n">
        <v>0</v>
      </c>
      <c r="L70" s="210" t="n">
        <v>0</v>
      </c>
      <c r="M70" s="210" t="n">
        <v>0</v>
      </c>
      <c r="N70" s="210" t="n">
        <v>0</v>
      </c>
      <c r="O70" s="210" t="n">
        <v>0</v>
      </c>
      <c r="P70" s="210" t="n">
        <v>0</v>
      </c>
      <c r="Q70" s="210" t="n">
        <v>0</v>
      </c>
      <c r="R70" s="210" t="n">
        <v>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AJ8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10" customWidth="1" min="25" max="25"/>
    <col width="10" customWidth="1" min="26" max="26"/>
    <col width="10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  <c r="P1" s="280">
        <f>1-D11</f>
        <v/>
      </c>
      <c r="Q1" s="280">
        <f>P1-$D12</f>
        <v/>
      </c>
      <c r="R1" s="280">
        <f>Q1-$D12</f>
        <v/>
      </c>
      <c r="S1" s="280">
        <f>R1-$D12</f>
        <v/>
      </c>
      <c r="T1" s="280">
        <f>S1-$D12</f>
        <v/>
      </c>
      <c r="U1" s="280">
        <f>T1-$D12</f>
        <v/>
      </c>
      <c r="V1" s="280">
        <f>U1-$D12</f>
        <v/>
      </c>
      <c r="W1" s="280">
        <f>V1-$D12</f>
        <v/>
      </c>
      <c r="X1" s="280">
        <f>W1-$D12</f>
        <v/>
      </c>
      <c r="Y1" s="280">
        <f>X1-$D12</f>
        <v/>
      </c>
      <c r="Z1" s="280">
        <f>Y1-$D12</f>
        <v/>
      </c>
      <c r="AA1" s="280">
        <f>Z1-$D12</f>
        <v/>
      </c>
      <c r="AB1" s="280">
        <f>AA1-$D12</f>
        <v/>
      </c>
      <c r="AC1" s="280">
        <f>AB1-$D12</f>
        <v/>
      </c>
      <c r="AD1" s="280">
        <f>AC1-$D12</f>
        <v/>
      </c>
      <c r="AE1" s="280">
        <f>AD1-$D12</f>
        <v/>
      </c>
      <c r="AF1" s="280">
        <f>AE1-$D12</f>
        <v/>
      </c>
      <c r="AG1" s="280">
        <f>AF1-$D12</f>
        <v/>
      </c>
      <c r="AH1" s="280">
        <f>AG1-$D12</f>
        <v/>
      </c>
      <c r="AI1" s="280">
        <f>AH1-$D12</f>
        <v/>
      </c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4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第3次滾算摘要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32000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2.3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3.56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第3次滾算，減少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32000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$D$10*P1</f>
        <v/>
      </c>
      <c r="E40" s="194">
        <f>$D$10*Q1</f>
        <v/>
      </c>
      <c r="F40" s="194">
        <f>$D$10*R1</f>
        <v/>
      </c>
      <c r="G40" s="194">
        <f>$D$10*S1</f>
        <v/>
      </c>
      <c r="H40" s="194">
        <f>$D$10*T1</f>
        <v/>
      </c>
      <c r="I40" s="194">
        <f>$D$10*U1</f>
        <v/>
      </c>
      <c r="J40" s="194">
        <f>$D$10*V1</f>
        <v/>
      </c>
      <c r="K40" s="194">
        <f>$D$10*W1</f>
        <v/>
      </c>
      <c r="L40" s="194">
        <f>$D$10*X1</f>
        <v/>
      </c>
      <c r="M40" s="194">
        <f>$D$10*Y1</f>
        <v/>
      </c>
      <c r="N40" s="194">
        <f>$D$10*Z1</f>
        <v/>
      </c>
      <c r="O40" s="194">
        <f>$D$10*AA1</f>
        <v/>
      </c>
      <c r="P40" s="194">
        <f>$D$10*AB1</f>
        <v/>
      </c>
      <c r="Q40" s="194">
        <f>$D$10*AC1</f>
        <v/>
      </c>
      <c r="R40" s="194">
        <f>$D$10*AD1</f>
        <v/>
      </c>
      <c r="S40" s="194">
        <f>$D$10*AE1</f>
        <v/>
      </c>
      <c r="T40" s="194">
        <f>$D$10*AF1</f>
        <v/>
      </c>
      <c r="U40" s="194">
        <f>$D$10*AG1</f>
        <v/>
      </c>
      <c r="V40" s="194">
        <f>$D$10*AH1</f>
        <v/>
      </c>
      <c r="W40" s="194">
        <f>$D$10*AI1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-41865.6</v>
      </c>
      <c r="E49" s="210" t="n">
        <v>-41865.6</v>
      </c>
      <c r="F49" s="210" t="n">
        <v>-41865.6</v>
      </c>
      <c r="G49" s="210" t="n">
        <v>-41865.6</v>
      </c>
      <c r="H49" s="210" t="n">
        <v>-41865.6</v>
      </c>
      <c r="I49" s="210" t="n">
        <v>-41865.6</v>
      </c>
      <c r="J49" s="210" t="n">
        <v>-41865.6</v>
      </c>
      <c r="K49" s="210" t="n">
        <v>-41865.6</v>
      </c>
      <c r="L49" s="210" t="n">
        <v>-41865.6</v>
      </c>
      <c r="M49" s="210" t="n">
        <v>-41865.6</v>
      </c>
      <c r="N49" s="210" t="n">
        <v>-41865.6</v>
      </c>
      <c r="O49" s="210" t="n">
        <v>-41865.6</v>
      </c>
      <c r="P49" s="210" t="n">
        <v>-41865.6</v>
      </c>
      <c r="Q49" s="210" t="n">
        <v>-41865.6</v>
      </c>
      <c r="R49" s="210" t="n">
        <v>-41865.6</v>
      </c>
      <c r="S49" s="210" t="n">
        <v>-41865.6</v>
      </c>
      <c r="T49" s="210" t="n">
        <v>-41865.6</v>
      </c>
      <c r="U49" s="210" t="n">
        <v>-41865.6</v>
      </c>
      <c r="V49" s="210" t="n">
        <v>-41865.6</v>
      </c>
      <c r="W49" s="210" t="n">
        <v>-41865.6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D77</f>
        <v/>
      </c>
      <c r="E54" s="210">
        <f>E77</f>
        <v/>
      </c>
      <c r="F54" s="210">
        <f>F77</f>
        <v/>
      </c>
      <c r="G54" s="210">
        <f>G77</f>
        <v/>
      </c>
      <c r="H54" s="210">
        <f>H77</f>
        <v/>
      </c>
      <c r="I54" s="210">
        <f>I77</f>
        <v/>
      </c>
      <c r="J54" s="210">
        <f>J77</f>
        <v/>
      </c>
      <c r="K54" s="210">
        <f>K77</f>
        <v/>
      </c>
      <c r="L54" s="210">
        <f>L77</f>
        <v/>
      </c>
      <c r="M54" s="210">
        <f>M77</f>
        <v/>
      </c>
      <c r="N54" s="210">
        <f>N77</f>
        <v/>
      </c>
      <c r="O54" s="210">
        <f>O77</f>
        <v/>
      </c>
      <c r="P54" s="210">
        <f>P77</f>
        <v/>
      </c>
      <c r="Q54" s="210">
        <f>Q77</f>
        <v/>
      </c>
      <c r="R54" s="210">
        <f>R77</f>
        <v/>
      </c>
      <c r="S54" s="210">
        <f>S77</f>
        <v/>
      </c>
      <c r="T54" s="210">
        <f>T77</f>
        <v/>
      </c>
      <c r="U54" s="210">
        <f>U77</f>
        <v/>
      </c>
      <c r="V54" s="210">
        <f>V77</f>
        <v/>
      </c>
      <c r="W54" s="210">
        <f>W77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D56+E55</f>
        <v/>
      </c>
      <c r="F56" s="220">
        <f>E56+F55</f>
        <v/>
      </c>
      <c r="G56" s="220">
        <f>F56+G55</f>
        <v/>
      </c>
      <c r="H56" s="220">
        <f>G56+H55</f>
        <v/>
      </c>
      <c r="I56" s="220">
        <f>H56+I55</f>
        <v/>
      </c>
      <c r="J56" s="220">
        <f>I56+J55</f>
        <v/>
      </c>
      <c r="K56" s="220">
        <f>J56+K55</f>
        <v/>
      </c>
      <c r="L56" s="220">
        <f>K56+L55</f>
        <v/>
      </c>
      <c r="M56" s="220">
        <f>L56+M55</f>
        <v/>
      </c>
      <c r="N56" s="220">
        <f>M56+N55</f>
        <v/>
      </c>
      <c r="O56" s="220">
        <f>N56+O55</f>
        <v/>
      </c>
      <c r="P56" s="220">
        <f>O56+P55</f>
        <v/>
      </c>
      <c r="Q56" s="220">
        <f>P56+Q55</f>
        <v/>
      </c>
      <c r="R56" s="220">
        <f>Q56+R55</f>
        <v/>
      </c>
      <c r="S56" s="220">
        <f>R56+S55</f>
        <v/>
      </c>
      <c r="T56" s="220">
        <f>S56+T55</f>
        <v/>
      </c>
      <c r="U56" s="220">
        <f>T56+U55</f>
        <v/>
      </c>
      <c r="V56" s="220">
        <f>U56+V55</f>
        <v/>
      </c>
      <c r="W56" s="220">
        <f>V56+W55</f>
        <v/>
      </c>
      <c r="X56" s="220">
        <f>W56+X55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0</v>
      </c>
      <c r="E70" s="210" t="n">
        <v>0</v>
      </c>
      <c r="F70" s="210" t="n">
        <v>0</v>
      </c>
      <c r="G70" s="210" t="n">
        <v>0</v>
      </c>
      <c r="H70" s="210" t="n">
        <v>0</v>
      </c>
      <c r="I70" s="210" t="n">
        <v>0</v>
      </c>
      <c r="J70" s="210" t="n">
        <v>0</v>
      </c>
      <c r="K70" s="210" t="n">
        <v>0</v>
      </c>
      <c r="L70" s="210" t="n">
        <v>0</v>
      </c>
      <c r="M70" s="210" t="n">
        <v>0</v>
      </c>
      <c r="N70" s="210" t="n">
        <v>0</v>
      </c>
      <c r="O70" s="210" t="n">
        <v>0</v>
      </c>
      <c r="P70" s="210" t="n">
        <v>0</v>
      </c>
      <c r="Q70" s="210" t="n">
        <v>0</v>
      </c>
      <c r="R70" s="210" t="n">
        <v>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AJ8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10" customWidth="1" min="25" max="25"/>
    <col width="10" customWidth="1" min="26" max="26"/>
    <col width="10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  <c r="P1" s="280">
        <f>1-D11</f>
        <v/>
      </c>
      <c r="Q1" s="280">
        <f>P1-$D12</f>
        <v/>
      </c>
      <c r="R1" s="280">
        <f>Q1-$D12</f>
        <v/>
      </c>
      <c r="S1" s="280">
        <f>R1-$D12</f>
        <v/>
      </c>
      <c r="T1" s="280">
        <f>S1-$D12</f>
        <v/>
      </c>
      <c r="U1" s="280">
        <f>T1-$D12</f>
        <v/>
      </c>
      <c r="V1" s="280">
        <f>U1-$D12</f>
        <v/>
      </c>
      <c r="W1" s="280">
        <f>V1-$D12</f>
        <v/>
      </c>
      <c r="X1" s="280">
        <f>W1-$D12</f>
        <v/>
      </c>
      <c r="Y1" s="280">
        <f>X1-$D12</f>
        <v/>
      </c>
      <c r="Z1" s="280">
        <f>Y1-$D12</f>
        <v/>
      </c>
      <c r="AA1" s="280">
        <f>Z1-$D12</f>
        <v/>
      </c>
      <c r="AB1" s="280">
        <f>AA1-$D12</f>
        <v/>
      </c>
      <c r="AC1" s="280">
        <f>AB1-$D12</f>
        <v/>
      </c>
      <c r="AD1" s="280">
        <f>AC1-$D12</f>
        <v/>
      </c>
      <c r="AE1" s="280">
        <f>AD1-$D12</f>
        <v/>
      </c>
      <c r="AF1" s="280">
        <f>AE1-$D12</f>
        <v/>
      </c>
      <c r="AG1" s="280">
        <f>AF1-$D12</f>
        <v/>
      </c>
      <c r="AH1" s="280">
        <f>AG1-$D12</f>
        <v/>
      </c>
      <c r="AI1" s="280">
        <f>AH1-$D12</f>
        <v/>
      </c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2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34000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1.78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1.99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34000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$D$10*P1</f>
        <v/>
      </c>
      <c r="E40" s="194">
        <f>$D$10*Q1</f>
        <v/>
      </c>
      <c r="F40" s="194">
        <f>$D$10*R1</f>
        <v/>
      </c>
      <c r="G40" s="194">
        <f>$D$10*S1</f>
        <v/>
      </c>
      <c r="H40" s="194">
        <f>$D$10*T1</f>
        <v/>
      </c>
      <c r="I40" s="194">
        <f>$D$10*U1</f>
        <v/>
      </c>
      <c r="J40" s="194">
        <f>$D$10*V1</f>
        <v/>
      </c>
      <c r="K40" s="194">
        <f>$D$10*W1</f>
        <v/>
      </c>
      <c r="L40" s="194">
        <f>$D$10*X1</f>
        <v/>
      </c>
      <c r="M40" s="194">
        <f>$D$10*Y1</f>
        <v/>
      </c>
      <c r="N40" s="194">
        <f>$D$10*Z1</f>
        <v/>
      </c>
      <c r="O40" s="194">
        <f>$D$10*AA1</f>
        <v/>
      </c>
      <c r="P40" s="194">
        <f>$D$10*AB1</f>
        <v/>
      </c>
      <c r="Q40" s="194">
        <f>$D$10*AC1</f>
        <v/>
      </c>
      <c r="R40" s="194">
        <f>$D$10*AD1</f>
        <v/>
      </c>
      <c r="S40" s="194">
        <f>$D$10*AE1</f>
        <v/>
      </c>
      <c r="T40" s="194">
        <f>$D$10*AF1</f>
        <v/>
      </c>
      <c r="U40" s="194">
        <f>$D$10*AG1</f>
        <v/>
      </c>
      <c r="V40" s="194">
        <f>$D$10*AH1</f>
        <v/>
      </c>
      <c r="W40" s="194">
        <f>$D$10*AI1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-44482.2</v>
      </c>
      <c r="E49" s="210" t="n">
        <v>-44482.2</v>
      </c>
      <c r="F49" s="210" t="n">
        <v>-44482.2</v>
      </c>
      <c r="G49" s="210" t="n">
        <v>-44482.2</v>
      </c>
      <c r="H49" s="210" t="n">
        <v>-44482.2</v>
      </c>
      <c r="I49" s="210" t="n">
        <v>-44482.2</v>
      </c>
      <c r="J49" s="210" t="n">
        <v>-44482.2</v>
      </c>
      <c r="K49" s="210" t="n">
        <v>-44482.2</v>
      </c>
      <c r="L49" s="210" t="n">
        <v>-44482.2</v>
      </c>
      <c r="M49" s="210" t="n">
        <v>-44482.2</v>
      </c>
      <c r="N49" s="210" t="n">
        <v>-44482.2</v>
      </c>
      <c r="O49" s="210" t="n">
        <v>-44482.2</v>
      </c>
      <c r="P49" s="210" t="n">
        <v>-44482.2</v>
      </c>
      <c r="Q49" s="210" t="n">
        <v>-44482.2</v>
      </c>
      <c r="R49" s="210" t="n">
        <v>-44482.2</v>
      </c>
      <c r="S49" s="210" t="n">
        <v>-44482.2</v>
      </c>
      <c r="T49" s="210" t="n">
        <v>-44482.2</v>
      </c>
      <c r="U49" s="210" t="n">
        <v>-44482.2</v>
      </c>
      <c r="V49" s="210" t="n">
        <v>-44482.2</v>
      </c>
      <c r="W49" s="210" t="n">
        <v>-44482.2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D77</f>
        <v/>
      </c>
      <c r="E54" s="210">
        <f>E77</f>
        <v/>
      </c>
      <c r="F54" s="210">
        <f>F77</f>
        <v/>
      </c>
      <c r="G54" s="210">
        <f>G77</f>
        <v/>
      </c>
      <c r="H54" s="210">
        <f>H77</f>
        <v/>
      </c>
      <c r="I54" s="210">
        <f>I77</f>
        <v/>
      </c>
      <c r="J54" s="210">
        <f>J77</f>
        <v/>
      </c>
      <c r="K54" s="210">
        <f>K77</f>
        <v/>
      </c>
      <c r="L54" s="210">
        <f>L77</f>
        <v/>
      </c>
      <c r="M54" s="210">
        <f>M77</f>
        <v/>
      </c>
      <c r="N54" s="210">
        <f>N77</f>
        <v/>
      </c>
      <c r="O54" s="210">
        <f>O77</f>
        <v/>
      </c>
      <c r="P54" s="210">
        <f>P77</f>
        <v/>
      </c>
      <c r="Q54" s="210">
        <f>Q77</f>
        <v/>
      </c>
      <c r="R54" s="210">
        <f>R77</f>
        <v/>
      </c>
      <c r="S54" s="210">
        <f>S77</f>
        <v/>
      </c>
      <c r="T54" s="210">
        <f>T77</f>
        <v/>
      </c>
      <c r="U54" s="210">
        <f>U77</f>
        <v/>
      </c>
      <c r="V54" s="210">
        <f>V77</f>
        <v/>
      </c>
      <c r="W54" s="210">
        <f>W77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D56+E55</f>
        <v/>
      </c>
      <c r="F56" s="220">
        <f>E56+F55</f>
        <v/>
      </c>
      <c r="G56" s="220">
        <f>F56+G55</f>
        <v/>
      </c>
      <c r="H56" s="220">
        <f>G56+H55</f>
        <v/>
      </c>
      <c r="I56" s="220">
        <f>H56+I55</f>
        <v/>
      </c>
      <c r="J56" s="220">
        <f>I56+J55</f>
        <v/>
      </c>
      <c r="K56" s="220">
        <f>J56+K55</f>
        <v/>
      </c>
      <c r="L56" s="220">
        <f>K56+L55</f>
        <v/>
      </c>
      <c r="M56" s="220">
        <f>L56+M55</f>
        <v/>
      </c>
      <c r="N56" s="220">
        <f>M56+N55</f>
        <v/>
      </c>
      <c r="O56" s="220">
        <f>N56+O55</f>
        <v/>
      </c>
      <c r="P56" s="220">
        <f>O56+P55</f>
        <v/>
      </c>
      <c r="Q56" s="220">
        <f>P56+Q55</f>
        <v/>
      </c>
      <c r="R56" s="220">
        <f>Q56+R55</f>
        <v/>
      </c>
      <c r="S56" s="220">
        <f>R56+S55</f>
        <v/>
      </c>
      <c r="T56" s="220">
        <f>S56+T55</f>
        <v/>
      </c>
      <c r="U56" s="220">
        <f>T56+U55</f>
        <v/>
      </c>
      <c r="V56" s="220">
        <f>U56+V55</f>
        <v/>
      </c>
      <c r="W56" s="220">
        <f>V56+W55</f>
        <v/>
      </c>
      <c r="X56" s="220">
        <f>W56+X55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0</v>
      </c>
      <c r="E70" s="210" t="n">
        <v>0</v>
      </c>
      <c r="F70" s="210" t="n">
        <v>0</v>
      </c>
      <c r="G70" s="210" t="n">
        <v>0</v>
      </c>
      <c r="H70" s="210" t="n">
        <v>0</v>
      </c>
      <c r="I70" s="210" t="n">
        <v>0</v>
      </c>
      <c r="J70" s="210" t="n">
        <v>0</v>
      </c>
      <c r="K70" s="210" t="n">
        <v>0</v>
      </c>
      <c r="L70" s="210" t="n">
        <v>0</v>
      </c>
      <c r="M70" s="210" t="n">
        <v>0</v>
      </c>
      <c r="N70" s="210" t="n">
        <v>0</v>
      </c>
      <c r="O70" s="210" t="n">
        <v>0</v>
      </c>
      <c r="P70" s="210" t="n">
        <v>0</v>
      </c>
      <c r="Q70" s="210" t="n">
        <v>0</v>
      </c>
      <c r="R70" s="210" t="n">
        <v>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AJ8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39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10" customWidth="1" min="25" max="25"/>
    <col width="10" customWidth="1" min="26" max="26"/>
    <col width="10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  <c r="P1" s="280">
        <f>1-D11</f>
        <v/>
      </c>
      <c r="Q1" s="280">
        <f>P1-$D12</f>
        <v/>
      </c>
      <c r="R1" s="280">
        <f>Q1-$D12</f>
        <v/>
      </c>
      <c r="S1" s="280">
        <f>R1-$D12</f>
        <v/>
      </c>
      <c r="T1" s="280">
        <f>S1-$D12</f>
        <v/>
      </c>
      <c r="U1" s="280">
        <f>T1-$D12</f>
        <v/>
      </c>
      <c r="V1" s="280">
        <f>U1-$D12</f>
        <v/>
      </c>
      <c r="W1" s="280">
        <f>V1-$D12</f>
        <v/>
      </c>
      <c r="X1" s="280">
        <f>W1-$D12</f>
        <v/>
      </c>
      <c r="Y1" s="280">
        <f>X1-$D12</f>
        <v/>
      </c>
      <c r="Z1" s="280">
        <f>Y1-$D12</f>
        <v/>
      </c>
      <c r="AA1" s="280">
        <f>Z1-$D12</f>
        <v/>
      </c>
      <c r="AB1" s="280">
        <f>AA1-$D12</f>
        <v/>
      </c>
      <c r="AC1" s="280">
        <f>AB1-$D12</f>
        <v/>
      </c>
      <c r="AD1" s="280">
        <f>AC1-$D12</f>
        <v/>
      </c>
      <c r="AE1" s="280">
        <f>AD1-$D12</f>
        <v/>
      </c>
      <c r="AF1" s="280">
        <f>AE1-$D12</f>
        <v/>
      </c>
      <c r="AG1" s="280">
        <f>AF1-$D12</f>
        <v/>
      </c>
      <c r="AH1" s="280">
        <f>AG1-$D12</f>
        <v/>
      </c>
      <c r="AI1" s="280">
        <f>AH1-$D12</f>
        <v/>
      </c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1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初始價金摘要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35000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1.54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1.27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初始價金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35000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$D$10*P1</f>
        <v/>
      </c>
      <c r="E40" s="194">
        <f>$D$10*Q1</f>
        <v/>
      </c>
      <c r="F40" s="194">
        <f>$D$10*R1</f>
        <v/>
      </c>
      <c r="G40" s="194">
        <f>$D$10*S1</f>
        <v/>
      </c>
      <c r="H40" s="194">
        <f>$D$10*T1</f>
        <v/>
      </c>
      <c r="I40" s="194">
        <f>$D$10*U1</f>
        <v/>
      </c>
      <c r="J40" s="194">
        <f>$D$10*V1</f>
        <v/>
      </c>
      <c r="K40" s="194">
        <f>$D$10*W1</f>
        <v/>
      </c>
      <c r="L40" s="194">
        <f>$D$10*X1</f>
        <v/>
      </c>
      <c r="M40" s="194">
        <f>$D$10*Y1</f>
        <v/>
      </c>
      <c r="N40" s="194">
        <f>$D$10*Z1</f>
        <v/>
      </c>
      <c r="O40" s="194">
        <f>$D$10*AA1</f>
        <v/>
      </c>
      <c r="P40" s="194">
        <f>$D$10*AB1</f>
        <v/>
      </c>
      <c r="Q40" s="194">
        <f>$D$10*AC1</f>
        <v/>
      </c>
      <c r="R40" s="194">
        <f>$D$10*AD1</f>
        <v/>
      </c>
      <c r="S40" s="194">
        <f>$D$10*AE1</f>
        <v/>
      </c>
      <c r="T40" s="194">
        <f>$D$10*AF1</f>
        <v/>
      </c>
      <c r="U40" s="194">
        <f>$D$10*AG1</f>
        <v/>
      </c>
      <c r="V40" s="194">
        <f>$D$10*AH1</f>
        <v/>
      </c>
      <c r="W40" s="194">
        <f>$D$10*AI1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-45790.5</v>
      </c>
      <c r="E49" s="210" t="n">
        <v>-45790.5</v>
      </c>
      <c r="F49" s="210" t="n">
        <v>-45790.5</v>
      </c>
      <c r="G49" s="210" t="n">
        <v>-45790.5</v>
      </c>
      <c r="H49" s="210" t="n">
        <v>-45790.5</v>
      </c>
      <c r="I49" s="210" t="n">
        <v>-45790.5</v>
      </c>
      <c r="J49" s="210" t="n">
        <v>-45790.5</v>
      </c>
      <c r="K49" s="210" t="n">
        <v>-45790.5</v>
      </c>
      <c r="L49" s="210" t="n">
        <v>-45790.5</v>
      </c>
      <c r="M49" s="210" t="n">
        <v>-45790.5</v>
      </c>
      <c r="N49" s="210" t="n">
        <v>-45790.5</v>
      </c>
      <c r="O49" s="210" t="n">
        <v>-45790.5</v>
      </c>
      <c r="P49" s="210" t="n">
        <v>-45790.5</v>
      </c>
      <c r="Q49" s="210" t="n">
        <v>-45790.5</v>
      </c>
      <c r="R49" s="210" t="n">
        <v>-45790.5</v>
      </c>
      <c r="S49" s="210" t="n">
        <v>-45790.5</v>
      </c>
      <c r="T49" s="210" t="n">
        <v>-45790.5</v>
      </c>
      <c r="U49" s="210" t="n">
        <v>-45790.5</v>
      </c>
      <c r="V49" s="210" t="n">
        <v>-45790.5</v>
      </c>
      <c r="W49" s="210" t="n">
        <v>-45790.5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D77</f>
        <v/>
      </c>
      <c r="E54" s="210">
        <f>E77</f>
        <v/>
      </c>
      <c r="F54" s="210">
        <f>F77</f>
        <v/>
      </c>
      <c r="G54" s="210">
        <f>G77</f>
        <v/>
      </c>
      <c r="H54" s="210">
        <f>H77</f>
        <v/>
      </c>
      <c r="I54" s="210">
        <f>I77</f>
        <v/>
      </c>
      <c r="J54" s="210">
        <f>J77</f>
        <v/>
      </c>
      <c r="K54" s="210">
        <f>K77</f>
        <v/>
      </c>
      <c r="L54" s="210">
        <f>L77</f>
        <v/>
      </c>
      <c r="M54" s="210">
        <f>M77</f>
        <v/>
      </c>
      <c r="N54" s="210">
        <f>N77</f>
        <v/>
      </c>
      <c r="O54" s="210">
        <f>O77</f>
        <v/>
      </c>
      <c r="P54" s="210">
        <f>P77</f>
        <v/>
      </c>
      <c r="Q54" s="210">
        <f>Q77</f>
        <v/>
      </c>
      <c r="R54" s="210">
        <f>R77</f>
        <v/>
      </c>
      <c r="S54" s="210">
        <f>S77</f>
        <v/>
      </c>
      <c r="T54" s="210">
        <f>T77</f>
        <v/>
      </c>
      <c r="U54" s="210">
        <f>U77</f>
        <v/>
      </c>
      <c r="V54" s="210">
        <f>V77</f>
        <v/>
      </c>
      <c r="W54" s="210">
        <f>W77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D56+E55</f>
        <v/>
      </c>
      <c r="F56" s="220">
        <f>E56+F55</f>
        <v/>
      </c>
      <c r="G56" s="220">
        <f>F56+G55</f>
        <v/>
      </c>
      <c r="H56" s="220">
        <f>G56+H55</f>
        <v/>
      </c>
      <c r="I56" s="220">
        <f>H56+I55</f>
        <v/>
      </c>
      <c r="J56" s="220">
        <f>I56+J55</f>
        <v/>
      </c>
      <c r="K56" s="220">
        <f>J56+K55</f>
        <v/>
      </c>
      <c r="L56" s="220">
        <f>K56+L55</f>
        <v/>
      </c>
      <c r="M56" s="220">
        <f>L56+M55</f>
        <v/>
      </c>
      <c r="N56" s="220">
        <f>M56+N55</f>
        <v/>
      </c>
      <c r="O56" s="220">
        <f>N56+O55</f>
        <v/>
      </c>
      <c r="P56" s="220">
        <f>O56+P55</f>
        <v/>
      </c>
      <c r="Q56" s="220">
        <f>P56+Q55</f>
        <v/>
      </c>
      <c r="R56" s="220">
        <f>Q56+R55</f>
        <v/>
      </c>
      <c r="S56" s="220">
        <f>R56+S55</f>
        <v/>
      </c>
      <c r="T56" s="220">
        <f>S56+T55</f>
        <v/>
      </c>
      <c r="U56" s="220">
        <f>T56+U55</f>
        <v/>
      </c>
      <c r="V56" s="220">
        <f>U56+V55</f>
        <v/>
      </c>
      <c r="W56" s="220">
        <f>V56+W55</f>
        <v/>
      </c>
      <c r="X56" s="220">
        <f>W56+X55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0</v>
      </c>
      <c r="E70" s="210" t="n">
        <v>0</v>
      </c>
      <c r="F70" s="210" t="n">
        <v>0</v>
      </c>
      <c r="G70" s="210" t="n">
        <v>0</v>
      </c>
      <c r="H70" s="210" t="n">
        <v>0</v>
      </c>
      <c r="I70" s="210" t="n">
        <v>0</v>
      </c>
      <c r="J70" s="210" t="n">
        <v>0</v>
      </c>
      <c r="K70" s="210" t="n">
        <v>0</v>
      </c>
      <c r="L70" s="210" t="n">
        <v>0</v>
      </c>
      <c r="M70" s="210" t="n">
        <v>0</v>
      </c>
      <c r="N70" s="210" t="n">
        <v>0</v>
      </c>
      <c r="O70" s="210" t="n">
        <v>0</v>
      </c>
      <c r="P70" s="210" t="n">
        <v>0</v>
      </c>
      <c r="Q70" s="210" t="n">
        <v>0</v>
      </c>
      <c r="R70" s="210" t="n">
        <v>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AJ8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10" customWidth="1" min="25" max="25"/>
    <col width="10" customWidth="1" min="26" max="26"/>
    <col width="10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  <c r="P1" s="280">
        <f>1-D11</f>
        <v/>
      </c>
      <c r="Q1" s="280">
        <f>P1-$D12</f>
        <v/>
      </c>
      <c r="R1" s="280">
        <f>Q1-$D12</f>
        <v/>
      </c>
      <c r="S1" s="280">
        <f>R1-$D12</f>
        <v/>
      </c>
      <c r="T1" s="280">
        <f>S1-$D12</f>
        <v/>
      </c>
      <c r="U1" s="280">
        <f>T1-$D12</f>
        <v/>
      </c>
      <c r="V1" s="280">
        <f>U1-$D12</f>
        <v/>
      </c>
      <c r="W1" s="280">
        <f>V1-$D12</f>
        <v/>
      </c>
      <c r="X1" s="280">
        <f>W1-$D12</f>
        <v/>
      </c>
      <c r="Y1" s="280">
        <f>X1-$D12</f>
        <v/>
      </c>
      <c r="Z1" s="280">
        <f>Y1-$D12</f>
        <v/>
      </c>
      <c r="AA1" s="280">
        <f>Z1-$D12</f>
        <v/>
      </c>
      <c r="AB1" s="280">
        <f>AA1-$D12</f>
        <v/>
      </c>
      <c r="AC1" s="280">
        <f>AB1-$D12</f>
        <v/>
      </c>
      <c r="AD1" s="280">
        <f>AC1-$D12</f>
        <v/>
      </c>
      <c r="AE1" s="280">
        <f>AD1-$D12</f>
        <v/>
      </c>
      <c r="AF1" s="280">
        <f>AE1-$D12</f>
        <v/>
      </c>
      <c r="AG1" s="280">
        <f>AF1-$D12</f>
        <v/>
      </c>
      <c r="AH1" s="280">
        <f>AG1-$D12</f>
        <v/>
      </c>
      <c r="AI1" s="280">
        <f>AH1-$D12</f>
        <v/>
      </c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3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第2次滾算摘要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33000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2.03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2.75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第2次滾算，減少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33000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$D$10*P1</f>
        <v/>
      </c>
      <c r="E40" s="194">
        <f>$D$10*Q1</f>
        <v/>
      </c>
      <c r="F40" s="194">
        <f>$D$10*R1</f>
        <v/>
      </c>
      <c r="G40" s="194">
        <f>$D$10*S1</f>
        <v/>
      </c>
      <c r="H40" s="194">
        <f>$D$10*T1</f>
        <v/>
      </c>
      <c r="I40" s="194">
        <f>$D$10*U1</f>
        <v/>
      </c>
      <c r="J40" s="194">
        <f>$D$10*V1</f>
        <v/>
      </c>
      <c r="K40" s="194">
        <f>$D$10*W1</f>
        <v/>
      </c>
      <c r="L40" s="194">
        <f>$D$10*X1</f>
        <v/>
      </c>
      <c r="M40" s="194">
        <f>$D$10*Y1</f>
        <v/>
      </c>
      <c r="N40" s="194">
        <f>$D$10*Z1</f>
        <v/>
      </c>
      <c r="O40" s="194">
        <f>$D$10*AA1</f>
        <v/>
      </c>
      <c r="P40" s="194">
        <f>$D$10*AB1</f>
        <v/>
      </c>
      <c r="Q40" s="194">
        <f>$D$10*AC1</f>
        <v/>
      </c>
      <c r="R40" s="194">
        <f>$D$10*AD1</f>
        <v/>
      </c>
      <c r="S40" s="194">
        <f>$D$10*AE1</f>
        <v/>
      </c>
      <c r="T40" s="194">
        <f>$D$10*AF1</f>
        <v/>
      </c>
      <c r="U40" s="194">
        <f>$D$10*AG1</f>
        <v/>
      </c>
      <c r="V40" s="194">
        <f>$D$10*AH1</f>
        <v/>
      </c>
      <c r="W40" s="194">
        <f>$D$10*AI1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-43173.9</v>
      </c>
      <c r="E49" s="210" t="n">
        <v>-43173.9</v>
      </c>
      <c r="F49" s="210" t="n">
        <v>-43173.9</v>
      </c>
      <c r="G49" s="210" t="n">
        <v>-43173.9</v>
      </c>
      <c r="H49" s="210" t="n">
        <v>-43173.9</v>
      </c>
      <c r="I49" s="210" t="n">
        <v>-43173.9</v>
      </c>
      <c r="J49" s="210" t="n">
        <v>-43173.9</v>
      </c>
      <c r="K49" s="210" t="n">
        <v>-43173.9</v>
      </c>
      <c r="L49" s="210" t="n">
        <v>-43173.9</v>
      </c>
      <c r="M49" s="210" t="n">
        <v>-43173.9</v>
      </c>
      <c r="N49" s="210" t="n">
        <v>-43173.9</v>
      </c>
      <c r="O49" s="210" t="n">
        <v>-43173.9</v>
      </c>
      <c r="P49" s="210" t="n">
        <v>-43173.9</v>
      </c>
      <c r="Q49" s="210" t="n">
        <v>-43173.9</v>
      </c>
      <c r="R49" s="210" t="n">
        <v>-43173.9</v>
      </c>
      <c r="S49" s="210" t="n">
        <v>-43173.9</v>
      </c>
      <c r="T49" s="210" t="n">
        <v>-43173.9</v>
      </c>
      <c r="U49" s="210" t="n">
        <v>-43173.9</v>
      </c>
      <c r="V49" s="210" t="n">
        <v>-43173.9</v>
      </c>
      <c r="W49" s="210" t="n">
        <v>-43173.9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D77</f>
        <v/>
      </c>
      <c r="E54" s="210">
        <f>E77</f>
        <v/>
      </c>
      <c r="F54" s="210">
        <f>F77</f>
        <v/>
      </c>
      <c r="G54" s="210">
        <f>G77</f>
        <v/>
      </c>
      <c r="H54" s="210">
        <f>H77</f>
        <v/>
      </c>
      <c r="I54" s="210">
        <f>I77</f>
        <v/>
      </c>
      <c r="J54" s="210">
        <f>J77</f>
        <v/>
      </c>
      <c r="K54" s="210">
        <f>K77</f>
        <v/>
      </c>
      <c r="L54" s="210">
        <f>L77</f>
        <v/>
      </c>
      <c r="M54" s="210">
        <f>M77</f>
        <v/>
      </c>
      <c r="N54" s="210">
        <f>N77</f>
        <v/>
      </c>
      <c r="O54" s="210">
        <f>O77</f>
        <v/>
      </c>
      <c r="P54" s="210">
        <f>P77</f>
        <v/>
      </c>
      <c r="Q54" s="210">
        <f>Q77</f>
        <v/>
      </c>
      <c r="R54" s="210">
        <f>R77</f>
        <v/>
      </c>
      <c r="S54" s="210">
        <f>S77</f>
        <v/>
      </c>
      <c r="T54" s="210">
        <f>T77</f>
        <v/>
      </c>
      <c r="U54" s="210">
        <f>U77</f>
        <v/>
      </c>
      <c r="V54" s="210">
        <f>V77</f>
        <v/>
      </c>
      <c r="W54" s="210">
        <f>W77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D56+E55</f>
        <v/>
      </c>
      <c r="F56" s="220">
        <f>E56+F55</f>
        <v/>
      </c>
      <c r="G56" s="220">
        <f>F56+G55</f>
        <v/>
      </c>
      <c r="H56" s="220">
        <f>G56+H55</f>
        <v/>
      </c>
      <c r="I56" s="220">
        <f>H56+I55</f>
        <v/>
      </c>
      <c r="J56" s="220">
        <f>I56+J55</f>
        <v/>
      </c>
      <c r="K56" s="220">
        <f>J56+K55</f>
        <v/>
      </c>
      <c r="L56" s="220">
        <f>K56+L55</f>
        <v/>
      </c>
      <c r="M56" s="220">
        <f>L56+M55</f>
        <v/>
      </c>
      <c r="N56" s="220">
        <f>M56+N55</f>
        <v/>
      </c>
      <c r="O56" s="220">
        <f>N56+O55</f>
        <v/>
      </c>
      <c r="P56" s="220">
        <f>O56+P55</f>
        <v/>
      </c>
      <c r="Q56" s="220">
        <f>P56+Q55</f>
        <v/>
      </c>
      <c r="R56" s="220">
        <f>Q56+R55</f>
        <v/>
      </c>
      <c r="S56" s="220">
        <f>R56+S55</f>
        <v/>
      </c>
      <c r="T56" s="220">
        <f>S56+T55</f>
        <v/>
      </c>
      <c r="U56" s="220">
        <f>T56+U55</f>
        <v/>
      </c>
      <c r="V56" s="220">
        <f>U56+V55</f>
        <v/>
      </c>
      <c r="W56" s="220">
        <f>V56+W55</f>
        <v/>
      </c>
      <c r="X56" s="220">
        <f>W56+X55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0</v>
      </c>
      <c r="E70" s="210" t="n">
        <v>0</v>
      </c>
      <c r="F70" s="210" t="n">
        <v>0</v>
      </c>
      <c r="G70" s="210" t="n">
        <v>0</v>
      </c>
      <c r="H70" s="210" t="n">
        <v>0</v>
      </c>
      <c r="I70" s="210" t="n">
        <v>0</v>
      </c>
      <c r="J70" s="210" t="n">
        <v>0</v>
      </c>
      <c r="K70" s="210" t="n">
        <v>0</v>
      </c>
      <c r="L70" s="210" t="n">
        <v>0</v>
      </c>
      <c r="M70" s="210" t="n">
        <v>0</v>
      </c>
      <c r="N70" s="210" t="n">
        <v>0</v>
      </c>
      <c r="O70" s="210" t="n">
        <v>0</v>
      </c>
      <c r="P70" s="210" t="n">
        <v>0</v>
      </c>
      <c r="Q70" s="210" t="n">
        <v>0</v>
      </c>
      <c r="R70" s="210" t="n">
        <v>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8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10" customWidth="1" min="25" max="25"/>
    <col width="10" customWidth="1" min="26" max="26"/>
    <col width="10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  <c r="P1" s="280">
        <f>1-D11</f>
        <v/>
      </c>
      <c r="Q1" s="280">
        <f>P1-$D12</f>
        <v/>
      </c>
      <c r="R1" s="280">
        <f>Q1-$D12</f>
        <v/>
      </c>
      <c r="S1" s="280">
        <f>R1-$D12</f>
        <v/>
      </c>
      <c r="T1" s="280">
        <f>S1-$D12</f>
        <v/>
      </c>
      <c r="U1" s="280">
        <f>T1-$D12</f>
        <v/>
      </c>
      <c r="V1" s="280">
        <f>U1-$D12</f>
        <v/>
      </c>
      <c r="W1" s="280">
        <f>V1-$D12</f>
        <v/>
      </c>
      <c r="X1" s="280">
        <f>W1-$D12</f>
        <v/>
      </c>
      <c r="Y1" s="280">
        <f>X1-$D12</f>
        <v/>
      </c>
      <c r="Z1" s="280">
        <f>Y1-$D12</f>
        <v/>
      </c>
      <c r="AA1" s="280">
        <f>Z1-$D12</f>
        <v/>
      </c>
      <c r="AB1" s="280">
        <f>AA1-$D12</f>
        <v/>
      </c>
      <c r="AC1" s="280">
        <f>AB1-$D12</f>
        <v/>
      </c>
      <c r="AD1" s="280">
        <f>AC1-$D12</f>
        <v/>
      </c>
      <c r="AE1" s="280">
        <f>AD1-$D12</f>
        <v/>
      </c>
      <c r="AF1" s="280">
        <f>AE1-$D12</f>
        <v/>
      </c>
      <c r="AG1" s="280">
        <f>AF1-$D12</f>
        <v/>
      </c>
      <c r="AH1" s="280">
        <f>AG1-$D12</f>
        <v/>
      </c>
      <c r="AI1" s="280">
        <f>AH1-$D12</f>
        <v/>
      </c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2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第1次滾算摘要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34000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1.78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1.99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第1次滾算，減少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34000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$D$10*P1</f>
        <v/>
      </c>
      <c r="E40" s="194">
        <f>$D$10*Q1</f>
        <v/>
      </c>
      <c r="F40" s="194">
        <f>$D$10*R1</f>
        <v/>
      </c>
      <c r="G40" s="194">
        <f>$D$10*S1</f>
        <v/>
      </c>
      <c r="H40" s="194">
        <f>$D$10*T1</f>
        <v/>
      </c>
      <c r="I40" s="194">
        <f>$D$10*U1</f>
        <v/>
      </c>
      <c r="J40" s="194">
        <f>$D$10*V1</f>
        <v/>
      </c>
      <c r="K40" s="194">
        <f>$D$10*W1</f>
        <v/>
      </c>
      <c r="L40" s="194">
        <f>$D$10*X1</f>
        <v/>
      </c>
      <c r="M40" s="194">
        <f>$D$10*Y1</f>
        <v/>
      </c>
      <c r="N40" s="194">
        <f>$D$10*Z1</f>
        <v/>
      </c>
      <c r="O40" s="194">
        <f>$D$10*AA1</f>
        <v/>
      </c>
      <c r="P40" s="194">
        <f>$D$10*AB1</f>
        <v/>
      </c>
      <c r="Q40" s="194">
        <f>$D$10*AC1</f>
        <v/>
      </c>
      <c r="R40" s="194">
        <f>$D$10*AD1</f>
        <v/>
      </c>
      <c r="S40" s="194">
        <f>$D$10*AE1</f>
        <v/>
      </c>
      <c r="T40" s="194">
        <f>$D$10*AF1</f>
        <v/>
      </c>
      <c r="U40" s="194">
        <f>$D$10*AG1</f>
        <v/>
      </c>
      <c r="V40" s="194">
        <f>$D$10*AH1</f>
        <v/>
      </c>
      <c r="W40" s="194">
        <f>$D$10*AI1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-44482.2</v>
      </c>
      <c r="E49" s="210" t="n">
        <v>-44482.2</v>
      </c>
      <c r="F49" s="210" t="n">
        <v>-44482.2</v>
      </c>
      <c r="G49" s="210" t="n">
        <v>-44482.2</v>
      </c>
      <c r="H49" s="210" t="n">
        <v>-44482.2</v>
      </c>
      <c r="I49" s="210" t="n">
        <v>-44482.2</v>
      </c>
      <c r="J49" s="210" t="n">
        <v>-44482.2</v>
      </c>
      <c r="K49" s="210" t="n">
        <v>-44482.2</v>
      </c>
      <c r="L49" s="210" t="n">
        <v>-44482.2</v>
      </c>
      <c r="M49" s="210" t="n">
        <v>-44482.2</v>
      </c>
      <c r="N49" s="210" t="n">
        <v>-44482.2</v>
      </c>
      <c r="O49" s="210" t="n">
        <v>-44482.2</v>
      </c>
      <c r="P49" s="210" t="n">
        <v>-44482.2</v>
      </c>
      <c r="Q49" s="210" t="n">
        <v>-44482.2</v>
      </c>
      <c r="R49" s="210" t="n">
        <v>-44482.2</v>
      </c>
      <c r="S49" s="210" t="n">
        <v>-44482.2</v>
      </c>
      <c r="T49" s="210" t="n">
        <v>-44482.2</v>
      </c>
      <c r="U49" s="210" t="n">
        <v>-44482.2</v>
      </c>
      <c r="V49" s="210" t="n">
        <v>-44482.2</v>
      </c>
      <c r="W49" s="210" t="n">
        <v>-44482.2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D77</f>
        <v/>
      </c>
      <c r="E54" s="210">
        <f>E77</f>
        <v/>
      </c>
      <c r="F54" s="210">
        <f>F77</f>
        <v/>
      </c>
      <c r="G54" s="210">
        <f>G77</f>
        <v/>
      </c>
      <c r="H54" s="210">
        <f>H77</f>
        <v/>
      </c>
      <c r="I54" s="210">
        <f>I77</f>
        <v/>
      </c>
      <c r="J54" s="210">
        <f>J77</f>
        <v/>
      </c>
      <c r="K54" s="210">
        <f>K77</f>
        <v/>
      </c>
      <c r="L54" s="210">
        <f>L77</f>
        <v/>
      </c>
      <c r="M54" s="210">
        <f>M77</f>
        <v/>
      </c>
      <c r="N54" s="210">
        <f>N77</f>
        <v/>
      </c>
      <c r="O54" s="210">
        <f>O77</f>
        <v/>
      </c>
      <c r="P54" s="210">
        <f>P77</f>
        <v/>
      </c>
      <c r="Q54" s="210">
        <f>Q77</f>
        <v/>
      </c>
      <c r="R54" s="210">
        <f>R77</f>
        <v/>
      </c>
      <c r="S54" s="210">
        <f>S77</f>
        <v/>
      </c>
      <c r="T54" s="210">
        <f>T77</f>
        <v/>
      </c>
      <c r="U54" s="210">
        <f>U77</f>
        <v/>
      </c>
      <c r="V54" s="210">
        <f>V77</f>
        <v/>
      </c>
      <c r="W54" s="210">
        <f>W77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D56+E55</f>
        <v/>
      </c>
      <c r="F56" s="220">
        <f>E56+F55</f>
        <v/>
      </c>
      <c r="G56" s="220">
        <f>F56+G55</f>
        <v/>
      </c>
      <c r="H56" s="220">
        <f>G56+H55</f>
        <v/>
      </c>
      <c r="I56" s="220">
        <f>H56+I55</f>
        <v/>
      </c>
      <c r="J56" s="220">
        <f>I56+J55</f>
        <v/>
      </c>
      <c r="K56" s="220">
        <f>J56+K55</f>
        <v/>
      </c>
      <c r="L56" s="220">
        <f>K56+L55</f>
        <v/>
      </c>
      <c r="M56" s="220">
        <f>L56+M55</f>
        <v/>
      </c>
      <c r="N56" s="220">
        <f>M56+N55</f>
        <v/>
      </c>
      <c r="O56" s="220">
        <f>N56+O55</f>
        <v/>
      </c>
      <c r="P56" s="220">
        <f>O56+P55</f>
        <v/>
      </c>
      <c r="Q56" s="220">
        <f>P56+Q55</f>
        <v/>
      </c>
      <c r="R56" s="220">
        <f>Q56+R55</f>
        <v/>
      </c>
      <c r="S56" s="220">
        <f>R56+S55</f>
        <v/>
      </c>
      <c r="T56" s="220">
        <f>S56+T55</f>
        <v/>
      </c>
      <c r="U56" s="220">
        <f>T56+U55</f>
        <v/>
      </c>
      <c r="V56" s="220">
        <f>U56+V55</f>
        <v/>
      </c>
      <c r="W56" s="220">
        <f>V56+W55</f>
        <v/>
      </c>
      <c r="X56" s="220">
        <f>W56+X55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0</v>
      </c>
      <c r="E70" s="210" t="n">
        <v>0</v>
      </c>
      <c r="F70" s="210" t="n">
        <v>0</v>
      </c>
      <c r="G70" s="210" t="n">
        <v>0</v>
      </c>
      <c r="H70" s="210" t="n">
        <v>0</v>
      </c>
      <c r="I70" s="210" t="n">
        <v>0</v>
      </c>
      <c r="J70" s="210" t="n">
        <v>0</v>
      </c>
      <c r="K70" s="210" t="n">
        <v>0</v>
      </c>
      <c r="L70" s="210" t="n">
        <v>0</v>
      </c>
      <c r="M70" s="210" t="n">
        <v>0</v>
      </c>
      <c r="N70" s="210" t="n">
        <v>0</v>
      </c>
      <c r="O70" s="210" t="n">
        <v>0</v>
      </c>
      <c r="P70" s="210" t="n">
        <v>0</v>
      </c>
      <c r="Q70" s="210" t="n">
        <v>0</v>
      </c>
      <c r="R70" s="210" t="n">
        <v>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8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10" customWidth="1" min="25" max="25"/>
    <col width="10" customWidth="1" min="26" max="26"/>
    <col width="10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  <c r="P1" s="280">
        <f>1-D11</f>
        <v/>
      </c>
      <c r="Q1" s="280">
        <f>P1-$D12</f>
        <v/>
      </c>
      <c r="R1" s="280">
        <f>Q1-$D12</f>
        <v/>
      </c>
      <c r="S1" s="280">
        <f>R1-$D12</f>
        <v/>
      </c>
      <c r="T1" s="280">
        <f>S1-$D12</f>
        <v/>
      </c>
      <c r="U1" s="280">
        <f>T1-$D12</f>
        <v/>
      </c>
      <c r="V1" s="280">
        <f>U1-$D12</f>
        <v/>
      </c>
      <c r="W1" s="280">
        <f>V1-$D12</f>
        <v/>
      </c>
      <c r="X1" s="280">
        <f>W1-$D12</f>
        <v/>
      </c>
      <c r="Y1" s="280">
        <f>X1-$D12</f>
        <v/>
      </c>
      <c r="Z1" s="280">
        <f>Y1-$D12</f>
        <v/>
      </c>
      <c r="AA1" s="280">
        <f>Z1-$D12</f>
        <v/>
      </c>
      <c r="AB1" s="280">
        <f>AA1-$D12</f>
        <v/>
      </c>
      <c r="AC1" s="280">
        <f>AB1-$D12</f>
        <v/>
      </c>
      <c r="AD1" s="280">
        <f>AC1-$D12</f>
        <v/>
      </c>
      <c r="AE1" s="280">
        <f>AD1-$D12</f>
        <v/>
      </c>
      <c r="AF1" s="280">
        <f>AE1-$D12</f>
        <v/>
      </c>
      <c r="AG1" s="280">
        <f>AF1-$D12</f>
        <v/>
      </c>
      <c r="AH1" s="280">
        <f>AG1-$D12</f>
        <v/>
      </c>
      <c r="AI1" s="280">
        <f>AH1-$D12</f>
        <v/>
      </c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3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第2次滾算摘要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33000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2.03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2.75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第2次滾算，減少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33000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$D$10*P1</f>
        <v/>
      </c>
      <c r="E40" s="194">
        <f>$D$10*Q1</f>
        <v/>
      </c>
      <c r="F40" s="194">
        <f>$D$10*R1</f>
        <v/>
      </c>
      <c r="G40" s="194">
        <f>$D$10*S1</f>
        <v/>
      </c>
      <c r="H40" s="194">
        <f>$D$10*T1</f>
        <v/>
      </c>
      <c r="I40" s="194">
        <f>$D$10*U1</f>
        <v/>
      </c>
      <c r="J40" s="194">
        <f>$D$10*V1</f>
        <v/>
      </c>
      <c r="K40" s="194">
        <f>$D$10*W1</f>
        <v/>
      </c>
      <c r="L40" s="194">
        <f>$D$10*X1</f>
        <v/>
      </c>
      <c r="M40" s="194">
        <f>$D$10*Y1</f>
        <v/>
      </c>
      <c r="N40" s="194">
        <f>$D$10*Z1</f>
        <v/>
      </c>
      <c r="O40" s="194">
        <f>$D$10*AA1</f>
        <v/>
      </c>
      <c r="P40" s="194">
        <f>$D$10*AB1</f>
        <v/>
      </c>
      <c r="Q40" s="194">
        <f>$D$10*AC1</f>
        <v/>
      </c>
      <c r="R40" s="194">
        <f>$D$10*AD1</f>
        <v/>
      </c>
      <c r="S40" s="194">
        <f>$D$10*AE1</f>
        <v/>
      </c>
      <c r="T40" s="194">
        <f>$D$10*AF1</f>
        <v/>
      </c>
      <c r="U40" s="194">
        <f>$D$10*AG1</f>
        <v/>
      </c>
      <c r="V40" s="194">
        <f>$D$10*AH1</f>
        <v/>
      </c>
      <c r="W40" s="194">
        <f>$D$10*AI1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-43173.9</v>
      </c>
      <c r="E49" s="210" t="n">
        <v>-43173.9</v>
      </c>
      <c r="F49" s="210" t="n">
        <v>-43173.9</v>
      </c>
      <c r="G49" s="210" t="n">
        <v>-43173.9</v>
      </c>
      <c r="H49" s="210" t="n">
        <v>-43173.9</v>
      </c>
      <c r="I49" s="210" t="n">
        <v>-43173.9</v>
      </c>
      <c r="J49" s="210" t="n">
        <v>-43173.9</v>
      </c>
      <c r="K49" s="210" t="n">
        <v>-43173.9</v>
      </c>
      <c r="L49" s="210" t="n">
        <v>-43173.9</v>
      </c>
      <c r="M49" s="210" t="n">
        <v>-43173.9</v>
      </c>
      <c r="N49" s="210" t="n">
        <v>-43173.9</v>
      </c>
      <c r="O49" s="210" t="n">
        <v>-43173.9</v>
      </c>
      <c r="P49" s="210" t="n">
        <v>-43173.9</v>
      </c>
      <c r="Q49" s="210" t="n">
        <v>-43173.9</v>
      </c>
      <c r="R49" s="210" t="n">
        <v>-43173.9</v>
      </c>
      <c r="S49" s="210" t="n">
        <v>-43173.9</v>
      </c>
      <c r="T49" s="210" t="n">
        <v>-43173.9</v>
      </c>
      <c r="U49" s="210" t="n">
        <v>-43173.9</v>
      </c>
      <c r="V49" s="210" t="n">
        <v>-43173.9</v>
      </c>
      <c r="W49" s="210" t="n">
        <v>-43173.9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D77</f>
        <v/>
      </c>
      <c r="E54" s="210">
        <f>E77</f>
        <v/>
      </c>
      <c r="F54" s="210">
        <f>F77</f>
        <v/>
      </c>
      <c r="G54" s="210">
        <f>G77</f>
        <v/>
      </c>
      <c r="H54" s="210">
        <f>H77</f>
        <v/>
      </c>
      <c r="I54" s="210">
        <f>I77</f>
        <v/>
      </c>
      <c r="J54" s="210">
        <f>J77</f>
        <v/>
      </c>
      <c r="K54" s="210">
        <f>K77</f>
        <v/>
      </c>
      <c r="L54" s="210">
        <f>L77</f>
        <v/>
      </c>
      <c r="M54" s="210">
        <f>M77</f>
        <v/>
      </c>
      <c r="N54" s="210">
        <f>N77</f>
        <v/>
      </c>
      <c r="O54" s="210">
        <f>O77</f>
        <v/>
      </c>
      <c r="P54" s="210">
        <f>P77</f>
        <v/>
      </c>
      <c r="Q54" s="210">
        <f>Q77</f>
        <v/>
      </c>
      <c r="R54" s="210">
        <f>R77</f>
        <v/>
      </c>
      <c r="S54" s="210">
        <f>S77</f>
        <v/>
      </c>
      <c r="T54" s="210">
        <f>T77</f>
        <v/>
      </c>
      <c r="U54" s="210">
        <f>U77</f>
        <v/>
      </c>
      <c r="V54" s="210">
        <f>V77</f>
        <v/>
      </c>
      <c r="W54" s="210">
        <f>W77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D56+E55</f>
        <v/>
      </c>
      <c r="F56" s="220">
        <f>E56+F55</f>
        <v/>
      </c>
      <c r="G56" s="220">
        <f>F56+G55</f>
        <v/>
      </c>
      <c r="H56" s="220">
        <f>G56+H55</f>
        <v/>
      </c>
      <c r="I56" s="220">
        <f>H56+I55</f>
        <v/>
      </c>
      <c r="J56" s="220">
        <f>I56+J55</f>
        <v/>
      </c>
      <c r="K56" s="220">
        <f>J56+K55</f>
        <v/>
      </c>
      <c r="L56" s="220">
        <f>K56+L55</f>
        <v/>
      </c>
      <c r="M56" s="220">
        <f>L56+M55</f>
        <v/>
      </c>
      <c r="N56" s="220">
        <f>M56+N55</f>
        <v/>
      </c>
      <c r="O56" s="220">
        <f>N56+O55</f>
        <v/>
      </c>
      <c r="P56" s="220">
        <f>O56+P55</f>
        <v/>
      </c>
      <c r="Q56" s="220">
        <f>P56+Q55</f>
        <v/>
      </c>
      <c r="R56" s="220">
        <f>Q56+R55</f>
        <v/>
      </c>
      <c r="S56" s="220">
        <f>R56+S55</f>
        <v/>
      </c>
      <c r="T56" s="220">
        <f>S56+T55</f>
        <v/>
      </c>
      <c r="U56" s="220">
        <f>T56+U55</f>
        <v/>
      </c>
      <c r="V56" s="220">
        <f>U56+V55</f>
        <v/>
      </c>
      <c r="W56" s="220">
        <f>V56+W55</f>
        <v/>
      </c>
      <c r="X56" s="220">
        <f>W56+X55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0</v>
      </c>
      <c r="E70" s="210" t="n">
        <v>0</v>
      </c>
      <c r="F70" s="210" t="n">
        <v>0</v>
      </c>
      <c r="G70" s="210" t="n">
        <v>0</v>
      </c>
      <c r="H70" s="210" t="n">
        <v>0</v>
      </c>
      <c r="I70" s="210" t="n">
        <v>0</v>
      </c>
      <c r="J70" s="210" t="n">
        <v>0</v>
      </c>
      <c r="K70" s="210" t="n">
        <v>0</v>
      </c>
      <c r="L70" s="210" t="n">
        <v>0</v>
      </c>
      <c r="M70" s="210" t="n">
        <v>0</v>
      </c>
      <c r="N70" s="210" t="n">
        <v>0</v>
      </c>
      <c r="O70" s="210" t="n">
        <v>0</v>
      </c>
      <c r="P70" s="210" t="n">
        <v>0</v>
      </c>
      <c r="Q70" s="210" t="n">
        <v>0</v>
      </c>
      <c r="R70" s="210" t="n">
        <v>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8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38" customWidth="1" min="3" max="3"/>
    <col width="37" customWidth="1" min="4" max="4"/>
    <col width="37" customWidth="1" min="5" max="5"/>
    <col width="37" customWidth="1" min="6" max="6"/>
    <col width="37" customWidth="1" min="7" max="7"/>
    <col width="37" customWidth="1" min="8" max="8"/>
    <col width="37" customWidth="1" min="9" max="9"/>
    <col width="37" customWidth="1" min="10" max="10"/>
    <col width="37" customWidth="1" min="11" max="11"/>
    <col width="37" customWidth="1" min="12" max="12"/>
    <col width="50" customWidth="1" min="13" max="13"/>
    <col width="37" customWidth="1" min="14" max="14"/>
    <col width="37" customWidth="1" min="15" max="15"/>
    <col width="37" customWidth="1" min="16" max="16"/>
    <col width="37" customWidth="1" min="17" max="17"/>
    <col width="37" customWidth="1" min="18" max="18"/>
    <col width="37" customWidth="1" min="19" max="19"/>
    <col width="37" customWidth="1" min="20" max="20"/>
    <col width="37" customWidth="1" min="21" max="21"/>
    <col width="37" customWidth="1" min="22" max="22"/>
    <col width="37" customWidth="1" min="23" max="23"/>
    <col width="30" customWidth="1" min="24" max="24"/>
    <col width="10" customWidth="1" min="25" max="25"/>
    <col width="10" customWidth="1" min="26" max="26"/>
    <col width="10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8" customWidth="1" min="36" max="36"/>
    <col width="9.140625" customWidth="1" min="37" max="37"/>
  </cols>
  <sheetData>
    <row r="1" ht="22.5" customHeight="1">
      <c r="B1" s="152" t="inlineStr">
        <is>
          <t>電站基本資料</t>
        </is>
      </c>
      <c r="C1" s="153" t="n"/>
      <c r="D1" s="153" t="n"/>
      <c r="E1" s="154" t="n"/>
      <c r="P1" s="280">
        <f>1-D11</f>
        <v/>
      </c>
      <c r="Q1" s="280">
        <f>P1-$D12</f>
        <v/>
      </c>
      <c r="R1" s="280">
        <f>Q1-$D12</f>
        <v/>
      </c>
      <c r="S1" s="280">
        <f>R1-$D12</f>
        <v/>
      </c>
      <c r="T1" s="280">
        <f>S1-$D12</f>
        <v/>
      </c>
      <c r="U1" s="280">
        <f>T1-$D12</f>
        <v/>
      </c>
      <c r="V1" s="280">
        <f>U1-$D12</f>
        <v/>
      </c>
      <c r="W1" s="280">
        <f>V1-$D12</f>
        <v/>
      </c>
      <c r="X1" s="280">
        <f>W1-$D12</f>
        <v/>
      </c>
      <c r="Y1" s="280">
        <f>X1-$D12</f>
        <v/>
      </c>
      <c r="Z1" s="280">
        <f>Y1-$D12</f>
        <v/>
      </c>
      <c r="AA1" s="280">
        <f>Z1-$D12</f>
        <v/>
      </c>
      <c r="AB1" s="280">
        <f>AA1-$D12</f>
        <v/>
      </c>
      <c r="AC1" s="280">
        <f>AB1-$D12</f>
        <v/>
      </c>
      <c r="AD1" s="280">
        <f>AC1-$D12</f>
        <v/>
      </c>
      <c r="AE1" s="280">
        <f>AD1-$D12</f>
        <v/>
      </c>
      <c r="AF1" s="280">
        <f>AE1-$D12</f>
        <v/>
      </c>
      <c r="AG1" s="280">
        <f>AF1-$D12</f>
        <v/>
      </c>
      <c r="AH1" s="280">
        <f>AG1-$D12</f>
        <v/>
      </c>
      <c r="AI1" s="280">
        <f>AH1-$D12</f>
        <v/>
      </c>
    </row>
    <row r="2" ht="21.75" customHeight="1">
      <c r="B2" s="155" t="inlineStr">
        <is>
          <t>電站名稱</t>
        </is>
      </c>
      <c r="C2" s="156" t="inlineStr">
        <is>
          <t>淡江大學-財務模擬案場</t>
        </is>
      </c>
      <c r="D2" s="157" t="inlineStr">
        <is>
          <t>-</t>
        </is>
      </c>
      <c r="E2" s="157" t="inlineStr">
        <is>
          <t>-</t>
        </is>
      </c>
    </row>
    <row r="3" ht="21.75" customHeight="1">
      <c r="B3" s="158" t="inlineStr">
        <is>
          <t>電站壽命</t>
        </is>
      </c>
      <c r="C3" s="159" t="n">
        <v>20</v>
      </c>
      <c r="D3" s="160" t="inlineStr">
        <is>
          <t>-</t>
        </is>
      </c>
      <c r="E3" s="160" t="inlineStr">
        <is>
          <t>-</t>
        </is>
      </c>
    </row>
    <row r="4" ht="21.75" customHeight="1">
      <c r="B4" s="158" t="inlineStr">
        <is>
          <t>建置量(kWp)</t>
        </is>
      </c>
      <c r="C4" s="159" t="n">
        <v>436.1</v>
      </c>
      <c r="D4" s="160" t="inlineStr">
        <is>
          <t>-</t>
        </is>
      </c>
      <c r="E4" s="160" t="inlineStr">
        <is>
          <t>-</t>
        </is>
      </c>
      <c r="M4" t="inlineStr">
        <is>
          <t>滾算紀錄編號: 4</t>
        </is>
      </c>
    </row>
    <row r="5" ht="22.5" customHeight="1">
      <c r="B5" s="159" t="inlineStr">
        <is>
          <t>起始年度</t>
        </is>
      </c>
      <c r="C5" s="159" t="n">
        <v>2023</v>
      </c>
      <c r="D5" s="159" t="inlineStr">
        <is>
          <t>結束年度</t>
        </is>
      </c>
      <c r="E5" s="159" t="n">
        <v>2042</v>
      </c>
      <c r="M5" t="inlineStr">
        <is>
          <t>第3次滾算摘要</t>
        </is>
      </c>
    </row>
    <row r="6" ht="20.25" customHeight="1">
      <c r="B6" s="161" t="n"/>
      <c r="C6" s="161" t="n"/>
      <c r="D6" s="161" t="n"/>
      <c r="E6" s="161" t="n"/>
      <c r="M6" t="inlineStr">
        <is>
          <t>價金: 32000</t>
        </is>
      </c>
    </row>
    <row r="7" ht="22.5" customHeight="1">
      <c r="B7" s="162" t="inlineStr">
        <is>
          <t>綜合損益表</t>
        </is>
      </c>
      <c r="C7" s="153" t="n"/>
      <c r="D7" s="153" t="n"/>
      <c r="E7" s="154" t="n"/>
      <c r="M7" t="inlineStr">
        <is>
          <t>專案IRR: 2.3</t>
        </is>
      </c>
    </row>
    <row r="8" ht="22.5" customHeight="1">
      <c r="B8" s="163" t="inlineStr">
        <is>
          <t>收入</t>
        </is>
      </c>
      <c r="C8" s="164" t="n"/>
      <c r="D8" s="164" t="n"/>
      <c r="E8" s="165" t="n"/>
      <c r="M8" t="inlineStr">
        <is>
          <t>權益法IRR: 3.56</t>
        </is>
      </c>
    </row>
    <row r="9" ht="22.5" customHeight="1">
      <c r="B9" s="166" t="inlineStr">
        <is>
          <t>收支項目</t>
        </is>
      </c>
      <c r="C9" s="167" t="inlineStr">
        <is>
          <t>相關參數</t>
        </is>
      </c>
      <c r="D9" s="167" t="inlineStr">
        <is>
          <t>參數數值</t>
        </is>
      </c>
      <c r="E9" s="168" t="inlineStr">
        <is>
          <t>年限</t>
        </is>
      </c>
      <c r="M9" t="inlineStr">
        <is>
          <t>利潤率: 30.00%</t>
        </is>
      </c>
    </row>
    <row r="10" ht="21.75" customHeight="1">
      <c r="B10" s="169" t="inlineStr">
        <is>
          <t>電費收入</t>
        </is>
      </c>
      <c r="C10" s="156" t="inlineStr">
        <is>
          <t>年度AC併網總發電量</t>
        </is>
      </c>
      <c r="D10" s="156" t="n">
        <v>547002</v>
      </c>
      <c r="E10" s="169" t="n">
        <v>20</v>
      </c>
      <c r="M10" t="inlineStr">
        <is>
          <t>第3次滾算，減少 1000 元 - 現金模式，每次減少 1000 元</t>
        </is>
      </c>
    </row>
    <row r="11" ht="21.75" customHeight="1">
      <c r="B11" s="170" t="n"/>
      <c r="C11" s="159" t="inlineStr">
        <is>
          <t>首年衰退率</t>
        </is>
      </c>
      <c r="D11" s="159" t="n">
        <v>0.01</v>
      </c>
      <c r="E11" s="170" t="n"/>
    </row>
    <row r="12" ht="21.75" customHeight="1">
      <c r="B12" s="170" t="n"/>
      <c r="C12" s="159" t="inlineStr">
        <is>
          <t>次年衰退率</t>
        </is>
      </c>
      <c r="D12" s="159" t="n">
        <v>0.004</v>
      </c>
      <c r="E12" s="170" t="n"/>
    </row>
    <row r="13" ht="22.5" customHeight="1">
      <c r="B13" s="170" t="n"/>
      <c r="C13" s="171" t="inlineStr">
        <is>
          <t>躉售費率(FIT)</t>
        </is>
      </c>
      <c r="D13" s="171" t="n">
        <v>3.7152</v>
      </c>
      <c r="E13" s="170" t="n"/>
    </row>
    <row r="14" ht="22.5" customHeight="1">
      <c r="B14" s="172" t="inlineStr">
        <is>
          <t>支出</t>
        </is>
      </c>
      <c r="C14" s="153" t="n"/>
      <c r="D14" s="153" t="n"/>
      <c r="E14" s="154" t="n"/>
    </row>
    <row r="15" ht="22.5" customHeight="1">
      <c r="B15" s="166" t="inlineStr">
        <is>
          <t>收支項目</t>
        </is>
      </c>
      <c r="C15" s="167" t="inlineStr">
        <is>
          <t>相關參數</t>
        </is>
      </c>
      <c r="D15" s="167" t="inlineStr">
        <is>
          <t>參數數值</t>
        </is>
      </c>
      <c r="E15" s="173" t="inlineStr">
        <is>
          <t>攤提年限</t>
        </is>
      </c>
    </row>
    <row r="16" ht="21.75" customHeight="1">
      <c r="B16" s="174" t="inlineStr">
        <is>
          <t>設備費用(價金)</t>
        </is>
      </c>
      <c r="C16" s="155" t="inlineStr">
        <is>
          <t>每kWp設備成本</t>
        </is>
      </c>
      <c r="D16" s="156" t="n">
        <v>32000</v>
      </c>
      <c r="E16" s="175" t="n">
        <v>20</v>
      </c>
    </row>
    <row r="17" ht="21.75" customHeight="1">
      <c r="B17" s="170" t="n"/>
      <c r="C17" s="159" t="inlineStr">
        <is>
          <t>信邦利潤率</t>
        </is>
      </c>
      <c r="D17" s="159" t="n">
        <v>0.3</v>
      </c>
      <c r="E17" s="170" t="n"/>
    </row>
    <row r="18" ht="21.75" customHeight="1">
      <c r="B18" s="176" t="n"/>
      <c r="C18" s="159" t="inlineStr">
        <is>
          <t>開發費</t>
        </is>
      </c>
      <c r="D18" s="159" t="n">
        <v>3000</v>
      </c>
      <c r="E18" s="176" t="n"/>
    </row>
    <row r="19" ht="54" customHeight="1">
      <c r="B19" s="177" t="inlineStr">
        <is>
          <t>租金費用</t>
        </is>
      </c>
      <c r="C19" s="178" t="inlineStr">
        <is>
          <t>租金計算方式
(1=固定攤提/2=電費抽成)</t>
        </is>
      </c>
      <c r="D19" s="159" t="n">
        <v>1</v>
      </c>
      <c r="E19" s="157" t="n">
        <v>0</v>
      </c>
    </row>
    <row r="20" ht="20.25" customHeight="1">
      <c r="B20" s="170" t="n"/>
      <c r="C20" s="179" t="inlineStr">
        <is>
          <t>【方式1參數】租金總額</t>
        </is>
      </c>
      <c r="D20" s="159" t="n">
        <v>290201</v>
      </c>
      <c r="E20" s="157" t="n">
        <v>20</v>
      </c>
    </row>
    <row r="21" ht="21.75" customHeight="1">
      <c r="B21" s="176" t="n"/>
      <c r="C21" s="159" t="inlineStr">
        <is>
          <t>【方式2參數】抽成比率</t>
        </is>
      </c>
      <c r="D21" s="159" t="n">
        <v>0</v>
      </c>
      <c r="E21" s="160" t="n">
        <v>0</v>
      </c>
    </row>
    <row r="22" ht="21.75" customHeight="1">
      <c r="B22" s="159" t="inlineStr">
        <is>
          <t>運維費用</t>
        </is>
      </c>
      <c r="C22" s="159" t="inlineStr">
        <is>
          <t>每kw運維成本</t>
        </is>
      </c>
      <c r="D22" s="159" t="n">
        <v>400</v>
      </c>
      <c r="E22" s="160" t="n">
        <v>20</v>
      </c>
    </row>
    <row r="23" ht="21.75" customHeight="1">
      <c r="B23" s="159" t="inlineStr">
        <is>
          <t>保險費用</t>
        </is>
      </c>
      <c r="C23" s="158" t="inlineStr">
        <is>
          <t>占整體設備費用比例</t>
        </is>
      </c>
      <c r="D23" s="159" t="n">
        <v>0.003</v>
      </c>
      <c r="E23" s="160" t="n">
        <v>20</v>
      </c>
    </row>
    <row r="24" ht="21.75" customHeight="1">
      <c r="B24" s="159" t="inlineStr">
        <is>
          <t>模組回收費用</t>
        </is>
      </c>
      <c r="C24" s="159" t="inlineStr">
        <is>
          <t>每kw模組回收成本</t>
        </is>
      </c>
      <c r="D24" s="159" t="n">
        <v>1000</v>
      </c>
      <c r="E24" s="160" t="n">
        <v>10</v>
      </c>
    </row>
    <row r="25" ht="21.75" customHeight="1">
      <c r="B25" s="159" t="inlineStr">
        <is>
          <t>利息費用</t>
        </is>
      </c>
      <c r="C25" s="159" t="inlineStr">
        <is>
          <t>銀行利率</t>
        </is>
      </c>
      <c r="D25" s="180" t="n">
        <v>0.025595</v>
      </c>
      <c r="E25" s="160" t="n">
        <v>0</v>
      </c>
    </row>
    <row r="26" ht="22.5" customHeight="1">
      <c r="B26" s="159" t="inlineStr">
        <is>
          <t>所得稅</t>
        </is>
      </c>
      <c r="C26" s="159" t="inlineStr">
        <is>
          <t>所得稅率</t>
        </is>
      </c>
      <c r="D26" s="159" t="n">
        <v>0.2</v>
      </c>
      <c r="E26" s="160" t="n">
        <v>0</v>
      </c>
    </row>
    <row r="27" ht="20.25" customHeight="1">
      <c r="B27" s="161" t="n"/>
      <c r="C27" s="161" t="n"/>
      <c r="D27" s="161" t="n"/>
      <c r="E27" s="161" t="n"/>
    </row>
    <row r="28" ht="20.25" customHeight="1">
      <c r="B28" s="161" t="n"/>
      <c r="C28" s="161" t="n"/>
      <c r="D28" s="161" t="n"/>
      <c r="E28" s="161" t="n"/>
    </row>
    <row r="29" ht="22.5" customHeight="1">
      <c r="B29" s="162" t="inlineStr">
        <is>
          <t>現金流量表</t>
        </is>
      </c>
      <c r="C29" s="153" t="n"/>
      <c r="D29" s="154" t="n"/>
      <c r="E29" s="161" t="n"/>
    </row>
    <row r="30" ht="22.5" customHeight="1">
      <c r="B30" s="166" t="inlineStr">
        <is>
          <t>金流項目</t>
        </is>
      </c>
      <c r="C30" s="167" t="inlineStr">
        <is>
          <t>相關參數</t>
        </is>
      </c>
      <c r="D30" s="173" t="inlineStr">
        <is>
          <t>參數數值</t>
        </is>
      </c>
      <c r="E30" s="161" t="n"/>
    </row>
    <row r="31" ht="18.75" customHeight="1">
      <c r="B31" s="155" t="inlineStr">
        <is>
          <t>貸款成數</t>
        </is>
      </c>
      <c r="C31" s="155" t="inlineStr">
        <is>
          <t>占總設備費用比例</t>
        </is>
      </c>
      <c r="D31" s="156" t="n">
        <v>0.8</v>
      </c>
      <c r="E31" s="161" t="n"/>
    </row>
    <row r="32" ht="18.75" customHeight="1">
      <c r="B32" s="156" t="inlineStr">
        <is>
          <t>貸款還款</t>
        </is>
      </c>
      <c r="C32" s="156" t="inlineStr">
        <is>
          <t>攤還期數</t>
        </is>
      </c>
      <c r="D32" s="156" t="n">
        <v>15</v>
      </c>
      <c r="E32" s="161" t="n"/>
    </row>
    <row r="33" ht="18.75" customHeight="1">
      <c r="B33" s="159" t="inlineStr">
        <is>
          <t>現金股利</t>
        </is>
      </c>
      <c r="C33" s="159" t="inlineStr">
        <is>
          <t>股利比率</t>
        </is>
      </c>
      <c r="D33" s="159" t="n">
        <v>0.9</v>
      </c>
      <c r="E33" s="161" t="n"/>
    </row>
    <row r="34" ht="18.75" customHeight="1">
      <c r="B34" s="159" t="inlineStr">
        <is>
          <t>年底減資</t>
        </is>
      </c>
      <c r="C34" s="159" t="inlineStr">
        <is>
          <t>攤還期數</t>
        </is>
      </c>
      <c r="D34" s="159" t="n">
        <v>4</v>
      </c>
      <c r="E34" s="161" t="n"/>
    </row>
    <row r="35" ht="18.75" customHeight="1"/>
    <row r="36" ht="18.75" customHeight="1"/>
    <row r="37" ht="18.75" customHeight="1">
      <c r="B37" s="95" t="n"/>
      <c r="C37" s="30" t="inlineStr">
        <is>
          <t>年份</t>
        </is>
      </c>
      <c r="D37" s="30" t="n">
        <v>2023</v>
      </c>
      <c r="E37" s="30" t="n">
        <v>2024</v>
      </c>
      <c r="F37" s="30" t="n">
        <v>2025</v>
      </c>
      <c r="G37" s="30" t="n">
        <v>2026</v>
      </c>
      <c r="H37" s="30" t="n">
        <v>2027</v>
      </c>
      <c r="I37" s="30" t="n">
        <v>2028</v>
      </c>
      <c r="J37" s="30" t="n">
        <v>2029</v>
      </c>
      <c r="K37" s="30" t="n">
        <v>2030</v>
      </c>
      <c r="L37" s="30" t="n">
        <v>2031</v>
      </c>
      <c r="M37" s="30" t="n">
        <v>2032</v>
      </c>
      <c r="N37" s="30" t="n">
        <v>2033</v>
      </c>
      <c r="O37" s="30" t="n">
        <v>2034</v>
      </c>
      <c r="P37" s="30" t="n">
        <v>2035</v>
      </c>
      <c r="Q37" s="30" t="n">
        <v>2036</v>
      </c>
      <c r="R37" s="30" t="n">
        <v>2037</v>
      </c>
      <c r="S37" s="30" t="n">
        <v>2038</v>
      </c>
      <c r="T37" s="30" t="n">
        <v>2039</v>
      </c>
      <c r="U37" s="30" t="n">
        <v>2040</v>
      </c>
      <c r="V37" s="30" t="n">
        <v>2041</v>
      </c>
      <c r="W37" s="30" t="n">
        <v>2042</v>
      </c>
      <c r="X37" s="30" t="n"/>
    </row>
    <row r="38" ht="18.75" customHeight="1">
      <c r="B38" s="181" t="n">
        <v>0</v>
      </c>
      <c r="C38" s="182" t="n"/>
      <c r="D38" s="183" t="n"/>
      <c r="E38" s="183" t="n"/>
      <c r="F38" s="184" t="n"/>
      <c r="G38" s="185" t="n"/>
      <c r="H38" s="185" t="n"/>
      <c r="I38" s="185" t="n"/>
      <c r="J38" s="185" t="n"/>
      <c r="K38" s="185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6" t="n"/>
      <c r="U38" s="185" t="n"/>
      <c r="V38" s="185" t="n"/>
      <c r="W38" s="185" t="n"/>
      <c r="X38" s="187" t="n"/>
    </row>
    <row r="39" ht="18.75" customHeight="1">
      <c r="B39" s="188" t="inlineStr">
        <is>
          <t>(Unit : Currency)</t>
        </is>
      </c>
      <c r="C39" s="189" t="n">
        <v>0</v>
      </c>
      <c r="D39" s="190" t="n">
        <v>1</v>
      </c>
      <c r="E39" s="190" t="n">
        <v>2</v>
      </c>
      <c r="F39" s="190" t="n">
        <v>3</v>
      </c>
      <c r="G39" s="190" t="n">
        <v>4</v>
      </c>
      <c r="H39" s="190" t="n">
        <v>5</v>
      </c>
      <c r="I39" s="190" t="n">
        <v>6</v>
      </c>
      <c r="J39" s="190" t="n">
        <v>7</v>
      </c>
      <c r="K39" s="190" t="n">
        <v>8</v>
      </c>
      <c r="L39" s="190" t="n">
        <v>9</v>
      </c>
      <c r="M39" s="190" t="n">
        <v>10</v>
      </c>
      <c r="N39" s="190" t="n">
        <v>11</v>
      </c>
      <c r="O39" s="190" t="n">
        <v>12</v>
      </c>
      <c r="P39" s="190" t="n">
        <v>13</v>
      </c>
      <c r="Q39" s="190" t="n">
        <v>14</v>
      </c>
      <c r="R39" s="190" t="n">
        <v>15</v>
      </c>
      <c r="S39" s="190" t="n">
        <v>16</v>
      </c>
      <c r="T39" s="191" t="n">
        <v>17</v>
      </c>
      <c r="U39" s="190" t="n">
        <v>18</v>
      </c>
      <c r="V39" s="190" t="n">
        <v>19</v>
      </c>
      <c r="W39" s="190" t="n">
        <v>20</v>
      </c>
      <c r="X39" s="42" t="n"/>
    </row>
    <row r="40" ht="18.75" customHeight="1">
      <c r="B40" s="192" t="inlineStr">
        <is>
          <t>發電度數(KWH)</t>
        </is>
      </c>
      <c r="C40" s="193" t="n">
        <v>0</v>
      </c>
      <c r="D40" s="194">
        <f>$D$10*P1</f>
        <v/>
      </c>
      <c r="E40" s="194">
        <f>$D$10*Q1</f>
        <v/>
      </c>
      <c r="F40" s="194">
        <f>$D$10*R1</f>
        <v/>
      </c>
      <c r="G40" s="194">
        <f>$D$10*S1</f>
        <v/>
      </c>
      <c r="H40" s="194">
        <f>$D$10*T1</f>
        <v/>
      </c>
      <c r="I40" s="194">
        <f>$D$10*U1</f>
        <v/>
      </c>
      <c r="J40" s="194">
        <f>$D$10*V1</f>
        <v/>
      </c>
      <c r="K40" s="194">
        <f>$D$10*W1</f>
        <v/>
      </c>
      <c r="L40" s="194">
        <f>$D$10*X1</f>
        <v/>
      </c>
      <c r="M40" s="194">
        <f>$D$10*Y1</f>
        <v/>
      </c>
      <c r="N40" s="194">
        <f>$D$10*Z1</f>
        <v/>
      </c>
      <c r="O40" s="194">
        <f>$D$10*AA1</f>
        <v/>
      </c>
      <c r="P40" s="194">
        <f>$D$10*AB1</f>
        <v/>
      </c>
      <c r="Q40" s="194">
        <f>$D$10*AC1</f>
        <v/>
      </c>
      <c r="R40" s="194">
        <f>$D$10*AD1</f>
        <v/>
      </c>
      <c r="S40" s="194">
        <f>$D$10*AE1</f>
        <v/>
      </c>
      <c r="T40" s="194">
        <f>$D$10*AF1</f>
        <v/>
      </c>
      <c r="U40" s="194">
        <f>$D$10*AG1</f>
        <v/>
      </c>
      <c r="V40" s="194">
        <f>$D$10*AH1</f>
        <v/>
      </c>
      <c r="W40" s="194">
        <f>$D$10*AI1</f>
        <v/>
      </c>
      <c r="X40" s="195" t="n"/>
    </row>
    <row r="41" ht="18.75" customHeight="1">
      <c r="B41" s="196" t="inlineStr">
        <is>
          <t>Inflow : 電費收入</t>
        </is>
      </c>
      <c r="C41" s="197" t="inlineStr">
        <is>
          <t>-</t>
        </is>
      </c>
      <c r="D41" s="198">
        <f>D40*$D$13</f>
        <v/>
      </c>
      <c r="E41" s="198">
        <f>E40*$D$13</f>
        <v/>
      </c>
      <c r="F41" s="198">
        <f>F40*$D$13</f>
        <v/>
      </c>
      <c r="G41" s="198">
        <f>G40*$D$13</f>
        <v/>
      </c>
      <c r="H41" s="198">
        <f>H40*$D$13</f>
        <v/>
      </c>
      <c r="I41" s="198">
        <f>I40*$D$13</f>
        <v/>
      </c>
      <c r="J41" s="198">
        <f>J40*$D$13</f>
        <v/>
      </c>
      <c r="K41" s="198">
        <f>K40*$D$13</f>
        <v/>
      </c>
      <c r="L41" s="198">
        <f>L40*$D$13</f>
        <v/>
      </c>
      <c r="M41" s="198">
        <f>M40*$D$13</f>
        <v/>
      </c>
      <c r="N41" s="198">
        <f>N40*$D$13</f>
        <v/>
      </c>
      <c r="O41" s="198">
        <f>O40*$D$13</f>
        <v/>
      </c>
      <c r="P41" s="198">
        <f>P40*$D$13</f>
        <v/>
      </c>
      <c r="Q41" s="198">
        <f>Q40*$D$13</f>
        <v/>
      </c>
      <c r="R41" s="198">
        <f>R40*$D$13</f>
        <v/>
      </c>
      <c r="S41" s="198">
        <f>S40*$D$13</f>
        <v/>
      </c>
      <c r="T41" s="198">
        <f>T40*$D$13</f>
        <v/>
      </c>
      <c r="U41" s="198">
        <f>U40*$D$13</f>
        <v/>
      </c>
      <c r="V41" s="198">
        <f>V40*$D$13</f>
        <v/>
      </c>
      <c r="W41" s="198">
        <f>W40*$D$13</f>
        <v/>
      </c>
      <c r="X41" s="199" t="n"/>
    </row>
    <row r="42" ht="18.75" customHeight="1">
      <c r="B42" s="200" t="inlineStr">
        <is>
          <t>Inflow : 政府補助</t>
        </is>
      </c>
      <c r="C42" s="201" t="inlineStr">
        <is>
          <t>-</t>
        </is>
      </c>
      <c r="D42" s="202" t="n"/>
      <c r="E42" s="202" t="n"/>
      <c r="F42" s="202" t="n"/>
      <c r="G42" s="202" t="inlineStr">
        <is>
          <t>-</t>
        </is>
      </c>
      <c r="H42" s="202" t="inlineStr">
        <is>
          <t>-</t>
        </is>
      </c>
      <c r="I42" s="202" t="inlineStr">
        <is>
          <t>-</t>
        </is>
      </c>
      <c r="J42" s="202" t="inlineStr">
        <is>
          <t>-</t>
        </is>
      </c>
      <c r="K42" s="202" t="inlineStr">
        <is>
          <t>-</t>
        </is>
      </c>
      <c r="L42" s="202" t="inlineStr">
        <is>
          <t>-</t>
        </is>
      </c>
      <c r="M42" s="202" t="inlineStr">
        <is>
          <t>-</t>
        </is>
      </c>
      <c r="N42" s="202" t="inlineStr">
        <is>
          <t>-</t>
        </is>
      </c>
      <c r="O42" s="202" t="inlineStr">
        <is>
          <t>-</t>
        </is>
      </c>
      <c r="P42" s="202" t="inlineStr">
        <is>
          <t>-</t>
        </is>
      </c>
      <c r="Q42" s="202" t="inlineStr">
        <is>
          <t>-</t>
        </is>
      </c>
      <c r="R42" s="202" t="inlineStr">
        <is>
          <t>-</t>
        </is>
      </c>
      <c r="S42" s="202" t="inlineStr">
        <is>
          <t>-</t>
        </is>
      </c>
      <c r="T42" s="202" t="inlineStr">
        <is>
          <t>-</t>
        </is>
      </c>
      <c r="U42" s="202" t="inlineStr">
        <is>
          <t>-</t>
        </is>
      </c>
      <c r="V42" s="202" t="inlineStr">
        <is>
          <t>-</t>
        </is>
      </c>
      <c r="W42" s="202" t="inlineStr">
        <is>
          <t>-</t>
        </is>
      </c>
      <c r="X42" s="203" t="n"/>
    </row>
    <row r="43" ht="18.75" customHeight="1">
      <c r="B43" s="204" t="inlineStr">
        <is>
          <t>Inflow : 銀行借款</t>
        </is>
      </c>
      <c r="C43" s="205" t="n"/>
      <c r="D43" s="206" t="n"/>
      <c r="E43" s="206" t="n"/>
      <c r="F43" s="206" t="n"/>
      <c r="G43" s="206" t="n"/>
      <c r="H43" s="206" t="n"/>
      <c r="I43" s="206" t="n"/>
      <c r="J43" s="206" t="n"/>
      <c r="K43" s="206" t="n"/>
      <c r="L43" s="206" t="n"/>
      <c r="M43" s="206" t="n"/>
      <c r="N43" s="206" t="n"/>
      <c r="O43" s="206" t="n"/>
      <c r="P43" s="206" t="n"/>
      <c r="Q43" s="206" t="n"/>
      <c r="R43" s="206" t="n"/>
      <c r="S43" s="206" t="n"/>
      <c r="T43" s="206" t="n"/>
      <c r="U43" s="206" t="n"/>
      <c r="V43" s="206" t="n"/>
      <c r="W43" s="206" t="n"/>
      <c r="X43" s="207" t="n"/>
    </row>
    <row r="44" ht="18.75" customHeight="1">
      <c r="B44" s="208" t="inlineStr">
        <is>
          <t>Outflow : 設備費用</t>
        </is>
      </c>
      <c r="C44" s="209">
        <f>-(D16/(1-D17)+D18)*C4</f>
        <v/>
      </c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</row>
    <row r="45" ht="18.75" customHeight="1">
      <c r="B45" s="208" t="inlineStr">
        <is>
          <t>Outflow : 設備放置區域租金</t>
        </is>
      </c>
      <c r="C45" s="201" t="inlineStr">
        <is>
          <t>-</t>
        </is>
      </c>
      <c r="D45" s="210" t="n">
        <v>0</v>
      </c>
      <c r="E45" s="210" t="n">
        <v>-290201</v>
      </c>
      <c r="F45" s="210" t="n">
        <v>-290201</v>
      </c>
      <c r="G45" s="210" t="n">
        <v>-290201</v>
      </c>
      <c r="H45" s="210" t="n">
        <v>-290201</v>
      </c>
      <c r="I45" s="210" t="n">
        <v>-290201</v>
      </c>
      <c r="J45" s="210" t="n">
        <v>-290201</v>
      </c>
      <c r="K45" s="210" t="n">
        <v>-290201</v>
      </c>
      <c r="L45" s="210" t="n">
        <v>-290201</v>
      </c>
      <c r="M45" s="210" t="n">
        <v>-290201</v>
      </c>
      <c r="N45" s="210" t="n">
        <v>-290201</v>
      </c>
      <c r="O45" s="210" t="n">
        <v>-290201</v>
      </c>
      <c r="P45" s="210" t="n">
        <v>-290201</v>
      </c>
      <c r="Q45" s="210" t="n">
        <v>-290201</v>
      </c>
      <c r="R45" s="210" t="n">
        <v>-290201</v>
      </c>
      <c r="S45" s="210" t="n">
        <v>-290201</v>
      </c>
      <c r="T45" s="210" t="n">
        <v>-290201</v>
      </c>
      <c r="U45" s="210" t="n">
        <v>-290201</v>
      </c>
      <c r="V45" s="210" t="n">
        <v>-290201</v>
      </c>
      <c r="W45" s="210" t="n">
        <v>-290201</v>
      </c>
      <c r="X45" s="210" t="n"/>
    </row>
    <row r="46" ht="18.75" customHeight="1">
      <c r="B46" s="208" t="inlineStr">
        <is>
          <t>Outflow : 返還借款</t>
        </is>
      </c>
      <c r="C46" s="201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</row>
    <row r="47" ht="18.75" customHeight="1">
      <c r="B47" s="208" t="inlineStr">
        <is>
          <t>Outflow : 利息費用</t>
        </is>
      </c>
      <c r="C47" s="201" t="inlineStr">
        <is>
          <t>-</t>
        </is>
      </c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</row>
    <row r="48" ht="18.75" customHeight="1">
      <c r="B48" s="208" t="inlineStr">
        <is>
          <t>Outflow : 維運費</t>
        </is>
      </c>
      <c r="C48" s="201" t="inlineStr">
        <is>
          <t>-</t>
        </is>
      </c>
      <c r="D48" s="210" t="n">
        <v>-174440</v>
      </c>
      <c r="E48" s="210" t="n">
        <v>-174440</v>
      </c>
      <c r="F48" s="210" t="n">
        <v>-174440</v>
      </c>
      <c r="G48" s="210" t="n">
        <v>-174440</v>
      </c>
      <c r="H48" s="210" t="n">
        <v>-174440</v>
      </c>
      <c r="I48" s="210" t="n">
        <v>-174440</v>
      </c>
      <c r="J48" s="210" t="n">
        <v>-174440</v>
      </c>
      <c r="K48" s="210" t="n">
        <v>-174440</v>
      </c>
      <c r="L48" s="210" t="n">
        <v>-174440</v>
      </c>
      <c r="M48" s="210" t="n">
        <v>-174440</v>
      </c>
      <c r="N48" s="210" t="n">
        <v>-174440</v>
      </c>
      <c r="O48" s="210" t="n">
        <v>-174440</v>
      </c>
      <c r="P48" s="210" t="n">
        <v>-174440</v>
      </c>
      <c r="Q48" s="210" t="n">
        <v>-174440</v>
      </c>
      <c r="R48" s="210" t="n">
        <v>-174440</v>
      </c>
      <c r="S48" s="210" t="n">
        <v>-174440</v>
      </c>
      <c r="T48" s="210" t="n">
        <v>-174440</v>
      </c>
      <c r="U48" s="210" t="n">
        <v>-174440</v>
      </c>
      <c r="V48" s="210" t="n">
        <v>-174440</v>
      </c>
      <c r="W48" s="210" t="n">
        <v>-174440</v>
      </c>
      <c r="X48" s="210" t="n"/>
    </row>
    <row r="49" ht="18.75" customHeight="1">
      <c r="B49" s="208" t="inlineStr">
        <is>
          <t>Outflow : 保險費</t>
        </is>
      </c>
      <c r="C49" s="201" t="inlineStr">
        <is>
          <t>-</t>
        </is>
      </c>
      <c r="D49" s="210" t="n">
        <v>-41865.6</v>
      </c>
      <c r="E49" s="210" t="n">
        <v>-41865.6</v>
      </c>
      <c r="F49" s="210" t="n">
        <v>-41865.6</v>
      </c>
      <c r="G49" s="210" t="n">
        <v>-41865.6</v>
      </c>
      <c r="H49" s="210" t="n">
        <v>-41865.6</v>
      </c>
      <c r="I49" s="210" t="n">
        <v>-41865.6</v>
      </c>
      <c r="J49" s="210" t="n">
        <v>-41865.6</v>
      </c>
      <c r="K49" s="210" t="n">
        <v>-41865.6</v>
      </c>
      <c r="L49" s="210" t="n">
        <v>-41865.6</v>
      </c>
      <c r="M49" s="210" t="n">
        <v>-41865.6</v>
      </c>
      <c r="N49" s="210" t="n">
        <v>-41865.6</v>
      </c>
      <c r="O49" s="210" t="n">
        <v>-41865.6</v>
      </c>
      <c r="P49" s="210" t="n">
        <v>-41865.6</v>
      </c>
      <c r="Q49" s="210" t="n">
        <v>-41865.6</v>
      </c>
      <c r="R49" s="210" t="n">
        <v>-41865.6</v>
      </c>
      <c r="S49" s="210" t="n">
        <v>-41865.6</v>
      </c>
      <c r="T49" s="210" t="n">
        <v>-41865.6</v>
      </c>
      <c r="U49" s="210" t="n">
        <v>-41865.6</v>
      </c>
      <c r="V49" s="210" t="n">
        <v>-41865.6</v>
      </c>
      <c r="W49" s="210" t="n">
        <v>-41865.6</v>
      </c>
      <c r="X49" s="210" t="n"/>
    </row>
    <row r="50" ht="18.75" customHeight="1">
      <c r="B50" s="208" t="inlineStr">
        <is>
          <t>Outflow : 模組回收費</t>
        </is>
      </c>
      <c r="C50" s="201" t="n"/>
      <c r="D50" s="210" t="n">
        <v>-43610</v>
      </c>
      <c r="E50" s="210" t="n">
        <v>-43610</v>
      </c>
      <c r="F50" s="210" t="n">
        <v>-43610</v>
      </c>
      <c r="G50" s="210" t="n">
        <v>-43610</v>
      </c>
      <c r="H50" s="210" t="n">
        <v>-43610</v>
      </c>
      <c r="I50" s="210" t="n">
        <v>-43610</v>
      </c>
      <c r="J50" s="210" t="n">
        <v>-43610</v>
      </c>
      <c r="K50" s="210" t="n">
        <v>-43610</v>
      </c>
      <c r="L50" s="210" t="n">
        <v>-43610</v>
      </c>
      <c r="M50" s="210" t="n">
        <v>-43610</v>
      </c>
      <c r="N50" s="210" t="n">
        <v>0</v>
      </c>
      <c r="O50" s="210" t="n">
        <v>0</v>
      </c>
      <c r="P50" s="210" t="n">
        <v>0</v>
      </c>
      <c r="Q50" s="210" t="n">
        <v>0</v>
      </c>
      <c r="R50" s="210" t="n">
        <v>0</v>
      </c>
      <c r="S50" s="210" t="n">
        <v>0</v>
      </c>
      <c r="T50" s="210" t="n">
        <v>0</v>
      </c>
      <c r="U50" s="210" t="n">
        <v>0</v>
      </c>
      <c r="V50" s="210" t="n">
        <v>0</v>
      </c>
      <c r="W50" s="210" t="n">
        <v>0</v>
      </c>
      <c r="X50" s="210" t="n"/>
    </row>
    <row r="51" ht="18.75" customHeight="1">
      <c r="B51" s="208" t="inlineStr">
        <is>
          <t>Outflow : 其它費用(人事薪資…等)</t>
        </is>
      </c>
      <c r="C51" s="211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</row>
    <row r="52" ht="18.75" customHeight="1">
      <c r="B52" s="208" t="inlineStr">
        <is>
          <t>1%管理費</t>
        </is>
      </c>
      <c r="C52" s="211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</row>
    <row r="53" ht="18.75" customHeight="1">
      <c r="B53" s="212" t="inlineStr">
        <is>
          <t>績效獎金</t>
        </is>
      </c>
      <c r="C53" s="211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</row>
    <row r="54" ht="18.75" customHeight="1">
      <c r="B54" s="212" t="inlineStr">
        <is>
          <t>所得稅20%</t>
        </is>
      </c>
      <c r="C54" s="211" t="n"/>
      <c r="D54" s="210">
        <f>D77</f>
        <v/>
      </c>
      <c r="E54" s="210">
        <f>E77</f>
        <v/>
      </c>
      <c r="F54" s="210">
        <f>F77</f>
        <v/>
      </c>
      <c r="G54" s="210">
        <f>G77</f>
        <v/>
      </c>
      <c r="H54" s="210">
        <f>H77</f>
        <v/>
      </c>
      <c r="I54" s="210">
        <f>I77</f>
        <v/>
      </c>
      <c r="J54" s="210">
        <f>J77</f>
        <v/>
      </c>
      <c r="K54" s="210">
        <f>K77</f>
        <v/>
      </c>
      <c r="L54" s="210">
        <f>L77</f>
        <v/>
      </c>
      <c r="M54" s="210">
        <f>M77</f>
        <v/>
      </c>
      <c r="N54" s="210">
        <f>N77</f>
        <v/>
      </c>
      <c r="O54" s="210">
        <f>O77</f>
        <v/>
      </c>
      <c r="P54" s="210">
        <f>P77</f>
        <v/>
      </c>
      <c r="Q54" s="210">
        <f>Q77</f>
        <v/>
      </c>
      <c r="R54" s="210">
        <f>R77</f>
        <v/>
      </c>
      <c r="S54" s="210">
        <f>S77</f>
        <v/>
      </c>
      <c r="T54" s="210">
        <f>T77</f>
        <v/>
      </c>
      <c r="U54" s="210">
        <f>U77</f>
        <v/>
      </c>
      <c r="V54" s="210">
        <f>V77</f>
        <v/>
      </c>
      <c r="W54" s="210">
        <f>W77</f>
        <v/>
      </c>
      <c r="X54" s="202" t="n"/>
    </row>
    <row r="55" ht="18.75" customHeight="1">
      <c r="B55" s="213" t="inlineStr">
        <is>
          <t>現金流</t>
        </is>
      </c>
      <c r="C55" s="214">
        <f>C44</f>
        <v/>
      </c>
      <c r="D55" s="215">
        <f>SUM(D41:D54)</f>
        <v/>
      </c>
      <c r="E55" s="215">
        <f>SUM(E41:E54)</f>
        <v/>
      </c>
      <c r="F55" s="215">
        <f>SUM(F41:F54)</f>
        <v/>
      </c>
      <c r="G55" s="215">
        <f>SUM(G41:G54)</f>
        <v/>
      </c>
      <c r="H55" s="215">
        <f>SUM(H41:H54)</f>
        <v/>
      </c>
      <c r="I55" s="215">
        <f>SUM(I41:I54)</f>
        <v/>
      </c>
      <c r="J55" s="215">
        <f>SUM(J41:J54)</f>
        <v/>
      </c>
      <c r="K55" s="215">
        <f>SUM(K41:K54)</f>
        <v/>
      </c>
      <c r="L55" s="215">
        <f>SUM(L41:L54)</f>
        <v/>
      </c>
      <c r="M55" s="215">
        <f>SUM(M41:M54)</f>
        <v/>
      </c>
      <c r="N55" s="215">
        <f>SUM(N41:N54)</f>
        <v/>
      </c>
      <c r="O55" s="215">
        <f>SUM(O41:O54)</f>
        <v/>
      </c>
      <c r="P55" s="215">
        <f>SUM(P41:P54)</f>
        <v/>
      </c>
      <c r="Q55" s="215">
        <f>SUM(Q41:Q54)</f>
        <v/>
      </c>
      <c r="R55" s="215">
        <f>SUM(R41:R54)</f>
        <v/>
      </c>
      <c r="S55" s="215">
        <f>SUM(S41:S54)</f>
        <v/>
      </c>
      <c r="T55" s="215">
        <f>SUM(T41:T54)</f>
        <v/>
      </c>
      <c r="U55" s="215">
        <f>SUM(U41:U54)</f>
        <v/>
      </c>
      <c r="V55" s="215">
        <f>SUM(V41:V54)</f>
        <v/>
      </c>
      <c r="W55" s="215">
        <f>SUM(W41:W54)</f>
        <v/>
      </c>
      <c r="X55" s="216" t="n"/>
      <c r="Y55" s="217" t="n"/>
      <c r="Z55" s="218" t="n"/>
      <c r="AA55" s="217" t="n"/>
      <c r="AB55" s="217" t="n"/>
      <c r="AC55" s="217" t="n"/>
      <c r="AD55" s="217" t="n"/>
      <c r="AE55" s="217" t="n"/>
      <c r="AF55" s="217" t="n"/>
      <c r="AG55" s="217" t="n"/>
      <c r="AH55" s="217" t="n"/>
      <c r="AI55" s="217" t="n"/>
      <c r="AJ55" s="217" t="n"/>
    </row>
    <row r="56" ht="18.75" customHeight="1">
      <c r="B56" s="219" t="inlineStr">
        <is>
          <t>累計現金流</t>
        </is>
      </c>
      <c r="D56" s="220">
        <f>C55+D55</f>
        <v/>
      </c>
      <c r="E56" s="220">
        <f>D56+E55</f>
        <v/>
      </c>
      <c r="F56" s="220">
        <f>E56+F55</f>
        <v/>
      </c>
      <c r="G56" s="220">
        <f>F56+G55</f>
        <v/>
      </c>
      <c r="H56" s="220">
        <f>G56+H55</f>
        <v/>
      </c>
      <c r="I56" s="220">
        <f>H56+I55</f>
        <v/>
      </c>
      <c r="J56" s="220">
        <f>I56+J55</f>
        <v/>
      </c>
      <c r="K56" s="220">
        <f>J56+K55</f>
        <v/>
      </c>
      <c r="L56" s="220">
        <f>K56+L55</f>
        <v/>
      </c>
      <c r="M56" s="220">
        <f>L56+M55</f>
        <v/>
      </c>
      <c r="N56" s="220">
        <f>M56+N55</f>
        <v/>
      </c>
      <c r="O56" s="220">
        <f>N56+O55</f>
        <v/>
      </c>
      <c r="P56" s="220">
        <f>O56+P55</f>
        <v/>
      </c>
      <c r="Q56" s="220">
        <f>P56+Q55</f>
        <v/>
      </c>
      <c r="R56" s="220">
        <f>Q56+R55</f>
        <v/>
      </c>
      <c r="S56" s="220">
        <f>R56+S55</f>
        <v/>
      </c>
      <c r="T56" s="220">
        <f>S56+T55</f>
        <v/>
      </c>
      <c r="U56" s="220">
        <f>T56+U55</f>
        <v/>
      </c>
      <c r="V56" s="220">
        <f>U56+V55</f>
        <v/>
      </c>
      <c r="W56" s="220">
        <f>V56+W55</f>
        <v/>
      </c>
      <c r="X56" s="220">
        <f>W56+X55</f>
        <v/>
      </c>
      <c r="Y56" s="217" t="n"/>
      <c r="Z56" s="217" t="n"/>
      <c r="AA56" s="217" t="n"/>
      <c r="AB56" s="217" t="n"/>
      <c r="AC56" s="217" t="n"/>
      <c r="AD56" s="217" t="n"/>
      <c r="AE56" s="217" t="n"/>
      <c r="AF56" s="217" t="n"/>
      <c r="AG56" s="217" t="n"/>
      <c r="AH56" s="217" t="n"/>
      <c r="AI56" s="217" t="n"/>
      <c r="AJ56" s="217" t="n"/>
    </row>
    <row r="57" ht="18.75" customHeight="1">
      <c r="B57" s="221" t="inlineStr">
        <is>
          <t>回收年限評估</t>
        </is>
      </c>
      <c r="C57" s="222" t="n"/>
      <c r="D57" s="223">
        <f>IF((D56)&gt;0,"回收","未回收")</f>
        <v/>
      </c>
      <c r="E57" s="224">
        <f>IF((E56)&gt;0,"回收","未回收")</f>
        <v/>
      </c>
      <c r="F57" s="224">
        <f>IF((F56)&gt;0,"回收","未回收")</f>
        <v/>
      </c>
      <c r="G57" s="224">
        <f>IF((G56)&gt;0,"回收","未回收")</f>
        <v/>
      </c>
      <c r="H57" s="224">
        <f>IF((H56)&gt;0,"回收","未回收")</f>
        <v/>
      </c>
      <c r="I57" s="224">
        <f>IF((I56)&gt;0,"回收","未回收")</f>
        <v/>
      </c>
      <c r="J57" s="224">
        <f>IF((J56)&gt;0,"回收","未回收")</f>
        <v/>
      </c>
      <c r="K57" s="224">
        <f>IF((K56)&gt;0,"回收","未回收")</f>
        <v/>
      </c>
      <c r="L57" s="224">
        <f>IF((L56)&gt;0,"回收","未回收")</f>
        <v/>
      </c>
      <c r="M57" s="224">
        <f>IF((M56)&gt;0,"回收","未回收")</f>
        <v/>
      </c>
      <c r="N57" s="224">
        <f>IF((N56)&gt;0,"回收","未回收")</f>
        <v/>
      </c>
      <c r="O57" s="224">
        <f>IF((O56)&gt;0,"回收","未回收")</f>
        <v/>
      </c>
      <c r="P57" s="224">
        <f>IF((P56)&gt;0,"回收","未回收")</f>
        <v/>
      </c>
      <c r="Q57" s="224">
        <f>IF((Q56)&gt;0,"回收","未回收")</f>
        <v/>
      </c>
      <c r="R57" s="224">
        <f>IF((R56)&gt;0,"回收","未回收")</f>
        <v/>
      </c>
      <c r="S57" s="224">
        <f>IF((S56)&gt;0,"回收","未回收")</f>
        <v/>
      </c>
      <c r="T57" s="224">
        <f>IF((T56)&gt;0,"回收","未回收")</f>
        <v/>
      </c>
      <c r="U57" s="224">
        <f>IF((U56)&gt;0,"回收","未回收")</f>
        <v/>
      </c>
      <c r="V57" s="224">
        <f>IF((V56)&gt;0,"回收","未回收")</f>
        <v/>
      </c>
      <c r="W57" s="224">
        <f>IF((W56)&gt;0,"回收","未回收")</f>
        <v/>
      </c>
      <c r="X57" s="224">
        <f>IF((X56)&gt;0,"回收","未回收")</f>
        <v/>
      </c>
      <c r="Y57" s="217" t="n"/>
      <c r="Z57" s="217" t="n"/>
      <c r="AA57" s="217" t="n"/>
      <c r="AB57" s="217" t="n"/>
      <c r="AC57" s="217" t="n"/>
      <c r="AD57" s="217" t="n"/>
      <c r="AE57" s="217" t="n"/>
      <c r="AF57" s="217" t="n"/>
      <c r="AG57" s="217" t="n"/>
      <c r="AH57" s="217" t="n"/>
      <c r="AI57" s="217" t="n"/>
      <c r="AJ57" s="217" t="n"/>
    </row>
    <row r="58" ht="18.75" customHeight="1">
      <c r="B58" s="225" t="inlineStr">
        <is>
          <t>專案法IRR</t>
        </is>
      </c>
      <c r="C58" s="226">
        <f>IRR(C55:W55)</f>
        <v/>
      </c>
      <c r="D58" s="227" t="n"/>
      <c r="E58" s="227" t="n"/>
      <c r="F58" s="228" t="n"/>
      <c r="G58" s="228" t="n"/>
      <c r="H58" s="228" t="n"/>
      <c r="I58" s="228" t="n"/>
      <c r="J58" s="228" t="n"/>
      <c r="K58" s="228" t="n"/>
      <c r="L58" s="228" t="n"/>
      <c r="M58" s="228" t="n"/>
      <c r="N58" s="228" t="n"/>
      <c r="O58" s="228" t="n"/>
      <c r="P58" s="228" t="n"/>
      <c r="Q58" s="228" t="n"/>
      <c r="R58" s="228" t="n"/>
      <c r="S58" s="228" t="n"/>
      <c r="T58" s="228" t="n"/>
      <c r="U58" s="228" t="n"/>
      <c r="V58" s="228" t="n"/>
      <c r="W58" s="228" t="n"/>
      <c r="X58" s="228" t="n"/>
      <c r="Y58" s="229" t="n"/>
      <c r="Z58" s="229" t="n"/>
      <c r="AA58" s="229" t="n"/>
      <c r="AB58" s="229" t="n"/>
      <c r="AC58" s="229" t="n"/>
      <c r="AD58" s="229" t="n"/>
      <c r="AE58" s="229" t="n"/>
      <c r="AF58" s="229" t="n"/>
      <c r="AG58" s="229" t="n"/>
      <c r="AH58" s="229" t="n"/>
      <c r="AI58" s="229" t="n"/>
      <c r="AJ58" s="229" t="n"/>
    </row>
    <row r="59" ht="18.75" customHeight="1">
      <c r="B59" s="228" t="n"/>
      <c r="C59" s="227" t="n"/>
      <c r="D59" s="227" t="n"/>
      <c r="E59" s="227" t="n"/>
      <c r="F59" s="228" t="n"/>
      <c r="G59" s="228" t="n"/>
      <c r="H59" s="228" t="n"/>
      <c r="I59" s="228" t="n"/>
      <c r="J59" s="228" t="n"/>
      <c r="K59" s="228" t="n"/>
      <c r="L59" s="228" t="n"/>
      <c r="M59" s="227" t="n"/>
      <c r="N59" s="228" t="n"/>
      <c r="O59" s="228" t="n"/>
      <c r="P59" s="228" t="n"/>
      <c r="Q59" s="228" t="n"/>
      <c r="R59" s="228" t="n"/>
      <c r="S59" s="228" t="n"/>
      <c r="T59" s="228" t="n"/>
      <c r="U59" s="228" t="n"/>
      <c r="V59" s="228" t="n"/>
      <c r="W59" s="228" t="n"/>
      <c r="X59" s="228" t="n"/>
      <c r="Y59" s="229" t="n"/>
      <c r="Z59" s="229" t="n"/>
      <c r="AA59" s="229" t="n"/>
      <c r="AB59" s="229" t="n"/>
      <c r="AC59" s="229" t="n"/>
      <c r="AD59" s="229" t="n"/>
      <c r="AE59" s="229" t="n"/>
      <c r="AF59" s="229" t="n"/>
      <c r="AG59" s="229" t="n"/>
      <c r="AH59" s="229" t="n"/>
      <c r="AI59" s="229" t="n"/>
      <c r="AJ59" s="229" t="n"/>
    </row>
    <row r="60" ht="18.75" customHeight="1">
      <c r="B60" s="95" t="n"/>
      <c r="C60" s="30" t="inlineStr">
        <is>
          <t>年份</t>
        </is>
      </c>
      <c r="D60" s="30">
        <f>D37</f>
        <v/>
      </c>
      <c r="E60" s="30">
        <f>E37</f>
        <v/>
      </c>
      <c r="F60" s="30">
        <f>F37</f>
        <v/>
      </c>
      <c r="G60" s="30">
        <f>G37</f>
        <v/>
      </c>
      <c r="H60" s="30">
        <f>H37</f>
        <v/>
      </c>
      <c r="I60" s="30">
        <f>I37</f>
        <v/>
      </c>
      <c r="J60" s="30">
        <f>J37</f>
        <v/>
      </c>
      <c r="K60" s="30">
        <f>K37</f>
        <v/>
      </c>
      <c r="L60" s="30">
        <f>L37</f>
        <v/>
      </c>
      <c r="M60" s="30">
        <f>M37</f>
        <v/>
      </c>
      <c r="N60" s="30">
        <f>N37</f>
        <v/>
      </c>
      <c r="O60" s="30">
        <f>O37</f>
        <v/>
      </c>
      <c r="P60" s="30">
        <f>P37</f>
        <v/>
      </c>
      <c r="Q60" s="30">
        <f>Q37</f>
        <v/>
      </c>
      <c r="R60" s="30">
        <f>R37</f>
        <v/>
      </c>
      <c r="S60" s="30">
        <f>S37</f>
        <v/>
      </c>
      <c r="T60" s="30">
        <f>T37</f>
        <v/>
      </c>
      <c r="U60" s="30">
        <f>U37</f>
        <v/>
      </c>
      <c r="V60" s="30">
        <f>V37</f>
        <v/>
      </c>
      <c r="W60" s="30">
        <f>W37</f>
        <v/>
      </c>
      <c r="X60" s="30" t="n"/>
      <c r="Y60" s="68" t="n"/>
      <c r="Z60" s="68" t="n"/>
      <c r="AA60" s="68" t="n"/>
      <c r="AB60" s="68" t="n"/>
      <c r="AC60" s="68" t="n"/>
      <c r="AD60" s="68" t="n"/>
      <c r="AE60" s="68" t="n"/>
      <c r="AF60" s="68" t="n"/>
      <c r="AG60" s="68" t="n"/>
      <c r="AH60" s="68" t="n"/>
      <c r="AI60" s="68" t="n"/>
      <c r="AJ60" s="68" t="n"/>
    </row>
    <row r="61" ht="18.75" customHeight="1">
      <c r="B61" s="181" t="n">
        <v>0</v>
      </c>
      <c r="C61" s="182" t="n"/>
      <c r="D61" s="183" t="n"/>
      <c r="E61" s="183" t="n"/>
      <c r="F61" s="184" t="n"/>
      <c r="G61" s="185" t="n"/>
      <c r="H61" s="185" t="n"/>
      <c r="I61" s="185" t="n"/>
      <c r="J61" s="185" t="n"/>
      <c r="K61" s="185" t="n"/>
      <c r="L61" s="185" t="n"/>
      <c r="M61" s="185" t="n"/>
      <c r="N61" s="185" t="n"/>
      <c r="O61" s="185" t="n"/>
      <c r="P61" s="185" t="n"/>
      <c r="Q61" s="185" t="n"/>
      <c r="R61" s="185" t="n"/>
      <c r="S61" s="185" t="n"/>
      <c r="T61" s="230" t="inlineStr">
        <is>
          <t>償還年限</t>
        </is>
      </c>
      <c r="U61" s="185" t="n"/>
      <c r="V61" s="185" t="n"/>
      <c r="W61" s="185" t="n"/>
      <c r="X61" s="187" t="n"/>
    </row>
    <row r="62" ht="18.75" customHeight="1">
      <c r="B62" s="188" t="inlineStr">
        <is>
          <t>(Unit : Currency)</t>
        </is>
      </c>
      <c r="C62" s="189" t="n">
        <v>0</v>
      </c>
      <c r="D62" s="190" t="n">
        <v>1</v>
      </c>
      <c r="E62" s="190" t="n">
        <v>2</v>
      </c>
      <c r="F62" s="190" t="n">
        <v>3</v>
      </c>
      <c r="G62" s="190" t="n">
        <v>4</v>
      </c>
      <c r="H62" s="190" t="n">
        <v>5</v>
      </c>
      <c r="I62" s="190" t="n">
        <v>6</v>
      </c>
      <c r="J62" s="190" t="n">
        <v>7</v>
      </c>
      <c r="K62" s="190" t="n">
        <v>8</v>
      </c>
      <c r="L62" s="190" t="n">
        <v>9</v>
      </c>
      <c r="M62" s="190" t="n">
        <v>10</v>
      </c>
      <c r="N62" s="190" t="n">
        <v>11</v>
      </c>
      <c r="O62" s="190" t="n">
        <v>12</v>
      </c>
      <c r="P62" s="190" t="n">
        <v>13</v>
      </c>
      <c r="Q62" s="190" t="n">
        <v>14</v>
      </c>
      <c r="R62" s="190" t="n">
        <v>15</v>
      </c>
      <c r="S62" s="190" t="n">
        <v>16</v>
      </c>
      <c r="T62" s="231" t="n">
        <v>17</v>
      </c>
      <c r="U62" s="190" t="n">
        <v>18</v>
      </c>
      <c r="V62" s="190" t="n">
        <v>19</v>
      </c>
      <c r="W62" s="190" t="n">
        <v>20</v>
      </c>
      <c r="X62" s="42" t="n"/>
    </row>
    <row r="63" ht="18.75" customHeight="1">
      <c r="B63" s="192" t="inlineStr">
        <is>
          <t>發電度數(KWH)</t>
        </is>
      </c>
      <c r="C63" s="193" t="n">
        <v>0</v>
      </c>
      <c r="D63" s="194">
        <f>D40</f>
        <v/>
      </c>
      <c r="E63" s="194">
        <f>E40</f>
        <v/>
      </c>
      <c r="F63" s="194">
        <f>F40</f>
        <v/>
      </c>
      <c r="G63" s="194">
        <f>G40</f>
        <v/>
      </c>
      <c r="H63" s="194">
        <f>H40</f>
        <v/>
      </c>
      <c r="I63" s="194">
        <f>I40</f>
        <v/>
      </c>
      <c r="J63" s="194">
        <f>J40</f>
        <v/>
      </c>
      <c r="K63" s="194">
        <f>K40</f>
        <v/>
      </c>
      <c r="L63" s="194">
        <f>L40</f>
        <v/>
      </c>
      <c r="M63" s="194">
        <f>M40</f>
        <v/>
      </c>
      <c r="N63" s="194">
        <f>N40</f>
        <v/>
      </c>
      <c r="O63" s="194">
        <f>O40</f>
        <v/>
      </c>
      <c r="P63" s="194">
        <f>P40</f>
        <v/>
      </c>
      <c r="Q63" s="194">
        <f>Q40</f>
        <v/>
      </c>
      <c r="R63" s="194">
        <f>R40</f>
        <v/>
      </c>
      <c r="S63" s="194">
        <f>S40</f>
        <v/>
      </c>
      <c r="T63" s="194">
        <f>T40</f>
        <v/>
      </c>
      <c r="U63" s="194">
        <f>U40</f>
        <v/>
      </c>
      <c r="V63" s="194">
        <f>V40</f>
        <v/>
      </c>
      <c r="W63" s="194">
        <f>W40</f>
        <v/>
      </c>
      <c r="X63" s="195" t="n"/>
    </row>
    <row r="64" ht="18.75" customHeight="1">
      <c r="B64" s="196" t="inlineStr">
        <is>
          <t>Inflow : 電費收入</t>
        </is>
      </c>
      <c r="C64" s="197" t="inlineStr">
        <is>
          <t>-</t>
        </is>
      </c>
      <c r="D64" s="198">
        <f>D41</f>
        <v/>
      </c>
      <c r="E64" s="198">
        <f>E41</f>
        <v/>
      </c>
      <c r="F64" s="198">
        <f>F41</f>
        <v/>
      </c>
      <c r="G64" s="198">
        <f>G41</f>
        <v/>
      </c>
      <c r="H64" s="198">
        <f>H41</f>
        <v/>
      </c>
      <c r="I64" s="198">
        <f>I41</f>
        <v/>
      </c>
      <c r="J64" s="198">
        <f>J41</f>
        <v/>
      </c>
      <c r="K64" s="198">
        <f>K41</f>
        <v/>
      </c>
      <c r="L64" s="198">
        <f>L41</f>
        <v/>
      </c>
      <c r="M64" s="198">
        <f>M41</f>
        <v/>
      </c>
      <c r="N64" s="198">
        <f>N41</f>
        <v/>
      </c>
      <c r="O64" s="198">
        <f>O41</f>
        <v/>
      </c>
      <c r="P64" s="198">
        <f>P41</f>
        <v/>
      </c>
      <c r="Q64" s="198">
        <f>Q41</f>
        <v/>
      </c>
      <c r="R64" s="198">
        <f>R41</f>
        <v/>
      </c>
      <c r="S64" s="198">
        <f>S41</f>
        <v/>
      </c>
      <c r="T64" s="198">
        <f>T41</f>
        <v/>
      </c>
      <c r="U64" s="198">
        <f>U41</f>
        <v/>
      </c>
      <c r="V64" s="198">
        <f>V41</f>
        <v/>
      </c>
      <c r="W64" s="198">
        <f>W41</f>
        <v/>
      </c>
      <c r="X64" s="199" t="n"/>
    </row>
    <row r="65" ht="18.75" customHeight="1">
      <c r="B65" s="200" t="inlineStr">
        <is>
          <t>Inflow : 政府補助</t>
        </is>
      </c>
      <c r="C65" s="201" t="inlineStr">
        <is>
          <t>-</t>
        </is>
      </c>
      <c r="D65" s="202" t="n"/>
      <c r="E65" s="202" t="n"/>
      <c r="F65" s="202" t="n"/>
      <c r="G65" s="202" t="inlineStr">
        <is>
          <t>-</t>
        </is>
      </c>
      <c r="H65" s="202" t="inlineStr">
        <is>
          <t>-</t>
        </is>
      </c>
      <c r="I65" s="202" t="inlineStr">
        <is>
          <t>-</t>
        </is>
      </c>
      <c r="J65" s="202" t="inlineStr">
        <is>
          <t>-</t>
        </is>
      </c>
      <c r="K65" s="202" t="inlineStr">
        <is>
          <t>-</t>
        </is>
      </c>
      <c r="L65" s="202" t="inlineStr">
        <is>
          <t>-</t>
        </is>
      </c>
      <c r="M65" s="202" t="inlineStr">
        <is>
          <t>-</t>
        </is>
      </c>
      <c r="N65" s="202" t="inlineStr">
        <is>
          <t>-</t>
        </is>
      </c>
      <c r="O65" s="202" t="inlineStr">
        <is>
          <t>-</t>
        </is>
      </c>
      <c r="P65" s="202" t="inlineStr">
        <is>
          <t>-</t>
        </is>
      </c>
      <c r="Q65" s="202" t="inlineStr">
        <is>
          <t>-</t>
        </is>
      </c>
      <c r="R65" s="202" t="inlineStr">
        <is>
          <t>-</t>
        </is>
      </c>
      <c r="S65" s="202" t="inlineStr">
        <is>
          <t>-</t>
        </is>
      </c>
      <c r="T65" s="202" t="inlineStr">
        <is>
          <t>-</t>
        </is>
      </c>
      <c r="U65" s="202" t="inlineStr">
        <is>
          <t>-</t>
        </is>
      </c>
      <c r="V65" s="202" t="inlineStr">
        <is>
          <t>-</t>
        </is>
      </c>
      <c r="W65" s="202" t="inlineStr">
        <is>
          <t>-</t>
        </is>
      </c>
      <c r="X65" s="203" t="n"/>
    </row>
    <row r="66" ht="18.75" customHeight="1">
      <c r="B66" s="204" t="inlineStr">
        <is>
          <t>Inflow : 銀行借款</t>
        </is>
      </c>
      <c r="C66" s="205" t="n"/>
      <c r="D66" s="206" t="n"/>
      <c r="E66" s="206" t="n"/>
      <c r="F66" s="206" t="n"/>
      <c r="G66" s="206" t="n"/>
      <c r="H66" s="206" t="n"/>
      <c r="I66" s="206" t="n"/>
      <c r="J66" s="206" t="n"/>
      <c r="K66" s="206" t="n"/>
      <c r="L66" s="206" t="n"/>
      <c r="M66" s="206" t="n"/>
      <c r="N66" s="206" t="n"/>
      <c r="O66" s="206" t="n"/>
      <c r="P66" s="206" t="n"/>
      <c r="Q66" s="206" t="n"/>
      <c r="R66" s="206" t="n"/>
      <c r="S66" s="206" t="n"/>
      <c r="T66" s="206" t="n"/>
      <c r="U66" s="206" t="n"/>
      <c r="V66" s="206" t="n"/>
      <c r="W66" s="206" t="n"/>
      <c r="X66" s="207" t="n"/>
    </row>
    <row r="67" ht="18.75" customHeight="1">
      <c r="B67" s="208" t="inlineStr">
        <is>
          <t>Outflow : 設備折舊</t>
        </is>
      </c>
      <c r="C67" s="201" t="n"/>
      <c r="D67" s="232">
        <f>$C$44/$E$16</f>
        <v/>
      </c>
      <c r="E67" s="232">
        <f>$C$44/$E$16</f>
        <v/>
      </c>
      <c r="F67" s="232">
        <f>$C$44/$E$16</f>
        <v/>
      </c>
      <c r="G67" s="232">
        <f>$C$44/$E$16</f>
        <v/>
      </c>
      <c r="H67" s="232">
        <f>$C$44/$E$16</f>
        <v/>
      </c>
      <c r="I67" s="232">
        <f>$C$44/$E$16</f>
        <v/>
      </c>
      <c r="J67" s="232">
        <f>$C$44/$E$16</f>
        <v/>
      </c>
      <c r="K67" s="232">
        <f>$C$44/$E$16</f>
        <v/>
      </c>
      <c r="L67" s="232">
        <f>$C$44/$E$16</f>
        <v/>
      </c>
      <c r="M67" s="232">
        <f>$C$44/$E$16</f>
        <v/>
      </c>
      <c r="N67" s="232">
        <f>$C$44/$E$16</f>
        <v/>
      </c>
      <c r="O67" s="232">
        <f>$C$44/$E$16</f>
        <v/>
      </c>
      <c r="P67" s="232">
        <f>$C$44/$E$16</f>
        <v/>
      </c>
      <c r="Q67" s="232">
        <f>$C$44/$E$16</f>
        <v/>
      </c>
      <c r="R67" s="232">
        <f>$C$44/$E$16</f>
        <v/>
      </c>
      <c r="S67" s="232">
        <f>$C$44/$E$16</f>
        <v/>
      </c>
      <c r="T67" s="232">
        <f>$C$44/$E$16</f>
        <v/>
      </c>
      <c r="U67" s="232">
        <f>$C$44/$E$16</f>
        <v/>
      </c>
      <c r="V67" s="232">
        <f>$C$44/$E$16</f>
        <v/>
      </c>
      <c r="W67" s="232">
        <f>$C$44/$E$16</f>
        <v/>
      </c>
      <c r="X67" s="203" t="n"/>
    </row>
    <row r="68" ht="18.75" customHeight="1">
      <c r="B68" s="208" t="inlineStr">
        <is>
          <t>Outflow : 設備放置區域租金</t>
        </is>
      </c>
      <c r="C68" s="201" t="inlineStr">
        <is>
          <t>-</t>
        </is>
      </c>
      <c r="D68" s="210">
        <f>D44</f>
        <v/>
      </c>
      <c r="E68" s="210">
        <f>E44</f>
        <v/>
      </c>
      <c r="F68" s="210">
        <f>F44</f>
        <v/>
      </c>
      <c r="G68" s="210">
        <f>G44</f>
        <v/>
      </c>
      <c r="H68" s="210">
        <f>H44</f>
        <v/>
      </c>
      <c r="I68" s="210">
        <f>I44</f>
        <v/>
      </c>
      <c r="J68" s="210">
        <f>J44</f>
        <v/>
      </c>
      <c r="K68" s="210">
        <f>K44</f>
        <v/>
      </c>
      <c r="L68" s="210">
        <f>L44</f>
        <v/>
      </c>
      <c r="M68" s="210">
        <f>M44</f>
        <v/>
      </c>
      <c r="N68" s="210">
        <f>N44</f>
        <v/>
      </c>
      <c r="O68" s="210">
        <f>O44</f>
        <v/>
      </c>
      <c r="P68" s="210">
        <f>P44</f>
        <v/>
      </c>
      <c r="Q68" s="210">
        <f>Q44</f>
        <v/>
      </c>
      <c r="R68" s="210">
        <f>R44</f>
        <v/>
      </c>
      <c r="S68" s="210">
        <f>S44</f>
        <v/>
      </c>
      <c r="T68" s="210">
        <f>T44</f>
        <v/>
      </c>
      <c r="U68" s="210">
        <f>U44</f>
        <v/>
      </c>
      <c r="V68" s="210">
        <f>V44</f>
        <v/>
      </c>
      <c r="W68" s="210">
        <f>W44</f>
        <v/>
      </c>
      <c r="X68" s="203" t="n"/>
    </row>
    <row r="69" ht="18.75" customHeight="1">
      <c r="B69" s="208" t="inlineStr">
        <is>
          <t>Outflow : 返還借款</t>
        </is>
      </c>
      <c r="C69" s="201" t="n"/>
      <c r="D69" s="202" t="n"/>
      <c r="E69" s="202" t="n"/>
      <c r="F69" s="202" t="n"/>
      <c r="G69" s="202" t="n"/>
      <c r="H69" s="202" t="n"/>
      <c r="I69" s="202" t="n"/>
      <c r="J69" s="202" t="n"/>
      <c r="K69" s="202" t="n"/>
      <c r="L69" s="202" t="n"/>
      <c r="M69" s="202" t="n"/>
      <c r="N69" s="202" t="n"/>
      <c r="O69" s="202" t="n"/>
      <c r="P69" s="202" t="n"/>
      <c r="Q69" s="202" t="n"/>
      <c r="R69" s="202" t="n"/>
      <c r="S69" s="202" t="n"/>
      <c r="T69" s="202" t="n"/>
      <c r="U69" s="202" t="n"/>
      <c r="V69" s="202" t="n"/>
      <c r="W69" s="202" t="n"/>
      <c r="X69" s="203" t="n"/>
    </row>
    <row r="70" ht="18.75" customHeight="1">
      <c r="B70" s="208" t="inlineStr">
        <is>
          <t>Outflow : 利息費用</t>
        </is>
      </c>
      <c r="C70" s="201" t="inlineStr">
        <is>
          <t>-</t>
        </is>
      </c>
      <c r="D70" s="210" t="n">
        <v>0</v>
      </c>
      <c r="E70" s="210" t="n">
        <v>0</v>
      </c>
      <c r="F70" s="210" t="n">
        <v>0</v>
      </c>
      <c r="G70" s="210" t="n">
        <v>0</v>
      </c>
      <c r="H70" s="210" t="n">
        <v>0</v>
      </c>
      <c r="I70" s="210" t="n">
        <v>0</v>
      </c>
      <c r="J70" s="210" t="n">
        <v>0</v>
      </c>
      <c r="K70" s="210" t="n">
        <v>0</v>
      </c>
      <c r="L70" s="210" t="n">
        <v>0</v>
      </c>
      <c r="M70" s="210" t="n">
        <v>0</v>
      </c>
      <c r="N70" s="210" t="n">
        <v>0</v>
      </c>
      <c r="O70" s="210" t="n">
        <v>0</v>
      </c>
      <c r="P70" s="210" t="n">
        <v>0</v>
      </c>
      <c r="Q70" s="210" t="n">
        <v>0</v>
      </c>
      <c r="R70" s="210" t="n">
        <v>0</v>
      </c>
      <c r="S70" s="210" t="n">
        <v>0</v>
      </c>
      <c r="T70" s="210" t="n">
        <v>0</v>
      </c>
      <c r="U70" s="210" t="n">
        <v>0</v>
      </c>
      <c r="V70" s="210" t="n">
        <v>0</v>
      </c>
      <c r="W70" s="210" t="n">
        <v>0</v>
      </c>
      <c r="X70" s="203" t="n"/>
    </row>
    <row r="71" ht="18.75" customHeight="1">
      <c r="B71" s="208" t="inlineStr">
        <is>
          <t>Outflow : 維運費</t>
        </is>
      </c>
      <c r="C71" s="201" t="inlineStr">
        <is>
          <t>-</t>
        </is>
      </c>
      <c r="D71" s="210">
        <f>D48</f>
        <v/>
      </c>
      <c r="E71" s="210">
        <f>E48</f>
        <v/>
      </c>
      <c r="F71" s="210">
        <f>F48</f>
        <v/>
      </c>
      <c r="G71" s="210">
        <f>G48</f>
        <v/>
      </c>
      <c r="H71" s="210">
        <f>H48</f>
        <v/>
      </c>
      <c r="I71" s="210">
        <f>I48</f>
        <v/>
      </c>
      <c r="J71" s="210">
        <f>J48</f>
        <v/>
      </c>
      <c r="K71" s="210">
        <f>K48</f>
        <v/>
      </c>
      <c r="L71" s="210">
        <f>L48</f>
        <v/>
      </c>
      <c r="M71" s="210">
        <f>M48</f>
        <v/>
      </c>
      <c r="N71" s="210">
        <f>N48</f>
        <v/>
      </c>
      <c r="O71" s="210">
        <f>O48</f>
        <v/>
      </c>
      <c r="P71" s="210">
        <f>P48</f>
        <v/>
      </c>
      <c r="Q71" s="210">
        <f>Q48</f>
        <v/>
      </c>
      <c r="R71" s="210">
        <f>R48</f>
        <v/>
      </c>
      <c r="S71" s="210">
        <f>S48</f>
        <v/>
      </c>
      <c r="T71" s="210">
        <f>T48</f>
        <v/>
      </c>
      <c r="U71" s="210">
        <f>U48</f>
        <v/>
      </c>
      <c r="V71" s="210">
        <f>V48</f>
        <v/>
      </c>
      <c r="W71" s="210">
        <f>W48</f>
        <v/>
      </c>
      <c r="X71" s="203" t="n"/>
    </row>
    <row r="72" ht="18.75" customHeight="1">
      <c r="B72" s="208" t="inlineStr">
        <is>
          <t>Outflow : 保險費</t>
        </is>
      </c>
      <c r="C72" s="201" t="inlineStr">
        <is>
          <t>-</t>
        </is>
      </c>
      <c r="D72" s="210">
        <f>D49</f>
        <v/>
      </c>
      <c r="E72" s="210">
        <f>E49</f>
        <v/>
      </c>
      <c r="F72" s="210">
        <f>F49</f>
        <v/>
      </c>
      <c r="G72" s="210">
        <f>G49</f>
        <v/>
      </c>
      <c r="H72" s="210">
        <f>H49</f>
        <v/>
      </c>
      <c r="I72" s="210">
        <f>I49</f>
        <v/>
      </c>
      <c r="J72" s="210">
        <f>J49</f>
        <v/>
      </c>
      <c r="K72" s="210">
        <f>K49</f>
        <v/>
      </c>
      <c r="L72" s="210">
        <f>L49</f>
        <v/>
      </c>
      <c r="M72" s="210">
        <f>M49</f>
        <v/>
      </c>
      <c r="N72" s="210">
        <f>N49</f>
        <v/>
      </c>
      <c r="O72" s="210">
        <f>O49</f>
        <v/>
      </c>
      <c r="P72" s="210">
        <f>P49</f>
        <v/>
      </c>
      <c r="Q72" s="210">
        <f>Q49</f>
        <v/>
      </c>
      <c r="R72" s="210">
        <f>R49</f>
        <v/>
      </c>
      <c r="S72" s="210">
        <f>S49</f>
        <v/>
      </c>
      <c r="T72" s="210">
        <f>T49</f>
        <v/>
      </c>
      <c r="U72" s="210">
        <f>U49</f>
        <v/>
      </c>
      <c r="V72" s="210">
        <f>V49</f>
        <v/>
      </c>
      <c r="W72" s="210">
        <f>W49</f>
        <v/>
      </c>
      <c r="X72" s="203" t="n"/>
    </row>
    <row r="73" ht="18.75" customHeight="1">
      <c r="B73" s="208" t="inlineStr">
        <is>
          <t>Outflow : 模組回收費</t>
        </is>
      </c>
      <c r="C73" s="201" t="n"/>
      <c r="D73" s="210">
        <f>D50</f>
        <v/>
      </c>
      <c r="E73" s="210">
        <f>E50</f>
        <v/>
      </c>
      <c r="F73" s="210">
        <f>F50</f>
        <v/>
      </c>
      <c r="G73" s="210">
        <f>G50</f>
        <v/>
      </c>
      <c r="H73" s="210">
        <f>H50</f>
        <v/>
      </c>
      <c r="I73" s="210">
        <f>I50</f>
        <v/>
      </c>
      <c r="J73" s="210">
        <f>J50</f>
        <v/>
      </c>
      <c r="K73" s="210">
        <f>K50</f>
        <v/>
      </c>
      <c r="L73" s="210">
        <f>L50</f>
        <v/>
      </c>
      <c r="M73" s="210">
        <f>M50</f>
        <v/>
      </c>
      <c r="N73" s="210">
        <f>N50</f>
        <v/>
      </c>
      <c r="O73" s="210">
        <f>O50</f>
        <v/>
      </c>
      <c r="P73" s="210">
        <f>P50</f>
        <v/>
      </c>
      <c r="Q73" s="210">
        <f>Q50</f>
        <v/>
      </c>
      <c r="R73" s="210">
        <f>R50</f>
        <v/>
      </c>
      <c r="S73" s="210">
        <f>S50</f>
        <v/>
      </c>
      <c r="T73" s="210">
        <f>T50</f>
        <v/>
      </c>
      <c r="U73" s="210">
        <f>U50</f>
        <v/>
      </c>
      <c r="V73" s="210">
        <f>V50</f>
        <v/>
      </c>
      <c r="W73" s="210">
        <f>W50</f>
        <v/>
      </c>
      <c r="X73" s="203" t="n"/>
    </row>
    <row r="74" ht="18.75" customHeight="1">
      <c r="B74" s="208" t="inlineStr">
        <is>
          <t>Outflow : 其它費用(人事薪資…等)</t>
        </is>
      </c>
      <c r="C74" s="211" t="n"/>
      <c r="D74" s="233" t="n"/>
      <c r="E74" s="234" t="n"/>
      <c r="F74" s="202" t="n"/>
      <c r="G74" s="202" t="n"/>
      <c r="H74" s="202" t="n"/>
      <c r="I74" s="202" t="n"/>
      <c r="J74" s="202" t="n"/>
      <c r="K74" s="202" t="n"/>
      <c r="L74" s="202" t="n"/>
      <c r="M74" s="202" t="n"/>
      <c r="N74" s="202" t="n"/>
      <c r="O74" s="202" t="n"/>
      <c r="P74" s="202" t="n"/>
      <c r="Q74" s="202" t="n"/>
      <c r="R74" s="202" t="n"/>
      <c r="S74" s="202" t="n"/>
      <c r="T74" s="202" t="n"/>
      <c r="U74" s="202" t="n"/>
      <c r="V74" s="202" t="n"/>
      <c r="W74" s="202" t="n"/>
      <c r="X74" s="203" t="n"/>
    </row>
    <row r="75" ht="18.75" customHeight="1">
      <c r="B75" s="208" t="inlineStr">
        <is>
          <t>1%管理費</t>
        </is>
      </c>
      <c r="C75" s="211" t="n"/>
      <c r="D75" s="202" t="n"/>
      <c r="E75" s="202" t="n"/>
      <c r="F75" s="202" t="n"/>
      <c r="G75" s="202" t="n"/>
      <c r="H75" s="202" t="n"/>
      <c r="I75" s="202" t="n"/>
      <c r="J75" s="202" t="n"/>
      <c r="K75" s="202" t="n"/>
      <c r="L75" s="202" t="n"/>
      <c r="M75" s="202" t="n"/>
      <c r="N75" s="202" t="n"/>
      <c r="O75" s="202" t="n"/>
      <c r="P75" s="202" t="n"/>
      <c r="Q75" s="202" t="n"/>
      <c r="R75" s="202" t="n"/>
      <c r="S75" s="202" t="n"/>
      <c r="T75" s="202" t="n"/>
      <c r="U75" s="202" t="n"/>
      <c r="V75" s="202" t="n"/>
      <c r="W75" s="202" t="n"/>
      <c r="X75" s="203" t="n"/>
    </row>
    <row r="76" ht="18.75" customHeight="1">
      <c r="B76" s="213" t="inlineStr">
        <is>
          <t>稅前淨利</t>
        </is>
      </c>
      <c r="C76" s="235" t="n"/>
      <c r="D76" s="215">
        <f>SUM(D64:D75)</f>
        <v/>
      </c>
      <c r="E76" s="215">
        <f>SUM(E64:E75)</f>
        <v/>
      </c>
      <c r="F76" s="215">
        <f>SUM(F64:F75)</f>
        <v/>
      </c>
      <c r="G76" s="215">
        <f>SUM(G64:G75)</f>
        <v/>
      </c>
      <c r="H76" s="215">
        <f>SUM(H64:H75)</f>
        <v/>
      </c>
      <c r="I76" s="215">
        <f>SUM(I64:I75)</f>
        <v/>
      </c>
      <c r="J76" s="215">
        <f>SUM(J64:J75)</f>
        <v/>
      </c>
      <c r="K76" s="215">
        <f>SUM(K64:K75)</f>
        <v/>
      </c>
      <c r="L76" s="215">
        <f>SUM(L64:L75)</f>
        <v/>
      </c>
      <c r="M76" s="215">
        <f>SUM(M64:M75)</f>
        <v/>
      </c>
      <c r="N76" s="215">
        <f>SUM(N64:N75)</f>
        <v/>
      </c>
      <c r="O76" s="215">
        <f>SUM(O64:O75)</f>
        <v/>
      </c>
      <c r="P76" s="215">
        <f>SUM(P64:P75)</f>
        <v/>
      </c>
      <c r="Q76" s="215">
        <f>SUM(Q64:Q75)</f>
        <v/>
      </c>
      <c r="R76" s="215">
        <f>SUM(R64:R75)</f>
        <v/>
      </c>
      <c r="S76" s="215">
        <f>SUM(S64:S75)</f>
        <v/>
      </c>
      <c r="T76" s="215">
        <f>SUM(T64:T75)</f>
        <v/>
      </c>
      <c r="U76" s="215">
        <f>SUM(U64:U75)</f>
        <v/>
      </c>
      <c r="V76" s="215">
        <f>SUM(V64:V75)</f>
        <v/>
      </c>
      <c r="W76" s="215">
        <f>SUM(W64:W75)</f>
        <v/>
      </c>
      <c r="X76" s="215">
        <f>SUM(X64:X75)</f>
        <v/>
      </c>
    </row>
    <row r="77" ht="18.75" customHeight="1">
      <c r="B77" s="212" t="inlineStr">
        <is>
          <t>所得稅20%</t>
        </is>
      </c>
      <c r="C77" s="211" t="n"/>
      <c r="D77" s="210">
        <f>-D76*0.2</f>
        <v/>
      </c>
      <c r="E77" s="210">
        <f>-E76*0.2</f>
        <v/>
      </c>
      <c r="F77" s="210">
        <f>-F76*0.2</f>
        <v/>
      </c>
      <c r="G77" s="210">
        <f>-G76*0.2</f>
        <v/>
      </c>
      <c r="H77" s="210">
        <f>-H76*0.2</f>
        <v/>
      </c>
      <c r="I77" s="210">
        <f>-I76*0.2</f>
        <v/>
      </c>
      <c r="J77" s="210">
        <f>-J76*0.2</f>
        <v/>
      </c>
      <c r="K77" s="210">
        <f>-K76*0.2</f>
        <v/>
      </c>
      <c r="L77" s="210">
        <f>-L76*0.2</f>
        <v/>
      </c>
      <c r="M77" s="210">
        <f>-M76*0.2</f>
        <v/>
      </c>
      <c r="N77" s="210">
        <f>-N76*0.2</f>
        <v/>
      </c>
      <c r="O77" s="210">
        <f>-O76*0.2</f>
        <v/>
      </c>
      <c r="P77" s="210">
        <f>-P76*0.2</f>
        <v/>
      </c>
      <c r="Q77" s="210">
        <f>-Q76*0.2</f>
        <v/>
      </c>
      <c r="R77" s="210">
        <f>-R76*0.2</f>
        <v/>
      </c>
      <c r="S77" s="210">
        <f>-S76*0.2</f>
        <v/>
      </c>
      <c r="T77" s="210">
        <f>-T76*0.2</f>
        <v/>
      </c>
      <c r="U77" s="210">
        <f>-U76*0.2</f>
        <v/>
      </c>
      <c r="V77" s="210">
        <f>-V76*0.2</f>
        <v/>
      </c>
      <c r="W77" s="210">
        <f>-W76*0.2</f>
        <v/>
      </c>
      <c r="X77" s="210">
        <f>-X76*0.2</f>
        <v/>
      </c>
    </row>
    <row r="78">
      <c r="B78" s="236" t="inlineStr">
        <is>
          <t>稅後淨利</t>
        </is>
      </c>
      <c r="D78" s="210">
        <f>SUM(D76:D77)</f>
        <v/>
      </c>
      <c r="E78" s="210">
        <f>SUM(E76:E77)</f>
        <v/>
      </c>
      <c r="F78" s="210">
        <f>SUM(F76:F77)</f>
        <v/>
      </c>
      <c r="G78" s="210">
        <f>SUM(G76:G77)</f>
        <v/>
      </c>
      <c r="H78" s="210">
        <f>SUM(H76:H77)</f>
        <v/>
      </c>
      <c r="I78" s="210">
        <f>SUM(I76:I77)</f>
        <v/>
      </c>
      <c r="J78" s="210">
        <f>SUM(J76:J77)</f>
        <v/>
      </c>
      <c r="K78" s="210">
        <f>SUM(K76:K77)</f>
        <v/>
      </c>
      <c r="L78" s="210">
        <f>SUM(L76:L77)</f>
        <v/>
      </c>
      <c r="M78" s="210">
        <f>SUM(M76:M77)</f>
        <v/>
      </c>
      <c r="N78" s="210">
        <f>SUM(N76:N77)</f>
        <v/>
      </c>
      <c r="O78" s="210">
        <f>SUM(O76:O77)</f>
        <v/>
      </c>
      <c r="P78" s="210">
        <f>SUM(P76:P77)</f>
        <v/>
      </c>
      <c r="Q78" s="210">
        <f>SUM(Q76:Q77)</f>
        <v/>
      </c>
      <c r="R78" s="210">
        <f>SUM(R76:R77)</f>
        <v/>
      </c>
      <c r="S78" s="210">
        <f>SUM(S76:S77)</f>
        <v/>
      </c>
      <c r="T78" s="210">
        <f>SUM(T76:T77)</f>
        <v/>
      </c>
      <c r="U78" s="210">
        <f>SUM(U76:U77)</f>
        <v/>
      </c>
      <c r="V78" s="210">
        <f>SUM(V76:V77)</f>
        <v/>
      </c>
      <c r="W78" s="210">
        <f>SUM(W76:W77)</f>
        <v/>
      </c>
      <c r="X78" s="210">
        <f>SUM(X76:X77)</f>
        <v/>
      </c>
    </row>
    <row r="79" ht="18.75" customHeight="1">
      <c r="B79" s="219" t="inlineStr">
        <is>
          <t>累計現金流</t>
        </is>
      </c>
      <c r="C79" s="237" t="n"/>
      <c r="D79" s="238" t="n"/>
      <c r="E79" s="238" t="n"/>
      <c r="F79" s="238" t="n"/>
      <c r="G79" s="238" t="n"/>
      <c r="H79" s="238" t="n"/>
      <c r="I79" s="238" t="n"/>
      <c r="J79" s="238" t="n"/>
      <c r="K79" s="238" t="n"/>
      <c r="L79" s="238" t="n"/>
      <c r="M79" s="238" t="n"/>
      <c r="N79" s="238" t="n"/>
      <c r="O79" s="238" t="n"/>
      <c r="P79" s="238" t="n"/>
      <c r="Q79" s="238" t="n"/>
      <c r="R79" s="238" t="n"/>
      <c r="S79" s="238" t="n"/>
      <c r="T79" s="238" t="n"/>
      <c r="U79" s="238" t="n"/>
      <c r="V79" s="238" t="n"/>
      <c r="W79" s="238" t="n"/>
      <c r="X79" s="239" t="n"/>
    </row>
    <row r="80" ht="18.75" customHeight="1">
      <c r="B80" s="240" t="inlineStr">
        <is>
          <t>回收年限評估</t>
        </is>
      </c>
      <c r="C80" s="241" t="n"/>
      <c r="D80" s="242" t="n"/>
      <c r="E80" s="242" t="n"/>
      <c r="F80" s="242" t="n"/>
      <c r="G80" s="242" t="n"/>
      <c r="H80" s="242" t="n"/>
      <c r="I80" s="242" t="n"/>
      <c r="J80" s="242" t="n"/>
      <c r="K80" s="242" t="n"/>
      <c r="L80" s="242" t="n"/>
      <c r="M80" s="242" t="n"/>
      <c r="N80" s="242" t="n"/>
      <c r="O80" s="242" t="n"/>
      <c r="P80" s="242" t="n"/>
      <c r="Q80" s="242" t="n"/>
      <c r="R80" s="242" t="n"/>
      <c r="S80" s="242" t="n"/>
      <c r="T80" s="242" t="n"/>
      <c r="U80" s="242" t="n"/>
      <c r="V80" s="242" t="n"/>
      <c r="W80" s="242" t="n"/>
      <c r="X80" s="243" t="n"/>
    </row>
    <row r="81" ht="18.75" customHeight="1">
      <c r="B81" s="228" t="n"/>
      <c r="C81" s="227" t="n"/>
      <c r="D81" s="227" t="n"/>
      <c r="E81" s="227" t="n"/>
      <c r="F81" s="228" t="n"/>
      <c r="G81" s="228" t="n"/>
      <c r="H81" s="228" t="n"/>
      <c r="I81" s="228" t="n"/>
      <c r="J81" s="228" t="n"/>
      <c r="K81" s="228" t="n"/>
      <c r="L81" s="228" t="n"/>
      <c r="M81" s="227" t="n"/>
      <c r="N81" s="228" t="n"/>
      <c r="O81" s="228" t="n"/>
      <c r="P81" s="228" t="n"/>
      <c r="Q81" s="228" t="n"/>
      <c r="R81" s="228" t="n"/>
      <c r="S81" s="228" t="n"/>
      <c r="T81" s="228" t="n"/>
      <c r="U81" s="228" t="n"/>
      <c r="V81" s="228" t="n"/>
      <c r="W81" s="228" t="n"/>
      <c r="X81" s="2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王竣生</dc:creator>
  <dcterms:created xsi:type="dcterms:W3CDTF">2015-06-05T18:19:34Z</dcterms:created>
  <dcterms:modified xsi:type="dcterms:W3CDTF">2026-03-02T16:34:43Z</dcterms:modified>
  <cp:lastModifiedBy>王竣生</cp:lastModifiedBy>
</cp:coreProperties>
</file>