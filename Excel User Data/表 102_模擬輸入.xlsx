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滾算紀錄7" sheetId="9" state="visible" r:id="rId9"/>
    <sheet name="滾算紀錄8" sheetId="10" state="visible" r:id="rId10"/>
    <sheet name="滾算紀錄9" sheetId="11" state="visible" r:id="rId11"/>
    <sheet name="滾算紀錄10" sheetId="12" state="visible" r:id="rId12"/>
    <sheet name="滾算紀錄11" sheetId="13" state="visible" r:id="rId13"/>
    <sheet name="滾算紀錄12" sheetId="14" state="visible" r:id="rId14"/>
    <sheet name="滾算紀錄13" sheetId="15" state="visible" r:id="rId15"/>
    <sheet name="滾算紀錄14" sheetId="16" state="visible" r:id="rId16"/>
    <sheet name="滾算紀錄15" sheetId="17" state="visible" r:id="rId17"/>
    <sheet name="滾算紀錄16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"/>
    <numFmt numFmtId="165" formatCode="#,##0.00%"/>
    <numFmt numFmtId="166" formatCode="0.00_);[Red]\(0.00\)"/>
    <numFmt numFmtId="167" formatCode="0_);[Red]\(0\)"/>
    <numFmt numFmtId="168" formatCode="&quot;$&quot;#,##0.00_);[Red]\(&quot;$&quot;#,##0.00\)"/>
    <numFmt numFmtId="169" formatCode="&quot;$&quot;#,##0_);[Red]\(&quot;$&quot;#,##0\)"/>
    <numFmt numFmtId="170" formatCode="0.00000%"/>
    <numFmt numFmtId="171" formatCode="_-&quot;$&quot;* #,##0_-;\-&quot;$&quot;* #,##0_-;_-&quot;$&quot;* &quot;-&quot;??_-;_-@_-"/>
    <numFmt numFmtId="172" formatCode="0.0000%"/>
    <numFmt numFmtId="173" formatCode="0.000%"/>
  </numFmts>
  <fonts count="35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2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center"/>
    </xf>
    <xf numFmtId="166" fontId="28" fillId="0" borderId="0" applyAlignment="1" pivotButton="0" quotePrefix="0" xfId="0">
      <alignment horizontal="left"/>
    </xf>
    <xf numFmtId="166" fontId="29" fillId="14" borderId="44" applyAlignment="1" pivotButton="0" quotePrefix="0" xfId="0">
      <alignment horizontal="center"/>
    </xf>
    <xf numFmtId="166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8" fillId="0" borderId="50" applyAlignment="1" pivotButton="0" quotePrefix="0" xfId="0">
      <alignment horizontal="left"/>
    </xf>
    <xf numFmtId="166" fontId="28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53" applyAlignment="1" pivotButton="0" quotePrefix="0" xfId="0">
      <alignment horizontal="left"/>
    </xf>
    <xf numFmtId="166" fontId="28" fillId="16" borderId="44" applyAlignment="1" pivotButton="0" quotePrefix="0" xfId="0">
      <alignment horizontal="center"/>
    </xf>
    <xf numFmtId="166" fontId="28" fillId="0" borderId="52" applyAlignment="1" pivotButton="0" quotePrefix="0" xfId="0">
      <alignment horizontal="left"/>
    </xf>
    <xf numFmtId="166" fontId="28" fillId="0" borderId="46" applyAlignment="1" pivotButton="0" quotePrefix="0" xfId="0">
      <alignment horizontal="left" vertical="top"/>
    </xf>
    <xf numFmtId="166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8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0" fillId="0" borderId="0" applyAlignment="1" pivotButton="0" quotePrefix="0" xfId="0">
      <alignment horizontal="left"/>
    </xf>
    <xf numFmtId="166" fontId="28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8" fontId="16" fillId="9" borderId="25" applyAlignment="1" pivotButton="0" quotePrefix="0" xfId="0">
      <alignment horizontal="left"/>
    </xf>
    <xf numFmtId="168" fontId="14" fillId="0" borderId="17" applyAlignment="1" pivotButton="0" quotePrefix="0" xfId="0">
      <alignment horizontal="center"/>
    </xf>
    <xf numFmtId="169" fontId="14" fillId="0" borderId="18" applyAlignment="1" pivotButton="0" quotePrefix="0" xfId="0">
      <alignment horizontal="center"/>
    </xf>
    <xf numFmtId="168" fontId="14" fillId="0" borderId="20" applyAlignment="1" pivotButton="0" quotePrefix="0" xfId="0">
      <alignment horizontal="center"/>
    </xf>
    <xf numFmtId="168" fontId="16" fillId="9" borderId="26" applyAlignment="1" pivotButton="0" quotePrefix="0" xfId="0">
      <alignment horizontal="left"/>
    </xf>
    <xf numFmtId="168" fontId="14" fillId="0" borderId="15" applyAlignment="1" pivotButton="0" quotePrefix="0" xfId="0">
      <alignment horizontal="center"/>
    </xf>
    <xf numFmtId="168" fontId="14" fillId="0" borderId="0" applyAlignment="1" pivotButton="0" quotePrefix="0" xfId="0">
      <alignment horizontal="center"/>
    </xf>
    <xf numFmtId="168" fontId="14" fillId="0" borderId="22" applyAlignment="1" pivotButton="0" quotePrefix="0" xfId="0">
      <alignment horizontal="center"/>
    </xf>
    <xf numFmtId="168" fontId="16" fillId="9" borderId="27" applyAlignment="1" pivotButton="0" quotePrefix="0" xfId="0">
      <alignment horizontal="left"/>
    </xf>
    <xf numFmtId="168" fontId="14" fillId="0" borderId="28" applyAlignment="1" pivotButton="0" quotePrefix="0" xfId="0">
      <alignment horizontal="center"/>
    </xf>
    <xf numFmtId="168" fontId="14" fillId="0" borderId="29" applyAlignment="1" pivotButton="0" quotePrefix="0" xfId="0">
      <alignment horizontal="center"/>
    </xf>
    <xf numFmtId="168" fontId="14" fillId="0" borderId="30" applyAlignment="1" pivotButton="0" quotePrefix="0" xfId="0">
      <alignment horizontal="center"/>
    </xf>
    <xf numFmtId="168" fontId="16" fillId="10" borderId="26" applyAlignment="1" pivotButton="0" quotePrefix="0" xfId="0">
      <alignment horizontal="left"/>
    </xf>
    <xf numFmtId="169" fontId="14" fillId="0" borderId="15" applyAlignment="1" pivotButton="0" quotePrefix="0" xfId="0">
      <alignment horizontal="center"/>
    </xf>
    <xf numFmtId="169" fontId="14" fillId="0" borderId="0" applyAlignment="1" pivotButton="0" quotePrefix="0" xfId="0">
      <alignment horizontal="center"/>
    </xf>
    <xf numFmtId="168" fontId="9" fillId="0" borderId="15" applyAlignment="1" pivotButton="0" quotePrefix="0" xfId="0">
      <alignment horizontal="left"/>
    </xf>
    <xf numFmtId="168" fontId="17" fillId="10" borderId="26" applyAlignment="1" pivotButton="0" quotePrefix="0" xfId="0">
      <alignment horizontal="left"/>
    </xf>
    <xf numFmtId="168" fontId="32" fillId="0" borderId="16" applyAlignment="1" pivotButton="0" quotePrefix="0" xfId="0">
      <alignment horizontal="right"/>
    </xf>
    <xf numFmtId="169" fontId="21" fillId="0" borderId="28" applyAlignment="1" pivotButton="0" quotePrefix="0" xfId="0">
      <alignment horizontal="center"/>
    </xf>
    <xf numFmtId="169" fontId="18" fillId="0" borderId="32" applyAlignment="1" pivotButton="0" quotePrefix="0" xfId="0">
      <alignment horizontal="center"/>
    </xf>
    <xf numFmtId="168" fontId="18" fillId="0" borderId="32" applyAlignment="1" pivotButton="0" quotePrefix="0" xfId="0">
      <alignment horizontal="center"/>
    </xf>
    <xf numFmtId="168" fontId="19" fillId="0" borderId="0" applyAlignment="1" pivotButton="0" quotePrefix="0" xfId="0">
      <alignment horizontal="left"/>
    </xf>
    <xf numFmtId="168" fontId="19" fillId="0" borderId="0" applyAlignment="1" pivotButton="0" quotePrefix="0" xfId="0">
      <alignment horizontal="right"/>
    </xf>
    <xf numFmtId="168" fontId="20" fillId="0" borderId="23" applyAlignment="1" pivotButton="0" quotePrefix="0" xfId="0">
      <alignment horizontal="right"/>
    </xf>
    <xf numFmtId="169" fontId="21" fillId="0" borderId="29" applyAlignment="1" pivotButton="0" quotePrefix="0" xfId="0">
      <alignment horizontal="center"/>
    </xf>
    <xf numFmtId="168" fontId="25" fillId="0" borderId="23" applyAlignment="1" pivotButton="0" quotePrefix="0" xfId="0">
      <alignment horizontal="right"/>
    </xf>
    <xf numFmtId="168" fontId="24" fillId="0" borderId="28" applyAlignment="1" pivotButton="0" quotePrefix="0" xfId="0">
      <alignment horizontal="center"/>
    </xf>
    <xf numFmtId="169" fontId="21" fillId="0" borderId="36" applyAlignment="1" pivotButton="0" quotePrefix="0" xfId="0">
      <alignment horizontal="center"/>
    </xf>
    <xf numFmtId="168" fontId="21" fillId="0" borderId="36" applyAlignment="1" pivotButton="0" quotePrefix="0" xfId="0">
      <alignment horizontal="center"/>
    </xf>
    <xf numFmtId="166" fontId="33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9" fontId="14" fillId="7" borderId="14" applyAlignment="1" pivotButton="0" quotePrefix="0" xfId="0">
      <alignment horizontal="center"/>
    </xf>
    <xf numFmtId="168" fontId="9" fillId="0" borderId="31" applyAlignment="1" pivotButton="0" quotePrefix="0" xfId="0">
      <alignment horizontal="left"/>
    </xf>
    <xf numFmtId="168" fontId="9" fillId="0" borderId="0" applyAlignment="1" pivotButton="0" quotePrefix="0" xfId="0">
      <alignment horizontal="left"/>
    </xf>
    <xf numFmtId="168" fontId="18" fillId="0" borderId="18" applyAlignment="1" pivotButton="0" quotePrefix="0" xfId="0">
      <alignment horizontal="center"/>
    </xf>
    <xf numFmtId="168" fontId="34" fillId="0" borderId="0" applyAlignment="1" pivotButton="0" quotePrefix="0" xfId="0">
      <alignment horizontal="right"/>
    </xf>
    <xf numFmtId="168" fontId="21" fillId="0" borderId="28" applyAlignment="1" pivotButton="0" quotePrefix="0" xfId="0">
      <alignment horizontal="center"/>
    </xf>
    <xf numFmtId="168" fontId="21" fillId="0" borderId="29" applyAlignment="1" pivotButton="0" quotePrefix="0" xfId="0">
      <alignment horizontal="center"/>
    </xf>
    <xf numFmtId="168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left"/>
    </xf>
    <xf numFmtId="169" fontId="8" fillId="0" borderId="0" applyAlignment="1" pivotButton="0" quotePrefix="0" xfId="0">
      <alignment horizontal="center"/>
    </xf>
    <xf numFmtId="169" fontId="8" fillId="12" borderId="14" applyAlignment="1" pivotButton="0" quotePrefix="0" xfId="0">
      <alignment horizontal="center"/>
    </xf>
    <xf numFmtId="169" fontId="8" fillId="0" borderId="14" applyAlignment="1" pivotButton="0" quotePrefix="0" xfId="0">
      <alignment horizontal="center"/>
    </xf>
    <xf numFmtId="169" fontId="8" fillId="0" borderId="34" applyAlignment="1" pivotButton="0" quotePrefix="0" xfId="0">
      <alignment horizontal="center"/>
    </xf>
    <xf numFmtId="168" fontId="16" fillId="0" borderId="0" applyAlignment="1" pivotButton="0" quotePrefix="0" xfId="0">
      <alignment horizontal="right"/>
    </xf>
    <xf numFmtId="168" fontId="8" fillId="0" borderId="0" applyAlignment="1" pivotButton="0" quotePrefix="0" xfId="0">
      <alignment horizontal="right"/>
    </xf>
    <xf numFmtId="168" fontId="16" fillId="0" borderId="0" applyAlignment="1" pivotButton="0" quotePrefix="0" xfId="0">
      <alignment horizontal="left"/>
    </xf>
    <xf numFmtId="168" fontId="8" fillId="0" borderId="38" applyAlignment="1" pivotButton="0" quotePrefix="0" xfId="0">
      <alignment horizontal="left"/>
    </xf>
    <xf numFmtId="168" fontId="8" fillId="0" borderId="38" applyAlignment="1" pivotButton="0" quotePrefix="0" xfId="0">
      <alignment horizontal="right"/>
    </xf>
    <xf numFmtId="169" fontId="8" fillId="0" borderId="38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171" fontId="8" fillId="13" borderId="14" applyAlignment="1" pivotButton="0" quotePrefix="0" xfId="0">
      <alignment horizontal="center"/>
    </xf>
    <xf numFmtId="168" fontId="8" fillId="0" borderId="39" applyAlignment="1" pivotButton="0" quotePrefix="0" xfId="0">
      <alignment horizontal="left"/>
    </xf>
    <xf numFmtId="168" fontId="8" fillId="0" borderId="39" applyAlignment="1" pivotButton="0" quotePrefix="0" xfId="0">
      <alignment horizontal="right"/>
    </xf>
    <xf numFmtId="171" fontId="8" fillId="0" borderId="39" applyAlignment="1" pivotButton="0" quotePrefix="0" xfId="0">
      <alignment horizontal="right"/>
    </xf>
    <xf numFmtId="171" fontId="16" fillId="0" borderId="0" applyAlignment="1" pivotButton="0" quotePrefix="0" xfId="0">
      <alignment horizontal="center"/>
    </xf>
    <xf numFmtId="168" fontId="8" fillId="0" borderId="34" applyAlignment="1" pivotButton="0" quotePrefix="0" xfId="0">
      <alignment horizontal="left"/>
    </xf>
    <xf numFmtId="168" fontId="8" fillId="0" borderId="34" applyAlignment="1" pivotButton="0" quotePrefix="0" xfId="0">
      <alignment horizontal="right"/>
    </xf>
    <xf numFmtId="169" fontId="8" fillId="5" borderId="40" applyAlignment="1" pivotButton="0" quotePrefix="0" xfId="0">
      <alignment horizontal="center"/>
    </xf>
    <xf numFmtId="172" fontId="8" fillId="7" borderId="14" applyAlignment="1" pivotButton="0" quotePrefix="0" xfId="0">
      <alignment horizontal="left"/>
    </xf>
    <xf numFmtId="173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topLeftCell="A7" workbookViewId="0">
      <selection activeCell="C20" sqref="C20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2023</v>
      </c>
      <c r="C5" s="7" t="inlineStr">
        <is>
          <t>結束年度</t>
        </is>
      </c>
      <c r="D5" s="7" t="n">
        <v>2042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35000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0.3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3000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290201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20" customWidth="1" min="6" max="6"/>
    <col width="20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35000</v>
      </c>
      <c r="C2" t="n">
        <v>1.54</v>
      </c>
      <c r="D2" t="n">
        <v>1.27</v>
      </c>
      <c r="E2" s="151" t="n">
        <v>0.3</v>
      </c>
      <c r="F2" t="n">
        <v>5233200</v>
      </c>
      <c r="G2" t="n">
        <v>12000</v>
      </c>
      <c r="H2" t="n">
        <v>3000</v>
      </c>
      <c r="I2" t="inlineStr">
        <is>
          <t>初始價金 - 現金模式，每次減少 1000 元，邊界值 20000 元</t>
        </is>
      </c>
    </row>
    <row r="3">
      <c r="A3" t="n">
        <v>2</v>
      </c>
      <c r="B3" t="n">
        <v>34000</v>
      </c>
      <c r="C3" t="n">
        <v>1.78</v>
      </c>
      <c r="D3" t="n">
        <v>1.99</v>
      </c>
      <c r="E3" s="151" t="n">
        <v>0.3</v>
      </c>
      <c r="F3" t="n">
        <v>5046300.000000001</v>
      </c>
      <c r="G3" t="n">
        <v>11571.42857142857</v>
      </c>
      <c r="H3" t="n">
        <v>3000</v>
      </c>
      <c r="I3" t="inlineStr">
        <is>
          <t>第1次滾算，減少 1000 元 - 現金模式，每次減少 1000 元</t>
        </is>
      </c>
    </row>
    <row r="4">
      <c r="A4" t="n">
        <v>3</v>
      </c>
      <c r="B4" t="n">
        <v>33000</v>
      </c>
      <c r="C4" t="n">
        <v>2.03</v>
      </c>
      <c r="D4" t="n">
        <v>2.75</v>
      </c>
      <c r="E4" s="151" t="n">
        <v>0.3</v>
      </c>
      <c r="F4" t="n">
        <v>4859400.000000001</v>
      </c>
      <c r="G4" t="n">
        <v>11142.85714285714</v>
      </c>
      <c r="H4" t="n">
        <v>3000</v>
      </c>
      <c r="I4" t="inlineStr">
        <is>
          <t>第2次滾算，減少 1000 元 - 現金模式，每次減少 1000 元</t>
        </is>
      </c>
    </row>
    <row r="5">
      <c r="A5" t="n">
        <v>4</v>
      </c>
      <c r="B5" t="n">
        <v>32000</v>
      </c>
      <c r="C5" t="n">
        <v>2.3</v>
      </c>
      <c r="D5" t="n">
        <v>3.56</v>
      </c>
      <c r="E5" s="151" t="n">
        <v>0.3</v>
      </c>
      <c r="F5" t="n">
        <v>4672500.000000002</v>
      </c>
      <c r="G5" t="n">
        <v>10714.28571428572</v>
      </c>
      <c r="H5" t="n">
        <v>3000</v>
      </c>
      <c r="I5" t="inlineStr">
        <is>
          <t>第3次滾算，減少 1000 元 - 現金模式，每次減少 1000 元</t>
        </is>
      </c>
    </row>
    <row r="6">
      <c r="A6" t="n">
        <v>5</v>
      </c>
      <c r="B6" t="n">
        <v>31000</v>
      </c>
      <c r="C6" t="n">
        <v>2.57</v>
      </c>
      <c r="D6" t="n">
        <v>4.43</v>
      </c>
      <c r="E6" s="151" t="n">
        <v>0.3</v>
      </c>
      <c r="F6" t="n">
        <v>4485600.000000002</v>
      </c>
      <c r="G6" t="n">
        <v>10285.71428571429</v>
      </c>
      <c r="H6" t="n">
        <v>3000</v>
      </c>
      <c r="I6" t="inlineStr">
        <is>
          <t>第4次滾算，減少 1000 元 - 現金模式，每次減少 1000 元</t>
        </is>
      </c>
    </row>
    <row r="7">
      <c r="A7" t="n">
        <v>6</v>
      </c>
      <c r="B7" t="n">
        <v>30000</v>
      </c>
      <c r="C7" t="n">
        <v>2.86</v>
      </c>
      <c r="D7" t="n">
        <v>5.37</v>
      </c>
      <c r="E7" s="151" t="n">
        <v>0.3</v>
      </c>
      <c r="F7" t="n">
        <v>4298700.000000003</v>
      </c>
      <c r="G7" t="n">
        <v>9857.142857142862</v>
      </c>
      <c r="H7" t="n">
        <v>3000</v>
      </c>
      <c r="I7" t="inlineStr">
        <is>
          <t>第5次滾算，減少 1000 元 - 現金模式，每次減少 1000 元</t>
        </is>
      </c>
    </row>
    <row r="8">
      <c r="A8" t="n">
        <v>7</v>
      </c>
      <c r="B8" t="n">
        <v>29000</v>
      </c>
      <c r="C8" t="n">
        <v>3.16</v>
      </c>
      <c r="D8" t="n">
        <v>6.37</v>
      </c>
      <c r="E8" s="151" t="n">
        <v>0.3</v>
      </c>
      <c r="F8" t="n">
        <v>4111800.000000003</v>
      </c>
      <c r="G8" t="n">
        <v>9428.571428571435</v>
      </c>
      <c r="H8" t="n">
        <v>3000</v>
      </c>
      <c r="I8" t="inlineStr">
        <is>
          <t>第6次滾算，減少 1000 元 - 現金模式，每次減少 1000 元</t>
        </is>
      </c>
    </row>
    <row r="9">
      <c r="A9" t="n">
        <v>8</v>
      </c>
      <c r="B9" t="n">
        <v>28000</v>
      </c>
      <c r="C9" t="n">
        <v>3.48</v>
      </c>
      <c r="D9" t="n">
        <v>7.46</v>
      </c>
      <c r="E9" s="151" t="n">
        <v>0.3</v>
      </c>
      <c r="F9" t="n">
        <v>3924900</v>
      </c>
      <c r="G9" t="n">
        <v>9000</v>
      </c>
      <c r="H9" t="n">
        <v>3000</v>
      </c>
      <c r="I9" t="inlineStr">
        <is>
          <t>第7次滾算，減少 1000 元 - 現金模式，每次減少 1000 元</t>
        </is>
      </c>
    </row>
    <row r="10">
      <c r="A10" t="n">
        <v>9</v>
      </c>
      <c r="B10" t="n">
        <v>27000</v>
      </c>
      <c r="C10" t="n">
        <v>3.82</v>
      </c>
      <c r="D10" t="n">
        <v>8.65</v>
      </c>
      <c r="E10" s="151" t="n">
        <v>0.3</v>
      </c>
      <c r="F10" t="n">
        <v>3738000</v>
      </c>
      <c r="G10" t="n">
        <v>8571.428571428572</v>
      </c>
      <c r="H10" t="n">
        <v>3000</v>
      </c>
      <c r="I10" t="inlineStr">
        <is>
          <t>第8次滾算，減少 1000 元 - 現金模式，每次減少 1000 元</t>
        </is>
      </c>
    </row>
    <row r="11">
      <c r="A11" t="n">
        <v>10</v>
      </c>
      <c r="B11" t="n">
        <v>26000</v>
      </c>
      <c r="C11" t="n">
        <v>4.17</v>
      </c>
      <c r="D11" t="n">
        <v>9.960000000000001</v>
      </c>
      <c r="E11" s="151" t="n">
        <v>0.3</v>
      </c>
      <c r="F11" t="n">
        <v>3551100.000000001</v>
      </c>
      <c r="G11" t="n">
        <v>8142.857142857145</v>
      </c>
      <c r="H11" t="n">
        <v>3000</v>
      </c>
      <c r="I11" t="inlineStr">
        <is>
          <t>第9次滾算，減少 1000 元 - 現金模式，每次減少 1000 元</t>
        </is>
      </c>
    </row>
    <row r="12">
      <c r="A12" t="n">
        <v>11</v>
      </c>
      <c r="B12" t="n">
        <v>25000</v>
      </c>
      <c r="C12" t="n">
        <v>4.54</v>
      </c>
      <c r="D12" t="n">
        <v>11.4</v>
      </c>
      <c r="E12" s="151" t="n">
        <v>0.3</v>
      </c>
      <c r="F12" t="n">
        <v>3364200.000000001</v>
      </c>
      <c r="G12" t="n">
        <v>7714.285714285717</v>
      </c>
      <c r="H12" t="n">
        <v>3000</v>
      </c>
      <c r="I12" t="inlineStr">
        <is>
          <t>第10次滾算，減少 1000 元 - 現金模式，每次減少 1000 元</t>
        </is>
      </c>
    </row>
    <row r="13">
      <c r="A13" t="n">
        <v>12</v>
      </c>
      <c r="B13" t="n">
        <v>24000</v>
      </c>
      <c r="C13" t="n">
        <v>4.94</v>
      </c>
      <c r="D13" t="n">
        <v>13</v>
      </c>
      <c r="E13" s="151" t="n">
        <v>0.3</v>
      </c>
      <c r="F13" t="n">
        <v>3177300.000000002</v>
      </c>
      <c r="G13" t="n">
        <v>7285.71428571429</v>
      </c>
      <c r="H13" t="n">
        <v>3000</v>
      </c>
      <c r="I13" t="inlineStr">
        <is>
          <t>第11次滾算，減少 1000 元 - 現金模式，每次減少 1000 元</t>
        </is>
      </c>
    </row>
    <row r="14">
      <c r="A14" t="n">
        <v>13</v>
      </c>
      <c r="B14" t="n">
        <v>23000</v>
      </c>
      <c r="C14" t="n">
        <v>5.36</v>
      </c>
      <c r="D14" t="n">
        <v>14.79</v>
      </c>
      <c r="E14" s="151" t="n">
        <v>0.3</v>
      </c>
      <c r="F14" t="n">
        <v>2990400.000000002</v>
      </c>
      <c r="G14" t="n">
        <v>6857.142857142862</v>
      </c>
      <c r="H14" t="n">
        <v>3000</v>
      </c>
      <c r="I14" t="inlineStr">
        <is>
          <t>第12次滾算，減少 1000 元 - 現金模式，每次減少 1000 元</t>
        </is>
      </c>
    </row>
    <row r="15">
      <c r="A15" t="n">
        <v>14</v>
      </c>
      <c r="B15" t="n">
        <v>22000</v>
      </c>
      <c r="C15" t="n">
        <v>5.8</v>
      </c>
      <c r="D15" t="n">
        <v>16.83</v>
      </c>
      <c r="E15" s="151" t="n">
        <v>0.3</v>
      </c>
      <c r="F15" t="n">
        <v>2803500.000000001</v>
      </c>
      <c r="G15" t="n">
        <v>6428.571428571431</v>
      </c>
      <c r="H15" t="n">
        <v>3000</v>
      </c>
      <c r="I15" t="inlineStr">
        <is>
          <t>第13次滾算，減少 1000 元 - 現金模式，每次減少 1000 元</t>
        </is>
      </c>
    </row>
    <row r="16">
      <c r="A16" t="n">
        <v>15</v>
      </c>
      <c r="B16" t="n">
        <v>21000</v>
      </c>
      <c r="C16" t="n">
        <v>6.28</v>
      </c>
      <c r="D16" t="n">
        <v>19.16</v>
      </c>
      <c r="E16" s="151" t="n">
        <v>0.3</v>
      </c>
      <c r="F16" t="n">
        <v>2616600.000000002</v>
      </c>
      <c r="G16" t="n">
        <v>6000.000000000004</v>
      </c>
      <c r="H16" t="n">
        <v>3000</v>
      </c>
      <c r="I16" t="inlineStr">
        <is>
          <t>第14次滾算，減少 1000 元 - 現金模式，每次減少 1000 元</t>
        </is>
      </c>
    </row>
    <row r="17">
      <c r="A17" t="n">
        <v>16</v>
      </c>
      <c r="B17" t="n">
        <v>20000</v>
      </c>
      <c r="C17" t="n">
        <v>6.79</v>
      </c>
      <c r="D17" t="n">
        <v>21.86</v>
      </c>
      <c r="E17" s="151" t="n">
        <v>0.3</v>
      </c>
      <c r="F17" t="n">
        <v>2429700</v>
      </c>
      <c r="G17" t="n">
        <v>5571.428571428572</v>
      </c>
      <c r="H17" t="n">
        <v>3000</v>
      </c>
      <c r="I17" t="inlineStr">
        <is>
          <t>第15次滾算，減少 1000 元 - 現金模式，每次減少 1000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初始價金摘要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35000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1.54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1.27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初始價金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35000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-45790</v>
      </c>
      <c r="E49" s="210" t="n">
        <v>-45790</v>
      </c>
      <c r="F49" s="210" t="n">
        <v>-45790</v>
      </c>
      <c r="G49" s="210" t="n">
        <v>-45790</v>
      </c>
      <c r="H49" s="210" t="n">
        <v>-45790</v>
      </c>
      <c r="I49" s="210" t="n">
        <v>-45790</v>
      </c>
      <c r="J49" s="210" t="n">
        <v>-45790</v>
      </c>
      <c r="K49" s="210" t="n">
        <v>-45790</v>
      </c>
      <c r="L49" s="210" t="n">
        <v>-45790</v>
      </c>
      <c r="M49" s="210" t="n">
        <v>-45790</v>
      </c>
      <c r="N49" s="210" t="n">
        <v>-45790</v>
      </c>
      <c r="O49" s="210" t="n">
        <v>-45790</v>
      </c>
      <c r="P49" s="210" t="n">
        <v>-45790</v>
      </c>
      <c r="Q49" s="210" t="n">
        <v>-45790</v>
      </c>
      <c r="R49" s="210" t="n">
        <v>-45790</v>
      </c>
      <c r="S49" s="210" t="n">
        <v>-45790</v>
      </c>
      <c r="T49" s="210" t="n">
        <v>-45790</v>
      </c>
      <c r="U49" s="210" t="n">
        <v>-45790</v>
      </c>
      <c r="V49" s="210" t="n">
        <v>-45790</v>
      </c>
      <c r="W49" s="210" t="n">
        <v>-45790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-473268</v>
      </c>
      <c r="E70" s="202" t="n">
        <v>-441717</v>
      </c>
      <c r="F70" s="202" t="n">
        <v>-410166</v>
      </c>
      <c r="G70" s="202" t="n">
        <v>-378614</v>
      </c>
      <c r="H70" s="202" t="n">
        <v>-347063</v>
      </c>
      <c r="I70" s="202" t="n">
        <v>-315512</v>
      </c>
      <c r="J70" s="202" t="n">
        <v>-283961</v>
      </c>
      <c r="K70" s="202" t="n">
        <v>-252410</v>
      </c>
      <c r="L70" s="202" t="n">
        <v>-220858</v>
      </c>
      <c r="M70" s="202" t="n">
        <v>-189307</v>
      </c>
      <c r="N70" s="202" t="n">
        <v>-157756</v>
      </c>
      <c r="O70" s="202" t="n">
        <v>-126205</v>
      </c>
      <c r="P70" s="202" t="n">
        <v>-94654</v>
      </c>
      <c r="Q70" s="202" t="n">
        <v>-63102</v>
      </c>
      <c r="R70" s="202" t="n">
        <v>-31551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-1232709</v>
      </c>
      <c r="F93" s="248" t="n">
        <v>-1232709</v>
      </c>
      <c r="G93" s="248" t="n">
        <v>-1232709</v>
      </c>
      <c r="H93" s="248" t="n">
        <v>-1232709</v>
      </c>
      <c r="I93" s="248" t="n">
        <v>-1232709</v>
      </c>
      <c r="J93" s="248" t="n">
        <v>-1232709</v>
      </c>
      <c r="K93" s="248" t="n">
        <v>-1232709</v>
      </c>
      <c r="L93" s="248" t="n">
        <v>-1232709</v>
      </c>
      <c r="M93" s="248" t="n">
        <v>-1232709</v>
      </c>
      <c r="N93" s="248" t="n">
        <v>-1232709</v>
      </c>
      <c r="O93" s="248" t="n">
        <v>-1232709</v>
      </c>
      <c r="P93" s="248" t="n">
        <v>-1232709</v>
      </c>
      <c r="Q93" s="248" t="n">
        <v>-1232709</v>
      </c>
      <c r="R93" s="248" t="n">
        <v>-1232709</v>
      </c>
      <c r="S93" s="248" t="n">
        <v>-1232709</v>
      </c>
      <c r="T93" s="254" t="n">
        <v>0</v>
      </c>
      <c r="U93" s="254" t="n">
        <v>0</v>
      </c>
      <c r="V93" s="254" t="n">
        <v>0</v>
      </c>
      <c r="W93" s="254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0">
        <f>-D85*$D$33</f>
        <v/>
      </c>
      <c r="F95" s="260">
        <f>-E85*$D$33</f>
        <v/>
      </c>
      <c r="G95" s="260">
        <f>-F85*$D$33</f>
        <v/>
      </c>
      <c r="H95" s="260">
        <f>-G85*$D$33</f>
        <v/>
      </c>
      <c r="I95" s="260">
        <f>-H85*$D$33</f>
        <v/>
      </c>
      <c r="J95" s="260">
        <f>-I85*$D$33</f>
        <v/>
      </c>
      <c r="K95" s="260">
        <f>-J85*$D$33</f>
        <v/>
      </c>
      <c r="L95" s="260">
        <f>-K85*$D$33</f>
        <v/>
      </c>
      <c r="M95" s="260">
        <f>-L85*$D$33</f>
        <v/>
      </c>
      <c r="N95" s="260">
        <f>-M85*$D$33</f>
        <v/>
      </c>
      <c r="O95" s="260">
        <f>-N85*$D$33</f>
        <v/>
      </c>
      <c r="P95" s="260">
        <f>-O85*$D$33</f>
        <v/>
      </c>
      <c r="Q95" s="260">
        <f>-P85*$D$33</f>
        <v/>
      </c>
      <c r="R95" s="260">
        <f>-Q85*$D$33</f>
        <v/>
      </c>
      <c r="S95" s="260">
        <f>-R85*$D$33</f>
        <v/>
      </c>
      <c r="T95" s="260">
        <f>-S85*$D$33</f>
        <v/>
      </c>
      <c r="U95" s="260">
        <f>-T85*$D$33</f>
        <v/>
      </c>
      <c r="V95" s="260">
        <f>-U85*$D$33</f>
        <v/>
      </c>
      <c r="W95" s="260">
        <f>-V85*$D$33</f>
        <v/>
      </c>
      <c r="X95" s="260">
        <f>-W85*$D$33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3" t="n">
        <v>0</v>
      </c>
      <c r="S96" s="263" t="n">
        <v>0</v>
      </c>
      <c r="T96" s="263" t="n">
        <v>-1155665</v>
      </c>
      <c r="U96" s="263" t="n">
        <v>-1155665</v>
      </c>
      <c r="V96" s="263" t="n">
        <v>-1155665</v>
      </c>
      <c r="W96" s="263" t="n">
        <v>-1155665</v>
      </c>
      <c r="X96" s="264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5" t="inlineStr">
        <is>
          <t>成本法實際現金流</t>
        </is>
      </c>
      <c r="C104" s="266" t="n"/>
      <c r="D104" s="267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8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5" t="inlineStr">
        <is>
          <t>權益法實際現金流</t>
        </is>
      </c>
      <c r="C106" s="266" t="n"/>
      <c r="D106" s="267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5" t="inlineStr">
        <is>
          <t>權益法IRR</t>
        </is>
      </c>
      <c r="C107" s="269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0" t="n"/>
    </row>
    <row r="112" ht="16.5" customHeight="1">
      <c r="G112" s="27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1.78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1.99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-44482</v>
      </c>
      <c r="E49" s="210" t="n">
        <v>-44482</v>
      </c>
      <c r="F49" s="210" t="n">
        <v>-44482</v>
      </c>
      <c r="G49" s="210" t="n">
        <v>-44482</v>
      </c>
      <c r="H49" s="210" t="n">
        <v>-44482</v>
      </c>
      <c r="I49" s="210" t="n">
        <v>-44482</v>
      </c>
      <c r="J49" s="210" t="n">
        <v>-44482</v>
      </c>
      <c r="K49" s="210" t="n">
        <v>-44482</v>
      </c>
      <c r="L49" s="210" t="n">
        <v>-44482</v>
      </c>
      <c r="M49" s="210" t="n">
        <v>-44482</v>
      </c>
      <c r="N49" s="210" t="n">
        <v>-44482</v>
      </c>
      <c r="O49" s="210" t="n">
        <v>-44482</v>
      </c>
      <c r="P49" s="210" t="n">
        <v>-44482</v>
      </c>
      <c r="Q49" s="210" t="n">
        <v>-44482</v>
      </c>
      <c r="R49" s="210" t="n">
        <v>-44482</v>
      </c>
      <c r="S49" s="210" t="n">
        <v>-44482</v>
      </c>
      <c r="T49" s="210" t="n">
        <v>-44482</v>
      </c>
      <c r="U49" s="210" t="n">
        <v>-44482</v>
      </c>
      <c r="V49" s="210" t="n">
        <v>-44482</v>
      </c>
      <c r="W49" s="210" t="n">
        <v>-44482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-460511</v>
      </c>
      <c r="E70" s="202" t="n">
        <v>-429811</v>
      </c>
      <c r="F70" s="202" t="n">
        <v>-399110</v>
      </c>
      <c r="G70" s="202" t="n">
        <v>-368409</v>
      </c>
      <c r="H70" s="202" t="n">
        <v>-337708</v>
      </c>
      <c r="I70" s="202" t="n">
        <v>-307008</v>
      </c>
      <c r="J70" s="202" t="n">
        <v>-276307</v>
      </c>
      <c r="K70" s="202" t="n">
        <v>-245606</v>
      </c>
      <c r="L70" s="202" t="n">
        <v>-214905</v>
      </c>
      <c r="M70" s="202" t="n">
        <v>-184205</v>
      </c>
      <c r="N70" s="202" t="n">
        <v>-153504</v>
      </c>
      <c r="O70" s="202" t="n">
        <v>-122803</v>
      </c>
      <c r="P70" s="202" t="n">
        <v>-92102</v>
      </c>
      <c r="Q70" s="202" t="n">
        <v>-61402</v>
      </c>
      <c r="R70" s="202" t="n">
        <v>-30701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-1199483</v>
      </c>
      <c r="F93" s="248" t="n">
        <v>-1199483</v>
      </c>
      <c r="G93" s="248" t="n">
        <v>-1199483</v>
      </c>
      <c r="H93" s="248" t="n">
        <v>-1199483</v>
      </c>
      <c r="I93" s="248" t="n">
        <v>-1199483</v>
      </c>
      <c r="J93" s="248" t="n">
        <v>-1199483</v>
      </c>
      <c r="K93" s="248" t="n">
        <v>-1199483</v>
      </c>
      <c r="L93" s="248" t="n">
        <v>-1199483</v>
      </c>
      <c r="M93" s="248" t="n">
        <v>-1199483</v>
      </c>
      <c r="N93" s="248" t="n">
        <v>-1199483</v>
      </c>
      <c r="O93" s="248" t="n">
        <v>-1199483</v>
      </c>
      <c r="P93" s="248" t="n">
        <v>-1199483</v>
      </c>
      <c r="Q93" s="248" t="n">
        <v>-1199483</v>
      </c>
      <c r="R93" s="248" t="n">
        <v>-1199483</v>
      </c>
      <c r="S93" s="248" t="n">
        <v>-1199483</v>
      </c>
      <c r="T93" s="254" t="n">
        <v>0</v>
      </c>
      <c r="U93" s="254" t="n">
        <v>0</v>
      </c>
      <c r="V93" s="254" t="n">
        <v>0</v>
      </c>
      <c r="W93" s="254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0">
        <f>-D85*$D$33</f>
        <v/>
      </c>
      <c r="F95" s="260">
        <f>-E85*$D$33</f>
        <v/>
      </c>
      <c r="G95" s="260">
        <f>-F85*$D$33</f>
        <v/>
      </c>
      <c r="H95" s="260">
        <f>-G85*$D$33</f>
        <v/>
      </c>
      <c r="I95" s="260">
        <f>-H85*$D$33</f>
        <v/>
      </c>
      <c r="J95" s="260">
        <f>-I85*$D$33</f>
        <v/>
      </c>
      <c r="K95" s="260">
        <f>-J85*$D$33</f>
        <v/>
      </c>
      <c r="L95" s="260">
        <f>-K85*$D$33</f>
        <v/>
      </c>
      <c r="M95" s="260">
        <f>-L85*$D$33</f>
        <v/>
      </c>
      <c r="N95" s="260">
        <f>-M85*$D$33</f>
        <v/>
      </c>
      <c r="O95" s="260">
        <f>-N85*$D$33</f>
        <v/>
      </c>
      <c r="P95" s="260">
        <f>-O85*$D$33</f>
        <v/>
      </c>
      <c r="Q95" s="260">
        <f>-P85*$D$33</f>
        <v/>
      </c>
      <c r="R95" s="260">
        <f>-Q85*$D$33</f>
        <v/>
      </c>
      <c r="S95" s="260">
        <f>-R85*$D$33</f>
        <v/>
      </c>
      <c r="T95" s="260">
        <f>-S85*$D$33</f>
        <v/>
      </c>
      <c r="U95" s="260">
        <f>-T85*$D$33</f>
        <v/>
      </c>
      <c r="V95" s="260">
        <f>-U85*$D$33</f>
        <v/>
      </c>
      <c r="W95" s="260">
        <f>-V85*$D$33</f>
        <v/>
      </c>
      <c r="X95" s="260">
        <f>-W85*$D$33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3" t="n">
        <v>0</v>
      </c>
      <c r="S96" s="263" t="n">
        <v>0</v>
      </c>
      <c r="T96" s="263" t="n">
        <v>-1124515</v>
      </c>
      <c r="U96" s="263" t="n">
        <v>-1124515</v>
      </c>
      <c r="V96" s="263" t="n">
        <v>-1124515</v>
      </c>
      <c r="W96" s="263" t="n">
        <v>-1124515</v>
      </c>
      <c r="X96" s="264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5" t="inlineStr">
        <is>
          <t>成本法實際現金流</t>
        </is>
      </c>
      <c r="C104" s="266" t="n"/>
      <c r="D104" s="267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8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5" t="inlineStr">
        <is>
          <t>權益法實際現金流</t>
        </is>
      </c>
      <c r="C106" s="266" t="n"/>
      <c r="D106" s="267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5" t="inlineStr">
        <is>
          <t>權益法IRR</t>
        </is>
      </c>
      <c r="C107" s="269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0" t="n"/>
    </row>
    <row r="112" ht="16.5" customHeight="1">
      <c r="G112" s="27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3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33000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2.03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2.75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第2次滾算，減少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33000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-43174</v>
      </c>
      <c r="E49" s="210" t="n">
        <v>-43174</v>
      </c>
      <c r="F49" s="210" t="n">
        <v>-43174</v>
      </c>
      <c r="G49" s="210" t="n">
        <v>-43174</v>
      </c>
      <c r="H49" s="210" t="n">
        <v>-43174</v>
      </c>
      <c r="I49" s="210" t="n">
        <v>-43174</v>
      </c>
      <c r="J49" s="210" t="n">
        <v>-43174</v>
      </c>
      <c r="K49" s="210" t="n">
        <v>-43174</v>
      </c>
      <c r="L49" s="210" t="n">
        <v>-43174</v>
      </c>
      <c r="M49" s="210" t="n">
        <v>-43174</v>
      </c>
      <c r="N49" s="210" t="n">
        <v>-43174</v>
      </c>
      <c r="O49" s="210" t="n">
        <v>-43174</v>
      </c>
      <c r="P49" s="210" t="n">
        <v>-43174</v>
      </c>
      <c r="Q49" s="210" t="n">
        <v>-43174</v>
      </c>
      <c r="R49" s="210" t="n">
        <v>-43174</v>
      </c>
      <c r="S49" s="210" t="n">
        <v>-43174</v>
      </c>
      <c r="T49" s="210" t="n">
        <v>-43174</v>
      </c>
      <c r="U49" s="210" t="n">
        <v>-43174</v>
      </c>
      <c r="V49" s="210" t="n">
        <v>-43174</v>
      </c>
      <c r="W49" s="210" t="n">
        <v>-43174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-447755</v>
      </c>
      <c r="E70" s="202" t="n">
        <v>-417905</v>
      </c>
      <c r="F70" s="202" t="n">
        <v>-388054</v>
      </c>
      <c r="G70" s="202" t="n">
        <v>-358204</v>
      </c>
      <c r="H70" s="202" t="n">
        <v>-328354</v>
      </c>
      <c r="I70" s="202" t="n">
        <v>-298503</v>
      </c>
      <c r="J70" s="202" t="n">
        <v>-268653</v>
      </c>
      <c r="K70" s="202" t="n">
        <v>-238803</v>
      </c>
      <c r="L70" s="202" t="n">
        <v>-208952</v>
      </c>
      <c r="M70" s="202" t="n">
        <v>-179102</v>
      </c>
      <c r="N70" s="202" t="n">
        <v>-149252</v>
      </c>
      <c r="O70" s="202" t="n">
        <v>-119401</v>
      </c>
      <c r="P70" s="202" t="n">
        <v>-89551</v>
      </c>
      <c r="Q70" s="202" t="n">
        <v>-59701</v>
      </c>
      <c r="R70" s="202" t="n">
        <v>-29850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-1166256</v>
      </c>
      <c r="F93" s="248" t="n">
        <v>-1166256</v>
      </c>
      <c r="G93" s="248" t="n">
        <v>-1166256</v>
      </c>
      <c r="H93" s="248" t="n">
        <v>-1166256</v>
      </c>
      <c r="I93" s="248" t="n">
        <v>-1166256</v>
      </c>
      <c r="J93" s="248" t="n">
        <v>-1166256</v>
      </c>
      <c r="K93" s="248" t="n">
        <v>-1166256</v>
      </c>
      <c r="L93" s="248" t="n">
        <v>-1166256</v>
      </c>
      <c r="M93" s="248" t="n">
        <v>-1166256</v>
      </c>
      <c r="N93" s="248" t="n">
        <v>-1166256</v>
      </c>
      <c r="O93" s="248" t="n">
        <v>-1166256</v>
      </c>
      <c r="P93" s="248" t="n">
        <v>-1166256</v>
      </c>
      <c r="Q93" s="248" t="n">
        <v>-1166256</v>
      </c>
      <c r="R93" s="248" t="n">
        <v>-1166256</v>
      </c>
      <c r="S93" s="248" t="n">
        <v>-1166256</v>
      </c>
      <c r="T93" s="254" t="n">
        <v>0</v>
      </c>
      <c r="U93" s="254" t="n">
        <v>0</v>
      </c>
      <c r="V93" s="254" t="n">
        <v>0</v>
      </c>
      <c r="W93" s="254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0">
        <f>-D85*$D$33</f>
        <v/>
      </c>
      <c r="F95" s="260">
        <f>-E85*$D$33</f>
        <v/>
      </c>
      <c r="G95" s="260">
        <f>-F85*$D$33</f>
        <v/>
      </c>
      <c r="H95" s="260">
        <f>-G85*$D$33</f>
        <v/>
      </c>
      <c r="I95" s="260">
        <f>-H85*$D$33</f>
        <v/>
      </c>
      <c r="J95" s="260">
        <f>-I85*$D$33</f>
        <v/>
      </c>
      <c r="K95" s="260">
        <f>-J85*$D$33</f>
        <v/>
      </c>
      <c r="L95" s="260">
        <f>-K85*$D$33</f>
        <v/>
      </c>
      <c r="M95" s="260">
        <f>-L85*$D$33</f>
        <v/>
      </c>
      <c r="N95" s="260">
        <f>-M85*$D$33</f>
        <v/>
      </c>
      <c r="O95" s="260">
        <f>-N85*$D$33</f>
        <v/>
      </c>
      <c r="P95" s="260">
        <f>-O85*$D$33</f>
        <v/>
      </c>
      <c r="Q95" s="260">
        <f>-P85*$D$33</f>
        <v/>
      </c>
      <c r="R95" s="260">
        <f>-Q85*$D$33</f>
        <v/>
      </c>
      <c r="S95" s="260">
        <f>-R85*$D$33</f>
        <v/>
      </c>
      <c r="T95" s="260">
        <f>-S85*$D$33</f>
        <v/>
      </c>
      <c r="U95" s="260">
        <f>-T85*$D$33</f>
        <v/>
      </c>
      <c r="V95" s="260">
        <f>-U85*$D$33</f>
        <v/>
      </c>
      <c r="W95" s="260">
        <f>-V85*$D$33</f>
        <v/>
      </c>
      <c r="X95" s="260">
        <f>-W85*$D$33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3" t="n">
        <v>0</v>
      </c>
      <c r="S96" s="263" t="n">
        <v>0</v>
      </c>
      <c r="T96" s="263" t="n">
        <v>-1093365</v>
      </c>
      <c r="U96" s="263" t="n">
        <v>-1093365</v>
      </c>
      <c r="V96" s="263" t="n">
        <v>-1093365</v>
      </c>
      <c r="W96" s="263" t="n">
        <v>-1093365</v>
      </c>
      <c r="X96" s="264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5" t="inlineStr">
        <is>
          <t>成本法實際現金流</t>
        </is>
      </c>
      <c r="C104" s="266" t="n"/>
      <c r="D104" s="267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8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5" t="inlineStr">
        <is>
          <t>權益法實際現金流</t>
        </is>
      </c>
      <c r="C106" s="266" t="n"/>
      <c r="D106" s="267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5" t="inlineStr">
        <is>
          <t>權益法IRR</t>
        </is>
      </c>
      <c r="C107" s="269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0" t="n"/>
    </row>
    <row r="112" ht="16.5" customHeight="1">
      <c r="G112" s="27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4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3.56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第3次滾算，減少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-41866</v>
      </c>
      <c r="E49" s="210" t="n">
        <v>-41866</v>
      </c>
      <c r="F49" s="210" t="n">
        <v>-41866</v>
      </c>
      <c r="G49" s="210" t="n">
        <v>-41866</v>
      </c>
      <c r="H49" s="210" t="n">
        <v>-41866</v>
      </c>
      <c r="I49" s="210" t="n">
        <v>-41866</v>
      </c>
      <c r="J49" s="210" t="n">
        <v>-41866</v>
      </c>
      <c r="K49" s="210" t="n">
        <v>-41866</v>
      </c>
      <c r="L49" s="210" t="n">
        <v>-41866</v>
      </c>
      <c r="M49" s="210" t="n">
        <v>-41866</v>
      </c>
      <c r="N49" s="210" t="n">
        <v>-41866</v>
      </c>
      <c r="O49" s="210" t="n">
        <v>-41866</v>
      </c>
      <c r="P49" s="210" t="n">
        <v>-41866</v>
      </c>
      <c r="Q49" s="210" t="n">
        <v>-41866</v>
      </c>
      <c r="R49" s="210" t="n">
        <v>-41866</v>
      </c>
      <c r="S49" s="210" t="n">
        <v>-41866</v>
      </c>
      <c r="T49" s="210" t="n">
        <v>-41866</v>
      </c>
      <c r="U49" s="210" t="n">
        <v>-41866</v>
      </c>
      <c r="V49" s="210" t="n">
        <v>-41866</v>
      </c>
      <c r="W49" s="210" t="n">
        <v>-41866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-434998</v>
      </c>
      <c r="E70" s="202" t="n">
        <v>-405998</v>
      </c>
      <c r="F70" s="202" t="n">
        <v>-376999</v>
      </c>
      <c r="G70" s="202" t="n">
        <v>-347999</v>
      </c>
      <c r="H70" s="202" t="n">
        <v>-318999</v>
      </c>
      <c r="I70" s="202" t="n">
        <v>-289999</v>
      </c>
      <c r="J70" s="202" t="n">
        <v>-260999</v>
      </c>
      <c r="K70" s="202" t="n">
        <v>-231999</v>
      </c>
      <c r="L70" s="202" t="n">
        <v>-202999</v>
      </c>
      <c r="M70" s="202" t="n">
        <v>-173999</v>
      </c>
      <c r="N70" s="202" t="n">
        <v>-144999</v>
      </c>
      <c r="O70" s="202" t="n">
        <v>-116000</v>
      </c>
      <c r="P70" s="202" t="n">
        <v>-87000</v>
      </c>
      <c r="Q70" s="202" t="n">
        <v>-58000</v>
      </c>
      <c r="R70" s="202" t="n">
        <v>-29000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-1133029</v>
      </c>
      <c r="F93" s="248" t="n">
        <v>-1133029</v>
      </c>
      <c r="G93" s="248" t="n">
        <v>-1133029</v>
      </c>
      <c r="H93" s="248" t="n">
        <v>-1133029</v>
      </c>
      <c r="I93" s="248" t="n">
        <v>-1133029</v>
      </c>
      <c r="J93" s="248" t="n">
        <v>-1133029</v>
      </c>
      <c r="K93" s="248" t="n">
        <v>-1133029</v>
      </c>
      <c r="L93" s="248" t="n">
        <v>-1133029</v>
      </c>
      <c r="M93" s="248" t="n">
        <v>-1133029</v>
      </c>
      <c r="N93" s="248" t="n">
        <v>-1133029</v>
      </c>
      <c r="O93" s="248" t="n">
        <v>-1133029</v>
      </c>
      <c r="P93" s="248" t="n">
        <v>-1133029</v>
      </c>
      <c r="Q93" s="248" t="n">
        <v>-1133029</v>
      </c>
      <c r="R93" s="248" t="n">
        <v>-1133029</v>
      </c>
      <c r="S93" s="248" t="n">
        <v>-1133029</v>
      </c>
      <c r="T93" s="254" t="n">
        <v>0</v>
      </c>
      <c r="U93" s="254" t="n">
        <v>0</v>
      </c>
      <c r="V93" s="254" t="n">
        <v>0</v>
      </c>
      <c r="W93" s="254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0">
        <f>-D85*$D$33</f>
        <v/>
      </c>
      <c r="F95" s="260">
        <f>-E85*$D$33</f>
        <v/>
      </c>
      <c r="G95" s="260">
        <f>-F85*$D$33</f>
        <v/>
      </c>
      <c r="H95" s="260">
        <f>-G85*$D$33</f>
        <v/>
      </c>
      <c r="I95" s="260">
        <f>-H85*$D$33</f>
        <v/>
      </c>
      <c r="J95" s="260">
        <f>-I85*$D$33</f>
        <v/>
      </c>
      <c r="K95" s="260">
        <f>-J85*$D$33</f>
        <v/>
      </c>
      <c r="L95" s="260">
        <f>-K85*$D$33</f>
        <v/>
      </c>
      <c r="M95" s="260">
        <f>-L85*$D$33</f>
        <v/>
      </c>
      <c r="N95" s="260">
        <f>-M85*$D$33</f>
        <v/>
      </c>
      <c r="O95" s="260">
        <f>-N85*$D$33</f>
        <v/>
      </c>
      <c r="P95" s="260">
        <f>-O85*$D$33</f>
        <v/>
      </c>
      <c r="Q95" s="260">
        <f>-P85*$D$33</f>
        <v/>
      </c>
      <c r="R95" s="260">
        <f>-Q85*$D$33</f>
        <v/>
      </c>
      <c r="S95" s="260">
        <f>-R85*$D$33</f>
        <v/>
      </c>
      <c r="T95" s="260">
        <f>-S85*$D$33</f>
        <v/>
      </c>
      <c r="U95" s="260">
        <f>-T85*$D$33</f>
        <v/>
      </c>
      <c r="V95" s="260">
        <f>-U85*$D$33</f>
        <v/>
      </c>
      <c r="W95" s="260">
        <f>-V85*$D$33</f>
        <v/>
      </c>
      <c r="X95" s="260">
        <f>-W85*$D$33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3" t="n">
        <v>0</v>
      </c>
      <c r="S96" s="263" t="n">
        <v>0</v>
      </c>
      <c r="T96" s="263" t="n">
        <v>-1062215</v>
      </c>
      <c r="U96" s="263" t="n">
        <v>-1062215</v>
      </c>
      <c r="V96" s="263" t="n">
        <v>-1062215</v>
      </c>
      <c r="W96" s="263" t="n">
        <v>-1062215</v>
      </c>
      <c r="X96" s="264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5" t="inlineStr">
        <is>
          <t>成本法實際現金流</t>
        </is>
      </c>
      <c r="C104" s="266" t="n"/>
      <c r="D104" s="267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8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5" t="inlineStr">
        <is>
          <t>權益法實際現金流</t>
        </is>
      </c>
      <c r="C106" s="266" t="n"/>
      <c r="D106" s="267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5" t="inlineStr">
        <is>
          <t>權益法IRR</t>
        </is>
      </c>
      <c r="C107" s="269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0" t="n"/>
    </row>
    <row r="112" ht="16.5" customHeight="1">
      <c r="G112" s="27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5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31000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2.57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4.43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第4次滾算，減少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31000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-40557</v>
      </c>
      <c r="E49" s="210" t="n">
        <v>-40557</v>
      </c>
      <c r="F49" s="210" t="n">
        <v>-40557</v>
      </c>
      <c r="G49" s="210" t="n">
        <v>-40557</v>
      </c>
      <c r="H49" s="210" t="n">
        <v>-40557</v>
      </c>
      <c r="I49" s="210" t="n">
        <v>-40557</v>
      </c>
      <c r="J49" s="210" t="n">
        <v>-40557</v>
      </c>
      <c r="K49" s="210" t="n">
        <v>-40557</v>
      </c>
      <c r="L49" s="210" t="n">
        <v>-40557</v>
      </c>
      <c r="M49" s="210" t="n">
        <v>-40557</v>
      </c>
      <c r="N49" s="210" t="n">
        <v>-40557</v>
      </c>
      <c r="O49" s="210" t="n">
        <v>-40557</v>
      </c>
      <c r="P49" s="210" t="n">
        <v>-40557</v>
      </c>
      <c r="Q49" s="210" t="n">
        <v>-40557</v>
      </c>
      <c r="R49" s="210" t="n">
        <v>-40557</v>
      </c>
      <c r="S49" s="210" t="n">
        <v>-40557</v>
      </c>
      <c r="T49" s="210" t="n">
        <v>-40557</v>
      </c>
      <c r="U49" s="210" t="n">
        <v>-40557</v>
      </c>
      <c r="V49" s="210" t="n">
        <v>-40557</v>
      </c>
      <c r="W49" s="210" t="n">
        <v>-40557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-422242</v>
      </c>
      <c r="E70" s="202" t="n">
        <v>-394092</v>
      </c>
      <c r="F70" s="202" t="n">
        <v>-365943</v>
      </c>
      <c r="G70" s="202" t="n">
        <v>-337793</v>
      </c>
      <c r="H70" s="202" t="n">
        <v>-309644</v>
      </c>
      <c r="I70" s="202" t="n">
        <v>-281494</v>
      </c>
      <c r="J70" s="202" t="n">
        <v>-253345</v>
      </c>
      <c r="K70" s="202" t="n">
        <v>-225196</v>
      </c>
      <c r="L70" s="202" t="n">
        <v>-197046</v>
      </c>
      <c r="M70" s="202" t="n">
        <v>-168897</v>
      </c>
      <c r="N70" s="202" t="n">
        <v>-140747</v>
      </c>
      <c r="O70" s="202" t="n">
        <v>-112598</v>
      </c>
      <c r="P70" s="202" t="n">
        <v>-84448</v>
      </c>
      <c r="Q70" s="202" t="n">
        <v>-56299</v>
      </c>
      <c r="R70" s="202" t="n">
        <v>-28149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-1099803</v>
      </c>
      <c r="F93" s="248" t="n">
        <v>-1099803</v>
      </c>
      <c r="G93" s="248" t="n">
        <v>-1099803</v>
      </c>
      <c r="H93" s="248" t="n">
        <v>-1099803</v>
      </c>
      <c r="I93" s="248" t="n">
        <v>-1099803</v>
      </c>
      <c r="J93" s="248" t="n">
        <v>-1099803</v>
      </c>
      <c r="K93" s="248" t="n">
        <v>-1099803</v>
      </c>
      <c r="L93" s="248" t="n">
        <v>-1099803</v>
      </c>
      <c r="M93" s="248" t="n">
        <v>-1099803</v>
      </c>
      <c r="N93" s="248" t="n">
        <v>-1099803</v>
      </c>
      <c r="O93" s="248" t="n">
        <v>-1099803</v>
      </c>
      <c r="P93" s="248" t="n">
        <v>-1099803</v>
      </c>
      <c r="Q93" s="248" t="n">
        <v>-1099803</v>
      </c>
      <c r="R93" s="248" t="n">
        <v>-1099803</v>
      </c>
      <c r="S93" s="248" t="n">
        <v>-1099803</v>
      </c>
      <c r="T93" s="254" t="n">
        <v>0</v>
      </c>
      <c r="U93" s="254" t="n">
        <v>0</v>
      </c>
      <c r="V93" s="254" t="n">
        <v>0</v>
      </c>
      <c r="W93" s="254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0">
        <f>-D85*$D$33</f>
        <v/>
      </c>
      <c r="F95" s="260">
        <f>-E85*$D$33</f>
        <v/>
      </c>
      <c r="G95" s="260">
        <f>-F85*$D$33</f>
        <v/>
      </c>
      <c r="H95" s="260">
        <f>-G85*$D$33</f>
        <v/>
      </c>
      <c r="I95" s="260">
        <f>-H85*$D$33</f>
        <v/>
      </c>
      <c r="J95" s="260">
        <f>-I85*$D$33</f>
        <v/>
      </c>
      <c r="K95" s="260">
        <f>-J85*$D$33</f>
        <v/>
      </c>
      <c r="L95" s="260">
        <f>-K85*$D$33</f>
        <v/>
      </c>
      <c r="M95" s="260">
        <f>-L85*$D$33</f>
        <v/>
      </c>
      <c r="N95" s="260">
        <f>-M85*$D$33</f>
        <v/>
      </c>
      <c r="O95" s="260">
        <f>-N85*$D$33</f>
        <v/>
      </c>
      <c r="P95" s="260">
        <f>-O85*$D$33</f>
        <v/>
      </c>
      <c r="Q95" s="260">
        <f>-P85*$D$33</f>
        <v/>
      </c>
      <c r="R95" s="260">
        <f>-Q85*$D$33</f>
        <v/>
      </c>
      <c r="S95" s="260">
        <f>-R85*$D$33</f>
        <v/>
      </c>
      <c r="T95" s="260">
        <f>-S85*$D$33</f>
        <v/>
      </c>
      <c r="U95" s="260">
        <f>-T85*$D$33</f>
        <v/>
      </c>
      <c r="V95" s="260">
        <f>-U85*$D$33</f>
        <v/>
      </c>
      <c r="W95" s="260">
        <f>-V85*$D$33</f>
        <v/>
      </c>
      <c r="X95" s="260">
        <f>-W85*$D$33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3" t="n">
        <v>0</v>
      </c>
      <c r="S96" s="263" t="n">
        <v>0</v>
      </c>
      <c r="T96" s="263" t="n">
        <v>-1031065</v>
      </c>
      <c r="U96" s="263" t="n">
        <v>-1031065</v>
      </c>
      <c r="V96" s="263" t="n">
        <v>-1031065</v>
      </c>
      <c r="W96" s="263" t="n">
        <v>-1031065</v>
      </c>
      <c r="X96" s="264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5" t="inlineStr">
        <is>
          <t>成本法實際現金流</t>
        </is>
      </c>
      <c r="C104" s="266" t="n"/>
      <c r="D104" s="267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8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5" t="inlineStr">
        <is>
          <t>權益法實際現金流</t>
        </is>
      </c>
      <c r="C106" s="266" t="n"/>
      <c r="D106" s="267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5" t="inlineStr">
        <is>
          <t>權益法IRR</t>
        </is>
      </c>
      <c r="C107" s="269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0" t="n"/>
    </row>
    <row r="112" ht="16.5" customHeight="1">
      <c r="G112" s="27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6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2.86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5.37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第5次滾算，減少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-39249</v>
      </c>
      <c r="E49" s="210" t="n">
        <v>-39249</v>
      </c>
      <c r="F49" s="210" t="n">
        <v>-39249</v>
      </c>
      <c r="G49" s="210" t="n">
        <v>-39249</v>
      </c>
      <c r="H49" s="210" t="n">
        <v>-39249</v>
      </c>
      <c r="I49" s="210" t="n">
        <v>-39249</v>
      </c>
      <c r="J49" s="210" t="n">
        <v>-39249</v>
      </c>
      <c r="K49" s="210" t="n">
        <v>-39249</v>
      </c>
      <c r="L49" s="210" t="n">
        <v>-39249</v>
      </c>
      <c r="M49" s="210" t="n">
        <v>-39249</v>
      </c>
      <c r="N49" s="210" t="n">
        <v>-39249</v>
      </c>
      <c r="O49" s="210" t="n">
        <v>-39249</v>
      </c>
      <c r="P49" s="210" t="n">
        <v>-39249</v>
      </c>
      <c r="Q49" s="210" t="n">
        <v>-39249</v>
      </c>
      <c r="R49" s="210" t="n">
        <v>-39249</v>
      </c>
      <c r="S49" s="210" t="n">
        <v>-39249</v>
      </c>
      <c r="T49" s="210" t="n">
        <v>-39249</v>
      </c>
      <c r="U49" s="210" t="n">
        <v>-39249</v>
      </c>
      <c r="V49" s="210" t="n">
        <v>-39249</v>
      </c>
      <c r="W49" s="210" t="n">
        <v>-39249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-409485</v>
      </c>
      <c r="E70" s="202" t="n">
        <v>-382186</v>
      </c>
      <c r="F70" s="202" t="n">
        <v>-354887</v>
      </c>
      <c r="G70" s="202" t="n">
        <v>-327588</v>
      </c>
      <c r="H70" s="202" t="n">
        <v>-300289</v>
      </c>
      <c r="I70" s="202" t="n">
        <v>-272990</v>
      </c>
      <c r="J70" s="202" t="n">
        <v>-245691</v>
      </c>
      <c r="K70" s="202" t="n">
        <v>-218392</v>
      </c>
      <c r="L70" s="202" t="n">
        <v>-191093</v>
      </c>
      <c r="M70" s="202" t="n">
        <v>-163794</v>
      </c>
      <c r="N70" s="202" t="n">
        <v>-136495</v>
      </c>
      <c r="O70" s="202" t="n">
        <v>-109196</v>
      </c>
      <c r="P70" s="202" t="n">
        <v>-81897</v>
      </c>
      <c r="Q70" s="202" t="n">
        <v>-54598</v>
      </c>
      <c r="R70" s="202" t="n">
        <v>-27299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-1066576</v>
      </c>
      <c r="F93" s="248" t="n">
        <v>-1066576</v>
      </c>
      <c r="G93" s="248" t="n">
        <v>-1066576</v>
      </c>
      <c r="H93" s="248" t="n">
        <v>-1066576</v>
      </c>
      <c r="I93" s="248" t="n">
        <v>-1066576</v>
      </c>
      <c r="J93" s="248" t="n">
        <v>-1066576</v>
      </c>
      <c r="K93" s="248" t="n">
        <v>-1066576</v>
      </c>
      <c r="L93" s="248" t="n">
        <v>-1066576</v>
      </c>
      <c r="M93" s="248" t="n">
        <v>-1066576</v>
      </c>
      <c r="N93" s="248" t="n">
        <v>-1066576</v>
      </c>
      <c r="O93" s="248" t="n">
        <v>-1066576</v>
      </c>
      <c r="P93" s="248" t="n">
        <v>-1066576</v>
      </c>
      <c r="Q93" s="248" t="n">
        <v>-1066576</v>
      </c>
      <c r="R93" s="248" t="n">
        <v>-1066576</v>
      </c>
      <c r="S93" s="248" t="n">
        <v>-1066576</v>
      </c>
      <c r="T93" s="254" t="n">
        <v>0</v>
      </c>
      <c r="U93" s="254" t="n">
        <v>0</v>
      </c>
      <c r="V93" s="254" t="n">
        <v>0</v>
      </c>
      <c r="W93" s="254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0">
        <f>-D85*$D$33</f>
        <v/>
      </c>
      <c r="F95" s="260">
        <f>-E85*$D$33</f>
        <v/>
      </c>
      <c r="G95" s="260">
        <f>-F85*$D$33</f>
        <v/>
      </c>
      <c r="H95" s="260">
        <f>-G85*$D$33</f>
        <v/>
      </c>
      <c r="I95" s="260">
        <f>-H85*$D$33</f>
        <v/>
      </c>
      <c r="J95" s="260">
        <f>-I85*$D$33</f>
        <v/>
      </c>
      <c r="K95" s="260">
        <f>-J85*$D$33</f>
        <v/>
      </c>
      <c r="L95" s="260">
        <f>-K85*$D$33</f>
        <v/>
      </c>
      <c r="M95" s="260">
        <f>-L85*$D$33</f>
        <v/>
      </c>
      <c r="N95" s="260">
        <f>-M85*$D$33</f>
        <v/>
      </c>
      <c r="O95" s="260">
        <f>-N85*$D$33</f>
        <v/>
      </c>
      <c r="P95" s="260">
        <f>-O85*$D$33</f>
        <v/>
      </c>
      <c r="Q95" s="260">
        <f>-P85*$D$33</f>
        <v/>
      </c>
      <c r="R95" s="260">
        <f>-Q85*$D$33</f>
        <v/>
      </c>
      <c r="S95" s="260">
        <f>-R85*$D$33</f>
        <v/>
      </c>
      <c r="T95" s="260">
        <f>-S85*$D$33</f>
        <v/>
      </c>
      <c r="U95" s="260">
        <f>-T85*$D$33</f>
        <v/>
      </c>
      <c r="V95" s="260">
        <f>-U85*$D$33</f>
        <v/>
      </c>
      <c r="W95" s="260">
        <f>-V85*$D$33</f>
        <v/>
      </c>
      <c r="X95" s="260">
        <f>-W85*$D$33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3" t="n">
        <v>0</v>
      </c>
      <c r="S96" s="263" t="n">
        <v>0</v>
      </c>
      <c r="T96" s="263" t="n">
        <v>-999915</v>
      </c>
      <c r="U96" s="263" t="n">
        <v>-999915</v>
      </c>
      <c r="V96" s="263" t="n">
        <v>-999915</v>
      </c>
      <c r="W96" s="263" t="n">
        <v>-999915</v>
      </c>
      <c r="X96" s="264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5" t="inlineStr">
        <is>
          <t>成本法實際現金流</t>
        </is>
      </c>
      <c r="C104" s="266" t="n"/>
      <c r="D104" s="267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8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5" t="inlineStr">
        <is>
          <t>權益法實際現金流</t>
        </is>
      </c>
      <c r="C106" s="266" t="n"/>
      <c r="D106" s="267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5" t="inlineStr">
        <is>
          <t>權益法IRR</t>
        </is>
      </c>
      <c r="C107" s="269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0" t="n"/>
    </row>
    <row r="112" ht="16.5" customHeight="1">
      <c r="G112" s="27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7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第6次滾算摘要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29000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3.16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6.37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第6次滾算，減少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29000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-37941</v>
      </c>
      <c r="E49" s="210" t="n">
        <v>-37941</v>
      </c>
      <c r="F49" s="210" t="n">
        <v>-37941</v>
      </c>
      <c r="G49" s="210" t="n">
        <v>-37941</v>
      </c>
      <c r="H49" s="210" t="n">
        <v>-37941</v>
      </c>
      <c r="I49" s="210" t="n">
        <v>-37941</v>
      </c>
      <c r="J49" s="210" t="n">
        <v>-37941</v>
      </c>
      <c r="K49" s="210" t="n">
        <v>-37941</v>
      </c>
      <c r="L49" s="210" t="n">
        <v>-37941</v>
      </c>
      <c r="M49" s="210" t="n">
        <v>-37941</v>
      </c>
      <c r="N49" s="210" t="n">
        <v>-37941</v>
      </c>
      <c r="O49" s="210" t="n">
        <v>-37941</v>
      </c>
      <c r="P49" s="210" t="n">
        <v>-37941</v>
      </c>
      <c r="Q49" s="210" t="n">
        <v>-37941</v>
      </c>
      <c r="R49" s="210" t="n">
        <v>-37941</v>
      </c>
      <c r="S49" s="210" t="n">
        <v>-37941</v>
      </c>
      <c r="T49" s="210" t="n">
        <v>-37941</v>
      </c>
      <c r="U49" s="210" t="n">
        <v>-37941</v>
      </c>
      <c r="V49" s="210" t="n">
        <v>-37941</v>
      </c>
      <c r="W49" s="210" t="n">
        <v>-37941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-396729</v>
      </c>
      <c r="E70" s="202" t="n">
        <v>-370280</v>
      </c>
      <c r="F70" s="202" t="n">
        <v>-343831</v>
      </c>
      <c r="G70" s="202" t="n">
        <v>-317383</v>
      </c>
      <c r="H70" s="202" t="n">
        <v>-290934</v>
      </c>
      <c r="I70" s="202" t="n">
        <v>-264486</v>
      </c>
      <c r="J70" s="202" t="n">
        <v>-238037</v>
      </c>
      <c r="K70" s="202" t="n">
        <v>-211589</v>
      </c>
      <c r="L70" s="202" t="n">
        <v>-185140</v>
      </c>
      <c r="M70" s="202" t="n">
        <v>-158691</v>
      </c>
      <c r="N70" s="202" t="n">
        <v>-132243</v>
      </c>
      <c r="O70" s="202" t="n">
        <v>-105794</v>
      </c>
      <c r="P70" s="202" t="n">
        <v>-79346</v>
      </c>
      <c r="Q70" s="202" t="n">
        <v>-52897</v>
      </c>
      <c r="R70" s="202" t="n">
        <v>-26449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-1033349</v>
      </c>
      <c r="F93" s="248" t="n">
        <v>-1033349</v>
      </c>
      <c r="G93" s="248" t="n">
        <v>-1033349</v>
      </c>
      <c r="H93" s="248" t="n">
        <v>-1033349</v>
      </c>
      <c r="I93" s="248" t="n">
        <v>-1033349</v>
      </c>
      <c r="J93" s="248" t="n">
        <v>-1033349</v>
      </c>
      <c r="K93" s="248" t="n">
        <v>-1033349</v>
      </c>
      <c r="L93" s="248" t="n">
        <v>-1033349</v>
      </c>
      <c r="M93" s="248" t="n">
        <v>-1033349</v>
      </c>
      <c r="N93" s="248" t="n">
        <v>-1033349</v>
      </c>
      <c r="O93" s="248" t="n">
        <v>-1033349</v>
      </c>
      <c r="P93" s="248" t="n">
        <v>-1033349</v>
      </c>
      <c r="Q93" s="248" t="n">
        <v>-1033349</v>
      </c>
      <c r="R93" s="248" t="n">
        <v>-1033349</v>
      </c>
      <c r="S93" s="248" t="n">
        <v>-1033349</v>
      </c>
      <c r="T93" s="254" t="n">
        <v>0</v>
      </c>
      <c r="U93" s="254" t="n">
        <v>0</v>
      </c>
      <c r="V93" s="254" t="n">
        <v>0</v>
      </c>
      <c r="W93" s="254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0">
        <f>-D85*$D$33</f>
        <v/>
      </c>
      <c r="F95" s="260">
        <f>-E85*$D$33</f>
        <v/>
      </c>
      <c r="G95" s="260">
        <f>-F85*$D$33</f>
        <v/>
      </c>
      <c r="H95" s="260">
        <f>-G85*$D$33</f>
        <v/>
      </c>
      <c r="I95" s="260">
        <f>-H85*$D$33</f>
        <v/>
      </c>
      <c r="J95" s="260">
        <f>-I85*$D$33</f>
        <v/>
      </c>
      <c r="K95" s="260">
        <f>-J85*$D$33</f>
        <v/>
      </c>
      <c r="L95" s="260">
        <f>-K85*$D$33</f>
        <v/>
      </c>
      <c r="M95" s="260">
        <f>-L85*$D$33</f>
        <v/>
      </c>
      <c r="N95" s="260">
        <f>-M85*$D$33</f>
        <v/>
      </c>
      <c r="O95" s="260">
        <f>-N85*$D$33</f>
        <v/>
      </c>
      <c r="P95" s="260">
        <f>-O85*$D$33</f>
        <v/>
      </c>
      <c r="Q95" s="260">
        <f>-P85*$D$33</f>
        <v/>
      </c>
      <c r="R95" s="260">
        <f>-Q85*$D$33</f>
        <v/>
      </c>
      <c r="S95" s="260">
        <f>-R85*$D$33</f>
        <v/>
      </c>
      <c r="T95" s="260">
        <f>-S85*$D$33</f>
        <v/>
      </c>
      <c r="U95" s="260">
        <f>-T85*$D$33</f>
        <v/>
      </c>
      <c r="V95" s="260">
        <f>-U85*$D$33</f>
        <v/>
      </c>
      <c r="W95" s="260">
        <f>-V85*$D$33</f>
        <v/>
      </c>
      <c r="X95" s="260">
        <f>-W85*$D$33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3" t="n">
        <v>0</v>
      </c>
      <c r="S96" s="263" t="n">
        <v>0</v>
      </c>
      <c r="T96" s="263" t="n">
        <v>-968765</v>
      </c>
      <c r="U96" s="263" t="n">
        <v>-968765</v>
      </c>
      <c r="V96" s="263" t="n">
        <v>-968765</v>
      </c>
      <c r="W96" s="263" t="n">
        <v>-968765</v>
      </c>
      <c r="X96" s="264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5" t="inlineStr">
        <is>
          <t>成本法實際現金流</t>
        </is>
      </c>
      <c r="C104" s="266" t="n"/>
      <c r="D104" s="267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8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5" t="inlineStr">
        <is>
          <t>權益法實際現金流</t>
        </is>
      </c>
      <c r="C106" s="266" t="n"/>
      <c r="D106" s="267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5" t="inlineStr">
        <is>
          <t>權益法IRR</t>
        </is>
      </c>
      <c r="C107" s="269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0" t="n"/>
    </row>
    <row r="112" ht="16.5" customHeight="1">
      <c r="G112" s="27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8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第7次滾算摘要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28000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3.48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7.46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第7次滾算，減少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28000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-36632</v>
      </c>
      <c r="E49" s="210" t="n">
        <v>-36632</v>
      </c>
      <c r="F49" s="210" t="n">
        <v>-36632</v>
      </c>
      <c r="G49" s="210" t="n">
        <v>-36632</v>
      </c>
      <c r="H49" s="210" t="n">
        <v>-36632</v>
      </c>
      <c r="I49" s="210" t="n">
        <v>-36632</v>
      </c>
      <c r="J49" s="210" t="n">
        <v>-36632</v>
      </c>
      <c r="K49" s="210" t="n">
        <v>-36632</v>
      </c>
      <c r="L49" s="210" t="n">
        <v>-36632</v>
      </c>
      <c r="M49" s="210" t="n">
        <v>-36632</v>
      </c>
      <c r="N49" s="210" t="n">
        <v>-36632</v>
      </c>
      <c r="O49" s="210" t="n">
        <v>-36632</v>
      </c>
      <c r="P49" s="210" t="n">
        <v>-36632</v>
      </c>
      <c r="Q49" s="210" t="n">
        <v>-36632</v>
      </c>
      <c r="R49" s="210" t="n">
        <v>-36632</v>
      </c>
      <c r="S49" s="210" t="n">
        <v>-36632</v>
      </c>
      <c r="T49" s="210" t="n">
        <v>-36632</v>
      </c>
      <c r="U49" s="210" t="n">
        <v>-36632</v>
      </c>
      <c r="V49" s="210" t="n">
        <v>-36632</v>
      </c>
      <c r="W49" s="210" t="n">
        <v>-36632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-383972</v>
      </c>
      <c r="E70" s="202" t="n">
        <v>-358374</v>
      </c>
      <c r="F70" s="202" t="n">
        <v>-332776</v>
      </c>
      <c r="G70" s="202" t="n">
        <v>-307178</v>
      </c>
      <c r="H70" s="202" t="n">
        <v>-281580</v>
      </c>
      <c r="I70" s="202" t="n">
        <v>-255981</v>
      </c>
      <c r="J70" s="202" t="n">
        <v>-230383</v>
      </c>
      <c r="K70" s="202" t="n">
        <v>-204785</v>
      </c>
      <c r="L70" s="202" t="n">
        <v>-179187</v>
      </c>
      <c r="M70" s="202" t="n">
        <v>-153589</v>
      </c>
      <c r="N70" s="202" t="n">
        <v>-127991</v>
      </c>
      <c r="O70" s="202" t="n">
        <v>-102393</v>
      </c>
      <c r="P70" s="202" t="n">
        <v>-76794</v>
      </c>
      <c r="Q70" s="202" t="n">
        <v>-51196</v>
      </c>
      <c r="R70" s="202" t="n">
        <v>-25598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-1000123</v>
      </c>
      <c r="F93" s="248" t="n">
        <v>-1000123</v>
      </c>
      <c r="G93" s="248" t="n">
        <v>-1000123</v>
      </c>
      <c r="H93" s="248" t="n">
        <v>-1000123</v>
      </c>
      <c r="I93" s="248" t="n">
        <v>-1000123</v>
      </c>
      <c r="J93" s="248" t="n">
        <v>-1000123</v>
      </c>
      <c r="K93" s="248" t="n">
        <v>-1000123</v>
      </c>
      <c r="L93" s="248" t="n">
        <v>-1000123</v>
      </c>
      <c r="M93" s="248" t="n">
        <v>-1000123</v>
      </c>
      <c r="N93" s="248" t="n">
        <v>-1000123</v>
      </c>
      <c r="O93" s="248" t="n">
        <v>-1000123</v>
      </c>
      <c r="P93" s="248" t="n">
        <v>-1000123</v>
      </c>
      <c r="Q93" s="248" t="n">
        <v>-1000123</v>
      </c>
      <c r="R93" s="248" t="n">
        <v>-1000123</v>
      </c>
      <c r="S93" s="248" t="n">
        <v>-1000123</v>
      </c>
      <c r="T93" s="254" t="n">
        <v>0</v>
      </c>
      <c r="U93" s="254" t="n">
        <v>0</v>
      </c>
      <c r="V93" s="254" t="n">
        <v>0</v>
      </c>
      <c r="W93" s="254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0">
        <f>-D85*$D$33</f>
        <v/>
      </c>
      <c r="F95" s="260">
        <f>-E85*$D$33</f>
        <v/>
      </c>
      <c r="G95" s="260">
        <f>-F85*$D$33</f>
        <v/>
      </c>
      <c r="H95" s="260">
        <f>-G85*$D$33</f>
        <v/>
      </c>
      <c r="I95" s="260">
        <f>-H85*$D$33</f>
        <v/>
      </c>
      <c r="J95" s="260">
        <f>-I85*$D$33</f>
        <v/>
      </c>
      <c r="K95" s="260">
        <f>-J85*$D$33</f>
        <v/>
      </c>
      <c r="L95" s="260">
        <f>-K85*$D$33</f>
        <v/>
      </c>
      <c r="M95" s="260">
        <f>-L85*$D$33</f>
        <v/>
      </c>
      <c r="N95" s="260">
        <f>-M85*$D$33</f>
        <v/>
      </c>
      <c r="O95" s="260">
        <f>-N85*$D$33</f>
        <v/>
      </c>
      <c r="P95" s="260">
        <f>-O85*$D$33</f>
        <v/>
      </c>
      <c r="Q95" s="260">
        <f>-P85*$D$33</f>
        <v/>
      </c>
      <c r="R95" s="260">
        <f>-Q85*$D$33</f>
        <v/>
      </c>
      <c r="S95" s="260">
        <f>-R85*$D$33</f>
        <v/>
      </c>
      <c r="T95" s="260">
        <f>-S85*$D$33</f>
        <v/>
      </c>
      <c r="U95" s="260">
        <f>-T85*$D$33</f>
        <v/>
      </c>
      <c r="V95" s="260">
        <f>-U85*$D$33</f>
        <v/>
      </c>
      <c r="W95" s="260">
        <f>-V85*$D$33</f>
        <v/>
      </c>
      <c r="X95" s="260">
        <f>-W85*$D$33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3" t="n">
        <v>0</v>
      </c>
      <c r="S96" s="263" t="n">
        <v>0</v>
      </c>
      <c r="T96" s="263" t="n">
        <v>-937615</v>
      </c>
      <c r="U96" s="263" t="n">
        <v>-937615</v>
      </c>
      <c r="V96" s="263" t="n">
        <v>-937615</v>
      </c>
      <c r="W96" s="263" t="n">
        <v>-937615</v>
      </c>
      <c r="X96" s="264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5" t="inlineStr">
        <is>
          <t>成本法實際現金流</t>
        </is>
      </c>
      <c r="C104" s="266" t="n"/>
      <c r="D104" s="267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8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5" t="inlineStr">
        <is>
          <t>權益法實際現金流</t>
        </is>
      </c>
      <c r="C106" s="266" t="n"/>
      <c r="D106" s="267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5" t="inlineStr">
        <is>
          <t>權益法IRR</t>
        </is>
      </c>
      <c r="C107" s="269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0" t="n"/>
    </row>
    <row r="112" ht="16.5" customHeight="1">
      <c r="G112" s="27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9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第8次滾算摘要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27000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3.82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8.65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第8次滾算，減少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27000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-35324</v>
      </c>
      <c r="E49" s="210" t="n">
        <v>-35324</v>
      </c>
      <c r="F49" s="210" t="n">
        <v>-35324</v>
      </c>
      <c r="G49" s="210" t="n">
        <v>-35324</v>
      </c>
      <c r="H49" s="210" t="n">
        <v>-35324</v>
      </c>
      <c r="I49" s="210" t="n">
        <v>-35324</v>
      </c>
      <c r="J49" s="210" t="n">
        <v>-35324</v>
      </c>
      <c r="K49" s="210" t="n">
        <v>-35324</v>
      </c>
      <c r="L49" s="210" t="n">
        <v>-35324</v>
      </c>
      <c r="M49" s="210" t="n">
        <v>-35324</v>
      </c>
      <c r="N49" s="210" t="n">
        <v>-35324</v>
      </c>
      <c r="O49" s="210" t="n">
        <v>-35324</v>
      </c>
      <c r="P49" s="210" t="n">
        <v>-35324</v>
      </c>
      <c r="Q49" s="210" t="n">
        <v>-35324</v>
      </c>
      <c r="R49" s="210" t="n">
        <v>-35324</v>
      </c>
      <c r="S49" s="210" t="n">
        <v>-35324</v>
      </c>
      <c r="T49" s="210" t="n">
        <v>-35324</v>
      </c>
      <c r="U49" s="210" t="n">
        <v>-35324</v>
      </c>
      <c r="V49" s="210" t="n">
        <v>-35324</v>
      </c>
      <c r="W49" s="210" t="n">
        <v>-35324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-371216</v>
      </c>
      <c r="E70" s="202" t="n">
        <v>-346468</v>
      </c>
      <c r="F70" s="202" t="n">
        <v>-321720</v>
      </c>
      <c r="G70" s="202" t="n">
        <v>-296972</v>
      </c>
      <c r="H70" s="202" t="n">
        <v>-272225</v>
      </c>
      <c r="I70" s="202" t="n">
        <v>-247477</v>
      </c>
      <c r="J70" s="202" t="n">
        <v>-222729</v>
      </c>
      <c r="K70" s="202" t="n">
        <v>-197982</v>
      </c>
      <c r="L70" s="202" t="n">
        <v>-173234</v>
      </c>
      <c r="M70" s="202" t="n">
        <v>-148486</v>
      </c>
      <c r="N70" s="202" t="n">
        <v>-123739</v>
      </c>
      <c r="O70" s="202" t="n">
        <v>-98991</v>
      </c>
      <c r="P70" s="202" t="n">
        <v>-74243</v>
      </c>
      <c r="Q70" s="202" t="n">
        <v>-49495</v>
      </c>
      <c r="R70" s="202" t="n">
        <v>-24748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-966896</v>
      </c>
      <c r="F93" s="248" t="n">
        <v>-966896</v>
      </c>
      <c r="G93" s="248" t="n">
        <v>-966896</v>
      </c>
      <c r="H93" s="248" t="n">
        <v>-966896</v>
      </c>
      <c r="I93" s="248" t="n">
        <v>-966896</v>
      </c>
      <c r="J93" s="248" t="n">
        <v>-966896</v>
      </c>
      <c r="K93" s="248" t="n">
        <v>-966896</v>
      </c>
      <c r="L93" s="248" t="n">
        <v>-966896</v>
      </c>
      <c r="M93" s="248" t="n">
        <v>-966896</v>
      </c>
      <c r="N93" s="248" t="n">
        <v>-966896</v>
      </c>
      <c r="O93" s="248" t="n">
        <v>-966896</v>
      </c>
      <c r="P93" s="248" t="n">
        <v>-966896</v>
      </c>
      <c r="Q93" s="248" t="n">
        <v>-966896</v>
      </c>
      <c r="R93" s="248" t="n">
        <v>-966896</v>
      </c>
      <c r="S93" s="248" t="n">
        <v>-966896</v>
      </c>
      <c r="T93" s="254" t="n">
        <v>0</v>
      </c>
      <c r="U93" s="254" t="n">
        <v>0</v>
      </c>
      <c r="V93" s="254" t="n">
        <v>0</v>
      </c>
      <c r="W93" s="254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0">
        <f>-D85*$D$33</f>
        <v/>
      </c>
      <c r="F95" s="260">
        <f>-E85*$D$33</f>
        <v/>
      </c>
      <c r="G95" s="260">
        <f>-F85*$D$33</f>
        <v/>
      </c>
      <c r="H95" s="260">
        <f>-G85*$D$33</f>
        <v/>
      </c>
      <c r="I95" s="260">
        <f>-H85*$D$33</f>
        <v/>
      </c>
      <c r="J95" s="260">
        <f>-I85*$D$33</f>
        <v/>
      </c>
      <c r="K95" s="260">
        <f>-J85*$D$33</f>
        <v/>
      </c>
      <c r="L95" s="260">
        <f>-K85*$D$33</f>
        <v/>
      </c>
      <c r="M95" s="260">
        <f>-L85*$D$33</f>
        <v/>
      </c>
      <c r="N95" s="260">
        <f>-M85*$D$33</f>
        <v/>
      </c>
      <c r="O95" s="260">
        <f>-N85*$D$33</f>
        <v/>
      </c>
      <c r="P95" s="260">
        <f>-O85*$D$33</f>
        <v/>
      </c>
      <c r="Q95" s="260">
        <f>-P85*$D$33</f>
        <v/>
      </c>
      <c r="R95" s="260">
        <f>-Q85*$D$33</f>
        <v/>
      </c>
      <c r="S95" s="260">
        <f>-R85*$D$33</f>
        <v/>
      </c>
      <c r="T95" s="260">
        <f>-S85*$D$33</f>
        <v/>
      </c>
      <c r="U95" s="260">
        <f>-T85*$D$33</f>
        <v/>
      </c>
      <c r="V95" s="260">
        <f>-U85*$D$33</f>
        <v/>
      </c>
      <c r="W95" s="260">
        <f>-V85*$D$33</f>
        <v/>
      </c>
      <c r="X95" s="260">
        <f>-W85*$D$33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3" t="n">
        <v>0</v>
      </c>
      <c r="S96" s="263" t="n">
        <v>0</v>
      </c>
      <c r="T96" s="263" t="n">
        <v>-906465</v>
      </c>
      <c r="U96" s="263" t="n">
        <v>-906465</v>
      </c>
      <c r="V96" s="263" t="n">
        <v>-906465</v>
      </c>
      <c r="W96" s="263" t="n">
        <v>-906465</v>
      </c>
      <c r="X96" s="264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5" t="inlineStr">
        <is>
          <t>成本法實際現金流</t>
        </is>
      </c>
      <c r="C104" s="266" t="n"/>
      <c r="D104" s="267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8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5" t="inlineStr">
        <is>
          <t>權益法實際現金流</t>
        </is>
      </c>
      <c r="C106" s="266" t="n"/>
      <c r="D106" s="267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5" t="inlineStr">
        <is>
          <t>權益法IRR</t>
        </is>
      </c>
      <c r="C107" s="269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0" t="n"/>
    </row>
    <row r="112" ht="16.5" customHeight="1">
      <c r="G112" s="27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10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第9次滾算摘要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26000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4.17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9.96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第9次滾算，減少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26000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-34016</v>
      </c>
      <c r="E49" s="210" t="n">
        <v>-34016</v>
      </c>
      <c r="F49" s="210" t="n">
        <v>-34016</v>
      </c>
      <c r="G49" s="210" t="n">
        <v>-34016</v>
      </c>
      <c r="H49" s="210" t="n">
        <v>-34016</v>
      </c>
      <c r="I49" s="210" t="n">
        <v>-34016</v>
      </c>
      <c r="J49" s="210" t="n">
        <v>-34016</v>
      </c>
      <c r="K49" s="210" t="n">
        <v>-34016</v>
      </c>
      <c r="L49" s="210" t="n">
        <v>-34016</v>
      </c>
      <c r="M49" s="210" t="n">
        <v>-34016</v>
      </c>
      <c r="N49" s="210" t="n">
        <v>-34016</v>
      </c>
      <c r="O49" s="210" t="n">
        <v>-34016</v>
      </c>
      <c r="P49" s="210" t="n">
        <v>-34016</v>
      </c>
      <c r="Q49" s="210" t="n">
        <v>-34016</v>
      </c>
      <c r="R49" s="210" t="n">
        <v>-34016</v>
      </c>
      <c r="S49" s="210" t="n">
        <v>-34016</v>
      </c>
      <c r="T49" s="210" t="n">
        <v>-34016</v>
      </c>
      <c r="U49" s="210" t="n">
        <v>-34016</v>
      </c>
      <c r="V49" s="210" t="n">
        <v>-34016</v>
      </c>
      <c r="W49" s="210" t="n">
        <v>-34016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-358459</v>
      </c>
      <c r="E70" s="202" t="n">
        <v>-334562</v>
      </c>
      <c r="F70" s="202" t="n">
        <v>-310664</v>
      </c>
      <c r="G70" s="202" t="n">
        <v>-286767</v>
      </c>
      <c r="H70" s="202" t="n">
        <v>-262870</v>
      </c>
      <c r="I70" s="202" t="n">
        <v>-238973</v>
      </c>
      <c r="J70" s="202" t="n">
        <v>-215075</v>
      </c>
      <c r="K70" s="202" t="n">
        <v>-191178</v>
      </c>
      <c r="L70" s="202" t="n">
        <v>-167281</v>
      </c>
      <c r="M70" s="202" t="n">
        <v>-143384</v>
      </c>
      <c r="N70" s="202" t="n">
        <v>-119486</v>
      </c>
      <c r="O70" s="202" t="n">
        <v>-95589</v>
      </c>
      <c r="P70" s="202" t="n">
        <v>-71692</v>
      </c>
      <c r="Q70" s="202" t="n">
        <v>-47795</v>
      </c>
      <c r="R70" s="202" t="n">
        <v>-23897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-933669</v>
      </c>
      <c r="F93" s="248" t="n">
        <v>-933669</v>
      </c>
      <c r="G93" s="248" t="n">
        <v>-933669</v>
      </c>
      <c r="H93" s="248" t="n">
        <v>-933669</v>
      </c>
      <c r="I93" s="248" t="n">
        <v>-933669</v>
      </c>
      <c r="J93" s="248" t="n">
        <v>-933669</v>
      </c>
      <c r="K93" s="248" t="n">
        <v>-933669</v>
      </c>
      <c r="L93" s="248" t="n">
        <v>-933669</v>
      </c>
      <c r="M93" s="248" t="n">
        <v>-933669</v>
      </c>
      <c r="N93" s="248" t="n">
        <v>-933669</v>
      </c>
      <c r="O93" s="248" t="n">
        <v>-933669</v>
      </c>
      <c r="P93" s="248" t="n">
        <v>-933669</v>
      </c>
      <c r="Q93" s="248" t="n">
        <v>-933669</v>
      </c>
      <c r="R93" s="248" t="n">
        <v>-933669</v>
      </c>
      <c r="S93" s="248" t="n">
        <v>-933669</v>
      </c>
      <c r="T93" s="254" t="n">
        <v>0</v>
      </c>
      <c r="U93" s="254" t="n">
        <v>0</v>
      </c>
      <c r="V93" s="254" t="n">
        <v>0</v>
      </c>
      <c r="W93" s="254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0">
        <f>-D85*$D$33</f>
        <v/>
      </c>
      <c r="F95" s="260">
        <f>-E85*$D$33</f>
        <v/>
      </c>
      <c r="G95" s="260">
        <f>-F85*$D$33</f>
        <v/>
      </c>
      <c r="H95" s="260">
        <f>-G85*$D$33</f>
        <v/>
      </c>
      <c r="I95" s="260">
        <f>-H85*$D$33</f>
        <v/>
      </c>
      <c r="J95" s="260">
        <f>-I85*$D$33</f>
        <v/>
      </c>
      <c r="K95" s="260">
        <f>-J85*$D$33</f>
        <v/>
      </c>
      <c r="L95" s="260">
        <f>-K85*$D$33</f>
        <v/>
      </c>
      <c r="M95" s="260">
        <f>-L85*$D$33</f>
        <v/>
      </c>
      <c r="N95" s="260">
        <f>-M85*$D$33</f>
        <v/>
      </c>
      <c r="O95" s="260">
        <f>-N85*$D$33</f>
        <v/>
      </c>
      <c r="P95" s="260">
        <f>-O85*$D$33</f>
        <v/>
      </c>
      <c r="Q95" s="260">
        <f>-P85*$D$33</f>
        <v/>
      </c>
      <c r="R95" s="260">
        <f>-Q85*$D$33</f>
        <v/>
      </c>
      <c r="S95" s="260">
        <f>-R85*$D$33</f>
        <v/>
      </c>
      <c r="T95" s="260">
        <f>-S85*$D$33</f>
        <v/>
      </c>
      <c r="U95" s="260">
        <f>-T85*$D$33</f>
        <v/>
      </c>
      <c r="V95" s="260">
        <f>-U85*$D$33</f>
        <v/>
      </c>
      <c r="W95" s="260">
        <f>-V85*$D$33</f>
        <v/>
      </c>
      <c r="X95" s="260">
        <f>-W85*$D$33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3" t="n">
        <v>0</v>
      </c>
      <c r="S96" s="263" t="n">
        <v>0</v>
      </c>
      <c r="T96" s="263" t="n">
        <v>-875315</v>
      </c>
      <c r="U96" s="263" t="n">
        <v>-875315</v>
      </c>
      <c r="V96" s="263" t="n">
        <v>-875315</v>
      </c>
      <c r="W96" s="263" t="n">
        <v>-875315</v>
      </c>
      <c r="X96" s="264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5" t="inlineStr">
        <is>
          <t>成本法實際現金流</t>
        </is>
      </c>
      <c r="C104" s="266" t="n"/>
      <c r="D104" s="267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8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5" t="inlineStr">
        <is>
          <t>權益法實際現金流</t>
        </is>
      </c>
      <c r="C106" s="266" t="n"/>
      <c r="D106" s="267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5" t="inlineStr">
        <is>
          <t>權益法IRR</t>
        </is>
      </c>
      <c r="C107" s="269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0" t="n"/>
    </row>
    <row r="112" ht="16.5" customHeight="1">
      <c r="G112" s="27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11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第10次滾算摘要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25000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4.54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11.4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第10次滾算，減少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25000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-32708</v>
      </c>
      <c r="E49" s="210" t="n">
        <v>-32708</v>
      </c>
      <c r="F49" s="210" t="n">
        <v>-32708</v>
      </c>
      <c r="G49" s="210" t="n">
        <v>-32708</v>
      </c>
      <c r="H49" s="210" t="n">
        <v>-32708</v>
      </c>
      <c r="I49" s="210" t="n">
        <v>-32708</v>
      </c>
      <c r="J49" s="210" t="n">
        <v>-32708</v>
      </c>
      <c r="K49" s="210" t="n">
        <v>-32708</v>
      </c>
      <c r="L49" s="210" t="n">
        <v>-32708</v>
      </c>
      <c r="M49" s="210" t="n">
        <v>-32708</v>
      </c>
      <c r="N49" s="210" t="n">
        <v>-32708</v>
      </c>
      <c r="O49" s="210" t="n">
        <v>-32708</v>
      </c>
      <c r="P49" s="210" t="n">
        <v>-32708</v>
      </c>
      <c r="Q49" s="210" t="n">
        <v>-32708</v>
      </c>
      <c r="R49" s="210" t="n">
        <v>-32708</v>
      </c>
      <c r="S49" s="210" t="n">
        <v>-32708</v>
      </c>
      <c r="T49" s="210" t="n">
        <v>-32708</v>
      </c>
      <c r="U49" s="210" t="n">
        <v>-32708</v>
      </c>
      <c r="V49" s="210" t="n">
        <v>-32708</v>
      </c>
      <c r="W49" s="210" t="n">
        <v>-32708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-345702</v>
      </c>
      <c r="E70" s="202" t="n">
        <v>-322656</v>
      </c>
      <c r="F70" s="202" t="n">
        <v>-299609</v>
      </c>
      <c r="G70" s="202" t="n">
        <v>-276562</v>
      </c>
      <c r="H70" s="202" t="n">
        <v>-253515</v>
      </c>
      <c r="I70" s="202" t="n">
        <v>-230468</v>
      </c>
      <c r="J70" s="202" t="n">
        <v>-207421</v>
      </c>
      <c r="K70" s="202" t="n">
        <v>-184375</v>
      </c>
      <c r="L70" s="202" t="n">
        <v>-161328</v>
      </c>
      <c r="M70" s="202" t="n">
        <v>-138281</v>
      </c>
      <c r="N70" s="202" t="n">
        <v>-115234</v>
      </c>
      <c r="O70" s="202" t="n">
        <v>-92187</v>
      </c>
      <c r="P70" s="202" t="n">
        <v>-69140</v>
      </c>
      <c r="Q70" s="202" t="n">
        <v>-46094</v>
      </c>
      <c r="R70" s="202" t="n">
        <v>-23047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-900443</v>
      </c>
      <c r="F93" s="248" t="n">
        <v>-900443</v>
      </c>
      <c r="G93" s="248" t="n">
        <v>-900443</v>
      </c>
      <c r="H93" s="248" t="n">
        <v>-900443</v>
      </c>
      <c r="I93" s="248" t="n">
        <v>-900443</v>
      </c>
      <c r="J93" s="248" t="n">
        <v>-900443</v>
      </c>
      <c r="K93" s="248" t="n">
        <v>-900443</v>
      </c>
      <c r="L93" s="248" t="n">
        <v>-900443</v>
      </c>
      <c r="M93" s="248" t="n">
        <v>-900443</v>
      </c>
      <c r="N93" s="248" t="n">
        <v>-900443</v>
      </c>
      <c r="O93" s="248" t="n">
        <v>-900443</v>
      </c>
      <c r="P93" s="248" t="n">
        <v>-900443</v>
      </c>
      <c r="Q93" s="248" t="n">
        <v>-900443</v>
      </c>
      <c r="R93" s="248" t="n">
        <v>-900443</v>
      </c>
      <c r="S93" s="248" t="n">
        <v>-900443</v>
      </c>
      <c r="T93" s="254" t="n">
        <v>0</v>
      </c>
      <c r="U93" s="254" t="n">
        <v>0</v>
      </c>
      <c r="V93" s="254" t="n">
        <v>0</v>
      </c>
      <c r="W93" s="254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0">
        <f>-D85*$D$33</f>
        <v/>
      </c>
      <c r="F95" s="260">
        <f>-E85*$D$33</f>
        <v/>
      </c>
      <c r="G95" s="260">
        <f>-F85*$D$33</f>
        <v/>
      </c>
      <c r="H95" s="260">
        <f>-G85*$D$33</f>
        <v/>
      </c>
      <c r="I95" s="260">
        <f>-H85*$D$33</f>
        <v/>
      </c>
      <c r="J95" s="260">
        <f>-I85*$D$33</f>
        <v/>
      </c>
      <c r="K95" s="260">
        <f>-J85*$D$33</f>
        <v/>
      </c>
      <c r="L95" s="260">
        <f>-K85*$D$33</f>
        <v/>
      </c>
      <c r="M95" s="260">
        <f>-L85*$D$33</f>
        <v/>
      </c>
      <c r="N95" s="260">
        <f>-M85*$D$33</f>
        <v/>
      </c>
      <c r="O95" s="260">
        <f>-N85*$D$33</f>
        <v/>
      </c>
      <c r="P95" s="260">
        <f>-O85*$D$33</f>
        <v/>
      </c>
      <c r="Q95" s="260">
        <f>-P85*$D$33</f>
        <v/>
      </c>
      <c r="R95" s="260">
        <f>-Q85*$D$33</f>
        <v/>
      </c>
      <c r="S95" s="260">
        <f>-R85*$D$33</f>
        <v/>
      </c>
      <c r="T95" s="260">
        <f>-S85*$D$33</f>
        <v/>
      </c>
      <c r="U95" s="260">
        <f>-T85*$D$33</f>
        <v/>
      </c>
      <c r="V95" s="260">
        <f>-U85*$D$33</f>
        <v/>
      </c>
      <c r="W95" s="260">
        <f>-V85*$D$33</f>
        <v/>
      </c>
      <c r="X95" s="260">
        <f>-W85*$D$33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3" t="n">
        <v>0</v>
      </c>
      <c r="S96" s="263" t="n">
        <v>0</v>
      </c>
      <c r="T96" s="263" t="n">
        <v>-844165</v>
      </c>
      <c r="U96" s="263" t="n">
        <v>-844165</v>
      </c>
      <c r="V96" s="263" t="n">
        <v>-844165</v>
      </c>
      <c r="W96" s="263" t="n">
        <v>-844165</v>
      </c>
      <c r="X96" s="264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5" t="inlineStr">
        <is>
          <t>成本法實際現金流</t>
        </is>
      </c>
      <c r="C104" s="266" t="n"/>
      <c r="D104" s="267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8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5" t="inlineStr">
        <is>
          <t>權益法實際現金流</t>
        </is>
      </c>
      <c r="C106" s="266" t="n"/>
      <c r="D106" s="267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5" t="inlineStr">
        <is>
          <t>權益法IRR</t>
        </is>
      </c>
      <c r="C107" s="269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0" t="n"/>
    </row>
    <row r="112" ht="16.5" customHeight="1">
      <c r="G112" s="27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12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4.94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13.0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第11次滾算，減少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-31399</v>
      </c>
      <c r="E49" s="210" t="n">
        <v>-31399</v>
      </c>
      <c r="F49" s="210" t="n">
        <v>-31399</v>
      </c>
      <c r="G49" s="210" t="n">
        <v>-31399</v>
      </c>
      <c r="H49" s="210" t="n">
        <v>-31399</v>
      </c>
      <c r="I49" s="210" t="n">
        <v>-31399</v>
      </c>
      <c r="J49" s="210" t="n">
        <v>-31399</v>
      </c>
      <c r="K49" s="210" t="n">
        <v>-31399</v>
      </c>
      <c r="L49" s="210" t="n">
        <v>-31399</v>
      </c>
      <c r="M49" s="210" t="n">
        <v>-31399</v>
      </c>
      <c r="N49" s="210" t="n">
        <v>-31399</v>
      </c>
      <c r="O49" s="210" t="n">
        <v>-31399</v>
      </c>
      <c r="P49" s="210" t="n">
        <v>-31399</v>
      </c>
      <c r="Q49" s="210" t="n">
        <v>-31399</v>
      </c>
      <c r="R49" s="210" t="n">
        <v>-31399</v>
      </c>
      <c r="S49" s="210" t="n">
        <v>-31399</v>
      </c>
      <c r="T49" s="210" t="n">
        <v>-31399</v>
      </c>
      <c r="U49" s="210" t="n">
        <v>-31399</v>
      </c>
      <c r="V49" s="210" t="n">
        <v>-31399</v>
      </c>
      <c r="W49" s="210" t="n">
        <v>-31399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-332946</v>
      </c>
      <c r="E70" s="202" t="n">
        <v>-310750</v>
      </c>
      <c r="F70" s="202" t="n">
        <v>-288553</v>
      </c>
      <c r="G70" s="202" t="n">
        <v>-266357</v>
      </c>
      <c r="H70" s="202" t="n">
        <v>-244160</v>
      </c>
      <c r="I70" s="202" t="n">
        <v>-221964</v>
      </c>
      <c r="J70" s="202" t="n">
        <v>-199768</v>
      </c>
      <c r="K70" s="202" t="n">
        <v>-177571</v>
      </c>
      <c r="L70" s="202" t="n">
        <v>-155375</v>
      </c>
      <c r="M70" s="202" t="n">
        <v>-133178</v>
      </c>
      <c r="N70" s="202" t="n">
        <v>-110982</v>
      </c>
      <c r="O70" s="202" t="n">
        <v>-88786</v>
      </c>
      <c r="P70" s="202" t="n">
        <v>-66589</v>
      </c>
      <c r="Q70" s="202" t="n">
        <v>-44393</v>
      </c>
      <c r="R70" s="202" t="n">
        <v>-22196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-867216</v>
      </c>
      <c r="F93" s="248" t="n">
        <v>-867216</v>
      </c>
      <c r="G93" s="248" t="n">
        <v>-867216</v>
      </c>
      <c r="H93" s="248" t="n">
        <v>-867216</v>
      </c>
      <c r="I93" s="248" t="n">
        <v>-867216</v>
      </c>
      <c r="J93" s="248" t="n">
        <v>-867216</v>
      </c>
      <c r="K93" s="248" t="n">
        <v>-867216</v>
      </c>
      <c r="L93" s="248" t="n">
        <v>-867216</v>
      </c>
      <c r="M93" s="248" t="n">
        <v>-867216</v>
      </c>
      <c r="N93" s="248" t="n">
        <v>-867216</v>
      </c>
      <c r="O93" s="248" t="n">
        <v>-867216</v>
      </c>
      <c r="P93" s="248" t="n">
        <v>-867216</v>
      </c>
      <c r="Q93" s="248" t="n">
        <v>-867216</v>
      </c>
      <c r="R93" s="248" t="n">
        <v>-867216</v>
      </c>
      <c r="S93" s="248" t="n">
        <v>-867216</v>
      </c>
      <c r="T93" s="254" t="n">
        <v>0</v>
      </c>
      <c r="U93" s="254" t="n">
        <v>0</v>
      </c>
      <c r="V93" s="254" t="n">
        <v>0</v>
      </c>
      <c r="W93" s="254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0">
        <f>-D85*$D$33</f>
        <v/>
      </c>
      <c r="F95" s="260">
        <f>-E85*$D$33</f>
        <v/>
      </c>
      <c r="G95" s="260">
        <f>-F85*$D$33</f>
        <v/>
      </c>
      <c r="H95" s="260">
        <f>-G85*$D$33</f>
        <v/>
      </c>
      <c r="I95" s="260">
        <f>-H85*$D$33</f>
        <v/>
      </c>
      <c r="J95" s="260">
        <f>-I85*$D$33</f>
        <v/>
      </c>
      <c r="K95" s="260">
        <f>-J85*$D$33</f>
        <v/>
      </c>
      <c r="L95" s="260">
        <f>-K85*$D$33</f>
        <v/>
      </c>
      <c r="M95" s="260">
        <f>-L85*$D$33</f>
        <v/>
      </c>
      <c r="N95" s="260">
        <f>-M85*$D$33</f>
        <v/>
      </c>
      <c r="O95" s="260">
        <f>-N85*$D$33</f>
        <v/>
      </c>
      <c r="P95" s="260">
        <f>-O85*$D$33</f>
        <v/>
      </c>
      <c r="Q95" s="260">
        <f>-P85*$D$33</f>
        <v/>
      </c>
      <c r="R95" s="260">
        <f>-Q85*$D$33</f>
        <v/>
      </c>
      <c r="S95" s="260">
        <f>-R85*$D$33</f>
        <v/>
      </c>
      <c r="T95" s="260">
        <f>-S85*$D$33</f>
        <v/>
      </c>
      <c r="U95" s="260">
        <f>-T85*$D$33</f>
        <v/>
      </c>
      <c r="V95" s="260">
        <f>-U85*$D$33</f>
        <v/>
      </c>
      <c r="W95" s="260">
        <f>-V85*$D$33</f>
        <v/>
      </c>
      <c r="X95" s="260">
        <f>-W85*$D$33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3" t="n">
        <v>0</v>
      </c>
      <c r="S96" s="263" t="n">
        <v>0</v>
      </c>
      <c r="T96" s="263" t="n">
        <v>-813015</v>
      </c>
      <c r="U96" s="263" t="n">
        <v>-813015</v>
      </c>
      <c r="V96" s="263" t="n">
        <v>-813015</v>
      </c>
      <c r="W96" s="263" t="n">
        <v>-813015</v>
      </c>
      <c r="X96" s="264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5" t="inlineStr">
        <is>
          <t>成本法實際現金流</t>
        </is>
      </c>
      <c r="C104" s="266" t="n"/>
      <c r="D104" s="267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8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5" t="inlineStr">
        <is>
          <t>權益法實際現金流</t>
        </is>
      </c>
      <c r="C106" s="266" t="n"/>
      <c r="D106" s="267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5" t="inlineStr">
        <is>
          <t>權益法IRR</t>
        </is>
      </c>
      <c r="C107" s="269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0" t="n"/>
    </row>
    <row r="112" ht="16.5" customHeight="1">
      <c r="G112" s="271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13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23000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5.36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14.79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第12次滾算，減少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23000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-30091</v>
      </c>
      <c r="E49" s="210" t="n">
        <v>-30091</v>
      </c>
      <c r="F49" s="210" t="n">
        <v>-30091</v>
      </c>
      <c r="G49" s="210" t="n">
        <v>-30091</v>
      </c>
      <c r="H49" s="210" t="n">
        <v>-30091</v>
      </c>
      <c r="I49" s="210" t="n">
        <v>-30091</v>
      </c>
      <c r="J49" s="210" t="n">
        <v>-30091</v>
      </c>
      <c r="K49" s="210" t="n">
        <v>-30091</v>
      </c>
      <c r="L49" s="210" t="n">
        <v>-30091</v>
      </c>
      <c r="M49" s="210" t="n">
        <v>-30091</v>
      </c>
      <c r="N49" s="210" t="n">
        <v>-30091</v>
      </c>
      <c r="O49" s="210" t="n">
        <v>-30091</v>
      </c>
      <c r="P49" s="210" t="n">
        <v>-30091</v>
      </c>
      <c r="Q49" s="210" t="n">
        <v>-30091</v>
      </c>
      <c r="R49" s="210" t="n">
        <v>-30091</v>
      </c>
      <c r="S49" s="210" t="n">
        <v>-30091</v>
      </c>
      <c r="T49" s="210" t="n">
        <v>-30091</v>
      </c>
      <c r="U49" s="210" t="n">
        <v>-30091</v>
      </c>
      <c r="V49" s="210" t="n">
        <v>-30091</v>
      </c>
      <c r="W49" s="210" t="n">
        <v>-30091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-320189</v>
      </c>
      <c r="E70" s="202" t="n">
        <v>-298843</v>
      </c>
      <c r="F70" s="202" t="n">
        <v>-277497</v>
      </c>
      <c r="G70" s="202" t="n">
        <v>-256151</v>
      </c>
      <c r="H70" s="202" t="n">
        <v>-234806</v>
      </c>
      <c r="I70" s="202" t="n">
        <v>-213460</v>
      </c>
      <c r="J70" s="202" t="n">
        <v>-192114</v>
      </c>
      <c r="K70" s="202" t="n">
        <v>-170768</v>
      </c>
      <c r="L70" s="202" t="n">
        <v>-149422</v>
      </c>
      <c r="M70" s="202" t="n">
        <v>-128076</v>
      </c>
      <c r="N70" s="202" t="n">
        <v>-106730</v>
      </c>
      <c r="O70" s="202" t="n">
        <v>-85384</v>
      </c>
      <c r="P70" s="202" t="n">
        <v>-64038</v>
      </c>
      <c r="Q70" s="202" t="n">
        <v>-42692</v>
      </c>
      <c r="R70" s="202" t="n">
        <v>-21346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-833989</v>
      </c>
      <c r="F93" s="248" t="n">
        <v>-833989</v>
      </c>
      <c r="G93" s="248" t="n">
        <v>-833989</v>
      </c>
      <c r="H93" s="248" t="n">
        <v>-833989</v>
      </c>
      <c r="I93" s="248" t="n">
        <v>-833989</v>
      </c>
      <c r="J93" s="248" t="n">
        <v>-833989</v>
      </c>
      <c r="K93" s="248" t="n">
        <v>-833989</v>
      </c>
      <c r="L93" s="248" t="n">
        <v>-833989</v>
      </c>
      <c r="M93" s="248" t="n">
        <v>-833989</v>
      </c>
      <c r="N93" s="248" t="n">
        <v>-833989</v>
      </c>
      <c r="O93" s="248" t="n">
        <v>-833989</v>
      </c>
      <c r="P93" s="248" t="n">
        <v>-833989</v>
      </c>
      <c r="Q93" s="248" t="n">
        <v>-833989</v>
      </c>
      <c r="R93" s="248" t="n">
        <v>-833989</v>
      </c>
      <c r="S93" s="248" t="n">
        <v>-833989</v>
      </c>
      <c r="T93" s="254" t="n">
        <v>0</v>
      </c>
      <c r="U93" s="254" t="n">
        <v>0</v>
      </c>
      <c r="V93" s="254" t="n">
        <v>0</v>
      </c>
      <c r="W93" s="254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0">
        <f>-D85*$D$33</f>
        <v/>
      </c>
      <c r="F95" s="260">
        <f>-E85*$D$33</f>
        <v/>
      </c>
      <c r="G95" s="260">
        <f>-F85*$D$33</f>
        <v/>
      </c>
      <c r="H95" s="260">
        <f>-G85*$D$33</f>
        <v/>
      </c>
      <c r="I95" s="260">
        <f>-H85*$D$33</f>
        <v/>
      </c>
      <c r="J95" s="260">
        <f>-I85*$D$33</f>
        <v/>
      </c>
      <c r="K95" s="260">
        <f>-J85*$D$33</f>
        <v/>
      </c>
      <c r="L95" s="260">
        <f>-K85*$D$33</f>
        <v/>
      </c>
      <c r="M95" s="260">
        <f>-L85*$D$33</f>
        <v/>
      </c>
      <c r="N95" s="260">
        <f>-M85*$D$33</f>
        <v/>
      </c>
      <c r="O95" s="260">
        <f>-N85*$D$33</f>
        <v/>
      </c>
      <c r="P95" s="260">
        <f>-O85*$D$33</f>
        <v/>
      </c>
      <c r="Q95" s="260">
        <f>-P85*$D$33</f>
        <v/>
      </c>
      <c r="R95" s="260">
        <f>-Q85*$D$33</f>
        <v/>
      </c>
      <c r="S95" s="260">
        <f>-R85*$D$33</f>
        <v/>
      </c>
      <c r="T95" s="260">
        <f>-S85*$D$33</f>
        <v/>
      </c>
      <c r="U95" s="260">
        <f>-T85*$D$33</f>
        <v/>
      </c>
      <c r="V95" s="260">
        <f>-U85*$D$33</f>
        <v/>
      </c>
      <c r="W95" s="260">
        <f>-V85*$D$33</f>
        <v/>
      </c>
      <c r="X95" s="260">
        <f>-W85*$D$33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3" t="n">
        <v>0</v>
      </c>
      <c r="S96" s="263" t="n">
        <v>0</v>
      </c>
      <c r="T96" s="263" t="n">
        <v>-781865</v>
      </c>
      <c r="U96" s="263" t="n">
        <v>-781865</v>
      </c>
      <c r="V96" s="263" t="n">
        <v>-781865</v>
      </c>
      <c r="W96" s="263" t="n">
        <v>-781865</v>
      </c>
      <c r="X96" s="264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5" t="inlineStr">
        <is>
          <t>成本法實際現金流</t>
        </is>
      </c>
      <c r="C104" s="266" t="n"/>
      <c r="D104" s="267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8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5" t="inlineStr">
        <is>
          <t>權益法實際現金流</t>
        </is>
      </c>
      <c r="C106" s="266" t="n"/>
      <c r="D106" s="267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5" t="inlineStr">
        <is>
          <t>權益法IRR</t>
        </is>
      </c>
      <c r="C107" s="269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0" t="n"/>
    </row>
    <row r="112" ht="16.5" customHeight="1">
      <c r="G112" s="271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14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16.83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第13次滾算，減少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-28783</v>
      </c>
      <c r="E49" s="210" t="n">
        <v>-28783</v>
      </c>
      <c r="F49" s="210" t="n">
        <v>-28783</v>
      </c>
      <c r="G49" s="210" t="n">
        <v>-28783</v>
      </c>
      <c r="H49" s="210" t="n">
        <v>-28783</v>
      </c>
      <c r="I49" s="210" t="n">
        <v>-28783</v>
      </c>
      <c r="J49" s="210" t="n">
        <v>-28783</v>
      </c>
      <c r="K49" s="210" t="n">
        <v>-28783</v>
      </c>
      <c r="L49" s="210" t="n">
        <v>-28783</v>
      </c>
      <c r="M49" s="210" t="n">
        <v>-28783</v>
      </c>
      <c r="N49" s="210" t="n">
        <v>-28783</v>
      </c>
      <c r="O49" s="210" t="n">
        <v>-28783</v>
      </c>
      <c r="P49" s="210" t="n">
        <v>-28783</v>
      </c>
      <c r="Q49" s="210" t="n">
        <v>-28783</v>
      </c>
      <c r="R49" s="210" t="n">
        <v>-28783</v>
      </c>
      <c r="S49" s="210" t="n">
        <v>-28783</v>
      </c>
      <c r="T49" s="210" t="n">
        <v>-28783</v>
      </c>
      <c r="U49" s="210" t="n">
        <v>-28783</v>
      </c>
      <c r="V49" s="210" t="n">
        <v>-28783</v>
      </c>
      <c r="W49" s="210" t="n">
        <v>-28783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-307433</v>
      </c>
      <c r="E70" s="202" t="n">
        <v>-286937</v>
      </c>
      <c r="F70" s="202" t="n">
        <v>-266442</v>
      </c>
      <c r="G70" s="202" t="n">
        <v>-245946</v>
      </c>
      <c r="H70" s="202" t="n">
        <v>-225451</v>
      </c>
      <c r="I70" s="202" t="n">
        <v>-204955</v>
      </c>
      <c r="J70" s="202" t="n">
        <v>-184460</v>
      </c>
      <c r="K70" s="202" t="n">
        <v>-163964</v>
      </c>
      <c r="L70" s="202" t="n">
        <v>-143469</v>
      </c>
      <c r="M70" s="202" t="n">
        <v>-122973</v>
      </c>
      <c r="N70" s="202" t="n">
        <v>-102478</v>
      </c>
      <c r="O70" s="202" t="n">
        <v>-81982</v>
      </c>
      <c r="P70" s="202" t="n">
        <v>-61487</v>
      </c>
      <c r="Q70" s="202" t="n">
        <v>-40991</v>
      </c>
      <c r="R70" s="202" t="n">
        <v>-20496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-800763</v>
      </c>
      <c r="F93" s="248" t="n">
        <v>-800763</v>
      </c>
      <c r="G93" s="248" t="n">
        <v>-800763</v>
      </c>
      <c r="H93" s="248" t="n">
        <v>-800763</v>
      </c>
      <c r="I93" s="248" t="n">
        <v>-800763</v>
      </c>
      <c r="J93" s="248" t="n">
        <v>-800763</v>
      </c>
      <c r="K93" s="248" t="n">
        <v>-800763</v>
      </c>
      <c r="L93" s="248" t="n">
        <v>-800763</v>
      </c>
      <c r="M93" s="248" t="n">
        <v>-800763</v>
      </c>
      <c r="N93" s="248" t="n">
        <v>-800763</v>
      </c>
      <c r="O93" s="248" t="n">
        <v>-800763</v>
      </c>
      <c r="P93" s="248" t="n">
        <v>-800763</v>
      </c>
      <c r="Q93" s="248" t="n">
        <v>-800763</v>
      </c>
      <c r="R93" s="248" t="n">
        <v>-800763</v>
      </c>
      <c r="S93" s="248" t="n">
        <v>-800763</v>
      </c>
      <c r="T93" s="254" t="n">
        <v>0</v>
      </c>
      <c r="U93" s="254" t="n">
        <v>0</v>
      </c>
      <c r="V93" s="254" t="n">
        <v>0</v>
      </c>
      <c r="W93" s="254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0">
        <f>-D85*$D$33</f>
        <v/>
      </c>
      <c r="F95" s="260">
        <f>-E85*$D$33</f>
        <v/>
      </c>
      <c r="G95" s="260">
        <f>-F85*$D$33</f>
        <v/>
      </c>
      <c r="H95" s="260">
        <f>-G85*$D$33</f>
        <v/>
      </c>
      <c r="I95" s="260">
        <f>-H85*$D$33</f>
        <v/>
      </c>
      <c r="J95" s="260">
        <f>-I85*$D$33</f>
        <v/>
      </c>
      <c r="K95" s="260">
        <f>-J85*$D$33</f>
        <v/>
      </c>
      <c r="L95" s="260">
        <f>-K85*$D$33</f>
        <v/>
      </c>
      <c r="M95" s="260">
        <f>-L85*$D$33</f>
        <v/>
      </c>
      <c r="N95" s="260">
        <f>-M85*$D$33</f>
        <v/>
      </c>
      <c r="O95" s="260">
        <f>-N85*$D$33</f>
        <v/>
      </c>
      <c r="P95" s="260">
        <f>-O85*$D$33</f>
        <v/>
      </c>
      <c r="Q95" s="260">
        <f>-P85*$D$33</f>
        <v/>
      </c>
      <c r="R95" s="260">
        <f>-Q85*$D$33</f>
        <v/>
      </c>
      <c r="S95" s="260">
        <f>-R85*$D$33</f>
        <v/>
      </c>
      <c r="T95" s="260">
        <f>-S85*$D$33</f>
        <v/>
      </c>
      <c r="U95" s="260">
        <f>-T85*$D$33</f>
        <v/>
      </c>
      <c r="V95" s="260">
        <f>-U85*$D$33</f>
        <v/>
      </c>
      <c r="W95" s="260">
        <f>-V85*$D$33</f>
        <v/>
      </c>
      <c r="X95" s="260">
        <f>-W85*$D$33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3" t="n">
        <v>0</v>
      </c>
      <c r="S96" s="263" t="n">
        <v>0</v>
      </c>
      <c r="T96" s="263" t="n">
        <v>-750715</v>
      </c>
      <c r="U96" s="263" t="n">
        <v>-750715</v>
      </c>
      <c r="V96" s="263" t="n">
        <v>-750715</v>
      </c>
      <c r="W96" s="263" t="n">
        <v>-750715</v>
      </c>
      <c r="X96" s="264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5" t="inlineStr">
        <is>
          <t>成本法實際現金流</t>
        </is>
      </c>
      <c r="C104" s="266" t="n"/>
      <c r="D104" s="267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8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5" t="inlineStr">
        <is>
          <t>權益法實際現金流</t>
        </is>
      </c>
      <c r="C106" s="266" t="n"/>
      <c r="D106" s="267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5" t="inlineStr">
        <is>
          <t>權益法IRR</t>
        </is>
      </c>
      <c r="C107" s="269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0" t="n"/>
    </row>
    <row r="112" ht="16.5" customHeight="1">
      <c r="G112" s="271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15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21000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6.28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19.16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第14次滾算，減少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21000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-27474</v>
      </c>
      <c r="E49" s="210" t="n">
        <v>-27474</v>
      </c>
      <c r="F49" s="210" t="n">
        <v>-27474</v>
      </c>
      <c r="G49" s="210" t="n">
        <v>-27474</v>
      </c>
      <c r="H49" s="210" t="n">
        <v>-27474</v>
      </c>
      <c r="I49" s="210" t="n">
        <v>-27474</v>
      </c>
      <c r="J49" s="210" t="n">
        <v>-27474</v>
      </c>
      <c r="K49" s="210" t="n">
        <v>-27474</v>
      </c>
      <c r="L49" s="210" t="n">
        <v>-27474</v>
      </c>
      <c r="M49" s="210" t="n">
        <v>-27474</v>
      </c>
      <c r="N49" s="210" t="n">
        <v>-27474</v>
      </c>
      <c r="O49" s="210" t="n">
        <v>-27474</v>
      </c>
      <c r="P49" s="210" t="n">
        <v>-27474</v>
      </c>
      <c r="Q49" s="210" t="n">
        <v>-27474</v>
      </c>
      <c r="R49" s="210" t="n">
        <v>-27474</v>
      </c>
      <c r="S49" s="210" t="n">
        <v>-27474</v>
      </c>
      <c r="T49" s="210" t="n">
        <v>-27474</v>
      </c>
      <c r="U49" s="210" t="n">
        <v>-27474</v>
      </c>
      <c r="V49" s="210" t="n">
        <v>-27474</v>
      </c>
      <c r="W49" s="210" t="n">
        <v>-27474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-294676</v>
      </c>
      <c r="E70" s="202" t="n">
        <v>-275031</v>
      </c>
      <c r="F70" s="202" t="n">
        <v>-255386</v>
      </c>
      <c r="G70" s="202" t="n">
        <v>-235741</v>
      </c>
      <c r="H70" s="202" t="n">
        <v>-216096</v>
      </c>
      <c r="I70" s="202" t="n">
        <v>-196451</v>
      </c>
      <c r="J70" s="202" t="n">
        <v>-176806</v>
      </c>
      <c r="K70" s="202" t="n">
        <v>-157161</v>
      </c>
      <c r="L70" s="202" t="n">
        <v>-137516</v>
      </c>
      <c r="M70" s="202" t="n">
        <v>-117871</v>
      </c>
      <c r="N70" s="202" t="n">
        <v>-98225</v>
      </c>
      <c r="O70" s="202" t="n">
        <v>-78580</v>
      </c>
      <c r="P70" s="202" t="n">
        <v>-58935</v>
      </c>
      <c r="Q70" s="202" t="n">
        <v>-39290</v>
      </c>
      <c r="R70" s="202" t="n">
        <v>-19645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-767536</v>
      </c>
      <c r="F93" s="248" t="n">
        <v>-767536</v>
      </c>
      <c r="G93" s="248" t="n">
        <v>-767536</v>
      </c>
      <c r="H93" s="248" t="n">
        <v>-767536</v>
      </c>
      <c r="I93" s="248" t="n">
        <v>-767536</v>
      </c>
      <c r="J93" s="248" t="n">
        <v>-767536</v>
      </c>
      <c r="K93" s="248" t="n">
        <v>-767536</v>
      </c>
      <c r="L93" s="248" t="n">
        <v>-767536</v>
      </c>
      <c r="M93" s="248" t="n">
        <v>-767536</v>
      </c>
      <c r="N93" s="248" t="n">
        <v>-767536</v>
      </c>
      <c r="O93" s="248" t="n">
        <v>-767536</v>
      </c>
      <c r="P93" s="248" t="n">
        <v>-767536</v>
      </c>
      <c r="Q93" s="248" t="n">
        <v>-767536</v>
      </c>
      <c r="R93" s="248" t="n">
        <v>-767536</v>
      </c>
      <c r="S93" s="248" t="n">
        <v>-767536</v>
      </c>
      <c r="T93" s="254" t="n">
        <v>0</v>
      </c>
      <c r="U93" s="254" t="n">
        <v>0</v>
      </c>
      <c r="V93" s="254" t="n">
        <v>0</v>
      </c>
      <c r="W93" s="254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0">
        <f>-D85*$D$33</f>
        <v/>
      </c>
      <c r="F95" s="260">
        <f>-E85*$D$33</f>
        <v/>
      </c>
      <c r="G95" s="260">
        <f>-F85*$D$33</f>
        <v/>
      </c>
      <c r="H95" s="260">
        <f>-G85*$D$33</f>
        <v/>
      </c>
      <c r="I95" s="260">
        <f>-H85*$D$33</f>
        <v/>
      </c>
      <c r="J95" s="260">
        <f>-I85*$D$33</f>
        <v/>
      </c>
      <c r="K95" s="260">
        <f>-J85*$D$33</f>
        <v/>
      </c>
      <c r="L95" s="260">
        <f>-K85*$D$33</f>
        <v/>
      </c>
      <c r="M95" s="260">
        <f>-L85*$D$33</f>
        <v/>
      </c>
      <c r="N95" s="260">
        <f>-M85*$D$33</f>
        <v/>
      </c>
      <c r="O95" s="260">
        <f>-N85*$D$33</f>
        <v/>
      </c>
      <c r="P95" s="260">
        <f>-O85*$D$33</f>
        <v/>
      </c>
      <c r="Q95" s="260">
        <f>-P85*$D$33</f>
        <v/>
      </c>
      <c r="R95" s="260">
        <f>-Q85*$D$33</f>
        <v/>
      </c>
      <c r="S95" s="260">
        <f>-R85*$D$33</f>
        <v/>
      </c>
      <c r="T95" s="260">
        <f>-S85*$D$33</f>
        <v/>
      </c>
      <c r="U95" s="260">
        <f>-T85*$D$33</f>
        <v/>
      </c>
      <c r="V95" s="260">
        <f>-U85*$D$33</f>
        <v/>
      </c>
      <c r="W95" s="260">
        <f>-V85*$D$33</f>
        <v/>
      </c>
      <c r="X95" s="260">
        <f>-W85*$D$33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3" t="n">
        <v>0</v>
      </c>
      <c r="S96" s="263" t="n">
        <v>0</v>
      </c>
      <c r="T96" s="263" t="n">
        <v>-719565</v>
      </c>
      <c r="U96" s="263" t="n">
        <v>-719565</v>
      </c>
      <c r="V96" s="263" t="n">
        <v>-719565</v>
      </c>
      <c r="W96" s="263" t="n">
        <v>-719565</v>
      </c>
      <c r="X96" s="264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5" t="inlineStr">
        <is>
          <t>成本法實際現金流</t>
        </is>
      </c>
      <c r="C104" s="266" t="n"/>
      <c r="D104" s="267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8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5" t="inlineStr">
        <is>
          <t>權益法實際現金流</t>
        </is>
      </c>
      <c r="C106" s="266" t="n"/>
      <c r="D106" s="267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5" t="inlineStr">
        <is>
          <t>權益法IRR</t>
        </is>
      </c>
      <c r="C107" s="269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0" t="n"/>
    </row>
    <row r="112" ht="16.5" customHeight="1">
      <c r="G112" s="271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16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6.79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21.86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第15次滾算，減少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-26166</v>
      </c>
      <c r="E49" s="210" t="n">
        <v>-26166</v>
      </c>
      <c r="F49" s="210" t="n">
        <v>-26166</v>
      </c>
      <c r="G49" s="210" t="n">
        <v>-26166</v>
      </c>
      <c r="H49" s="210" t="n">
        <v>-26166</v>
      </c>
      <c r="I49" s="210" t="n">
        <v>-26166</v>
      </c>
      <c r="J49" s="210" t="n">
        <v>-26166</v>
      </c>
      <c r="K49" s="210" t="n">
        <v>-26166</v>
      </c>
      <c r="L49" s="210" t="n">
        <v>-26166</v>
      </c>
      <c r="M49" s="210" t="n">
        <v>-26166</v>
      </c>
      <c r="N49" s="210" t="n">
        <v>-26166</v>
      </c>
      <c r="O49" s="210" t="n">
        <v>-26166</v>
      </c>
      <c r="P49" s="210" t="n">
        <v>-26166</v>
      </c>
      <c r="Q49" s="210" t="n">
        <v>-26166</v>
      </c>
      <c r="R49" s="210" t="n">
        <v>-26166</v>
      </c>
      <c r="S49" s="210" t="n">
        <v>-26166</v>
      </c>
      <c r="T49" s="210" t="n">
        <v>-26166</v>
      </c>
      <c r="U49" s="210" t="n">
        <v>-26166</v>
      </c>
      <c r="V49" s="210" t="n">
        <v>-26166</v>
      </c>
      <c r="W49" s="210" t="n">
        <v>-26166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-281920</v>
      </c>
      <c r="E70" s="202" t="n">
        <v>-263125</v>
      </c>
      <c r="F70" s="202" t="n">
        <v>-244330</v>
      </c>
      <c r="G70" s="202" t="n">
        <v>-225536</v>
      </c>
      <c r="H70" s="202" t="n">
        <v>-206741</v>
      </c>
      <c r="I70" s="202" t="n">
        <v>-187946</v>
      </c>
      <c r="J70" s="202" t="n">
        <v>-169152</v>
      </c>
      <c r="K70" s="202" t="n">
        <v>-150357</v>
      </c>
      <c r="L70" s="202" t="n">
        <v>-131563</v>
      </c>
      <c r="M70" s="202" t="n">
        <v>-112768</v>
      </c>
      <c r="N70" s="202" t="n">
        <v>-93973</v>
      </c>
      <c r="O70" s="202" t="n">
        <v>-75179</v>
      </c>
      <c r="P70" s="202" t="n">
        <v>-56384</v>
      </c>
      <c r="Q70" s="202" t="n">
        <v>-37589</v>
      </c>
      <c r="R70" s="202" t="n">
        <v>-18795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-734309</v>
      </c>
      <c r="F93" s="248" t="n">
        <v>-734309</v>
      </c>
      <c r="G93" s="248" t="n">
        <v>-734309</v>
      </c>
      <c r="H93" s="248" t="n">
        <v>-734309</v>
      </c>
      <c r="I93" s="248" t="n">
        <v>-734309</v>
      </c>
      <c r="J93" s="248" t="n">
        <v>-734309</v>
      </c>
      <c r="K93" s="248" t="n">
        <v>-734309</v>
      </c>
      <c r="L93" s="248" t="n">
        <v>-734309</v>
      </c>
      <c r="M93" s="248" t="n">
        <v>-734309</v>
      </c>
      <c r="N93" s="248" t="n">
        <v>-734309</v>
      </c>
      <c r="O93" s="248" t="n">
        <v>-734309</v>
      </c>
      <c r="P93" s="248" t="n">
        <v>-734309</v>
      </c>
      <c r="Q93" s="248" t="n">
        <v>-734309</v>
      </c>
      <c r="R93" s="248" t="n">
        <v>-734309</v>
      </c>
      <c r="S93" s="248" t="n">
        <v>-734309</v>
      </c>
      <c r="T93" s="254" t="n">
        <v>0</v>
      </c>
      <c r="U93" s="254" t="n">
        <v>0</v>
      </c>
      <c r="V93" s="254" t="n">
        <v>0</v>
      </c>
      <c r="W93" s="254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0">
        <f>-D85*$D$33</f>
        <v/>
      </c>
      <c r="F95" s="260">
        <f>-E85*$D$33</f>
        <v/>
      </c>
      <c r="G95" s="260">
        <f>-F85*$D$33</f>
        <v/>
      </c>
      <c r="H95" s="260">
        <f>-G85*$D$33</f>
        <v/>
      </c>
      <c r="I95" s="260">
        <f>-H85*$D$33</f>
        <v/>
      </c>
      <c r="J95" s="260">
        <f>-I85*$D$33</f>
        <v/>
      </c>
      <c r="K95" s="260">
        <f>-J85*$D$33</f>
        <v/>
      </c>
      <c r="L95" s="260">
        <f>-K85*$D$33</f>
        <v/>
      </c>
      <c r="M95" s="260">
        <f>-L85*$D$33</f>
        <v/>
      </c>
      <c r="N95" s="260">
        <f>-M85*$D$33</f>
        <v/>
      </c>
      <c r="O95" s="260">
        <f>-N85*$D$33</f>
        <v/>
      </c>
      <c r="P95" s="260">
        <f>-O85*$D$33</f>
        <v/>
      </c>
      <c r="Q95" s="260">
        <f>-P85*$D$33</f>
        <v/>
      </c>
      <c r="R95" s="260">
        <f>-Q85*$D$33</f>
        <v/>
      </c>
      <c r="S95" s="260">
        <f>-R85*$D$33</f>
        <v/>
      </c>
      <c r="T95" s="260">
        <f>-S85*$D$33</f>
        <v/>
      </c>
      <c r="U95" s="260">
        <f>-T85*$D$33</f>
        <v/>
      </c>
      <c r="V95" s="260">
        <f>-U85*$D$33</f>
        <v/>
      </c>
      <c r="W95" s="260">
        <f>-V85*$D$33</f>
        <v/>
      </c>
      <c r="X95" s="260">
        <f>-W85*$D$33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3" t="n">
        <v>0</v>
      </c>
      <c r="S96" s="263" t="n">
        <v>0</v>
      </c>
      <c r="T96" s="263" t="n">
        <v>-688415</v>
      </c>
      <c r="U96" s="263" t="n">
        <v>-688415</v>
      </c>
      <c r="V96" s="263" t="n">
        <v>-688415</v>
      </c>
      <c r="W96" s="263" t="n">
        <v>-688415</v>
      </c>
      <c r="X96" s="264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5" t="inlineStr">
        <is>
          <t>成本法實際現金流</t>
        </is>
      </c>
      <c r="C104" s="266" t="n"/>
      <c r="D104" s="267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8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5" t="inlineStr">
        <is>
          <t>權益法實際現金流</t>
        </is>
      </c>
      <c r="C106" s="266" t="n"/>
      <c r="D106" s="267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5" t="inlineStr">
        <is>
          <t>權益法IRR</t>
        </is>
      </c>
      <c r="C107" s="269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0" t="n"/>
    </row>
    <row r="112" ht="16.5" customHeight="1">
      <c r="G112" s="27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2026-02-28T18:21:22Z</dcterms:modified>
  <cp:lastModifiedBy>王竣生</cp:lastModifiedBy>
</cp:coreProperties>
</file>