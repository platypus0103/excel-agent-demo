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彙整總表" sheetId="1" state="visible" r:id="rId1"/>
    <sheet name="表 62_滾算紀錄3" sheetId="2" state="visible" r:id="rId2"/>
    <sheet name="表 62_滾算紀錄2" sheetId="3" state="visible" r:id="rId3"/>
    <sheet name="表 62_滾算紀錄4" sheetId="4" state="visible" r:id="rId4"/>
    <sheet name="表 62_滾算紀錄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_);[Red]\(0.00\)"/>
    <numFmt numFmtId="165" formatCode="&quot;$&quot;#,##0.00_);[Red]\(&quot;$&quot;#,##0.00\)"/>
    <numFmt numFmtId="166" formatCode="0.00000%"/>
    <numFmt numFmtId="167" formatCode="_-&quot;$&quot;* #,##0.00_-;\-&quot;$&quot;* #,##0.00_-;_-&quot;$&quot;* &quot;-&quot;??_-;_-@_-"/>
    <numFmt numFmtId="168" formatCode="0.0000%"/>
    <numFmt numFmtId="169" formatCode="0.000%"/>
  </numFmts>
  <fonts count="28">
    <font>
      <name val="Calibri"/>
      <family val="2"/>
      <color theme="1"/>
      <sz val="11"/>
      <scheme val="minor"/>
    </font>
    <font>
      <name val="微軟正黑體"/>
      <family val="2"/>
      <b val="1"/>
      <color rgb="FFFFFFFF"/>
      <sz val="12"/>
    </font>
    <font>
      <name val="新細明體"/>
      <family val="2"/>
      <color theme="1"/>
      <sz val="11"/>
      <scheme val="minor"/>
    </font>
    <font>
      <name val="微軟正黑體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細明體"/>
      <charset val="136"/>
      <family val="3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細明體"/>
      <family val="2"/>
      <b val="1"/>
      <color theme="1"/>
      <sz val="12"/>
    </font>
    <font>
      <name val="新細明體"/>
      <family val="2"/>
      <b val="1"/>
      <color theme="1"/>
      <sz val="12"/>
    </font>
    <font>
      <name val="新細明體"/>
      <charset val="136"/>
      <family val="1"/>
      <b val="1"/>
      <color theme="1"/>
      <sz val="12"/>
    </font>
    <font>
      <name val="Arial"/>
      <family val="2"/>
      <b val="1"/>
      <color rgb="FFFF0000"/>
      <sz val="12"/>
    </font>
    <font>
      <name val="新細明體"/>
      <charset val="136"/>
      <family val="1"/>
      <b val="1"/>
      <color theme="1"/>
      <sz val="11"/>
      <scheme val="minor"/>
    </font>
    <font>
      <color rgb="00FFFFFF"/>
    </font>
    <font>
      <name val="新細明體"/>
      <family val="2"/>
      <color theme="1"/>
      <sz val="12"/>
      <scheme val="minor"/>
    </font>
  </fonts>
  <fills count="21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  <fill>
      <patternFill patternType="solid">
        <fgColor rgb="FF376092"/>
      </patternFill>
    </fill>
    <fill>
      <patternFill patternType="solid">
        <fgColor rgb="FFFFFFCC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F2DCDB"/>
      </patternFill>
    </fill>
    <fill>
      <patternFill patternType="solid">
        <fgColor rgb="00FCD5B5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DAEEF3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26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7" fillId="0" borderId="0" applyAlignment="1" pivotButton="0" quotePrefix="0" xfId="0">
      <alignment horizontal="left"/>
    </xf>
    <xf numFmtId="0" fontId="8" fillId="5" borderId="14" applyAlignment="1" pivotButton="0" quotePrefix="0" xfId="0">
      <alignment horizontal="center"/>
    </xf>
    <xf numFmtId="164" fontId="9" fillId="0" borderId="15" applyAlignment="1" pivotButton="0" quotePrefix="0" xfId="0">
      <alignment horizontal="right"/>
    </xf>
    <xf numFmtId="164" fontId="10" fillId="0" borderId="16" applyAlignment="1" pivotButton="0" quotePrefix="0" xfId="0">
      <alignment horizontal="left"/>
    </xf>
    <xf numFmtId="164" fontId="10" fillId="0" borderId="17" applyAlignment="1" pivotButton="0" quotePrefix="0" xfId="0">
      <alignment horizontal="left"/>
    </xf>
    <xf numFmtId="164" fontId="11" fillId="0" borderId="18" applyAlignment="1" pivotButton="0" quotePrefix="0" xfId="0">
      <alignment horizontal="left"/>
    </xf>
    <xf numFmtId="164" fontId="7" fillId="0" borderId="17" applyAlignment="1" pivotButton="0" quotePrefix="0" xfId="0">
      <alignment horizontal="left"/>
    </xf>
    <xf numFmtId="164" fontId="7" fillId="0" borderId="18" applyAlignment="1" pivotButton="0" quotePrefix="0" xfId="0">
      <alignment horizontal="center"/>
    </xf>
    <xf numFmtId="0" fontId="12" fillId="0" borderId="20" applyAlignment="1" pivotButton="0" quotePrefix="0" xfId="0">
      <alignment horizontal="right"/>
    </xf>
    <xf numFmtId="0" fontId="12" fillId="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64" fontId="14" fillId="0" borderId="22" applyAlignment="1" pivotButton="0" quotePrefix="0" xfId="0">
      <alignment horizontal="right"/>
    </xf>
    <xf numFmtId="164" fontId="12" fillId="0" borderId="12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5" fontId="14" fillId="7" borderId="24" applyAlignment="1" pivotButton="0" quotePrefix="0" xfId="0">
      <alignment horizontal="left"/>
    </xf>
    <xf numFmtId="165" fontId="12" fillId="0" borderId="16" applyAlignment="1" pivotButton="0" quotePrefix="0" xfId="0">
      <alignment horizontal="center"/>
    </xf>
    <xf numFmtId="165" fontId="12" fillId="0" borderId="17" applyAlignment="1" pivotButton="0" quotePrefix="0" xfId="0">
      <alignment horizontal="center"/>
    </xf>
    <xf numFmtId="165" fontId="14" fillId="7" borderId="25" applyAlignment="1" pivotButton="0" quotePrefix="0" xfId="0">
      <alignment horizontal="left"/>
    </xf>
    <xf numFmtId="165" fontId="12" fillId="0" borderId="12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165" fontId="14" fillId="7" borderId="26" applyAlignment="1" pivotButton="0" quotePrefix="0" xfId="0">
      <alignment horizontal="left"/>
    </xf>
    <xf numFmtId="165" fontId="12" fillId="0" borderId="27" applyAlignment="1" pivotButton="0" quotePrefix="0" xfId="0">
      <alignment horizontal="center"/>
    </xf>
    <xf numFmtId="165" fontId="12" fillId="0" borderId="28" applyAlignment="1" pivotButton="0" quotePrefix="0" xfId="0">
      <alignment horizontal="center"/>
    </xf>
    <xf numFmtId="165" fontId="14" fillId="8" borderId="25" applyAlignment="1" pivotButton="0" quotePrefix="0" xfId="0">
      <alignment horizontal="left"/>
    </xf>
    <xf numFmtId="165" fontId="12" fillId="9" borderId="14" applyAlignment="1" pivotButton="0" quotePrefix="0" xfId="0">
      <alignment horizontal="center"/>
    </xf>
    <xf numFmtId="165" fontId="7" fillId="0" borderId="12" applyAlignment="1" pivotButton="0" quotePrefix="0" xfId="0">
      <alignment horizontal="left"/>
    </xf>
    <xf numFmtId="165" fontId="7" fillId="0" borderId="30" applyAlignment="1" pivotButton="0" quotePrefix="0" xfId="0">
      <alignment horizontal="left"/>
    </xf>
    <xf numFmtId="165" fontId="7" fillId="0" borderId="0" applyAlignment="1" pivotButton="0" quotePrefix="0" xfId="0">
      <alignment horizontal="left"/>
    </xf>
    <xf numFmtId="165" fontId="15" fillId="8" borderId="25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16" fillId="0" borderId="15" applyAlignment="1" pivotButton="0" quotePrefix="0" xfId="0">
      <alignment horizontal="right"/>
    </xf>
    <xf numFmtId="165" fontId="17" fillId="0" borderId="27" applyAlignment="1" pivotButton="0" quotePrefix="0" xfId="0">
      <alignment horizontal="center"/>
    </xf>
    <xf numFmtId="165" fontId="18" fillId="0" borderId="31" applyAlignment="1" pivotButton="0" quotePrefix="0" xfId="0">
      <alignment horizontal="center"/>
    </xf>
    <xf numFmtId="165" fontId="20" fillId="0" borderId="22" applyAlignment="1" pivotButton="0" quotePrefix="0" xfId="0">
      <alignment horizontal="right"/>
    </xf>
    <xf numFmtId="165" fontId="17" fillId="0" borderId="28" applyAlignment="1" pivotButton="0" quotePrefix="0" xfId="0">
      <alignment horizontal="center"/>
    </xf>
    <xf numFmtId="165" fontId="21" fillId="0" borderId="22" applyAlignment="1" pivotButton="0" quotePrefix="0" xfId="0">
      <alignment horizontal="right"/>
    </xf>
    <xf numFmtId="165" fontId="22" fillId="0" borderId="27" applyAlignment="1" pivotButton="0" quotePrefix="0" xfId="0">
      <alignment horizontal="center"/>
    </xf>
    <xf numFmtId="165" fontId="17" fillId="0" borderId="2" applyAlignment="1" pivotButton="0" quotePrefix="0" xfId="0">
      <alignment horizontal="center"/>
    </xf>
    <xf numFmtId="164" fontId="23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left"/>
    </xf>
    <xf numFmtId="164" fontId="7" fillId="10" borderId="18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5" fontId="18" fillId="0" borderId="17" applyAlignment="1" pivotButton="0" quotePrefix="0" xfId="0">
      <alignment horizontal="center"/>
    </xf>
    <xf numFmtId="165" fontId="25" fillId="0" borderId="0" applyAlignment="1" pivotButton="0" quotePrefix="0" xfId="0">
      <alignment horizontal="right"/>
    </xf>
    <xf numFmtId="164" fontId="21" fillId="0" borderId="22" applyAlignment="1" pivotButton="0" quotePrefix="0" xfId="0">
      <alignment horizontal="right"/>
    </xf>
    <xf numFmtId="164" fontId="22" fillId="0" borderId="27" applyAlignment="1" pivotButton="0" quotePrefix="0" xfId="0">
      <alignment horizontal="center"/>
    </xf>
    <xf numFmtId="164" fontId="17" fillId="0" borderId="2" applyAlignment="1" pivotButton="0" quotePrefix="0" xfId="0">
      <alignment horizontal="center"/>
    </xf>
    <xf numFmtId="0" fontId="8" fillId="18" borderId="14" applyAlignment="1" pivotButton="0" quotePrefix="0" xfId="0">
      <alignment horizontal="left"/>
    </xf>
    <xf numFmtId="0" fontId="8" fillId="18" borderId="1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19" borderId="14" applyAlignment="1" pivotButton="0" quotePrefix="0" xfId="0">
      <alignment horizontal="center"/>
    </xf>
    <xf numFmtId="165" fontId="3" fillId="0" borderId="33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65" fontId="3" fillId="0" borderId="34" applyAlignment="1" pivotButton="0" quotePrefix="0" xfId="0">
      <alignment horizontal="left"/>
    </xf>
    <xf numFmtId="165" fontId="3" fillId="0" borderId="34" applyAlignment="1" pivotButton="0" quotePrefix="0" xfId="0">
      <alignment horizontal="right"/>
    </xf>
    <xf numFmtId="165" fontId="3" fillId="0" borderId="34" applyAlignment="1" pivotButton="0" quotePrefix="0" xfId="0">
      <alignment horizontal="center"/>
    </xf>
    <xf numFmtId="167" fontId="3" fillId="20" borderId="14" applyAlignment="1" pivotButton="0" quotePrefix="0" xfId="0">
      <alignment horizontal="center"/>
    </xf>
    <xf numFmtId="165" fontId="3" fillId="0" borderId="35" applyAlignment="1" pivotButton="0" quotePrefix="0" xfId="0">
      <alignment horizontal="left"/>
    </xf>
    <xf numFmtId="165" fontId="3" fillId="0" borderId="35" applyAlignment="1" pivotButton="0" quotePrefix="0" xfId="0">
      <alignment horizontal="right"/>
    </xf>
    <xf numFmtId="167" fontId="3" fillId="0" borderId="35" applyAlignment="1" pivotButton="0" quotePrefix="0" xfId="0">
      <alignment horizontal="right"/>
    </xf>
    <xf numFmtId="167" fontId="3" fillId="0" borderId="35" applyAlignment="1" pivotButton="0" quotePrefix="0" xfId="0">
      <alignment horizontal="left"/>
    </xf>
    <xf numFmtId="165" fontId="27" fillId="0" borderId="0" applyAlignment="1" pivotButton="0" quotePrefix="0" xfId="0">
      <alignment horizontal="center"/>
    </xf>
    <xf numFmtId="165" fontId="3" fillId="0" borderId="33" applyAlignment="1" pivotButton="0" quotePrefix="0" xfId="0">
      <alignment horizontal="left"/>
    </xf>
    <xf numFmtId="165" fontId="3" fillId="0" borderId="33" applyAlignment="1" pivotButton="0" quotePrefix="0" xfId="0">
      <alignment horizontal="right"/>
    </xf>
    <xf numFmtId="165" fontId="3" fillId="6" borderId="36" applyAlignment="1" pivotButton="0" quotePrefix="0" xfId="0">
      <alignment horizontal="center"/>
    </xf>
    <xf numFmtId="168" fontId="3" fillId="9" borderId="14" applyAlignment="1" pivotButton="0" quotePrefix="0" xfId="0">
      <alignment horizontal="left"/>
    </xf>
    <xf numFmtId="169" fontId="3" fillId="9" borderId="14" applyAlignment="1" pivotButton="0" quotePrefix="0" xfId="0">
      <alignment horizontal="left"/>
    </xf>
    <xf numFmtId="164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164" fontId="3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center"/>
    </xf>
    <xf numFmtId="164" fontId="3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164" fontId="5" fillId="2" borderId="1" applyAlignment="1" pivotButton="0" quotePrefix="0" xfId="0">
      <alignment horizontal="center"/>
    </xf>
    <xf numFmtId="164" fontId="4" fillId="3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164" fontId="4" fillId="0" borderId="9" applyAlignment="1" pivotButton="0" quotePrefix="0" xfId="0">
      <alignment horizontal="left"/>
    </xf>
    <xf numFmtId="164" fontId="4" fillId="0" borderId="10" applyAlignment="1" pivotButton="0" quotePrefix="0" xfId="0">
      <alignment horizontal="left"/>
    </xf>
    <xf numFmtId="164" fontId="3" fillId="0" borderId="11" applyAlignment="1" pivotButton="0" quotePrefix="0" xfId="0">
      <alignment horizontal="left"/>
    </xf>
    <xf numFmtId="164" fontId="4" fillId="0" borderId="12" applyAlignment="1" pivotButton="0" quotePrefix="0" xfId="0">
      <alignment horizontal="left" vertical="top"/>
    </xf>
    <xf numFmtId="0" fontId="2" fillId="0" borderId="12" pivotButton="0" quotePrefix="0" xfId="0"/>
    <xf numFmtId="164" fontId="4" fillId="0" borderId="13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164" fontId="4" fillId="0" borderId="11" applyAlignment="1" pivotButton="0" quotePrefix="0" xfId="0">
      <alignment horizontal="left"/>
    </xf>
    <xf numFmtId="164" fontId="4" fillId="0" borderId="4" applyAlignment="1" pivotButton="0" quotePrefix="0" xfId="0">
      <alignment horizontal="left" vertical="top"/>
    </xf>
    <xf numFmtId="164" fontId="4" fillId="0" borderId="4" applyAlignment="1" pivotButton="0" quotePrefix="0" xfId="0">
      <alignment horizontal="center" vertical="top"/>
    </xf>
    <xf numFmtId="0" fontId="2" fillId="0" borderId="4" pivotButton="0" quotePrefix="0" xfId="0"/>
    <xf numFmtId="164" fontId="4" fillId="0" borderId="5" applyAlignment="1" pivotButton="0" quotePrefix="0" xfId="0">
      <alignment horizontal="left" vertical="top"/>
    </xf>
    <xf numFmtId="164" fontId="3" fillId="0" borderId="5" applyAlignment="1" pivotButton="0" quotePrefix="0" xfId="0">
      <alignment horizontal="left" wrapText="1"/>
    </xf>
    <xf numFmtId="164" fontId="6" fillId="0" borderId="0" applyAlignment="1" pivotButton="0" quotePrefix="0" xfId="0">
      <alignment horizontal="left"/>
    </xf>
    <xf numFmtId="164" fontId="4" fillId="0" borderId="5" applyAlignment="1" pivotButton="0" quotePrefix="0" xfId="0">
      <alignment horizontal="right"/>
    </xf>
    <xf numFmtId="164" fontId="7" fillId="0" borderId="19" applyAlignment="1" pivotButton="0" quotePrefix="0" xfId="0">
      <alignment horizontal="left"/>
    </xf>
    <xf numFmtId="0" fontId="12" fillId="0" borderId="21" applyAlignment="1" pivotButton="0" quotePrefix="0" xfId="0">
      <alignment horizontal="center"/>
    </xf>
    <xf numFmtId="164" fontId="12" fillId="6" borderId="23" applyAlignment="1" pivotButton="0" quotePrefix="0" xfId="0">
      <alignment horizontal="center"/>
    </xf>
    <xf numFmtId="165" fontId="12" fillId="0" borderId="19" applyAlignment="1" pivotButton="0" quotePrefix="0" xfId="0">
      <alignment horizontal="center"/>
    </xf>
    <xf numFmtId="165" fontId="12" fillId="0" borderId="21" applyAlignment="1" pivotButton="0" quotePrefix="0" xfId="0">
      <alignment horizontal="center"/>
    </xf>
    <xf numFmtId="165" fontId="12" fillId="0" borderId="29" applyAlignment="1" pivotButton="0" quotePrefix="0" xfId="0">
      <alignment horizontal="center"/>
    </xf>
    <xf numFmtId="165" fontId="19" fillId="0" borderId="0" applyAlignment="1" pivotButton="0" quotePrefix="0" xfId="0">
      <alignment horizontal="left"/>
    </xf>
    <xf numFmtId="165" fontId="19" fillId="0" borderId="0" applyAlignment="1" pivotButton="0" quotePrefix="0" xfId="0">
      <alignment horizontal="right"/>
    </xf>
    <xf numFmtId="164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165" fontId="17" fillId="0" borderId="29" applyAlignment="1" pivotButton="0" quotePrefix="0" xfId="0">
      <alignment horizontal="center"/>
    </xf>
    <xf numFmtId="164" fontId="17" fillId="0" borderId="3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cols>
    <col width="33.140625" customWidth="1" min="2" max="2"/>
    <col width="20.42578125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/>
    <row r="2"/>
    <row r="3"/>
    <row r="4">
      <c r="C4" s="1" t="inlineStr">
        <is>
          <t>年份</t>
        </is>
      </c>
      <c r="D4" s="1" t="n">
        <v>2023</v>
      </c>
      <c r="E4" s="1" t="n">
        <v>2024</v>
      </c>
      <c r="F4" s="1" t="n">
        <v>2025</v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  <c r="L4" s="1" t="n">
        <v>2031</v>
      </c>
      <c r="M4" s="1" t="n">
        <v>2032</v>
      </c>
      <c r="N4" s="1" t="n">
        <v>2033</v>
      </c>
      <c r="O4" s="1" t="n">
        <v>2034</v>
      </c>
      <c r="P4" s="1" t="n">
        <v>2035</v>
      </c>
      <c r="Q4" s="1" t="n">
        <v>2036</v>
      </c>
      <c r="R4" s="1" t="n">
        <v>2037</v>
      </c>
      <c r="S4" s="1" t="n">
        <v>2038</v>
      </c>
      <c r="T4" s="1" t="n">
        <v>2039</v>
      </c>
      <c r="U4" s="1" t="n">
        <v>2040</v>
      </c>
      <c r="V4" s="1" t="n">
        <v>2041</v>
      </c>
      <c r="W4" s="1" t="n">
        <v>2042</v>
      </c>
    </row>
    <row r="5">
      <c r="C5" t="inlineStr">
        <is>
          <t>預估發電度數</t>
        </is>
      </c>
    </row>
    <row r="6">
      <c r="B6" t="inlineStr">
        <is>
          <t>表 62</t>
        </is>
      </c>
      <c r="D6">
        <f>ABS('表 62_滾算紀錄3'!D40)</f>
        <v/>
      </c>
      <c r="E6">
        <f>ABS('表 62_滾算紀錄3'!E40)</f>
        <v/>
      </c>
      <c r="F6">
        <f>ABS('表 62_滾算紀錄3'!F40)</f>
        <v/>
      </c>
      <c r="G6">
        <f>ABS('表 62_滾算紀錄3'!G40)</f>
        <v/>
      </c>
      <c r="H6">
        <f>ABS('表 62_滾算紀錄3'!H40)</f>
        <v/>
      </c>
      <c r="I6">
        <f>ABS('表 62_滾算紀錄3'!I40)</f>
        <v/>
      </c>
      <c r="J6">
        <f>ABS('表 62_滾算紀錄3'!J40)</f>
        <v/>
      </c>
      <c r="K6">
        <f>ABS('表 62_滾算紀錄3'!K40)</f>
        <v/>
      </c>
      <c r="L6">
        <f>ABS('表 62_滾算紀錄3'!L40)</f>
        <v/>
      </c>
      <c r="M6">
        <f>ABS('表 62_滾算紀錄3'!M40)</f>
        <v/>
      </c>
      <c r="N6">
        <f>ABS('表 62_滾算紀錄3'!N40)</f>
        <v/>
      </c>
      <c r="O6">
        <f>ABS('表 62_滾算紀錄3'!O40)</f>
        <v/>
      </c>
      <c r="P6">
        <f>ABS('表 62_滾算紀錄3'!P40)</f>
        <v/>
      </c>
      <c r="Q6">
        <f>ABS('表 62_滾算紀錄3'!Q40)</f>
        <v/>
      </c>
      <c r="R6">
        <f>ABS('表 62_滾算紀錄3'!R40)</f>
        <v/>
      </c>
      <c r="S6">
        <f>ABS('表 62_滾算紀錄3'!S40)</f>
        <v/>
      </c>
      <c r="T6">
        <f>ABS('表 62_滾算紀錄3'!T40)</f>
        <v/>
      </c>
      <c r="U6">
        <f>ABS('表 62_滾算紀錄3'!U40)</f>
        <v/>
      </c>
      <c r="V6">
        <f>ABS('表 62_滾算紀錄3'!V40)</f>
        <v/>
      </c>
      <c r="W6">
        <f>ABS('表 62_滾算紀錄3'!W40)</f>
        <v/>
      </c>
    </row>
    <row r="7">
      <c r="B7" t="inlineStr">
        <is>
          <t>表 62</t>
        </is>
      </c>
      <c r="D7">
        <f>ABS('表 62_滾算紀錄2'!D40)</f>
        <v/>
      </c>
      <c r="E7">
        <f>ABS('表 62_滾算紀錄2'!E40)</f>
        <v/>
      </c>
      <c r="F7">
        <f>ABS('表 62_滾算紀錄2'!F40)</f>
        <v/>
      </c>
      <c r="G7">
        <f>ABS('表 62_滾算紀錄2'!G40)</f>
        <v/>
      </c>
      <c r="H7">
        <f>ABS('表 62_滾算紀錄2'!H40)</f>
        <v/>
      </c>
      <c r="I7">
        <f>ABS('表 62_滾算紀錄2'!I40)</f>
        <v/>
      </c>
      <c r="J7">
        <f>ABS('表 62_滾算紀錄2'!J40)</f>
        <v/>
      </c>
      <c r="K7">
        <f>ABS('表 62_滾算紀錄2'!K40)</f>
        <v/>
      </c>
      <c r="L7">
        <f>ABS('表 62_滾算紀錄2'!L40)</f>
        <v/>
      </c>
      <c r="M7">
        <f>ABS('表 62_滾算紀錄2'!M40)</f>
        <v/>
      </c>
      <c r="N7">
        <f>ABS('表 62_滾算紀錄2'!N40)</f>
        <v/>
      </c>
      <c r="O7">
        <f>ABS('表 62_滾算紀錄2'!O40)</f>
        <v/>
      </c>
      <c r="P7">
        <f>ABS('表 62_滾算紀錄2'!P40)</f>
        <v/>
      </c>
      <c r="Q7">
        <f>ABS('表 62_滾算紀錄2'!Q40)</f>
        <v/>
      </c>
      <c r="R7">
        <f>ABS('表 62_滾算紀錄2'!R40)</f>
        <v/>
      </c>
      <c r="S7">
        <f>ABS('表 62_滾算紀錄2'!S40)</f>
        <v/>
      </c>
      <c r="T7">
        <f>ABS('表 62_滾算紀錄2'!T40)</f>
        <v/>
      </c>
      <c r="U7">
        <f>ABS('表 62_滾算紀錄2'!U40)</f>
        <v/>
      </c>
      <c r="V7">
        <f>ABS('表 62_滾算紀錄2'!V40)</f>
        <v/>
      </c>
      <c r="W7">
        <f>ABS('表 62_滾算紀錄2'!W40)</f>
        <v/>
      </c>
    </row>
    <row r="8">
      <c r="B8" t="inlineStr">
        <is>
          <t>表 62</t>
        </is>
      </c>
      <c r="D8">
        <f>ABS('表 62_滾算紀錄4'!D40)</f>
        <v/>
      </c>
      <c r="E8">
        <f>ABS('表 62_滾算紀錄4'!E40)</f>
        <v/>
      </c>
      <c r="F8">
        <f>ABS('表 62_滾算紀錄4'!F40)</f>
        <v/>
      </c>
      <c r="G8">
        <f>ABS('表 62_滾算紀錄4'!G40)</f>
        <v/>
      </c>
      <c r="H8">
        <f>ABS('表 62_滾算紀錄4'!H40)</f>
        <v/>
      </c>
      <c r="I8">
        <f>ABS('表 62_滾算紀錄4'!I40)</f>
        <v/>
      </c>
      <c r="J8">
        <f>ABS('表 62_滾算紀錄4'!J40)</f>
        <v/>
      </c>
      <c r="K8">
        <f>ABS('表 62_滾算紀錄4'!K40)</f>
        <v/>
      </c>
      <c r="L8">
        <f>ABS('表 62_滾算紀錄4'!L40)</f>
        <v/>
      </c>
      <c r="M8">
        <f>ABS('表 62_滾算紀錄4'!M40)</f>
        <v/>
      </c>
      <c r="N8">
        <f>ABS('表 62_滾算紀錄4'!N40)</f>
        <v/>
      </c>
      <c r="O8">
        <f>ABS('表 62_滾算紀錄4'!O40)</f>
        <v/>
      </c>
      <c r="P8">
        <f>ABS('表 62_滾算紀錄4'!P40)</f>
        <v/>
      </c>
      <c r="Q8">
        <f>ABS('表 62_滾算紀錄4'!Q40)</f>
        <v/>
      </c>
      <c r="R8">
        <f>ABS('表 62_滾算紀錄4'!R40)</f>
        <v/>
      </c>
      <c r="S8">
        <f>ABS('表 62_滾算紀錄4'!S40)</f>
        <v/>
      </c>
      <c r="T8">
        <f>ABS('表 62_滾算紀錄4'!T40)</f>
        <v/>
      </c>
      <c r="U8">
        <f>ABS('表 62_滾算紀錄4'!U40)</f>
        <v/>
      </c>
      <c r="V8">
        <f>ABS('表 62_滾算紀錄4'!V40)</f>
        <v/>
      </c>
      <c r="W8">
        <f>ABS('表 62_滾算紀錄4'!W40)</f>
        <v/>
      </c>
    </row>
    <row r="9">
      <c r="B9" t="inlineStr">
        <is>
          <t>表 62</t>
        </is>
      </c>
      <c r="D9">
        <f>ABS('表 62_滾算紀錄6'!D40)</f>
        <v/>
      </c>
      <c r="E9">
        <f>ABS('表 62_滾算紀錄6'!E40)</f>
        <v/>
      </c>
      <c r="F9">
        <f>ABS('表 62_滾算紀錄6'!F40)</f>
        <v/>
      </c>
      <c r="G9">
        <f>ABS('表 62_滾算紀錄6'!G40)</f>
        <v/>
      </c>
      <c r="H9">
        <f>ABS('表 62_滾算紀錄6'!H40)</f>
        <v/>
      </c>
      <c r="I9">
        <f>ABS('表 62_滾算紀錄6'!I40)</f>
        <v/>
      </c>
      <c r="J9">
        <f>ABS('表 62_滾算紀錄6'!J40)</f>
        <v/>
      </c>
      <c r="K9">
        <f>ABS('表 62_滾算紀錄6'!K40)</f>
        <v/>
      </c>
      <c r="L9">
        <f>ABS('表 62_滾算紀錄6'!L40)</f>
        <v/>
      </c>
      <c r="M9">
        <f>ABS('表 62_滾算紀錄6'!M40)</f>
        <v/>
      </c>
      <c r="N9">
        <f>ABS('表 62_滾算紀錄6'!N40)</f>
        <v/>
      </c>
      <c r="O9">
        <f>ABS('表 62_滾算紀錄6'!O40)</f>
        <v/>
      </c>
      <c r="P9">
        <f>ABS('表 62_滾算紀錄6'!P40)</f>
        <v/>
      </c>
      <c r="Q9">
        <f>ABS('表 62_滾算紀錄6'!Q40)</f>
        <v/>
      </c>
      <c r="R9">
        <f>ABS('表 62_滾算紀錄6'!R40)</f>
        <v/>
      </c>
      <c r="S9">
        <f>ABS('表 62_滾算紀錄6'!S40)</f>
        <v/>
      </c>
      <c r="T9">
        <f>ABS('表 62_滾算紀錄6'!T40)</f>
        <v/>
      </c>
      <c r="U9">
        <f>ABS('表 62_滾算紀錄6'!U40)</f>
        <v/>
      </c>
      <c r="V9">
        <f>ABS('表 62_滾算紀錄6'!V40)</f>
        <v/>
      </c>
      <c r="W9">
        <f>ABS('表 62_滾算紀錄6'!W40)</f>
        <v/>
      </c>
    </row>
    <row r="10">
      <c r="C10" s="2" t="inlineStr">
        <is>
          <t>預估發電度數/年總計</t>
        </is>
      </c>
      <c r="D10" s="2">
        <f>SUM(D6:D9)</f>
        <v/>
      </c>
      <c r="E10" s="2">
        <f>SUM(E6:E9)</f>
        <v/>
      </c>
      <c r="F10" s="2">
        <f>SUM(F6:F9)</f>
        <v/>
      </c>
      <c r="G10" s="2">
        <f>SUM(G6:G9)</f>
        <v/>
      </c>
      <c r="H10" s="2">
        <f>SUM(H6:H9)</f>
        <v/>
      </c>
      <c r="I10" s="2">
        <f>SUM(I6:I9)</f>
        <v/>
      </c>
      <c r="J10" s="2">
        <f>SUM(J6:J9)</f>
        <v/>
      </c>
      <c r="K10" s="2">
        <f>SUM(K6:K9)</f>
        <v/>
      </c>
      <c r="L10" s="2">
        <f>SUM(L6:L9)</f>
        <v/>
      </c>
      <c r="M10" s="2">
        <f>SUM(M6:M9)</f>
        <v/>
      </c>
      <c r="N10" s="2">
        <f>SUM(N6:N9)</f>
        <v/>
      </c>
      <c r="O10" s="2">
        <f>SUM(O6:O9)</f>
        <v/>
      </c>
      <c r="P10" s="2">
        <f>SUM(P6:P9)</f>
        <v/>
      </c>
      <c r="Q10" s="2">
        <f>SUM(Q6:Q9)</f>
        <v/>
      </c>
      <c r="R10" s="2">
        <f>SUM(R6:R9)</f>
        <v/>
      </c>
      <c r="S10" s="2">
        <f>SUM(S6:S9)</f>
        <v/>
      </c>
      <c r="T10" s="2">
        <f>SUM(T6:T9)</f>
        <v/>
      </c>
      <c r="U10" s="2">
        <f>SUM(U6:U9)</f>
        <v/>
      </c>
      <c r="V10" s="2">
        <f>SUM(V6:V9)</f>
        <v/>
      </c>
      <c r="W10" s="2">
        <f>SUM(W6:W9)</f>
        <v/>
      </c>
    </row>
    <row r="11">
      <c r="C11" s="1" t="inlineStr">
        <is>
          <t>預估收入</t>
        </is>
      </c>
      <c r="D11" s="1" t="n">
        <v>2023</v>
      </c>
      <c r="E11" s="1" t="n">
        <v>2024</v>
      </c>
      <c r="F11" s="1" t="n">
        <v>2025</v>
      </c>
      <c r="G11" s="1" t="n">
        <v>2026</v>
      </c>
      <c r="H11" s="1" t="n">
        <v>2027</v>
      </c>
      <c r="I11" s="1" t="n">
        <v>2028</v>
      </c>
      <c r="J11" s="1" t="n">
        <v>2029</v>
      </c>
      <c r="K11" s="1" t="n">
        <v>2030</v>
      </c>
      <c r="L11" s="1" t="n">
        <v>2031</v>
      </c>
      <c r="M11" s="1" t="n">
        <v>2032</v>
      </c>
      <c r="N11" s="1" t="n">
        <v>2033</v>
      </c>
      <c r="O11" s="1" t="n">
        <v>2034</v>
      </c>
      <c r="P11" s="1" t="n">
        <v>2035</v>
      </c>
      <c r="Q11" s="1" t="n">
        <v>2036</v>
      </c>
      <c r="R11" s="1" t="n">
        <v>2037</v>
      </c>
      <c r="S11" s="1" t="n">
        <v>2038</v>
      </c>
      <c r="T11" s="1" t="n">
        <v>2039</v>
      </c>
      <c r="U11" s="1" t="n">
        <v>2040</v>
      </c>
      <c r="V11" s="1" t="n">
        <v>2041</v>
      </c>
      <c r="W11" s="1" t="n">
        <v>2042</v>
      </c>
    </row>
    <row r="12">
      <c r="B12" t="inlineStr">
        <is>
          <t>表 62</t>
        </is>
      </c>
      <c r="D12">
        <f>ABS('表 62_滾算紀錄3'!D41)</f>
        <v/>
      </c>
      <c r="E12">
        <f>ABS('表 62_滾算紀錄3'!E41)</f>
        <v/>
      </c>
      <c r="F12">
        <f>ABS('表 62_滾算紀錄3'!F41)</f>
        <v/>
      </c>
      <c r="G12">
        <f>ABS('表 62_滾算紀錄3'!G41)</f>
        <v/>
      </c>
      <c r="H12">
        <f>ABS('表 62_滾算紀錄3'!H41)</f>
        <v/>
      </c>
      <c r="I12">
        <f>ABS('表 62_滾算紀錄3'!I41)</f>
        <v/>
      </c>
      <c r="J12">
        <f>ABS('表 62_滾算紀錄3'!J41)</f>
        <v/>
      </c>
      <c r="K12">
        <f>ABS('表 62_滾算紀錄3'!K41)</f>
        <v/>
      </c>
      <c r="L12">
        <f>ABS('表 62_滾算紀錄3'!L41)</f>
        <v/>
      </c>
      <c r="M12">
        <f>ABS('表 62_滾算紀錄3'!M41)</f>
        <v/>
      </c>
      <c r="N12">
        <f>ABS('表 62_滾算紀錄3'!N41)</f>
        <v/>
      </c>
      <c r="O12">
        <f>ABS('表 62_滾算紀錄3'!O41)</f>
        <v/>
      </c>
      <c r="P12">
        <f>ABS('表 62_滾算紀錄3'!P41)</f>
        <v/>
      </c>
      <c r="Q12">
        <f>ABS('表 62_滾算紀錄3'!Q41)</f>
        <v/>
      </c>
      <c r="R12">
        <f>ABS('表 62_滾算紀錄3'!R41)</f>
        <v/>
      </c>
      <c r="S12">
        <f>ABS('表 62_滾算紀錄3'!S41)</f>
        <v/>
      </c>
      <c r="T12">
        <f>ABS('表 62_滾算紀錄3'!T41)</f>
        <v/>
      </c>
      <c r="U12">
        <f>ABS('表 62_滾算紀錄3'!U41)</f>
        <v/>
      </c>
      <c r="V12">
        <f>ABS('表 62_滾算紀錄3'!V41)</f>
        <v/>
      </c>
      <c r="W12">
        <f>ABS('表 62_滾算紀錄3'!W41)</f>
        <v/>
      </c>
    </row>
    <row r="13">
      <c r="B13" t="inlineStr">
        <is>
          <t>表 62</t>
        </is>
      </c>
      <c r="D13">
        <f>ABS('表 62_滾算紀錄2'!D41)</f>
        <v/>
      </c>
      <c r="E13">
        <f>ABS('表 62_滾算紀錄2'!E41)</f>
        <v/>
      </c>
      <c r="F13">
        <f>ABS('表 62_滾算紀錄2'!F41)</f>
        <v/>
      </c>
      <c r="G13">
        <f>ABS('表 62_滾算紀錄2'!G41)</f>
        <v/>
      </c>
      <c r="H13">
        <f>ABS('表 62_滾算紀錄2'!H41)</f>
        <v/>
      </c>
      <c r="I13">
        <f>ABS('表 62_滾算紀錄2'!I41)</f>
        <v/>
      </c>
      <c r="J13">
        <f>ABS('表 62_滾算紀錄2'!J41)</f>
        <v/>
      </c>
      <c r="K13">
        <f>ABS('表 62_滾算紀錄2'!K41)</f>
        <v/>
      </c>
      <c r="L13">
        <f>ABS('表 62_滾算紀錄2'!L41)</f>
        <v/>
      </c>
      <c r="M13">
        <f>ABS('表 62_滾算紀錄2'!M41)</f>
        <v/>
      </c>
      <c r="N13">
        <f>ABS('表 62_滾算紀錄2'!N41)</f>
        <v/>
      </c>
      <c r="O13">
        <f>ABS('表 62_滾算紀錄2'!O41)</f>
        <v/>
      </c>
      <c r="P13">
        <f>ABS('表 62_滾算紀錄2'!P41)</f>
        <v/>
      </c>
      <c r="Q13">
        <f>ABS('表 62_滾算紀錄2'!Q41)</f>
        <v/>
      </c>
      <c r="R13">
        <f>ABS('表 62_滾算紀錄2'!R41)</f>
        <v/>
      </c>
      <c r="S13">
        <f>ABS('表 62_滾算紀錄2'!S41)</f>
        <v/>
      </c>
      <c r="T13">
        <f>ABS('表 62_滾算紀錄2'!T41)</f>
        <v/>
      </c>
      <c r="U13">
        <f>ABS('表 62_滾算紀錄2'!U41)</f>
        <v/>
      </c>
      <c r="V13">
        <f>ABS('表 62_滾算紀錄2'!V41)</f>
        <v/>
      </c>
      <c r="W13">
        <f>ABS('表 62_滾算紀錄2'!W41)</f>
        <v/>
      </c>
    </row>
    <row r="14">
      <c r="B14" t="inlineStr">
        <is>
          <t>表 62</t>
        </is>
      </c>
      <c r="D14">
        <f>ABS('表 62_滾算紀錄4'!D41)</f>
        <v/>
      </c>
      <c r="E14">
        <f>ABS('表 62_滾算紀錄4'!E41)</f>
        <v/>
      </c>
      <c r="F14">
        <f>ABS('表 62_滾算紀錄4'!F41)</f>
        <v/>
      </c>
      <c r="G14">
        <f>ABS('表 62_滾算紀錄4'!G41)</f>
        <v/>
      </c>
      <c r="H14">
        <f>ABS('表 62_滾算紀錄4'!H41)</f>
        <v/>
      </c>
      <c r="I14">
        <f>ABS('表 62_滾算紀錄4'!I41)</f>
        <v/>
      </c>
      <c r="J14">
        <f>ABS('表 62_滾算紀錄4'!J41)</f>
        <v/>
      </c>
      <c r="K14">
        <f>ABS('表 62_滾算紀錄4'!K41)</f>
        <v/>
      </c>
      <c r="L14">
        <f>ABS('表 62_滾算紀錄4'!L41)</f>
        <v/>
      </c>
      <c r="M14">
        <f>ABS('表 62_滾算紀錄4'!M41)</f>
        <v/>
      </c>
      <c r="N14">
        <f>ABS('表 62_滾算紀錄4'!N41)</f>
        <v/>
      </c>
      <c r="O14">
        <f>ABS('表 62_滾算紀錄4'!O41)</f>
        <v/>
      </c>
      <c r="P14">
        <f>ABS('表 62_滾算紀錄4'!P41)</f>
        <v/>
      </c>
      <c r="Q14">
        <f>ABS('表 62_滾算紀錄4'!Q41)</f>
        <v/>
      </c>
      <c r="R14">
        <f>ABS('表 62_滾算紀錄4'!R41)</f>
        <v/>
      </c>
      <c r="S14">
        <f>ABS('表 62_滾算紀錄4'!S41)</f>
        <v/>
      </c>
      <c r="T14">
        <f>ABS('表 62_滾算紀錄4'!T41)</f>
        <v/>
      </c>
      <c r="U14">
        <f>ABS('表 62_滾算紀錄4'!U41)</f>
        <v/>
      </c>
      <c r="V14">
        <f>ABS('表 62_滾算紀錄4'!V41)</f>
        <v/>
      </c>
      <c r="W14">
        <f>ABS('表 62_滾算紀錄4'!W41)</f>
        <v/>
      </c>
    </row>
    <row r="15">
      <c r="B15" t="inlineStr">
        <is>
          <t>表 62</t>
        </is>
      </c>
      <c r="D15">
        <f>ABS('表 62_滾算紀錄6'!D41)</f>
        <v/>
      </c>
      <c r="E15">
        <f>ABS('表 62_滾算紀錄6'!E41)</f>
        <v/>
      </c>
      <c r="F15">
        <f>ABS('表 62_滾算紀錄6'!F41)</f>
        <v/>
      </c>
      <c r="G15">
        <f>ABS('表 62_滾算紀錄6'!G41)</f>
        <v/>
      </c>
      <c r="H15">
        <f>ABS('表 62_滾算紀錄6'!H41)</f>
        <v/>
      </c>
      <c r="I15">
        <f>ABS('表 62_滾算紀錄6'!I41)</f>
        <v/>
      </c>
      <c r="J15">
        <f>ABS('表 62_滾算紀錄6'!J41)</f>
        <v/>
      </c>
      <c r="K15">
        <f>ABS('表 62_滾算紀錄6'!K41)</f>
        <v/>
      </c>
      <c r="L15">
        <f>ABS('表 62_滾算紀錄6'!L41)</f>
        <v/>
      </c>
      <c r="M15">
        <f>ABS('表 62_滾算紀錄6'!M41)</f>
        <v/>
      </c>
      <c r="N15">
        <f>ABS('表 62_滾算紀錄6'!N41)</f>
        <v/>
      </c>
      <c r="O15">
        <f>ABS('表 62_滾算紀錄6'!O41)</f>
        <v/>
      </c>
      <c r="P15">
        <f>ABS('表 62_滾算紀錄6'!P41)</f>
        <v/>
      </c>
      <c r="Q15">
        <f>ABS('表 62_滾算紀錄6'!Q41)</f>
        <v/>
      </c>
      <c r="R15">
        <f>ABS('表 62_滾算紀錄6'!R41)</f>
        <v/>
      </c>
      <c r="S15">
        <f>ABS('表 62_滾算紀錄6'!S41)</f>
        <v/>
      </c>
      <c r="T15">
        <f>ABS('表 62_滾算紀錄6'!T41)</f>
        <v/>
      </c>
      <c r="U15">
        <f>ABS('表 62_滾算紀錄6'!U41)</f>
        <v/>
      </c>
      <c r="V15">
        <f>ABS('表 62_滾算紀錄6'!V41)</f>
        <v/>
      </c>
      <c r="W15">
        <f>ABS('表 62_滾算紀錄6'!W41)</f>
        <v/>
      </c>
    </row>
    <row r="16">
      <c r="C16" s="3" t="inlineStr">
        <is>
          <t>預估收入/年總計</t>
        </is>
      </c>
      <c r="D16" s="3">
        <f>SUM(D12:D15)</f>
        <v/>
      </c>
      <c r="E16" s="3">
        <f>SUM(E12:E15)</f>
        <v/>
      </c>
      <c r="F16" s="3">
        <f>SUM(F12:F15)</f>
        <v/>
      </c>
      <c r="G16" s="3">
        <f>SUM(G12:G15)</f>
        <v/>
      </c>
      <c r="H16" s="3">
        <f>SUM(H12:H15)</f>
        <v/>
      </c>
      <c r="I16" s="3">
        <f>SUM(I12:I15)</f>
        <v/>
      </c>
      <c r="J16" s="3">
        <f>SUM(J12:J15)</f>
        <v/>
      </c>
      <c r="K16" s="3">
        <f>SUM(K12:K15)</f>
        <v/>
      </c>
      <c r="L16" s="3">
        <f>SUM(L12:L15)</f>
        <v/>
      </c>
      <c r="M16" s="3">
        <f>SUM(M12:M15)</f>
        <v/>
      </c>
      <c r="N16" s="3">
        <f>SUM(N12:N15)</f>
        <v/>
      </c>
      <c r="O16" s="3">
        <f>SUM(O12:O15)</f>
        <v/>
      </c>
      <c r="P16" s="3">
        <f>SUM(P12:P15)</f>
        <v/>
      </c>
      <c r="Q16" s="3">
        <f>SUM(Q12:Q15)</f>
        <v/>
      </c>
      <c r="R16" s="3">
        <f>SUM(R12:R15)</f>
        <v/>
      </c>
      <c r="S16" s="3">
        <f>SUM(S12:S15)</f>
        <v/>
      </c>
      <c r="T16" s="3">
        <f>SUM(T12:T15)</f>
        <v/>
      </c>
      <c r="U16" s="3">
        <f>SUM(U12:U15)</f>
        <v/>
      </c>
      <c r="V16" s="3">
        <f>SUM(V12:V15)</f>
        <v/>
      </c>
      <c r="W16" s="3">
        <f>SUM(W12:W15)</f>
        <v/>
      </c>
    </row>
    <row r="17">
      <c r="C17" s="1" t="inlineStr">
        <is>
          <t>租金</t>
        </is>
      </c>
      <c r="D17" s="1" t="n">
        <v>2023</v>
      </c>
      <c r="E17" s="1" t="n">
        <v>2024</v>
      </c>
      <c r="F17" s="1" t="n">
        <v>2025</v>
      </c>
      <c r="G17" s="1" t="n">
        <v>2026</v>
      </c>
      <c r="H17" s="1" t="n">
        <v>2027</v>
      </c>
      <c r="I17" s="1" t="n">
        <v>2028</v>
      </c>
      <c r="J17" s="1" t="n">
        <v>2029</v>
      </c>
      <c r="K17" s="1" t="n">
        <v>2030</v>
      </c>
      <c r="L17" s="1" t="n">
        <v>2031</v>
      </c>
      <c r="M17" s="1" t="n">
        <v>2032</v>
      </c>
      <c r="N17" s="1" t="n">
        <v>2033</v>
      </c>
      <c r="O17" s="1" t="n">
        <v>2034</v>
      </c>
      <c r="P17" s="1" t="n">
        <v>2035</v>
      </c>
      <c r="Q17" s="1" t="n">
        <v>2036</v>
      </c>
      <c r="R17" s="1" t="n">
        <v>2037</v>
      </c>
      <c r="S17" s="1" t="n">
        <v>2038</v>
      </c>
      <c r="T17" s="1" t="n">
        <v>2039</v>
      </c>
      <c r="U17" s="1" t="n">
        <v>2040</v>
      </c>
      <c r="V17" s="1" t="n">
        <v>2041</v>
      </c>
      <c r="W17" s="1" t="n">
        <v>2042</v>
      </c>
    </row>
    <row r="18">
      <c r="B18" t="inlineStr">
        <is>
          <t>表 62</t>
        </is>
      </c>
      <c r="D18">
        <f>ABS('表 62_滾算紀錄3'!D45)</f>
        <v/>
      </c>
      <c r="E18">
        <f>ABS('表 62_滾算紀錄3'!E45)</f>
        <v/>
      </c>
      <c r="F18">
        <f>ABS('表 62_滾算紀錄3'!F45)</f>
        <v/>
      </c>
      <c r="G18">
        <f>ABS('表 62_滾算紀錄3'!G45)</f>
        <v/>
      </c>
      <c r="H18">
        <f>ABS('表 62_滾算紀錄3'!H45)</f>
        <v/>
      </c>
      <c r="I18">
        <f>ABS('表 62_滾算紀錄3'!I45)</f>
        <v/>
      </c>
      <c r="J18">
        <f>ABS('表 62_滾算紀錄3'!J45)</f>
        <v/>
      </c>
      <c r="K18">
        <f>ABS('表 62_滾算紀錄3'!K45)</f>
        <v/>
      </c>
      <c r="L18">
        <f>ABS('表 62_滾算紀錄3'!L45)</f>
        <v/>
      </c>
      <c r="M18">
        <f>ABS('表 62_滾算紀錄3'!M45)</f>
        <v/>
      </c>
      <c r="N18">
        <f>ABS('表 62_滾算紀錄3'!N45)</f>
        <v/>
      </c>
      <c r="O18">
        <f>ABS('表 62_滾算紀錄3'!O45)</f>
        <v/>
      </c>
      <c r="P18">
        <f>ABS('表 62_滾算紀錄3'!P45)</f>
        <v/>
      </c>
      <c r="Q18">
        <f>ABS('表 62_滾算紀錄3'!Q45)</f>
        <v/>
      </c>
      <c r="R18">
        <f>ABS('表 62_滾算紀錄3'!R45)</f>
        <v/>
      </c>
      <c r="S18">
        <f>ABS('表 62_滾算紀錄3'!S45)</f>
        <v/>
      </c>
      <c r="T18">
        <f>ABS('表 62_滾算紀錄3'!T45)</f>
        <v/>
      </c>
      <c r="U18">
        <f>ABS('表 62_滾算紀錄3'!U45)</f>
        <v/>
      </c>
      <c r="V18">
        <f>ABS('表 62_滾算紀錄3'!V45)</f>
        <v/>
      </c>
      <c r="W18">
        <f>ABS('表 62_滾算紀錄3'!W45)</f>
        <v/>
      </c>
    </row>
    <row r="19">
      <c r="B19" t="inlineStr">
        <is>
          <t>表 62</t>
        </is>
      </c>
      <c r="D19">
        <f>ABS('表 62_滾算紀錄2'!D45)</f>
        <v/>
      </c>
      <c r="E19">
        <f>ABS('表 62_滾算紀錄2'!E45)</f>
        <v/>
      </c>
      <c r="F19">
        <f>ABS('表 62_滾算紀錄2'!F45)</f>
        <v/>
      </c>
      <c r="G19">
        <f>ABS('表 62_滾算紀錄2'!G45)</f>
        <v/>
      </c>
      <c r="H19">
        <f>ABS('表 62_滾算紀錄2'!H45)</f>
        <v/>
      </c>
      <c r="I19">
        <f>ABS('表 62_滾算紀錄2'!I45)</f>
        <v/>
      </c>
      <c r="J19">
        <f>ABS('表 62_滾算紀錄2'!J45)</f>
        <v/>
      </c>
      <c r="K19">
        <f>ABS('表 62_滾算紀錄2'!K45)</f>
        <v/>
      </c>
      <c r="L19">
        <f>ABS('表 62_滾算紀錄2'!L45)</f>
        <v/>
      </c>
      <c r="M19">
        <f>ABS('表 62_滾算紀錄2'!M45)</f>
        <v/>
      </c>
      <c r="N19">
        <f>ABS('表 62_滾算紀錄2'!N45)</f>
        <v/>
      </c>
      <c r="O19">
        <f>ABS('表 62_滾算紀錄2'!O45)</f>
        <v/>
      </c>
      <c r="P19">
        <f>ABS('表 62_滾算紀錄2'!P45)</f>
        <v/>
      </c>
      <c r="Q19">
        <f>ABS('表 62_滾算紀錄2'!Q45)</f>
        <v/>
      </c>
      <c r="R19">
        <f>ABS('表 62_滾算紀錄2'!R45)</f>
        <v/>
      </c>
      <c r="S19">
        <f>ABS('表 62_滾算紀錄2'!S45)</f>
        <v/>
      </c>
      <c r="T19">
        <f>ABS('表 62_滾算紀錄2'!T45)</f>
        <v/>
      </c>
      <c r="U19">
        <f>ABS('表 62_滾算紀錄2'!U45)</f>
        <v/>
      </c>
      <c r="V19">
        <f>ABS('表 62_滾算紀錄2'!V45)</f>
        <v/>
      </c>
      <c r="W19">
        <f>ABS('表 62_滾算紀錄2'!W45)</f>
        <v/>
      </c>
    </row>
    <row r="20">
      <c r="B20" t="inlineStr">
        <is>
          <t>表 62</t>
        </is>
      </c>
      <c r="D20">
        <f>ABS('表 62_滾算紀錄4'!D45)</f>
        <v/>
      </c>
      <c r="E20">
        <f>ABS('表 62_滾算紀錄4'!E45)</f>
        <v/>
      </c>
      <c r="F20">
        <f>ABS('表 62_滾算紀錄4'!F45)</f>
        <v/>
      </c>
      <c r="G20">
        <f>ABS('表 62_滾算紀錄4'!G45)</f>
        <v/>
      </c>
      <c r="H20">
        <f>ABS('表 62_滾算紀錄4'!H45)</f>
        <v/>
      </c>
      <c r="I20">
        <f>ABS('表 62_滾算紀錄4'!I45)</f>
        <v/>
      </c>
      <c r="J20">
        <f>ABS('表 62_滾算紀錄4'!J45)</f>
        <v/>
      </c>
      <c r="K20">
        <f>ABS('表 62_滾算紀錄4'!K45)</f>
        <v/>
      </c>
      <c r="L20">
        <f>ABS('表 62_滾算紀錄4'!L45)</f>
        <v/>
      </c>
      <c r="M20">
        <f>ABS('表 62_滾算紀錄4'!M45)</f>
        <v/>
      </c>
      <c r="N20">
        <f>ABS('表 62_滾算紀錄4'!N45)</f>
        <v/>
      </c>
      <c r="O20">
        <f>ABS('表 62_滾算紀錄4'!O45)</f>
        <v/>
      </c>
      <c r="P20">
        <f>ABS('表 62_滾算紀錄4'!P45)</f>
        <v/>
      </c>
      <c r="Q20">
        <f>ABS('表 62_滾算紀錄4'!Q45)</f>
        <v/>
      </c>
      <c r="R20">
        <f>ABS('表 62_滾算紀錄4'!R45)</f>
        <v/>
      </c>
      <c r="S20">
        <f>ABS('表 62_滾算紀錄4'!S45)</f>
        <v/>
      </c>
      <c r="T20">
        <f>ABS('表 62_滾算紀錄4'!T45)</f>
        <v/>
      </c>
      <c r="U20">
        <f>ABS('表 62_滾算紀錄4'!U45)</f>
        <v/>
      </c>
      <c r="V20">
        <f>ABS('表 62_滾算紀錄4'!V45)</f>
        <v/>
      </c>
      <c r="W20">
        <f>ABS('表 62_滾算紀錄4'!W45)</f>
        <v/>
      </c>
    </row>
    <row r="21">
      <c r="B21" t="inlineStr">
        <is>
          <t>表 62</t>
        </is>
      </c>
      <c r="D21">
        <f>ABS('表 62_滾算紀錄6'!D45)</f>
        <v/>
      </c>
      <c r="E21">
        <f>ABS('表 62_滾算紀錄6'!E45)</f>
        <v/>
      </c>
      <c r="F21">
        <f>ABS('表 62_滾算紀錄6'!F45)</f>
        <v/>
      </c>
      <c r="G21">
        <f>ABS('表 62_滾算紀錄6'!G45)</f>
        <v/>
      </c>
      <c r="H21">
        <f>ABS('表 62_滾算紀錄6'!H45)</f>
        <v/>
      </c>
      <c r="I21">
        <f>ABS('表 62_滾算紀錄6'!I45)</f>
        <v/>
      </c>
      <c r="J21">
        <f>ABS('表 62_滾算紀錄6'!J45)</f>
        <v/>
      </c>
      <c r="K21">
        <f>ABS('表 62_滾算紀錄6'!K45)</f>
        <v/>
      </c>
      <c r="L21">
        <f>ABS('表 62_滾算紀錄6'!L45)</f>
        <v/>
      </c>
      <c r="M21">
        <f>ABS('表 62_滾算紀錄6'!M45)</f>
        <v/>
      </c>
      <c r="N21">
        <f>ABS('表 62_滾算紀錄6'!N45)</f>
        <v/>
      </c>
      <c r="O21">
        <f>ABS('表 62_滾算紀錄6'!O45)</f>
        <v/>
      </c>
      <c r="P21">
        <f>ABS('表 62_滾算紀錄6'!P45)</f>
        <v/>
      </c>
      <c r="Q21">
        <f>ABS('表 62_滾算紀錄6'!Q45)</f>
        <v/>
      </c>
      <c r="R21">
        <f>ABS('表 62_滾算紀錄6'!R45)</f>
        <v/>
      </c>
      <c r="S21">
        <f>ABS('表 62_滾算紀錄6'!S45)</f>
        <v/>
      </c>
      <c r="T21">
        <f>ABS('表 62_滾算紀錄6'!T45)</f>
        <v/>
      </c>
      <c r="U21">
        <f>ABS('表 62_滾算紀錄6'!U45)</f>
        <v/>
      </c>
      <c r="V21">
        <f>ABS('表 62_滾算紀錄6'!V45)</f>
        <v/>
      </c>
      <c r="W21">
        <f>ABS('表 62_滾算紀錄6'!W45)</f>
        <v/>
      </c>
    </row>
    <row r="22">
      <c r="C22" s="4" t="inlineStr">
        <is>
          <t>租金/年總計</t>
        </is>
      </c>
      <c r="D22" s="4">
        <f>SUM(D18:D21)</f>
        <v/>
      </c>
      <c r="E22" s="4">
        <f>SUM(E18:E21)</f>
        <v/>
      </c>
      <c r="F22" s="4">
        <f>SUM(F18:F21)</f>
        <v/>
      </c>
      <c r="G22" s="4">
        <f>SUM(G18:G21)</f>
        <v/>
      </c>
      <c r="H22" s="4">
        <f>SUM(H18:H21)</f>
        <v/>
      </c>
      <c r="I22" s="4">
        <f>SUM(I18:I21)</f>
        <v/>
      </c>
      <c r="J22" s="4">
        <f>SUM(J18:J21)</f>
        <v/>
      </c>
      <c r="K22" s="4">
        <f>SUM(K18:K21)</f>
        <v/>
      </c>
      <c r="L22" s="4">
        <f>SUM(L18:L21)</f>
        <v/>
      </c>
      <c r="M22" s="4">
        <f>SUM(M18:M21)</f>
        <v/>
      </c>
      <c r="N22" s="4">
        <f>SUM(N18:N21)</f>
        <v/>
      </c>
      <c r="O22" s="4">
        <f>SUM(O18:O21)</f>
        <v/>
      </c>
      <c r="P22" s="4">
        <f>SUM(P18:P21)</f>
        <v/>
      </c>
      <c r="Q22" s="4">
        <f>SUM(Q18:Q21)</f>
        <v/>
      </c>
      <c r="R22" s="4">
        <f>SUM(R18:R21)</f>
        <v/>
      </c>
      <c r="S22" s="4">
        <f>SUM(S18:S21)</f>
        <v/>
      </c>
      <c r="T22" s="4">
        <f>SUM(T18:T21)</f>
        <v/>
      </c>
      <c r="U22" s="4">
        <f>SUM(U18:U21)</f>
        <v/>
      </c>
      <c r="V22" s="4">
        <f>SUM(V18:V21)</f>
        <v/>
      </c>
      <c r="W22" s="4">
        <f>SUM(W18:W21)</f>
        <v/>
      </c>
    </row>
    <row r="23">
      <c r="C23" s="1" t="inlineStr">
        <is>
          <t>運維</t>
        </is>
      </c>
      <c r="D23" s="1" t="n">
        <v>2023</v>
      </c>
      <c r="E23" s="1" t="n">
        <v>2024</v>
      </c>
      <c r="F23" s="1" t="n">
        <v>2025</v>
      </c>
      <c r="G23" s="1" t="n">
        <v>2026</v>
      </c>
      <c r="H23" s="1" t="n">
        <v>2027</v>
      </c>
      <c r="I23" s="1" t="n">
        <v>2028</v>
      </c>
      <c r="J23" s="1" t="n">
        <v>2029</v>
      </c>
      <c r="K23" s="1" t="n">
        <v>2030</v>
      </c>
      <c r="L23" s="1" t="n">
        <v>2031</v>
      </c>
      <c r="M23" s="1" t="n">
        <v>2032</v>
      </c>
      <c r="N23" s="1" t="n">
        <v>2033</v>
      </c>
      <c r="O23" s="1" t="n">
        <v>2034</v>
      </c>
      <c r="P23" s="1" t="n">
        <v>2035</v>
      </c>
      <c r="Q23" s="1" t="n">
        <v>2036</v>
      </c>
      <c r="R23" s="1" t="n">
        <v>2037</v>
      </c>
      <c r="S23" s="1" t="n">
        <v>2038</v>
      </c>
      <c r="T23" s="1" t="n">
        <v>2039</v>
      </c>
      <c r="U23" s="1" t="n">
        <v>2040</v>
      </c>
      <c r="V23" s="1" t="n">
        <v>2041</v>
      </c>
      <c r="W23" s="1" t="n">
        <v>2042</v>
      </c>
    </row>
    <row r="24">
      <c r="B24" t="inlineStr">
        <is>
          <t>表 62</t>
        </is>
      </c>
      <c r="D24">
        <f>ABS('表 62_滾算紀錄3'!D48)</f>
        <v/>
      </c>
      <c r="E24">
        <f>ABS('表 62_滾算紀錄3'!E48)</f>
        <v/>
      </c>
      <c r="F24">
        <f>ABS('表 62_滾算紀錄3'!F48)</f>
        <v/>
      </c>
      <c r="G24">
        <f>ABS('表 62_滾算紀錄3'!G48)</f>
        <v/>
      </c>
      <c r="H24">
        <f>ABS('表 62_滾算紀錄3'!H48)</f>
        <v/>
      </c>
      <c r="I24">
        <f>ABS('表 62_滾算紀錄3'!I48)</f>
        <v/>
      </c>
      <c r="J24">
        <f>ABS('表 62_滾算紀錄3'!J48)</f>
        <v/>
      </c>
      <c r="K24">
        <f>ABS('表 62_滾算紀錄3'!K48)</f>
        <v/>
      </c>
      <c r="L24">
        <f>ABS('表 62_滾算紀錄3'!L48)</f>
        <v/>
      </c>
      <c r="M24">
        <f>ABS('表 62_滾算紀錄3'!M48)</f>
        <v/>
      </c>
      <c r="N24">
        <f>ABS('表 62_滾算紀錄3'!N48)</f>
        <v/>
      </c>
      <c r="O24">
        <f>ABS('表 62_滾算紀錄3'!O48)</f>
        <v/>
      </c>
      <c r="P24">
        <f>ABS('表 62_滾算紀錄3'!P48)</f>
        <v/>
      </c>
      <c r="Q24">
        <f>ABS('表 62_滾算紀錄3'!Q48)</f>
        <v/>
      </c>
      <c r="R24">
        <f>ABS('表 62_滾算紀錄3'!R48)</f>
        <v/>
      </c>
      <c r="S24">
        <f>ABS('表 62_滾算紀錄3'!S48)</f>
        <v/>
      </c>
      <c r="T24">
        <f>ABS('表 62_滾算紀錄3'!T48)</f>
        <v/>
      </c>
      <c r="U24">
        <f>ABS('表 62_滾算紀錄3'!U48)</f>
        <v/>
      </c>
      <c r="V24">
        <f>ABS('表 62_滾算紀錄3'!V48)</f>
        <v/>
      </c>
      <c r="W24">
        <f>ABS('表 62_滾算紀錄3'!W48)</f>
        <v/>
      </c>
    </row>
    <row r="25">
      <c r="B25" t="inlineStr">
        <is>
          <t>表 62</t>
        </is>
      </c>
      <c r="D25">
        <f>ABS('表 62_滾算紀錄2'!D48)</f>
        <v/>
      </c>
      <c r="E25">
        <f>ABS('表 62_滾算紀錄2'!E48)</f>
        <v/>
      </c>
      <c r="F25">
        <f>ABS('表 62_滾算紀錄2'!F48)</f>
        <v/>
      </c>
      <c r="G25">
        <f>ABS('表 62_滾算紀錄2'!G48)</f>
        <v/>
      </c>
      <c r="H25">
        <f>ABS('表 62_滾算紀錄2'!H48)</f>
        <v/>
      </c>
      <c r="I25">
        <f>ABS('表 62_滾算紀錄2'!I48)</f>
        <v/>
      </c>
      <c r="J25">
        <f>ABS('表 62_滾算紀錄2'!J48)</f>
        <v/>
      </c>
      <c r="K25">
        <f>ABS('表 62_滾算紀錄2'!K48)</f>
        <v/>
      </c>
      <c r="L25">
        <f>ABS('表 62_滾算紀錄2'!L48)</f>
        <v/>
      </c>
      <c r="M25">
        <f>ABS('表 62_滾算紀錄2'!M48)</f>
        <v/>
      </c>
      <c r="N25">
        <f>ABS('表 62_滾算紀錄2'!N48)</f>
        <v/>
      </c>
      <c r="O25">
        <f>ABS('表 62_滾算紀錄2'!O48)</f>
        <v/>
      </c>
      <c r="P25">
        <f>ABS('表 62_滾算紀錄2'!P48)</f>
        <v/>
      </c>
      <c r="Q25">
        <f>ABS('表 62_滾算紀錄2'!Q48)</f>
        <v/>
      </c>
      <c r="R25">
        <f>ABS('表 62_滾算紀錄2'!R48)</f>
        <v/>
      </c>
      <c r="S25">
        <f>ABS('表 62_滾算紀錄2'!S48)</f>
        <v/>
      </c>
      <c r="T25">
        <f>ABS('表 62_滾算紀錄2'!T48)</f>
        <v/>
      </c>
      <c r="U25">
        <f>ABS('表 62_滾算紀錄2'!U48)</f>
        <v/>
      </c>
      <c r="V25">
        <f>ABS('表 62_滾算紀錄2'!V48)</f>
        <v/>
      </c>
      <c r="W25">
        <f>ABS('表 62_滾算紀錄2'!W48)</f>
        <v/>
      </c>
    </row>
    <row r="26">
      <c r="B26" t="inlineStr">
        <is>
          <t>表 62</t>
        </is>
      </c>
      <c r="D26">
        <f>ABS('表 62_滾算紀錄4'!D48)</f>
        <v/>
      </c>
      <c r="E26">
        <f>ABS('表 62_滾算紀錄4'!E48)</f>
        <v/>
      </c>
      <c r="F26">
        <f>ABS('表 62_滾算紀錄4'!F48)</f>
        <v/>
      </c>
      <c r="G26">
        <f>ABS('表 62_滾算紀錄4'!G48)</f>
        <v/>
      </c>
      <c r="H26">
        <f>ABS('表 62_滾算紀錄4'!H48)</f>
        <v/>
      </c>
      <c r="I26">
        <f>ABS('表 62_滾算紀錄4'!I48)</f>
        <v/>
      </c>
      <c r="J26">
        <f>ABS('表 62_滾算紀錄4'!J48)</f>
        <v/>
      </c>
      <c r="K26">
        <f>ABS('表 62_滾算紀錄4'!K48)</f>
        <v/>
      </c>
      <c r="L26">
        <f>ABS('表 62_滾算紀錄4'!L48)</f>
        <v/>
      </c>
      <c r="M26">
        <f>ABS('表 62_滾算紀錄4'!M48)</f>
        <v/>
      </c>
      <c r="N26">
        <f>ABS('表 62_滾算紀錄4'!N48)</f>
        <v/>
      </c>
      <c r="O26">
        <f>ABS('表 62_滾算紀錄4'!O48)</f>
        <v/>
      </c>
      <c r="P26">
        <f>ABS('表 62_滾算紀錄4'!P48)</f>
        <v/>
      </c>
      <c r="Q26">
        <f>ABS('表 62_滾算紀錄4'!Q48)</f>
        <v/>
      </c>
      <c r="R26">
        <f>ABS('表 62_滾算紀錄4'!R48)</f>
        <v/>
      </c>
      <c r="S26">
        <f>ABS('表 62_滾算紀錄4'!S48)</f>
        <v/>
      </c>
      <c r="T26">
        <f>ABS('表 62_滾算紀錄4'!T48)</f>
        <v/>
      </c>
      <c r="U26">
        <f>ABS('表 62_滾算紀錄4'!U48)</f>
        <v/>
      </c>
      <c r="V26">
        <f>ABS('表 62_滾算紀錄4'!V48)</f>
        <v/>
      </c>
      <c r="W26">
        <f>ABS('表 62_滾算紀錄4'!W48)</f>
        <v/>
      </c>
    </row>
    <row r="27">
      <c r="B27" t="inlineStr">
        <is>
          <t>表 62</t>
        </is>
      </c>
      <c r="D27">
        <f>ABS('表 62_滾算紀錄6'!D48)</f>
        <v/>
      </c>
      <c r="E27">
        <f>ABS('表 62_滾算紀錄6'!E48)</f>
        <v/>
      </c>
      <c r="F27">
        <f>ABS('表 62_滾算紀錄6'!F48)</f>
        <v/>
      </c>
      <c r="G27">
        <f>ABS('表 62_滾算紀錄6'!G48)</f>
        <v/>
      </c>
      <c r="H27">
        <f>ABS('表 62_滾算紀錄6'!H48)</f>
        <v/>
      </c>
      <c r="I27">
        <f>ABS('表 62_滾算紀錄6'!I48)</f>
        <v/>
      </c>
      <c r="J27">
        <f>ABS('表 62_滾算紀錄6'!J48)</f>
        <v/>
      </c>
      <c r="K27">
        <f>ABS('表 62_滾算紀錄6'!K48)</f>
        <v/>
      </c>
      <c r="L27">
        <f>ABS('表 62_滾算紀錄6'!L48)</f>
        <v/>
      </c>
      <c r="M27">
        <f>ABS('表 62_滾算紀錄6'!M48)</f>
        <v/>
      </c>
      <c r="N27">
        <f>ABS('表 62_滾算紀錄6'!N48)</f>
        <v/>
      </c>
      <c r="O27">
        <f>ABS('表 62_滾算紀錄6'!O48)</f>
        <v/>
      </c>
      <c r="P27">
        <f>ABS('表 62_滾算紀錄6'!P48)</f>
        <v/>
      </c>
      <c r="Q27">
        <f>ABS('表 62_滾算紀錄6'!Q48)</f>
        <v/>
      </c>
      <c r="R27">
        <f>ABS('表 62_滾算紀錄6'!R48)</f>
        <v/>
      </c>
      <c r="S27">
        <f>ABS('表 62_滾算紀錄6'!S48)</f>
        <v/>
      </c>
      <c r="T27">
        <f>ABS('表 62_滾算紀錄6'!T48)</f>
        <v/>
      </c>
      <c r="U27">
        <f>ABS('表 62_滾算紀錄6'!U48)</f>
        <v/>
      </c>
      <c r="V27">
        <f>ABS('表 62_滾算紀錄6'!V48)</f>
        <v/>
      </c>
      <c r="W27">
        <f>ABS('表 62_滾算紀錄6'!W48)</f>
        <v/>
      </c>
    </row>
    <row r="28">
      <c r="C28" s="5" t="inlineStr">
        <is>
          <t>運維/年總計</t>
        </is>
      </c>
      <c r="D28" s="5">
        <f>SUM(D24:D27)</f>
        <v/>
      </c>
      <c r="E28" s="5">
        <f>SUM(E24:E27)</f>
        <v/>
      </c>
      <c r="F28" s="5">
        <f>SUM(F24:F27)</f>
        <v/>
      </c>
      <c r="G28" s="5">
        <f>SUM(G24:G27)</f>
        <v/>
      </c>
      <c r="H28" s="5">
        <f>SUM(H24:H27)</f>
        <v/>
      </c>
      <c r="I28" s="5">
        <f>SUM(I24:I27)</f>
        <v/>
      </c>
      <c r="J28" s="5">
        <f>SUM(J24:J27)</f>
        <v/>
      </c>
      <c r="K28" s="5">
        <f>SUM(K24:K27)</f>
        <v/>
      </c>
      <c r="L28" s="5">
        <f>SUM(L24:L27)</f>
        <v/>
      </c>
      <c r="M28" s="5">
        <f>SUM(M24:M27)</f>
        <v/>
      </c>
      <c r="N28" s="5">
        <f>SUM(N24:N27)</f>
        <v/>
      </c>
      <c r="O28" s="5">
        <f>SUM(O24:O27)</f>
        <v/>
      </c>
      <c r="P28" s="5">
        <f>SUM(P24:P27)</f>
        <v/>
      </c>
      <c r="Q28" s="5">
        <f>SUM(Q24:Q27)</f>
        <v/>
      </c>
      <c r="R28" s="5">
        <f>SUM(R24:R27)</f>
        <v/>
      </c>
      <c r="S28" s="5">
        <f>SUM(S24:S27)</f>
        <v/>
      </c>
      <c r="T28" s="5">
        <f>SUM(T24:T27)</f>
        <v/>
      </c>
      <c r="U28" s="5">
        <f>SUM(U24:U27)</f>
        <v/>
      </c>
      <c r="V28" s="5">
        <f>SUM(V24:V27)</f>
        <v/>
      </c>
      <c r="W28" s="5">
        <f>SUM(W24:W27)</f>
        <v/>
      </c>
    </row>
    <row r="29">
      <c r="C29" s="1" t="inlineStr">
        <is>
          <t>保險</t>
        </is>
      </c>
      <c r="D29" s="1" t="n">
        <v>2023</v>
      </c>
      <c r="E29" s="1" t="n">
        <v>2024</v>
      </c>
      <c r="F29" s="1" t="n">
        <v>2025</v>
      </c>
      <c r="G29" s="1" t="n">
        <v>2026</v>
      </c>
      <c r="H29" s="1" t="n">
        <v>2027</v>
      </c>
      <c r="I29" s="1" t="n">
        <v>2028</v>
      </c>
      <c r="J29" s="1" t="n">
        <v>2029</v>
      </c>
      <c r="K29" s="1" t="n">
        <v>2030</v>
      </c>
      <c r="L29" s="1" t="n">
        <v>2031</v>
      </c>
      <c r="M29" s="1" t="n">
        <v>2032</v>
      </c>
      <c r="N29" s="1" t="n">
        <v>2033</v>
      </c>
      <c r="O29" s="1" t="n">
        <v>2034</v>
      </c>
      <c r="P29" s="1" t="n">
        <v>2035</v>
      </c>
      <c r="Q29" s="1" t="n">
        <v>2036</v>
      </c>
      <c r="R29" s="1" t="n">
        <v>2037</v>
      </c>
      <c r="S29" s="1" t="n">
        <v>2038</v>
      </c>
      <c r="T29" s="1" t="n">
        <v>2039</v>
      </c>
      <c r="U29" s="1" t="n">
        <v>2040</v>
      </c>
      <c r="V29" s="1" t="n">
        <v>2041</v>
      </c>
      <c r="W29" s="1" t="n">
        <v>2042</v>
      </c>
    </row>
    <row r="30">
      <c r="B30" t="inlineStr">
        <is>
          <t>表 62</t>
        </is>
      </c>
      <c r="D30">
        <f>ABS('表 62_滾算紀錄3'!D49)</f>
        <v/>
      </c>
      <c r="E30">
        <f>ABS('表 62_滾算紀錄3'!E49)</f>
        <v/>
      </c>
      <c r="F30">
        <f>ABS('表 62_滾算紀錄3'!F49)</f>
        <v/>
      </c>
      <c r="G30">
        <f>ABS('表 62_滾算紀錄3'!G49)</f>
        <v/>
      </c>
      <c r="H30">
        <f>ABS('表 62_滾算紀錄3'!H49)</f>
        <v/>
      </c>
      <c r="I30">
        <f>ABS('表 62_滾算紀錄3'!I49)</f>
        <v/>
      </c>
      <c r="J30">
        <f>ABS('表 62_滾算紀錄3'!J49)</f>
        <v/>
      </c>
      <c r="K30">
        <f>ABS('表 62_滾算紀錄3'!K49)</f>
        <v/>
      </c>
      <c r="L30">
        <f>ABS('表 62_滾算紀錄3'!L49)</f>
        <v/>
      </c>
      <c r="M30">
        <f>ABS('表 62_滾算紀錄3'!M49)</f>
        <v/>
      </c>
      <c r="N30">
        <f>ABS('表 62_滾算紀錄3'!N49)</f>
        <v/>
      </c>
      <c r="O30">
        <f>ABS('表 62_滾算紀錄3'!O49)</f>
        <v/>
      </c>
      <c r="P30">
        <f>ABS('表 62_滾算紀錄3'!P49)</f>
        <v/>
      </c>
      <c r="Q30">
        <f>ABS('表 62_滾算紀錄3'!Q49)</f>
        <v/>
      </c>
      <c r="R30">
        <f>ABS('表 62_滾算紀錄3'!R49)</f>
        <v/>
      </c>
      <c r="S30">
        <f>ABS('表 62_滾算紀錄3'!S49)</f>
        <v/>
      </c>
      <c r="T30">
        <f>ABS('表 62_滾算紀錄3'!T49)</f>
        <v/>
      </c>
      <c r="U30">
        <f>ABS('表 62_滾算紀錄3'!U49)</f>
        <v/>
      </c>
      <c r="V30">
        <f>ABS('表 62_滾算紀錄3'!V49)</f>
        <v/>
      </c>
      <c r="W30">
        <f>ABS('表 62_滾算紀錄3'!W49)</f>
        <v/>
      </c>
    </row>
    <row r="31">
      <c r="B31" t="inlineStr">
        <is>
          <t>表 62</t>
        </is>
      </c>
      <c r="D31">
        <f>ABS('表 62_滾算紀錄2'!D49)</f>
        <v/>
      </c>
      <c r="E31">
        <f>ABS('表 62_滾算紀錄2'!E49)</f>
        <v/>
      </c>
      <c r="F31">
        <f>ABS('表 62_滾算紀錄2'!F49)</f>
        <v/>
      </c>
      <c r="G31">
        <f>ABS('表 62_滾算紀錄2'!G49)</f>
        <v/>
      </c>
      <c r="H31">
        <f>ABS('表 62_滾算紀錄2'!H49)</f>
        <v/>
      </c>
      <c r="I31">
        <f>ABS('表 62_滾算紀錄2'!I49)</f>
        <v/>
      </c>
      <c r="J31">
        <f>ABS('表 62_滾算紀錄2'!J49)</f>
        <v/>
      </c>
      <c r="K31">
        <f>ABS('表 62_滾算紀錄2'!K49)</f>
        <v/>
      </c>
      <c r="L31">
        <f>ABS('表 62_滾算紀錄2'!L49)</f>
        <v/>
      </c>
      <c r="M31">
        <f>ABS('表 62_滾算紀錄2'!M49)</f>
        <v/>
      </c>
      <c r="N31">
        <f>ABS('表 62_滾算紀錄2'!N49)</f>
        <v/>
      </c>
      <c r="O31">
        <f>ABS('表 62_滾算紀錄2'!O49)</f>
        <v/>
      </c>
      <c r="P31">
        <f>ABS('表 62_滾算紀錄2'!P49)</f>
        <v/>
      </c>
      <c r="Q31">
        <f>ABS('表 62_滾算紀錄2'!Q49)</f>
        <v/>
      </c>
      <c r="R31">
        <f>ABS('表 62_滾算紀錄2'!R49)</f>
        <v/>
      </c>
      <c r="S31">
        <f>ABS('表 62_滾算紀錄2'!S49)</f>
        <v/>
      </c>
      <c r="T31">
        <f>ABS('表 62_滾算紀錄2'!T49)</f>
        <v/>
      </c>
      <c r="U31">
        <f>ABS('表 62_滾算紀錄2'!U49)</f>
        <v/>
      </c>
      <c r="V31">
        <f>ABS('表 62_滾算紀錄2'!V49)</f>
        <v/>
      </c>
      <c r="W31">
        <f>ABS('表 62_滾算紀錄2'!W49)</f>
        <v/>
      </c>
    </row>
    <row r="32">
      <c r="B32" t="inlineStr">
        <is>
          <t>表 62</t>
        </is>
      </c>
      <c r="D32">
        <f>ABS('表 62_滾算紀錄4'!D49)</f>
        <v/>
      </c>
      <c r="E32">
        <f>ABS('表 62_滾算紀錄4'!E49)</f>
        <v/>
      </c>
      <c r="F32">
        <f>ABS('表 62_滾算紀錄4'!F49)</f>
        <v/>
      </c>
      <c r="G32">
        <f>ABS('表 62_滾算紀錄4'!G49)</f>
        <v/>
      </c>
      <c r="H32">
        <f>ABS('表 62_滾算紀錄4'!H49)</f>
        <v/>
      </c>
      <c r="I32">
        <f>ABS('表 62_滾算紀錄4'!I49)</f>
        <v/>
      </c>
      <c r="J32">
        <f>ABS('表 62_滾算紀錄4'!J49)</f>
        <v/>
      </c>
      <c r="K32">
        <f>ABS('表 62_滾算紀錄4'!K49)</f>
        <v/>
      </c>
      <c r="L32">
        <f>ABS('表 62_滾算紀錄4'!L49)</f>
        <v/>
      </c>
      <c r="M32">
        <f>ABS('表 62_滾算紀錄4'!M49)</f>
        <v/>
      </c>
      <c r="N32">
        <f>ABS('表 62_滾算紀錄4'!N49)</f>
        <v/>
      </c>
      <c r="O32">
        <f>ABS('表 62_滾算紀錄4'!O49)</f>
        <v/>
      </c>
      <c r="P32">
        <f>ABS('表 62_滾算紀錄4'!P49)</f>
        <v/>
      </c>
      <c r="Q32">
        <f>ABS('表 62_滾算紀錄4'!Q49)</f>
        <v/>
      </c>
      <c r="R32">
        <f>ABS('表 62_滾算紀錄4'!R49)</f>
        <v/>
      </c>
      <c r="S32">
        <f>ABS('表 62_滾算紀錄4'!S49)</f>
        <v/>
      </c>
      <c r="T32">
        <f>ABS('表 62_滾算紀錄4'!T49)</f>
        <v/>
      </c>
      <c r="U32">
        <f>ABS('表 62_滾算紀錄4'!U49)</f>
        <v/>
      </c>
      <c r="V32">
        <f>ABS('表 62_滾算紀錄4'!V49)</f>
        <v/>
      </c>
      <c r="W32">
        <f>ABS('表 62_滾算紀錄4'!W49)</f>
        <v/>
      </c>
    </row>
    <row r="33">
      <c r="B33" t="inlineStr">
        <is>
          <t>表 62</t>
        </is>
      </c>
      <c r="D33">
        <f>ABS('表 62_滾算紀錄6'!D49)</f>
        <v/>
      </c>
      <c r="E33">
        <f>ABS('表 62_滾算紀錄6'!E49)</f>
        <v/>
      </c>
      <c r="F33">
        <f>ABS('表 62_滾算紀錄6'!F49)</f>
        <v/>
      </c>
      <c r="G33">
        <f>ABS('表 62_滾算紀錄6'!G49)</f>
        <v/>
      </c>
      <c r="H33">
        <f>ABS('表 62_滾算紀錄6'!H49)</f>
        <v/>
      </c>
      <c r="I33">
        <f>ABS('表 62_滾算紀錄6'!I49)</f>
        <v/>
      </c>
      <c r="J33">
        <f>ABS('表 62_滾算紀錄6'!J49)</f>
        <v/>
      </c>
      <c r="K33">
        <f>ABS('表 62_滾算紀錄6'!K49)</f>
        <v/>
      </c>
      <c r="L33">
        <f>ABS('表 62_滾算紀錄6'!L49)</f>
        <v/>
      </c>
      <c r="M33">
        <f>ABS('表 62_滾算紀錄6'!M49)</f>
        <v/>
      </c>
      <c r="N33">
        <f>ABS('表 62_滾算紀錄6'!N49)</f>
        <v/>
      </c>
      <c r="O33">
        <f>ABS('表 62_滾算紀錄6'!O49)</f>
        <v/>
      </c>
      <c r="P33">
        <f>ABS('表 62_滾算紀錄6'!P49)</f>
        <v/>
      </c>
      <c r="Q33">
        <f>ABS('表 62_滾算紀錄6'!Q49)</f>
        <v/>
      </c>
      <c r="R33">
        <f>ABS('表 62_滾算紀錄6'!R49)</f>
        <v/>
      </c>
      <c r="S33">
        <f>ABS('表 62_滾算紀錄6'!S49)</f>
        <v/>
      </c>
      <c r="T33">
        <f>ABS('表 62_滾算紀錄6'!T49)</f>
        <v/>
      </c>
      <c r="U33">
        <f>ABS('表 62_滾算紀錄6'!U49)</f>
        <v/>
      </c>
      <c r="V33">
        <f>ABS('表 62_滾算紀錄6'!V49)</f>
        <v/>
      </c>
      <c r="W33">
        <f>ABS('表 62_滾算紀錄6'!W49)</f>
        <v/>
      </c>
    </row>
    <row r="34">
      <c r="C34" s="6" t="inlineStr">
        <is>
          <t>保險/年總計</t>
        </is>
      </c>
      <c r="D34" s="6">
        <f>SUM(D30:D33)</f>
        <v/>
      </c>
      <c r="E34" s="6">
        <f>SUM(E30:E33)</f>
        <v/>
      </c>
      <c r="F34" s="6">
        <f>SUM(F30:F33)</f>
        <v/>
      </c>
      <c r="G34" s="6">
        <f>SUM(G30:G33)</f>
        <v/>
      </c>
      <c r="H34" s="6">
        <f>SUM(H30:H33)</f>
        <v/>
      </c>
      <c r="I34" s="6">
        <f>SUM(I30:I33)</f>
        <v/>
      </c>
      <c r="J34" s="6">
        <f>SUM(J30:J33)</f>
        <v/>
      </c>
      <c r="K34" s="6">
        <f>SUM(K30:K33)</f>
        <v/>
      </c>
      <c r="L34" s="6">
        <f>SUM(L30:L33)</f>
        <v/>
      </c>
      <c r="M34" s="6">
        <f>SUM(M30:M33)</f>
        <v/>
      </c>
      <c r="N34" s="6">
        <f>SUM(N30:N33)</f>
        <v/>
      </c>
      <c r="O34" s="6">
        <f>SUM(O30:O33)</f>
        <v/>
      </c>
      <c r="P34" s="6">
        <f>SUM(P30:P33)</f>
        <v/>
      </c>
      <c r="Q34" s="6">
        <f>SUM(Q30:Q33)</f>
        <v/>
      </c>
      <c r="R34" s="6">
        <f>SUM(R30:R33)</f>
        <v/>
      </c>
      <c r="S34" s="6">
        <f>SUM(S30:S33)</f>
        <v/>
      </c>
      <c r="T34" s="6">
        <f>SUM(T30:T33)</f>
        <v/>
      </c>
      <c r="U34" s="6">
        <f>SUM(U30:U33)</f>
        <v/>
      </c>
      <c r="V34" s="6">
        <f>SUM(V30:V33)</f>
        <v/>
      </c>
      <c r="W34" s="6">
        <f>SUM(W30:W33)</f>
        <v/>
      </c>
    </row>
    <row r="35">
      <c r="C35" s="1" t="inlineStr">
        <is>
          <t>模組回收費</t>
        </is>
      </c>
      <c r="D35" s="1" t="n">
        <v>2023</v>
      </c>
      <c r="E35" s="1" t="n">
        <v>2024</v>
      </c>
      <c r="F35" s="1" t="n">
        <v>2025</v>
      </c>
      <c r="G35" s="1" t="n">
        <v>2026</v>
      </c>
      <c r="H35" s="1" t="n">
        <v>2027</v>
      </c>
      <c r="I35" s="1" t="n">
        <v>2028</v>
      </c>
      <c r="J35" s="1" t="n">
        <v>2029</v>
      </c>
      <c r="K35" s="1" t="n">
        <v>2030</v>
      </c>
      <c r="L35" s="1" t="n">
        <v>2031</v>
      </c>
      <c r="M35" s="1" t="n">
        <v>2032</v>
      </c>
      <c r="N35" s="1" t="n">
        <v>2033</v>
      </c>
      <c r="O35" s="1" t="n">
        <v>2034</v>
      </c>
      <c r="P35" s="1" t="n">
        <v>2035</v>
      </c>
      <c r="Q35" s="1" t="n">
        <v>2036</v>
      </c>
      <c r="R35" s="1" t="n">
        <v>2037</v>
      </c>
      <c r="S35" s="1" t="n">
        <v>2038</v>
      </c>
      <c r="T35" s="1" t="n">
        <v>2039</v>
      </c>
      <c r="U35" s="1" t="n">
        <v>2040</v>
      </c>
      <c r="V35" s="1" t="n">
        <v>2041</v>
      </c>
      <c r="W35" s="1" t="n">
        <v>2042</v>
      </c>
    </row>
    <row r="36">
      <c r="B36" t="inlineStr">
        <is>
          <t>表 62</t>
        </is>
      </c>
      <c r="D36">
        <f>ABS('表 62_滾算紀錄3'!D50)</f>
        <v/>
      </c>
      <c r="E36">
        <f>ABS('表 62_滾算紀錄3'!E50)</f>
        <v/>
      </c>
      <c r="F36">
        <f>ABS('表 62_滾算紀錄3'!F50)</f>
        <v/>
      </c>
      <c r="G36">
        <f>ABS('表 62_滾算紀錄3'!G50)</f>
        <v/>
      </c>
      <c r="H36">
        <f>ABS('表 62_滾算紀錄3'!H50)</f>
        <v/>
      </c>
      <c r="I36">
        <f>ABS('表 62_滾算紀錄3'!I50)</f>
        <v/>
      </c>
      <c r="J36">
        <f>ABS('表 62_滾算紀錄3'!J50)</f>
        <v/>
      </c>
      <c r="K36">
        <f>ABS('表 62_滾算紀錄3'!K50)</f>
        <v/>
      </c>
      <c r="L36">
        <f>ABS('表 62_滾算紀錄3'!L50)</f>
        <v/>
      </c>
      <c r="M36">
        <f>ABS('表 62_滾算紀錄3'!M50)</f>
        <v/>
      </c>
      <c r="N36">
        <f>ABS('表 62_滾算紀錄3'!N50)</f>
        <v/>
      </c>
      <c r="O36">
        <f>ABS('表 62_滾算紀錄3'!O50)</f>
        <v/>
      </c>
      <c r="P36">
        <f>ABS('表 62_滾算紀錄3'!P50)</f>
        <v/>
      </c>
      <c r="Q36">
        <f>ABS('表 62_滾算紀錄3'!Q50)</f>
        <v/>
      </c>
      <c r="R36">
        <f>ABS('表 62_滾算紀錄3'!R50)</f>
        <v/>
      </c>
      <c r="S36">
        <f>ABS('表 62_滾算紀錄3'!S50)</f>
        <v/>
      </c>
      <c r="T36">
        <f>ABS('表 62_滾算紀錄3'!T50)</f>
        <v/>
      </c>
      <c r="U36">
        <f>ABS('表 62_滾算紀錄3'!U50)</f>
        <v/>
      </c>
      <c r="V36">
        <f>ABS('表 62_滾算紀錄3'!V50)</f>
        <v/>
      </c>
      <c r="W36">
        <f>ABS('表 62_滾算紀錄3'!W50)</f>
        <v/>
      </c>
    </row>
    <row r="37">
      <c r="B37" t="inlineStr">
        <is>
          <t>表 62</t>
        </is>
      </c>
      <c r="D37">
        <f>ABS('表 62_滾算紀錄2'!D50)</f>
        <v/>
      </c>
      <c r="E37">
        <f>ABS('表 62_滾算紀錄2'!E50)</f>
        <v/>
      </c>
      <c r="F37">
        <f>ABS('表 62_滾算紀錄2'!F50)</f>
        <v/>
      </c>
      <c r="G37">
        <f>ABS('表 62_滾算紀錄2'!G50)</f>
        <v/>
      </c>
      <c r="H37">
        <f>ABS('表 62_滾算紀錄2'!H50)</f>
        <v/>
      </c>
      <c r="I37">
        <f>ABS('表 62_滾算紀錄2'!I50)</f>
        <v/>
      </c>
      <c r="J37">
        <f>ABS('表 62_滾算紀錄2'!J50)</f>
        <v/>
      </c>
      <c r="K37">
        <f>ABS('表 62_滾算紀錄2'!K50)</f>
        <v/>
      </c>
      <c r="L37">
        <f>ABS('表 62_滾算紀錄2'!L50)</f>
        <v/>
      </c>
      <c r="M37">
        <f>ABS('表 62_滾算紀錄2'!M50)</f>
        <v/>
      </c>
      <c r="N37">
        <f>ABS('表 62_滾算紀錄2'!N50)</f>
        <v/>
      </c>
      <c r="O37">
        <f>ABS('表 62_滾算紀錄2'!O50)</f>
        <v/>
      </c>
      <c r="P37">
        <f>ABS('表 62_滾算紀錄2'!P50)</f>
        <v/>
      </c>
      <c r="Q37">
        <f>ABS('表 62_滾算紀錄2'!Q50)</f>
        <v/>
      </c>
      <c r="R37">
        <f>ABS('表 62_滾算紀錄2'!R50)</f>
        <v/>
      </c>
      <c r="S37">
        <f>ABS('表 62_滾算紀錄2'!S50)</f>
        <v/>
      </c>
      <c r="T37">
        <f>ABS('表 62_滾算紀錄2'!T50)</f>
        <v/>
      </c>
      <c r="U37">
        <f>ABS('表 62_滾算紀錄2'!U50)</f>
        <v/>
      </c>
      <c r="V37">
        <f>ABS('表 62_滾算紀錄2'!V50)</f>
        <v/>
      </c>
      <c r="W37">
        <f>ABS('表 62_滾算紀錄2'!W50)</f>
        <v/>
      </c>
    </row>
    <row r="38">
      <c r="B38" t="inlineStr">
        <is>
          <t>表 62</t>
        </is>
      </c>
      <c r="D38">
        <f>ABS('表 62_滾算紀錄4'!D50)</f>
        <v/>
      </c>
      <c r="E38">
        <f>ABS('表 62_滾算紀錄4'!E50)</f>
        <v/>
      </c>
      <c r="F38">
        <f>ABS('表 62_滾算紀錄4'!F50)</f>
        <v/>
      </c>
      <c r="G38">
        <f>ABS('表 62_滾算紀錄4'!G50)</f>
        <v/>
      </c>
      <c r="H38">
        <f>ABS('表 62_滾算紀錄4'!H50)</f>
        <v/>
      </c>
      <c r="I38">
        <f>ABS('表 62_滾算紀錄4'!I50)</f>
        <v/>
      </c>
      <c r="J38">
        <f>ABS('表 62_滾算紀錄4'!J50)</f>
        <v/>
      </c>
      <c r="K38">
        <f>ABS('表 62_滾算紀錄4'!K50)</f>
        <v/>
      </c>
      <c r="L38">
        <f>ABS('表 62_滾算紀錄4'!L50)</f>
        <v/>
      </c>
      <c r="M38">
        <f>ABS('表 62_滾算紀錄4'!M50)</f>
        <v/>
      </c>
      <c r="N38">
        <f>ABS('表 62_滾算紀錄4'!N50)</f>
        <v/>
      </c>
      <c r="O38">
        <f>ABS('表 62_滾算紀錄4'!O50)</f>
        <v/>
      </c>
      <c r="P38">
        <f>ABS('表 62_滾算紀錄4'!P50)</f>
        <v/>
      </c>
      <c r="Q38">
        <f>ABS('表 62_滾算紀錄4'!Q50)</f>
        <v/>
      </c>
      <c r="R38">
        <f>ABS('表 62_滾算紀錄4'!R50)</f>
        <v/>
      </c>
      <c r="S38">
        <f>ABS('表 62_滾算紀錄4'!S50)</f>
        <v/>
      </c>
      <c r="T38">
        <f>ABS('表 62_滾算紀錄4'!T50)</f>
        <v/>
      </c>
      <c r="U38">
        <f>ABS('表 62_滾算紀錄4'!U50)</f>
        <v/>
      </c>
      <c r="V38">
        <f>ABS('表 62_滾算紀錄4'!V50)</f>
        <v/>
      </c>
      <c r="W38">
        <f>ABS('表 62_滾算紀錄4'!W50)</f>
        <v/>
      </c>
    </row>
    <row r="39">
      <c r="B39" t="inlineStr">
        <is>
          <t>表 62</t>
        </is>
      </c>
      <c r="D39">
        <f>ABS('表 62_滾算紀錄6'!D50)</f>
        <v/>
      </c>
      <c r="E39">
        <f>ABS('表 62_滾算紀錄6'!E50)</f>
        <v/>
      </c>
      <c r="F39">
        <f>ABS('表 62_滾算紀錄6'!F50)</f>
        <v/>
      </c>
      <c r="G39">
        <f>ABS('表 62_滾算紀錄6'!G50)</f>
        <v/>
      </c>
      <c r="H39">
        <f>ABS('表 62_滾算紀錄6'!H50)</f>
        <v/>
      </c>
      <c r="I39">
        <f>ABS('表 62_滾算紀錄6'!I50)</f>
        <v/>
      </c>
      <c r="J39">
        <f>ABS('表 62_滾算紀錄6'!J50)</f>
        <v/>
      </c>
      <c r="K39">
        <f>ABS('表 62_滾算紀錄6'!K50)</f>
        <v/>
      </c>
      <c r="L39">
        <f>ABS('表 62_滾算紀錄6'!L50)</f>
        <v/>
      </c>
      <c r="M39">
        <f>ABS('表 62_滾算紀錄6'!M50)</f>
        <v/>
      </c>
      <c r="N39">
        <f>ABS('表 62_滾算紀錄6'!N50)</f>
        <v/>
      </c>
      <c r="O39">
        <f>ABS('表 62_滾算紀錄6'!O50)</f>
        <v/>
      </c>
      <c r="P39">
        <f>ABS('表 62_滾算紀錄6'!P50)</f>
        <v/>
      </c>
      <c r="Q39">
        <f>ABS('表 62_滾算紀錄6'!Q50)</f>
        <v/>
      </c>
      <c r="R39">
        <f>ABS('表 62_滾算紀錄6'!R50)</f>
        <v/>
      </c>
      <c r="S39">
        <f>ABS('表 62_滾算紀錄6'!S50)</f>
        <v/>
      </c>
      <c r="T39">
        <f>ABS('表 62_滾算紀錄6'!T50)</f>
        <v/>
      </c>
      <c r="U39">
        <f>ABS('表 62_滾算紀錄6'!U50)</f>
        <v/>
      </c>
      <c r="V39">
        <f>ABS('表 62_滾算紀錄6'!V50)</f>
        <v/>
      </c>
      <c r="W39">
        <f>ABS('表 62_滾算紀錄6'!W50)</f>
        <v/>
      </c>
    </row>
    <row r="40">
      <c r="C40" s="3" t="inlineStr">
        <is>
          <t>模組回收費/年總計</t>
        </is>
      </c>
      <c r="D40" s="3">
        <f>SUM(D36:D39)</f>
        <v/>
      </c>
      <c r="E40" s="3">
        <f>SUM(E36:E39)</f>
        <v/>
      </c>
      <c r="F40" s="3">
        <f>SUM(F36:F39)</f>
        <v/>
      </c>
      <c r="G40" s="3">
        <f>SUM(G36:G39)</f>
        <v/>
      </c>
      <c r="H40" s="3">
        <f>SUM(H36:H39)</f>
        <v/>
      </c>
      <c r="I40" s="3">
        <f>SUM(I36:I39)</f>
        <v/>
      </c>
      <c r="J40" s="3">
        <f>SUM(J36:J39)</f>
        <v/>
      </c>
      <c r="K40" s="3">
        <f>SUM(K36:K39)</f>
        <v/>
      </c>
      <c r="L40" s="3">
        <f>SUM(L36:L39)</f>
        <v/>
      </c>
      <c r="M40" s="3">
        <f>SUM(M36:M39)</f>
        <v/>
      </c>
      <c r="N40" s="3">
        <f>SUM(N36:N39)</f>
        <v/>
      </c>
      <c r="O40" s="3">
        <f>SUM(O36:O39)</f>
        <v/>
      </c>
      <c r="P40" s="3">
        <f>SUM(P36:P39)</f>
        <v/>
      </c>
      <c r="Q40" s="3">
        <f>SUM(Q36:Q39)</f>
        <v/>
      </c>
      <c r="R40" s="3">
        <f>SUM(R36:R39)</f>
        <v/>
      </c>
      <c r="S40" s="3">
        <f>SUM(S36:S39)</f>
        <v/>
      </c>
      <c r="T40" s="3">
        <f>SUM(T36:T39)</f>
        <v/>
      </c>
      <c r="U40" s="3">
        <f>SUM(U36:U39)</f>
        <v/>
      </c>
      <c r="V40" s="3">
        <f>SUM(V36:V39)</f>
        <v/>
      </c>
      <c r="W40" s="3">
        <f>SUM(W36:W39)</f>
        <v/>
      </c>
    </row>
    <row r="41">
      <c r="C41" s="1" t="inlineStr">
        <is>
          <t>所得稅</t>
        </is>
      </c>
      <c r="D41" s="1" t="n">
        <v>2023</v>
      </c>
      <c r="E41" s="1" t="n">
        <v>2024</v>
      </c>
      <c r="F41" s="1" t="n">
        <v>2025</v>
      </c>
      <c r="G41" s="1" t="n">
        <v>2026</v>
      </c>
      <c r="H41" s="1" t="n">
        <v>2027</v>
      </c>
      <c r="I41" s="1" t="n">
        <v>2028</v>
      </c>
      <c r="J41" s="1" t="n">
        <v>2029</v>
      </c>
      <c r="K41" s="1" t="n">
        <v>2030</v>
      </c>
      <c r="L41" s="1" t="n">
        <v>2031</v>
      </c>
      <c r="M41" s="1" t="n">
        <v>2032</v>
      </c>
      <c r="N41" s="1" t="n">
        <v>2033</v>
      </c>
      <c r="O41" s="1" t="n">
        <v>2034</v>
      </c>
      <c r="P41" s="1" t="n">
        <v>2035</v>
      </c>
      <c r="Q41" s="1" t="n">
        <v>2036</v>
      </c>
      <c r="R41" s="1" t="n">
        <v>2037</v>
      </c>
      <c r="S41" s="1" t="n">
        <v>2038</v>
      </c>
      <c r="T41" s="1" t="n">
        <v>2039</v>
      </c>
      <c r="U41" s="1" t="n">
        <v>2040</v>
      </c>
      <c r="V41" s="1" t="n">
        <v>2041</v>
      </c>
      <c r="W41" s="1" t="n">
        <v>2042</v>
      </c>
    </row>
    <row r="42">
      <c r="B42" t="inlineStr">
        <is>
          <t>表 62</t>
        </is>
      </c>
      <c r="D42">
        <f>ABS('表 62_滾算紀錄3'!D54)</f>
        <v/>
      </c>
      <c r="E42">
        <f>ABS('表 62_滾算紀錄3'!E54)</f>
        <v/>
      </c>
      <c r="F42">
        <f>ABS('表 62_滾算紀錄3'!F54)</f>
        <v/>
      </c>
      <c r="G42">
        <f>ABS('表 62_滾算紀錄3'!G54)</f>
        <v/>
      </c>
      <c r="H42">
        <f>ABS('表 62_滾算紀錄3'!H54)</f>
        <v/>
      </c>
      <c r="I42">
        <f>ABS('表 62_滾算紀錄3'!I54)</f>
        <v/>
      </c>
      <c r="J42">
        <f>ABS('表 62_滾算紀錄3'!J54)</f>
        <v/>
      </c>
      <c r="K42">
        <f>ABS('表 62_滾算紀錄3'!K54)</f>
        <v/>
      </c>
      <c r="L42">
        <f>ABS('表 62_滾算紀錄3'!L54)</f>
        <v/>
      </c>
      <c r="M42">
        <f>ABS('表 62_滾算紀錄3'!M54)</f>
        <v/>
      </c>
      <c r="N42">
        <f>ABS('表 62_滾算紀錄3'!N54)</f>
        <v/>
      </c>
      <c r="O42">
        <f>ABS('表 62_滾算紀錄3'!O54)</f>
        <v/>
      </c>
      <c r="P42">
        <f>ABS('表 62_滾算紀錄3'!P54)</f>
        <v/>
      </c>
      <c r="Q42">
        <f>ABS('表 62_滾算紀錄3'!Q54)</f>
        <v/>
      </c>
      <c r="R42">
        <f>ABS('表 62_滾算紀錄3'!R54)</f>
        <v/>
      </c>
      <c r="S42">
        <f>ABS('表 62_滾算紀錄3'!S54)</f>
        <v/>
      </c>
      <c r="T42">
        <f>ABS('表 62_滾算紀錄3'!T54)</f>
        <v/>
      </c>
      <c r="U42">
        <f>ABS('表 62_滾算紀錄3'!U54)</f>
        <v/>
      </c>
      <c r="V42">
        <f>ABS('表 62_滾算紀錄3'!V54)</f>
        <v/>
      </c>
      <c r="W42">
        <f>ABS('表 62_滾算紀錄3'!W54)</f>
        <v/>
      </c>
    </row>
    <row r="43">
      <c r="B43" t="inlineStr">
        <is>
          <t>表 62</t>
        </is>
      </c>
      <c r="D43">
        <f>ABS('表 62_滾算紀錄2'!D54)</f>
        <v/>
      </c>
      <c r="E43">
        <f>ABS('表 62_滾算紀錄2'!E54)</f>
        <v/>
      </c>
      <c r="F43">
        <f>ABS('表 62_滾算紀錄2'!F54)</f>
        <v/>
      </c>
      <c r="G43">
        <f>ABS('表 62_滾算紀錄2'!G54)</f>
        <v/>
      </c>
      <c r="H43">
        <f>ABS('表 62_滾算紀錄2'!H54)</f>
        <v/>
      </c>
      <c r="I43">
        <f>ABS('表 62_滾算紀錄2'!I54)</f>
        <v/>
      </c>
      <c r="J43">
        <f>ABS('表 62_滾算紀錄2'!J54)</f>
        <v/>
      </c>
      <c r="K43">
        <f>ABS('表 62_滾算紀錄2'!K54)</f>
        <v/>
      </c>
      <c r="L43">
        <f>ABS('表 62_滾算紀錄2'!L54)</f>
        <v/>
      </c>
      <c r="M43">
        <f>ABS('表 62_滾算紀錄2'!M54)</f>
        <v/>
      </c>
      <c r="N43">
        <f>ABS('表 62_滾算紀錄2'!N54)</f>
        <v/>
      </c>
      <c r="O43">
        <f>ABS('表 62_滾算紀錄2'!O54)</f>
        <v/>
      </c>
      <c r="P43">
        <f>ABS('表 62_滾算紀錄2'!P54)</f>
        <v/>
      </c>
      <c r="Q43">
        <f>ABS('表 62_滾算紀錄2'!Q54)</f>
        <v/>
      </c>
      <c r="R43">
        <f>ABS('表 62_滾算紀錄2'!R54)</f>
        <v/>
      </c>
      <c r="S43">
        <f>ABS('表 62_滾算紀錄2'!S54)</f>
        <v/>
      </c>
      <c r="T43">
        <f>ABS('表 62_滾算紀錄2'!T54)</f>
        <v/>
      </c>
      <c r="U43">
        <f>ABS('表 62_滾算紀錄2'!U54)</f>
        <v/>
      </c>
      <c r="V43">
        <f>ABS('表 62_滾算紀錄2'!V54)</f>
        <v/>
      </c>
      <c r="W43">
        <f>ABS('表 62_滾算紀錄2'!W54)</f>
        <v/>
      </c>
    </row>
    <row r="44">
      <c r="B44" t="inlineStr">
        <is>
          <t>表 62</t>
        </is>
      </c>
      <c r="D44">
        <f>ABS('表 62_滾算紀錄4'!D54)</f>
        <v/>
      </c>
      <c r="E44">
        <f>ABS('表 62_滾算紀錄4'!E54)</f>
        <v/>
      </c>
      <c r="F44">
        <f>ABS('表 62_滾算紀錄4'!F54)</f>
        <v/>
      </c>
      <c r="G44">
        <f>ABS('表 62_滾算紀錄4'!G54)</f>
        <v/>
      </c>
      <c r="H44">
        <f>ABS('表 62_滾算紀錄4'!H54)</f>
        <v/>
      </c>
      <c r="I44">
        <f>ABS('表 62_滾算紀錄4'!I54)</f>
        <v/>
      </c>
      <c r="J44">
        <f>ABS('表 62_滾算紀錄4'!J54)</f>
        <v/>
      </c>
      <c r="K44">
        <f>ABS('表 62_滾算紀錄4'!K54)</f>
        <v/>
      </c>
      <c r="L44">
        <f>ABS('表 62_滾算紀錄4'!L54)</f>
        <v/>
      </c>
      <c r="M44">
        <f>ABS('表 62_滾算紀錄4'!M54)</f>
        <v/>
      </c>
      <c r="N44">
        <f>ABS('表 62_滾算紀錄4'!N54)</f>
        <v/>
      </c>
      <c r="O44">
        <f>ABS('表 62_滾算紀錄4'!O54)</f>
        <v/>
      </c>
      <c r="P44">
        <f>ABS('表 62_滾算紀錄4'!P54)</f>
        <v/>
      </c>
      <c r="Q44">
        <f>ABS('表 62_滾算紀錄4'!Q54)</f>
        <v/>
      </c>
      <c r="R44">
        <f>ABS('表 62_滾算紀錄4'!R54)</f>
        <v/>
      </c>
      <c r="S44">
        <f>ABS('表 62_滾算紀錄4'!S54)</f>
        <v/>
      </c>
      <c r="T44">
        <f>ABS('表 62_滾算紀錄4'!T54)</f>
        <v/>
      </c>
      <c r="U44">
        <f>ABS('表 62_滾算紀錄4'!U54)</f>
        <v/>
      </c>
      <c r="V44">
        <f>ABS('表 62_滾算紀錄4'!V54)</f>
        <v/>
      </c>
      <c r="W44">
        <f>ABS('表 62_滾算紀錄4'!W54)</f>
        <v/>
      </c>
    </row>
    <row r="45">
      <c r="B45" t="inlineStr">
        <is>
          <t>表 62</t>
        </is>
      </c>
      <c r="D45">
        <f>ABS('表 62_滾算紀錄6'!D54)</f>
        <v/>
      </c>
      <c r="E45">
        <f>ABS('表 62_滾算紀錄6'!E54)</f>
        <v/>
      </c>
      <c r="F45">
        <f>ABS('表 62_滾算紀錄6'!F54)</f>
        <v/>
      </c>
      <c r="G45">
        <f>ABS('表 62_滾算紀錄6'!G54)</f>
        <v/>
      </c>
      <c r="H45">
        <f>ABS('表 62_滾算紀錄6'!H54)</f>
        <v/>
      </c>
      <c r="I45">
        <f>ABS('表 62_滾算紀錄6'!I54)</f>
        <v/>
      </c>
      <c r="J45">
        <f>ABS('表 62_滾算紀錄6'!J54)</f>
        <v/>
      </c>
      <c r="K45">
        <f>ABS('表 62_滾算紀錄6'!K54)</f>
        <v/>
      </c>
      <c r="L45">
        <f>ABS('表 62_滾算紀錄6'!L54)</f>
        <v/>
      </c>
      <c r="M45">
        <f>ABS('表 62_滾算紀錄6'!M54)</f>
        <v/>
      </c>
      <c r="N45">
        <f>ABS('表 62_滾算紀錄6'!N54)</f>
        <v/>
      </c>
      <c r="O45">
        <f>ABS('表 62_滾算紀錄6'!O54)</f>
        <v/>
      </c>
      <c r="P45">
        <f>ABS('表 62_滾算紀錄6'!P54)</f>
        <v/>
      </c>
      <c r="Q45">
        <f>ABS('表 62_滾算紀錄6'!Q54)</f>
        <v/>
      </c>
      <c r="R45">
        <f>ABS('表 62_滾算紀錄6'!R54)</f>
        <v/>
      </c>
      <c r="S45">
        <f>ABS('表 62_滾算紀錄6'!S54)</f>
        <v/>
      </c>
      <c r="T45">
        <f>ABS('表 62_滾算紀錄6'!T54)</f>
        <v/>
      </c>
      <c r="U45">
        <f>ABS('表 62_滾算紀錄6'!U54)</f>
        <v/>
      </c>
      <c r="V45">
        <f>ABS('表 62_滾算紀錄6'!V54)</f>
        <v/>
      </c>
      <c r="W45">
        <f>ABS('表 62_滾算紀錄6'!W54)</f>
        <v/>
      </c>
    </row>
    <row r="46">
      <c r="C46" s="2" t="inlineStr">
        <is>
          <t>所得稅/年總計</t>
        </is>
      </c>
      <c r="D46" s="2">
        <f>SUM(D42:D45)</f>
        <v/>
      </c>
      <c r="E46" s="2">
        <f>SUM(E42:E45)</f>
        <v/>
      </c>
      <c r="F46" s="2">
        <f>SUM(F42:F45)</f>
        <v/>
      </c>
      <c r="G46" s="2">
        <f>SUM(G42:G45)</f>
        <v/>
      </c>
      <c r="H46" s="2">
        <f>SUM(H42:H45)</f>
        <v/>
      </c>
      <c r="I46" s="2">
        <f>SUM(I42:I45)</f>
        <v/>
      </c>
      <c r="J46" s="2">
        <f>SUM(J42:J45)</f>
        <v/>
      </c>
      <c r="K46" s="2">
        <f>SUM(K42:K45)</f>
        <v/>
      </c>
      <c r="L46" s="2">
        <f>SUM(L42:L45)</f>
        <v/>
      </c>
      <c r="M46" s="2">
        <f>SUM(M42:M45)</f>
        <v/>
      </c>
      <c r="N46" s="2">
        <f>SUM(N42:N45)</f>
        <v/>
      </c>
      <c r="O46" s="2">
        <f>SUM(O42:O45)</f>
        <v/>
      </c>
      <c r="P46" s="2">
        <f>SUM(P42:P45)</f>
        <v/>
      </c>
      <c r="Q46" s="2">
        <f>SUM(Q42:Q45)</f>
        <v/>
      </c>
      <c r="R46" s="2">
        <f>SUM(R42:R45)</f>
        <v/>
      </c>
      <c r="S46" s="2">
        <f>SUM(S42:S45)</f>
        <v/>
      </c>
      <c r="T46" s="2">
        <f>SUM(T42:T45)</f>
        <v/>
      </c>
      <c r="U46" s="2">
        <f>SUM(U42:U45)</f>
        <v/>
      </c>
      <c r="V46" s="2">
        <f>SUM(V42:V45)</f>
        <v/>
      </c>
      <c r="W46" s="2">
        <f>SUM(W42:W45)</f>
        <v/>
      </c>
    </row>
    <row r="47">
      <c r="C47" s="1" t="inlineStr">
        <is>
          <t>設備折舊</t>
        </is>
      </c>
      <c r="D47" s="1" t="n">
        <v>2023</v>
      </c>
      <c r="E47" s="1" t="n">
        <v>2024</v>
      </c>
      <c r="F47" s="1" t="n">
        <v>2025</v>
      </c>
      <c r="G47" s="1" t="n">
        <v>2026</v>
      </c>
      <c r="H47" s="1" t="n">
        <v>2027</v>
      </c>
      <c r="I47" s="1" t="n">
        <v>2028</v>
      </c>
      <c r="J47" s="1" t="n">
        <v>2029</v>
      </c>
      <c r="K47" s="1" t="n">
        <v>2030</v>
      </c>
      <c r="L47" s="1" t="n">
        <v>2031</v>
      </c>
      <c r="M47" s="1" t="n">
        <v>2032</v>
      </c>
      <c r="N47" s="1" t="n">
        <v>2033</v>
      </c>
      <c r="O47" s="1" t="n">
        <v>2034</v>
      </c>
      <c r="P47" s="1" t="n">
        <v>2035</v>
      </c>
      <c r="Q47" s="1" t="n">
        <v>2036</v>
      </c>
      <c r="R47" s="1" t="n">
        <v>2037</v>
      </c>
      <c r="S47" s="1" t="n">
        <v>2038</v>
      </c>
      <c r="T47" s="1" t="n">
        <v>2039</v>
      </c>
      <c r="U47" s="1" t="n">
        <v>2040</v>
      </c>
      <c r="V47" s="1" t="n">
        <v>2041</v>
      </c>
      <c r="W47" s="1" t="n">
        <v>2042</v>
      </c>
    </row>
    <row r="48">
      <c r="B48" t="inlineStr">
        <is>
          <t>表 62</t>
        </is>
      </c>
      <c r="D48">
        <f>ABS('表 62_滾算紀錄3'!D67)</f>
        <v/>
      </c>
      <c r="E48">
        <f>ABS('表 62_滾算紀錄3'!E67)</f>
        <v/>
      </c>
      <c r="F48">
        <f>ABS('表 62_滾算紀錄3'!F67)</f>
        <v/>
      </c>
      <c r="G48">
        <f>ABS('表 62_滾算紀錄3'!G67)</f>
        <v/>
      </c>
      <c r="H48">
        <f>ABS('表 62_滾算紀錄3'!H67)</f>
        <v/>
      </c>
      <c r="I48">
        <f>ABS('表 62_滾算紀錄3'!I67)</f>
        <v/>
      </c>
      <c r="J48">
        <f>ABS('表 62_滾算紀錄3'!J67)</f>
        <v/>
      </c>
      <c r="K48">
        <f>ABS('表 62_滾算紀錄3'!K67)</f>
        <v/>
      </c>
      <c r="L48">
        <f>ABS('表 62_滾算紀錄3'!L67)</f>
        <v/>
      </c>
      <c r="M48">
        <f>ABS('表 62_滾算紀錄3'!M67)</f>
        <v/>
      </c>
      <c r="N48">
        <f>ABS('表 62_滾算紀錄3'!N67)</f>
        <v/>
      </c>
      <c r="O48">
        <f>ABS('表 62_滾算紀錄3'!O67)</f>
        <v/>
      </c>
      <c r="P48">
        <f>ABS('表 62_滾算紀錄3'!P67)</f>
        <v/>
      </c>
      <c r="Q48">
        <f>ABS('表 62_滾算紀錄3'!Q67)</f>
        <v/>
      </c>
      <c r="R48">
        <f>ABS('表 62_滾算紀錄3'!R67)</f>
        <v/>
      </c>
      <c r="S48">
        <f>ABS('表 62_滾算紀錄3'!S67)</f>
        <v/>
      </c>
      <c r="T48">
        <f>ABS('表 62_滾算紀錄3'!T67)</f>
        <v/>
      </c>
      <c r="U48">
        <f>ABS('表 62_滾算紀錄3'!U67)</f>
        <v/>
      </c>
      <c r="V48">
        <f>ABS('表 62_滾算紀錄3'!V67)</f>
        <v/>
      </c>
      <c r="W48">
        <f>ABS('表 62_滾算紀錄3'!W67)</f>
        <v/>
      </c>
    </row>
    <row r="49">
      <c r="B49" t="inlineStr">
        <is>
          <t>表 62</t>
        </is>
      </c>
      <c r="D49">
        <f>ABS('表 62_滾算紀錄2'!D67)</f>
        <v/>
      </c>
      <c r="E49">
        <f>ABS('表 62_滾算紀錄2'!E67)</f>
        <v/>
      </c>
      <c r="F49">
        <f>ABS('表 62_滾算紀錄2'!F67)</f>
        <v/>
      </c>
      <c r="G49">
        <f>ABS('表 62_滾算紀錄2'!G67)</f>
        <v/>
      </c>
      <c r="H49">
        <f>ABS('表 62_滾算紀錄2'!H67)</f>
        <v/>
      </c>
      <c r="I49">
        <f>ABS('表 62_滾算紀錄2'!I67)</f>
        <v/>
      </c>
      <c r="J49">
        <f>ABS('表 62_滾算紀錄2'!J67)</f>
        <v/>
      </c>
      <c r="K49">
        <f>ABS('表 62_滾算紀錄2'!K67)</f>
        <v/>
      </c>
      <c r="L49">
        <f>ABS('表 62_滾算紀錄2'!L67)</f>
        <v/>
      </c>
      <c r="M49">
        <f>ABS('表 62_滾算紀錄2'!M67)</f>
        <v/>
      </c>
      <c r="N49">
        <f>ABS('表 62_滾算紀錄2'!N67)</f>
        <v/>
      </c>
      <c r="O49">
        <f>ABS('表 62_滾算紀錄2'!O67)</f>
        <v/>
      </c>
      <c r="P49">
        <f>ABS('表 62_滾算紀錄2'!P67)</f>
        <v/>
      </c>
      <c r="Q49">
        <f>ABS('表 62_滾算紀錄2'!Q67)</f>
        <v/>
      </c>
      <c r="R49">
        <f>ABS('表 62_滾算紀錄2'!R67)</f>
        <v/>
      </c>
      <c r="S49">
        <f>ABS('表 62_滾算紀錄2'!S67)</f>
        <v/>
      </c>
      <c r="T49">
        <f>ABS('表 62_滾算紀錄2'!T67)</f>
        <v/>
      </c>
      <c r="U49">
        <f>ABS('表 62_滾算紀錄2'!U67)</f>
        <v/>
      </c>
      <c r="V49">
        <f>ABS('表 62_滾算紀錄2'!V67)</f>
        <v/>
      </c>
      <c r="W49">
        <f>ABS('表 62_滾算紀錄2'!W67)</f>
        <v/>
      </c>
    </row>
    <row r="50">
      <c r="B50" t="inlineStr">
        <is>
          <t>表 62</t>
        </is>
      </c>
      <c r="D50">
        <f>ABS('表 62_滾算紀錄4'!D67)</f>
        <v/>
      </c>
      <c r="E50">
        <f>ABS('表 62_滾算紀錄4'!E67)</f>
        <v/>
      </c>
      <c r="F50">
        <f>ABS('表 62_滾算紀錄4'!F67)</f>
        <v/>
      </c>
      <c r="G50">
        <f>ABS('表 62_滾算紀錄4'!G67)</f>
        <v/>
      </c>
      <c r="H50">
        <f>ABS('表 62_滾算紀錄4'!H67)</f>
        <v/>
      </c>
      <c r="I50">
        <f>ABS('表 62_滾算紀錄4'!I67)</f>
        <v/>
      </c>
      <c r="J50">
        <f>ABS('表 62_滾算紀錄4'!J67)</f>
        <v/>
      </c>
      <c r="K50">
        <f>ABS('表 62_滾算紀錄4'!K67)</f>
        <v/>
      </c>
      <c r="L50">
        <f>ABS('表 62_滾算紀錄4'!L67)</f>
        <v/>
      </c>
      <c r="M50">
        <f>ABS('表 62_滾算紀錄4'!M67)</f>
        <v/>
      </c>
      <c r="N50">
        <f>ABS('表 62_滾算紀錄4'!N67)</f>
        <v/>
      </c>
      <c r="O50">
        <f>ABS('表 62_滾算紀錄4'!O67)</f>
        <v/>
      </c>
      <c r="P50">
        <f>ABS('表 62_滾算紀錄4'!P67)</f>
        <v/>
      </c>
      <c r="Q50">
        <f>ABS('表 62_滾算紀錄4'!Q67)</f>
        <v/>
      </c>
      <c r="R50">
        <f>ABS('表 62_滾算紀錄4'!R67)</f>
        <v/>
      </c>
      <c r="S50">
        <f>ABS('表 62_滾算紀錄4'!S67)</f>
        <v/>
      </c>
      <c r="T50">
        <f>ABS('表 62_滾算紀錄4'!T67)</f>
        <v/>
      </c>
      <c r="U50">
        <f>ABS('表 62_滾算紀錄4'!U67)</f>
        <v/>
      </c>
      <c r="V50">
        <f>ABS('表 62_滾算紀錄4'!V67)</f>
        <v/>
      </c>
      <c r="W50">
        <f>ABS('表 62_滾算紀錄4'!W67)</f>
        <v/>
      </c>
    </row>
    <row r="51">
      <c r="B51" t="inlineStr">
        <is>
          <t>表 62</t>
        </is>
      </c>
      <c r="D51">
        <f>ABS('表 62_滾算紀錄6'!D67)</f>
        <v/>
      </c>
      <c r="E51">
        <f>ABS('表 62_滾算紀錄6'!E67)</f>
        <v/>
      </c>
      <c r="F51">
        <f>ABS('表 62_滾算紀錄6'!F67)</f>
        <v/>
      </c>
      <c r="G51">
        <f>ABS('表 62_滾算紀錄6'!G67)</f>
        <v/>
      </c>
      <c r="H51">
        <f>ABS('表 62_滾算紀錄6'!H67)</f>
        <v/>
      </c>
      <c r="I51">
        <f>ABS('表 62_滾算紀錄6'!I67)</f>
        <v/>
      </c>
      <c r="J51">
        <f>ABS('表 62_滾算紀錄6'!J67)</f>
        <v/>
      </c>
      <c r="K51">
        <f>ABS('表 62_滾算紀錄6'!K67)</f>
        <v/>
      </c>
      <c r="L51">
        <f>ABS('表 62_滾算紀錄6'!L67)</f>
        <v/>
      </c>
      <c r="M51">
        <f>ABS('表 62_滾算紀錄6'!M67)</f>
        <v/>
      </c>
      <c r="N51">
        <f>ABS('表 62_滾算紀錄6'!N67)</f>
        <v/>
      </c>
      <c r="O51">
        <f>ABS('表 62_滾算紀錄6'!O67)</f>
        <v/>
      </c>
      <c r="P51">
        <f>ABS('表 62_滾算紀錄6'!P67)</f>
        <v/>
      </c>
      <c r="Q51">
        <f>ABS('表 62_滾算紀錄6'!Q67)</f>
        <v/>
      </c>
      <c r="R51">
        <f>ABS('表 62_滾算紀錄6'!R67)</f>
        <v/>
      </c>
      <c r="S51">
        <f>ABS('表 62_滾算紀錄6'!S67)</f>
        <v/>
      </c>
      <c r="T51">
        <f>ABS('表 62_滾算紀錄6'!T67)</f>
        <v/>
      </c>
      <c r="U51">
        <f>ABS('表 62_滾算紀錄6'!U67)</f>
        <v/>
      </c>
      <c r="V51">
        <f>ABS('表 62_滾算紀錄6'!V67)</f>
        <v/>
      </c>
      <c r="W51">
        <f>ABS('表 62_滾算紀錄6'!W67)</f>
        <v/>
      </c>
    </row>
    <row r="52">
      <c r="C52" s="7" t="inlineStr">
        <is>
          <t>設備折舊/年總計</t>
        </is>
      </c>
      <c r="D52" s="7">
        <f>SUM(D48:D51)</f>
        <v/>
      </c>
      <c r="E52" s="7">
        <f>SUM(E48:E51)</f>
        <v/>
      </c>
      <c r="F52" s="7">
        <f>SUM(F48:F51)</f>
        <v/>
      </c>
      <c r="G52" s="7">
        <f>SUM(G48:G51)</f>
        <v/>
      </c>
      <c r="H52" s="7">
        <f>SUM(H48:H51)</f>
        <v/>
      </c>
      <c r="I52" s="7">
        <f>SUM(I48:I51)</f>
        <v/>
      </c>
      <c r="J52" s="7">
        <f>SUM(J48:J51)</f>
        <v/>
      </c>
      <c r="K52" s="7">
        <f>SUM(K48:K51)</f>
        <v/>
      </c>
      <c r="L52" s="7">
        <f>SUM(L48:L51)</f>
        <v/>
      </c>
      <c r="M52" s="7">
        <f>SUM(M48:M51)</f>
        <v/>
      </c>
      <c r="N52" s="7">
        <f>SUM(N48:N51)</f>
        <v/>
      </c>
      <c r="O52" s="7">
        <f>SUM(O48:O51)</f>
        <v/>
      </c>
      <c r="P52" s="7">
        <f>SUM(P48:P51)</f>
        <v/>
      </c>
      <c r="Q52" s="7">
        <f>SUM(Q48:Q51)</f>
        <v/>
      </c>
      <c r="R52" s="7">
        <f>SUM(R48:R51)</f>
        <v/>
      </c>
      <c r="S52" s="7">
        <f>SUM(S48:S51)</f>
        <v/>
      </c>
      <c r="T52" s="7">
        <f>SUM(T48:T51)</f>
        <v/>
      </c>
      <c r="U52" s="7">
        <f>SUM(U48:U51)</f>
        <v/>
      </c>
      <c r="V52" s="7">
        <f>SUM(V48:V51)</f>
        <v/>
      </c>
      <c r="W52" s="7">
        <f>SUM(W48:W51)</f>
        <v/>
      </c>
    </row>
    <row r="59" ht="18.75" customHeight="1">
      <c r="B59" s="8" t="n"/>
      <c r="C59" s="9" t="inlineStr">
        <is>
          <t>年份</t>
        </is>
      </c>
      <c r="D59" s="9" t="n">
        <v>2023</v>
      </c>
      <c r="E59" s="9" t="n">
        <v>2024</v>
      </c>
      <c r="F59" s="9" t="n">
        <v>2025</v>
      </c>
      <c r="G59" s="9" t="n">
        <v>2026</v>
      </c>
      <c r="H59" s="9" t="n">
        <v>2027</v>
      </c>
      <c r="I59" s="9" t="n">
        <v>2028</v>
      </c>
      <c r="J59" s="9" t="n">
        <v>2029</v>
      </c>
      <c r="K59" s="9" t="n">
        <v>2030</v>
      </c>
      <c r="L59" s="9" t="n">
        <v>2031</v>
      </c>
      <c r="M59" s="9" t="n">
        <v>2032</v>
      </c>
      <c r="N59" s="9" t="n">
        <v>2033</v>
      </c>
      <c r="O59" s="9" t="n">
        <v>2034</v>
      </c>
      <c r="P59" s="9" t="n">
        <v>2035</v>
      </c>
      <c r="Q59" s="9" t="n">
        <v>2036</v>
      </c>
      <c r="R59" s="9" t="n">
        <v>2037</v>
      </c>
      <c r="S59" s="9" t="n">
        <v>2038</v>
      </c>
      <c r="T59" s="9" t="n">
        <v>2039</v>
      </c>
      <c r="U59" s="9" t="n">
        <v>2040</v>
      </c>
      <c r="V59" s="9" t="n">
        <v>2041</v>
      </c>
      <c r="W59" s="9" t="n">
        <v>2042</v>
      </c>
    </row>
    <row r="60" ht="18.75" customHeight="1">
      <c r="B60" s="10" t="n">
        <v>0</v>
      </c>
      <c r="C60" s="11" t="n"/>
      <c r="D60" s="12" t="n"/>
      <c r="E60" s="12" t="n"/>
      <c r="F60" s="13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5" t="n"/>
      <c r="U60" s="14" t="n"/>
      <c r="V60" s="14" t="n"/>
      <c r="W60" s="14" t="n"/>
    </row>
    <row r="61" ht="18.75" customHeight="1">
      <c r="B61" s="16" t="inlineStr">
        <is>
          <t>(Unit : Currency)</t>
        </is>
      </c>
      <c r="C61" s="17" t="n">
        <v>0</v>
      </c>
      <c r="D61" s="18" t="n">
        <v>1</v>
      </c>
      <c r="E61" s="18" t="n">
        <v>2</v>
      </c>
      <c r="F61" s="18" t="n">
        <v>3</v>
      </c>
      <c r="G61" s="18" t="n">
        <v>4</v>
      </c>
      <c r="H61" s="18" t="n">
        <v>5</v>
      </c>
      <c r="I61" s="18" t="n">
        <v>6</v>
      </c>
      <c r="J61" s="18" t="n">
        <v>7</v>
      </c>
      <c r="K61" s="18" t="n">
        <v>8</v>
      </c>
      <c r="L61" s="18" t="n">
        <v>9</v>
      </c>
      <c r="M61" s="18" t="n">
        <v>10</v>
      </c>
      <c r="N61" s="18" t="n">
        <v>11</v>
      </c>
      <c r="O61" s="18" t="n">
        <v>12</v>
      </c>
      <c r="P61" s="18" t="n">
        <v>13</v>
      </c>
      <c r="Q61" s="18" t="n">
        <v>14</v>
      </c>
      <c r="R61" s="18" t="n">
        <v>15</v>
      </c>
      <c r="S61" s="18" t="n">
        <v>16</v>
      </c>
      <c r="T61" s="19" t="n">
        <v>17</v>
      </c>
      <c r="U61" s="18" t="n">
        <v>18</v>
      </c>
      <c r="V61" s="18" t="n">
        <v>19</v>
      </c>
      <c r="W61" s="18" t="n">
        <v>20</v>
      </c>
    </row>
    <row r="62" ht="18.75" customHeight="1">
      <c r="B62" s="20" t="inlineStr">
        <is>
          <t>發電度數(KWH)</t>
        </is>
      </c>
      <c r="C62" s="21" t="n">
        <v>0</v>
      </c>
      <c r="D62" s="22">
        <f>D10</f>
        <v/>
      </c>
      <c r="E62" s="22">
        <f>E10</f>
        <v/>
      </c>
      <c r="F62" s="22">
        <f>F10</f>
        <v/>
      </c>
      <c r="G62" s="22">
        <f>G10</f>
        <v/>
      </c>
      <c r="H62" s="22">
        <f>H10</f>
        <v/>
      </c>
      <c r="I62" s="22">
        <f>I10</f>
        <v/>
      </c>
      <c r="J62" s="22">
        <f>J10</f>
        <v/>
      </c>
      <c r="K62" s="22">
        <f>K10</f>
        <v/>
      </c>
      <c r="L62" s="22">
        <f>L10</f>
        <v/>
      </c>
      <c r="M62" s="22">
        <f>M10</f>
        <v/>
      </c>
      <c r="N62" s="22">
        <f>N10</f>
        <v/>
      </c>
      <c r="O62" s="22">
        <f>O10</f>
        <v/>
      </c>
      <c r="P62" s="22">
        <f>P10</f>
        <v/>
      </c>
      <c r="Q62" s="22">
        <f>Q10</f>
        <v/>
      </c>
      <c r="R62" s="22">
        <f>R10</f>
        <v/>
      </c>
      <c r="S62" s="22">
        <f>S10</f>
        <v/>
      </c>
      <c r="T62" s="22">
        <f>T10</f>
        <v/>
      </c>
      <c r="U62" s="22">
        <f>U10</f>
        <v/>
      </c>
      <c r="V62" s="22">
        <f>V10</f>
        <v/>
      </c>
      <c r="W62" s="22">
        <f>W10</f>
        <v/>
      </c>
    </row>
    <row r="63" ht="18.75" customHeight="1">
      <c r="B63" s="23" t="inlineStr">
        <is>
          <t>Inflow : 電費收入</t>
        </is>
      </c>
      <c r="C63" s="24" t="inlineStr">
        <is>
          <t>-</t>
        </is>
      </c>
      <c r="D63" s="25">
        <f>D16</f>
        <v/>
      </c>
      <c r="E63" s="25">
        <f>E16</f>
        <v/>
      </c>
      <c r="F63" s="25">
        <f>F16</f>
        <v/>
      </c>
      <c r="G63" s="25">
        <f>G16</f>
        <v/>
      </c>
      <c r="H63" s="25">
        <f>H16</f>
        <v/>
      </c>
      <c r="I63" s="25">
        <f>I16</f>
        <v/>
      </c>
      <c r="J63" s="25">
        <f>J16</f>
        <v/>
      </c>
      <c r="K63" s="25">
        <f>K16</f>
        <v/>
      </c>
      <c r="L63" s="25">
        <f>L16</f>
        <v/>
      </c>
      <c r="M63" s="25">
        <f>M16</f>
        <v/>
      </c>
      <c r="N63" s="25">
        <f>N16</f>
        <v/>
      </c>
      <c r="O63" s="25">
        <f>O16</f>
        <v/>
      </c>
      <c r="P63" s="25">
        <f>P16</f>
        <v/>
      </c>
      <c r="Q63" s="25">
        <f>Q16</f>
        <v/>
      </c>
      <c r="R63" s="25">
        <f>R16</f>
        <v/>
      </c>
      <c r="S63" s="25">
        <f>S16</f>
        <v/>
      </c>
      <c r="T63" s="25">
        <f>T16</f>
        <v/>
      </c>
      <c r="U63" s="25">
        <f>U16</f>
        <v/>
      </c>
      <c r="V63" s="25">
        <f>V16</f>
        <v/>
      </c>
      <c r="W63" s="25">
        <f>W16</f>
        <v/>
      </c>
    </row>
    <row r="64" ht="18.75" customHeight="1">
      <c r="B64" s="26" t="inlineStr">
        <is>
          <t>Inflow : 政府補助</t>
        </is>
      </c>
      <c r="C64" s="27" t="inlineStr">
        <is>
          <t>-</t>
        </is>
      </c>
      <c r="D64" s="28" t="n"/>
      <c r="E64" s="28" t="n"/>
      <c r="F64" s="28" t="n"/>
      <c r="G64" s="28" t="inlineStr">
        <is>
          <t>-</t>
        </is>
      </c>
      <c r="H64" s="28" t="inlineStr">
        <is>
          <t>-</t>
        </is>
      </c>
      <c r="I64" s="28" t="inlineStr">
        <is>
          <t>-</t>
        </is>
      </c>
      <c r="J64" s="28" t="inlineStr">
        <is>
          <t>-</t>
        </is>
      </c>
      <c r="K64" s="28" t="inlineStr">
        <is>
          <t>-</t>
        </is>
      </c>
      <c r="L64" s="28" t="inlineStr">
        <is>
          <t>-</t>
        </is>
      </c>
      <c r="M64" s="28" t="inlineStr">
        <is>
          <t>-</t>
        </is>
      </c>
      <c r="N64" s="28" t="inlineStr">
        <is>
          <t>-</t>
        </is>
      </c>
      <c r="O64" s="28" t="inlineStr">
        <is>
          <t>-</t>
        </is>
      </c>
      <c r="P64" s="28" t="inlineStr">
        <is>
          <t>-</t>
        </is>
      </c>
      <c r="Q64" s="28" t="inlineStr">
        <is>
          <t>-</t>
        </is>
      </c>
      <c r="R64" s="28" t="inlineStr">
        <is>
          <t>-</t>
        </is>
      </c>
      <c r="S64" s="28" t="inlineStr">
        <is>
          <t>-</t>
        </is>
      </c>
      <c r="T64" s="28" t="inlineStr">
        <is>
          <t>-</t>
        </is>
      </c>
      <c r="U64" s="28" t="inlineStr">
        <is>
          <t>-</t>
        </is>
      </c>
      <c r="V64" s="28" t="inlineStr">
        <is>
          <t>-</t>
        </is>
      </c>
      <c r="W64" s="28" t="inlineStr">
        <is>
          <t>-</t>
        </is>
      </c>
    </row>
    <row r="65" ht="18.75" customHeight="1">
      <c r="B65" s="29" t="inlineStr">
        <is>
          <t>Inflow : 銀行借款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</row>
    <row r="66" ht="18.75" customHeight="1">
      <c r="B66" s="32" t="inlineStr">
        <is>
          <t>Outflow : 設備費用</t>
        </is>
      </c>
      <c r="C66" s="27">
        <f>-(D16/(1-D17)+D18)*C4</f>
        <v/>
      </c>
      <c r="D66" s="33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</row>
    <row r="67" ht="18.75" customHeight="1">
      <c r="B67" s="32" t="inlineStr">
        <is>
          <t>Outflow : 設備放置區域租金</t>
        </is>
      </c>
      <c r="C67" s="27" t="inlineStr">
        <is>
          <t>-</t>
        </is>
      </c>
      <c r="D67" s="28">
        <f>D22</f>
        <v/>
      </c>
      <c r="E67" s="28">
        <f>E22</f>
        <v/>
      </c>
      <c r="F67" s="28">
        <f>F22</f>
        <v/>
      </c>
      <c r="G67" s="28">
        <f>G22</f>
        <v/>
      </c>
      <c r="H67" s="28">
        <f>H22</f>
        <v/>
      </c>
      <c r="I67" s="28">
        <f>I22</f>
        <v/>
      </c>
      <c r="J67" s="28">
        <f>J22</f>
        <v/>
      </c>
      <c r="K67" s="28">
        <f>K22</f>
        <v/>
      </c>
      <c r="L67" s="28">
        <f>L22</f>
        <v/>
      </c>
      <c r="M67" s="28">
        <f>M22</f>
        <v/>
      </c>
      <c r="N67" s="28">
        <f>N22</f>
        <v/>
      </c>
      <c r="O67" s="28">
        <f>O22</f>
        <v/>
      </c>
      <c r="P67" s="28">
        <f>P22</f>
        <v/>
      </c>
      <c r="Q67" s="28">
        <f>Q22</f>
        <v/>
      </c>
      <c r="R67" s="28">
        <f>R22</f>
        <v/>
      </c>
      <c r="S67" s="28">
        <f>S22</f>
        <v/>
      </c>
      <c r="T67" s="28">
        <f>T22</f>
        <v/>
      </c>
      <c r="U67" s="28">
        <f>U22</f>
        <v/>
      </c>
      <c r="V67" s="28">
        <f>V22</f>
        <v/>
      </c>
      <c r="W67" s="28">
        <f>W22</f>
        <v/>
      </c>
    </row>
    <row r="68" ht="18.75" customHeight="1">
      <c r="B68" s="32" t="inlineStr">
        <is>
          <t>Outflow : 返還借款</t>
        </is>
      </c>
      <c r="C68" s="27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</row>
    <row r="69" ht="18.75" customHeight="1">
      <c r="B69" s="32" t="inlineStr">
        <is>
          <t>Outflow : 利息費用</t>
        </is>
      </c>
      <c r="C69" s="27" t="inlineStr">
        <is>
          <t>-</t>
        </is>
      </c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</row>
    <row r="70" ht="18.75" customHeight="1">
      <c r="B70" s="32" t="inlineStr">
        <is>
          <t>Outflow : 維運費</t>
        </is>
      </c>
      <c r="C70" s="27" t="inlineStr">
        <is>
          <t>-</t>
        </is>
      </c>
      <c r="D70" s="28">
        <f>D28</f>
        <v/>
      </c>
      <c r="E70" s="28">
        <f>E28</f>
        <v/>
      </c>
      <c r="F70" s="28">
        <f>F28</f>
        <v/>
      </c>
      <c r="G70" s="28">
        <f>G28</f>
        <v/>
      </c>
      <c r="H70" s="28">
        <f>H28</f>
        <v/>
      </c>
      <c r="I70" s="28">
        <f>I28</f>
        <v/>
      </c>
      <c r="J70" s="28">
        <f>J28</f>
        <v/>
      </c>
      <c r="K70" s="28">
        <f>K28</f>
        <v/>
      </c>
      <c r="L70" s="28">
        <f>L28</f>
        <v/>
      </c>
      <c r="M70" s="28">
        <f>M28</f>
        <v/>
      </c>
      <c r="N70" s="28">
        <f>N28</f>
        <v/>
      </c>
      <c r="O70" s="28">
        <f>O28</f>
        <v/>
      </c>
      <c r="P70" s="28">
        <f>P28</f>
        <v/>
      </c>
      <c r="Q70" s="28">
        <f>Q28</f>
        <v/>
      </c>
      <c r="R70" s="28">
        <f>R28</f>
        <v/>
      </c>
      <c r="S70" s="28">
        <f>S28</f>
        <v/>
      </c>
      <c r="T70" s="28">
        <f>T28</f>
        <v/>
      </c>
      <c r="U70" s="28">
        <f>U28</f>
        <v/>
      </c>
      <c r="V70" s="28">
        <f>V28</f>
        <v/>
      </c>
      <c r="W70" s="28">
        <f>W28</f>
        <v/>
      </c>
    </row>
    <row r="71" ht="18.75" customHeight="1">
      <c r="B71" s="32" t="inlineStr">
        <is>
          <t>Outflow : 保險費</t>
        </is>
      </c>
      <c r="C71" s="27" t="inlineStr">
        <is>
          <t>-</t>
        </is>
      </c>
      <c r="D71" s="28">
        <f>D34</f>
        <v/>
      </c>
      <c r="E71" s="28">
        <f>E34</f>
        <v/>
      </c>
      <c r="F71" s="28">
        <f>F34</f>
        <v/>
      </c>
      <c r="G71" s="28">
        <f>G34</f>
        <v/>
      </c>
      <c r="H71" s="28">
        <f>H34</f>
        <v/>
      </c>
      <c r="I71" s="28">
        <f>I34</f>
        <v/>
      </c>
      <c r="J71" s="28">
        <f>J34</f>
        <v/>
      </c>
      <c r="K71" s="28">
        <f>K34</f>
        <v/>
      </c>
      <c r="L71" s="28">
        <f>L34</f>
        <v/>
      </c>
      <c r="M71" s="28">
        <f>M34</f>
        <v/>
      </c>
      <c r="N71" s="28">
        <f>N34</f>
        <v/>
      </c>
      <c r="O71" s="28">
        <f>O34</f>
        <v/>
      </c>
      <c r="P71" s="28">
        <f>P34</f>
        <v/>
      </c>
      <c r="Q71" s="28">
        <f>Q34</f>
        <v/>
      </c>
      <c r="R71" s="28">
        <f>R34</f>
        <v/>
      </c>
      <c r="S71" s="28">
        <f>S34</f>
        <v/>
      </c>
      <c r="T71" s="28">
        <f>T34</f>
        <v/>
      </c>
      <c r="U71" s="28">
        <f>U34</f>
        <v/>
      </c>
      <c r="V71" s="28">
        <f>V34</f>
        <v/>
      </c>
      <c r="W71" s="28">
        <f>W34</f>
        <v/>
      </c>
    </row>
    <row r="72" ht="18.75" customHeight="1">
      <c r="B72" s="32" t="inlineStr">
        <is>
          <t>Outflow : 模組回收費</t>
        </is>
      </c>
      <c r="C72" s="27" t="n"/>
      <c r="D72" s="28">
        <f>D40</f>
        <v/>
      </c>
      <c r="E72" s="28">
        <f>E40</f>
        <v/>
      </c>
      <c r="F72" s="28">
        <f>F40</f>
        <v/>
      </c>
      <c r="G72" s="28">
        <f>G40</f>
        <v/>
      </c>
      <c r="H72" s="28">
        <f>H40</f>
        <v/>
      </c>
      <c r="I72" s="28">
        <f>I40</f>
        <v/>
      </c>
      <c r="J72" s="28">
        <f>J40</f>
        <v/>
      </c>
      <c r="K72" s="28">
        <f>K40</f>
        <v/>
      </c>
      <c r="L72" s="28">
        <f>L40</f>
        <v/>
      </c>
      <c r="M72" s="28">
        <f>M40</f>
        <v/>
      </c>
      <c r="N72" s="28">
        <f>N40</f>
        <v/>
      </c>
      <c r="O72" s="28">
        <f>O40</f>
        <v/>
      </c>
      <c r="P72" s="28">
        <f>P40</f>
        <v/>
      </c>
      <c r="Q72" s="28">
        <f>Q40</f>
        <v/>
      </c>
      <c r="R72" s="28">
        <f>R40</f>
        <v/>
      </c>
      <c r="S72" s="28">
        <f>S40</f>
        <v/>
      </c>
      <c r="T72" s="28">
        <f>T40</f>
        <v/>
      </c>
      <c r="U72" s="28">
        <f>U40</f>
        <v/>
      </c>
      <c r="V72" s="28">
        <f>V40</f>
        <v/>
      </c>
      <c r="W72" s="28">
        <f>W40</f>
        <v/>
      </c>
    </row>
    <row r="73" ht="18.75" customHeight="1">
      <c r="B73" s="32" t="inlineStr">
        <is>
          <t>Outflow : 其它費用(人事薪資…等)</t>
        </is>
      </c>
      <c r="C73" s="34" t="n"/>
      <c r="D73" s="35" t="n"/>
      <c r="E73" s="36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</row>
    <row r="74" ht="18.75" customHeight="1">
      <c r="B74" s="32" t="inlineStr">
        <is>
          <t>1%管理費</t>
        </is>
      </c>
      <c r="C74" s="34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</row>
    <row r="75" ht="18.75" customHeight="1">
      <c r="B75" s="37" t="inlineStr">
        <is>
          <t>績效獎金</t>
        </is>
      </c>
      <c r="C75" s="34" t="n"/>
      <c r="D75" s="38" t="n"/>
      <c r="E75" s="3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</row>
    <row r="76" ht="18.75" customHeight="1">
      <c r="B76" s="37" t="inlineStr">
        <is>
          <t>所得稅20%</t>
        </is>
      </c>
      <c r="C76" s="34" t="n"/>
      <c r="D76" s="28">
        <f>D46</f>
        <v/>
      </c>
      <c r="E76" s="28">
        <f>E46</f>
        <v/>
      </c>
      <c r="F76" s="28">
        <f>F46</f>
        <v/>
      </c>
      <c r="G76" s="28">
        <f>G46</f>
        <v/>
      </c>
      <c r="H76" s="28">
        <f>H46</f>
        <v/>
      </c>
      <c r="I76" s="28">
        <f>I46</f>
        <v/>
      </c>
      <c r="J76" s="28">
        <f>J46</f>
        <v/>
      </c>
      <c r="K76" s="28">
        <f>K46</f>
        <v/>
      </c>
      <c r="L76" s="28">
        <f>L46</f>
        <v/>
      </c>
      <c r="M76" s="28">
        <f>M46</f>
        <v/>
      </c>
      <c r="N76" s="28">
        <f>N46</f>
        <v/>
      </c>
      <c r="O76" s="28">
        <f>O46</f>
        <v/>
      </c>
      <c r="P76" s="28">
        <f>P46</f>
        <v/>
      </c>
      <c r="Q76" s="28">
        <f>Q46</f>
        <v/>
      </c>
      <c r="R76" s="28">
        <f>R46</f>
        <v/>
      </c>
      <c r="S76" s="28">
        <f>S46</f>
        <v/>
      </c>
      <c r="T76" s="28">
        <f>T46</f>
        <v/>
      </c>
      <c r="U76" s="28">
        <f>U46</f>
        <v/>
      </c>
      <c r="V76" s="28">
        <f>V46</f>
        <v/>
      </c>
      <c r="W76" s="28">
        <f>W46</f>
        <v/>
      </c>
    </row>
    <row r="77" ht="18.75" customHeight="1">
      <c r="B77" s="39" t="inlineStr">
        <is>
          <t>現金流</t>
        </is>
      </c>
      <c r="C77" s="40">
        <f>C44</f>
        <v/>
      </c>
      <c r="D77" s="41">
        <f>SUM(D41:D54)</f>
        <v/>
      </c>
      <c r="E77" s="41">
        <f>SUM(E41:E54)</f>
        <v/>
      </c>
      <c r="F77" s="41">
        <f>SUM(F41:F54)</f>
        <v/>
      </c>
      <c r="G77" s="41">
        <f>SUM(G41:G54)</f>
        <v/>
      </c>
      <c r="H77" s="41">
        <f>SUM(H41:H54)</f>
        <v/>
      </c>
      <c r="I77" s="41">
        <f>SUM(I41:I54)</f>
        <v/>
      </c>
      <c r="J77" s="41">
        <f>SUM(J41:J54)</f>
        <v/>
      </c>
      <c r="K77" s="41">
        <f>SUM(K41:K54)</f>
        <v/>
      </c>
      <c r="L77" s="41">
        <f>SUM(L41:L54)</f>
        <v/>
      </c>
      <c r="M77" s="41">
        <f>SUM(M41:M54)</f>
        <v/>
      </c>
      <c r="N77" s="41">
        <f>SUM(N41:N54)</f>
        <v/>
      </c>
      <c r="O77" s="41">
        <f>SUM(O41:O54)</f>
        <v/>
      </c>
      <c r="P77" s="41">
        <f>SUM(P41:P54)</f>
        <v/>
      </c>
      <c r="Q77" s="41">
        <f>SUM(Q41:Q54)</f>
        <v/>
      </c>
      <c r="R77" s="41">
        <f>SUM(R41:R54)</f>
        <v/>
      </c>
      <c r="S77" s="41">
        <f>SUM(S41:S54)</f>
        <v/>
      </c>
      <c r="T77" s="41">
        <f>SUM(T41:T54)</f>
        <v/>
      </c>
      <c r="U77" s="41">
        <f>SUM(U41:U54)</f>
        <v/>
      </c>
      <c r="V77" s="41">
        <f>SUM(V41:V54)</f>
        <v/>
      </c>
      <c r="W77" s="41">
        <f>SUM(W41:W54)</f>
        <v/>
      </c>
    </row>
    <row r="78" ht="18.75" customHeight="1">
      <c r="B78" s="42" t="inlineStr">
        <is>
          <t>累計現金流</t>
        </is>
      </c>
      <c r="D78" s="43">
        <f>C55+D55</f>
        <v/>
      </c>
      <c r="E78" s="43">
        <f>D56+E55</f>
        <v/>
      </c>
      <c r="F78" s="43">
        <f>E56+F55</f>
        <v/>
      </c>
      <c r="G78" s="43">
        <f>F56+G55</f>
        <v/>
      </c>
      <c r="H78" s="43">
        <f>G56+H55</f>
        <v/>
      </c>
      <c r="I78" s="43">
        <f>H56+I55</f>
        <v/>
      </c>
      <c r="J78" s="43">
        <f>I56+J55</f>
        <v/>
      </c>
      <c r="K78" s="43">
        <f>J56+K55</f>
        <v/>
      </c>
      <c r="L78" s="43">
        <f>K56+L55</f>
        <v/>
      </c>
      <c r="M78" s="43">
        <f>L56+M55</f>
        <v/>
      </c>
      <c r="N78" s="43">
        <f>M56+N55</f>
        <v/>
      </c>
      <c r="O78" s="43">
        <f>N56+O55</f>
        <v/>
      </c>
      <c r="P78" s="43">
        <f>O56+P55</f>
        <v/>
      </c>
      <c r="Q78" s="43">
        <f>P56+Q55</f>
        <v/>
      </c>
      <c r="R78" s="43">
        <f>Q56+R55</f>
        <v/>
      </c>
      <c r="S78" s="43">
        <f>R56+S55</f>
        <v/>
      </c>
      <c r="T78" s="43">
        <f>S56+T55</f>
        <v/>
      </c>
      <c r="U78" s="43">
        <f>T56+U55</f>
        <v/>
      </c>
      <c r="V78" s="43">
        <f>U56+V55</f>
        <v/>
      </c>
      <c r="W78" s="43">
        <f>V56+W55</f>
        <v/>
      </c>
    </row>
    <row r="79" ht="18.75" customHeight="1">
      <c r="B79" s="44" t="inlineStr">
        <is>
          <t>回收年限評估</t>
        </is>
      </c>
      <c r="C79" s="45" t="n"/>
      <c r="D79" s="46">
        <f>IF((D56)&gt;0,"回收","未回收")</f>
        <v/>
      </c>
      <c r="E79" s="46">
        <f>IF((E56)&gt;0,"回收","未回收")</f>
        <v/>
      </c>
      <c r="F79" s="46">
        <f>IF((F56)&gt;0,"回收","未回收")</f>
        <v/>
      </c>
      <c r="G79" s="46">
        <f>IF((G56)&gt;0,"回收","未回收")</f>
        <v/>
      </c>
      <c r="H79" s="46">
        <f>IF((H56)&gt;0,"回收","未回收")</f>
        <v/>
      </c>
      <c r="I79" s="46">
        <f>IF((I56)&gt;0,"回收","未回收")</f>
        <v/>
      </c>
      <c r="J79" s="46">
        <f>IF((J56)&gt;0,"回收","未回收")</f>
        <v/>
      </c>
      <c r="K79" s="46">
        <f>IF((K56)&gt;0,"回收","未回收")</f>
        <v/>
      </c>
      <c r="L79" s="46">
        <f>IF((L56)&gt;0,"回收","未回收")</f>
        <v/>
      </c>
      <c r="M79" s="46">
        <f>IF((M56)&gt;0,"回收","未回收")</f>
        <v/>
      </c>
      <c r="N79" s="46">
        <f>IF((N56)&gt;0,"回收","未回收")</f>
        <v/>
      </c>
      <c r="O79" s="46">
        <f>IF((O56)&gt;0,"回收","未回收")</f>
        <v/>
      </c>
      <c r="P79" s="46">
        <f>IF((P56)&gt;0,"回收","未回收")</f>
        <v/>
      </c>
      <c r="Q79" s="46">
        <f>IF((Q56)&gt;0,"回收","未回收")</f>
        <v/>
      </c>
      <c r="R79" s="46">
        <f>IF((R56)&gt;0,"回收","未回收")</f>
        <v/>
      </c>
      <c r="S79" s="46">
        <f>IF((S56)&gt;0,"回收","未回收")</f>
        <v/>
      </c>
      <c r="T79" s="46">
        <f>IF((T56)&gt;0,"回收","未回收")</f>
        <v/>
      </c>
      <c r="U79" s="46">
        <f>IF((U56)&gt;0,"回收","未回收")</f>
        <v/>
      </c>
      <c r="V79" s="46">
        <f>IF((V56)&gt;0,"回收","未回收")</f>
        <v/>
      </c>
      <c r="W79" s="46">
        <f>IF((W56)&gt;0,"回收","未回收")</f>
        <v/>
      </c>
    </row>
    <row r="80" ht="18.75" customHeight="1">
      <c r="B80" s="47" t="inlineStr">
        <is>
          <t>專案法IRR</t>
        </is>
      </c>
      <c r="C80" s="48">
        <f>IRR(C55:W55)</f>
        <v/>
      </c>
      <c r="D80" s="49" t="n"/>
      <c r="E80" s="49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</row>
    <row r="82" ht="18.75" customHeight="1">
      <c r="B82" s="8" t="n"/>
      <c r="C82" s="9" t="inlineStr">
        <is>
          <t>年份</t>
        </is>
      </c>
      <c r="D82" s="9" t="n">
        <v>2023</v>
      </c>
      <c r="E82" s="9" t="n">
        <v>2024</v>
      </c>
      <c r="F82" s="9" t="n">
        <v>2025</v>
      </c>
      <c r="G82" s="9" t="n">
        <v>2026</v>
      </c>
      <c r="H82" s="9" t="n">
        <v>2027</v>
      </c>
      <c r="I82" s="9" t="n">
        <v>2028</v>
      </c>
      <c r="J82" s="9" t="n">
        <v>2029</v>
      </c>
      <c r="K82" s="9" t="n">
        <v>2030</v>
      </c>
      <c r="L82" s="9" t="n">
        <v>2031</v>
      </c>
      <c r="M82" s="9" t="n">
        <v>2032</v>
      </c>
      <c r="N82" s="9" t="n">
        <v>2033</v>
      </c>
      <c r="O82" s="9" t="n">
        <v>2034</v>
      </c>
      <c r="P82" s="9" t="n">
        <v>2035</v>
      </c>
      <c r="Q82" s="9" t="n">
        <v>2036</v>
      </c>
      <c r="R82" s="9" t="n">
        <v>2037</v>
      </c>
      <c r="S82" s="9" t="n">
        <v>2038</v>
      </c>
      <c r="T82" s="9" t="n">
        <v>2039</v>
      </c>
      <c r="U82" s="9" t="n">
        <v>2040</v>
      </c>
      <c r="V82" s="9" t="n">
        <v>2041</v>
      </c>
      <c r="W82" s="9" t="n">
        <v>2042</v>
      </c>
    </row>
    <row r="83" ht="18.75" customHeight="1">
      <c r="B83" s="10" t="n">
        <v>0</v>
      </c>
      <c r="C83" s="11" t="n"/>
      <c r="D83" s="12" t="n"/>
      <c r="E83" s="12" t="n"/>
      <c r="F83" s="13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51" t="inlineStr">
        <is>
          <t>償還年限</t>
        </is>
      </c>
      <c r="U83" s="14" t="n"/>
      <c r="V83" s="14" t="n"/>
      <c r="W83" s="14" t="n"/>
    </row>
    <row r="84" ht="18.75" customHeight="1">
      <c r="B84" s="16" t="inlineStr">
        <is>
          <t>(Unit : Currency)</t>
        </is>
      </c>
      <c r="C84" s="17" t="n">
        <v>0</v>
      </c>
      <c r="D84" s="18" t="n">
        <v>1</v>
      </c>
      <c r="E84" s="18" t="n">
        <v>2</v>
      </c>
      <c r="F84" s="18" t="n">
        <v>3</v>
      </c>
      <c r="G84" s="18" t="n">
        <v>4</v>
      </c>
      <c r="H84" s="18" t="n">
        <v>5</v>
      </c>
      <c r="I84" s="18" t="n">
        <v>6</v>
      </c>
      <c r="J84" s="18" t="n">
        <v>7</v>
      </c>
      <c r="K84" s="18" t="n">
        <v>8</v>
      </c>
      <c r="L84" s="18" t="n">
        <v>9</v>
      </c>
      <c r="M84" s="18" t="n">
        <v>10</v>
      </c>
      <c r="N84" s="18" t="n">
        <v>11</v>
      </c>
      <c r="O84" s="18" t="n">
        <v>12</v>
      </c>
      <c r="P84" s="18" t="n">
        <v>13</v>
      </c>
      <c r="Q84" s="18" t="n">
        <v>14</v>
      </c>
      <c r="R84" s="18" t="n">
        <v>15</v>
      </c>
      <c r="S84" s="18" t="n">
        <v>16</v>
      </c>
      <c r="T84" s="52" t="n">
        <v>17</v>
      </c>
      <c r="U84" s="18" t="n">
        <v>18</v>
      </c>
      <c r="V84" s="18" t="n">
        <v>19</v>
      </c>
      <c r="W84" s="18" t="n">
        <v>20</v>
      </c>
    </row>
    <row r="85" ht="18.75" customHeight="1">
      <c r="B85" s="20" t="inlineStr">
        <is>
          <t>發電度數(KWH)</t>
        </is>
      </c>
      <c r="C85" s="21" t="n">
        <v>0</v>
      </c>
      <c r="D85" s="22">
        <f>D40</f>
        <v/>
      </c>
      <c r="E85" s="22">
        <f>E40</f>
        <v/>
      </c>
      <c r="F85" s="22">
        <f>F40</f>
        <v/>
      </c>
      <c r="G85" s="22">
        <f>G40</f>
        <v/>
      </c>
      <c r="H85" s="22">
        <f>H40</f>
        <v/>
      </c>
      <c r="I85" s="22">
        <f>I40</f>
        <v/>
      </c>
      <c r="J85" s="22">
        <f>J40</f>
        <v/>
      </c>
      <c r="K85" s="22">
        <f>K40</f>
        <v/>
      </c>
      <c r="L85" s="22">
        <f>L40</f>
        <v/>
      </c>
      <c r="M85" s="22">
        <f>M40</f>
        <v/>
      </c>
      <c r="N85" s="22">
        <f>N40</f>
        <v/>
      </c>
      <c r="O85" s="22">
        <f>O40</f>
        <v/>
      </c>
      <c r="P85" s="22">
        <f>P40</f>
        <v/>
      </c>
      <c r="Q85" s="22">
        <f>Q40</f>
        <v/>
      </c>
      <c r="R85" s="22">
        <f>R40</f>
        <v/>
      </c>
      <c r="S85" s="22">
        <f>S40</f>
        <v/>
      </c>
      <c r="T85" s="22">
        <f>T40</f>
        <v/>
      </c>
      <c r="U85" s="22">
        <f>U40</f>
        <v/>
      </c>
      <c r="V85" s="22">
        <f>V40</f>
        <v/>
      </c>
      <c r="W85" s="22">
        <f>W40</f>
        <v/>
      </c>
    </row>
    <row r="86" ht="18.75" customHeight="1">
      <c r="B86" s="23" t="inlineStr">
        <is>
          <t>Inflow : 電費收入</t>
        </is>
      </c>
      <c r="C86" s="24" t="inlineStr">
        <is>
          <t>-</t>
        </is>
      </c>
      <c r="D86" s="25">
        <f>D41</f>
        <v/>
      </c>
      <c r="E86" s="25">
        <f>E41</f>
        <v/>
      </c>
      <c r="F86" s="25">
        <f>F41</f>
        <v/>
      </c>
      <c r="G86" s="25">
        <f>G41</f>
        <v/>
      </c>
      <c r="H86" s="25">
        <f>H41</f>
        <v/>
      </c>
      <c r="I86" s="25">
        <f>I41</f>
        <v/>
      </c>
      <c r="J86" s="25">
        <f>J41</f>
        <v/>
      </c>
      <c r="K86" s="25">
        <f>K41</f>
        <v/>
      </c>
      <c r="L86" s="25">
        <f>L41</f>
        <v/>
      </c>
      <c r="M86" s="25">
        <f>M41</f>
        <v/>
      </c>
      <c r="N86" s="25">
        <f>N41</f>
        <v/>
      </c>
      <c r="O86" s="25">
        <f>O41</f>
        <v/>
      </c>
      <c r="P86" s="25">
        <f>P41</f>
        <v/>
      </c>
      <c r="Q86" s="25">
        <f>Q41</f>
        <v/>
      </c>
      <c r="R86" s="25">
        <f>R41</f>
        <v/>
      </c>
      <c r="S86" s="25">
        <f>S41</f>
        <v/>
      </c>
      <c r="T86" s="25">
        <f>T41</f>
        <v/>
      </c>
      <c r="U86" s="25">
        <f>U41</f>
        <v/>
      </c>
      <c r="V86" s="25">
        <f>V41</f>
        <v/>
      </c>
      <c r="W86" s="25">
        <f>W41</f>
        <v/>
      </c>
    </row>
    <row r="87" ht="18.75" customHeight="1">
      <c r="B87" s="26" t="inlineStr">
        <is>
          <t>Inflow : 政府補助</t>
        </is>
      </c>
      <c r="C87" s="27" t="inlineStr">
        <is>
          <t>-</t>
        </is>
      </c>
      <c r="D87" s="28" t="n"/>
      <c r="E87" s="28" t="n"/>
      <c r="F87" s="28" t="n"/>
      <c r="G87" s="28" t="inlineStr">
        <is>
          <t>-</t>
        </is>
      </c>
      <c r="H87" s="28" t="inlineStr">
        <is>
          <t>-</t>
        </is>
      </c>
      <c r="I87" s="28" t="inlineStr">
        <is>
          <t>-</t>
        </is>
      </c>
      <c r="J87" s="28" t="inlineStr">
        <is>
          <t>-</t>
        </is>
      </c>
      <c r="K87" s="28" t="inlineStr">
        <is>
          <t>-</t>
        </is>
      </c>
      <c r="L87" s="28" t="inlineStr">
        <is>
          <t>-</t>
        </is>
      </c>
      <c r="M87" s="28" t="inlineStr">
        <is>
          <t>-</t>
        </is>
      </c>
      <c r="N87" s="28" t="inlineStr">
        <is>
          <t>-</t>
        </is>
      </c>
      <c r="O87" s="28" t="inlineStr">
        <is>
          <t>-</t>
        </is>
      </c>
      <c r="P87" s="28" t="inlineStr">
        <is>
          <t>-</t>
        </is>
      </c>
      <c r="Q87" s="28" t="inlineStr">
        <is>
          <t>-</t>
        </is>
      </c>
      <c r="R87" s="28" t="inlineStr">
        <is>
          <t>-</t>
        </is>
      </c>
      <c r="S87" s="28" t="inlineStr">
        <is>
          <t>-</t>
        </is>
      </c>
      <c r="T87" s="28" t="inlineStr">
        <is>
          <t>-</t>
        </is>
      </c>
      <c r="U87" s="28" t="inlineStr">
        <is>
          <t>-</t>
        </is>
      </c>
      <c r="V87" s="28" t="inlineStr">
        <is>
          <t>-</t>
        </is>
      </c>
      <c r="W87" s="28" t="inlineStr">
        <is>
          <t>-</t>
        </is>
      </c>
    </row>
    <row r="88" ht="18.75" customHeight="1">
      <c r="B88" s="29" t="inlineStr">
        <is>
          <t>Inflow : 銀行借款</t>
        </is>
      </c>
      <c r="C88" s="30" t="n"/>
      <c r="D88" s="31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1" t="n"/>
      <c r="P88" s="31" t="n"/>
      <c r="Q88" s="31" t="n"/>
      <c r="R88" s="31" t="n"/>
      <c r="S88" s="31" t="n"/>
      <c r="T88" s="31" t="n"/>
      <c r="U88" s="31" t="n"/>
      <c r="V88" s="31" t="n"/>
      <c r="W88" s="31" t="n"/>
    </row>
    <row r="89" ht="18.75" customHeight="1">
      <c r="B89" s="32" t="inlineStr">
        <is>
          <t>Outflow : 設備折舊</t>
        </is>
      </c>
      <c r="C89" s="27" t="n"/>
      <c r="D89" s="33">
        <f>D52</f>
        <v/>
      </c>
      <c r="E89" s="33">
        <f>E52</f>
        <v/>
      </c>
      <c r="F89" s="33">
        <f>F52</f>
        <v/>
      </c>
      <c r="G89" s="33">
        <f>G52</f>
        <v/>
      </c>
      <c r="H89" s="33">
        <f>H52</f>
        <v/>
      </c>
      <c r="I89" s="33">
        <f>I52</f>
        <v/>
      </c>
      <c r="J89" s="33">
        <f>J52</f>
        <v/>
      </c>
      <c r="K89" s="33">
        <f>K52</f>
        <v/>
      </c>
      <c r="L89" s="33">
        <f>L52</f>
        <v/>
      </c>
      <c r="M89" s="33">
        <f>M52</f>
        <v/>
      </c>
      <c r="N89" s="33">
        <f>N52</f>
        <v/>
      </c>
      <c r="O89" s="33">
        <f>O52</f>
        <v/>
      </c>
      <c r="P89" s="33">
        <f>P52</f>
        <v/>
      </c>
      <c r="Q89" s="33">
        <f>Q52</f>
        <v/>
      </c>
      <c r="R89" s="33">
        <f>R52</f>
        <v/>
      </c>
      <c r="S89" s="33">
        <f>S52</f>
        <v/>
      </c>
      <c r="T89" s="33">
        <f>T52</f>
        <v/>
      </c>
      <c r="U89" s="33">
        <f>U52</f>
        <v/>
      </c>
      <c r="V89" s="33">
        <f>V52</f>
        <v/>
      </c>
      <c r="W89" s="33">
        <f>W52</f>
        <v/>
      </c>
    </row>
    <row r="90" ht="18.75" customHeight="1">
      <c r="B90" s="32" t="inlineStr">
        <is>
          <t>Outflow : 設備放置區域租金</t>
        </is>
      </c>
      <c r="C90" s="27" t="inlineStr">
        <is>
          <t>-</t>
        </is>
      </c>
      <c r="D90" s="28">
        <f>D45</f>
        <v/>
      </c>
      <c r="E90" s="28">
        <f>E45</f>
        <v/>
      </c>
      <c r="F90" s="28">
        <f>F45</f>
        <v/>
      </c>
      <c r="G90" s="28">
        <f>G45</f>
        <v/>
      </c>
      <c r="H90" s="28">
        <f>H45</f>
        <v/>
      </c>
      <c r="I90" s="28">
        <f>I45</f>
        <v/>
      </c>
      <c r="J90" s="28">
        <f>J45</f>
        <v/>
      </c>
      <c r="K90" s="28">
        <f>K45</f>
        <v/>
      </c>
      <c r="L90" s="28">
        <f>L45</f>
        <v/>
      </c>
      <c r="M90" s="28">
        <f>M45</f>
        <v/>
      </c>
      <c r="N90" s="28">
        <f>N45</f>
        <v/>
      </c>
      <c r="O90" s="28">
        <f>O45</f>
        <v/>
      </c>
      <c r="P90" s="28">
        <f>P45</f>
        <v/>
      </c>
      <c r="Q90" s="28">
        <f>Q45</f>
        <v/>
      </c>
      <c r="R90" s="28">
        <f>R45</f>
        <v/>
      </c>
      <c r="S90" s="28">
        <f>S45</f>
        <v/>
      </c>
      <c r="T90" s="28">
        <f>T45</f>
        <v/>
      </c>
      <c r="U90" s="28">
        <f>U45</f>
        <v/>
      </c>
      <c r="V90" s="28">
        <f>V45</f>
        <v/>
      </c>
      <c r="W90" s="28">
        <f>W45</f>
        <v/>
      </c>
    </row>
    <row r="91" ht="18.75" customHeight="1">
      <c r="B91" s="32" t="inlineStr">
        <is>
          <t>Outflow : 返還借款</t>
        </is>
      </c>
      <c r="C91" s="27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</row>
    <row r="92" ht="18.75" customHeight="1">
      <c r="B92" s="32" t="inlineStr">
        <is>
          <t>Outflow : 利息費用</t>
        </is>
      </c>
      <c r="C92" s="27" t="inlineStr">
        <is>
          <t>-</t>
        </is>
      </c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</row>
    <row r="93" ht="18.75" customHeight="1">
      <c r="B93" s="32" t="inlineStr">
        <is>
          <t>Outflow : 維運費</t>
        </is>
      </c>
      <c r="C93" s="27" t="inlineStr">
        <is>
          <t>-</t>
        </is>
      </c>
      <c r="D93" s="28">
        <f>D48</f>
        <v/>
      </c>
      <c r="E93" s="28">
        <f>E48</f>
        <v/>
      </c>
      <c r="F93" s="28">
        <f>F48</f>
        <v/>
      </c>
      <c r="G93" s="28">
        <f>G48</f>
        <v/>
      </c>
      <c r="H93" s="28">
        <f>H48</f>
        <v/>
      </c>
      <c r="I93" s="28">
        <f>I48</f>
        <v/>
      </c>
      <c r="J93" s="28">
        <f>J48</f>
        <v/>
      </c>
      <c r="K93" s="28">
        <f>K48</f>
        <v/>
      </c>
      <c r="L93" s="28">
        <f>L48</f>
        <v/>
      </c>
      <c r="M93" s="28">
        <f>M48</f>
        <v/>
      </c>
      <c r="N93" s="28">
        <f>N48</f>
        <v/>
      </c>
      <c r="O93" s="28">
        <f>O48</f>
        <v/>
      </c>
      <c r="P93" s="28">
        <f>P48</f>
        <v/>
      </c>
      <c r="Q93" s="28">
        <f>Q48</f>
        <v/>
      </c>
      <c r="R93" s="28">
        <f>R48</f>
        <v/>
      </c>
      <c r="S93" s="28">
        <f>S48</f>
        <v/>
      </c>
      <c r="T93" s="28">
        <f>T48</f>
        <v/>
      </c>
      <c r="U93" s="28">
        <f>U48</f>
        <v/>
      </c>
      <c r="V93" s="28">
        <f>V48</f>
        <v/>
      </c>
      <c r="W93" s="28">
        <f>W48</f>
        <v/>
      </c>
    </row>
    <row r="94" ht="18.75" customHeight="1">
      <c r="B94" s="32" t="inlineStr">
        <is>
          <t>Outflow : 保險費</t>
        </is>
      </c>
      <c r="C94" s="27" t="inlineStr">
        <is>
          <t>-</t>
        </is>
      </c>
      <c r="D94" s="28">
        <f>D49</f>
        <v/>
      </c>
      <c r="E94" s="28">
        <f>E49</f>
        <v/>
      </c>
      <c r="F94" s="28">
        <f>F49</f>
        <v/>
      </c>
      <c r="G94" s="28">
        <f>G49</f>
        <v/>
      </c>
      <c r="H94" s="28">
        <f>H49</f>
        <v/>
      </c>
      <c r="I94" s="28">
        <f>I49</f>
        <v/>
      </c>
      <c r="J94" s="28">
        <f>J49</f>
        <v/>
      </c>
      <c r="K94" s="28">
        <f>K49</f>
        <v/>
      </c>
      <c r="L94" s="28">
        <f>L49</f>
        <v/>
      </c>
      <c r="M94" s="28">
        <f>M49</f>
        <v/>
      </c>
      <c r="N94" s="28">
        <f>N49</f>
        <v/>
      </c>
      <c r="O94" s="28">
        <f>O49</f>
        <v/>
      </c>
      <c r="P94" s="28">
        <f>P49</f>
        <v/>
      </c>
      <c r="Q94" s="28">
        <f>Q49</f>
        <v/>
      </c>
      <c r="R94" s="28">
        <f>R49</f>
        <v/>
      </c>
      <c r="S94" s="28">
        <f>S49</f>
        <v/>
      </c>
      <c r="T94" s="28">
        <f>T49</f>
        <v/>
      </c>
      <c r="U94" s="28">
        <f>U49</f>
        <v/>
      </c>
      <c r="V94" s="28">
        <f>V49</f>
        <v/>
      </c>
      <c r="W94" s="28">
        <f>W49</f>
        <v/>
      </c>
    </row>
    <row r="95" ht="18.75" customHeight="1">
      <c r="B95" s="32" t="inlineStr">
        <is>
          <t>Outflow : 模組回收費</t>
        </is>
      </c>
      <c r="C95" s="27" t="n"/>
      <c r="D95" s="28">
        <f>D50</f>
        <v/>
      </c>
      <c r="E95" s="28">
        <f>E50</f>
        <v/>
      </c>
      <c r="F95" s="28">
        <f>F50</f>
        <v/>
      </c>
      <c r="G95" s="28">
        <f>G50</f>
        <v/>
      </c>
      <c r="H95" s="28">
        <f>H50</f>
        <v/>
      </c>
      <c r="I95" s="28">
        <f>I50</f>
        <v/>
      </c>
      <c r="J95" s="28">
        <f>J50</f>
        <v/>
      </c>
      <c r="K95" s="28">
        <f>K50</f>
        <v/>
      </c>
      <c r="L95" s="28">
        <f>L50</f>
        <v/>
      </c>
      <c r="M95" s="28">
        <f>M50</f>
        <v/>
      </c>
      <c r="N95" s="28">
        <f>N50</f>
        <v/>
      </c>
      <c r="O95" s="28">
        <f>O50</f>
        <v/>
      </c>
      <c r="P95" s="28">
        <f>P50</f>
        <v/>
      </c>
      <c r="Q95" s="28">
        <f>Q50</f>
        <v/>
      </c>
      <c r="R95" s="28">
        <f>R50</f>
        <v/>
      </c>
      <c r="S95" s="28">
        <f>S50</f>
        <v/>
      </c>
      <c r="T95" s="28">
        <f>T50</f>
        <v/>
      </c>
      <c r="U95" s="28">
        <f>U50</f>
        <v/>
      </c>
      <c r="V95" s="28">
        <f>V50</f>
        <v/>
      </c>
      <c r="W95" s="28">
        <f>W50</f>
        <v/>
      </c>
    </row>
    <row r="96" ht="18.75" customHeight="1">
      <c r="B96" s="32" t="inlineStr">
        <is>
          <t>Outflow : 其它費用(人事薪資…等)</t>
        </is>
      </c>
      <c r="C96" s="34" t="n"/>
      <c r="D96" s="35" t="n"/>
      <c r="E96" s="36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</row>
    <row r="97" ht="18.75" customHeight="1">
      <c r="B97" s="32" t="inlineStr">
        <is>
          <t>1%管理費</t>
        </is>
      </c>
      <c r="C97" s="34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</row>
    <row r="98" ht="18.75" customHeight="1">
      <c r="B98" s="39" t="inlineStr">
        <is>
          <t>稅前淨利</t>
        </is>
      </c>
      <c r="C98" s="53" t="n"/>
      <c r="D98" s="41">
        <f>SUM(D64:D75)</f>
        <v/>
      </c>
      <c r="E98" s="41">
        <f>SUM(E64:E75)</f>
        <v/>
      </c>
      <c r="F98" s="41">
        <f>SUM(F64:F75)</f>
        <v/>
      </c>
      <c r="G98" s="41">
        <f>SUM(G64:G75)</f>
        <v/>
      </c>
      <c r="H98" s="41">
        <f>SUM(H64:H75)</f>
        <v/>
      </c>
      <c r="I98" s="41">
        <f>SUM(I64:I75)</f>
        <v/>
      </c>
      <c r="J98" s="41">
        <f>SUM(J64:J75)</f>
        <v/>
      </c>
      <c r="K98" s="41">
        <f>SUM(K64:K75)</f>
        <v/>
      </c>
      <c r="L98" s="41">
        <f>SUM(L64:L75)</f>
        <v/>
      </c>
      <c r="M98" s="41">
        <f>SUM(M64:M75)</f>
        <v/>
      </c>
      <c r="N98" s="41">
        <f>SUM(N64:N75)</f>
        <v/>
      </c>
      <c r="O98" s="41">
        <f>SUM(O64:O75)</f>
        <v/>
      </c>
      <c r="P98" s="41">
        <f>SUM(P64:P75)</f>
        <v/>
      </c>
      <c r="Q98" s="41">
        <f>SUM(Q64:Q75)</f>
        <v/>
      </c>
      <c r="R98" s="41">
        <f>SUM(R64:R75)</f>
        <v/>
      </c>
      <c r="S98" s="41">
        <f>SUM(S64:S75)</f>
        <v/>
      </c>
      <c r="T98" s="41">
        <f>SUM(T64:T75)</f>
        <v/>
      </c>
      <c r="U98" s="41">
        <f>SUM(U64:U75)</f>
        <v/>
      </c>
      <c r="V98" s="41">
        <f>SUM(V64:V75)</f>
        <v/>
      </c>
      <c r="W98" s="41">
        <f>SUM(W64:W75)</f>
        <v/>
      </c>
    </row>
    <row r="99" ht="18.75" customHeight="1">
      <c r="B99" s="37" t="inlineStr">
        <is>
          <t>所得稅20%</t>
        </is>
      </c>
      <c r="C99" s="34" t="n"/>
      <c r="D99" s="28">
        <f>-D76*0.2</f>
        <v/>
      </c>
      <c r="E99" s="28">
        <f>-E76*0.2</f>
        <v/>
      </c>
      <c r="F99" s="28">
        <f>-F76*0.2</f>
        <v/>
      </c>
      <c r="G99" s="28">
        <f>-G76*0.2</f>
        <v/>
      </c>
      <c r="H99" s="28">
        <f>-H76*0.2</f>
        <v/>
      </c>
      <c r="I99" s="28">
        <f>-I76*0.2</f>
        <v/>
      </c>
      <c r="J99" s="28">
        <f>-J76*0.2</f>
        <v/>
      </c>
      <c r="K99" s="28">
        <f>-K76*0.2</f>
        <v/>
      </c>
      <c r="L99" s="28">
        <f>-L76*0.2</f>
        <v/>
      </c>
      <c r="M99" s="28">
        <f>-M76*0.2</f>
        <v/>
      </c>
      <c r="N99" s="28">
        <f>-N76*0.2</f>
        <v/>
      </c>
      <c r="O99" s="28">
        <f>-O76*0.2</f>
        <v/>
      </c>
      <c r="P99" s="28">
        <f>-P76*0.2</f>
        <v/>
      </c>
      <c r="Q99" s="28">
        <f>-Q76*0.2</f>
        <v/>
      </c>
      <c r="R99" s="28">
        <f>-R76*0.2</f>
        <v/>
      </c>
      <c r="S99" s="28">
        <f>-S76*0.2</f>
        <v/>
      </c>
      <c r="T99" s="28">
        <f>-T76*0.2</f>
        <v/>
      </c>
      <c r="U99" s="28">
        <f>-U76*0.2</f>
        <v/>
      </c>
      <c r="V99" s="28">
        <f>-V76*0.2</f>
        <v/>
      </c>
      <c r="W99" s="28">
        <f>-W76*0.2</f>
        <v/>
      </c>
    </row>
    <row r="100" ht="15.4" customHeight="1">
      <c r="B100" s="54" t="inlineStr">
        <is>
          <t>稅後淨利</t>
        </is>
      </c>
      <c r="D100" s="28">
        <f>SUM(D76:D77)</f>
        <v/>
      </c>
      <c r="E100" s="28">
        <f>SUM(E76:E77)</f>
        <v/>
      </c>
      <c r="F100" s="28">
        <f>SUM(F76:F77)</f>
        <v/>
      </c>
      <c r="G100" s="28">
        <f>SUM(G76:G77)</f>
        <v/>
      </c>
      <c r="H100" s="28">
        <f>SUM(H76:H77)</f>
        <v/>
      </c>
      <c r="I100" s="28">
        <f>SUM(I76:I77)</f>
        <v/>
      </c>
      <c r="J100" s="28">
        <f>SUM(J76:J77)</f>
        <v/>
      </c>
      <c r="K100" s="28">
        <f>SUM(K76:K77)</f>
        <v/>
      </c>
      <c r="L100" s="28">
        <f>SUM(L76:L77)</f>
        <v/>
      </c>
      <c r="M100" s="28">
        <f>SUM(M76:M77)</f>
        <v/>
      </c>
      <c r="N100" s="28">
        <f>SUM(N76:N77)</f>
        <v/>
      </c>
      <c r="O100" s="28">
        <f>SUM(O76:O77)</f>
        <v/>
      </c>
      <c r="P100" s="28">
        <f>SUM(P76:P77)</f>
        <v/>
      </c>
      <c r="Q100" s="28">
        <f>SUM(Q76:Q77)</f>
        <v/>
      </c>
      <c r="R100" s="28">
        <f>SUM(R76:R77)</f>
        <v/>
      </c>
      <c r="S100" s="28">
        <f>SUM(S76:S77)</f>
        <v/>
      </c>
      <c r="T100" s="28">
        <f>SUM(T76:T77)</f>
        <v/>
      </c>
      <c r="U100" s="28">
        <f>SUM(U76:U77)</f>
        <v/>
      </c>
      <c r="V100" s="28">
        <f>SUM(V76:V77)</f>
        <v/>
      </c>
      <c r="W100" s="28">
        <f>SUM(W76:W77)</f>
        <v/>
      </c>
    </row>
    <row r="101" ht="18.75" customHeight="1">
      <c r="B101" s="42" t="inlineStr">
        <is>
          <t>累計現金流</t>
        </is>
      </c>
      <c r="C101" s="40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</row>
    <row r="102" ht="18.75" customHeight="1">
      <c r="B102" s="55" t="inlineStr">
        <is>
          <t>回收年限評估</t>
        </is>
      </c>
      <c r="C102" s="56" t="n"/>
      <c r="D102" s="57" t="n"/>
      <c r="E102" s="57" t="n"/>
      <c r="F102" s="57" t="n"/>
      <c r="G102" s="57" t="n"/>
      <c r="H102" s="57" t="n"/>
      <c r="I102" s="57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</row>
    <row r="103" ht="18.75" customHeight="1">
      <c r="C103" s="58" t="inlineStr">
        <is>
          <t>年份</t>
        </is>
      </c>
      <c r="D103" s="59" t="n">
        <v>2023</v>
      </c>
      <c r="E103" s="59" t="n">
        <v>2024</v>
      </c>
      <c r="F103" s="59" t="n">
        <v>2025</v>
      </c>
      <c r="G103" s="59" t="n">
        <v>2026</v>
      </c>
      <c r="H103" s="59" t="n">
        <v>2027</v>
      </c>
      <c r="I103" s="59" t="n">
        <v>2028</v>
      </c>
      <c r="J103" s="59" t="n">
        <v>2029</v>
      </c>
      <c r="K103" s="59" t="n">
        <v>2030</v>
      </c>
      <c r="L103" s="59" t="n">
        <v>2031</v>
      </c>
      <c r="M103" s="59" t="n">
        <v>2032</v>
      </c>
      <c r="N103" s="59" t="n">
        <v>2033</v>
      </c>
      <c r="O103" s="59" t="n">
        <v>2034</v>
      </c>
      <c r="P103" s="59" t="n">
        <v>2035</v>
      </c>
      <c r="Q103" s="59" t="n">
        <v>2036</v>
      </c>
      <c r="R103" s="59" t="n">
        <v>2037</v>
      </c>
      <c r="S103" s="59" t="n">
        <v>2038</v>
      </c>
      <c r="T103" s="59" t="n">
        <v>2039</v>
      </c>
      <c r="U103" s="59" t="n">
        <v>2040</v>
      </c>
      <c r="V103" s="59" t="n">
        <v>2041</v>
      </c>
      <c r="W103" s="59" t="n">
        <v>2042</v>
      </c>
      <c r="X103" s="59" t="n"/>
    </row>
    <row r="104" ht="18.75" customHeight="1"/>
    <row r="105" ht="18.75" customHeight="1">
      <c r="B105" s="60" t="inlineStr">
        <is>
          <t>(Unit : Currency)</t>
        </is>
      </c>
      <c r="C105" s="60" t="n">
        <v>0</v>
      </c>
      <c r="D105" s="60" t="n">
        <v>1</v>
      </c>
      <c r="E105" s="60" t="n">
        <v>2</v>
      </c>
      <c r="F105" s="60" t="n">
        <v>3</v>
      </c>
      <c r="G105" s="60" t="n">
        <v>4</v>
      </c>
      <c r="H105" s="60" t="n">
        <v>5</v>
      </c>
      <c r="I105" s="60" t="n">
        <v>6</v>
      </c>
      <c r="J105" s="60" t="n">
        <v>7</v>
      </c>
      <c r="K105" s="60" t="n">
        <v>8</v>
      </c>
      <c r="L105" s="60" t="n">
        <v>9</v>
      </c>
      <c r="M105" s="60" t="n">
        <v>10</v>
      </c>
      <c r="N105" s="60" t="n">
        <v>11</v>
      </c>
      <c r="O105" s="60" t="n">
        <v>12</v>
      </c>
      <c r="P105" s="60" t="n">
        <v>13</v>
      </c>
      <c r="Q105" s="60" t="n">
        <v>14</v>
      </c>
      <c r="R105" s="60" t="n">
        <v>15</v>
      </c>
      <c r="S105" s="60" t="n">
        <v>16</v>
      </c>
      <c r="T105" s="60" t="n">
        <v>17</v>
      </c>
      <c r="U105" s="60" t="n">
        <v>18</v>
      </c>
      <c r="V105" s="60" t="n">
        <v>19</v>
      </c>
      <c r="W105" s="60" t="n">
        <v>20</v>
      </c>
      <c r="X105" s="60" t="n"/>
    </row>
    <row r="106" ht="18.75" customHeight="1">
      <c r="B106" s="61" t="inlineStr">
        <is>
          <t>稅後淨利</t>
        </is>
      </c>
      <c r="C106" s="61" t="n"/>
      <c r="D106" s="62">
        <f>D78</f>
        <v/>
      </c>
      <c r="E106" s="62">
        <f>E78</f>
        <v/>
      </c>
      <c r="F106" s="62">
        <f>F78</f>
        <v/>
      </c>
      <c r="G106" s="62">
        <f>G78</f>
        <v/>
      </c>
      <c r="H106" s="62">
        <f>H78</f>
        <v/>
      </c>
      <c r="I106" s="62">
        <f>I78</f>
        <v/>
      </c>
      <c r="J106" s="62">
        <f>J78</f>
        <v/>
      </c>
      <c r="K106" s="62">
        <f>K78</f>
        <v/>
      </c>
      <c r="L106" s="62">
        <f>L78</f>
        <v/>
      </c>
      <c r="M106" s="62">
        <f>M78</f>
        <v/>
      </c>
      <c r="N106" s="62">
        <f>N78</f>
        <v/>
      </c>
      <c r="O106" s="62">
        <f>O78</f>
        <v/>
      </c>
      <c r="P106" s="62">
        <f>P78</f>
        <v/>
      </c>
      <c r="Q106" s="62">
        <f>Q78</f>
        <v/>
      </c>
      <c r="R106" s="62">
        <f>R78</f>
        <v/>
      </c>
      <c r="S106" s="62">
        <f>S78</f>
        <v/>
      </c>
      <c r="T106" s="62">
        <f>T78</f>
        <v/>
      </c>
      <c r="U106" s="62">
        <f>U78</f>
        <v/>
      </c>
      <c r="V106" s="62">
        <f>V78</f>
        <v/>
      </c>
      <c r="W106" s="62">
        <f>W78</f>
        <v/>
      </c>
      <c r="X106" s="62" t="n"/>
    </row>
    <row r="107" ht="15.4" customHeight="1">
      <c r="B107" s="61" t="inlineStr">
        <is>
          <t>設備折舊</t>
        </is>
      </c>
      <c r="C107" s="61" t="n"/>
      <c r="D107" s="63">
        <f>-D67</f>
        <v/>
      </c>
      <c r="E107" s="63">
        <f>-E67</f>
        <v/>
      </c>
      <c r="F107" s="63">
        <f>-F67</f>
        <v/>
      </c>
      <c r="G107" s="63">
        <f>-G67</f>
        <v/>
      </c>
      <c r="H107" s="63">
        <f>-H67</f>
        <v/>
      </c>
      <c r="I107" s="63">
        <f>-I67</f>
        <v/>
      </c>
      <c r="J107" s="63">
        <f>-J67</f>
        <v/>
      </c>
      <c r="K107" s="63">
        <f>-K67</f>
        <v/>
      </c>
      <c r="L107" s="63">
        <f>-L67</f>
        <v/>
      </c>
      <c r="M107" s="63">
        <f>-M67</f>
        <v/>
      </c>
      <c r="N107" s="63">
        <f>-N67</f>
        <v/>
      </c>
      <c r="O107" s="63">
        <f>-O67</f>
        <v/>
      </c>
      <c r="P107" s="63">
        <f>-P67</f>
        <v/>
      </c>
      <c r="Q107" s="63">
        <f>-Q67</f>
        <v/>
      </c>
      <c r="R107" s="63">
        <f>-R67</f>
        <v/>
      </c>
      <c r="S107" s="63">
        <f>-S67</f>
        <v/>
      </c>
      <c r="T107" s="63">
        <f>-T67</f>
        <v/>
      </c>
      <c r="U107" s="63">
        <f>-U67</f>
        <v/>
      </c>
      <c r="V107" s="63">
        <f>-V67</f>
        <v/>
      </c>
      <c r="W107" s="63">
        <f>-W67</f>
        <v/>
      </c>
      <c r="X107" s="63" t="n"/>
    </row>
    <row r="108" ht="15.4" customHeight="1">
      <c r="B108" s="61" t="inlineStr">
        <is>
          <t>營運活動現金流量</t>
        </is>
      </c>
      <c r="C108" s="61" t="n"/>
      <c r="D108" s="64">
        <f>SUM(D85:D86)</f>
        <v/>
      </c>
      <c r="E108" s="64">
        <f>SUM(E85:E86)</f>
        <v/>
      </c>
      <c r="F108" s="64">
        <f>SUM(F85:F86)</f>
        <v/>
      </c>
      <c r="G108" s="64">
        <f>SUM(G85:G86)</f>
        <v/>
      </c>
      <c r="H108" s="64">
        <f>SUM(H85:H86)</f>
        <v/>
      </c>
      <c r="I108" s="64">
        <f>SUM(I85:I86)</f>
        <v/>
      </c>
      <c r="J108" s="64">
        <f>SUM(J85:J86)</f>
        <v/>
      </c>
      <c r="K108" s="64">
        <f>SUM(K85:K86)</f>
        <v/>
      </c>
      <c r="L108" s="64">
        <f>SUM(L85:L86)</f>
        <v/>
      </c>
      <c r="M108" s="64">
        <f>SUM(M85:M86)</f>
        <v/>
      </c>
      <c r="N108" s="64">
        <f>SUM(N85:N86)</f>
        <v/>
      </c>
      <c r="O108" s="64">
        <f>SUM(O85:O86)</f>
        <v/>
      </c>
      <c r="P108" s="64">
        <f>SUM(P85:P86)</f>
        <v/>
      </c>
      <c r="Q108" s="64">
        <f>SUM(Q85:Q86)</f>
        <v/>
      </c>
      <c r="R108" s="64">
        <f>SUM(R85:R86)</f>
        <v/>
      </c>
      <c r="S108" s="64">
        <f>SUM(S85:S86)</f>
        <v/>
      </c>
      <c r="T108" s="64">
        <f>SUM(T85:T86)</f>
        <v/>
      </c>
      <c r="U108" s="64">
        <f>SUM(U85:U86)</f>
        <v/>
      </c>
      <c r="V108" s="64">
        <f>SUM(V85:V86)</f>
        <v/>
      </c>
      <c r="W108" s="64">
        <f>SUM(W85:W86)</f>
        <v/>
      </c>
      <c r="X108" s="64" t="n"/>
    </row>
    <row r="109" ht="15.4" customHeight="1">
      <c r="B109" s="61" t="n"/>
      <c r="C109" s="61" t="n"/>
      <c r="D109" s="61" t="n"/>
      <c r="E109" s="61" t="n"/>
      <c r="F109" s="65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  <c r="W109" s="65" t="n"/>
      <c r="X109" s="61" t="n"/>
    </row>
    <row r="110" ht="15.4" customHeight="1">
      <c r="B110" s="66" t="inlineStr">
        <is>
          <t>投資活動-設備支出</t>
        </is>
      </c>
      <c r="C110" s="67" t="n"/>
      <c r="D110" s="68">
        <f>C44</f>
        <v/>
      </c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</row>
    <row r="111" ht="15.4" customHeight="1">
      <c r="B111" s="61" t="n"/>
      <c r="C111" s="61" t="n"/>
      <c r="D111" s="61" t="n"/>
      <c r="E111" s="61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1" t="n"/>
    </row>
    <row r="112" ht="15.4" customHeight="1">
      <c r="B112" s="61" t="n"/>
      <c r="C112" s="61" t="n"/>
      <c r="D112" s="61" t="n"/>
      <c r="E112" s="61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1" t="n"/>
    </row>
    <row r="113" ht="15.4" customHeight="1">
      <c r="B113" s="66" t="inlineStr">
        <is>
          <t>理財活動-借款</t>
        </is>
      </c>
      <c r="C113" s="67" t="n"/>
      <c r="D113" s="68">
        <f>-D89*D31</f>
        <v/>
      </c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</row>
    <row r="114" ht="15.4" customHeight="1">
      <c r="B114" s="61" t="inlineStr">
        <is>
          <t>理財活動-還款</t>
        </is>
      </c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  <c r="M114" s="61" t="n"/>
      <c r="N114" s="61" t="n"/>
      <c r="O114" s="61" t="n"/>
      <c r="P114" s="61" t="n"/>
      <c r="Q114" s="61" t="n"/>
      <c r="R114" s="61" t="n"/>
      <c r="S114" s="61" t="n"/>
      <c r="T114" s="65" t="n"/>
      <c r="U114" s="65" t="n"/>
      <c r="V114" s="65" t="n"/>
      <c r="W114" s="65" t="n"/>
      <c r="X114" s="61" t="n"/>
    </row>
    <row r="115" ht="15.4" customHeight="1">
      <c r="B115" s="61" t="inlineStr">
        <is>
          <t>理財活動-現金增資</t>
        </is>
      </c>
      <c r="C115" s="65" t="n"/>
      <c r="D115" s="62">
        <f>-D89*(1-D31)</f>
        <v/>
      </c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</row>
    <row r="116" ht="15.4" customHeight="1">
      <c r="B116" s="61" t="inlineStr">
        <is>
          <t>現金股利</t>
        </is>
      </c>
      <c r="C116" s="65" t="n"/>
      <c r="D116" s="65" t="n"/>
      <c r="E116" s="69">
        <f>-D85*$D$33</f>
        <v/>
      </c>
      <c r="F116" s="69">
        <f>-E85*$D$33</f>
        <v/>
      </c>
      <c r="G116" s="69">
        <f>-F85*$D$33</f>
        <v/>
      </c>
      <c r="H116" s="69">
        <f>-G85*$D$33</f>
        <v/>
      </c>
      <c r="I116" s="69">
        <f>-H85*$D$33</f>
        <v/>
      </c>
      <c r="J116" s="69">
        <f>-I85*$D$33</f>
        <v/>
      </c>
      <c r="K116" s="69">
        <f>-J85*$D$33</f>
        <v/>
      </c>
      <c r="L116" s="69">
        <f>-K85*$D$33</f>
        <v/>
      </c>
      <c r="M116" s="69">
        <f>-L85*$D$33</f>
        <v/>
      </c>
      <c r="N116" s="69">
        <f>-M85*$D$33</f>
        <v/>
      </c>
      <c r="O116" s="69">
        <f>-N85*$D$33</f>
        <v/>
      </c>
      <c r="P116" s="69">
        <f>-O85*$D$33</f>
        <v/>
      </c>
      <c r="Q116" s="69">
        <f>-P85*$D$33</f>
        <v/>
      </c>
      <c r="R116" s="69">
        <f>-Q85*$D$33</f>
        <v/>
      </c>
      <c r="S116" s="69">
        <f>-R85*$D$33</f>
        <v/>
      </c>
      <c r="T116" s="69">
        <f>-S85*$D$33</f>
        <v/>
      </c>
      <c r="U116" s="69">
        <f>-T85*$D$33</f>
        <v/>
      </c>
      <c r="V116" s="69">
        <f>-U85*$D$33</f>
        <v/>
      </c>
      <c r="W116" s="69">
        <f>-V85*$D$33</f>
        <v/>
      </c>
      <c r="X116" s="69" t="n"/>
    </row>
    <row r="117" ht="15.4" customHeight="1">
      <c r="B117" s="70" t="inlineStr">
        <is>
          <t>年底減資</t>
        </is>
      </c>
      <c r="C117" s="71" t="n"/>
      <c r="D117" s="71" t="n"/>
      <c r="E117" s="72" t="n"/>
      <c r="F117" s="72" t="n"/>
      <c r="G117" s="72" t="n"/>
      <c r="H117" s="72" t="n"/>
      <c r="I117" s="72" t="n"/>
      <c r="J117" s="72" t="n"/>
      <c r="K117" s="72" t="n"/>
      <c r="L117" s="72" t="n"/>
      <c r="M117" s="72" t="n"/>
      <c r="N117" s="72" t="n"/>
      <c r="O117" s="72" t="n"/>
      <c r="P117" s="72" t="n"/>
      <c r="Q117" s="72" t="n"/>
      <c r="R117" s="73" t="n"/>
      <c r="S117" s="73" t="n"/>
      <c r="T117" s="73" t="n"/>
      <c r="U117" s="73" t="n"/>
      <c r="V117" s="72" t="n"/>
      <c r="W117" s="72" t="n"/>
      <c r="X117" s="72" t="n"/>
    </row>
    <row r="118" ht="15.4" customHeight="1">
      <c r="B118" s="65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5" t="n"/>
    </row>
    <row r="119" ht="15.4" customHeight="1">
      <c r="B119" s="65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  <c r="W119" s="65" t="n"/>
      <c r="X119" s="65" t="n"/>
    </row>
    <row r="120" ht="16.15" customHeight="1">
      <c r="B120" s="61" t="inlineStr">
        <is>
          <t>現金淨流入(出 )</t>
        </is>
      </c>
      <c r="C120" s="74" t="n">
        <v>0</v>
      </c>
      <c r="D120" s="62">
        <f>SUM(D87:D96)</f>
        <v/>
      </c>
      <c r="E120" s="62">
        <f>SUM(E87:E96)</f>
        <v/>
      </c>
      <c r="F120" s="62">
        <f>SUM(F87:F96)</f>
        <v/>
      </c>
      <c r="G120" s="62">
        <f>SUM(G87:G96)</f>
        <v/>
      </c>
      <c r="H120" s="62">
        <f>SUM(H87:H96)</f>
        <v/>
      </c>
      <c r="I120" s="62">
        <f>SUM(I87:I96)</f>
        <v/>
      </c>
      <c r="J120" s="62">
        <f>SUM(J87:J96)</f>
        <v/>
      </c>
      <c r="K120" s="62">
        <f>SUM(K87:K96)</f>
        <v/>
      </c>
      <c r="L120" s="62">
        <f>SUM(L87:L96)</f>
        <v/>
      </c>
      <c r="M120" s="62">
        <f>SUM(M87:M96)</f>
        <v/>
      </c>
      <c r="N120" s="62">
        <f>SUM(N87:N96)</f>
        <v/>
      </c>
      <c r="O120" s="62">
        <f>SUM(O87:O96)</f>
        <v/>
      </c>
      <c r="P120" s="62">
        <f>SUM(P87:P96)</f>
        <v/>
      </c>
      <c r="Q120" s="62">
        <f>SUM(Q87:Q96)</f>
        <v/>
      </c>
      <c r="R120" s="62">
        <f>SUM(R87:R96)</f>
        <v/>
      </c>
      <c r="S120" s="62">
        <f>SUM(S87:S96)</f>
        <v/>
      </c>
      <c r="T120" s="62">
        <f>SUM(T87:T96)</f>
        <v/>
      </c>
      <c r="U120" s="62">
        <f>SUM(U87:U96)</f>
        <v/>
      </c>
      <c r="V120" s="62">
        <f>SUM(V87:V96)</f>
        <v/>
      </c>
      <c r="W120" s="62">
        <f>SUM(W87:W96)</f>
        <v/>
      </c>
      <c r="X120" s="62" t="n"/>
    </row>
    <row r="121" ht="15.4" customHeight="1">
      <c r="B121" s="61" t="inlineStr">
        <is>
          <t>期初淨現金</t>
        </is>
      </c>
      <c r="C121" s="62" t="n">
        <v>0</v>
      </c>
      <c r="D121" s="62">
        <f>C101</f>
        <v/>
      </c>
      <c r="E121" s="62">
        <f>D101</f>
        <v/>
      </c>
      <c r="F121" s="62">
        <f>E101</f>
        <v/>
      </c>
      <c r="G121" s="62">
        <f>F101</f>
        <v/>
      </c>
      <c r="H121" s="62">
        <f>G101</f>
        <v/>
      </c>
      <c r="I121" s="62">
        <f>H101</f>
        <v/>
      </c>
      <c r="J121" s="62">
        <f>I101</f>
        <v/>
      </c>
      <c r="K121" s="62">
        <f>J101</f>
        <v/>
      </c>
      <c r="L121" s="62">
        <f>K101</f>
        <v/>
      </c>
      <c r="M121" s="62">
        <f>L101</f>
        <v/>
      </c>
      <c r="N121" s="62">
        <f>M101</f>
        <v/>
      </c>
      <c r="O121" s="62">
        <f>N101</f>
        <v/>
      </c>
      <c r="P121" s="62">
        <f>O101</f>
        <v/>
      </c>
      <c r="Q121" s="62">
        <f>P101</f>
        <v/>
      </c>
      <c r="R121" s="62">
        <f>Q101</f>
        <v/>
      </c>
      <c r="S121" s="62">
        <f>R101</f>
        <v/>
      </c>
      <c r="T121" s="62">
        <f>S101</f>
        <v/>
      </c>
      <c r="U121" s="62">
        <f>T101</f>
        <v/>
      </c>
      <c r="V121" s="62">
        <f>U101</f>
        <v/>
      </c>
      <c r="W121" s="62">
        <f>V101</f>
        <v/>
      </c>
      <c r="X121" s="62" t="n"/>
    </row>
    <row r="122" ht="15.4" customHeight="1">
      <c r="B122" s="61" t="inlineStr">
        <is>
          <t>期未淨現金</t>
        </is>
      </c>
      <c r="C122" s="62" t="n">
        <v>0</v>
      </c>
      <c r="D122" s="62">
        <f>D99+D100</f>
        <v/>
      </c>
      <c r="E122" s="62">
        <f>E99+E100</f>
        <v/>
      </c>
      <c r="F122" s="62">
        <f>F99+F100</f>
        <v/>
      </c>
      <c r="G122" s="62">
        <f>G99+G100</f>
        <v/>
      </c>
      <c r="H122" s="62">
        <f>H99+H100</f>
        <v/>
      </c>
      <c r="I122" s="62">
        <f>I99+I100</f>
        <v/>
      </c>
      <c r="J122" s="62">
        <f>J99+J100</f>
        <v/>
      </c>
      <c r="K122" s="62">
        <f>K99+K100</f>
        <v/>
      </c>
      <c r="L122" s="62">
        <f>L99+L100</f>
        <v/>
      </c>
      <c r="M122" s="62">
        <f>M99+M100</f>
        <v/>
      </c>
      <c r="N122" s="62">
        <f>N99+N100</f>
        <v/>
      </c>
      <c r="O122" s="62">
        <f>O99+O100</f>
        <v/>
      </c>
      <c r="P122" s="62">
        <f>P99+P100</f>
        <v/>
      </c>
      <c r="Q122" s="62">
        <f>Q99+Q100</f>
        <v/>
      </c>
      <c r="R122" s="62">
        <f>R99+R100</f>
        <v/>
      </c>
      <c r="S122" s="62">
        <f>S99+S100</f>
        <v/>
      </c>
      <c r="T122" s="62">
        <f>T99+T100</f>
        <v/>
      </c>
      <c r="U122" s="62">
        <f>U99+U100</f>
        <v/>
      </c>
      <c r="V122" s="62">
        <f>V99+V100</f>
        <v/>
      </c>
      <c r="W122" s="62">
        <f>W99+W100</f>
        <v/>
      </c>
      <c r="X122" s="62" t="n"/>
    </row>
    <row r="123" ht="15.4" customHeight="1"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  <c r="M123" s="61" t="n"/>
      <c r="N123" s="61" t="n"/>
      <c r="O123" s="61" t="n"/>
      <c r="P123" s="61" t="n"/>
      <c r="Q123" s="61" t="n"/>
      <c r="R123" s="61" t="n"/>
      <c r="S123" s="61" t="n"/>
      <c r="T123" s="61" t="n"/>
      <c r="U123" s="61" t="n"/>
      <c r="V123" s="61" t="n"/>
      <c r="W123" s="61" t="n"/>
      <c r="X123" s="61" t="n"/>
    </row>
    <row r="124" ht="15.4" customHeight="1">
      <c r="B124" s="61" t="n"/>
      <c r="C124" s="61" t="n"/>
      <c r="D124" s="61" t="n"/>
      <c r="E124" s="61" t="n"/>
      <c r="F124" s="65" t="n"/>
      <c r="G124" s="61" t="n"/>
      <c r="H124" s="61" t="n"/>
      <c r="I124" s="61" t="n"/>
      <c r="J124" s="61" t="n"/>
      <c r="K124" s="61" t="n"/>
      <c r="L124" s="61" t="n"/>
      <c r="M124" s="61" t="n"/>
      <c r="N124" s="61" t="n"/>
      <c r="O124" s="61" t="n"/>
      <c r="P124" s="61" t="n"/>
      <c r="Q124" s="61" t="n"/>
      <c r="R124" s="61" t="n"/>
      <c r="S124" s="61" t="n"/>
      <c r="T124" s="61" t="n"/>
      <c r="U124" s="61" t="n"/>
      <c r="V124" s="61" t="n"/>
      <c r="W124" s="61" t="n"/>
      <c r="X124" s="61" t="n"/>
    </row>
    <row r="125" ht="15.4" customHeight="1">
      <c r="B125" s="75" t="inlineStr">
        <is>
          <t>成本法實際現金流</t>
        </is>
      </c>
      <c r="C125" s="76" t="n"/>
      <c r="D125" s="77">
        <f>-D94</f>
        <v/>
      </c>
      <c r="E125" s="64">
        <f>-E95-E96</f>
        <v/>
      </c>
      <c r="F125" s="64">
        <f>-F95-F96</f>
        <v/>
      </c>
      <c r="G125" s="64">
        <f>-G95-G96</f>
        <v/>
      </c>
      <c r="H125" s="64">
        <f>-H95-H96</f>
        <v/>
      </c>
      <c r="I125" s="64">
        <f>-I95-I96</f>
        <v/>
      </c>
      <c r="J125" s="64">
        <f>-J95-J96</f>
        <v/>
      </c>
      <c r="K125" s="64">
        <f>-K95-K96</f>
        <v/>
      </c>
      <c r="L125" s="64">
        <f>-L95-L96</f>
        <v/>
      </c>
      <c r="M125" s="64">
        <f>-M95-M96</f>
        <v/>
      </c>
      <c r="N125" s="64">
        <f>-N95-N96</f>
        <v/>
      </c>
      <c r="O125" s="64">
        <f>-O95-O96</f>
        <v/>
      </c>
      <c r="P125" s="64">
        <f>-P95-P96</f>
        <v/>
      </c>
      <c r="Q125" s="64">
        <f>-Q95-Q96</f>
        <v/>
      </c>
      <c r="R125" s="64">
        <f>-R95-R96</f>
        <v/>
      </c>
      <c r="S125" s="64">
        <f>-S95-S96</f>
        <v/>
      </c>
      <c r="T125" s="64">
        <f>-T95-T96</f>
        <v/>
      </c>
      <c r="U125" s="64">
        <f>-U95-U96</f>
        <v/>
      </c>
      <c r="V125" s="64">
        <f>-V95-V96</f>
        <v/>
      </c>
      <c r="W125" s="64">
        <f>-W95-W96</f>
        <v/>
      </c>
      <c r="X125" s="64" t="n"/>
    </row>
    <row r="126" ht="15.4" customHeight="1">
      <c r="B126" s="61" t="inlineStr">
        <is>
          <t>成本法IRR</t>
        </is>
      </c>
      <c r="C126" s="78">
        <f>IRR(D104:X104)</f>
        <v/>
      </c>
      <c r="D126" s="65" t="n"/>
      <c r="E126" s="65" t="n"/>
      <c r="F126" s="61" t="n"/>
      <c r="G126" s="61" t="n"/>
      <c r="H126" s="61" t="n"/>
      <c r="I126" s="61" t="n"/>
      <c r="J126" s="61" t="n"/>
      <c r="K126" s="61" t="n"/>
      <c r="L126" s="61" t="n"/>
      <c r="M126" s="61" t="n"/>
      <c r="N126" s="61" t="n"/>
      <c r="O126" s="61" t="n"/>
      <c r="P126" s="61" t="n"/>
      <c r="Q126" s="61" t="n"/>
      <c r="R126" s="61" t="n"/>
      <c r="S126" s="61" t="n"/>
      <c r="T126" s="61" t="n"/>
      <c r="U126" s="61" t="n"/>
      <c r="V126" s="61" t="n"/>
      <c r="W126" s="61" t="n"/>
      <c r="X126" s="65" t="n"/>
    </row>
    <row r="127" ht="15.4" customHeight="1">
      <c r="B127" s="75" t="inlineStr">
        <is>
          <t>權益法實際現金流</t>
        </is>
      </c>
      <c r="C127" s="76" t="n"/>
      <c r="D127" s="77">
        <f>D85-D94</f>
        <v/>
      </c>
      <c r="E127" s="64">
        <f>E85</f>
        <v/>
      </c>
      <c r="F127" s="64">
        <f>F85-F96</f>
        <v/>
      </c>
      <c r="G127" s="64">
        <f>G85-G96</f>
        <v/>
      </c>
      <c r="H127" s="64">
        <f>H85-H96</f>
        <v/>
      </c>
      <c r="I127" s="64">
        <f>I85-I96</f>
        <v/>
      </c>
      <c r="J127" s="64">
        <f>J85-J96</f>
        <v/>
      </c>
      <c r="K127" s="64">
        <f>K85-K96</f>
        <v/>
      </c>
      <c r="L127" s="64">
        <f>L85-L96</f>
        <v/>
      </c>
      <c r="M127" s="64">
        <f>M85-M96</f>
        <v/>
      </c>
      <c r="N127" s="64">
        <f>N85-N96</f>
        <v/>
      </c>
      <c r="O127" s="64">
        <f>O85-O96</f>
        <v/>
      </c>
      <c r="P127" s="64">
        <f>P85-P96</f>
        <v/>
      </c>
      <c r="Q127" s="64">
        <f>Q85-Q96</f>
        <v/>
      </c>
      <c r="R127" s="64">
        <f>R85-R96</f>
        <v/>
      </c>
      <c r="S127" s="64">
        <f>S85-S96</f>
        <v/>
      </c>
      <c r="T127" s="64">
        <f>T85-T96</f>
        <v/>
      </c>
      <c r="U127" s="64">
        <f>U85-U96</f>
        <v/>
      </c>
      <c r="V127" s="64">
        <f>V85-V96</f>
        <v/>
      </c>
      <c r="W127" s="64">
        <f>W85-W96</f>
        <v/>
      </c>
      <c r="X127" s="64" t="n"/>
    </row>
    <row r="128" ht="15.4" customHeight="1">
      <c r="B128" s="75" t="inlineStr">
        <is>
          <t>權益法IRR</t>
        </is>
      </c>
      <c r="C128" s="79">
        <f>IRR(D106:W106)</f>
        <v/>
      </c>
      <c r="D128" s="65" t="n"/>
      <c r="E128" s="65" t="n"/>
      <c r="F128" s="61" t="n"/>
      <c r="G128" s="61" t="n"/>
      <c r="H128" s="61" t="n"/>
      <c r="I128" s="61" t="n"/>
      <c r="J128" s="61" t="n"/>
      <c r="K128" s="61" t="n"/>
      <c r="L128" s="61" t="n"/>
      <c r="M128" s="61" t="n"/>
      <c r="N128" s="61" t="n"/>
      <c r="O128" s="61" t="n"/>
      <c r="P128" s="61" t="n"/>
      <c r="Q128" s="61" t="n"/>
      <c r="R128" s="61" t="n"/>
      <c r="S128" s="61" t="n"/>
      <c r="T128" s="61" t="n"/>
      <c r="U128" s="61" t="n"/>
      <c r="V128" s="61" t="n"/>
      <c r="W128" s="61" t="n"/>
      <c r="X128" s="65" t="n"/>
    </row>
    <row r="129" ht="15.4" customHeight="1"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  <c r="M129" s="61" t="n"/>
      <c r="N129" s="61" t="n"/>
      <c r="O129" s="61" t="n"/>
      <c r="P129" s="61" t="n"/>
      <c r="Q129" s="61" t="n"/>
      <c r="R129" s="61" t="n"/>
      <c r="S129" s="61" t="n"/>
      <c r="T129" s="61" t="n"/>
      <c r="U129" s="61" t="n"/>
      <c r="V129" s="61" t="n"/>
      <c r="W129" s="61" t="n"/>
      <c r="X129" s="61" t="n"/>
    </row>
    <row r="130" ht="15.4" customHeight="1">
      <c r="B130" s="61" t="inlineStr">
        <is>
          <t>借款餘額</t>
        </is>
      </c>
      <c r="C130" s="62" t="n">
        <v>0</v>
      </c>
      <c r="D130" s="62">
        <f>D92</f>
        <v/>
      </c>
      <c r="E130" s="62">
        <f>D109+E93</f>
        <v/>
      </c>
      <c r="F130" s="62">
        <f>E109+F93</f>
        <v/>
      </c>
      <c r="G130" s="62">
        <f>F109+G93</f>
        <v/>
      </c>
      <c r="H130" s="62">
        <f>G109+H93</f>
        <v/>
      </c>
      <c r="I130" s="62">
        <f>H109+I93</f>
        <v/>
      </c>
      <c r="J130" s="62">
        <f>I109+J93</f>
        <v/>
      </c>
      <c r="K130" s="62">
        <f>J109+K93</f>
        <v/>
      </c>
      <c r="L130" s="62">
        <f>K109+L93</f>
        <v/>
      </c>
      <c r="M130" s="62">
        <f>L109+M93</f>
        <v/>
      </c>
      <c r="N130" s="62">
        <f>M109+N93</f>
        <v/>
      </c>
      <c r="O130" s="62">
        <f>N109+O93</f>
        <v/>
      </c>
      <c r="P130" s="62">
        <f>O109+P93</f>
        <v/>
      </c>
      <c r="Q130" s="62">
        <f>P109+Q93</f>
        <v/>
      </c>
      <c r="R130" s="62">
        <f>Q109+R93</f>
        <v/>
      </c>
      <c r="S130" s="62">
        <f>R109+S93</f>
        <v/>
      </c>
      <c r="T130" s="62">
        <f>S109+T93</f>
        <v/>
      </c>
      <c r="U130" s="62">
        <f>T109+U93</f>
        <v/>
      </c>
      <c r="V130" s="62">
        <f>U109+V93</f>
        <v/>
      </c>
      <c r="W130" s="62">
        <f>V109+W93</f>
        <v/>
      </c>
      <c r="X130" s="6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3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第2次滾算摘要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28000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4.98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13.18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第2次滾算，減少 1000 元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28000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-36632.4</v>
      </c>
      <c r="E49" s="28" t="n">
        <v>-36632.4</v>
      </c>
      <c r="F49" s="28" t="n">
        <v>-36632.4</v>
      </c>
      <c r="G49" s="28" t="n">
        <v>-36632.4</v>
      </c>
      <c r="H49" s="28" t="n">
        <v>-36632.4</v>
      </c>
      <c r="I49" s="28" t="n">
        <v>-36632.4</v>
      </c>
      <c r="J49" s="28" t="n">
        <v>-36632.4</v>
      </c>
      <c r="K49" s="28" t="n">
        <v>-36632.4</v>
      </c>
      <c r="L49" s="28" t="n">
        <v>-36632.4</v>
      </c>
      <c r="M49" s="28" t="n">
        <v>-36632.4</v>
      </c>
      <c r="N49" s="28" t="n">
        <v>-36632.4</v>
      </c>
      <c r="O49" s="28" t="n">
        <v>-36632.4</v>
      </c>
      <c r="P49" s="28" t="n">
        <v>-36632.4</v>
      </c>
      <c r="Q49" s="28" t="n">
        <v>-36632.4</v>
      </c>
      <c r="R49" s="28" t="n">
        <v>-36632.4</v>
      </c>
      <c r="S49" s="28" t="n">
        <v>-36632.4</v>
      </c>
      <c r="T49" s="28" t="n">
        <v>-36632.4</v>
      </c>
      <c r="U49" s="28" t="n">
        <v>-36632.4</v>
      </c>
      <c r="V49" s="28" t="n">
        <v>-36632.4</v>
      </c>
      <c r="W49" s="28" t="n">
        <v>-36632.4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2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第1次滾算摘要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29000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4.63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11.74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第1次滾算，減少 1000 元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29000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-37940.7</v>
      </c>
      <c r="E49" s="28" t="n">
        <v>-37940.7</v>
      </c>
      <c r="F49" s="28" t="n">
        <v>-37940.7</v>
      </c>
      <c r="G49" s="28" t="n">
        <v>-37940.7</v>
      </c>
      <c r="H49" s="28" t="n">
        <v>-37940.7</v>
      </c>
      <c r="I49" s="28" t="n">
        <v>-37940.7</v>
      </c>
      <c r="J49" s="28" t="n">
        <v>-37940.7</v>
      </c>
      <c r="K49" s="28" t="n">
        <v>-37940.7</v>
      </c>
      <c r="L49" s="28" t="n">
        <v>-37940.7</v>
      </c>
      <c r="M49" s="28" t="n">
        <v>-37940.7</v>
      </c>
      <c r="N49" s="28" t="n">
        <v>-37940.7</v>
      </c>
      <c r="O49" s="28" t="n">
        <v>-37940.7</v>
      </c>
      <c r="P49" s="28" t="n">
        <v>-37940.7</v>
      </c>
      <c r="Q49" s="28" t="n">
        <v>-37940.7</v>
      </c>
      <c r="R49" s="28" t="n">
        <v>-37940.7</v>
      </c>
      <c r="S49" s="28" t="n">
        <v>-37940.7</v>
      </c>
      <c r="T49" s="28" t="n">
        <v>-37940.7</v>
      </c>
      <c r="U49" s="28" t="n">
        <v>-37940.7</v>
      </c>
      <c r="V49" s="28" t="n">
        <v>-37940.7</v>
      </c>
      <c r="W49" s="28" t="n">
        <v>-37940.7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4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第3次滾算摘要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27000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5.35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14.77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第3次滾算，減少 1000 元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27000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-35324.1</v>
      </c>
      <c r="E49" s="28" t="n">
        <v>-35324.1</v>
      </c>
      <c r="F49" s="28" t="n">
        <v>-35324.1</v>
      </c>
      <c r="G49" s="28" t="n">
        <v>-35324.1</v>
      </c>
      <c r="H49" s="28" t="n">
        <v>-35324.1</v>
      </c>
      <c r="I49" s="28" t="n">
        <v>-35324.1</v>
      </c>
      <c r="J49" s="28" t="n">
        <v>-35324.1</v>
      </c>
      <c r="K49" s="28" t="n">
        <v>-35324.1</v>
      </c>
      <c r="L49" s="28" t="n">
        <v>-35324.1</v>
      </c>
      <c r="M49" s="28" t="n">
        <v>-35324.1</v>
      </c>
      <c r="N49" s="28" t="n">
        <v>-35324.1</v>
      </c>
      <c r="O49" s="28" t="n">
        <v>-35324.1</v>
      </c>
      <c r="P49" s="28" t="n">
        <v>-35324.1</v>
      </c>
      <c r="Q49" s="28" t="n">
        <v>-35324.1</v>
      </c>
      <c r="R49" s="28" t="n">
        <v>-35324.1</v>
      </c>
      <c r="S49" s="28" t="n">
        <v>-35324.1</v>
      </c>
      <c r="T49" s="28" t="n">
        <v>-35324.1</v>
      </c>
      <c r="U49" s="28" t="n">
        <v>-35324.1</v>
      </c>
      <c r="V49" s="28" t="n">
        <v>-35324.1</v>
      </c>
      <c r="W49" s="28" t="n">
        <v>-35324.1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6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第5次滾算摘要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25000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6.15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18.54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第5次滾算，減少 1000 元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25000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-32707.5</v>
      </c>
      <c r="E49" s="28" t="n">
        <v>-32707.5</v>
      </c>
      <c r="F49" s="28" t="n">
        <v>-32707.5</v>
      </c>
      <c r="G49" s="28" t="n">
        <v>-32707.5</v>
      </c>
      <c r="H49" s="28" t="n">
        <v>-32707.5</v>
      </c>
      <c r="I49" s="28" t="n">
        <v>-32707.5</v>
      </c>
      <c r="J49" s="28" t="n">
        <v>-32707.5</v>
      </c>
      <c r="K49" s="28" t="n">
        <v>-32707.5</v>
      </c>
      <c r="L49" s="28" t="n">
        <v>-32707.5</v>
      </c>
      <c r="M49" s="28" t="n">
        <v>-32707.5</v>
      </c>
      <c r="N49" s="28" t="n">
        <v>-32707.5</v>
      </c>
      <c r="O49" s="28" t="n">
        <v>-32707.5</v>
      </c>
      <c r="P49" s="28" t="n">
        <v>-32707.5</v>
      </c>
      <c r="Q49" s="28" t="n">
        <v>-32707.5</v>
      </c>
      <c r="R49" s="28" t="n">
        <v>-32707.5</v>
      </c>
      <c r="S49" s="28" t="n">
        <v>-32707.5</v>
      </c>
      <c r="T49" s="28" t="n">
        <v>-32707.5</v>
      </c>
      <c r="U49" s="28" t="n">
        <v>-32707.5</v>
      </c>
      <c r="V49" s="28" t="n">
        <v>-32707.5</v>
      </c>
      <c r="W49" s="28" t="n">
        <v>-32707.5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2026-02-28T08:16:33Z</dcterms:created>
  <dcterms:modified xsi:type="dcterms:W3CDTF">2026-02-28T08:16:41Z</dcterms:modified>
</cp:coreProperties>
</file>