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站彙整" sheetId="1" state="visible" r:id="rId1"/>
    <sheet name="表 105_滾算紀錄1" sheetId="2" state="visible" r:id="rId2"/>
    <sheet name="表 105_滾算紀錄2" sheetId="3" state="visible" r:id="rId3"/>
    <sheet name="表 105_滾算紀錄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_);[Red]\(0.00\)"/>
    <numFmt numFmtId="165" formatCode="0_);[Red]\(0\)"/>
    <numFmt numFmtId="166" formatCode="&quot;$&quot;#,##0.00_);[Red]\(&quot;$&quot;#,##0.00\)"/>
    <numFmt numFmtId="167" formatCode="&quot;$&quot;#,##0_);[Red]\(&quot;$&quot;#,##0\)"/>
    <numFmt numFmtId="168" formatCode="0.00000%"/>
    <numFmt numFmtId="169" formatCode="_-&quot;$&quot;* #,##0_-;\-&quot;$&quot;* #,##0_-;_-&quot;$&quot;* &quot;-&quot;??_-;_-@_-"/>
    <numFmt numFmtId="170" formatCode="0.0000%"/>
    <numFmt numFmtId="171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新細明體"/>
      <family val="2"/>
      <color theme="0" tint="-0.1499984740745262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27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8" fillId="0" borderId="0" applyAlignment="1" pivotButton="0" quotePrefix="0" xfId="0">
      <alignment horizontal="left"/>
    </xf>
    <xf numFmtId="0" fontId="9" fillId="5" borderId="14" applyAlignment="1" pivotButton="0" quotePrefix="0" xfId="0">
      <alignment horizontal="center"/>
    </xf>
    <xf numFmtId="164" fontId="10" fillId="0" borderId="15" applyAlignment="1" pivotButton="0" quotePrefix="0" xfId="0">
      <alignment horizontal="right"/>
    </xf>
    <xf numFmtId="164" fontId="11" fillId="0" borderId="16" applyAlignment="1" pivotButton="0" quotePrefix="0" xfId="0">
      <alignment horizontal="left"/>
    </xf>
    <xf numFmtId="164" fontId="11" fillId="0" borderId="17" applyAlignment="1" pivotButton="0" quotePrefix="0" xfId="0">
      <alignment horizontal="left"/>
    </xf>
    <xf numFmtId="164" fontId="12" fillId="0" borderId="18" applyAlignment="1" pivotButton="0" quotePrefix="0" xfId="0">
      <alignment horizontal="left"/>
    </xf>
    <xf numFmtId="164" fontId="8" fillId="0" borderId="17" applyAlignment="1" pivotButton="0" quotePrefix="0" xfId="0">
      <alignment horizontal="left"/>
    </xf>
    <xf numFmtId="164" fontId="8" fillId="0" borderId="18" applyAlignment="1" pivotButton="0" quotePrefix="0" xfId="0">
      <alignment horizontal="center"/>
    </xf>
    <xf numFmtId="0" fontId="13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5" fillId="0" borderId="22" applyAlignment="1" pivotButton="0" quotePrefix="0" xfId="0">
      <alignment horizontal="right"/>
    </xf>
    <xf numFmtId="164" fontId="13" fillId="0" borderId="12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6" fontId="15" fillId="7" borderId="24" applyAlignment="1" pivotButton="0" quotePrefix="0" xfId="0">
      <alignment horizontal="left"/>
    </xf>
    <xf numFmtId="166" fontId="13" fillId="0" borderId="16" applyAlignment="1" pivotButton="0" quotePrefix="0" xfId="0">
      <alignment horizontal="center"/>
    </xf>
    <xf numFmtId="167" fontId="13" fillId="0" borderId="17" applyAlignment="1" pivotButton="0" quotePrefix="0" xfId="0">
      <alignment horizontal="center"/>
    </xf>
    <xf numFmtId="166" fontId="15" fillId="7" borderId="25" applyAlignment="1" pivotButton="0" quotePrefix="0" xfId="0">
      <alignment horizontal="left"/>
    </xf>
    <xf numFmtId="166" fontId="13" fillId="0" borderId="12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15" fillId="7" borderId="26" applyAlignment="1" pivotButton="0" quotePrefix="0" xfId="0">
      <alignment horizontal="left"/>
    </xf>
    <xf numFmtId="166" fontId="13" fillId="0" borderId="27" applyAlignment="1" pivotButton="0" quotePrefix="0" xfId="0">
      <alignment horizontal="center"/>
    </xf>
    <xf numFmtId="166" fontId="13" fillId="0" borderId="28" applyAlignment="1" pivotButton="0" quotePrefix="0" xfId="0">
      <alignment horizontal="center"/>
    </xf>
    <xf numFmtId="166" fontId="15" fillId="8" borderId="25" applyAlignment="1" pivotButton="0" quotePrefix="0" xfId="0">
      <alignment horizontal="left"/>
    </xf>
    <xf numFmtId="167" fontId="13" fillId="0" borderId="12" applyAlignment="1" pivotButton="0" quotePrefix="0" xfId="0">
      <alignment horizontal="center"/>
    </xf>
    <xf numFmtId="167" fontId="13" fillId="0" borderId="0" applyAlignment="1" pivotButton="0" quotePrefix="0" xfId="0">
      <alignment horizontal="center"/>
    </xf>
    <xf numFmtId="166" fontId="8" fillId="0" borderId="12" applyAlignment="1" pivotButton="0" quotePrefix="0" xfId="0">
      <alignment horizontal="left"/>
    </xf>
    <xf numFmtId="166" fontId="16" fillId="8" borderId="25" applyAlignment="1" pivotButton="0" quotePrefix="0" xfId="0">
      <alignment horizontal="left"/>
    </xf>
    <xf numFmtId="166" fontId="17" fillId="0" borderId="15" applyAlignment="1" pivotButton="0" quotePrefix="0" xfId="0">
      <alignment horizontal="right"/>
    </xf>
    <xf numFmtId="167" fontId="18" fillId="0" borderId="27" applyAlignment="1" pivotButton="0" quotePrefix="0" xfId="0">
      <alignment horizontal="center"/>
    </xf>
    <xf numFmtId="167" fontId="19" fillId="0" borderId="30" applyAlignment="1" pivotButton="0" quotePrefix="0" xfId="0">
      <alignment horizontal="center"/>
    </xf>
    <xf numFmtId="166" fontId="21" fillId="0" borderId="22" applyAlignment="1" pivotButton="0" quotePrefix="0" xfId="0">
      <alignment horizontal="right"/>
    </xf>
    <xf numFmtId="167" fontId="18" fillId="0" borderId="28" applyAlignment="1" pivotButton="0" quotePrefix="0" xfId="0">
      <alignment horizontal="center"/>
    </xf>
    <xf numFmtId="166" fontId="22" fillId="0" borderId="22" applyAlignment="1" pivotButton="0" quotePrefix="0" xfId="0">
      <alignment horizontal="right"/>
    </xf>
    <xf numFmtId="166" fontId="23" fillId="0" borderId="27" applyAlignment="1" pivotButton="0" quotePrefix="0" xfId="0">
      <alignment horizontal="center"/>
    </xf>
    <xf numFmtId="167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164" fontId="24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left"/>
    </xf>
    <xf numFmtId="164" fontId="8" fillId="9" borderId="18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7" fontId="13" fillId="10" borderId="14" applyAlignment="1" pivotButton="0" quotePrefix="0" xfId="0">
      <alignment horizontal="center"/>
    </xf>
    <xf numFmtId="166" fontId="8" fillId="0" borderId="31" applyAlignment="1" pivotButton="0" quotePrefix="0" xfId="0">
      <alignment horizontal="left"/>
    </xf>
    <xf numFmtId="166" fontId="8" fillId="0" borderId="0" applyAlignment="1" pivotButton="0" quotePrefix="0" xfId="0">
      <alignment horizontal="left"/>
    </xf>
    <xf numFmtId="166" fontId="19" fillId="0" borderId="17" applyAlignment="1" pivotButton="0" quotePrefix="0" xfId="0">
      <alignment horizontal="center"/>
    </xf>
    <xf numFmtId="166" fontId="26" fillId="0" borderId="0" applyAlignment="1" pivotButton="0" quotePrefix="0" xfId="0">
      <alignment horizontal="right"/>
    </xf>
    <xf numFmtId="166" fontId="18" fillId="0" borderId="27" applyAlignment="1" pivotButton="0" quotePrefix="0" xfId="0">
      <alignment horizontal="center"/>
    </xf>
    <xf numFmtId="166" fontId="18" fillId="0" borderId="28" applyAlignment="1" pivotButton="0" quotePrefix="0" xfId="0">
      <alignment horizontal="center"/>
    </xf>
    <xf numFmtId="164" fontId="22" fillId="0" borderId="22" applyAlignment="1" pivotButton="0" quotePrefix="0" xfId="0">
      <alignment horizontal="right"/>
    </xf>
    <xf numFmtId="164" fontId="23" fillId="0" borderId="27" applyAlignment="1" pivotButton="0" quotePrefix="0" xfId="0">
      <alignment horizontal="center"/>
    </xf>
    <xf numFmtId="164" fontId="18" fillId="0" borderId="2" applyAlignment="1" pivotButton="0" quotePrefix="0" xfId="0">
      <alignment horizontal="center"/>
    </xf>
    <xf numFmtId="0" fontId="9" fillId="18" borderId="14" applyAlignment="1" pivotButton="0" quotePrefix="0" xfId="0">
      <alignment horizontal="left"/>
    </xf>
    <xf numFmtId="0" fontId="9" fillId="18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left"/>
    </xf>
    <xf numFmtId="167" fontId="4" fillId="0" borderId="0" applyAlignment="1" pivotButton="0" quotePrefix="0" xfId="0">
      <alignment horizontal="center"/>
    </xf>
    <xf numFmtId="167" fontId="4" fillId="19" borderId="14" applyAlignment="1" pivotButton="0" quotePrefix="0" xfId="0">
      <alignment horizontal="center"/>
    </xf>
    <xf numFmtId="167" fontId="4" fillId="0" borderId="33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66" fontId="4" fillId="0" borderId="34" applyAlignment="1" pivotButton="0" quotePrefix="0" xfId="0">
      <alignment horizontal="left"/>
    </xf>
    <xf numFmtId="166" fontId="4" fillId="0" borderId="34" applyAlignment="1" pivotButton="0" quotePrefix="0" xfId="0">
      <alignment horizontal="right"/>
    </xf>
    <xf numFmtId="167" fontId="4" fillId="0" borderId="34" applyAlignment="1" pivotButton="0" quotePrefix="0" xfId="0">
      <alignment horizontal="center"/>
    </xf>
    <xf numFmtId="167" fontId="4" fillId="0" borderId="0" applyAlignment="1" pivotButton="0" quotePrefix="0" xfId="0">
      <alignment horizontal="left"/>
    </xf>
    <xf numFmtId="169" fontId="4" fillId="20" borderId="14" applyAlignment="1" pivotButton="0" quotePrefix="0" xfId="0">
      <alignment horizontal="center"/>
    </xf>
    <xf numFmtId="166" fontId="4" fillId="0" borderId="35" applyAlignment="1" pivotButton="0" quotePrefix="0" xfId="0">
      <alignment horizontal="left"/>
    </xf>
    <xf numFmtId="166" fontId="4" fillId="0" borderId="35" applyAlignment="1" pivotButton="0" quotePrefix="0" xfId="0">
      <alignment horizontal="right"/>
    </xf>
    <xf numFmtId="169" fontId="4" fillId="0" borderId="35" applyAlignment="1" pivotButton="0" quotePrefix="0" xfId="0">
      <alignment horizontal="right"/>
    </xf>
    <xf numFmtId="166" fontId="4" fillId="0" borderId="33" applyAlignment="1" pivotButton="0" quotePrefix="0" xfId="0">
      <alignment horizontal="left"/>
    </xf>
    <xf numFmtId="166" fontId="4" fillId="0" borderId="33" applyAlignment="1" pivotButton="0" quotePrefix="0" xfId="0">
      <alignment horizontal="right"/>
    </xf>
    <xf numFmtId="167" fontId="4" fillId="6" borderId="36" applyAlignment="1" pivotButton="0" quotePrefix="0" xfId="0">
      <alignment horizontal="center"/>
    </xf>
    <xf numFmtId="170" fontId="4" fillId="10" borderId="14" applyAlignment="1" pivotButton="0" quotePrefix="0" xfId="0">
      <alignment horizontal="left"/>
    </xf>
    <xf numFmtId="171" fontId="4" fillId="10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0" pivotButton="0" quotePrefix="0" xfId="0"/>
    <xf numFmtId="164" fontId="4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left"/>
    </xf>
    <xf numFmtId="164" fontId="5" fillId="0" borderId="4" applyAlignment="1" pivotButton="0" quotePrefix="0" xfId="0">
      <alignment horizontal="center"/>
    </xf>
    <xf numFmtId="164" fontId="4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left"/>
    </xf>
    <xf numFmtId="164" fontId="5" fillId="0" borderId="5" applyAlignment="1" pivotButton="0" quotePrefix="0" xfId="0">
      <alignment horizontal="center"/>
    </xf>
    <xf numFmtId="164" fontId="5" fillId="0" borderId="0" applyAlignment="1" pivotButton="0" quotePrefix="0" xfId="0">
      <alignment horizontal="left"/>
    </xf>
    <xf numFmtId="164" fontId="6" fillId="2" borderId="1" applyAlignment="1" pivotButton="0" quotePrefix="0" xfId="0">
      <alignment horizontal="center"/>
    </xf>
    <xf numFmtId="164" fontId="5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5" fillId="0" borderId="9" applyAlignment="1" pivotButton="0" quotePrefix="0" xfId="0">
      <alignment horizontal="left"/>
    </xf>
    <xf numFmtId="164" fontId="5" fillId="0" borderId="10" applyAlignment="1" pivotButton="0" quotePrefix="0" xfId="0">
      <alignment horizontal="left"/>
    </xf>
    <xf numFmtId="164" fontId="4" fillId="0" borderId="11" applyAlignment="1" pivotButton="0" quotePrefix="0" xfId="0">
      <alignment horizontal="left"/>
    </xf>
    <xf numFmtId="164" fontId="5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5" fillId="0" borderId="13" applyAlignment="1" pivotButton="0" quotePrefix="0" xfId="0">
      <alignment horizontal="left"/>
    </xf>
    <xf numFmtId="164" fontId="5" fillId="4" borderId="1" applyAlignment="1" pivotButton="0" quotePrefix="0" xfId="0">
      <alignment horizontal="center"/>
    </xf>
    <xf numFmtId="164" fontId="5" fillId="0" borderId="11" applyAlignment="1" pivotButton="0" quotePrefix="0" xfId="0">
      <alignment horizontal="left"/>
    </xf>
    <xf numFmtId="164" fontId="5" fillId="0" borderId="4" applyAlignment="1" pivotButton="0" quotePrefix="0" xfId="0">
      <alignment horizontal="left" vertical="top"/>
    </xf>
    <xf numFmtId="164" fontId="5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5" fillId="0" borderId="5" applyAlignment="1" pivotButton="0" quotePrefix="0" xfId="0">
      <alignment horizontal="left" vertical="top"/>
    </xf>
    <xf numFmtId="164" fontId="4" fillId="0" borderId="5" applyAlignment="1" pivotButton="0" quotePrefix="0" xfId="0">
      <alignment horizontal="left" wrapText="1"/>
    </xf>
    <xf numFmtId="164" fontId="7" fillId="0" borderId="0" applyAlignment="1" pivotButton="0" quotePrefix="0" xfId="0">
      <alignment horizontal="left"/>
    </xf>
    <xf numFmtId="164" fontId="5" fillId="0" borderId="5" applyAlignment="1" pivotButton="0" quotePrefix="0" xfId="0">
      <alignment horizontal="right"/>
    </xf>
    <xf numFmtId="164" fontId="8" fillId="0" borderId="19" applyAlignment="1" pivotButton="0" quotePrefix="0" xfId="0">
      <alignment horizontal="left"/>
    </xf>
    <xf numFmtId="0" fontId="13" fillId="0" borderId="21" applyAlignment="1" pivotButton="0" quotePrefix="0" xfId="0">
      <alignment horizontal="center"/>
    </xf>
    <xf numFmtId="164" fontId="13" fillId="6" borderId="23" applyAlignment="1" pivotButton="0" quotePrefix="0" xfId="0">
      <alignment horizontal="center"/>
    </xf>
    <xf numFmtId="166" fontId="13" fillId="0" borderId="19" applyAlignment="1" pivotButton="0" quotePrefix="0" xfId="0">
      <alignment horizontal="center"/>
    </xf>
    <xf numFmtId="166" fontId="13" fillId="0" borderId="21" applyAlignment="1" pivotButton="0" quotePrefix="0" xfId="0">
      <alignment horizontal="center"/>
    </xf>
    <xf numFmtId="166" fontId="13" fillId="0" borderId="29" applyAlignment="1" pivotButton="0" quotePrefix="0" xfId="0">
      <alignment horizontal="center"/>
    </xf>
    <xf numFmtId="166" fontId="19" fillId="0" borderId="30" applyAlignment="1" pivotButton="0" quotePrefix="0" xfId="0">
      <alignment horizontal="center"/>
    </xf>
    <xf numFmtId="166" fontId="20" fillId="0" borderId="0" applyAlignment="1" pivotButton="0" quotePrefix="0" xfId="0">
      <alignment horizontal="left"/>
    </xf>
    <xf numFmtId="166" fontId="20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6" fontId="18" fillId="0" borderId="29" applyAlignment="1" pivotButton="0" quotePrefix="0" xfId="0">
      <alignment horizontal="center"/>
    </xf>
    <xf numFmtId="164" fontId="18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/>
    <row r="2"/>
    <row r="3"/>
    <row r="4">
      <c r="C4" s="1" t="inlineStr">
        <is>
          <t>年份</t>
        </is>
      </c>
      <c r="D4" s="1" t="n">
        <v>2023</v>
      </c>
      <c r="E4" s="1" t="n">
        <v>2024</v>
      </c>
      <c r="F4" s="1" t="n">
        <v>2025</v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  <c r="L4" s="1" t="n">
        <v>2031</v>
      </c>
      <c r="M4" s="1" t="n">
        <v>2032</v>
      </c>
      <c r="N4" s="1" t="n">
        <v>2033</v>
      </c>
      <c r="O4" s="1" t="n">
        <v>2034</v>
      </c>
      <c r="P4" s="1" t="n">
        <v>2035</v>
      </c>
      <c r="Q4" s="1" t="n">
        <v>2036</v>
      </c>
      <c r="R4" s="1" t="n">
        <v>2037</v>
      </c>
      <c r="S4" s="1" t="n">
        <v>2038</v>
      </c>
      <c r="T4" s="1" t="n">
        <v>2039</v>
      </c>
      <c r="U4" s="1" t="n">
        <v>2040</v>
      </c>
      <c r="V4" s="1" t="n">
        <v>2041</v>
      </c>
      <c r="W4" s="1" t="n">
        <v>2042</v>
      </c>
    </row>
    <row r="5">
      <c r="C5" t="inlineStr">
        <is>
          <t>預估發電度數</t>
        </is>
      </c>
    </row>
    <row r="6">
      <c r="B6" t="inlineStr">
        <is>
          <t>表 105</t>
        </is>
      </c>
      <c r="D6">
        <f>ABS('表 105_滾算紀錄1'!D40)</f>
        <v/>
      </c>
      <c r="E6">
        <f>ABS('表 105_滾算紀錄1'!E40)</f>
        <v/>
      </c>
      <c r="F6">
        <f>ABS('表 105_滾算紀錄1'!F40)</f>
        <v/>
      </c>
      <c r="G6">
        <f>ABS('表 105_滾算紀錄1'!G40)</f>
        <v/>
      </c>
      <c r="H6">
        <f>ABS('表 105_滾算紀錄1'!H40)</f>
        <v/>
      </c>
      <c r="I6">
        <f>ABS('表 105_滾算紀錄1'!I40)</f>
        <v/>
      </c>
      <c r="J6">
        <f>ABS('表 105_滾算紀錄1'!J40)</f>
        <v/>
      </c>
      <c r="K6">
        <f>ABS('表 105_滾算紀錄1'!K40)</f>
        <v/>
      </c>
      <c r="L6">
        <f>ABS('表 105_滾算紀錄1'!L40)</f>
        <v/>
      </c>
      <c r="M6">
        <f>ABS('表 105_滾算紀錄1'!M40)</f>
        <v/>
      </c>
      <c r="N6">
        <f>ABS('表 105_滾算紀錄1'!N40)</f>
        <v/>
      </c>
      <c r="O6">
        <f>ABS('表 105_滾算紀錄1'!O40)</f>
        <v/>
      </c>
      <c r="P6">
        <f>ABS('表 105_滾算紀錄1'!P40)</f>
        <v/>
      </c>
      <c r="Q6">
        <f>ABS('表 105_滾算紀錄1'!Q40)</f>
        <v/>
      </c>
      <c r="R6">
        <f>ABS('表 105_滾算紀錄1'!R40)</f>
        <v/>
      </c>
      <c r="S6">
        <f>ABS('表 105_滾算紀錄1'!S40)</f>
        <v/>
      </c>
      <c r="T6">
        <f>ABS('表 105_滾算紀錄1'!T40)</f>
        <v/>
      </c>
      <c r="U6">
        <f>ABS('表 105_滾算紀錄1'!U40)</f>
        <v/>
      </c>
      <c r="V6">
        <f>ABS('表 105_滾算紀錄1'!V40)</f>
        <v/>
      </c>
      <c r="W6">
        <f>ABS('表 105_滾算紀錄1'!W40)</f>
        <v/>
      </c>
    </row>
    <row r="7">
      <c r="B7" t="inlineStr">
        <is>
          <t>表 105</t>
        </is>
      </c>
      <c r="D7">
        <f>ABS('表 105_滾算紀錄2'!D40)</f>
        <v/>
      </c>
      <c r="E7">
        <f>ABS('表 105_滾算紀錄2'!E40)</f>
        <v/>
      </c>
      <c r="F7">
        <f>ABS('表 105_滾算紀錄2'!F40)</f>
        <v/>
      </c>
      <c r="G7">
        <f>ABS('表 105_滾算紀錄2'!G40)</f>
        <v/>
      </c>
      <c r="H7">
        <f>ABS('表 105_滾算紀錄2'!H40)</f>
        <v/>
      </c>
      <c r="I7">
        <f>ABS('表 105_滾算紀錄2'!I40)</f>
        <v/>
      </c>
      <c r="J7">
        <f>ABS('表 105_滾算紀錄2'!J40)</f>
        <v/>
      </c>
      <c r="K7">
        <f>ABS('表 105_滾算紀錄2'!K40)</f>
        <v/>
      </c>
      <c r="L7">
        <f>ABS('表 105_滾算紀錄2'!L40)</f>
        <v/>
      </c>
      <c r="M7">
        <f>ABS('表 105_滾算紀錄2'!M40)</f>
        <v/>
      </c>
      <c r="N7">
        <f>ABS('表 105_滾算紀錄2'!N40)</f>
        <v/>
      </c>
      <c r="O7">
        <f>ABS('表 105_滾算紀錄2'!O40)</f>
        <v/>
      </c>
      <c r="P7">
        <f>ABS('表 105_滾算紀錄2'!P40)</f>
        <v/>
      </c>
      <c r="Q7">
        <f>ABS('表 105_滾算紀錄2'!Q40)</f>
        <v/>
      </c>
      <c r="R7">
        <f>ABS('表 105_滾算紀錄2'!R40)</f>
        <v/>
      </c>
      <c r="S7">
        <f>ABS('表 105_滾算紀錄2'!S40)</f>
        <v/>
      </c>
      <c r="T7">
        <f>ABS('表 105_滾算紀錄2'!T40)</f>
        <v/>
      </c>
      <c r="U7">
        <f>ABS('表 105_滾算紀錄2'!U40)</f>
        <v/>
      </c>
      <c r="V7">
        <f>ABS('表 105_滾算紀錄2'!V40)</f>
        <v/>
      </c>
      <c r="W7">
        <f>ABS('表 105_滾算紀錄2'!W40)</f>
        <v/>
      </c>
    </row>
    <row r="8">
      <c r="B8" t="inlineStr">
        <is>
          <t>表 105</t>
        </is>
      </c>
      <c r="D8">
        <f>ABS('表 105_滾算紀錄3'!D40)</f>
        <v/>
      </c>
      <c r="E8">
        <f>ABS('表 105_滾算紀錄3'!E40)</f>
        <v/>
      </c>
      <c r="F8">
        <f>ABS('表 105_滾算紀錄3'!F40)</f>
        <v/>
      </c>
      <c r="G8">
        <f>ABS('表 105_滾算紀錄3'!G40)</f>
        <v/>
      </c>
      <c r="H8">
        <f>ABS('表 105_滾算紀錄3'!H40)</f>
        <v/>
      </c>
      <c r="I8">
        <f>ABS('表 105_滾算紀錄3'!I40)</f>
        <v/>
      </c>
      <c r="J8">
        <f>ABS('表 105_滾算紀錄3'!J40)</f>
        <v/>
      </c>
      <c r="K8">
        <f>ABS('表 105_滾算紀錄3'!K40)</f>
        <v/>
      </c>
      <c r="L8">
        <f>ABS('表 105_滾算紀錄3'!L40)</f>
        <v/>
      </c>
      <c r="M8">
        <f>ABS('表 105_滾算紀錄3'!M40)</f>
        <v/>
      </c>
      <c r="N8">
        <f>ABS('表 105_滾算紀錄3'!N40)</f>
        <v/>
      </c>
      <c r="O8">
        <f>ABS('表 105_滾算紀錄3'!O40)</f>
        <v/>
      </c>
      <c r="P8">
        <f>ABS('表 105_滾算紀錄3'!P40)</f>
        <v/>
      </c>
      <c r="Q8">
        <f>ABS('表 105_滾算紀錄3'!Q40)</f>
        <v/>
      </c>
      <c r="R8">
        <f>ABS('表 105_滾算紀錄3'!R40)</f>
        <v/>
      </c>
      <c r="S8">
        <f>ABS('表 105_滾算紀錄3'!S40)</f>
        <v/>
      </c>
      <c r="T8">
        <f>ABS('表 105_滾算紀錄3'!T40)</f>
        <v/>
      </c>
      <c r="U8">
        <f>ABS('表 105_滾算紀錄3'!U40)</f>
        <v/>
      </c>
      <c r="V8">
        <f>ABS('表 105_滾算紀錄3'!V40)</f>
        <v/>
      </c>
      <c r="W8">
        <f>ABS('表 105_滾算紀錄3'!W40)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</row>
    <row r="10">
      <c r="C10" s="1" t="inlineStr">
        <is>
          <t>預估收入</t>
        </is>
      </c>
      <c r="D10" s="1" t="n">
        <v>2023</v>
      </c>
      <c r="E10" s="1" t="n">
        <v>2024</v>
      </c>
      <c r="F10" s="1" t="n">
        <v>2025</v>
      </c>
      <c r="G10" s="1" t="n">
        <v>2026</v>
      </c>
      <c r="H10" s="1" t="n">
        <v>2027</v>
      </c>
      <c r="I10" s="1" t="n">
        <v>2028</v>
      </c>
      <c r="J10" s="1" t="n">
        <v>2029</v>
      </c>
      <c r="K10" s="1" t="n">
        <v>2030</v>
      </c>
      <c r="L10" s="1" t="n">
        <v>2031</v>
      </c>
      <c r="M10" s="1" t="n">
        <v>2032</v>
      </c>
      <c r="N10" s="1" t="n">
        <v>2033</v>
      </c>
      <c r="O10" s="1" t="n">
        <v>2034</v>
      </c>
      <c r="P10" s="1" t="n">
        <v>2035</v>
      </c>
      <c r="Q10" s="1" t="n">
        <v>2036</v>
      </c>
      <c r="R10" s="1" t="n">
        <v>2037</v>
      </c>
      <c r="S10" s="1" t="n">
        <v>2038</v>
      </c>
      <c r="T10" s="1" t="n">
        <v>2039</v>
      </c>
      <c r="U10" s="1" t="n">
        <v>2040</v>
      </c>
      <c r="V10" s="1" t="n">
        <v>2041</v>
      </c>
      <c r="W10" s="1" t="n">
        <v>2042</v>
      </c>
    </row>
    <row r="11">
      <c r="B11" t="inlineStr">
        <is>
          <t>表 105</t>
        </is>
      </c>
      <c r="D11">
        <f>ABS('表 105_滾算紀錄1'!D41)</f>
        <v/>
      </c>
      <c r="E11">
        <f>ABS('表 105_滾算紀錄1'!E41)</f>
        <v/>
      </c>
      <c r="F11">
        <f>ABS('表 105_滾算紀錄1'!F41)</f>
        <v/>
      </c>
      <c r="G11">
        <f>ABS('表 105_滾算紀錄1'!G41)</f>
        <v/>
      </c>
      <c r="H11">
        <f>ABS('表 105_滾算紀錄1'!H41)</f>
        <v/>
      </c>
      <c r="I11">
        <f>ABS('表 105_滾算紀錄1'!I41)</f>
        <v/>
      </c>
      <c r="J11">
        <f>ABS('表 105_滾算紀錄1'!J41)</f>
        <v/>
      </c>
      <c r="K11">
        <f>ABS('表 105_滾算紀錄1'!K41)</f>
        <v/>
      </c>
      <c r="L11">
        <f>ABS('表 105_滾算紀錄1'!L41)</f>
        <v/>
      </c>
      <c r="M11">
        <f>ABS('表 105_滾算紀錄1'!M41)</f>
        <v/>
      </c>
      <c r="N11">
        <f>ABS('表 105_滾算紀錄1'!N41)</f>
        <v/>
      </c>
      <c r="O11">
        <f>ABS('表 105_滾算紀錄1'!O41)</f>
        <v/>
      </c>
      <c r="P11">
        <f>ABS('表 105_滾算紀錄1'!P41)</f>
        <v/>
      </c>
      <c r="Q11">
        <f>ABS('表 105_滾算紀錄1'!Q41)</f>
        <v/>
      </c>
      <c r="R11">
        <f>ABS('表 105_滾算紀錄1'!R41)</f>
        <v/>
      </c>
      <c r="S11">
        <f>ABS('表 105_滾算紀錄1'!S41)</f>
        <v/>
      </c>
      <c r="T11">
        <f>ABS('表 105_滾算紀錄1'!T41)</f>
        <v/>
      </c>
      <c r="U11">
        <f>ABS('表 105_滾算紀錄1'!U41)</f>
        <v/>
      </c>
      <c r="V11">
        <f>ABS('表 105_滾算紀錄1'!V41)</f>
        <v/>
      </c>
      <c r="W11">
        <f>ABS('表 105_滾算紀錄1'!W41)</f>
        <v/>
      </c>
    </row>
    <row r="12">
      <c r="B12" t="inlineStr">
        <is>
          <t>表 105</t>
        </is>
      </c>
      <c r="D12">
        <f>ABS('表 105_滾算紀錄2'!D41)</f>
        <v/>
      </c>
      <c r="E12">
        <f>ABS('表 105_滾算紀錄2'!E41)</f>
        <v/>
      </c>
      <c r="F12">
        <f>ABS('表 105_滾算紀錄2'!F41)</f>
        <v/>
      </c>
      <c r="G12">
        <f>ABS('表 105_滾算紀錄2'!G41)</f>
        <v/>
      </c>
      <c r="H12">
        <f>ABS('表 105_滾算紀錄2'!H41)</f>
        <v/>
      </c>
      <c r="I12">
        <f>ABS('表 105_滾算紀錄2'!I41)</f>
        <v/>
      </c>
      <c r="J12">
        <f>ABS('表 105_滾算紀錄2'!J41)</f>
        <v/>
      </c>
      <c r="K12">
        <f>ABS('表 105_滾算紀錄2'!K41)</f>
        <v/>
      </c>
      <c r="L12">
        <f>ABS('表 105_滾算紀錄2'!L41)</f>
        <v/>
      </c>
      <c r="M12">
        <f>ABS('表 105_滾算紀錄2'!M41)</f>
        <v/>
      </c>
      <c r="N12">
        <f>ABS('表 105_滾算紀錄2'!N41)</f>
        <v/>
      </c>
      <c r="O12">
        <f>ABS('表 105_滾算紀錄2'!O41)</f>
        <v/>
      </c>
      <c r="P12">
        <f>ABS('表 105_滾算紀錄2'!P41)</f>
        <v/>
      </c>
      <c r="Q12">
        <f>ABS('表 105_滾算紀錄2'!Q41)</f>
        <v/>
      </c>
      <c r="R12">
        <f>ABS('表 105_滾算紀錄2'!R41)</f>
        <v/>
      </c>
      <c r="S12">
        <f>ABS('表 105_滾算紀錄2'!S41)</f>
        <v/>
      </c>
      <c r="T12">
        <f>ABS('表 105_滾算紀錄2'!T41)</f>
        <v/>
      </c>
      <c r="U12">
        <f>ABS('表 105_滾算紀錄2'!U41)</f>
        <v/>
      </c>
      <c r="V12">
        <f>ABS('表 105_滾算紀錄2'!V41)</f>
        <v/>
      </c>
      <c r="W12">
        <f>ABS('表 105_滾算紀錄2'!W41)</f>
        <v/>
      </c>
    </row>
    <row r="13">
      <c r="B13" t="inlineStr">
        <is>
          <t>表 105</t>
        </is>
      </c>
      <c r="D13">
        <f>ABS('表 105_滾算紀錄3'!D41)</f>
        <v/>
      </c>
      <c r="E13">
        <f>ABS('表 105_滾算紀錄3'!E41)</f>
        <v/>
      </c>
      <c r="F13">
        <f>ABS('表 105_滾算紀錄3'!F41)</f>
        <v/>
      </c>
      <c r="G13">
        <f>ABS('表 105_滾算紀錄3'!G41)</f>
        <v/>
      </c>
      <c r="H13">
        <f>ABS('表 105_滾算紀錄3'!H41)</f>
        <v/>
      </c>
      <c r="I13">
        <f>ABS('表 105_滾算紀錄3'!I41)</f>
        <v/>
      </c>
      <c r="J13">
        <f>ABS('表 105_滾算紀錄3'!J41)</f>
        <v/>
      </c>
      <c r="K13">
        <f>ABS('表 105_滾算紀錄3'!K41)</f>
        <v/>
      </c>
      <c r="L13">
        <f>ABS('表 105_滾算紀錄3'!L41)</f>
        <v/>
      </c>
      <c r="M13">
        <f>ABS('表 105_滾算紀錄3'!M41)</f>
        <v/>
      </c>
      <c r="N13">
        <f>ABS('表 105_滾算紀錄3'!N41)</f>
        <v/>
      </c>
      <c r="O13">
        <f>ABS('表 105_滾算紀錄3'!O41)</f>
        <v/>
      </c>
      <c r="P13">
        <f>ABS('表 105_滾算紀錄3'!P41)</f>
        <v/>
      </c>
      <c r="Q13">
        <f>ABS('表 105_滾算紀錄3'!Q41)</f>
        <v/>
      </c>
      <c r="R13">
        <f>ABS('表 105_滾算紀錄3'!R41)</f>
        <v/>
      </c>
      <c r="S13">
        <f>ABS('表 105_滾算紀錄3'!S41)</f>
        <v/>
      </c>
      <c r="T13">
        <f>ABS('表 105_滾算紀錄3'!T41)</f>
        <v/>
      </c>
      <c r="U13">
        <f>ABS('表 105_滾算紀錄3'!U41)</f>
        <v/>
      </c>
      <c r="V13">
        <f>ABS('表 105_滾算紀錄3'!V41)</f>
        <v/>
      </c>
      <c r="W13">
        <f>ABS('表 105_滾算紀錄3'!W41)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</row>
    <row r="15">
      <c r="C15" s="1" t="inlineStr">
        <is>
          <t>租金</t>
        </is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</row>
    <row r="16">
      <c r="B16" t="inlineStr">
        <is>
          <t>表 105</t>
        </is>
      </c>
      <c r="D16">
        <f>ABS('表 105_滾算紀錄1'!D45)</f>
        <v/>
      </c>
      <c r="E16">
        <f>ABS('表 105_滾算紀錄1'!E45)</f>
        <v/>
      </c>
      <c r="F16">
        <f>ABS('表 105_滾算紀錄1'!F45)</f>
        <v/>
      </c>
      <c r="G16">
        <f>ABS('表 105_滾算紀錄1'!G45)</f>
        <v/>
      </c>
      <c r="H16">
        <f>ABS('表 105_滾算紀錄1'!H45)</f>
        <v/>
      </c>
      <c r="I16">
        <f>ABS('表 105_滾算紀錄1'!I45)</f>
        <v/>
      </c>
      <c r="J16">
        <f>ABS('表 105_滾算紀錄1'!J45)</f>
        <v/>
      </c>
      <c r="K16">
        <f>ABS('表 105_滾算紀錄1'!K45)</f>
        <v/>
      </c>
      <c r="L16">
        <f>ABS('表 105_滾算紀錄1'!L45)</f>
        <v/>
      </c>
      <c r="M16">
        <f>ABS('表 105_滾算紀錄1'!M45)</f>
        <v/>
      </c>
      <c r="N16">
        <f>ABS('表 105_滾算紀錄1'!N45)</f>
        <v/>
      </c>
      <c r="O16">
        <f>ABS('表 105_滾算紀錄1'!O45)</f>
        <v/>
      </c>
      <c r="P16">
        <f>ABS('表 105_滾算紀錄1'!P45)</f>
        <v/>
      </c>
      <c r="Q16">
        <f>ABS('表 105_滾算紀錄1'!Q45)</f>
        <v/>
      </c>
      <c r="R16">
        <f>ABS('表 105_滾算紀錄1'!R45)</f>
        <v/>
      </c>
      <c r="S16">
        <f>ABS('表 105_滾算紀錄1'!S45)</f>
        <v/>
      </c>
      <c r="T16">
        <f>ABS('表 105_滾算紀錄1'!T45)</f>
        <v/>
      </c>
      <c r="U16">
        <f>ABS('表 105_滾算紀錄1'!U45)</f>
        <v/>
      </c>
      <c r="V16">
        <f>ABS('表 105_滾算紀錄1'!V45)</f>
        <v/>
      </c>
      <c r="W16">
        <f>ABS('表 105_滾算紀錄1'!W45)</f>
        <v/>
      </c>
    </row>
    <row r="17">
      <c r="B17" t="inlineStr">
        <is>
          <t>表 105</t>
        </is>
      </c>
      <c r="D17">
        <f>ABS('表 105_滾算紀錄2'!D45)</f>
        <v/>
      </c>
      <c r="E17">
        <f>ABS('表 105_滾算紀錄2'!E45)</f>
        <v/>
      </c>
      <c r="F17">
        <f>ABS('表 105_滾算紀錄2'!F45)</f>
        <v/>
      </c>
      <c r="G17">
        <f>ABS('表 105_滾算紀錄2'!G45)</f>
        <v/>
      </c>
      <c r="H17">
        <f>ABS('表 105_滾算紀錄2'!H45)</f>
        <v/>
      </c>
      <c r="I17">
        <f>ABS('表 105_滾算紀錄2'!I45)</f>
        <v/>
      </c>
      <c r="J17">
        <f>ABS('表 105_滾算紀錄2'!J45)</f>
        <v/>
      </c>
      <c r="K17">
        <f>ABS('表 105_滾算紀錄2'!K45)</f>
        <v/>
      </c>
      <c r="L17">
        <f>ABS('表 105_滾算紀錄2'!L45)</f>
        <v/>
      </c>
      <c r="M17">
        <f>ABS('表 105_滾算紀錄2'!M45)</f>
        <v/>
      </c>
      <c r="N17">
        <f>ABS('表 105_滾算紀錄2'!N45)</f>
        <v/>
      </c>
      <c r="O17">
        <f>ABS('表 105_滾算紀錄2'!O45)</f>
        <v/>
      </c>
      <c r="P17">
        <f>ABS('表 105_滾算紀錄2'!P45)</f>
        <v/>
      </c>
      <c r="Q17">
        <f>ABS('表 105_滾算紀錄2'!Q45)</f>
        <v/>
      </c>
      <c r="R17">
        <f>ABS('表 105_滾算紀錄2'!R45)</f>
        <v/>
      </c>
      <c r="S17">
        <f>ABS('表 105_滾算紀錄2'!S45)</f>
        <v/>
      </c>
      <c r="T17">
        <f>ABS('表 105_滾算紀錄2'!T45)</f>
        <v/>
      </c>
      <c r="U17">
        <f>ABS('表 105_滾算紀錄2'!U45)</f>
        <v/>
      </c>
      <c r="V17">
        <f>ABS('表 105_滾算紀錄2'!V45)</f>
        <v/>
      </c>
      <c r="W17">
        <f>ABS('表 105_滾算紀錄2'!W45)</f>
        <v/>
      </c>
    </row>
    <row r="18">
      <c r="B18" t="inlineStr">
        <is>
          <t>表 105</t>
        </is>
      </c>
      <c r="D18">
        <f>ABS('表 105_滾算紀錄3'!D45)</f>
        <v/>
      </c>
      <c r="E18">
        <f>ABS('表 105_滾算紀錄3'!E45)</f>
        <v/>
      </c>
      <c r="F18">
        <f>ABS('表 105_滾算紀錄3'!F45)</f>
        <v/>
      </c>
      <c r="G18">
        <f>ABS('表 105_滾算紀錄3'!G45)</f>
        <v/>
      </c>
      <c r="H18">
        <f>ABS('表 105_滾算紀錄3'!H45)</f>
        <v/>
      </c>
      <c r="I18">
        <f>ABS('表 105_滾算紀錄3'!I45)</f>
        <v/>
      </c>
      <c r="J18">
        <f>ABS('表 105_滾算紀錄3'!J45)</f>
        <v/>
      </c>
      <c r="K18">
        <f>ABS('表 105_滾算紀錄3'!K45)</f>
        <v/>
      </c>
      <c r="L18">
        <f>ABS('表 105_滾算紀錄3'!L45)</f>
        <v/>
      </c>
      <c r="M18">
        <f>ABS('表 105_滾算紀錄3'!M45)</f>
        <v/>
      </c>
      <c r="N18">
        <f>ABS('表 105_滾算紀錄3'!N45)</f>
        <v/>
      </c>
      <c r="O18">
        <f>ABS('表 105_滾算紀錄3'!O45)</f>
        <v/>
      </c>
      <c r="P18">
        <f>ABS('表 105_滾算紀錄3'!P45)</f>
        <v/>
      </c>
      <c r="Q18">
        <f>ABS('表 105_滾算紀錄3'!Q45)</f>
        <v/>
      </c>
      <c r="R18">
        <f>ABS('表 105_滾算紀錄3'!R45)</f>
        <v/>
      </c>
      <c r="S18">
        <f>ABS('表 105_滾算紀錄3'!S45)</f>
        <v/>
      </c>
      <c r="T18">
        <f>ABS('表 105_滾算紀錄3'!T45)</f>
        <v/>
      </c>
      <c r="U18">
        <f>ABS('表 105_滾算紀錄3'!U45)</f>
        <v/>
      </c>
      <c r="V18">
        <f>ABS('表 105_滾算紀錄3'!V45)</f>
        <v/>
      </c>
      <c r="W18">
        <f>ABS('表 105_滾算紀錄3'!W45)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</row>
    <row r="20">
      <c r="C20" s="1" t="inlineStr">
        <is>
          <t>運維</t>
        </is>
      </c>
      <c r="D20" s="1" t="n">
        <v>2023</v>
      </c>
      <c r="E20" s="1" t="n">
        <v>2024</v>
      </c>
      <c r="F20" s="1" t="n">
        <v>2025</v>
      </c>
      <c r="G20" s="1" t="n">
        <v>2026</v>
      </c>
      <c r="H20" s="1" t="n">
        <v>2027</v>
      </c>
      <c r="I20" s="1" t="n">
        <v>2028</v>
      </c>
      <c r="J20" s="1" t="n">
        <v>2029</v>
      </c>
      <c r="K20" s="1" t="n">
        <v>2030</v>
      </c>
      <c r="L20" s="1" t="n">
        <v>2031</v>
      </c>
      <c r="M20" s="1" t="n">
        <v>2032</v>
      </c>
      <c r="N20" s="1" t="n">
        <v>2033</v>
      </c>
      <c r="O20" s="1" t="n">
        <v>2034</v>
      </c>
      <c r="P20" s="1" t="n">
        <v>2035</v>
      </c>
      <c r="Q20" s="1" t="n">
        <v>2036</v>
      </c>
      <c r="R20" s="1" t="n">
        <v>2037</v>
      </c>
      <c r="S20" s="1" t="n">
        <v>2038</v>
      </c>
      <c r="T20" s="1" t="n">
        <v>2039</v>
      </c>
      <c r="U20" s="1" t="n">
        <v>2040</v>
      </c>
      <c r="V20" s="1" t="n">
        <v>2041</v>
      </c>
      <c r="W20" s="1" t="n">
        <v>2042</v>
      </c>
    </row>
    <row r="21">
      <c r="B21" t="inlineStr">
        <is>
          <t>表 105</t>
        </is>
      </c>
      <c r="D21">
        <f>ABS('表 105_滾算紀錄1'!D48)</f>
        <v/>
      </c>
      <c r="E21">
        <f>ABS('表 105_滾算紀錄1'!E48)</f>
        <v/>
      </c>
      <c r="F21">
        <f>ABS('表 105_滾算紀錄1'!F48)</f>
        <v/>
      </c>
      <c r="G21">
        <f>ABS('表 105_滾算紀錄1'!G48)</f>
        <v/>
      </c>
      <c r="H21">
        <f>ABS('表 105_滾算紀錄1'!H48)</f>
        <v/>
      </c>
      <c r="I21">
        <f>ABS('表 105_滾算紀錄1'!I48)</f>
        <v/>
      </c>
      <c r="J21">
        <f>ABS('表 105_滾算紀錄1'!J48)</f>
        <v/>
      </c>
      <c r="K21">
        <f>ABS('表 105_滾算紀錄1'!K48)</f>
        <v/>
      </c>
      <c r="L21">
        <f>ABS('表 105_滾算紀錄1'!L48)</f>
        <v/>
      </c>
      <c r="M21">
        <f>ABS('表 105_滾算紀錄1'!M48)</f>
        <v/>
      </c>
      <c r="N21">
        <f>ABS('表 105_滾算紀錄1'!N48)</f>
        <v/>
      </c>
      <c r="O21">
        <f>ABS('表 105_滾算紀錄1'!O48)</f>
        <v/>
      </c>
      <c r="P21">
        <f>ABS('表 105_滾算紀錄1'!P48)</f>
        <v/>
      </c>
      <c r="Q21">
        <f>ABS('表 105_滾算紀錄1'!Q48)</f>
        <v/>
      </c>
      <c r="R21">
        <f>ABS('表 105_滾算紀錄1'!R48)</f>
        <v/>
      </c>
      <c r="S21">
        <f>ABS('表 105_滾算紀錄1'!S48)</f>
        <v/>
      </c>
      <c r="T21">
        <f>ABS('表 105_滾算紀錄1'!T48)</f>
        <v/>
      </c>
      <c r="U21">
        <f>ABS('表 105_滾算紀錄1'!U48)</f>
        <v/>
      </c>
      <c r="V21">
        <f>ABS('表 105_滾算紀錄1'!V48)</f>
        <v/>
      </c>
      <c r="W21">
        <f>ABS('表 105_滾算紀錄1'!W48)</f>
        <v/>
      </c>
    </row>
    <row r="22">
      <c r="B22" t="inlineStr">
        <is>
          <t>表 105</t>
        </is>
      </c>
      <c r="D22">
        <f>ABS('表 105_滾算紀錄2'!D48)</f>
        <v/>
      </c>
      <c r="E22">
        <f>ABS('表 105_滾算紀錄2'!E48)</f>
        <v/>
      </c>
      <c r="F22">
        <f>ABS('表 105_滾算紀錄2'!F48)</f>
        <v/>
      </c>
      <c r="G22">
        <f>ABS('表 105_滾算紀錄2'!G48)</f>
        <v/>
      </c>
      <c r="H22">
        <f>ABS('表 105_滾算紀錄2'!H48)</f>
        <v/>
      </c>
      <c r="I22">
        <f>ABS('表 105_滾算紀錄2'!I48)</f>
        <v/>
      </c>
      <c r="J22">
        <f>ABS('表 105_滾算紀錄2'!J48)</f>
        <v/>
      </c>
      <c r="K22">
        <f>ABS('表 105_滾算紀錄2'!K48)</f>
        <v/>
      </c>
      <c r="L22">
        <f>ABS('表 105_滾算紀錄2'!L48)</f>
        <v/>
      </c>
      <c r="M22">
        <f>ABS('表 105_滾算紀錄2'!M48)</f>
        <v/>
      </c>
      <c r="N22">
        <f>ABS('表 105_滾算紀錄2'!N48)</f>
        <v/>
      </c>
      <c r="O22">
        <f>ABS('表 105_滾算紀錄2'!O48)</f>
        <v/>
      </c>
      <c r="P22">
        <f>ABS('表 105_滾算紀錄2'!P48)</f>
        <v/>
      </c>
      <c r="Q22">
        <f>ABS('表 105_滾算紀錄2'!Q48)</f>
        <v/>
      </c>
      <c r="R22">
        <f>ABS('表 105_滾算紀錄2'!R48)</f>
        <v/>
      </c>
      <c r="S22">
        <f>ABS('表 105_滾算紀錄2'!S48)</f>
        <v/>
      </c>
      <c r="T22">
        <f>ABS('表 105_滾算紀錄2'!T48)</f>
        <v/>
      </c>
      <c r="U22">
        <f>ABS('表 105_滾算紀錄2'!U48)</f>
        <v/>
      </c>
      <c r="V22">
        <f>ABS('表 105_滾算紀錄2'!V48)</f>
        <v/>
      </c>
      <c r="W22">
        <f>ABS('表 105_滾算紀錄2'!W48)</f>
        <v/>
      </c>
    </row>
    <row r="23">
      <c r="B23" t="inlineStr">
        <is>
          <t>表 105</t>
        </is>
      </c>
      <c r="D23">
        <f>ABS('表 105_滾算紀錄3'!D48)</f>
        <v/>
      </c>
      <c r="E23">
        <f>ABS('表 105_滾算紀錄3'!E48)</f>
        <v/>
      </c>
      <c r="F23">
        <f>ABS('表 105_滾算紀錄3'!F48)</f>
        <v/>
      </c>
      <c r="G23">
        <f>ABS('表 105_滾算紀錄3'!G48)</f>
        <v/>
      </c>
      <c r="H23">
        <f>ABS('表 105_滾算紀錄3'!H48)</f>
        <v/>
      </c>
      <c r="I23">
        <f>ABS('表 105_滾算紀錄3'!I48)</f>
        <v/>
      </c>
      <c r="J23">
        <f>ABS('表 105_滾算紀錄3'!J48)</f>
        <v/>
      </c>
      <c r="K23">
        <f>ABS('表 105_滾算紀錄3'!K48)</f>
        <v/>
      </c>
      <c r="L23">
        <f>ABS('表 105_滾算紀錄3'!L48)</f>
        <v/>
      </c>
      <c r="M23">
        <f>ABS('表 105_滾算紀錄3'!M48)</f>
        <v/>
      </c>
      <c r="N23">
        <f>ABS('表 105_滾算紀錄3'!N48)</f>
        <v/>
      </c>
      <c r="O23">
        <f>ABS('表 105_滾算紀錄3'!O48)</f>
        <v/>
      </c>
      <c r="P23">
        <f>ABS('表 105_滾算紀錄3'!P48)</f>
        <v/>
      </c>
      <c r="Q23">
        <f>ABS('表 105_滾算紀錄3'!Q48)</f>
        <v/>
      </c>
      <c r="R23">
        <f>ABS('表 105_滾算紀錄3'!R48)</f>
        <v/>
      </c>
      <c r="S23">
        <f>ABS('表 105_滾算紀錄3'!S48)</f>
        <v/>
      </c>
      <c r="T23">
        <f>ABS('表 105_滾算紀錄3'!T48)</f>
        <v/>
      </c>
      <c r="U23">
        <f>ABS('表 105_滾算紀錄3'!U48)</f>
        <v/>
      </c>
      <c r="V23">
        <f>ABS('表 105_滾算紀錄3'!V48)</f>
        <v/>
      </c>
      <c r="W23">
        <f>ABS('表 105_滾算紀錄3'!W48)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</row>
    <row r="25">
      <c r="C25" s="1" t="inlineStr">
        <is>
          <t>保險</t>
        </is>
      </c>
      <c r="D25" s="1" t="n">
        <v>2023</v>
      </c>
      <c r="E25" s="1" t="n">
        <v>2024</v>
      </c>
      <c r="F25" s="1" t="n">
        <v>2025</v>
      </c>
      <c r="G25" s="1" t="n">
        <v>2026</v>
      </c>
      <c r="H25" s="1" t="n">
        <v>2027</v>
      </c>
      <c r="I25" s="1" t="n">
        <v>2028</v>
      </c>
      <c r="J25" s="1" t="n">
        <v>2029</v>
      </c>
      <c r="K25" s="1" t="n">
        <v>2030</v>
      </c>
      <c r="L25" s="1" t="n">
        <v>2031</v>
      </c>
      <c r="M25" s="1" t="n">
        <v>2032</v>
      </c>
      <c r="N25" s="1" t="n">
        <v>2033</v>
      </c>
      <c r="O25" s="1" t="n">
        <v>2034</v>
      </c>
      <c r="P25" s="1" t="n">
        <v>2035</v>
      </c>
      <c r="Q25" s="1" t="n">
        <v>2036</v>
      </c>
      <c r="R25" s="1" t="n">
        <v>2037</v>
      </c>
      <c r="S25" s="1" t="n">
        <v>2038</v>
      </c>
      <c r="T25" s="1" t="n">
        <v>2039</v>
      </c>
      <c r="U25" s="1" t="n">
        <v>2040</v>
      </c>
      <c r="V25" s="1" t="n">
        <v>2041</v>
      </c>
      <c r="W25" s="1" t="n">
        <v>2042</v>
      </c>
    </row>
    <row r="26">
      <c r="B26" t="inlineStr">
        <is>
          <t>表 105</t>
        </is>
      </c>
      <c r="D26">
        <f>ABS('表 105_滾算紀錄1'!D49)</f>
        <v/>
      </c>
      <c r="E26">
        <f>ABS('表 105_滾算紀錄1'!E49)</f>
        <v/>
      </c>
      <c r="F26">
        <f>ABS('表 105_滾算紀錄1'!F49)</f>
        <v/>
      </c>
      <c r="G26">
        <f>ABS('表 105_滾算紀錄1'!G49)</f>
        <v/>
      </c>
      <c r="H26">
        <f>ABS('表 105_滾算紀錄1'!H49)</f>
        <v/>
      </c>
      <c r="I26">
        <f>ABS('表 105_滾算紀錄1'!I49)</f>
        <v/>
      </c>
      <c r="J26">
        <f>ABS('表 105_滾算紀錄1'!J49)</f>
        <v/>
      </c>
      <c r="K26">
        <f>ABS('表 105_滾算紀錄1'!K49)</f>
        <v/>
      </c>
      <c r="L26">
        <f>ABS('表 105_滾算紀錄1'!L49)</f>
        <v/>
      </c>
      <c r="M26">
        <f>ABS('表 105_滾算紀錄1'!M49)</f>
        <v/>
      </c>
      <c r="N26">
        <f>ABS('表 105_滾算紀錄1'!N49)</f>
        <v/>
      </c>
      <c r="O26">
        <f>ABS('表 105_滾算紀錄1'!O49)</f>
        <v/>
      </c>
      <c r="P26">
        <f>ABS('表 105_滾算紀錄1'!P49)</f>
        <v/>
      </c>
      <c r="Q26">
        <f>ABS('表 105_滾算紀錄1'!Q49)</f>
        <v/>
      </c>
      <c r="R26">
        <f>ABS('表 105_滾算紀錄1'!R49)</f>
        <v/>
      </c>
      <c r="S26">
        <f>ABS('表 105_滾算紀錄1'!S49)</f>
        <v/>
      </c>
      <c r="T26">
        <f>ABS('表 105_滾算紀錄1'!T49)</f>
        <v/>
      </c>
      <c r="U26">
        <f>ABS('表 105_滾算紀錄1'!U49)</f>
        <v/>
      </c>
      <c r="V26">
        <f>ABS('表 105_滾算紀錄1'!V49)</f>
        <v/>
      </c>
      <c r="W26">
        <f>ABS('表 105_滾算紀錄1'!W49)</f>
        <v/>
      </c>
    </row>
    <row r="27">
      <c r="B27" t="inlineStr">
        <is>
          <t>表 105</t>
        </is>
      </c>
      <c r="D27">
        <f>ABS('表 105_滾算紀錄2'!D49)</f>
        <v/>
      </c>
      <c r="E27">
        <f>ABS('表 105_滾算紀錄2'!E49)</f>
        <v/>
      </c>
      <c r="F27">
        <f>ABS('表 105_滾算紀錄2'!F49)</f>
        <v/>
      </c>
      <c r="G27">
        <f>ABS('表 105_滾算紀錄2'!G49)</f>
        <v/>
      </c>
      <c r="H27">
        <f>ABS('表 105_滾算紀錄2'!H49)</f>
        <v/>
      </c>
      <c r="I27">
        <f>ABS('表 105_滾算紀錄2'!I49)</f>
        <v/>
      </c>
      <c r="J27">
        <f>ABS('表 105_滾算紀錄2'!J49)</f>
        <v/>
      </c>
      <c r="K27">
        <f>ABS('表 105_滾算紀錄2'!K49)</f>
        <v/>
      </c>
      <c r="L27">
        <f>ABS('表 105_滾算紀錄2'!L49)</f>
        <v/>
      </c>
      <c r="M27">
        <f>ABS('表 105_滾算紀錄2'!M49)</f>
        <v/>
      </c>
      <c r="N27">
        <f>ABS('表 105_滾算紀錄2'!N49)</f>
        <v/>
      </c>
      <c r="O27">
        <f>ABS('表 105_滾算紀錄2'!O49)</f>
        <v/>
      </c>
      <c r="P27">
        <f>ABS('表 105_滾算紀錄2'!P49)</f>
        <v/>
      </c>
      <c r="Q27">
        <f>ABS('表 105_滾算紀錄2'!Q49)</f>
        <v/>
      </c>
      <c r="R27">
        <f>ABS('表 105_滾算紀錄2'!R49)</f>
        <v/>
      </c>
      <c r="S27">
        <f>ABS('表 105_滾算紀錄2'!S49)</f>
        <v/>
      </c>
      <c r="T27">
        <f>ABS('表 105_滾算紀錄2'!T49)</f>
        <v/>
      </c>
      <c r="U27">
        <f>ABS('表 105_滾算紀錄2'!U49)</f>
        <v/>
      </c>
      <c r="V27">
        <f>ABS('表 105_滾算紀錄2'!V49)</f>
        <v/>
      </c>
      <c r="W27">
        <f>ABS('表 105_滾算紀錄2'!W49)</f>
        <v/>
      </c>
    </row>
    <row r="28">
      <c r="B28" t="inlineStr">
        <is>
          <t>表 105</t>
        </is>
      </c>
      <c r="D28">
        <f>ABS('表 105_滾算紀錄3'!D49)</f>
        <v/>
      </c>
      <c r="E28">
        <f>ABS('表 105_滾算紀錄3'!E49)</f>
        <v/>
      </c>
      <c r="F28">
        <f>ABS('表 105_滾算紀錄3'!F49)</f>
        <v/>
      </c>
      <c r="G28">
        <f>ABS('表 105_滾算紀錄3'!G49)</f>
        <v/>
      </c>
      <c r="H28">
        <f>ABS('表 105_滾算紀錄3'!H49)</f>
        <v/>
      </c>
      <c r="I28">
        <f>ABS('表 105_滾算紀錄3'!I49)</f>
        <v/>
      </c>
      <c r="J28">
        <f>ABS('表 105_滾算紀錄3'!J49)</f>
        <v/>
      </c>
      <c r="K28">
        <f>ABS('表 105_滾算紀錄3'!K49)</f>
        <v/>
      </c>
      <c r="L28">
        <f>ABS('表 105_滾算紀錄3'!L49)</f>
        <v/>
      </c>
      <c r="M28">
        <f>ABS('表 105_滾算紀錄3'!M49)</f>
        <v/>
      </c>
      <c r="N28">
        <f>ABS('表 105_滾算紀錄3'!N49)</f>
        <v/>
      </c>
      <c r="O28">
        <f>ABS('表 105_滾算紀錄3'!O49)</f>
        <v/>
      </c>
      <c r="P28">
        <f>ABS('表 105_滾算紀錄3'!P49)</f>
        <v/>
      </c>
      <c r="Q28">
        <f>ABS('表 105_滾算紀錄3'!Q49)</f>
        <v/>
      </c>
      <c r="R28">
        <f>ABS('表 105_滾算紀錄3'!R49)</f>
        <v/>
      </c>
      <c r="S28">
        <f>ABS('表 105_滾算紀錄3'!S49)</f>
        <v/>
      </c>
      <c r="T28">
        <f>ABS('表 105_滾算紀錄3'!T49)</f>
        <v/>
      </c>
      <c r="U28">
        <f>ABS('表 105_滾算紀錄3'!U49)</f>
        <v/>
      </c>
      <c r="V28">
        <f>ABS('表 105_滾算紀錄3'!V49)</f>
        <v/>
      </c>
      <c r="W28">
        <f>ABS('表 105_滾算紀錄3'!W49)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</row>
    <row r="30">
      <c r="C30" s="1" t="inlineStr">
        <is>
          <t>模組回收費</t>
        </is>
      </c>
      <c r="D30" s="1" t="n">
        <v>2023</v>
      </c>
      <c r="E30" s="1" t="n">
        <v>2024</v>
      </c>
      <c r="F30" s="1" t="n">
        <v>2025</v>
      </c>
      <c r="G30" s="1" t="n">
        <v>2026</v>
      </c>
      <c r="H30" s="1" t="n">
        <v>2027</v>
      </c>
      <c r="I30" s="1" t="n">
        <v>2028</v>
      </c>
      <c r="J30" s="1" t="n">
        <v>2029</v>
      </c>
      <c r="K30" s="1" t="n">
        <v>2030</v>
      </c>
      <c r="L30" s="1" t="n">
        <v>2031</v>
      </c>
      <c r="M30" s="1" t="n">
        <v>2032</v>
      </c>
      <c r="N30" s="1" t="n">
        <v>2033</v>
      </c>
      <c r="O30" s="1" t="n">
        <v>2034</v>
      </c>
      <c r="P30" s="1" t="n">
        <v>2035</v>
      </c>
      <c r="Q30" s="1" t="n">
        <v>2036</v>
      </c>
      <c r="R30" s="1" t="n">
        <v>2037</v>
      </c>
      <c r="S30" s="1" t="n">
        <v>2038</v>
      </c>
      <c r="T30" s="1" t="n">
        <v>2039</v>
      </c>
      <c r="U30" s="1" t="n">
        <v>2040</v>
      </c>
      <c r="V30" s="1" t="n">
        <v>2041</v>
      </c>
      <c r="W30" s="1" t="n">
        <v>2042</v>
      </c>
    </row>
    <row r="31">
      <c r="B31" t="inlineStr">
        <is>
          <t>表 105</t>
        </is>
      </c>
      <c r="D31">
        <f>ABS('表 105_滾算紀錄1'!D50)</f>
        <v/>
      </c>
      <c r="E31">
        <f>ABS('表 105_滾算紀錄1'!E50)</f>
        <v/>
      </c>
      <c r="F31">
        <f>ABS('表 105_滾算紀錄1'!F50)</f>
        <v/>
      </c>
      <c r="G31">
        <f>ABS('表 105_滾算紀錄1'!G50)</f>
        <v/>
      </c>
      <c r="H31">
        <f>ABS('表 105_滾算紀錄1'!H50)</f>
        <v/>
      </c>
      <c r="I31">
        <f>ABS('表 105_滾算紀錄1'!I50)</f>
        <v/>
      </c>
      <c r="J31">
        <f>ABS('表 105_滾算紀錄1'!J50)</f>
        <v/>
      </c>
      <c r="K31">
        <f>ABS('表 105_滾算紀錄1'!K50)</f>
        <v/>
      </c>
      <c r="L31">
        <f>ABS('表 105_滾算紀錄1'!L50)</f>
        <v/>
      </c>
      <c r="M31">
        <f>ABS('表 105_滾算紀錄1'!M50)</f>
        <v/>
      </c>
      <c r="N31">
        <f>ABS('表 105_滾算紀錄1'!N50)</f>
        <v/>
      </c>
      <c r="O31">
        <f>ABS('表 105_滾算紀錄1'!O50)</f>
        <v/>
      </c>
      <c r="P31">
        <f>ABS('表 105_滾算紀錄1'!P50)</f>
        <v/>
      </c>
      <c r="Q31">
        <f>ABS('表 105_滾算紀錄1'!Q50)</f>
        <v/>
      </c>
      <c r="R31">
        <f>ABS('表 105_滾算紀錄1'!R50)</f>
        <v/>
      </c>
      <c r="S31">
        <f>ABS('表 105_滾算紀錄1'!S50)</f>
        <v/>
      </c>
      <c r="T31">
        <f>ABS('表 105_滾算紀錄1'!T50)</f>
        <v/>
      </c>
      <c r="U31">
        <f>ABS('表 105_滾算紀錄1'!U50)</f>
        <v/>
      </c>
      <c r="V31">
        <f>ABS('表 105_滾算紀錄1'!V50)</f>
        <v/>
      </c>
      <c r="W31">
        <f>ABS('表 105_滾算紀錄1'!W50)</f>
        <v/>
      </c>
    </row>
    <row r="32">
      <c r="B32" t="inlineStr">
        <is>
          <t>表 105</t>
        </is>
      </c>
      <c r="D32">
        <f>ABS('表 105_滾算紀錄2'!D50)</f>
        <v/>
      </c>
      <c r="E32">
        <f>ABS('表 105_滾算紀錄2'!E50)</f>
        <v/>
      </c>
      <c r="F32">
        <f>ABS('表 105_滾算紀錄2'!F50)</f>
        <v/>
      </c>
      <c r="G32">
        <f>ABS('表 105_滾算紀錄2'!G50)</f>
        <v/>
      </c>
      <c r="H32">
        <f>ABS('表 105_滾算紀錄2'!H50)</f>
        <v/>
      </c>
      <c r="I32">
        <f>ABS('表 105_滾算紀錄2'!I50)</f>
        <v/>
      </c>
      <c r="J32">
        <f>ABS('表 105_滾算紀錄2'!J50)</f>
        <v/>
      </c>
      <c r="K32">
        <f>ABS('表 105_滾算紀錄2'!K50)</f>
        <v/>
      </c>
      <c r="L32">
        <f>ABS('表 105_滾算紀錄2'!L50)</f>
        <v/>
      </c>
      <c r="M32">
        <f>ABS('表 105_滾算紀錄2'!M50)</f>
        <v/>
      </c>
      <c r="N32">
        <f>ABS('表 105_滾算紀錄2'!N50)</f>
        <v/>
      </c>
      <c r="O32">
        <f>ABS('表 105_滾算紀錄2'!O50)</f>
        <v/>
      </c>
      <c r="P32">
        <f>ABS('表 105_滾算紀錄2'!P50)</f>
        <v/>
      </c>
      <c r="Q32">
        <f>ABS('表 105_滾算紀錄2'!Q50)</f>
        <v/>
      </c>
      <c r="R32">
        <f>ABS('表 105_滾算紀錄2'!R50)</f>
        <v/>
      </c>
      <c r="S32">
        <f>ABS('表 105_滾算紀錄2'!S50)</f>
        <v/>
      </c>
      <c r="T32">
        <f>ABS('表 105_滾算紀錄2'!T50)</f>
        <v/>
      </c>
      <c r="U32">
        <f>ABS('表 105_滾算紀錄2'!U50)</f>
        <v/>
      </c>
      <c r="V32">
        <f>ABS('表 105_滾算紀錄2'!V50)</f>
        <v/>
      </c>
      <c r="W32">
        <f>ABS('表 105_滾算紀錄2'!W50)</f>
        <v/>
      </c>
    </row>
    <row r="33">
      <c r="B33" t="inlineStr">
        <is>
          <t>表 105</t>
        </is>
      </c>
      <c r="D33">
        <f>ABS('表 105_滾算紀錄3'!D50)</f>
        <v/>
      </c>
      <c r="E33">
        <f>ABS('表 105_滾算紀錄3'!E50)</f>
        <v/>
      </c>
      <c r="F33">
        <f>ABS('表 105_滾算紀錄3'!F50)</f>
        <v/>
      </c>
      <c r="G33">
        <f>ABS('表 105_滾算紀錄3'!G50)</f>
        <v/>
      </c>
      <c r="H33">
        <f>ABS('表 105_滾算紀錄3'!H50)</f>
        <v/>
      </c>
      <c r="I33">
        <f>ABS('表 105_滾算紀錄3'!I50)</f>
        <v/>
      </c>
      <c r="J33">
        <f>ABS('表 105_滾算紀錄3'!J50)</f>
        <v/>
      </c>
      <c r="K33">
        <f>ABS('表 105_滾算紀錄3'!K50)</f>
        <v/>
      </c>
      <c r="L33">
        <f>ABS('表 105_滾算紀錄3'!L50)</f>
        <v/>
      </c>
      <c r="M33">
        <f>ABS('表 105_滾算紀錄3'!M50)</f>
        <v/>
      </c>
      <c r="N33">
        <f>ABS('表 105_滾算紀錄3'!N50)</f>
        <v/>
      </c>
      <c r="O33">
        <f>ABS('表 105_滾算紀錄3'!O50)</f>
        <v/>
      </c>
      <c r="P33">
        <f>ABS('表 105_滾算紀錄3'!P50)</f>
        <v/>
      </c>
      <c r="Q33">
        <f>ABS('表 105_滾算紀錄3'!Q50)</f>
        <v/>
      </c>
      <c r="R33">
        <f>ABS('表 105_滾算紀錄3'!R50)</f>
        <v/>
      </c>
      <c r="S33">
        <f>ABS('表 105_滾算紀錄3'!S50)</f>
        <v/>
      </c>
      <c r="T33">
        <f>ABS('表 105_滾算紀錄3'!T50)</f>
        <v/>
      </c>
      <c r="U33">
        <f>ABS('表 105_滾算紀錄3'!U50)</f>
        <v/>
      </c>
      <c r="V33">
        <f>ABS('表 105_滾算紀錄3'!V50)</f>
        <v/>
      </c>
      <c r="W33">
        <f>ABS('表 105_滾算紀錄3'!W50)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</row>
    <row r="35">
      <c r="C35" s="1" t="inlineStr">
        <is>
          <t>所得稅</t>
        </is>
      </c>
      <c r="D35" s="1" t="n">
        <v>2023</v>
      </c>
      <c r="E35" s="1" t="n">
        <v>2024</v>
      </c>
      <c r="F35" s="1" t="n">
        <v>2025</v>
      </c>
      <c r="G35" s="1" t="n">
        <v>2026</v>
      </c>
      <c r="H35" s="1" t="n">
        <v>2027</v>
      </c>
      <c r="I35" s="1" t="n">
        <v>2028</v>
      </c>
      <c r="J35" s="1" t="n">
        <v>2029</v>
      </c>
      <c r="K35" s="1" t="n">
        <v>2030</v>
      </c>
      <c r="L35" s="1" t="n">
        <v>2031</v>
      </c>
      <c r="M35" s="1" t="n">
        <v>2032</v>
      </c>
      <c r="N35" s="1" t="n">
        <v>2033</v>
      </c>
      <c r="O35" s="1" t="n">
        <v>2034</v>
      </c>
      <c r="P35" s="1" t="n">
        <v>2035</v>
      </c>
      <c r="Q35" s="1" t="n">
        <v>2036</v>
      </c>
      <c r="R35" s="1" t="n">
        <v>2037</v>
      </c>
      <c r="S35" s="1" t="n">
        <v>2038</v>
      </c>
      <c r="T35" s="1" t="n">
        <v>2039</v>
      </c>
      <c r="U35" s="1" t="n">
        <v>2040</v>
      </c>
      <c r="V35" s="1" t="n">
        <v>2041</v>
      </c>
      <c r="W35" s="1" t="n">
        <v>2042</v>
      </c>
    </row>
    <row r="36">
      <c r="B36" t="inlineStr">
        <is>
          <t>表 105</t>
        </is>
      </c>
      <c r="D36">
        <f>ABS('表 105_滾算紀錄1'!D54)</f>
        <v/>
      </c>
      <c r="E36">
        <f>ABS('表 105_滾算紀錄1'!E54)</f>
        <v/>
      </c>
      <c r="F36">
        <f>ABS('表 105_滾算紀錄1'!F54)</f>
        <v/>
      </c>
      <c r="G36">
        <f>ABS('表 105_滾算紀錄1'!G54)</f>
        <v/>
      </c>
      <c r="H36">
        <f>ABS('表 105_滾算紀錄1'!H54)</f>
        <v/>
      </c>
      <c r="I36">
        <f>ABS('表 105_滾算紀錄1'!I54)</f>
        <v/>
      </c>
      <c r="J36">
        <f>ABS('表 105_滾算紀錄1'!J54)</f>
        <v/>
      </c>
      <c r="K36">
        <f>ABS('表 105_滾算紀錄1'!K54)</f>
        <v/>
      </c>
      <c r="L36">
        <f>ABS('表 105_滾算紀錄1'!L54)</f>
        <v/>
      </c>
      <c r="M36">
        <f>ABS('表 105_滾算紀錄1'!M54)</f>
        <v/>
      </c>
      <c r="N36">
        <f>ABS('表 105_滾算紀錄1'!N54)</f>
        <v/>
      </c>
      <c r="O36">
        <f>ABS('表 105_滾算紀錄1'!O54)</f>
        <v/>
      </c>
      <c r="P36">
        <f>ABS('表 105_滾算紀錄1'!P54)</f>
        <v/>
      </c>
      <c r="Q36">
        <f>ABS('表 105_滾算紀錄1'!Q54)</f>
        <v/>
      </c>
      <c r="R36">
        <f>ABS('表 105_滾算紀錄1'!R54)</f>
        <v/>
      </c>
      <c r="S36">
        <f>ABS('表 105_滾算紀錄1'!S54)</f>
        <v/>
      </c>
      <c r="T36">
        <f>ABS('表 105_滾算紀錄1'!T54)</f>
        <v/>
      </c>
      <c r="U36">
        <f>ABS('表 105_滾算紀錄1'!U54)</f>
        <v/>
      </c>
      <c r="V36">
        <f>ABS('表 105_滾算紀錄1'!V54)</f>
        <v/>
      </c>
      <c r="W36">
        <f>ABS('表 105_滾算紀錄1'!W54)</f>
        <v/>
      </c>
    </row>
    <row r="37">
      <c r="B37" t="inlineStr">
        <is>
          <t>表 105</t>
        </is>
      </c>
      <c r="D37">
        <f>ABS('表 105_滾算紀錄2'!D54)</f>
        <v/>
      </c>
      <c r="E37">
        <f>ABS('表 105_滾算紀錄2'!E54)</f>
        <v/>
      </c>
      <c r="F37">
        <f>ABS('表 105_滾算紀錄2'!F54)</f>
        <v/>
      </c>
      <c r="G37">
        <f>ABS('表 105_滾算紀錄2'!G54)</f>
        <v/>
      </c>
      <c r="H37">
        <f>ABS('表 105_滾算紀錄2'!H54)</f>
        <v/>
      </c>
      <c r="I37">
        <f>ABS('表 105_滾算紀錄2'!I54)</f>
        <v/>
      </c>
      <c r="J37">
        <f>ABS('表 105_滾算紀錄2'!J54)</f>
        <v/>
      </c>
      <c r="K37">
        <f>ABS('表 105_滾算紀錄2'!K54)</f>
        <v/>
      </c>
      <c r="L37">
        <f>ABS('表 105_滾算紀錄2'!L54)</f>
        <v/>
      </c>
      <c r="M37">
        <f>ABS('表 105_滾算紀錄2'!M54)</f>
        <v/>
      </c>
      <c r="N37">
        <f>ABS('表 105_滾算紀錄2'!N54)</f>
        <v/>
      </c>
      <c r="O37">
        <f>ABS('表 105_滾算紀錄2'!O54)</f>
        <v/>
      </c>
      <c r="P37">
        <f>ABS('表 105_滾算紀錄2'!P54)</f>
        <v/>
      </c>
      <c r="Q37">
        <f>ABS('表 105_滾算紀錄2'!Q54)</f>
        <v/>
      </c>
      <c r="R37">
        <f>ABS('表 105_滾算紀錄2'!R54)</f>
        <v/>
      </c>
      <c r="S37">
        <f>ABS('表 105_滾算紀錄2'!S54)</f>
        <v/>
      </c>
      <c r="T37">
        <f>ABS('表 105_滾算紀錄2'!T54)</f>
        <v/>
      </c>
      <c r="U37">
        <f>ABS('表 105_滾算紀錄2'!U54)</f>
        <v/>
      </c>
      <c r="V37">
        <f>ABS('表 105_滾算紀錄2'!V54)</f>
        <v/>
      </c>
      <c r="W37">
        <f>ABS('表 105_滾算紀錄2'!W54)</f>
        <v/>
      </c>
    </row>
    <row r="38">
      <c r="B38" t="inlineStr">
        <is>
          <t>表 105</t>
        </is>
      </c>
      <c r="D38">
        <f>ABS('表 105_滾算紀錄3'!D54)</f>
        <v/>
      </c>
      <c r="E38">
        <f>ABS('表 105_滾算紀錄3'!E54)</f>
        <v/>
      </c>
      <c r="F38">
        <f>ABS('表 105_滾算紀錄3'!F54)</f>
        <v/>
      </c>
      <c r="G38">
        <f>ABS('表 105_滾算紀錄3'!G54)</f>
        <v/>
      </c>
      <c r="H38">
        <f>ABS('表 105_滾算紀錄3'!H54)</f>
        <v/>
      </c>
      <c r="I38">
        <f>ABS('表 105_滾算紀錄3'!I54)</f>
        <v/>
      </c>
      <c r="J38">
        <f>ABS('表 105_滾算紀錄3'!J54)</f>
        <v/>
      </c>
      <c r="K38">
        <f>ABS('表 105_滾算紀錄3'!K54)</f>
        <v/>
      </c>
      <c r="L38">
        <f>ABS('表 105_滾算紀錄3'!L54)</f>
        <v/>
      </c>
      <c r="M38">
        <f>ABS('表 105_滾算紀錄3'!M54)</f>
        <v/>
      </c>
      <c r="N38">
        <f>ABS('表 105_滾算紀錄3'!N54)</f>
        <v/>
      </c>
      <c r="O38">
        <f>ABS('表 105_滾算紀錄3'!O54)</f>
        <v/>
      </c>
      <c r="P38">
        <f>ABS('表 105_滾算紀錄3'!P54)</f>
        <v/>
      </c>
      <c r="Q38">
        <f>ABS('表 105_滾算紀錄3'!Q54)</f>
        <v/>
      </c>
      <c r="R38">
        <f>ABS('表 105_滾算紀錄3'!R54)</f>
        <v/>
      </c>
      <c r="S38">
        <f>ABS('表 105_滾算紀錄3'!S54)</f>
        <v/>
      </c>
      <c r="T38">
        <f>ABS('表 105_滾算紀錄3'!T54)</f>
        <v/>
      </c>
      <c r="U38">
        <f>ABS('表 105_滾算紀錄3'!U54)</f>
        <v/>
      </c>
      <c r="V38">
        <f>ABS('表 105_滾算紀錄3'!V54)</f>
        <v/>
      </c>
      <c r="W38">
        <f>ABS('表 105_滾算紀錄3'!W54)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</row>
    <row r="40">
      <c r="C40" s="1" t="inlineStr">
        <is>
          <t>設備折舊</t>
        </is>
      </c>
      <c r="D40" s="1" t="n">
        <v>2023</v>
      </c>
      <c r="E40" s="1" t="n">
        <v>2024</v>
      </c>
      <c r="F40" s="1" t="n">
        <v>2025</v>
      </c>
      <c r="G40" s="1" t="n">
        <v>2026</v>
      </c>
      <c r="H40" s="1" t="n">
        <v>2027</v>
      </c>
      <c r="I40" s="1" t="n">
        <v>2028</v>
      </c>
      <c r="J40" s="1" t="n">
        <v>2029</v>
      </c>
      <c r="K40" s="1" t="n">
        <v>2030</v>
      </c>
      <c r="L40" s="1" t="n">
        <v>2031</v>
      </c>
      <c r="M40" s="1" t="n">
        <v>2032</v>
      </c>
      <c r="N40" s="1" t="n">
        <v>2033</v>
      </c>
      <c r="O40" s="1" t="n">
        <v>2034</v>
      </c>
      <c r="P40" s="1" t="n">
        <v>2035</v>
      </c>
      <c r="Q40" s="1" t="n">
        <v>2036</v>
      </c>
      <c r="R40" s="1" t="n">
        <v>2037</v>
      </c>
      <c r="S40" s="1" t="n">
        <v>2038</v>
      </c>
      <c r="T40" s="1" t="n">
        <v>2039</v>
      </c>
      <c r="U40" s="1" t="n">
        <v>2040</v>
      </c>
      <c r="V40" s="1" t="n">
        <v>2041</v>
      </c>
      <c r="W40" s="1" t="n">
        <v>2042</v>
      </c>
    </row>
    <row r="41">
      <c r="B41" t="inlineStr">
        <is>
          <t>表 105</t>
        </is>
      </c>
      <c r="D41">
        <f>ABS('表 105_滾算紀錄1'!D67)</f>
        <v/>
      </c>
      <c r="E41">
        <f>ABS('表 105_滾算紀錄1'!E67)</f>
        <v/>
      </c>
      <c r="F41">
        <f>ABS('表 105_滾算紀錄1'!F67)</f>
        <v/>
      </c>
      <c r="G41">
        <f>ABS('表 105_滾算紀錄1'!G67)</f>
        <v/>
      </c>
      <c r="H41">
        <f>ABS('表 105_滾算紀錄1'!H67)</f>
        <v/>
      </c>
      <c r="I41">
        <f>ABS('表 105_滾算紀錄1'!I67)</f>
        <v/>
      </c>
      <c r="J41">
        <f>ABS('表 105_滾算紀錄1'!J67)</f>
        <v/>
      </c>
      <c r="K41">
        <f>ABS('表 105_滾算紀錄1'!K67)</f>
        <v/>
      </c>
      <c r="L41">
        <f>ABS('表 105_滾算紀錄1'!L67)</f>
        <v/>
      </c>
      <c r="M41">
        <f>ABS('表 105_滾算紀錄1'!M67)</f>
        <v/>
      </c>
      <c r="N41">
        <f>ABS('表 105_滾算紀錄1'!N67)</f>
        <v/>
      </c>
      <c r="O41">
        <f>ABS('表 105_滾算紀錄1'!O67)</f>
        <v/>
      </c>
      <c r="P41">
        <f>ABS('表 105_滾算紀錄1'!P67)</f>
        <v/>
      </c>
      <c r="Q41">
        <f>ABS('表 105_滾算紀錄1'!Q67)</f>
        <v/>
      </c>
      <c r="R41">
        <f>ABS('表 105_滾算紀錄1'!R67)</f>
        <v/>
      </c>
      <c r="S41">
        <f>ABS('表 105_滾算紀錄1'!S67)</f>
        <v/>
      </c>
      <c r="T41">
        <f>ABS('表 105_滾算紀錄1'!T67)</f>
        <v/>
      </c>
      <c r="U41">
        <f>ABS('表 105_滾算紀錄1'!U67)</f>
        <v/>
      </c>
      <c r="V41">
        <f>ABS('表 105_滾算紀錄1'!V67)</f>
        <v/>
      </c>
      <c r="W41">
        <f>ABS('表 105_滾算紀錄1'!W67)</f>
        <v/>
      </c>
    </row>
    <row r="42">
      <c r="B42" t="inlineStr">
        <is>
          <t>表 105</t>
        </is>
      </c>
      <c r="D42">
        <f>ABS('表 105_滾算紀錄2'!D67)</f>
        <v/>
      </c>
      <c r="E42">
        <f>ABS('表 105_滾算紀錄2'!E67)</f>
        <v/>
      </c>
      <c r="F42">
        <f>ABS('表 105_滾算紀錄2'!F67)</f>
        <v/>
      </c>
      <c r="G42">
        <f>ABS('表 105_滾算紀錄2'!G67)</f>
        <v/>
      </c>
      <c r="H42">
        <f>ABS('表 105_滾算紀錄2'!H67)</f>
        <v/>
      </c>
      <c r="I42">
        <f>ABS('表 105_滾算紀錄2'!I67)</f>
        <v/>
      </c>
      <c r="J42">
        <f>ABS('表 105_滾算紀錄2'!J67)</f>
        <v/>
      </c>
      <c r="K42">
        <f>ABS('表 105_滾算紀錄2'!K67)</f>
        <v/>
      </c>
      <c r="L42">
        <f>ABS('表 105_滾算紀錄2'!L67)</f>
        <v/>
      </c>
      <c r="M42">
        <f>ABS('表 105_滾算紀錄2'!M67)</f>
        <v/>
      </c>
      <c r="N42">
        <f>ABS('表 105_滾算紀錄2'!N67)</f>
        <v/>
      </c>
      <c r="O42">
        <f>ABS('表 105_滾算紀錄2'!O67)</f>
        <v/>
      </c>
      <c r="P42">
        <f>ABS('表 105_滾算紀錄2'!P67)</f>
        <v/>
      </c>
      <c r="Q42">
        <f>ABS('表 105_滾算紀錄2'!Q67)</f>
        <v/>
      </c>
      <c r="R42">
        <f>ABS('表 105_滾算紀錄2'!R67)</f>
        <v/>
      </c>
      <c r="S42">
        <f>ABS('表 105_滾算紀錄2'!S67)</f>
        <v/>
      </c>
      <c r="T42">
        <f>ABS('表 105_滾算紀錄2'!T67)</f>
        <v/>
      </c>
      <c r="U42">
        <f>ABS('表 105_滾算紀錄2'!U67)</f>
        <v/>
      </c>
      <c r="V42">
        <f>ABS('表 105_滾算紀錄2'!V67)</f>
        <v/>
      </c>
      <c r="W42">
        <f>ABS('表 105_滾算紀錄2'!W67)</f>
        <v/>
      </c>
    </row>
    <row r="43">
      <c r="B43" t="inlineStr">
        <is>
          <t>表 105</t>
        </is>
      </c>
      <c r="D43">
        <f>ABS('表 105_滾算紀錄3'!D67)</f>
        <v/>
      </c>
      <c r="E43">
        <f>ABS('表 105_滾算紀錄3'!E67)</f>
        <v/>
      </c>
      <c r="F43">
        <f>ABS('表 105_滾算紀錄3'!F67)</f>
        <v/>
      </c>
      <c r="G43">
        <f>ABS('表 105_滾算紀錄3'!G67)</f>
        <v/>
      </c>
      <c r="H43">
        <f>ABS('表 105_滾算紀錄3'!H67)</f>
        <v/>
      </c>
      <c r="I43">
        <f>ABS('表 105_滾算紀錄3'!I67)</f>
        <v/>
      </c>
      <c r="J43">
        <f>ABS('表 105_滾算紀錄3'!J67)</f>
        <v/>
      </c>
      <c r="K43">
        <f>ABS('表 105_滾算紀錄3'!K67)</f>
        <v/>
      </c>
      <c r="L43">
        <f>ABS('表 105_滾算紀錄3'!L67)</f>
        <v/>
      </c>
      <c r="M43">
        <f>ABS('表 105_滾算紀錄3'!M67)</f>
        <v/>
      </c>
      <c r="N43">
        <f>ABS('表 105_滾算紀錄3'!N67)</f>
        <v/>
      </c>
      <c r="O43">
        <f>ABS('表 105_滾算紀錄3'!O67)</f>
        <v/>
      </c>
      <c r="P43">
        <f>ABS('表 105_滾算紀錄3'!P67)</f>
        <v/>
      </c>
      <c r="Q43">
        <f>ABS('表 105_滾算紀錄3'!Q67)</f>
        <v/>
      </c>
      <c r="R43">
        <f>ABS('表 105_滾算紀錄3'!R67)</f>
        <v/>
      </c>
      <c r="S43">
        <f>ABS('表 105_滾算紀錄3'!S67)</f>
        <v/>
      </c>
      <c r="T43">
        <f>ABS('表 105_滾算紀錄3'!T67)</f>
        <v/>
      </c>
      <c r="U43">
        <f>ABS('表 105_滾算紀錄3'!U67)</f>
        <v/>
      </c>
      <c r="V43">
        <f>ABS('表 105_滾算紀錄3'!V67)</f>
        <v/>
      </c>
      <c r="W43">
        <f>ABS('表 105_滾算紀錄3'!W67)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</row>
    <row r="46">
      <c r="B46" t="inlineStr">
        <is>
          <t>貸款成數(%)</t>
        </is>
      </c>
      <c r="C46" t="n">
        <v>80</v>
      </c>
    </row>
    <row r="47">
      <c r="B47" t="inlineStr">
        <is>
          <t>還款期數</t>
        </is>
      </c>
      <c r="C47" t="n">
        <v>15</v>
      </c>
    </row>
    <row r="48">
      <c r="B48" t="inlineStr">
        <is>
          <t>股利比率(%)</t>
        </is>
      </c>
      <c r="C48" t="n">
        <v>90</v>
      </c>
    </row>
    <row r="49">
      <c r="B49" t="inlineStr">
        <is>
          <t>年底減資攤還期數</t>
        </is>
      </c>
      <c r="C49" t="n">
        <v>4</v>
      </c>
    </row>
    <row r="50">
      <c r="B50" t="inlineStr">
        <is>
          <t>銀行利率(%)</t>
        </is>
      </c>
      <c r="C50" t="n">
        <v>2.5595</v>
      </c>
    </row>
    <row r="51" ht="18.75" customHeight="1">
      <c r="B51" s="8" t="n"/>
      <c r="C51" s="9" t="inlineStr">
        <is>
          <t>年份</t>
        </is>
      </c>
      <c r="D51" s="9" t="n">
        <v>2023</v>
      </c>
      <c r="E51" s="9" t="n">
        <v>2024</v>
      </c>
      <c r="F51" s="9" t="n">
        <v>2025</v>
      </c>
      <c r="G51" s="9" t="n">
        <v>2026</v>
      </c>
      <c r="H51" s="9" t="n">
        <v>2027</v>
      </c>
      <c r="I51" s="9" t="n">
        <v>2028</v>
      </c>
      <c r="J51" s="9" t="n">
        <v>2029</v>
      </c>
      <c r="K51" s="9" t="n">
        <v>2030</v>
      </c>
      <c r="L51" s="9" t="n">
        <v>2031</v>
      </c>
      <c r="M51" s="9" t="n">
        <v>2032</v>
      </c>
      <c r="N51" s="9" t="n">
        <v>2033</v>
      </c>
      <c r="O51" s="9" t="n">
        <v>2034</v>
      </c>
      <c r="P51" s="9" t="n">
        <v>2035</v>
      </c>
      <c r="Q51" s="9" t="n">
        <v>2036</v>
      </c>
      <c r="R51" s="9" t="n">
        <v>2037</v>
      </c>
      <c r="S51" s="9" t="n">
        <v>2038</v>
      </c>
      <c r="T51" s="9" t="n">
        <v>2039</v>
      </c>
      <c r="U51" s="9" t="n">
        <v>2040</v>
      </c>
      <c r="V51" s="9" t="n">
        <v>2041</v>
      </c>
      <c r="W51" s="9" t="n">
        <v>2042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</row>
    <row r="54" ht="18.75" customHeight="1">
      <c r="B54" s="20" t="inlineStr">
        <is>
          <t>發電度數(KWH)</t>
        </is>
      </c>
      <c r="C54" s="21" t="n">
        <v>0</v>
      </c>
      <c r="D54" s="22">
        <f>D9</f>
        <v/>
      </c>
      <c r="E54" s="22">
        <f>E9</f>
        <v/>
      </c>
      <c r="F54" s="22">
        <f>F9</f>
        <v/>
      </c>
      <c r="G54" s="22">
        <f>G9</f>
        <v/>
      </c>
      <c r="H54" s="22">
        <f>H9</f>
        <v/>
      </c>
      <c r="I54" s="22">
        <f>I9</f>
        <v/>
      </c>
      <c r="J54" s="22">
        <f>J9</f>
        <v/>
      </c>
      <c r="K54" s="22">
        <f>K9</f>
        <v/>
      </c>
      <c r="L54" s="22">
        <f>L9</f>
        <v/>
      </c>
      <c r="M54" s="22">
        <f>M9</f>
        <v/>
      </c>
      <c r="N54" s="22">
        <f>N9</f>
        <v/>
      </c>
      <c r="O54" s="22">
        <f>O9</f>
        <v/>
      </c>
      <c r="P54" s="22">
        <f>P9</f>
        <v/>
      </c>
      <c r="Q54" s="22">
        <f>Q9</f>
        <v/>
      </c>
      <c r="R54" s="22">
        <f>R9</f>
        <v/>
      </c>
      <c r="S54" s="22">
        <f>S9</f>
        <v/>
      </c>
      <c r="T54" s="22">
        <f>T9</f>
        <v/>
      </c>
      <c r="U54" s="22">
        <f>U9</f>
        <v/>
      </c>
      <c r="V54" s="22">
        <f>V9</f>
        <v/>
      </c>
      <c r="W54" s="22">
        <f>W9</f>
        <v/>
      </c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D14</f>
        <v/>
      </c>
      <c r="E55" s="25">
        <f>E14</f>
        <v/>
      </c>
      <c r="F55" s="25">
        <f>F14</f>
        <v/>
      </c>
      <c r="G55" s="25">
        <f>G14</f>
        <v/>
      </c>
      <c r="H55" s="25">
        <f>H14</f>
        <v/>
      </c>
      <c r="I55" s="25">
        <f>I14</f>
        <v/>
      </c>
      <c r="J55" s="25">
        <f>J14</f>
        <v/>
      </c>
      <c r="K55" s="25">
        <f>K14</f>
        <v/>
      </c>
      <c r="L55" s="25">
        <f>L14</f>
        <v/>
      </c>
      <c r="M55" s="25">
        <f>M14</f>
        <v/>
      </c>
      <c r="N55" s="25">
        <f>N14</f>
        <v/>
      </c>
      <c r="O55" s="25">
        <f>O14</f>
        <v/>
      </c>
      <c r="P55" s="25">
        <f>P14</f>
        <v/>
      </c>
      <c r="Q55" s="25">
        <f>Q14</f>
        <v/>
      </c>
      <c r="R55" s="25">
        <f>R14</f>
        <v/>
      </c>
      <c r="S55" s="25">
        <f>S14</f>
        <v/>
      </c>
      <c r="T55" s="25">
        <f>T14</f>
        <v/>
      </c>
      <c r="U55" s="25">
        <f>U14</f>
        <v/>
      </c>
      <c r="V55" s="25">
        <f>V14</f>
        <v/>
      </c>
      <c r="W55" s="25">
        <f>W14</f>
        <v/>
      </c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</row>
    <row r="58" ht="18.75" customHeight="1">
      <c r="B58" s="32" t="inlineStr">
        <is>
          <t>Outflow : 設備費用</t>
        </is>
      </c>
      <c r="C58" s="33">
        <f>-SUM(D44:W44)</f>
        <v/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34">
        <f>-D19</f>
        <v/>
      </c>
      <c r="E59" s="34">
        <f>-E19</f>
        <v/>
      </c>
      <c r="F59" s="34">
        <f>-F19</f>
        <v/>
      </c>
      <c r="G59" s="34">
        <f>-G19</f>
        <v/>
      </c>
      <c r="H59" s="34">
        <f>-H19</f>
        <v/>
      </c>
      <c r="I59" s="34">
        <f>-I19</f>
        <v/>
      </c>
      <c r="J59" s="34">
        <f>-J19</f>
        <v/>
      </c>
      <c r="K59" s="34">
        <f>-K19</f>
        <v/>
      </c>
      <c r="L59" s="34">
        <f>-L19</f>
        <v/>
      </c>
      <c r="M59" s="34">
        <f>-M19</f>
        <v/>
      </c>
      <c r="N59" s="34">
        <f>-N19</f>
        <v/>
      </c>
      <c r="O59" s="34">
        <f>-O19</f>
        <v/>
      </c>
      <c r="P59" s="34">
        <f>-P19</f>
        <v/>
      </c>
      <c r="Q59" s="34">
        <f>-Q19</f>
        <v/>
      </c>
      <c r="R59" s="34">
        <f>-R19</f>
        <v/>
      </c>
      <c r="S59" s="34">
        <f>-S19</f>
        <v/>
      </c>
      <c r="T59" s="34">
        <f>-T19</f>
        <v/>
      </c>
      <c r="U59" s="34">
        <f>-U19</f>
        <v/>
      </c>
      <c r="V59" s="34">
        <f>-V19</f>
        <v/>
      </c>
      <c r="W59" s="34">
        <f>-W19</f>
        <v/>
      </c>
    </row>
    <row r="60" ht="18.75" customHeight="1">
      <c r="B60" s="32" t="inlineStr">
        <is>
          <t>Outflow : 返還借款</t>
        </is>
      </c>
      <c r="C60" s="27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34">
        <f>-D24</f>
        <v/>
      </c>
      <c r="E62" s="34">
        <f>-E24</f>
        <v/>
      </c>
      <c r="F62" s="34">
        <f>-F24</f>
        <v/>
      </c>
      <c r="G62" s="34">
        <f>-G24</f>
        <v/>
      </c>
      <c r="H62" s="34">
        <f>-H24</f>
        <v/>
      </c>
      <c r="I62" s="34">
        <f>-I24</f>
        <v/>
      </c>
      <c r="J62" s="34">
        <f>-J24</f>
        <v/>
      </c>
      <c r="K62" s="34">
        <f>-K24</f>
        <v/>
      </c>
      <c r="L62" s="34">
        <f>-L24</f>
        <v/>
      </c>
      <c r="M62" s="34">
        <f>-M24</f>
        <v/>
      </c>
      <c r="N62" s="34">
        <f>-N24</f>
        <v/>
      </c>
      <c r="O62" s="34">
        <f>-O24</f>
        <v/>
      </c>
      <c r="P62" s="34">
        <f>-P24</f>
        <v/>
      </c>
      <c r="Q62" s="34">
        <f>-Q24</f>
        <v/>
      </c>
      <c r="R62" s="34">
        <f>-R24</f>
        <v/>
      </c>
      <c r="S62" s="34">
        <f>-S24</f>
        <v/>
      </c>
      <c r="T62" s="34">
        <f>-T24</f>
        <v/>
      </c>
      <c r="U62" s="34">
        <f>-U24</f>
        <v/>
      </c>
      <c r="V62" s="34">
        <f>-V24</f>
        <v/>
      </c>
      <c r="W62" s="34">
        <f>-W24</f>
        <v/>
      </c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34">
        <f>-D29</f>
        <v/>
      </c>
      <c r="E63" s="34">
        <f>-E29</f>
        <v/>
      </c>
      <c r="F63" s="34">
        <f>-F29</f>
        <v/>
      </c>
      <c r="G63" s="34">
        <f>-G29</f>
        <v/>
      </c>
      <c r="H63" s="34">
        <f>-H29</f>
        <v/>
      </c>
      <c r="I63" s="34">
        <f>-I29</f>
        <v/>
      </c>
      <c r="J63" s="34">
        <f>-J29</f>
        <v/>
      </c>
      <c r="K63" s="34">
        <f>-K29</f>
        <v/>
      </c>
      <c r="L63" s="34">
        <f>-L29</f>
        <v/>
      </c>
      <c r="M63" s="34">
        <f>-M29</f>
        <v/>
      </c>
      <c r="N63" s="34">
        <f>-N29</f>
        <v/>
      </c>
      <c r="O63" s="34">
        <f>-O29</f>
        <v/>
      </c>
      <c r="P63" s="34">
        <f>-P29</f>
        <v/>
      </c>
      <c r="Q63" s="34">
        <f>-Q29</f>
        <v/>
      </c>
      <c r="R63" s="34">
        <f>-R29</f>
        <v/>
      </c>
      <c r="S63" s="34">
        <f>-S29</f>
        <v/>
      </c>
      <c r="T63" s="34">
        <f>-T29</f>
        <v/>
      </c>
      <c r="U63" s="34">
        <f>-U29</f>
        <v/>
      </c>
      <c r="V63" s="34">
        <f>-V29</f>
        <v/>
      </c>
      <c r="W63" s="34">
        <f>-W29</f>
        <v/>
      </c>
    </row>
    <row r="64" ht="18.75" customHeight="1">
      <c r="B64" s="32" t="inlineStr">
        <is>
          <t>Outflow : 模組回收費</t>
        </is>
      </c>
      <c r="C64" s="27" t="n"/>
      <c r="D64" s="34">
        <f>-D34</f>
        <v/>
      </c>
      <c r="E64" s="34">
        <f>-E34</f>
        <v/>
      </c>
      <c r="F64" s="34">
        <f>-F34</f>
        <v/>
      </c>
      <c r="G64" s="34">
        <f>-G34</f>
        <v/>
      </c>
      <c r="H64" s="34">
        <f>-H34</f>
        <v/>
      </c>
      <c r="I64" s="34">
        <f>-I34</f>
        <v/>
      </c>
      <c r="J64" s="34">
        <f>-J34</f>
        <v/>
      </c>
      <c r="K64" s="34">
        <f>-K34</f>
        <v/>
      </c>
      <c r="L64" s="34">
        <f>-L34</f>
        <v/>
      </c>
      <c r="M64" s="34">
        <f>-M34</f>
        <v/>
      </c>
      <c r="N64" s="34">
        <f>-N34</f>
        <v/>
      </c>
      <c r="O64" s="34">
        <f>-O34</f>
        <v/>
      </c>
      <c r="P64" s="34">
        <f>-P34</f>
        <v/>
      </c>
      <c r="Q64" s="34">
        <f>-Q34</f>
        <v/>
      </c>
      <c r="R64" s="34">
        <f>-R34</f>
        <v/>
      </c>
      <c r="S64" s="34">
        <f>-S34</f>
        <v/>
      </c>
      <c r="T64" s="34">
        <f>-T34</f>
        <v/>
      </c>
      <c r="U64" s="34">
        <f>-U34</f>
        <v/>
      </c>
      <c r="V64" s="34">
        <f>-V34</f>
        <v/>
      </c>
      <c r="W64" s="34">
        <f>-W34</f>
        <v/>
      </c>
    </row>
    <row r="65" ht="18.75" customHeight="1">
      <c r="B65" s="32" t="inlineStr">
        <is>
          <t>Outflow : 其它費用(人事薪資…等)</t>
        </is>
      </c>
      <c r="C65" s="35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</row>
    <row r="66" ht="18.75" customHeight="1">
      <c r="B66" s="32" t="inlineStr">
        <is>
          <t>1%管理費</t>
        </is>
      </c>
      <c r="C66" s="35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</row>
    <row r="67" ht="18.75" customHeight="1">
      <c r="B67" s="36" t="inlineStr">
        <is>
          <t>績效獎金</t>
        </is>
      </c>
      <c r="C67" s="35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</row>
    <row r="68" ht="18.75" customHeight="1">
      <c r="B68" s="36" t="inlineStr">
        <is>
          <t>所得稅20%</t>
        </is>
      </c>
      <c r="C68" s="35" t="n"/>
      <c r="D68" s="34">
        <f>-D91</f>
        <v/>
      </c>
      <c r="E68" s="34">
        <f>-E91</f>
        <v/>
      </c>
      <c r="F68" s="34">
        <f>-F91</f>
        <v/>
      </c>
      <c r="G68" s="34">
        <f>-G91</f>
        <v/>
      </c>
      <c r="H68" s="34">
        <f>-H91</f>
        <v/>
      </c>
      <c r="I68" s="34">
        <f>-I91</f>
        <v/>
      </c>
      <c r="J68" s="34">
        <f>-J91</f>
        <v/>
      </c>
      <c r="K68" s="34">
        <f>-K91</f>
        <v/>
      </c>
      <c r="L68" s="34">
        <f>-L91</f>
        <v/>
      </c>
      <c r="M68" s="34">
        <f>-M91</f>
        <v/>
      </c>
      <c r="N68" s="34">
        <f>-N91</f>
        <v/>
      </c>
      <c r="O68" s="34">
        <f>-O91</f>
        <v/>
      </c>
      <c r="P68" s="34">
        <f>-P91</f>
        <v/>
      </c>
      <c r="Q68" s="34">
        <f>-Q91</f>
        <v/>
      </c>
      <c r="R68" s="34">
        <f>-R91</f>
        <v/>
      </c>
      <c r="S68" s="34">
        <f>-S91</f>
        <v/>
      </c>
      <c r="T68" s="34">
        <f>-T91</f>
        <v/>
      </c>
      <c r="U68" s="34">
        <f>-U91</f>
        <v/>
      </c>
      <c r="V68" s="34">
        <f>-V91</f>
        <v/>
      </c>
      <c r="W68" s="34">
        <f>-W91</f>
        <v/>
      </c>
    </row>
    <row r="69" ht="18.75" customHeight="1">
      <c r="B69" s="37" t="inlineStr">
        <is>
          <t>現金流</t>
        </is>
      </c>
      <c r="C69" s="38">
        <f>C58</f>
        <v/>
      </c>
      <c r="D69" s="39">
        <f>SUM(D55:D68)</f>
        <v/>
      </c>
      <c r="E69" s="39">
        <f>SUM(E55:E68)</f>
        <v/>
      </c>
      <c r="F69" s="39">
        <f>SUM(F55:F68)</f>
        <v/>
      </c>
      <c r="G69" s="39">
        <f>SUM(G55:G68)</f>
        <v/>
      </c>
      <c r="H69" s="39">
        <f>SUM(H55:H68)</f>
        <v/>
      </c>
      <c r="I69" s="39">
        <f>SUM(I55:I68)</f>
        <v/>
      </c>
      <c r="J69" s="39">
        <f>SUM(J55:J68)</f>
        <v/>
      </c>
      <c r="K69" s="39">
        <f>SUM(K55:K68)</f>
        <v/>
      </c>
      <c r="L69" s="39">
        <f>SUM(L55:L68)</f>
        <v/>
      </c>
      <c r="M69" s="39">
        <f>SUM(M55:M68)</f>
        <v/>
      </c>
      <c r="N69" s="39">
        <f>SUM(N55:N68)</f>
        <v/>
      </c>
      <c r="O69" s="39">
        <f>SUM(O55:O68)</f>
        <v/>
      </c>
      <c r="P69" s="39">
        <f>SUM(P55:P68)</f>
        <v/>
      </c>
      <c r="Q69" s="39">
        <f>SUM(Q55:Q68)</f>
        <v/>
      </c>
      <c r="R69" s="39">
        <f>SUM(R55:R68)</f>
        <v/>
      </c>
      <c r="S69" s="39">
        <f>SUM(S55:S68)</f>
        <v/>
      </c>
      <c r="T69" s="39">
        <f>SUM(T55:T68)</f>
        <v/>
      </c>
      <c r="U69" s="39">
        <f>SUM(U55:U68)</f>
        <v/>
      </c>
      <c r="V69" s="39">
        <f>SUM(V55:V68)</f>
        <v/>
      </c>
      <c r="W69" s="39">
        <f>SUM(W55:W68)</f>
        <v/>
      </c>
    </row>
    <row r="70" ht="18.75" customHeight="1">
      <c r="B70" s="40" t="inlineStr">
        <is>
          <t>累計現金流</t>
        </is>
      </c>
      <c r="D70" s="41">
        <f>C55+D55</f>
        <v/>
      </c>
      <c r="E70" s="41">
        <f>D56+E55</f>
        <v/>
      </c>
      <c r="F70" s="41">
        <f>E56+F55</f>
        <v/>
      </c>
      <c r="G70" s="41">
        <f>F56+G55</f>
        <v/>
      </c>
      <c r="H70" s="41">
        <f>G56+H55</f>
        <v/>
      </c>
      <c r="I70" s="41">
        <f>H56+I55</f>
        <v/>
      </c>
      <c r="J70" s="41">
        <f>I56+J55</f>
        <v/>
      </c>
      <c r="K70" s="41">
        <f>J56+K55</f>
        <v/>
      </c>
      <c r="L70" s="41">
        <f>K56+L55</f>
        <v/>
      </c>
      <c r="M70" s="41">
        <f>L56+M55</f>
        <v/>
      </c>
      <c r="N70" s="41">
        <f>M56+N55</f>
        <v/>
      </c>
      <c r="O70" s="41">
        <f>N56+O55</f>
        <v/>
      </c>
      <c r="P70" s="41">
        <f>O56+P55</f>
        <v/>
      </c>
      <c r="Q70" s="41">
        <f>P56+Q55</f>
        <v/>
      </c>
      <c r="R70" s="41">
        <f>Q56+R55</f>
        <v/>
      </c>
      <c r="S70" s="41">
        <f>R56+S55</f>
        <v/>
      </c>
      <c r="T70" s="41">
        <f>S56+T55</f>
        <v/>
      </c>
      <c r="U70" s="41">
        <f>T56+U55</f>
        <v/>
      </c>
      <c r="V70" s="41">
        <f>U56+V55</f>
        <v/>
      </c>
      <c r="W70" s="41">
        <f>V56+W55</f>
        <v/>
      </c>
    </row>
    <row r="71" ht="18.75" customHeight="1">
      <c r="B71" s="42" t="inlineStr">
        <is>
          <t>回收年限評估</t>
        </is>
      </c>
      <c r="C71" s="43" t="n"/>
      <c r="D71" s="44">
        <f>IF((D56)&gt;0,"回收","未回收")</f>
        <v/>
      </c>
      <c r="E71" s="45">
        <f>IF((E56)&gt;0,"回收","未回收")</f>
        <v/>
      </c>
      <c r="F71" s="45">
        <f>IF((F56)&gt;0,"回收","未回收")</f>
        <v/>
      </c>
      <c r="G71" s="45">
        <f>IF((G56)&gt;0,"回收","未回收")</f>
        <v/>
      </c>
      <c r="H71" s="45">
        <f>IF((H56)&gt;0,"回收","未回收")</f>
        <v/>
      </c>
      <c r="I71" s="45">
        <f>IF((I56)&gt;0,"回收","未回收")</f>
        <v/>
      </c>
      <c r="J71" s="45">
        <f>IF((J56)&gt;0,"回收","未回收")</f>
        <v/>
      </c>
      <c r="K71" s="45">
        <f>IF((K56)&gt;0,"回收","未回收")</f>
        <v/>
      </c>
      <c r="L71" s="45">
        <f>IF((L56)&gt;0,"回收","未回收")</f>
        <v/>
      </c>
      <c r="M71" s="45">
        <f>IF((M56)&gt;0,"回收","未回收")</f>
        <v/>
      </c>
      <c r="N71" s="45">
        <f>IF((N56)&gt;0,"回收","未回收")</f>
        <v/>
      </c>
      <c r="O71" s="45">
        <f>IF((O56)&gt;0,"回收","未回收")</f>
        <v/>
      </c>
      <c r="P71" s="45">
        <f>IF((P56)&gt;0,"回收","未回收")</f>
        <v/>
      </c>
      <c r="Q71" s="45">
        <f>IF((Q56)&gt;0,"回收","未回收")</f>
        <v/>
      </c>
      <c r="R71" s="45">
        <f>IF((R56)&gt;0,"回收","未回收")</f>
        <v/>
      </c>
      <c r="S71" s="45">
        <f>IF((S56)&gt;0,"回收","未回收")</f>
        <v/>
      </c>
      <c r="T71" s="45">
        <f>IF((T56)&gt;0,"回收","未回收")</f>
        <v/>
      </c>
      <c r="U71" s="45">
        <f>IF((U56)&gt;0,"回收","未回收")</f>
        <v/>
      </c>
      <c r="V71" s="45">
        <f>IF((V56)&gt;0,"回收","未回收")</f>
        <v/>
      </c>
      <c r="W71" s="45">
        <f>IF((W56)&gt;0,"回收","未回收")</f>
        <v/>
      </c>
    </row>
    <row r="72" ht="18.75" customHeight="1">
      <c r="B72" s="46" t="inlineStr">
        <is>
          <t>專案法IRR</t>
        </is>
      </c>
      <c r="C72" s="47">
        <f>IRR(C69:W69)</f>
        <v/>
      </c>
      <c r="D72" s="48" t="n"/>
      <c r="E72" s="48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8.75" customHeight="1">
      <c r="B73" s="49" t="n"/>
      <c r="C73" s="48" t="n"/>
      <c r="D73" s="48" t="n"/>
      <c r="E73" s="48" t="n"/>
      <c r="F73" s="49" t="n"/>
      <c r="G73" s="49" t="n"/>
      <c r="H73" s="49" t="n"/>
      <c r="I73" s="49" t="n"/>
      <c r="J73" s="49" t="n"/>
      <c r="K73" s="49" t="n"/>
      <c r="L73" s="49" t="n"/>
      <c r="M73" s="48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8.75" customHeight="1">
      <c r="B74" s="8" t="n"/>
      <c r="C74" s="9" t="inlineStr">
        <is>
          <t>年份</t>
        </is>
      </c>
      <c r="D74" s="9" t="n">
        <v>2023</v>
      </c>
      <c r="E74" s="9" t="n">
        <v>2024</v>
      </c>
      <c r="F74" s="9" t="n">
        <v>2025</v>
      </c>
      <c r="G74" s="9" t="n">
        <v>2026</v>
      </c>
      <c r="H74" s="9" t="n">
        <v>2027</v>
      </c>
      <c r="I74" s="9" t="n">
        <v>2028</v>
      </c>
      <c r="J74" s="9" t="n">
        <v>2029</v>
      </c>
      <c r="K74" s="9" t="n">
        <v>2030</v>
      </c>
      <c r="L74" s="9" t="n">
        <v>2031</v>
      </c>
      <c r="M74" s="9" t="n">
        <v>2032</v>
      </c>
      <c r="N74" s="9" t="n">
        <v>2033</v>
      </c>
      <c r="O74" s="9" t="n">
        <v>2034</v>
      </c>
      <c r="P74" s="9" t="n">
        <v>2035</v>
      </c>
      <c r="Q74" s="9" t="n">
        <v>2036</v>
      </c>
      <c r="R74" s="9" t="n">
        <v>2037</v>
      </c>
      <c r="S74" s="9" t="n">
        <v>2038</v>
      </c>
      <c r="T74" s="9" t="n">
        <v>2039</v>
      </c>
      <c r="U74" s="9" t="n">
        <v>2040</v>
      </c>
      <c r="V74" s="9" t="n">
        <v>2041</v>
      </c>
      <c r="W74" s="9" t="n">
        <v>2042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0" t="inlineStr">
        <is>
          <t>償還年限</t>
        </is>
      </c>
      <c r="U75" s="14" t="n"/>
      <c r="V75" s="14" t="n"/>
      <c r="W75" s="14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1" t="n">
        <v>17</v>
      </c>
      <c r="U76" s="18" t="n">
        <v>18</v>
      </c>
      <c r="V76" s="18" t="n">
        <v>19</v>
      </c>
      <c r="W76" s="18" t="n">
        <v>20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D9</f>
        <v/>
      </c>
      <c r="E77" s="22">
        <f>E9</f>
        <v/>
      </c>
      <c r="F77" s="22">
        <f>F9</f>
        <v/>
      </c>
      <c r="G77" s="22">
        <f>G9</f>
        <v/>
      </c>
      <c r="H77" s="22">
        <f>H9</f>
        <v/>
      </c>
      <c r="I77" s="22">
        <f>I9</f>
        <v/>
      </c>
      <c r="J77" s="22">
        <f>J9</f>
        <v/>
      </c>
      <c r="K77" s="22">
        <f>K9</f>
        <v/>
      </c>
      <c r="L77" s="22">
        <f>L9</f>
        <v/>
      </c>
      <c r="M77" s="22">
        <f>M9</f>
        <v/>
      </c>
      <c r="N77" s="22">
        <f>N9</f>
        <v/>
      </c>
      <c r="O77" s="22">
        <f>O9</f>
        <v/>
      </c>
      <c r="P77" s="22">
        <f>P9</f>
        <v/>
      </c>
      <c r="Q77" s="22">
        <f>Q9</f>
        <v/>
      </c>
      <c r="R77" s="22">
        <f>R9</f>
        <v/>
      </c>
      <c r="S77" s="22">
        <f>S9</f>
        <v/>
      </c>
      <c r="T77" s="22">
        <f>T9</f>
        <v/>
      </c>
      <c r="U77" s="22">
        <f>U9</f>
        <v/>
      </c>
      <c r="V77" s="22">
        <f>V9</f>
        <v/>
      </c>
      <c r="W77" s="22">
        <f>W9</f>
        <v/>
      </c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D14</f>
        <v/>
      </c>
      <c r="E78" s="25">
        <f>E14</f>
        <v/>
      </c>
      <c r="F78" s="25">
        <f>F14</f>
        <v/>
      </c>
      <c r="G78" s="25">
        <f>G14</f>
        <v/>
      </c>
      <c r="H78" s="25">
        <f>H14</f>
        <v/>
      </c>
      <c r="I78" s="25">
        <f>I14</f>
        <v/>
      </c>
      <c r="J78" s="25">
        <f>J14</f>
        <v/>
      </c>
      <c r="K78" s="25">
        <f>K14</f>
        <v/>
      </c>
      <c r="L78" s="25">
        <f>L14</f>
        <v/>
      </c>
      <c r="M78" s="25">
        <f>M14</f>
        <v/>
      </c>
      <c r="N78" s="25">
        <f>N14</f>
        <v/>
      </c>
      <c r="O78" s="25">
        <f>O14</f>
        <v/>
      </c>
      <c r="P78" s="25">
        <f>P14</f>
        <v/>
      </c>
      <c r="Q78" s="25">
        <f>Q14</f>
        <v/>
      </c>
      <c r="R78" s="25">
        <f>R14</f>
        <v/>
      </c>
      <c r="S78" s="25">
        <f>S14</f>
        <v/>
      </c>
      <c r="T78" s="25">
        <f>T14</f>
        <v/>
      </c>
      <c r="U78" s="25">
        <f>U14</f>
        <v/>
      </c>
      <c r="V78" s="25">
        <f>V14</f>
        <v/>
      </c>
      <c r="W78" s="25">
        <f>W14</f>
        <v/>
      </c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 ht="18.75" customHeight="1">
      <c r="B81" s="32" t="inlineStr">
        <is>
          <t>Outflow : 設備折舊</t>
        </is>
      </c>
      <c r="C81" s="27" t="n"/>
      <c r="D81" s="52">
        <f>-D44</f>
        <v/>
      </c>
      <c r="E81" s="52">
        <f>-E44</f>
        <v/>
      </c>
      <c r="F81" s="52">
        <f>-F44</f>
        <v/>
      </c>
      <c r="G81" s="52">
        <f>-G44</f>
        <v/>
      </c>
      <c r="H81" s="52">
        <f>-H44</f>
        <v/>
      </c>
      <c r="I81" s="52">
        <f>-I44</f>
        <v/>
      </c>
      <c r="J81" s="52">
        <f>-J44</f>
        <v/>
      </c>
      <c r="K81" s="52">
        <f>-K44</f>
        <v/>
      </c>
      <c r="L81" s="52">
        <f>-L44</f>
        <v/>
      </c>
      <c r="M81" s="52">
        <f>-M44</f>
        <v/>
      </c>
      <c r="N81" s="52">
        <f>-N44</f>
        <v/>
      </c>
      <c r="O81" s="52">
        <f>-O44</f>
        <v/>
      </c>
      <c r="P81" s="52">
        <f>-P44</f>
        <v/>
      </c>
      <c r="Q81" s="52">
        <f>-Q44</f>
        <v/>
      </c>
      <c r="R81" s="52">
        <f>-R44</f>
        <v/>
      </c>
      <c r="S81" s="52">
        <f>-S44</f>
        <v/>
      </c>
      <c r="T81" s="52">
        <f>-T44</f>
        <v/>
      </c>
      <c r="U81" s="52">
        <f>-U44</f>
        <v/>
      </c>
      <c r="V81" s="52">
        <f>-V44</f>
        <v/>
      </c>
      <c r="W81" s="52">
        <f>-W44</f>
        <v/>
      </c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34">
        <f>-D19</f>
        <v/>
      </c>
      <c r="E82" s="34">
        <f>-E19</f>
        <v/>
      </c>
      <c r="F82" s="34">
        <f>-F19</f>
        <v/>
      </c>
      <c r="G82" s="34">
        <f>-G19</f>
        <v/>
      </c>
      <c r="H82" s="34">
        <f>-H19</f>
        <v/>
      </c>
      <c r="I82" s="34">
        <f>-I19</f>
        <v/>
      </c>
      <c r="J82" s="34">
        <f>-J19</f>
        <v/>
      </c>
      <c r="K82" s="34">
        <f>-K19</f>
        <v/>
      </c>
      <c r="L82" s="34">
        <f>-L19</f>
        <v/>
      </c>
      <c r="M82" s="34">
        <f>-M19</f>
        <v/>
      </c>
      <c r="N82" s="34">
        <f>-N19</f>
        <v/>
      </c>
      <c r="O82" s="34">
        <f>-O19</f>
        <v/>
      </c>
      <c r="P82" s="34">
        <f>-P19</f>
        <v/>
      </c>
      <c r="Q82" s="34">
        <f>-Q19</f>
        <v/>
      </c>
      <c r="R82" s="34">
        <f>-R19</f>
        <v/>
      </c>
      <c r="S82" s="34">
        <f>-S19</f>
        <v/>
      </c>
      <c r="T82" s="34">
        <f>-T19</f>
        <v/>
      </c>
      <c r="U82" s="34">
        <f>-U19</f>
        <v/>
      </c>
      <c r="V82" s="34">
        <f>-V19</f>
        <v/>
      </c>
      <c r="W82" s="34">
        <f>-W19</f>
        <v/>
      </c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34">
        <f>-D122*C50/100</f>
        <v/>
      </c>
      <c r="E84" s="34">
        <f>-E122*C50/100</f>
        <v/>
      </c>
      <c r="F84" s="34">
        <f>-F122*C50/100</f>
        <v/>
      </c>
      <c r="G84" s="34">
        <f>-G122*C50/100</f>
        <v/>
      </c>
      <c r="H84" s="34">
        <f>-H122*C50/100</f>
        <v/>
      </c>
      <c r="I84" s="34">
        <f>-I122*C50/100</f>
        <v/>
      </c>
      <c r="J84" s="34">
        <f>-J122*C50/100</f>
        <v/>
      </c>
      <c r="K84" s="34">
        <f>-K122*C50/100</f>
        <v/>
      </c>
      <c r="L84" s="34">
        <f>-L122*C50/100</f>
        <v/>
      </c>
      <c r="M84" s="34">
        <f>-M122*C50/100</f>
        <v/>
      </c>
      <c r="N84" s="34">
        <f>-N122*C50/100</f>
        <v/>
      </c>
      <c r="O84" s="34">
        <f>-O122*C50/100</f>
        <v/>
      </c>
      <c r="P84" s="34">
        <f>-P122*C50/100</f>
        <v/>
      </c>
      <c r="Q84" s="34">
        <f>-Q122*C50/100</f>
        <v/>
      </c>
      <c r="R84" s="34">
        <f>-R122*C50/100</f>
        <v/>
      </c>
      <c r="S84" s="34">
        <f>-S122*C50/100</f>
        <v/>
      </c>
      <c r="T84" s="34">
        <f>-T122*C50/100</f>
        <v/>
      </c>
      <c r="U84" s="34">
        <f>-U122*C50/100</f>
        <v/>
      </c>
      <c r="V84" s="34">
        <f>-V122*C50/100</f>
        <v/>
      </c>
      <c r="W84" s="34">
        <f>-W122*C50/100</f>
        <v/>
      </c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34">
        <f>-D24</f>
        <v/>
      </c>
      <c r="E85" s="34">
        <f>-E24</f>
        <v/>
      </c>
      <c r="F85" s="34">
        <f>-F24</f>
        <v/>
      </c>
      <c r="G85" s="34">
        <f>-G24</f>
        <v/>
      </c>
      <c r="H85" s="34">
        <f>-H24</f>
        <v/>
      </c>
      <c r="I85" s="34">
        <f>-I24</f>
        <v/>
      </c>
      <c r="J85" s="34">
        <f>-J24</f>
        <v/>
      </c>
      <c r="K85" s="34">
        <f>-K24</f>
        <v/>
      </c>
      <c r="L85" s="34">
        <f>-L24</f>
        <v/>
      </c>
      <c r="M85" s="34">
        <f>-M24</f>
        <v/>
      </c>
      <c r="N85" s="34">
        <f>-N24</f>
        <v/>
      </c>
      <c r="O85" s="34">
        <f>-O24</f>
        <v/>
      </c>
      <c r="P85" s="34">
        <f>-P24</f>
        <v/>
      </c>
      <c r="Q85" s="34">
        <f>-Q24</f>
        <v/>
      </c>
      <c r="R85" s="34">
        <f>-R24</f>
        <v/>
      </c>
      <c r="S85" s="34">
        <f>-S24</f>
        <v/>
      </c>
      <c r="T85" s="34">
        <f>-T24</f>
        <v/>
      </c>
      <c r="U85" s="34">
        <f>-U24</f>
        <v/>
      </c>
      <c r="V85" s="34">
        <f>-V24</f>
        <v/>
      </c>
      <c r="W85" s="34">
        <f>-W24</f>
        <v/>
      </c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34">
        <f>-D29</f>
        <v/>
      </c>
      <c r="E86" s="34">
        <f>-E29</f>
        <v/>
      </c>
      <c r="F86" s="34">
        <f>-F29</f>
        <v/>
      </c>
      <c r="G86" s="34">
        <f>-G29</f>
        <v/>
      </c>
      <c r="H86" s="34">
        <f>-H29</f>
        <v/>
      </c>
      <c r="I86" s="34">
        <f>-I29</f>
        <v/>
      </c>
      <c r="J86" s="34">
        <f>-J29</f>
        <v/>
      </c>
      <c r="K86" s="34">
        <f>-K29</f>
        <v/>
      </c>
      <c r="L86" s="34">
        <f>-L29</f>
        <v/>
      </c>
      <c r="M86" s="34">
        <f>-M29</f>
        <v/>
      </c>
      <c r="N86" s="34">
        <f>-N29</f>
        <v/>
      </c>
      <c r="O86" s="34">
        <f>-O29</f>
        <v/>
      </c>
      <c r="P86" s="34">
        <f>-P29</f>
        <v/>
      </c>
      <c r="Q86" s="34">
        <f>-Q29</f>
        <v/>
      </c>
      <c r="R86" s="34">
        <f>-R29</f>
        <v/>
      </c>
      <c r="S86" s="34">
        <f>-S29</f>
        <v/>
      </c>
      <c r="T86" s="34">
        <f>-T29</f>
        <v/>
      </c>
      <c r="U86" s="34">
        <f>-U29</f>
        <v/>
      </c>
      <c r="V86" s="34">
        <f>-V29</f>
        <v/>
      </c>
      <c r="W86" s="34">
        <f>-W29</f>
        <v/>
      </c>
    </row>
    <row r="87" ht="18.75" customHeight="1">
      <c r="B87" s="32" t="inlineStr">
        <is>
          <t>Outflow : 模組回收費</t>
        </is>
      </c>
      <c r="C87" s="27" t="n"/>
      <c r="D87" s="34">
        <f>-D34</f>
        <v/>
      </c>
      <c r="E87" s="34">
        <f>-E34</f>
        <v/>
      </c>
      <c r="F87" s="34">
        <f>-F34</f>
        <v/>
      </c>
      <c r="G87" s="34">
        <f>-G34</f>
        <v/>
      </c>
      <c r="H87" s="34">
        <f>-H34</f>
        <v/>
      </c>
      <c r="I87" s="34">
        <f>-I34</f>
        <v/>
      </c>
      <c r="J87" s="34">
        <f>-J34</f>
        <v/>
      </c>
      <c r="K87" s="34">
        <f>-K34</f>
        <v/>
      </c>
      <c r="L87" s="34">
        <f>-L34</f>
        <v/>
      </c>
      <c r="M87" s="34">
        <f>-M34</f>
        <v/>
      </c>
      <c r="N87" s="34">
        <f>-N34</f>
        <v/>
      </c>
      <c r="O87" s="34">
        <f>-O34</f>
        <v/>
      </c>
      <c r="P87" s="34">
        <f>-P34</f>
        <v/>
      </c>
      <c r="Q87" s="34">
        <f>-Q34</f>
        <v/>
      </c>
      <c r="R87" s="34">
        <f>-R34</f>
        <v/>
      </c>
      <c r="S87" s="34">
        <f>-S34</f>
        <v/>
      </c>
      <c r="T87" s="34">
        <f>-T34</f>
        <v/>
      </c>
      <c r="U87" s="34">
        <f>-U34</f>
        <v/>
      </c>
      <c r="V87" s="34">
        <f>-V34</f>
        <v/>
      </c>
      <c r="W87" s="34">
        <f>-W34</f>
        <v/>
      </c>
    </row>
    <row r="88" ht="18.75" customHeight="1">
      <c r="B88" s="32" t="inlineStr">
        <is>
          <t>Outflow : 其它費用(人事薪資…等)</t>
        </is>
      </c>
      <c r="C88" s="35" t="n"/>
      <c r="D88" s="53" t="n"/>
      <c r="E88" s="54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</row>
    <row r="89" ht="18.75" customHeight="1">
      <c r="B89" s="32" t="inlineStr">
        <is>
          <t>1%管理費</t>
        </is>
      </c>
      <c r="C89" s="35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</row>
    <row r="90" ht="18.75" customHeight="1">
      <c r="B90" s="37" t="inlineStr">
        <is>
          <t>稅前淨利</t>
        </is>
      </c>
      <c r="C90" s="55" t="n"/>
      <c r="D90" s="39">
        <f>SUM(D78:D89)</f>
        <v/>
      </c>
      <c r="E90" s="39">
        <f>SUM(E78:E89)</f>
        <v/>
      </c>
      <c r="F90" s="39">
        <f>SUM(F78:F89)</f>
        <v/>
      </c>
      <c r="G90" s="39">
        <f>SUM(G78:G89)</f>
        <v/>
      </c>
      <c r="H90" s="39">
        <f>SUM(H78:H89)</f>
        <v/>
      </c>
      <c r="I90" s="39">
        <f>SUM(I78:I89)</f>
        <v/>
      </c>
      <c r="J90" s="39">
        <f>SUM(J78:J89)</f>
        <v/>
      </c>
      <c r="K90" s="39">
        <f>SUM(K78:K89)</f>
        <v/>
      </c>
      <c r="L90" s="39">
        <f>SUM(L78:L89)</f>
        <v/>
      </c>
      <c r="M90" s="39">
        <f>SUM(M78:M89)</f>
        <v/>
      </c>
      <c r="N90" s="39">
        <f>SUM(N78:N89)</f>
        <v/>
      </c>
      <c r="O90" s="39">
        <f>SUM(O78:O89)</f>
        <v/>
      </c>
      <c r="P90" s="39">
        <f>SUM(P78:P89)</f>
        <v/>
      </c>
      <c r="Q90" s="39">
        <f>SUM(Q78:Q89)</f>
        <v/>
      </c>
      <c r="R90" s="39">
        <f>SUM(R78:R89)</f>
        <v/>
      </c>
      <c r="S90" s="39">
        <f>SUM(S78:S89)</f>
        <v/>
      </c>
      <c r="T90" s="39">
        <f>SUM(T78:T89)</f>
        <v/>
      </c>
      <c r="U90" s="39">
        <f>SUM(U78:U89)</f>
        <v/>
      </c>
      <c r="V90" s="39">
        <f>SUM(V78:V89)</f>
        <v/>
      </c>
      <c r="W90" s="39">
        <f>SUM(W78:W89)</f>
        <v/>
      </c>
    </row>
    <row r="91" ht="18.75" customHeight="1">
      <c r="B91" s="36" t="inlineStr">
        <is>
          <t>所得稅20%</t>
        </is>
      </c>
      <c r="C91" s="35" t="n"/>
      <c r="D91" s="34">
        <f>D90*0.2</f>
        <v/>
      </c>
      <c r="E91" s="34">
        <f>E90*0.2</f>
        <v/>
      </c>
      <c r="F91" s="34">
        <f>F90*0.2</f>
        <v/>
      </c>
      <c r="G91" s="34">
        <f>G90*0.2</f>
        <v/>
      </c>
      <c r="H91" s="34">
        <f>H90*0.2</f>
        <v/>
      </c>
      <c r="I91" s="34">
        <f>I90*0.2</f>
        <v/>
      </c>
      <c r="J91" s="34">
        <f>J90*0.2</f>
        <v/>
      </c>
      <c r="K91" s="34">
        <f>K90*0.2</f>
        <v/>
      </c>
      <c r="L91" s="34">
        <f>L90*0.2</f>
        <v/>
      </c>
      <c r="M91" s="34">
        <f>M90*0.2</f>
        <v/>
      </c>
      <c r="N91" s="34">
        <f>N90*0.2</f>
        <v/>
      </c>
      <c r="O91" s="34">
        <f>O90*0.2</f>
        <v/>
      </c>
      <c r="P91" s="34">
        <f>P90*0.2</f>
        <v/>
      </c>
      <c r="Q91" s="34">
        <f>Q90*0.2</f>
        <v/>
      </c>
      <c r="R91" s="34">
        <f>R90*0.2</f>
        <v/>
      </c>
      <c r="S91" s="34">
        <f>S90*0.2</f>
        <v/>
      </c>
      <c r="T91" s="34">
        <f>T90*0.2</f>
        <v/>
      </c>
      <c r="U91" s="34">
        <f>U90*0.2</f>
        <v/>
      </c>
      <c r="V91" s="34">
        <f>V90*0.2</f>
        <v/>
      </c>
      <c r="W91" s="34">
        <f>W90*0.2</f>
        <v/>
      </c>
    </row>
    <row r="92">
      <c r="B92" s="56" t="inlineStr">
        <is>
          <t>稅後淨利</t>
        </is>
      </c>
      <c r="D92" s="34">
        <f>D90-D91</f>
        <v/>
      </c>
      <c r="E92" s="34">
        <f>E90-E91</f>
        <v/>
      </c>
      <c r="F92" s="34">
        <f>F90-F91</f>
        <v/>
      </c>
      <c r="G92" s="34">
        <f>G90-G91</f>
        <v/>
      </c>
      <c r="H92" s="34">
        <f>H90-H91</f>
        <v/>
      </c>
      <c r="I92" s="34">
        <f>I90-I91</f>
        <v/>
      </c>
      <c r="J92" s="34">
        <f>J90-J91</f>
        <v/>
      </c>
      <c r="K92" s="34">
        <f>K90-K91</f>
        <v/>
      </c>
      <c r="L92" s="34">
        <f>L90-L91</f>
        <v/>
      </c>
      <c r="M92" s="34">
        <f>M90-M91</f>
        <v/>
      </c>
      <c r="N92" s="34">
        <f>N90-N91</f>
        <v/>
      </c>
      <c r="O92" s="34">
        <f>O90-O91</f>
        <v/>
      </c>
      <c r="P92" s="34">
        <f>P90-P91</f>
        <v/>
      </c>
      <c r="Q92" s="34">
        <f>Q90-Q91</f>
        <v/>
      </c>
      <c r="R92" s="34">
        <f>R90-R91</f>
        <v/>
      </c>
      <c r="S92" s="34">
        <f>S90-S91</f>
        <v/>
      </c>
      <c r="T92" s="34">
        <f>T90-T91</f>
        <v/>
      </c>
      <c r="U92" s="34">
        <f>U90-U91</f>
        <v/>
      </c>
      <c r="V92" s="34">
        <f>V90-V91</f>
        <v/>
      </c>
      <c r="W92" s="34">
        <f>W90-W91</f>
        <v/>
      </c>
    </row>
    <row r="93" ht="18.75" customHeight="1">
      <c r="B93" s="40" t="inlineStr">
        <is>
          <t>累計現金流</t>
        </is>
      </c>
      <c r="C93" s="57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</row>
    <row r="94" ht="18.75" customHeight="1">
      <c r="B94" s="59" t="inlineStr">
        <is>
          <t>回收年限評估</t>
        </is>
      </c>
      <c r="C94" s="60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</row>
    <row r="95" ht="18.75" customHeight="1">
      <c r="C95" s="62" t="inlineStr">
        <is>
          <t>年份</t>
        </is>
      </c>
      <c r="D95" s="63" t="n">
        <v>2023</v>
      </c>
      <c r="E95" s="63" t="n">
        <v>2024</v>
      </c>
      <c r="F95" s="63" t="n">
        <v>2025</v>
      </c>
      <c r="G95" s="63" t="n">
        <v>2026</v>
      </c>
      <c r="H95" s="63" t="n">
        <v>2027</v>
      </c>
      <c r="I95" s="63" t="n">
        <v>2028</v>
      </c>
      <c r="J95" s="63" t="n">
        <v>2029</v>
      </c>
      <c r="K95" s="63" t="n">
        <v>2030</v>
      </c>
      <c r="L95" s="63" t="n">
        <v>2031</v>
      </c>
      <c r="M95" s="63" t="n">
        <v>2032</v>
      </c>
      <c r="N95" s="63" t="n">
        <v>2033</v>
      </c>
      <c r="O95" s="63" t="n">
        <v>2034</v>
      </c>
      <c r="P95" s="63" t="n">
        <v>2035</v>
      </c>
      <c r="Q95" s="63" t="n">
        <v>2036</v>
      </c>
      <c r="R95" s="63" t="n">
        <v>2037</v>
      </c>
      <c r="S95" s="63" t="n">
        <v>2038</v>
      </c>
      <c r="T95" s="63" t="n">
        <v>2039</v>
      </c>
      <c r="U95" s="63" t="n">
        <v>2040</v>
      </c>
      <c r="V95" s="63" t="n">
        <v>2041</v>
      </c>
      <c r="W95" s="63" t="n">
        <v>2042</v>
      </c>
      <c r="X95" s="63" t="n"/>
    </row>
    <row r="96" ht="18.75" customHeight="1"/>
    <row r="97" ht="18.75" customHeight="1">
      <c r="B97" s="64" t="inlineStr">
        <is>
          <t>(Unit : Currency)</t>
        </is>
      </c>
      <c r="C97" s="64" t="n">
        <v>0</v>
      </c>
      <c r="D97" s="64" t="n">
        <v>1</v>
      </c>
      <c r="E97" s="64" t="n">
        <v>2</v>
      </c>
      <c r="F97" s="64" t="n">
        <v>3</v>
      </c>
      <c r="G97" s="64" t="n">
        <v>4</v>
      </c>
      <c r="H97" s="64" t="n">
        <v>5</v>
      </c>
      <c r="I97" s="64" t="n">
        <v>6</v>
      </c>
      <c r="J97" s="64" t="n">
        <v>7</v>
      </c>
      <c r="K97" s="64" t="n">
        <v>8</v>
      </c>
      <c r="L97" s="64" t="n">
        <v>9</v>
      </c>
      <c r="M97" s="64" t="n">
        <v>10</v>
      </c>
      <c r="N97" s="64" t="n">
        <v>11</v>
      </c>
      <c r="O97" s="64" t="n">
        <v>12</v>
      </c>
      <c r="P97" s="64" t="n">
        <v>13</v>
      </c>
      <c r="Q97" s="64" t="n">
        <v>14</v>
      </c>
      <c r="R97" s="64" t="n">
        <v>15</v>
      </c>
      <c r="S97" s="64" t="n">
        <v>16</v>
      </c>
      <c r="T97" s="64" t="n">
        <v>17</v>
      </c>
      <c r="U97" s="64" t="n">
        <v>18</v>
      </c>
      <c r="V97" s="64" t="n">
        <v>19</v>
      </c>
      <c r="W97" s="64" t="n">
        <v>20</v>
      </c>
      <c r="X97" s="64" t="n"/>
    </row>
    <row r="98" ht="18.75" customHeight="1">
      <c r="B98" s="65" t="inlineStr">
        <is>
          <t>稅後淨利</t>
        </is>
      </c>
      <c r="C98" s="65" t="n"/>
      <c r="D98" s="66">
        <f>D92</f>
        <v/>
      </c>
      <c r="E98" s="66">
        <f>E92</f>
        <v/>
      </c>
      <c r="F98" s="66">
        <f>F92</f>
        <v/>
      </c>
      <c r="G98" s="66">
        <f>G92</f>
        <v/>
      </c>
      <c r="H98" s="66">
        <f>H92</f>
        <v/>
      </c>
      <c r="I98" s="66">
        <f>I92</f>
        <v/>
      </c>
      <c r="J98" s="66">
        <f>J92</f>
        <v/>
      </c>
      <c r="K98" s="66">
        <f>K92</f>
        <v/>
      </c>
      <c r="L98" s="66">
        <f>L92</f>
        <v/>
      </c>
      <c r="M98" s="66">
        <f>M92</f>
        <v/>
      </c>
      <c r="N98" s="66">
        <f>N92</f>
        <v/>
      </c>
      <c r="O98" s="66">
        <f>O92</f>
        <v/>
      </c>
      <c r="P98" s="66">
        <f>P92</f>
        <v/>
      </c>
      <c r="Q98" s="66">
        <f>Q92</f>
        <v/>
      </c>
      <c r="R98" s="66">
        <f>R92</f>
        <v/>
      </c>
      <c r="S98" s="66">
        <f>S92</f>
        <v/>
      </c>
      <c r="T98" s="66">
        <f>T92</f>
        <v/>
      </c>
      <c r="U98" s="66">
        <f>U92</f>
        <v/>
      </c>
      <c r="V98" s="66">
        <f>V92</f>
        <v/>
      </c>
      <c r="W98" s="66">
        <f>W92</f>
        <v/>
      </c>
      <c r="X98" s="66" t="n"/>
    </row>
    <row r="99">
      <c r="B99" s="65" t="inlineStr">
        <is>
          <t>設備折舊</t>
        </is>
      </c>
      <c r="C99" s="65" t="n"/>
      <c r="D99" s="67">
        <f>D44</f>
        <v/>
      </c>
      <c r="E99" s="67">
        <f>E44</f>
        <v/>
      </c>
      <c r="F99" s="67">
        <f>F44</f>
        <v/>
      </c>
      <c r="G99" s="67">
        <f>G44</f>
        <v/>
      </c>
      <c r="H99" s="67">
        <f>H44</f>
        <v/>
      </c>
      <c r="I99" s="67">
        <f>I44</f>
        <v/>
      </c>
      <c r="J99" s="67">
        <f>J44</f>
        <v/>
      </c>
      <c r="K99" s="67">
        <f>K44</f>
        <v/>
      </c>
      <c r="L99" s="67">
        <f>L44</f>
        <v/>
      </c>
      <c r="M99" s="67">
        <f>M44</f>
        <v/>
      </c>
      <c r="N99" s="67">
        <f>N44</f>
        <v/>
      </c>
      <c r="O99" s="67">
        <f>O44</f>
        <v/>
      </c>
      <c r="P99" s="67">
        <f>P44</f>
        <v/>
      </c>
      <c r="Q99" s="67">
        <f>Q44</f>
        <v/>
      </c>
      <c r="R99" s="67">
        <f>R44</f>
        <v/>
      </c>
      <c r="S99" s="67">
        <f>S44</f>
        <v/>
      </c>
      <c r="T99" s="67">
        <f>T44</f>
        <v/>
      </c>
      <c r="U99" s="67">
        <f>U44</f>
        <v/>
      </c>
      <c r="V99" s="67">
        <f>V44</f>
        <v/>
      </c>
      <c r="W99" s="67">
        <f>W44</f>
        <v/>
      </c>
      <c r="X99" s="67" t="n"/>
    </row>
    <row r="100">
      <c r="B100" s="65" t="inlineStr">
        <is>
          <t>營運活動現金流量</t>
        </is>
      </c>
      <c r="C100" s="65" t="n"/>
      <c r="D100" s="68">
        <f>D98+D99</f>
        <v/>
      </c>
      <c r="E100" s="68">
        <f>E98+E99</f>
        <v/>
      </c>
      <c r="F100" s="68">
        <f>F98+F99</f>
        <v/>
      </c>
      <c r="G100" s="68">
        <f>G98+G99</f>
        <v/>
      </c>
      <c r="H100" s="68">
        <f>H98+H99</f>
        <v/>
      </c>
      <c r="I100" s="68">
        <f>I98+I99</f>
        <v/>
      </c>
      <c r="J100" s="68">
        <f>J98+J99</f>
        <v/>
      </c>
      <c r="K100" s="68">
        <f>K98+K99</f>
        <v/>
      </c>
      <c r="L100" s="68">
        <f>L98+L99</f>
        <v/>
      </c>
      <c r="M100" s="68">
        <f>M98+M99</f>
        <v/>
      </c>
      <c r="N100" s="68">
        <f>N98+N99</f>
        <v/>
      </c>
      <c r="O100" s="68">
        <f>O98+O99</f>
        <v/>
      </c>
      <c r="P100" s="68">
        <f>P98+P99</f>
        <v/>
      </c>
      <c r="Q100" s="68">
        <f>Q98+Q99</f>
        <v/>
      </c>
      <c r="R100" s="68">
        <f>R98+R99</f>
        <v/>
      </c>
      <c r="S100" s="68">
        <f>S98+S99</f>
        <v/>
      </c>
      <c r="T100" s="68">
        <f>T98+T99</f>
        <v/>
      </c>
      <c r="U100" s="68">
        <f>U98+U99</f>
        <v/>
      </c>
      <c r="V100" s="68">
        <f>V98+V99</f>
        <v/>
      </c>
      <c r="W100" s="68">
        <f>W98+W99</f>
        <v/>
      </c>
      <c r="X100" s="68" t="n"/>
    </row>
    <row r="101">
      <c r="B101" s="65" t="n"/>
      <c r="C101" s="65" t="n"/>
      <c r="D101" s="65" t="n"/>
      <c r="E101" s="65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5" t="n"/>
    </row>
    <row r="102">
      <c r="B102" s="70" t="inlineStr">
        <is>
          <t>投資活動-設備支出</t>
        </is>
      </c>
      <c r="C102" s="71" t="n"/>
      <c r="D102" s="72">
        <f>C58</f>
        <v/>
      </c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</row>
    <row r="103">
      <c r="B103" s="65" t="n"/>
      <c r="C103" s="65" t="n"/>
      <c r="D103" s="65" t="n"/>
      <c r="E103" s="65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5" t="n"/>
    </row>
    <row r="104">
      <c r="B104" s="65" t="n"/>
      <c r="C104" s="65" t="n"/>
      <c r="D104" s="65" t="n"/>
      <c r="E104" s="65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5" t="n"/>
    </row>
    <row r="105">
      <c r="B105" s="70" t="inlineStr">
        <is>
          <t>理財活動-借款</t>
        </is>
      </c>
      <c r="C105" s="71" t="n"/>
      <c r="D105" s="72">
        <f>-ABS(D102)*C46/100</f>
        <v/>
      </c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</row>
    <row r="106">
      <c r="B106" s="65" t="inlineStr">
        <is>
          <t>理財活動-還款</t>
        </is>
      </c>
      <c r="C106" s="65" t="n"/>
      <c r="D106" s="73" t="n"/>
      <c r="E106" s="73">
        <f>-D105/C47</f>
        <v/>
      </c>
      <c r="F106" s="73">
        <f>-D105/C47</f>
        <v/>
      </c>
      <c r="G106" s="73">
        <f>-D105/C47</f>
        <v/>
      </c>
      <c r="H106" s="73">
        <f>-D105/C47</f>
        <v/>
      </c>
      <c r="I106" s="73">
        <f>-D105/C47</f>
        <v/>
      </c>
      <c r="J106" s="73">
        <f>-D105/C47</f>
        <v/>
      </c>
      <c r="K106" s="73">
        <f>-D105/C47</f>
        <v/>
      </c>
      <c r="L106" s="73">
        <f>-D105/C47</f>
        <v/>
      </c>
      <c r="M106" s="73">
        <f>-D105/C47</f>
        <v/>
      </c>
      <c r="N106" s="73">
        <f>-D105/C47</f>
        <v/>
      </c>
      <c r="O106" s="73">
        <f>-D105/C47</f>
        <v/>
      </c>
      <c r="P106" s="73">
        <f>-D105/C47</f>
        <v/>
      </c>
      <c r="Q106" s="73">
        <f>-D105/C47</f>
        <v/>
      </c>
      <c r="R106" s="73">
        <f>-D105/C47</f>
        <v/>
      </c>
      <c r="S106" s="73">
        <f>-D105/C47</f>
        <v/>
      </c>
      <c r="T106" s="73" t="n"/>
      <c r="U106" s="73" t="n"/>
      <c r="V106" s="73" t="n"/>
      <c r="W106" s="73" t="n"/>
      <c r="X106" s="73" t="n"/>
    </row>
    <row r="107">
      <c r="B107" s="65" t="inlineStr">
        <is>
          <t>理財活動-現金增資</t>
        </is>
      </c>
      <c r="C107" s="69" t="n"/>
      <c r="D107" s="66">
        <f>-ABS(D102)*(1-C46/100)</f>
        <v/>
      </c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</row>
    <row r="108">
      <c r="B108" s="65" t="inlineStr">
        <is>
          <t>現金股利</t>
        </is>
      </c>
      <c r="C108" s="69" t="n"/>
      <c r="D108" s="69" t="n"/>
      <c r="E108" s="74">
        <f>-D98*C48/100</f>
        <v/>
      </c>
      <c r="F108" s="74">
        <f>-E98*C48/100</f>
        <v/>
      </c>
      <c r="G108" s="74">
        <f>-F98*C48/100</f>
        <v/>
      </c>
      <c r="H108" s="74">
        <f>-G98*C48/100</f>
        <v/>
      </c>
      <c r="I108" s="74">
        <f>-H98*C48/100</f>
        <v/>
      </c>
      <c r="J108" s="74">
        <f>-I98*C48/100</f>
        <v/>
      </c>
      <c r="K108" s="74">
        <f>-J98*C48/100</f>
        <v/>
      </c>
      <c r="L108" s="74">
        <f>-K98*C48/100</f>
        <v/>
      </c>
      <c r="M108" s="74">
        <f>-L98*C48/100</f>
        <v/>
      </c>
      <c r="N108" s="74">
        <f>-M98*C48/100</f>
        <v/>
      </c>
      <c r="O108" s="74">
        <f>-N98*C48/100</f>
        <v/>
      </c>
      <c r="P108" s="74">
        <f>-O98*C48/100</f>
        <v/>
      </c>
      <c r="Q108" s="74">
        <f>-P98*C48/100</f>
        <v/>
      </c>
      <c r="R108" s="74">
        <f>-Q98*C48/100</f>
        <v/>
      </c>
      <c r="S108" s="74">
        <f>-R98*C48/100</f>
        <v/>
      </c>
      <c r="T108" s="74">
        <f>-S98*C48/100</f>
        <v/>
      </c>
      <c r="U108" s="74">
        <f>-T98*C48/100</f>
        <v/>
      </c>
      <c r="V108" s="74">
        <f>-U98*C48/100</f>
        <v/>
      </c>
      <c r="W108" s="74">
        <f>-V98*C48/100</f>
        <v/>
      </c>
      <c r="X108" s="74" t="n"/>
    </row>
    <row r="109">
      <c r="B109" s="75" t="inlineStr">
        <is>
          <t>年底減資</t>
        </is>
      </c>
      <c r="C109" s="76" t="n"/>
      <c r="D109" s="76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>
        <f>-D107/C49</f>
        <v/>
      </c>
      <c r="U109" s="77">
        <f>-D107/C49</f>
        <v/>
      </c>
      <c r="V109" s="77">
        <f>-D107/C49</f>
        <v/>
      </c>
      <c r="W109" s="77">
        <f>-D107/C49</f>
        <v/>
      </c>
      <c r="X109" s="77" t="n"/>
    </row>
    <row r="110"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</row>
    <row r="111"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</row>
    <row r="112">
      <c r="B112" s="65" t="inlineStr">
        <is>
          <t>現金淨流入(出 )</t>
        </is>
      </c>
      <c r="C112" s="66" t="n">
        <v>0</v>
      </c>
      <c r="D112" s="66">
        <f>SUM(D100:D109)</f>
        <v/>
      </c>
      <c r="E112" s="66">
        <f>SUM(E100:E109)</f>
        <v/>
      </c>
      <c r="F112" s="66">
        <f>SUM(F100:F109)</f>
        <v/>
      </c>
      <c r="G112" s="66">
        <f>SUM(G100:G109)</f>
        <v/>
      </c>
      <c r="H112" s="66">
        <f>SUM(H100:H109)</f>
        <v/>
      </c>
      <c r="I112" s="66">
        <f>SUM(I100:I109)</f>
        <v/>
      </c>
      <c r="J112" s="66">
        <f>SUM(J100:J109)</f>
        <v/>
      </c>
      <c r="K112" s="66">
        <f>SUM(K100:K109)</f>
        <v/>
      </c>
      <c r="L112" s="66">
        <f>SUM(L100:L109)</f>
        <v/>
      </c>
      <c r="M112" s="66">
        <f>SUM(M100:M109)</f>
        <v/>
      </c>
      <c r="N112" s="66">
        <f>SUM(N100:N109)</f>
        <v/>
      </c>
      <c r="O112" s="66">
        <f>SUM(O100:O109)</f>
        <v/>
      </c>
      <c r="P112" s="66">
        <f>SUM(P100:P109)</f>
        <v/>
      </c>
      <c r="Q112" s="66">
        <f>SUM(Q100:Q109)</f>
        <v/>
      </c>
      <c r="R112" s="66">
        <f>SUM(R100:R109)</f>
        <v/>
      </c>
      <c r="S112" s="66">
        <f>SUM(S100:S109)</f>
        <v/>
      </c>
      <c r="T112" s="66">
        <f>SUM(T100:T109)</f>
        <v/>
      </c>
      <c r="U112" s="66">
        <f>SUM(U100:U109)</f>
        <v/>
      </c>
      <c r="V112" s="66">
        <f>SUM(V100:V109)</f>
        <v/>
      </c>
      <c r="W112" s="66">
        <f>SUM(W100:W109)</f>
        <v/>
      </c>
      <c r="X112" s="66" t="n"/>
    </row>
    <row r="113">
      <c r="B113" s="65" t="inlineStr">
        <is>
          <t>期初淨現金</t>
        </is>
      </c>
      <c r="C113" s="66" t="n">
        <v>0</v>
      </c>
      <c r="D113" s="66" t="n">
        <v>0</v>
      </c>
      <c r="E113" s="66">
        <f>D114</f>
        <v/>
      </c>
      <c r="F113" s="66">
        <f>E114</f>
        <v/>
      </c>
      <c r="G113" s="66">
        <f>F114</f>
        <v/>
      </c>
      <c r="H113" s="66">
        <f>G114</f>
        <v/>
      </c>
      <c r="I113" s="66">
        <f>H114</f>
        <v/>
      </c>
      <c r="J113" s="66">
        <f>I114</f>
        <v/>
      </c>
      <c r="K113" s="66">
        <f>J114</f>
        <v/>
      </c>
      <c r="L113" s="66">
        <f>K114</f>
        <v/>
      </c>
      <c r="M113" s="66">
        <f>L114</f>
        <v/>
      </c>
      <c r="N113" s="66">
        <f>M114</f>
        <v/>
      </c>
      <c r="O113" s="66">
        <f>N114</f>
        <v/>
      </c>
      <c r="P113" s="66">
        <f>O114</f>
        <v/>
      </c>
      <c r="Q113" s="66">
        <f>P114</f>
        <v/>
      </c>
      <c r="R113" s="66">
        <f>Q114</f>
        <v/>
      </c>
      <c r="S113" s="66">
        <f>R114</f>
        <v/>
      </c>
      <c r="T113" s="66">
        <f>S114</f>
        <v/>
      </c>
      <c r="U113" s="66">
        <f>T114</f>
        <v/>
      </c>
      <c r="V113" s="66">
        <f>U114</f>
        <v/>
      </c>
      <c r="W113" s="66">
        <f>V114</f>
        <v/>
      </c>
      <c r="X113" s="66" t="n"/>
    </row>
    <row r="114">
      <c r="B114" s="65" t="inlineStr">
        <is>
          <t>期未淨現金</t>
        </is>
      </c>
      <c r="C114" s="66" t="n">
        <v>0</v>
      </c>
      <c r="D114" s="66">
        <f>D112+D113</f>
        <v/>
      </c>
      <c r="E114" s="66">
        <f>E112+E113</f>
        <v/>
      </c>
      <c r="F114" s="66">
        <f>F112+F113</f>
        <v/>
      </c>
      <c r="G114" s="66">
        <f>G112+G113</f>
        <v/>
      </c>
      <c r="H114" s="66">
        <f>H112+H113</f>
        <v/>
      </c>
      <c r="I114" s="66">
        <f>I112+I113</f>
        <v/>
      </c>
      <c r="J114" s="66">
        <f>J112+J113</f>
        <v/>
      </c>
      <c r="K114" s="66">
        <f>K112+K113</f>
        <v/>
      </c>
      <c r="L114" s="66">
        <f>L112+L113</f>
        <v/>
      </c>
      <c r="M114" s="66">
        <f>M112+M113</f>
        <v/>
      </c>
      <c r="N114" s="66">
        <f>N112+N113</f>
        <v/>
      </c>
      <c r="O114" s="66">
        <f>O112+O113</f>
        <v/>
      </c>
      <c r="P114" s="66">
        <f>P112+P113</f>
        <v/>
      </c>
      <c r="Q114" s="66">
        <f>Q112+Q113</f>
        <v/>
      </c>
      <c r="R114" s="66">
        <f>R112+R113</f>
        <v/>
      </c>
      <c r="S114" s="66">
        <f>S112+S113</f>
        <v/>
      </c>
      <c r="T114" s="66">
        <f>T112+T113</f>
        <v/>
      </c>
      <c r="U114" s="66">
        <f>U112+U113</f>
        <v/>
      </c>
      <c r="V114" s="66">
        <f>V112+V113</f>
        <v/>
      </c>
      <c r="W114" s="66">
        <f>W112+W113</f>
        <v/>
      </c>
      <c r="X114" s="66" t="n"/>
    </row>
    <row r="115"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</row>
    <row r="116">
      <c r="B116" s="65" t="n"/>
      <c r="C116" s="65" t="n"/>
      <c r="D116" s="65" t="n"/>
      <c r="E116" s="65" t="n"/>
      <c r="F116" s="69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</row>
    <row r="117">
      <c r="B117" s="78" t="inlineStr">
        <is>
          <t>成本法實際現金流</t>
        </is>
      </c>
      <c r="C117" s="79" t="n"/>
      <c r="D117" s="80">
        <f>-D107</f>
        <v/>
      </c>
      <c r="E117" s="68">
        <f>-E108-E109</f>
        <v/>
      </c>
      <c r="F117" s="68">
        <f>-F108-F109</f>
        <v/>
      </c>
      <c r="G117" s="68">
        <f>-G108-G109</f>
        <v/>
      </c>
      <c r="H117" s="68">
        <f>-H108-H109</f>
        <v/>
      </c>
      <c r="I117" s="68">
        <f>-I108-I109</f>
        <v/>
      </c>
      <c r="J117" s="68">
        <f>-J108-J109</f>
        <v/>
      </c>
      <c r="K117" s="68">
        <f>-K108-K109</f>
        <v/>
      </c>
      <c r="L117" s="68">
        <f>-L108-L109</f>
        <v/>
      </c>
      <c r="M117" s="68">
        <f>-M108-M109</f>
        <v/>
      </c>
      <c r="N117" s="68">
        <f>-N108-N109</f>
        <v/>
      </c>
      <c r="O117" s="68">
        <f>-O108-O109</f>
        <v/>
      </c>
      <c r="P117" s="68">
        <f>-P108-P109</f>
        <v/>
      </c>
      <c r="Q117" s="68">
        <f>-Q108-Q109</f>
        <v/>
      </c>
      <c r="R117" s="68">
        <f>-R108-R109</f>
        <v/>
      </c>
      <c r="S117" s="68">
        <f>-S108-S109</f>
        <v/>
      </c>
      <c r="T117" s="68">
        <f>-T108-T109</f>
        <v/>
      </c>
      <c r="U117" s="68">
        <f>-U108-U109</f>
        <v/>
      </c>
      <c r="V117" s="68">
        <f>-V108-V109</f>
        <v/>
      </c>
      <c r="W117" s="68">
        <f>-W108-W109</f>
        <v/>
      </c>
      <c r="X117" s="68" t="n"/>
    </row>
    <row r="118">
      <c r="B118" s="65" t="inlineStr">
        <is>
          <t>成本法IRR</t>
        </is>
      </c>
      <c r="C118" s="81">
        <f>IRR(D117:W117)</f>
        <v/>
      </c>
      <c r="D118" s="69" t="n"/>
      <c r="E118" s="69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9" t="n"/>
    </row>
    <row r="119">
      <c r="B119" s="78" t="inlineStr">
        <is>
          <t>權益法實際現金流</t>
        </is>
      </c>
      <c r="C119" s="79" t="n"/>
      <c r="D119" s="80">
        <f>D98-D107</f>
        <v/>
      </c>
      <c r="E119" s="68">
        <f>E98-E109</f>
        <v/>
      </c>
      <c r="F119" s="68">
        <f>F98-F109</f>
        <v/>
      </c>
      <c r="G119" s="68">
        <f>G98-G109</f>
        <v/>
      </c>
      <c r="H119" s="68">
        <f>H98-H109</f>
        <v/>
      </c>
      <c r="I119" s="68">
        <f>I98-I109</f>
        <v/>
      </c>
      <c r="J119" s="68">
        <f>J98-J109</f>
        <v/>
      </c>
      <c r="K119" s="68">
        <f>K98-K109</f>
        <v/>
      </c>
      <c r="L119" s="68">
        <f>L98-L109</f>
        <v/>
      </c>
      <c r="M119" s="68">
        <f>M98-M109</f>
        <v/>
      </c>
      <c r="N119" s="68">
        <f>N98-N109</f>
        <v/>
      </c>
      <c r="O119" s="68">
        <f>O98-O109</f>
        <v/>
      </c>
      <c r="P119" s="68">
        <f>P98-P109</f>
        <v/>
      </c>
      <c r="Q119" s="68">
        <f>Q98-Q109</f>
        <v/>
      </c>
      <c r="R119" s="68">
        <f>R98-R109</f>
        <v/>
      </c>
      <c r="S119" s="68">
        <f>S98-S109</f>
        <v/>
      </c>
      <c r="T119" s="68">
        <f>T98-T109</f>
        <v/>
      </c>
      <c r="U119" s="68">
        <f>U98-U109</f>
        <v/>
      </c>
      <c r="V119" s="68">
        <f>V98-V109</f>
        <v/>
      </c>
      <c r="W119" s="68">
        <f>W98-W109</f>
        <v/>
      </c>
      <c r="X119" s="68" t="n"/>
    </row>
    <row r="120">
      <c r="B120" s="78" t="inlineStr">
        <is>
          <t>權益法IRR</t>
        </is>
      </c>
      <c r="C120" s="82">
        <f>IRR(D119:W119)</f>
        <v/>
      </c>
      <c r="D120" s="69" t="n"/>
      <c r="E120" s="69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9" t="n"/>
    </row>
    <row r="121"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</row>
    <row r="122">
      <c r="B122" s="65" t="inlineStr">
        <is>
          <t>借款餘額</t>
        </is>
      </c>
      <c r="C122" s="66" t="n">
        <v>0</v>
      </c>
      <c r="D122" s="66">
        <f>D105</f>
        <v/>
      </c>
      <c r="E122" s="66">
        <f>D122+E106</f>
        <v/>
      </c>
      <c r="F122" s="66">
        <f>E122+F106</f>
        <v/>
      </c>
      <c r="G122" s="66">
        <f>F122+G106</f>
        <v/>
      </c>
      <c r="H122" s="66">
        <f>G122+H106</f>
        <v/>
      </c>
      <c r="I122" s="66">
        <f>H122+I106</f>
        <v/>
      </c>
      <c r="J122" s="66">
        <f>I122+J106</f>
        <v/>
      </c>
      <c r="K122" s="66">
        <f>J122+K106</f>
        <v/>
      </c>
      <c r="L122" s="66">
        <f>K122+L106</f>
        <v/>
      </c>
      <c r="M122" s="66">
        <f>L122+M106</f>
        <v/>
      </c>
      <c r="N122" s="66">
        <f>M122+N106</f>
        <v/>
      </c>
      <c r="O122" s="66">
        <f>N122+O106</f>
        <v/>
      </c>
      <c r="P122" s="66">
        <f>O122+P106</f>
        <v/>
      </c>
      <c r="Q122" s="66">
        <f>P122+Q106</f>
        <v/>
      </c>
      <c r="R122" s="66">
        <f>Q122+R106</f>
        <v/>
      </c>
      <c r="S122" s="66">
        <f>R122+S106</f>
        <v/>
      </c>
      <c r="T122" s="66">
        <f>S122+T106</f>
        <v/>
      </c>
      <c r="U122" s="66">
        <f>T122+U106</f>
        <v/>
      </c>
      <c r="V122" s="66">
        <f>U122+V106</f>
        <v/>
      </c>
      <c r="W122" s="66">
        <f>V122+W106</f>
        <v/>
      </c>
      <c r="X122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1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初始價金摘要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35000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1.54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1.27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初始價金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35000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-45790.5</v>
      </c>
      <c r="E49" s="34" t="n">
        <v>-45790.5</v>
      </c>
      <c r="F49" s="34" t="n">
        <v>-45790.5</v>
      </c>
      <c r="G49" s="34" t="n">
        <v>-45790.5</v>
      </c>
      <c r="H49" s="34" t="n">
        <v>-45790.5</v>
      </c>
      <c r="I49" s="34" t="n">
        <v>-45790.5</v>
      </c>
      <c r="J49" s="34" t="n">
        <v>-45790.5</v>
      </c>
      <c r="K49" s="34" t="n">
        <v>-45790.5</v>
      </c>
      <c r="L49" s="34" t="n">
        <v>-45790.5</v>
      </c>
      <c r="M49" s="34" t="n">
        <v>-45790.5</v>
      </c>
      <c r="N49" s="34" t="n">
        <v>-45790.5</v>
      </c>
      <c r="O49" s="34" t="n">
        <v>-45790.5</v>
      </c>
      <c r="P49" s="34" t="n">
        <v>-45790.5</v>
      </c>
      <c r="Q49" s="34" t="n">
        <v>-45790.5</v>
      </c>
      <c r="R49" s="34" t="n">
        <v>-45790.5</v>
      </c>
      <c r="S49" s="34" t="n">
        <v>-45790.5</v>
      </c>
      <c r="T49" s="34" t="n">
        <v>-45790.5</v>
      </c>
      <c r="U49" s="34" t="n">
        <v>-45790.5</v>
      </c>
      <c r="V49" s="34" t="n">
        <v>-45790.5</v>
      </c>
      <c r="W49" s="34" t="n">
        <v>-45790.5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2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第1次滾算摘要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34000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1.78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1.99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第1次滾算，減少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34000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-44482.2</v>
      </c>
      <c r="E49" s="34" t="n">
        <v>-44482.2</v>
      </c>
      <c r="F49" s="34" t="n">
        <v>-44482.2</v>
      </c>
      <c r="G49" s="34" t="n">
        <v>-44482.2</v>
      </c>
      <c r="H49" s="34" t="n">
        <v>-44482.2</v>
      </c>
      <c r="I49" s="34" t="n">
        <v>-44482.2</v>
      </c>
      <c r="J49" s="34" t="n">
        <v>-44482.2</v>
      </c>
      <c r="K49" s="34" t="n">
        <v>-44482.2</v>
      </c>
      <c r="L49" s="34" t="n">
        <v>-44482.2</v>
      </c>
      <c r="M49" s="34" t="n">
        <v>-44482.2</v>
      </c>
      <c r="N49" s="34" t="n">
        <v>-44482.2</v>
      </c>
      <c r="O49" s="34" t="n">
        <v>-44482.2</v>
      </c>
      <c r="P49" s="34" t="n">
        <v>-44482.2</v>
      </c>
      <c r="Q49" s="34" t="n">
        <v>-44482.2</v>
      </c>
      <c r="R49" s="34" t="n">
        <v>-44482.2</v>
      </c>
      <c r="S49" s="34" t="n">
        <v>-44482.2</v>
      </c>
      <c r="T49" s="34" t="n">
        <v>-44482.2</v>
      </c>
      <c r="U49" s="34" t="n">
        <v>-44482.2</v>
      </c>
      <c r="V49" s="34" t="n">
        <v>-44482.2</v>
      </c>
      <c r="W49" s="34" t="n">
        <v>-44482.2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83" t="inlineStr">
        <is>
          <t>電站基本資料</t>
        </is>
      </c>
      <c r="C1" s="84" t="n"/>
      <c r="D1" s="84" t="n"/>
      <c r="E1" s="85" t="n"/>
      <c r="P1" s="86">
        <f>1-D11</f>
        <v/>
      </c>
      <c r="Q1" s="86">
        <f>P1-$D12</f>
        <v/>
      </c>
      <c r="R1" s="86">
        <f>Q1-$D12</f>
        <v/>
      </c>
      <c r="S1" s="86">
        <f>R1-$D12</f>
        <v/>
      </c>
      <c r="T1" s="86">
        <f>S1-$D12</f>
        <v/>
      </c>
      <c r="U1" s="86">
        <f>T1-$D12</f>
        <v/>
      </c>
      <c r="V1" s="86">
        <f>U1-$D12</f>
        <v/>
      </c>
      <c r="W1" s="86">
        <f>V1-$D12</f>
        <v/>
      </c>
      <c r="X1" s="86">
        <f>W1-$D12</f>
        <v/>
      </c>
      <c r="Y1" s="86">
        <f>X1-$D12</f>
        <v/>
      </c>
      <c r="Z1" s="86">
        <f>Y1-$D12</f>
        <v/>
      </c>
      <c r="AA1" s="86">
        <f>Z1-$D12</f>
        <v/>
      </c>
      <c r="AB1" s="86">
        <f>AA1-$D12</f>
        <v/>
      </c>
      <c r="AC1" s="86">
        <f>AB1-$D12</f>
        <v/>
      </c>
      <c r="AD1" s="86">
        <f>AC1-$D12</f>
        <v/>
      </c>
      <c r="AE1" s="86">
        <f>AD1-$D12</f>
        <v/>
      </c>
      <c r="AF1" s="86">
        <f>AE1-$D12</f>
        <v/>
      </c>
      <c r="AG1" s="86">
        <f>AF1-$D12</f>
        <v/>
      </c>
      <c r="AH1" s="86">
        <f>AG1-$D12</f>
        <v/>
      </c>
      <c r="AI1" s="86">
        <f>AH1-$D12</f>
        <v/>
      </c>
    </row>
    <row r="2" ht="21.75" customHeight="1">
      <c r="B2" s="87" t="inlineStr">
        <is>
          <t>電站名稱</t>
        </is>
      </c>
      <c r="C2" s="88" t="inlineStr">
        <is>
          <t>淡江大學-財務模擬案場</t>
        </is>
      </c>
      <c r="D2" s="89" t="inlineStr">
        <is>
          <t>-</t>
        </is>
      </c>
      <c r="E2" s="89" t="inlineStr">
        <is>
          <t>-</t>
        </is>
      </c>
    </row>
    <row r="3" ht="21.75" customHeight="1">
      <c r="B3" s="90" t="inlineStr">
        <is>
          <t>電站壽命</t>
        </is>
      </c>
      <c r="C3" s="91" t="n">
        <v>20</v>
      </c>
      <c r="D3" s="92" t="inlineStr">
        <is>
          <t>-</t>
        </is>
      </c>
      <c r="E3" s="92" t="inlineStr">
        <is>
          <t>-</t>
        </is>
      </c>
    </row>
    <row r="4" ht="21.75" customHeight="1">
      <c r="B4" s="90" t="inlineStr">
        <is>
          <t>建置量(kWp)</t>
        </is>
      </c>
      <c r="C4" s="91" t="n">
        <v>436.1</v>
      </c>
      <c r="D4" s="92" t="inlineStr">
        <is>
          <t>-</t>
        </is>
      </c>
      <c r="E4" s="92" t="inlineStr">
        <is>
          <t>-</t>
        </is>
      </c>
      <c r="M4" t="inlineStr">
        <is>
          <t>滾算紀錄編號: 3</t>
        </is>
      </c>
    </row>
    <row r="5" ht="22.5" customHeight="1">
      <c r="B5" s="91" t="inlineStr">
        <is>
          <t>起始年度</t>
        </is>
      </c>
      <c r="C5" s="91" t="n">
        <v>2023</v>
      </c>
      <c r="D5" s="91" t="inlineStr">
        <is>
          <t>結束年度</t>
        </is>
      </c>
      <c r="E5" s="91" t="n">
        <v>2042</v>
      </c>
      <c r="M5" t="inlineStr">
        <is>
          <t>第2次滾算摘要</t>
        </is>
      </c>
    </row>
    <row r="6" ht="20.25" customHeight="1">
      <c r="B6" s="93" t="n"/>
      <c r="C6" s="93" t="n"/>
      <c r="D6" s="93" t="n"/>
      <c r="E6" s="93" t="n"/>
      <c r="M6" t="inlineStr">
        <is>
          <t>價金: 33000</t>
        </is>
      </c>
    </row>
    <row r="7" ht="22.5" customHeight="1">
      <c r="B7" s="94" t="inlineStr">
        <is>
          <t>綜合損益表</t>
        </is>
      </c>
      <c r="C7" s="84" t="n"/>
      <c r="D7" s="84" t="n"/>
      <c r="E7" s="85" t="n"/>
      <c r="M7" t="inlineStr">
        <is>
          <t>專案IRR: 2.03</t>
        </is>
      </c>
    </row>
    <row r="8" ht="22.5" customHeight="1">
      <c r="B8" s="95" t="inlineStr">
        <is>
          <t>收入</t>
        </is>
      </c>
      <c r="C8" s="96" t="n"/>
      <c r="D8" s="96" t="n"/>
      <c r="E8" s="97" t="n"/>
      <c r="M8" t="inlineStr">
        <is>
          <t>權益法IRR: 2.75</t>
        </is>
      </c>
    </row>
    <row r="9" ht="22.5" customHeight="1">
      <c r="B9" s="98" t="inlineStr">
        <is>
          <t>收支項目</t>
        </is>
      </c>
      <c r="C9" s="99" t="inlineStr">
        <is>
          <t>相關參數</t>
        </is>
      </c>
      <c r="D9" s="99" t="inlineStr">
        <is>
          <t>參數數值</t>
        </is>
      </c>
      <c r="E9" s="100" t="inlineStr">
        <is>
          <t>年限</t>
        </is>
      </c>
      <c r="M9" t="inlineStr">
        <is>
          <t>利潤率: 30.00%</t>
        </is>
      </c>
    </row>
    <row r="10" ht="21.75" customHeight="1">
      <c r="B10" s="101" t="inlineStr">
        <is>
          <t>電費收入</t>
        </is>
      </c>
      <c r="C10" s="88" t="inlineStr">
        <is>
          <t>年度AC併網總發電量</t>
        </is>
      </c>
      <c r="D10" s="88" t="n">
        <v>547002</v>
      </c>
      <c r="E10" s="101" t="n">
        <v>20</v>
      </c>
      <c r="M10" t="inlineStr">
        <is>
          <t>第2次滾算，減少 1000 元 - 現金模式，每次減少 1000 元</t>
        </is>
      </c>
    </row>
    <row r="11" ht="21.75" customHeight="1">
      <c r="B11" s="102" t="n"/>
      <c r="C11" s="91" t="inlineStr">
        <is>
          <t>首年衰退率</t>
        </is>
      </c>
      <c r="D11" s="91" t="n">
        <v>0.01</v>
      </c>
      <c r="E11" s="102" t="n"/>
    </row>
    <row r="12" ht="21.75" customHeight="1">
      <c r="B12" s="102" t="n"/>
      <c r="C12" s="91" t="inlineStr">
        <is>
          <t>次年衰退率</t>
        </is>
      </c>
      <c r="D12" s="91" t="n">
        <v>0.004</v>
      </c>
      <c r="E12" s="102" t="n"/>
    </row>
    <row r="13" ht="22.5" customHeight="1">
      <c r="B13" s="102" t="n"/>
      <c r="C13" s="103" t="inlineStr">
        <is>
          <t>躉售費率(FIT)</t>
        </is>
      </c>
      <c r="D13" s="103" t="n">
        <v>3.7152</v>
      </c>
      <c r="E13" s="102" t="n"/>
    </row>
    <row r="14" ht="22.5" customHeight="1">
      <c r="B14" s="104" t="inlineStr">
        <is>
          <t>支出</t>
        </is>
      </c>
      <c r="C14" s="84" t="n"/>
      <c r="D14" s="84" t="n"/>
      <c r="E14" s="85" t="n"/>
    </row>
    <row r="15" ht="22.5" customHeight="1">
      <c r="B15" s="98" t="inlineStr">
        <is>
          <t>收支項目</t>
        </is>
      </c>
      <c r="C15" s="99" t="inlineStr">
        <is>
          <t>相關參數</t>
        </is>
      </c>
      <c r="D15" s="99" t="inlineStr">
        <is>
          <t>參數數值</t>
        </is>
      </c>
      <c r="E15" s="105" t="inlineStr">
        <is>
          <t>攤提年限</t>
        </is>
      </c>
    </row>
    <row r="16" ht="21.75" customHeight="1">
      <c r="B16" s="106" t="inlineStr">
        <is>
          <t>設備費用(價金)</t>
        </is>
      </c>
      <c r="C16" s="87" t="inlineStr">
        <is>
          <t>每kWp設備成本</t>
        </is>
      </c>
      <c r="D16" s="88" t="n">
        <v>33000</v>
      </c>
      <c r="E16" s="107" t="n">
        <v>20</v>
      </c>
    </row>
    <row r="17" ht="21.75" customHeight="1">
      <c r="B17" s="102" t="n"/>
      <c r="C17" s="91" t="inlineStr">
        <is>
          <t>信邦利潤率</t>
        </is>
      </c>
      <c r="D17" s="91" t="n">
        <v>0.3</v>
      </c>
      <c r="E17" s="102" t="n"/>
    </row>
    <row r="18" ht="21.75" customHeight="1">
      <c r="B18" s="108" t="n"/>
      <c r="C18" s="91" t="inlineStr">
        <is>
          <t>開發費</t>
        </is>
      </c>
      <c r="D18" s="91" t="n">
        <v>3000</v>
      </c>
      <c r="E18" s="108" t="n"/>
    </row>
    <row r="19" ht="54" customHeight="1">
      <c r="B19" s="109" t="inlineStr">
        <is>
          <t>租金費用</t>
        </is>
      </c>
      <c r="C19" s="110" t="inlineStr">
        <is>
          <t>租金計算方式
(1=固定攤提/2=電費抽成)</t>
        </is>
      </c>
      <c r="D19" s="91" t="n">
        <v>1</v>
      </c>
      <c r="E19" s="89" t="n">
        <v>0</v>
      </c>
    </row>
    <row r="20" ht="20.25" customHeight="1">
      <c r="B20" s="102" t="n"/>
      <c r="C20" s="111" t="inlineStr">
        <is>
          <t>【方式1參數】租金總額</t>
        </is>
      </c>
      <c r="D20" s="91" t="n">
        <v>290201</v>
      </c>
      <c r="E20" s="89" t="n">
        <v>20</v>
      </c>
    </row>
    <row r="21" ht="21.75" customHeight="1">
      <c r="B21" s="108" t="n"/>
      <c r="C21" s="91" t="inlineStr">
        <is>
          <t>【方式2參數】抽成比率</t>
        </is>
      </c>
      <c r="D21" s="91" t="n">
        <v>0</v>
      </c>
      <c r="E21" s="92" t="n">
        <v>0</v>
      </c>
    </row>
    <row r="22" ht="21.75" customHeight="1">
      <c r="B22" s="91" t="inlineStr">
        <is>
          <t>運維費用</t>
        </is>
      </c>
      <c r="C22" s="91" t="inlineStr">
        <is>
          <t>每kw運維成本</t>
        </is>
      </c>
      <c r="D22" s="91" t="n">
        <v>400</v>
      </c>
      <c r="E22" s="92" t="n">
        <v>20</v>
      </c>
    </row>
    <row r="23" ht="21.75" customHeight="1">
      <c r="B23" s="91" t="inlineStr">
        <is>
          <t>保險費用</t>
        </is>
      </c>
      <c r="C23" s="90" t="inlineStr">
        <is>
          <t>占整體設備費用比例</t>
        </is>
      </c>
      <c r="D23" s="91" t="n">
        <v>0.003</v>
      </c>
      <c r="E23" s="92" t="n">
        <v>20</v>
      </c>
    </row>
    <row r="24" ht="21.75" customHeight="1">
      <c r="B24" s="91" t="inlineStr">
        <is>
          <t>模組回收費用</t>
        </is>
      </c>
      <c r="C24" s="91" t="inlineStr">
        <is>
          <t>每kw模組回收成本</t>
        </is>
      </c>
      <c r="D24" s="91" t="n">
        <v>1000</v>
      </c>
      <c r="E24" s="92" t="n">
        <v>10</v>
      </c>
    </row>
    <row r="25" ht="21.75" customHeight="1">
      <c r="B25" s="91" t="inlineStr">
        <is>
          <t>利息費用</t>
        </is>
      </c>
      <c r="C25" s="91" t="inlineStr">
        <is>
          <t>銀行利率</t>
        </is>
      </c>
      <c r="D25" s="112" t="n">
        <v>0.025595</v>
      </c>
      <c r="E25" s="92" t="n">
        <v>0</v>
      </c>
    </row>
    <row r="26" ht="22.5" customHeight="1">
      <c r="B26" s="91" t="inlineStr">
        <is>
          <t>所得稅</t>
        </is>
      </c>
      <c r="C26" s="91" t="inlineStr">
        <is>
          <t>所得稅率</t>
        </is>
      </c>
      <c r="D26" s="91" t="n">
        <v>0.2</v>
      </c>
      <c r="E26" s="92" t="n">
        <v>0</v>
      </c>
    </row>
    <row r="27" ht="20.25" customHeight="1">
      <c r="B27" s="93" t="n"/>
      <c r="C27" s="93" t="n"/>
      <c r="D27" s="93" t="n"/>
      <c r="E27" s="93" t="n"/>
    </row>
    <row r="28" ht="20.25" customHeight="1">
      <c r="B28" s="93" t="n"/>
      <c r="C28" s="93" t="n"/>
      <c r="D28" s="93" t="n"/>
      <c r="E28" s="93" t="n"/>
    </row>
    <row r="29" ht="22.5" customHeight="1">
      <c r="B29" s="94" t="inlineStr">
        <is>
          <t>現金流量表</t>
        </is>
      </c>
      <c r="C29" s="84" t="n"/>
      <c r="D29" s="85" t="n"/>
      <c r="E29" s="93" t="n"/>
    </row>
    <row r="30" ht="22.5" customHeight="1">
      <c r="B30" s="98" t="inlineStr">
        <is>
          <t>金流項目</t>
        </is>
      </c>
      <c r="C30" s="99" t="inlineStr">
        <is>
          <t>相關參數</t>
        </is>
      </c>
      <c r="D30" s="105" t="inlineStr">
        <is>
          <t>參數數值</t>
        </is>
      </c>
      <c r="E30" s="93" t="n"/>
    </row>
    <row r="31" ht="18.75" customHeight="1">
      <c r="B31" s="87" t="inlineStr">
        <is>
          <t>貸款成數</t>
        </is>
      </c>
      <c r="C31" s="87" t="inlineStr">
        <is>
          <t>占總設備費用比例</t>
        </is>
      </c>
      <c r="D31" s="88" t="n">
        <v>0.8</v>
      </c>
      <c r="E31" s="93" t="n"/>
    </row>
    <row r="32" ht="18.75" customHeight="1">
      <c r="B32" s="88" t="inlineStr">
        <is>
          <t>貸款還款</t>
        </is>
      </c>
      <c r="C32" s="88" t="inlineStr">
        <is>
          <t>攤還期數</t>
        </is>
      </c>
      <c r="D32" s="88" t="n">
        <v>15</v>
      </c>
      <c r="E32" s="93" t="n"/>
    </row>
    <row r="33" ht="18.75" customHeight="1">
      <c r="B33" s="91" t="inlineStr">
        <is>
          <t>現金股利</t>
        </is>
      </c>
      <c r="C33" s="91" t="inlineStr">
        <is>
          <t>股利比率</t>
        </is>
      </c>
      <c r="D33" s="91" t="n">
        <v>0.9</v>
      </c>
      <c r="E33" s="93" t="n"/>
    </row>
    <row r="34" ht="18.75" customHeight="1">
      <c r="B34" s="91" t="inlineStr">
        <is>
          <t>年底減資</t>
        </is>
      </c>
      <c r="C34" s="91" t="inlineStr">
        <is>
          <t>攤還期數</t>
        </is>
      </c>
      <c r="D34" s="91" t="n">
        <v>4</v>
      </c>
      <c r="E34" s="93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13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4" t="n"/>
    </row>
    <row r="40" ht="18.75" customHeight="1">
      <c r="B40" s="20" t="inlineStr">
        <is>
          <t>發電度數(KWH)</t>
        </is>
      </c>
      <c r="C40" s="21" t="n">
        <v>0</v>
      </c>
      <c r="D40" s="22">
        <f>$D$10*P1</f>
        <v/>
      </c>
      <c r="E40" s="22">
        <f>$D$10*Q1</f>
        <v/>
      </c>
      <c r="F40" s="22">
        <f>$D$10*R1</f>
        <v/>
      </c>
      <c r="G40" s="22">
        <f>$D$10*S1</f>
        <v/>
      </c>
      <c r="H40" s="22">
        <f>$D$10*T1</f>
        <v/>
      </c>
      <c r="I40" s="22">
        <f>$D$10*U1</f>
        <v/>
      </c>
      <c r="J40" s="22">
        <f>$D$10*V1</f>
        <v/>
      </c>
      <c r="K40" s="22">
        <f>$D$10*W1</f>
        <v/>
      </c>
      <c r="L40" s="22">
        <f>$D$10*X1</f>
        <v/>
      </c>
      <c r="M40" s="22">
        <f>$D$10*Y1</f>
        <v/>
      </c>
      <c r="N40" s="22">
        <f>$D$10*Z1</f>
        <v/>
      </c>
      <c r="O40" s="22">
        <f>$D$10*AA1</f>
        <v/>
      </c>
      <c r="P40" s="22">
        <f>$D$10*AB1</f>
        <v/>
      </c>
      <c r="Q40" s="22">
        <f>$D$10*AC1</f>
        <v/>
      </c>
      <c r="R40" s="22">
        <f>$D$10*AD1</f>
        <v/>
      </c>
      <c r="S40" s="22">
        <f>$D$10*AE1</f>
        <v/>
      </c>
      <c r="T40" s="22">
        <f>$D$10*AF1</f>
        <v/>
      </c>
      <c r="U40" s="22">
        <f>$D$10*AG1</f>
        <v/>
      </c>
      <c r="V40" s="22">
        <f>$D$10*AH1</f>
        <v/>
      </c>
      <c r="W40" s="22">
        <f>$D$10*AI1</f>
        <v/>
      </c>
      <c r="X40" s="115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6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7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8" t="n"/>
    </row>
    <row r="44" ht="18.75" customHeight="1">
      <c r="B44" s="32" t="inlineStr">
        <is>
          <t>Outflow : 設備費用</t>
        </is>
      </c>
      <c r="C44" s="33">
        <f>-(D16/(1-D17)+D18)*C4</f>
        <v/>
      </c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34" t="n">
        <v>0</v>
      </c>
      <c r="E45" s="34" t="n">
        <v>-290201</v>
      </c>
      <c r="F45" s="34" t="n">
        <v>-290201</v>
      </c>
      <c r="G45" s="34" t="n">
        <v>-290201</v>
      </c>
      <c r="H45" s="34" t="n">
        <v>-290201</v>
      </c>
      <c r="I45" s="34" t="n">
        <v>-290201</v>
      </c>
      <c r="J45" s="34" t="n">
        <v>-290201</v>
      </c>
      <c r="K45" s="34" t="n">
        <v>-290201</v>
      </c>
      <c r="L45" s="34" t="n">
        <v>-290201</v>
      </c>
      <c r="M45" s="34" t="n">
        <v>-290201</v>
      </c>
      <c r="N45" s="34" t="n">
        <v>-290201</v>
      </c>
      <c r="O45" s="34" t="n">
        <v>-290201</v>
      </c>
      <c r="P45" s="34" t="n">
        <v>-290201</v>
      </c>
      <c r="Q45" s="34" t="n">
        <v>-290201</v>
      </c>
      <c r="R45" s="34" t="n">
        <v>-290201</v>
      </c>
      <c r="S45" s="34" t="n">
        <v>-290201</v>
      </c>
      <c r="T45" s="34" t="n">
        <v>-290201</v>
      </c>
      <c r="U45" s="34" t="n">
        <v>-290201</v>
      </c>
      <c r="V45" s="34" t="n">
        <v>-290201</v>
      </c>
      <c r="W45" s="34" t="n">
        <v>-290201</v>
      </c>
      <c r="X45" s="34" t="n"/>
    </row>
    <row r="46" ht="18.75" customHeight="1">
      <c r="B46" s="32" t="inlineStr">
        <is>
          <t>Outflow : 返還借款</t>
        </is>
      </c>
      <c r="C46" s="27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34" t="n">
        <v>-174440</v>
      </c>
      <c r="E48" s="34" t="n">
        <v>-174440</v>
      </c>
      <c r="F48" s="34" t="n">
        <v>-174440</v>
      </c>
      <c r="G48" s="34" t="n">
        <v>-174440</v>
      </c>
      <c r="H48" s="34" t="n">
        <v>-174440</v>
      </c>
      <c r="I48" s="34" t="n">
        <v>-174440</v>
      </c>
      <c r="J48" s="34" t="n">
        <v>-174440</v>
      </c>
      <c r="K48" s="34" t="n">
        <v>-174440</v>
      </c>
      <c r="L48" s="34" t="n">
        <v>-174440</v>
      </c>
      <c r="M48" s="34" t="n">
        <v>-174440</v>
      </c>
      <c r="N48" s="34" t="n">
        <v>-174440</v>
      </c>
      <c r="O48" s="34" t="n">
        <v>-174440</v>
      </c>
      <c r="P48" s="34" t="n">
        <v>-174440</v>
      </c>
      <c r="Q48" s="34" t="n">
        <v>-174440</v>
      </c>
      <c r="R48" s="34" t="n">
        <v>-174440</v>
      </c>
      <c r="S48" s="34" t="n">
        <v>-174440</v>
      </c>
      <c r="T48" s="34" t="n">
        <v>-174440</v>
      </c>
      <c r="U48" s="34" t="n">
        <v>-174440</v>
      </c>
      <c r="V48" s="34" t="n">
        <v>-174440</v>
      </c>
      <c r="W48" s="34" t="n">
        <v>-174440</v>
      </c>
      <c r="X48" s="34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34" t="n">
        <v>-43173.9</v>
      </c>
      <c r="E49" s="34" t="n">
        <v>-43173.9</v>
      </c>
      <c r="F49" s="34" t="n">
        <v>-43173.9</v>
      </c>
      <c r="G49" s="34" t="n">
        <v>-43173.9</v>
      </c>
      <c r="H49" s="34" t="n">
        <v>-43173.9</v>
      </c>
      <c r="I49" s="34" t="n">
        <v>-43173.9</v>
      </c>
      <c r="J49" s="34" t="n">
        <v>-43173.9</v>
      </c>
      <c r="K49" s="34" t="n">
        <v>-43173.9</v>
      </c>
      <c r="L49" s="34" t="n">
        <v>-43173.9</v>
      </c>
      <c r="M49" s="34" t="n">
        <v>-43173.9</v>
      </c>
      <c r="N49" s="34" t="n">
        <v>-43173.9</v>
      </c>
      <c r="O49" s="34" t="n">
        <v>-43173.9</v>
      </c>
      <c r="P49" s="34" t="n">
        <v>-43173.9</v>
      </c>
      <c r="Q49" s="34" t="n">
        <v>-43173.9</v>
      </c>
      <c r="R49" s="34" t="n">
        <v>-43173.9</v>
      </c>
      <c r="S49" s="34" t="n">
        <v>-43173.9</v>
      </c>
      <c r="T49" s="34" t="n">
        <v>-43173.9</v>
      </c>
      <c r="U49" s="34" t="n">
        <v>-43173.9</v>
      </c>
      <c r="V49" s="34" t="n">
        <v>-43173.9</v>
      </c>
      <c r="W49" s="34" t="n">
        <v>-43173.9</v>
      </c>
      <c r="X49" s="34" t="n"/>
    </row>
    <row r="50" ht="18.75" customHeight="1">
      <c r="B50" s="32" t="inlineStr">
        <is>
          <t>Outflow : 模組回收費</t>
        </is>
      </c>
      <c r="C50" s="27" t="n"/>
      <c r="D50" s="34" t="n">
        <v>-43610</v>
      </c>
      <c r="E50" s="34" t="n">
        <v>-43610</v>
      </c>
      <c r="F50" s="34" t="n">
        <v>-43610</v>
      </c>
      <c r="G50" s="34" t="n">
        <v>-43610</v>
      </c>
      <c r="H50" s="34" t="n">
        <v>-43610</v>
      </c>
      <c r="I50" s="34" t="n">
        <v>-43610</v>
      </c>
      <c r="J50" s="34" t="n">
        <v>-43610</v>
      </c>
      <c r="K50" s="34" t="n">
        <v>-43610</v>
      </c>
      <c r="L50" s="34" t="n">
        <v>-43610</v>
      </c>
      <c r="M50" s="34" t="n">
        <v>-43610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4" t="n">
        <v>0</v>
      </c>
      <c r="T50" s="34" t="n">
        <v>0</v>
      </c>
      <c r="U50" s="34" t="n">
        <v>0</v>
      </c>
      <c r="V50" s="34" t="n">
        <v>0</v>
      </c>
      <c r="W50" s="34" t="n">
        <v>0</v>
      </c>
      <c r="X50" s="34" t="n"/>
    </row>
    <row r="51" ht="18.75" customHeight="1">
      <c r="B51" s="32" t="inlineStr">
        <is>
          <t>Outflow : 其它費用(人事薪資…等)</t>
        </is>
      </c>
      <c r="C51" s="35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</row>
    <row r="52" ht="18.75" customHeight="1">
      <c r="B52" s="32" t="inlineStr">
        <is>
          <t>1%管理費</t>
        </is>
      </c>
      <c r="C52" s="35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</row>
    <row r="53" ht="18.75" customHeight="1">
      <c r="B53" s="36" t="inlineStr">
        <is>
          <t>績效獎金</t>
        </is>
      </c>
      <c r="C53" s="35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</row>
    <row r="54" ht="18.75" customHeight="1">
      <c r="B54" s="36" t="inlineStr">
        <is>
          <t>所得稅20%</t>
        </is>
      </c>
      <c r="C54" s="35" t="n"/>
      <c r="D54" s="34">
        <f>D77</f>
        <v/>
      </c>
      <c r="E54" s="34">
        <f>E77</f>
        <v/>
      </c>
      <c r="F54" s="34">
        <f>F77</f>
        <v/>
      </c>
      <c r="G54" s="34">
        <f>G77</f>
        <v/>
      </c>
      <c r="H54" s="34">
        <f>H77</f>
        <v/>
      </c>
      <c r="I54" s="34">
        <f>I77</f>
        <v/>
      </c>
      <c r="J54" s="34">
        <f>J77</f>
        <v/>
      </c>
      <c r="K54" s="34">
        <f>K77</f>
        <v/>
      </c>
      <c r="L54" s="34">
        <f>L77</f>
        <v/>
      </c>
      <c r="M54" s="34">
        <f>M77</f>
        <v/>
      </c>
      <c r="N54" s="34">
        <f>N77</f>
        <v/>
      </c>
      <c r="O54" s="34">
        <f>O77</f>
        <v/>
      </c>
      <c r="P54" s="34">
        <f>P77</f>
        <v/>
      </c>
      <c r="Q54" s="34">
        <f>Q77</f>
        <v/>
      </c>
      <c r="R54" s="34">
        <f>R77</f>
        <v/>
      </c>
      <c r="S54" s="34">
        <f>S77</f>
        <v/>
      </c>
      <c r="T54" s="34">
        <f>T77</f>
        <v/>
      </c>
      <c r="U54" s="34">
        <f>U77</f>
        <v/>
      </c>
      <c r="V54" s="34">
        <f>V77</f>
        <v/>
      </c>
      <c r="W54" s="34">
        <f>W77</f>
        <v/>
      </c>
      <c r="X54" s="28" t="n"/>
    </row>
    <row r="55" ht="18.75" customHeight="1">
      <c r="B55" s="37" t="inlineStr">
        <is>
          <t>現金流</t>
        </is>
      </c>
      <c r="C55" s="38">
        <f>C44</f>
        <v/>
      </c>
      <c r="D55" s="39">
        <f>SUM(D41:D54)</f>
        <v/>
      </c>
      <c r="E55" s="39">
        <f>SUM(E41:E54)</f>
        <v/>
      </c>
      <c r="F55" s="39">
        <f>SUM(F41:F54)</f>
        <v/>
      </c>
      <c r="G55" s="39">
        <f>SUM(G41:G54)</f>
        <v/>
      </c>
      <c r="H55" s="39">
        <f>SUM(H41:H54)</f>
        <v/>
      </c>
      <c r="I55" s="39">
        <f>SUM(I41:I54)</f>
        <v/>
      </c>
      <c r="J55" s="39">
        <f>SUM(J41:J54)</f>
        <v/>
      </c>
      <c r="K55" s="39">
        <f>SUM(K41:K54)</f>
        <v/>
      </c>
      <c r="L55" s="39">
        <f>SUM(L41:L54)</f>
        <v/>
      </c>
      <c r="M55" s="39">
        <f>SUM(M41:M54)</f>
        <v/>
      </c>
      <c r="N55" s="39">
        <f>SUM(N41:N54)</f>
        <v/>
      </c>
      <c r="O55" s="39">
        <f>SUM(O41:O54)</f>
        <v/>
      </c>
      <c r="P55" s="39">
        <f>SUM(P41:P54)</f>
        <v/>
      </c>
      <c r="Q55" s="39">
        <f>SUM(Q41:Q54)</f>
        <v/>
      </c>
      <c r="R55" s="39">
        <f>SUM(R41:R54)</f>
        <v/>
      </c>
      <c r="S55" s="39">
        <f>SUM(S41:S54)</f>
        <v/>
      </c>
      <c r="T55" s="39">
        <f>SUM(T41:T54)</f>
        <v/>
      </c>
      <c r="U55" s="39">
        <f>SUM(U41:U54)</f>
        <v/>
      </c>
      <c r="V55" s="39">
        <f>SUM(V41:V54)</f>
        <v/>
      </c>
      <c r="W55" s="39">
        <f>SUM(W41:W54)</f>
        <v/>
      </c>
      <c r="X55" s="119" t="n"/>
      <c r="Y55" s="120" t="n"/>
      <c r="Z55" s="121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</row>
    <row r="56" ht="18.75" customHeight="1">
      <c r="B56" s="40" t="inlineStr">
        <is>
          <t>累計現金流</t>
        </is>
      </c>
      <c r="D56" s="41">
        <f>C55+D55</f>
        <v/>
      </c>
      <c r="E56" s="41">
        <f>D56+E55</f>
        <v/>
      </c>
      <c r="F56" s="41">
        <f>E56+F55</f>
        <v/>
      </c>
      <c r="G56" s="41">
        <f>F56+G55</f>
        <v/>
      </c>
      <c r="H56" s="41">
        <f>G56+H55</f>
        <v/>
      </c>
      <c r="I56" s="41">
        <f>H56+I55</f>
        <v/>
      </c>
      <c r="J56" s="41">
        <f>I56+J55</f>
        <v/>
      </c>
      <c r="K56" s="41">
        <f>J56+K55</f>
        <v/>
      </c>
      <c r="L56" s="41">
        <f>K56+L55</f>
        <v/>
      </c>
      <c r="M56" s="41">
        <f>L56+M55</f>
        <v/>
      </c>
      <c r="N56" s="41">
        <f>M56+N55</f>
        <v/>
      </c>
      <c r="O56" s="41">
        <f>N56+O55</f>
        <v/>
      </c>
      <c r="P56" s="41">
        <f>O56+P55</f>
        <v/>
      </c>
      <c r="Q56" s="41">
        <f>P56+Q55</f>
        <v/>
      </c>
      <c r="R56" s="41">
        <f>Q56+R55</f>
        <v/>
      </c>
      <c r="S56" s="41">
        <f>R56+S55</f>
        <v/>
      </c>
      <c r="T56" s="41">
        <f>S56+T55</f>
        <v/>
      </c>
      <c r="U56" s="41">
        <f>T56+U55</f>
        <v/>
      </c>
      <c r="V56" s="41">
        <f>U56+V55</f>
        <v/>
      </c>
      <c r="W56" s="41">
        <f>V56+W55</f>
        <v/>
      </c>
      <c r="X56" s="41">
        <f>W56+X55</f>
        <v/>
      </c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</row>
    <row r="57" ht="18.75" customHeight="1">
      <c r="B57" s="42" t="inlineStr">
        <is>
          <t>回收年限評估</t>
        </is>
      </c>
      <c r="C57" s="43" t="n"/>
      <c r="D57" s="44">
        <f>IF((D56)&gt;0,"回收","未回收")</f>
        <v/>
      </c>
      <c r="E57" s="45">
        <f>IF((E56)&gt;0,"回收","未回收")</f>
        <v/>
      </c>
      <c r="F57" s="45">
        <f>IF((F56)&gt;0,"回收","未回收")</f>
        <v/>
      </c>
      <c r="G57" s="45">
        <f>IF((G56)&gt;0,"回收","未回收")</f>
        <v/>
      </c>
      <c r="H57" s="45">
        <f>IF((H56)&gt;0,"回收","未回收")</f>
        <v/>
      </c>
      <c r="I57" s="45">
        <f>IF((I56)&gt;0,"回收","未回收")</f>
        <v/>
      </c>
      <c r="J57" s="45">
        <f>IF((J56)&gt;0,"回收","未回收")</f>
        <v/>
      </c>
      <c r="K57" s="45">
        <f>IF((K56)&gt;0,"回收","未回收")</f>
        <v/>
      </c>
      <c r="L57" s="45">
        <f>IF((L56)&gt;0,"回收","未回收")</f>
        <v/>
      </c>
      <c r="M57" s="45">
        <f>IF((M56)&gt;0,"回收","未回收")</f>
        <v/>
      </c>
      <c r="N57" s="45">
        <f>IF((N56)&gt;0,"回收","未回收")</f>
        <v/>
      </c>
      <c r="O57" s="45">
        <f>IF((O56)&gt;0,"回收","未回收")</f>
        <v/>
      </c>
      <c r="P57" s="45">
        <f>IF((P56)&gt;0,"回收","未回收")</f>
        <v/>
      </c>
      <c r="Q57" s="45">
        <f>IF((Q56)&gt;0,"回收","未回收")</f>
        <v/>
      </c>
      <c r="R57" s="45">
        <f>IF((R56)&gt;0,"回收","未回收")</f>
        <v/>
      </c>
      <c r="S57" s="45">
        <f>IF((S56)&gt;0,"回收","未回收")</f>
        <v/>
      </c>
      <c r="T57" s="45">
        <f>IF((T56)&gt;0,"回收","未回收")</f>
        <v/>
      </c>
      <c r="U57" s="45">
        <f>IF((U56)&gt;0,"回收","未回收")</f>
        <v/>
      </c>
      <c r="V57" s="45">
        <f>IF((V56)&gt;0,"回收","未回收")</f>
        <v/>
      </c>
      <c r="W57" s="45">
        <f>IF((W56)&gt;0,"回收","未回收")</f>
        <v/>
      </c>
      <c r="X57" s="45">
        <f>IF((X56)&gt;0,"回收","未回收")</f>
        <v/>
      </c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</row>
    <row r="58" ht="18.75" customHeight="1">
      <c r="B58" s="46" t="inlineStr">
        <is>
          <t>專案法IRR</t>
        </is>
      </c>
      <c r="C58" s="47">
        <f>IRR(C55:W55)</f>
        <v/>
      </c>
      <c r="D58" s="48" t="n"/>
      <c r="E58" s="48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122" t="n"/>
      <c r="Z58" s="122" t="n"/>
      <c r="AA58" s="122" t="n"/>
      <c r="AB58" s="122" t="n"/>
      <c r="AC58" s="122" t="n"/>
      <c r="AD58" s="122" t="n"/>
      <c r="AE58" s="122" t="n"/>
      <c r="AF58" s="122" t="n"/>
      <c r="AG58" s="122" t="n"/>
      <c r="AH58" s="122" t="n"/>
      <c r="AI58" s="122" t="n"/>
      <c r="AJ58" s="122" t="n"/>
    </row>
    <row r="59" ht="18.75" customHeight="1">
      <c r="B59" s="49" t="n"/>
      <c r="C59" s="48" t="n"/>
      <c r="D59" s="48" t="n"/>
      <c r="E59" s="48" t="n"/>
      <c r="F59" s="49" t="n"/>
      <c r="G59" s="49" t="n"/>
      <c r="H59" s="49" t="n"/>
      <c r="I59" s="49" t="n"/>
      <c r="J59" s="49" t="n"/>
      <c r="K59" s="49" t="n"/>
      <c r="L59" s="49" t="n"/>
      <c r="M59" s="48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122" t="n"/>
      <c r="Z59" s="122" t="n"/>
      <c r="AA59" s="122" t="n"/>
      <c r="AB59" s="122" t="n"/>
      <c r="AC59" s="122" t="n"/>
      <c r="AD59" s="122" t="n"/>
      <c r="AE59" s="122" t="n"/>
      <c r="AF59" s="122" t="n"/>
      <c r="AG59" s="122" t="n"/>
      <c r="AH59" s="122" t="n"/>
      <c r="AI59" s="122" t="n"/>
      <c r="AJ59" s="122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0" t="inlineStr">
        <is>
          <t>償還年限</t>
        </is>
      </c>
      <c r="U61" s="14" t="n"/>
      <c r="V61" s="14" t="n"/>
      <c r="W61" s="14" t="n"/>
      <c r="X61" s="113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1" t="n">
        <v>17</v>
      </c>
      <c r="U62" s="18" t="n">
        <v>18</v>
      </c>
      <c r="V62" s="18" t="n">
        <v>19</v>
      </c>
      <c r="W62" s="18" t="n">
        <v>20</v>
      </c>
      <c r="X62" s="114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5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6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7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8" t="n"/>
    </row>
    <row r="67" ht="18.75" customHeight="1">
      <c r="B67" s="32" t="inlineStr">
        <is>
          <t>Outflow : 設備折舊</t>
        </is>
      </c>
      <c r="C67" s="27" t="n"/>
      <c r="D67" s="52">
        <f>$C$44/$E$16</f>
        <v/>
      </c>
      <c r="E67" s="52">
        <f>$C$44/$E$16</f>
        <v/>
      </c>
      <c r="F67" s="52">
        <f>$C$44/$E$16</f>
        <v/>
      </c>
      <c r="G67" s="52">
        <f>$C$44/$E$16</f>
        <v/>
      </c>
      <c r="H67" s="52">
        <f>$C$44/$E$16</f>
        <v/>
      </c>
      <c r="I67" s="52">
        <f>$C$44/$E$16</f>
        <v/>
      </c>
      <c r="J67" s="52">
        <f>$C$44/$E$16</f>
        <v/>
      </c>
      <c r="K67" s="52">
        <f>$C$44/$E$16</f>
        <v/>
      </c>
      <c r="L67" s="52">
        <f>$C$44/$E$16</f>
        <v/>
      </c>
      <c r="M67" s="52">
        <f>$C$44/$E$16</f>
        <v/>
      </c>
      <c r="N67" s="52">
        <f>$C$44/$E$16</f>
        <v/>
      </c>
      <c r="O67" s="52">
        <f>$C$44/$E$16</f>
        <v/>
      </c>
      <c r="P67" s="52">
        <f>$C$44/$E$16</f>
        <v/>
      </c>
      <c r="Q67" s="52">
        <f>$C$44/$E$16</f>
        <v/>
      </c>
      <c r="R67" s="52">
        <f>$C$44/$E$16</f>
        <v/>
      </c>
      <c r="S67" s="52">
        <f>$C$44/$E$16</f>
        <v/>
      </c>
      <c r="T67" s="52">
        <f>$C$44/$E$16</f>
        <v/>
      </c>
      <c r="U67" s="52">
        <f>$C$44/$E$16</f>
        <v/>
      </c>
      <c r="V67" s="52">
        <f>$C$44/$E$16</f>
        <v/>
      </c>
      <c r="W67" s="52">
        <f>$C$44/$E$16</f>
        <v/>
      </c>
      <c r="X67" s="117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34">
        <f>D44</f>
        <v/>
      </c>
      <c r="E68" s="34">
        <f>E44</f>
        <v/>
      </c>
      <c r="F68" s="34">
        <f>F44</f>
        <v/>
      </c>
      <c r="G68" s="34">
        <f>G44</f>
        <v/>
      </c>
      <c r="H68" s="34">
        <f>H44</f>
        <v/>
      </c>
      <c r="I68" s="34">
        <f>I44</f>
        <v/>
      </c>
      <c r="J68" s="34">
        <f>J44</f>
        <v/>
      </c>
      <c r="K68" s="34">
        <f>K44</f>
        <v/>
      </c>
      <c r="L68" s="34">
        <f>L44</f>
        <v/>
      </c>
      <c r="M68" s="34">
        <f>M44</f>
        <v/>
      </c>
      <c r="N68" s="34">
        <f>N44</f>
        <v/>
      </c>
      <c r="O68" s="34">
        <f>O44</f>
        <v/>
      </c>
      <c r="P68" s="34">
        <f>P44</f>
        <v/>
      </c>
      <c r="Q68" s="34">
        <f>Q44</f>
        <v/>
      </c>
      <c r="R68" s="34">
        <f>R44</f>
        <v/>
      </c>
      <c r="S68" s="34">
        <f>S44</f>
        <v/>
      </c>
      <c r="T68" s="34">
        <f>T44</f>
        <v/>
      </c>
      <c r="U68" s="34">
        <f>U44</f>
        <v/>
      </c>
      <c r="V68" s="34">
        <f>V44</f>
        <v/>
      </c>
      <c r="W68" s="34">
        <f>W44</f>
        <v/>
      </c>
      <c r="X68" s="117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7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34" t="n">
        <v>0</v>
      </c>
      <c r="E70" s="34" t="n">
        <v>0</v>
      </c>
      <c r="F70" s="34" t="n">
        <v>0</v>
      </c>
      <c r="G70" s="34" t="n">
        <v>0</v>
      </c>
      <c r="H70" s="34" t="n">
        <v>0</v>
      </c>
      <c r="I70" s="34" t="n">
        <v>0</v>
      </c>
      <c r="J70" s="34" t="n">
        <v>0</v>
      </c>
      <c r="K70" s="34" t="n">
        <v>0</v>
      </c>
      <c r="L70" s="34" t="n">
        <v>0</v>
      </c>
      <c r="M70" s="34" t="n">
        <v>0</v>
      </c>
      <c r="N70" s="34" t="n">
        <v>0</v>
      </c>
      <c r="O70" s="34" t="n">
        <v>0</v>
      </c>
      <c r="P70" s="34" t="n">
        <v>0</v>
      </c>
      <c r="Q70" s="34" t="n">
        <v>0</v>
      </c>
      <c r="R70" s="34" t="n">
        <v>0</v>
      </c>
      <c r="S70" s="34" t="n">
        <v>0</v>
      </c>
      <c r="T70" s="34" t="n">
        <v>0</v>
      </c>
      <c r="U70" s="34" t="n">
        <v>0</v>
      </c>
      <c r="V70" s="34" t="n">
        <v>0</v>
      </c>
      <c r="W70" s="34" t="n">
        <v>0</v>
      </c>
      <c r="X70" s="117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34">
        <f>D48</f>
        <v/>
      </c>
      <c r="E71" s="34">
        <f>E48</f>
        <v/>
      </c>
      <c r="F71" s="34">
        <f>F48</f>
        <v/>
      </c>
      <c r="G71" s="34">
        <f>G48</f>
        <v/>
      </c>
      <c r="H71" s="34">
        <f>H48</f>
        <v/>
      </c>
      <c r="I71" s="34">
        <f>I48</f>
        <v/>
      </c>
      <c r="J71" s="34">
        <f>J48</f>
        <v/>
      </c>
      <c r="K71" s="34">
        <f>K48</f>
        <v/>
      </c>
      <c r="L71" s="34">
        <f>L48</f>
        <v/>
      </c>
      <c r="M71" s="34">
        <f>M48</f>
        <v/>
      </c>
      <c r="N71" s="34">
        <f>N48</f>
        <v/>
      </c>
      <c r="O71" s="34">
        <f>O48</f>
        <v/>
      </c>
      <c r="P71" s="34">
        <f>P48</f>
        <v/>
      </c>
      <c r="Q71" s="34">
        <f>Q48</f>
        <v/>
      </c>
      <c r="R71" s="34">
        <f>R48</f>
        <v/>
      </c>
      <c r="S71" s="34">
        <f>S48</f>
        <v/>
      </c>
      <c r="T71" s="34">
        <f>T48</f>
        <v/>
      </c>
      <c r="U71" s="34">
        <f>U48</f>
        <v/>
      </c>
      <c r="V71" s="34">
        <f>V48</f>
        <v/>
      </c>
      <c r="W71" s="34">
        <f>W48</f>
        <v/>
      </c>
      <c r="X71" s="117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34">
        <f>D49</f>
        <v/>
      </c>
      <c r="E72" s="34">
        <f>E49</f>
        <v/>
      </c>
      <c r="F72" s="34">
        <f>F49</f>
        <v/>
      </c>
      <c r="G72" s="34">
        <f>G49</f>
        <v/>
      </c>
      <c r="H72" s="34">
        <f>H49</f>
        <v/>
      </c>
      <c r="I72" s="34">
        <f>I49</f>
        <v/>
      </c>
      <c r="J72" s="34">
        <f>J49</f>
        <v/>
      </c>
      <c r="K72" s="34">
        <f>K49</f>
        <v/>
      </c>
      <c r="L72" s="34">
        <f>L49</f>
        <v/>
      </c>
      <c r="M72" s="34">
        <f>M49</f>
        <v/>
      </c>
      <c r="N72" s="34">
        <f>N49</f>
        <v/>
      </c>
      <c r="O72" s="34">
        <f>O49</f>
        <v/>
      </c>
      <c r="P72" s="34">
        <f>P49</f>
        <v/>
      </c>
      <c r="Q72" s="34">
        <f>Q49</f>
        <v/>
      </c>
      <c r="R72" s="34">
        <f>R49</f>
        <v/>
      </c>
      <c r="S72" s="34">
        <f>S49</f>
        <v/>
      </c>
      <c r="T72" s="34">
        <f>T49</f>
        <v/>
      </c>
      <c r="U72" s="34">
        <f>U49</f>
        <v/>
      </c>
      <c r="V72" s="34">
        <f>V49</f>
        <v/>
      </c>
      <c r="W72" s="34">
        <f>W49</f>
        <v/>
      </c>
      <c r="X72" s="117" t="n"/>
    </row>
    <row r="73" ht="18.75" customHeight="1">
      <c r="B73" s="32" t="inlineStr">
        <is>
          <t>Outflow : 模組回收費</t>
        </is>
      </c>
      <c r="C73" s="27" t="n"/>
      <c r="D73" s="34">
        <f>D50</f>
        <v/>
      </c>
      <c r="E73" s="34">
        <f>E50</f>
        <v/>
      </c>
      <c r="F73" s="34">
        <f>F50</f>
        <v/>
      </c>
      <c r="G73" s="34">
        <f>G50</f>
        <v/>
      </c>
      <c r="H73" s="34">
        <f>H50</f>
        <v/>
      </c>
      <c r="I73" s="34">
        <f>I50</f>
        <v/>
      </c>
      <c r="J73" s="34">
        <f>J50</f>
        <v/>
      </c>
      <c r="K73" s="34">
        <f>K50</f>
        <v/>
      </c>
      <c r="L73" s="34">
        <f>L50</f>
        <v/>
      </c>
      <c r="M73" s="34">
        <f>M50</f>
        <v/>
      </c>
      <c r="N73" s="34">
        <f>N50</f>
        <v/>
      </c>
      <c r="O73" s="34">
        <f>O50</f>
        <v/>
      </c>
      <c r="P73" s="34">
        <f>P50</f>
        <v/>
      </c>
      <c r="Q73" s="34">
        <f>Q50</f>
        <v/>
      </c>
      <c r="R73" s="34">
        <f>R50</f>
        <v/>
      </c>
      <c r="S73" s="34">
        <f>S50</f>
        <v/>
      </c>
      <c r="T73" s="34">
        <f>T50</f>
        <v/>
      </c>
      <c r="U73" s="34">
        <f>U50</f>
        <v/>
      </c>
      <c r="V73" s="34">
        <f>V50</f>
        <v/>
      </c>
      <c r="W73" s="34">
        <f>W50</f>
        <v/>
      </c>
      <c r="X73" s="117" t="n"/>
    </row>
    <row r="74" ht="18.75" customHeight="1">
      <c r="B74" s="32" t="inlineStr">
        <is>
          <t>Outflow : 其它費用(人事薪資…等)</t>
        </is>
      </c>
      <c r="C74" s="35" t="n"/>
      <c r="D74" s="53" t="n"/>
      <c r="E74" s="54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7" t="n"/>
    </row>
    <row r="75" ht="18.75" customHeight="1">
      <c r="B75" s="32" t="inlineStr">
        <is>
          <t>1%管理費</t>
        </is>
      </c>
      <c r="C75" s="35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7" t="n"/>
    </row>
    <row r="76" ht="18.75" customHeight="1">
      <c r="B76" s="37" t="inlineStr">
        <is>
          <t>稅前淨利</t>
        </is>
      </c>
      <c r="C76" s="55" t="n"/>
      <c r="D76" s="39">
        <f>SUM(D64:D75)</f>
        <v/>
      </c>
      <c r="E76" s="39">
        <f>SUM(E64:E75)</f>
        <v/>
      </c>
      <c r="F76" s="39">
        <f>SUM(F64:F75)</f>
        <v/>
      </c>
      <c r="G76" s="39">
        <f>SUM(G64:G75)</f>
        <v/>
      </c>
      <c r="H76" s="39">
        <f>SUM(H64:H75)</f>
        <v/>
      </c>
      <c r="I76" s="39">
        <f>SUM(I64:I75)</f>
        <v/>
      </c>
      <c r="J76" s="39">
        <f>SUM(J64:J75)</f>
        <v/>
      </c>
      <c r="K76" s="39">
        <f>SUM(K64:K75)</f>
        <v/>
      </c>
      <c r="L76" s="39">
        <f>SUM(L64:L75)</f>
        <v/>
      </c>
      <c r="M76" s="39">
        <f>SUM(M64:M75)</f>
        <v/>
      </c>
      <c r="N76" s="39">
        <f>SUM(N64:N75)</f>
        <v/>
      </c>
      <c r="O76" s="39">
        <f>SUM(O64:O75)</f>
        <v/>
      </c>
      <c r="P76" s="39">
        <f>SUM(P64:P75)</f>
        <v/>
      </c>
      <c r="Q76" s="39">
        <f>SUM(Q64:Q75)</f>
        <v/>
      </c>
      <c r="R76" s="39">
        <f>SUM(R64:R75)</f>
        <v/>
      </c>
      <c r="S76" s="39">
        <f>SUM(S64:S75)</f>
        <v/>
      </c>
      <c r="T76" s="39">
        <f>SUM(T64:T75)</f>
        <v/>
      </c>
      <c r="U76" s="39">
        <f>SUM(U64:U75)</f>
        <v/>
      </c>
      <c r="V76" s="39">
        <f>SUM(V64:V75)</f>
        <v/>
      </c>
      <c r="W76" s="39">
        <f>SUM(W64:W75)</f>
        <v/>
      </c>
      <c r="X76" s="39">
        <f>SUM(X64:X75)</f>
        <v/>
      </c>
    </row>
    <row r="77" ht="18.75" customHeight="1">
      <c r="B77" s="36" t="inlineStr">
        <is>
          <t>所得稅20%</t>
        </is>
      </c>
      <c r="C77" s="35" t="n"/>
      <c r="D77" s="34">
        <f>-D76*0.2</f>
        <v/>
      </c>
      <c r="E77" s="34">
        <f>-E76*0.2</f>
        <v/>
      </c>
      <c r="F77" s="34">
        <f>-F76*0.2</f>
        <v/>
      </c>
      <c r="G77" s="34">
        <f>-G76*0.2</f>
        <v/>
      </c>
      <c r="H77" s="34">
        <f>-H76*0.2</f>
        <v/>
      </c>
      <c r="I77" s="34">
        <f>-I76*0.2</f>
        <v/>
      </c>
      <c r="J77" s="34">
        <f>-J76*0.2</f>
        <v/>
      </c>
      <c r="K77" s="34">
        <f>-K76*0.2</f>
        <v/>
      </c>
      <c r="L77" s="34">
        <f>-L76*0.2</f>
        <v/>
      </c>
      <c r="M77" s="34">
        <f>-M76*0.2</f>
        <v/>
      </c>
      <c r="N77" s="34">
        <f>-N76*0.2</f>
        <v/>
      </c>
      <c r="O77" s="34">
        <f>-O76*0.2</f>
        <v/>
      </c>
      <c r="P77" s="34">
        <f>-P76*0.2</f>
        <v/>
      </c>
      <c r="Q77" s="34">
        <f>-Q76*0.2</f>
        <v/>
      </c>
      <c r="R77" s="34">
        <f>-R76*0.2</f>
        <v/>
      </c>
      <c r="S77" s="34">
        <f>-S76*0.2</f>
        <v/>
      </c>
      <c r="T77" s="34">
        <f>-T76*0.2</f>
        <v/>
      </c>
      <c r="U77" s="34">
        <f>-U76*0.2</f>
        <v/>
      </c>
      <c r="V77" s="34">
        <f>-V76*0.2</f>
        <v/>
      </c>
      <c r="W77" s="34">
        <f>-W76*0.2</f>
        <v/>
      </c>
      <c r="X77" s="34">
        <f>-X76*0.2</f>
        <v/>
      </c>
    </row>
    <row r="78">
      <c r="B78" s="56" t="inlineStr">
        <is>
          <t>稅後淨利</t>
        </is>
      </c>
      <c r="D78" s="34">
        <f>SUM(D76:D77)</f>
        <v/>
      </c>
      <c r="E78" s="34">
        <f>SUM(E76:E77)</f>
        <v/>
      </c>
      <c r="F78" s="34">
        <f>SUM(F76:F77)</f>
        <v/>
      </c>
      <c r="G78" s="34">
        <f>SUM(G76:G77)</f>
        <v/>
      </c>
      <c r="H78" s="34">
        <f>SUM(H76:H77)</f>
        <v/>
      </c>
      <c r="I78" s="34">
        <f>SUM(I76:I77)</f>
        <v/>
      </c>
      <c r="J78" s="34">
        <f>SUM(J76:J77)</f>
        <v/>
      </c>
      <c r="K78" s="34">
        <f>SUM(K76:K77)</f>
        <v/>
      </c>
      <c r="L78" s="34">
        <f>SUM(L76:L77)</f>
        <v/>
      </c>
      <c r="M78" s="34">
        <f>SUM(M76:M77)</f>
        <v/>
      </c>
      <c r="N78" s="34">
        <f>SUM(N76:N77)</f>
        <v/>
      </c>
      <c r="O78" s="34">
        <f>SUM(O76:O77)</f>
        <v/>
      </c>
      <c r="P78" s="34">
        <f>SUM(P76:P77)</f>
        <v/>
      </c>
      <c r="Q78" s="34">
        <f>SUM(Q76:Q77)</f>
        <v/>
      </c>
      <c r="R78" s="34">
        <f>SUM(R76:R77)</f>
        <v/>
      </c>
      <c r="S78" s="34">
        <f>SUM(S76:S77)</f>
        <v/>
      </c>
      <c r="T78" s="34">
        <f>SUM(T76:T77)</f>
        <v/>
      </c>
      <c r="U78" s="34">
        <f>SUM(U76:U77)</f>
        <v/>
      </c>
      <c r="V78" s="34">
        <f>SUM(V76:V77)</f>
        <v/>
      </c>
      <c r="W78" s="34">
        <f>SUM(W76:W77)</f>
        <v/>
      </c>
      <c r="X78" s="34">
        <f>SUM(X76:X77)</f>
        <v/>
      </c>
    </row>
    <row r="79" ht="18.75" customHeight="1">
      <c r="B79" s="40" t="inlineStr">
        <is>
          <t>累計現金流</t>
        </is>
      </c>
      <c r="C79" s="57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124" t="n"/>
    </row>
    <row r="80" ht="18.75" customHeight="1">
      <c r="B80" s="59" t="inlineStr">
        <is>
          <t>回收年限評估</t>
        </is>
      </c>
      <c r="C80" s="60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125" t="n"/>
    </row>
    <row r="81" ht="18.75" customHeight="1">
      <c r="B81" s="49" t="n"/>
      <c r="C81" s="48" t="n"/>
      <c r="D81" s="48" t="n"/>
      <c r="E81" s="48" t="n"/>
      <c r="F81" s="49" t="n"/>
      <c r="G81" s="49" t="n"/>
      <c r="H81" s="49" t="n"/>
      <c r="I81" s="49" t="n"/>
      <c r="J81" s="49" t="n"/>
      <c r="K81" s="49" t="n"/>
      <c r="L81" s="49" t="n"/>
      <c r="M81" s="48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2026-03-02T16:24:29Z</dcterms:created>
  <dcterms:modified xsi:type="dcterms:W3CDTF">2026-03-02T16:24:36Z</dcterms:modified>
</cp:coreProperties>
</file>