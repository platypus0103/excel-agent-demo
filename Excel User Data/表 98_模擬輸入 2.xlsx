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0953\Desktop\信邦_財模資料\"/>
    </mc:Choice>
  </mc:AlternateContent>
  <xr:revisionPtr revIDLastSave="0" documentId="13_ncr:1_{C9A6C6FF-C643-4772-89DC-0707A3D16E5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1" i="2" l="1"/>
  <c r="U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U89" i="2"/>
  <c r="B84" i="2"/>
  <c r="B86" i="2" s="1"/>
  <c r="C85" i="2" s="1"/>
  <c r="C79" i="2"/>
  <c r="C89" i="2" s="1"/>
  <c r="B90" i="2" s="1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7" i="2"/>
  <c r="C94" i="2" s="1"/>
  <c r="D94" i="2" s="1"/>
  <c r="E94" i="2" s="1"/>
  <c r="F94" i="2" s="1"/>
  <c r="G94" i="2" s="1"/>
  <c r="H94" i="2" s="1"/>
  <c r="I94" i="2" s="1"/>
  <c r="J94" i="2" s="1"/>
  <c r="K94" i="2" s="1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V70" i="2"/>
  <c r="V72" i="2" s="1"/>
  <c r="V84" i="2" s="1"/>
  <c r="U70" i="2"/>
  <c r="V80" i="2" s="1"/>
  <c r="V89" i="2" s="1"/>
  <c r="T70" i="2"/>
  <c r="T72" i="2" s="1"/>
  <c r="T84" i="2" s="1"/>
  <c r="S70" i="2"/>
  <c r="T80" i="2" s="1"/>
  <c r="R70" i="2"/>
  <c r="S80" i="2" s="1"/>
  <c r="Q70" i="2"/>
  <c r="R80" i="2" s="1"/>
  <c r="P70" i="2"/>
  <c r="Q80" i="2" s="1"/>
  <c r="O70" i="2"/>
  <c r="P80" i="2" s="1"/>
  <c r="P89" i="2" s="1"/>
  <c r="N70" i="2"/>
  <c r="O80" i="2" s="1"/>
  <c r="O89" i="2" s="1"/>
  <c r="M70" i="2"/>
  <c r="N80" i="2" s="1"/>
  <c r="N89" i="2" s="1"/>
  <c r="L70" i="2"/>
  <c r="M80" i="2" s="1"/>
  <c r="M89" i="2" s="1"/>
  <c r="K70" i="2"/>
  <c r="L80" i="2" s="1"/>
  <c r="L89" i="2" s="1"/>
  <c r="J70" i="2"/>
  <c r="J72" i="2" s="1"/>
  <c r="J84" i="2" s="1"/>
  <c r="I70" i="2"/>
  <c r="I72" i="2" s="1"/>
  <c r="I84" i="2" s="1"/>
  <c r="H70" i="2"/>
  <c r="H72" i="2" s="1"/>
  <c r="H84" i="2" s="1"/>
  <c r="G70" i="2"/>
  <c r="G72" i="2" s="1"/>
  <c r="G84" i="2" s="1"/>
  <c r="F70" i="2"/>
  <c r="F72" i="2" s="1"/>
  <c r="F84" i="2" s="1"/>
  <c r="E70" i="2"/>
  <c r="F80" i="2" s="1"/>
  <c r="F89" i="2" s="1"/>
  <c r="D70" i="2"/>
  <c r="D72" i="2" s="1"/>
  <c r="D84" i="2" s="1"/>
  <c r="C70" i="2"/>
  <c r="C72" i="2" s="1"/>
  <c r="C84" i="2" s="1"/>
  <c r="H56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4" i="2"/>
  <c r="C74" i="2" s="1"/>
  <c r="V41" i="2"/>
  <c r="V56" i="2" s="1"/>
  <c r="U41" i="2"/>
  <c r="U51" i="2" s="1"/>
  <c r="T41" i="2"/>
  <c r="T51" i="2" s="1"/>
  <c r="S41" i="2"/>
  <c r="S51" i="2" s="1"/>
  <c r="R41" i="2"/>
  <c r="R51" i="2" s="1"/>
  <c r="Q41" i="2"/>
  <c r="Q51" i="2" s="1"/>
  <c r="P41" i="2"/>
  <c r="P56" i="2" s="1"/>
  <c r="O41" i="2"/>
  <c r="O51" i="2" s="1"/>
  <c r="N41" i="2"/>
  <c r="N56" i="2" s="1"/>
  <c r="M41" i="2"/>
  <c r="M56" i="2" s="1"/>
  <c r="L41" i="2"/>
  <c r="L56" i="2" s="1"/>
  <c r="K41" i="2"/>
  <c r="K56" i="2" s="1"/>
  <c r="J41" i="2"/>
  <c r="J56" i="2" s="1"/>
  <c r="I41" i="2"/>
  <c r="I51" i="2" s="1"/>
  <c r="H41" i="2"/>
  <c r="H51" i="2" s="1"/>
  <c r="G41" i="2"/>
  <c r="G51" i="2" s="1"/>
  <c r="F41" i="2"/>
  <c r="F51" i="2" s="1"/>
  <c r="E41" i="2"/>
  <c r="E51" i="2" s="1"/>
  <c r="D41" i="2"/>
  <c r="D56" i="2" s="1"/>
  <c r="C41" i="2"/>
  <c r="C56" i="2" s="1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K72" i="2" l="1"/>
  <c r="K84" i="2" s="1"/>
  <c r="I56" i="2"/>
  <c r="O56" i="2"/>
  <c r="Q56" i="2"/>
  <c r="L94" i="2"/>
  <c r="M94" i="2" s="1"/>
  <c r="S72" i="2"/>
  <c r="S84" i="2" s="1"/>
  <c r="N94" i="2"/>
  <c r="O94" i="2" s="1"/>
  <c r="P94" i="2" s="1"/>
  <c r="Q94" i="2" s="1"/>
  <c r="R94" i="2" s="1"/>
  <c r="E56" i="2"/>
  <c r="R81" i="2"/>
  <c r="P72" i="2"/>
  <c r="P84" i="2" s="1"/>
  <c r="Q72" i="2"/>
  <c r="Q84" i="2" s="1"/>
  <c r="U72" i="2"/>
  <c r="U84" i="2" s="1"/>
  <c r="O72" i="2"/>
  <c r="O84" i="2" s="1"/>
  <c r="V51" i="2"/>
  <c r="J51" i="2"/>
  <c r="P51" i="2"/>
  <c r="F56" i="2"/>
  <c r="L72" i="2"/>
  <c r="L84" i="2" s="1"/>
  <c r="M72" i="2"/>
  <c r="M84" i="2" s="1"/>
  <c r="N72" i="2"/>
  <c r="N84" i="2" s="1"/>
  <c r="T56" i="2"/>
  <c r="U56" i="2"/>
  <c r="R72" i="2"/>
  <c r="R84" i="2" s="1"/>
  <c r="Q81" i="2"/>
  <c r="Q91" i="2" s="1"/>
  <c r="R89" i="2"/>
  <c r="S81" i="2"/>
  <c r="S91" i="2" s="1"/>
  <c r="C86" i="2"/>
  <c r="D85" i="2" s="1"/>
  <c r="D86" i="2" s="1"/>
  <c r="E85" i="2" s="1"/>
  <c r="R91" i="2"/>
  <c r="K51" i="2"/>
  <c r="R56" i="2"/>
  <c r="T81" i="2"/>
  <c r="T91" i="2" s="1"/>
  <c r="L51" i="2"/>
  <c r="S56" i="2"/>
  <c r="M51" i="2"/>
  <c r="N51" i="2"/>
  <c r="D80" i="2"/>
  <c r="D89" i="2" s="1"/>
  <c r="E80" i="2"/>
  <c r="E89" i="2" s="1"/>
  <c r="G80" i="2"/>
  <c r="G89" i="2" s="1"/>
  <c r="H80" i="2"/>
  <c r="H89" i="2" s="1"/>
  <c r="B56" i="2"/>
  <c r="C57" i="2" s="1"/>
  <c r="I80" i="2"/>
  <c r="I89" i="2" s="1"/>
  <c r="C91" i="2"/>
  <c r="B92" i="2" s="1"/>
  <c r="J80" i="2"/>
  <c r="J89" i="2" s="1"/>
  <c r="K80" i="2"/>
  <c r="K89" i="2" s="1"/>
  <c r="G56" i="2"/>
  <c r="E72" i="2"/>
  <c r="E84" i="2" s="1"/>
  <c r="T89" i="2" l="1"/>
  <c r="S89" i="2"/>
  <c r="E86" i="2"/>
  <c r="F85" i="2" s="1"/>
  <c r="F86" i="2" s="1"/>
  <c r="G85" i="2" s="1"/>
  <c r="G86" i="2" s="1"/>
  <c r="H85" i="2" s="1"/>
  <c r="H86" i="2" s="1"/>
  <c r="I85" i="2" s="1"/>
  <c r="I86" i="2" s="1"/>
  <c r="J85" i="2" s="1"/>
  <c r="J86" i="2" s="1"/>
  <c r="K85" i="2" s="1"/>
  <c r="K86" i="2" s="1"/>
  <c r="L85" i="2" s="1"/>
  <c r="L86" i="2" s="1"/>
  <c r="M85" i="2" s="1"/>
  <c r="M86" i="2" s="1"/>
  <c r="N85" i="2" s="1"/>
  <c r="N86" i="2" s="1"/>
  <c r="O85" i="2" s="1"/>
  <c r="O86" i="2" s="1"/>
  <c r="P85" i="2" s="1"/>
  <c r="P86" i="2" s="1"/>
  <c r="Q85" i="2" s="1"/>
  <c r="Q86" i="2" s="1"/>
  <c r="R85" i="2" s="1"/>
  <c r="R86" i="2" s="1"/>
  <c r="S85" i="2" s="1"/>
  <c r="S86" i="2" s="1"/>
  <c r="T85" i="2" s="1"/>
  <c r="T86" i="2" s="1"/>
  <c r="Q89" i="2"/>
  <c r="D57" i="2"/>
  <c r="C63" i="2"/>
  <c r="E57" i="2" l="1"/>
  <c r="D63" i="2"/>
  <c r="E63" i="2" l="1"/>
  <c r="F57" i="2"/>
  <c r="F63" i="2" l="1"/>
  <c r="G57" i="2"/>
  <c r="H57" i="2" l="1"/>
  <c r="G63" i="2"/>
  <c r="I57" i="2" l="1"/>
  <c r="H63" i="2"/>
  <c r="I63" i="2" l="1"/>
  <c r="J57" i="2"/>
  <c r="J63" i="2" l="1"/>
  <c r="K57" i="2"/>
  <c r="K63" i="2" l="1"/>
  <c r="L57" i="2"/>
  <c r="L63" i="2" l="1"/>
  <c r="M57" i="2"/>
  <c r="M63" i="2" l="1"/>
  <c r="N57" i="2"/>
  <c r="N63" i="2" l="1"/>
  <c r="O57" i="2"/>
  <c r="O63" i="2" l="1"/>
  <c r="P57" i="2"/>
  <c r="P63" i="2" l="1"/>
  <c r="Q57" i="2"/>
  <c r="Q63" i="2" l="1"/>
  <c r="R57" i="2"/>
  <c r="R63" i="2" l="1"/>
  <c r="S57" i="2"/>
  <c r="S63" i="2" l="1"/>
  <c r="T57" i="2"/>
  <c r="T63" i="2" l="1"/>
  <c r="U57" i="2"/>
  <c r="U63" i="2" l="1"/>
  <c r="V57" i="2"/>
  <c r="V63" i="2" s="1"/>
</calcChain>
</file>

<file path=xl/sharedStrings.xml><?xml version="1.0" encoding="utf-8"?>
<sst xmlns="http://schemas.openxmlformats.org/spreadsheetml/2006/main" count="152" uniqueCount="94">
  <si>
    <t>電站基本資料</t>
    <phoneticPr fontId="3" type="noConversion"/>
  </si>
  <si>
    <t>電站名稱</t>
    <phoneticPr fontId="3" type="noConversion"/>
  </si>
  <si>
    <r>
      <rPr>
        <sz val="12"/>
        <color theme="1"/>
        <rFont val="微軟正黑體"/>
        <family val="2"/>
        <charset val="136"/>
      </rPr>
      <t>淡江大學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財務模擬案場</t>
    </r>
    <phoneticPr fontId="3" type="noConversion"/>
  </si>
  <si>
    <t>-</t>
    <phoneticPr fontId="3" type="noConversion"/>
  </si>
  <si>
    <t>電站壽命</t>
    <phoneticPr fontId="3" type="noConversion"/>
  </si>
  <si>
    <t>建置量(kWp)</t>
    <phoneticPr fontId="3" type="noConversion"/>
  </si>
  <si>
    <r>
      <rPr>
        <sz val="12"/>
        <color theme="1"/>
        <rFont val="微軟正黑體"/>
        <family val="2"/>
        <charset val="136"/>
      </rPr>
      <t>起始年度</t>
    </r>
    <phoneticPr fontId="3" type="noConversion"/>
  </si>
  <si>
    <r>
      <rPr>
        <sz val="12"/>
        <color theme="1"/>
        <rFont val="微軟正黑體"/>
        <family val="2"/>
        <charset val="136"/>
      </rPr>
      <t>結束年度</t>
    </r>
    <phoneticPr fontId="3" type="noConversion"/>
  </si>
  <si>
    <r>
      <rPr>
        <b/>
        <sz val="12"/>
        <color theme="0"/>
        <rFont val="微軟正黑體"/>
        <family val="2"/>
        <charset val="136"/>
      </rPr>
      <t>綜合損益表</t>
    </r>
    <phoneticPr fontId="3" type="noConversion"/>
  </si>
  <si>
    <r>
      <rPr>
        <sz val="12"/>
        <color theme="1"/>
        <rFont val="微軟正黑體"/>
        <family val="2"/>
        <charset val="136"/>
      </rPr>
      <t>收入</t>
    </r>
    <phoneticPr fontId="3" type="noConversion"/>
  </si>
  <si>
    <r>
      <rPr>
        <sz val="12"/>
        <color theme="1"/>
        <rFont val="微軟正黑體"/>
        <family val="2"/>
        <charset val="136"/>
      </rPr>
      <t>收支項目</t>
    </r>
    <phoneticPr fontId="3" type="noConversion"/>
  </si>
  <si>
    <r>
      <rPr>
        <sz val="12"/>
        <color theme="1"/>
        <rFont val="微軟正黑體"/>
        <family val="2"/>
        <charset val="136"/>
      </rPr>
      <t>相關參數</t>
    </r>
    <phoneticPr fontId="3" type="noConversion"/>
  </si>
  <si>
    <r>
      <rPr>
        <sz val="12"/>
        <color theme="1"/>
        <rFont val="微軟正黑體"/>
        <family val="2"/>
        <charset val="136"/>
      </rPr>
      <t>參數數值</t>
    </r>
    <phoneticPr fontId="3" type="noConversion"/>
  </si>
  <si>
    <t>年限</t>
    <phoneticPr fontId="3" type="noConversion"/>
  </si>
  <si>
    <r>
      <rPr>
        <sz val="12"/>
        <color theme="1"/>
        <rFont val="微軟正黑體"/>
        <family val="2"/>
        <charset val="136"/>
      </rPr>
      <t>電費收入</t>
    </r>
    <phoneticPr fontId="3" type="noConversion"/>
  </si>
  <si>
    <r>
      <rPr>
        <sz val="12"/>
        <color theme="1"/>
        <rFont val="微軟正黑體"/>
        <family val="2"/>
        <charset val="136"/>
      </rPr>
      <t>年度</t>
    </r>
    <r>
      <rPr>
        <sz val="12"/>
        <color theme="1"/>
        <rFont val="Calibri"/>
        <family val="2"/>
      </rPr>
      <t>AC</t>
    </r>
    <r>
      <rPr>
        <sz val="12"/>
        <color theme="1"/>
        <rFont val="微軟正黑體"/>
        <family val="2"/>
        <charset val="136"/>
      </rPr>
      <t>併網總發電量</t>
    </r>
    <phoneticPr fontId="3" type="noConversion"/>
  </si>
  <si>
    <r>
      <rPr>
        <sz val="12"/>
        <color theme="1"/>
        <rFont val="微軟正黑體"/>
        <family val="2"/>
        <charset val="136"/>
      </rPr>
      <t>首年衰退率</t>
    </r>
    <phoneticPr fontId="3" type="noConversion"/>
  </si>
  <si>
    <r>
      <rPr>
        <sz val="12"/>
        <color theme="1"/>
        <rFont val="微軟正黑體"/>
        <family val="2"/>
        <charset val="136"/>
      </rPr>
      <t>次年衰退率</t>
    </r>
    <phoneticPr fontId="3" type="noConversion"/>
  </si>
  <si>
    <r>
      <rPr>
        <sz val="12"/>
        <color theme="1"/>
        <rFont val="微軟正黑體"/>
        <family val="2"/>
        <charset val="136"/>
      </rPr>
      <t>躉售費率</t>
    </r>
    <r>
      <rPr>
        <sz val="12"/>
        <color theme="1"/>
        <rFont val="Calibri"/>
        <family val="2"/>
      </rPr>
      <t>(FIT)</t>
    </r>
    <phoneticPr fontId="3" type="noConversion"/>
  </si>
  <si>
    <r>
      <rPr>
        <sz val="12"/>
        <color theme="1"/>
        <rFont val="微軟正黑體"/>
        <family val="2"/>
        <charset val="136"/>
      </rPr>
      <t>支出</t>
    </r>
    <phoneticPr fontId="3" type="noConversion"/>
  </si>
  <si>
    <r>
      <rPr>
        <sz val="12"/>
        <color theme="1"/>
        <rFont val="微軟正黑體"/>
        <family val="2"/>
        <charset val="136"/>
      </rPr>
      <t>攤提年限</t>
    </r>
    <phoneticPr fontId="3" type="noConversion"/>
  </si>
  <si>
    <r>
      <rPr>
        <sz val="12"/>
        <color theme="1"/>
        <rFont val="微軟正黑體"/>
        <family val="2"/>
        <charset val="136"/>
      </rPr>
      <t>設備費用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價金</t>
    </r>
    <r>
      <rPr>
        <sz val="12"/>
        <color theme="1"/>
        <rFont val="Calibri"/>
        <family val="2"/>
      </rPr>
      <t>)</t>
    </r>
    <phoneticPr fontId="3" type="noConversion"/>
  </si>
  <si>
    <t>每kWp設備成本</t>
    <phoneticPr fontId="3" type="noConversion"/>
  </si>
  <si>
    <r>
      <rPr>
        <sz val="12"/>
        <color theme="1"/>
        <rFont val="微軟正黑體"/>
        <family val="2"/>
        <charset val="136"/>
      </rPr>
      <t>信邦利潤率</t>
    </r>
    <phoneticPr fontId="3" type="noConversion"/>
  </si>
  <si>
    <r>
      <rPr>
        <sz val="12"/>
        <color theme="1"/>
        <rFont val="微軟正黑體"/>
        <family val="2"/>
        <charset val="136"/>
      </rPr>
      <t>開發費</t>
    </r>
    <phoneticPr fontId="3" type="noConversion"/>
  </si>
  <si>
    <r>
      <rPr>
        <sz val="12"/>
        <color theme="1"/>
        <rFont val="微軟正黑體"/>
        <family val="2"/>
        <charset val="136"/>
      </rPr>
      <t>租金費用</t>
    </r>
    <phoneticPr fontId="3" type="noConversion"/>
  </si>
  <si>
    <t>租金計算方式
(1=固定攤提/2=電費抽成)</t>
    <phoneticPr fontId="3" type="noConversion"/>
  </si>
  <si>
    <t>【方式1參數】租金總額</t>
  </si>
  <si>
    <r>
      <rPr>
        <sz val="12"/>
        <color theme="1"/>
        <rFont val="微軟正黑體"/>
        <family val="2"/>
        <charset val="136"/>
      </rPr>
      <t>【方式</t>
    </r>
    <r>
      <rPr>
        <sz val="12"/>
        <color theme="1"/>
        <rFont val="Calibri"/>
        <family val="2"/>
      </rPr>
      <t>2</t>
    </r>
    <r>
      <rPr>
        <sz val="12"/>
        <color theme="1"/>
        <rFont val="微軟正黑體"/>
        <family val="2"/>
        <charset val="136"/>
      </rPr>
      <t>參數】抽成比率</t>
    </r>
    <phoneticPr fontId="3" type="noConversion"/>
  </si>
  <si>
    <r>
      <rPr>
        <sz val="12"/>
        <color theme="1"/>
        <rFont val="微軟正黑體"/>
        <family val="2"/>
        <charset val="136"/>
      </rPr>
      <t>運維費用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</si>
  <si>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運維成本</t>
    </r>
    <phoneticPr fontId="3" type="noConversion"/>
  </si>
  <si>
    <r>
      <rPr>
        <sz val="12"/>
        <color theme="1"/>
        <rFont val="微軟正黑體"/>
        <family val="2"/>
        <charset val="136"/>
      </rPr>
      <t>保險費用</t>
    </r>
    <phoneticPr fontId="3" type="noConversion"/>
  </si>
  <si>
    <t>占整體設備費用比例</t>
    <phoneticPr fontId="3" type="noConversion"/>
  </si>
  <si>
    <r>
      <rPr>
        <sz val="12"/>
        <color theme="1"/>
        <rFont val="微軟正黑體"/>
        <family val="2"/>
        <charset val="136"/>
      </rPr>
      <t>模組回收費用</t>
    </r>
    <phoneticPr fontId="3" type="noConversion"/>
  </si>
  <si>
    <r>
      <rPr>
        <sz val="12"/>
        <color theme="1"/>
        <rFont val="微軟正黑體"/>
        <family val="2"/>
        <charset val="136"/>
      </rPr>
      <t>每</t>
    </r>
    <r>
      <rPr>
        <sz val="12"/>
        <color theme="1"/>
        <rFont val="Calibri"/>
        <family val="2"/>
      </rPr>
      <t>kw</t>
    </r>
    <r>
      <rPr>
        <sz val="12"/>
        <color theme="1"/>
        <rFont val="微軟正黑體"/>
        <family val="2"/>
        <charset val="136"/>
      </rPr>
      <t>模組回收成本</t>
    </r>
    <phoneticPr fontId="3" type="noConversion"/>
  </si>
  <si>
    <r>
      <rPr>
        <sz val="12"/>
        <color theme="1"/>
        <rFont val="微軟正黑體"/>
        <family val="2"/>
        <charset val="136"/>
      </rPr>
      <t>利息費用</t>
    </r>
    <phoneticPr fontId="3" type="noConversion"/>
  </si>
  <si>
    <r>
      <rPr>
        <sz val="12"/>
        <color theme="1"/>
        <rFont val="微軟正黑體"/>
        <family val="2"/>
        <charset val="136"/>
      </rPr>
      <t>銀行利率</t>
    </r>
    <phoneticPr fontId="3" type="noConversion"/>
  </si>
  <si>
    <r>
      <rPr>
        <sz val="12"/>
        <color theme="1"/>
        <rFont val="微軟正黑體"/>
        <family val="2"/>
        <charset val="136"/>
      </rPr>
      <t>所得稅</t>
    </r>
    <phoneticPr fontId="3" type="noConversion"/>
  </si>
  <si>
    <r>
      <rPr>
        <sz val="12"/>
        <color theme="1"/>
        <rFont val="微軟正黑體"/>
        <family val="2"/>
        <charset val="136"/>
      </rPr>
      <t>所得稅率</t>
    </r>
    <phoneticPr fontId="3" type="noConversion"/>
  </si>
  <si>
    <r>
      <rPr>
        <b/>
        <sz val="12"/>
        <color theme="0"/>
        <rFont val="微軟正黑體"/>
        <family val="2"/>
        <charset val="136"/>
      </rPr>
      <t>現金流量表</t>
    </r>
    <phoneticPr fontId="3" type="noConversion"/>
  </si>
  <si>
    <r>
      <rPr>
        <sz val="12"/>
        <color theme="1"/>
        <rFont val="微軟正黑體"/>
        <family val="2"/>
        <charset val="136"/>
      </rPr>
      <t>金流項目</t>
    </r>
    <phoneticPr fontId="3" type="noConversion"/>
  </si>
  <si>
    <t>貸款成數</t>
    <phoneticPr fontId="3" type="noConversion"/>
  </si>
  <si>
    <t>占總設備費用比例</t>
    <phoneticPr fontId="3" type="noConversion"/>
  </si>
  <si>
    <r>
      <rPr>
        <sz val="12"/>
        <color theme="1"/>
        <rFont val="微軟正黑體"/>
        <family val="2"/>
        <charset val="136"/>
      </rPr>
      <t>貸款還款</t>
    </r>
    <phoneticPr fontId="3" type="noConversion"/>
  </si>
  <si>
    <r>
      <rPr>
        <sz val="12"/>
        <color theme="1"/>
        <rFont val="微軟正黑體"/>
        <family val="2"/>
        <charset val="136"/>
      </rPr>
      <t>攤還期數</t>
    </r>
    <phoneticPr fontId="3" type="noConversion"/>
  </si>
  <si>
    <r>
      <rPr>
        <sz val="12"/>
        <color theme="1"/>
        <rFont val="微軟正黑體"/>
        <family val="2"/>
        <charset val="136"/>
      </rPr>
      <t>現金股利</t>
    </r>
    <phoneticPr fontId="3" type="noConversion"/>
  </si>
  <si>
    <r>
      <rPr>
        <sz val="12"/>
        <color theme="1"/>
        <rFont val="微軟正黑體"/>
        <family val="2"/>
        <charset val="136"/>
      </rPr>
      <t>股利比率</t>
    </r>
    <phoneticPr fontId="3" type="noConversion"/>
  </si>
  <si>
    <r>
      <rPr>
        <sz val="12"/>
        <color theme="1"/>
        <rFont val="微軟正黑體"/>
        <family val="2"/>
        <charset val="136"/>
      </rPr>
      <t>年底減資</t>
    </r>
    <phoneticPr fontId="3" type="noConversion"/>
  </si>
  <si>
    <t>-</t>
  </si>
  <si>
    <t>年份</t>
  </si>
  <si>
    <t>手動計算值</t>
  </si>
  <si>
    <t>償還年限</t>
  </si>
  <si>
    <t>(Unit : Currency)</t>
  </si>
  <si>
    <r>
      <rPr>
        <sz val="12"/>
        <color rgb="FF000000"/>
        <rFont val="細明體"/>
        <family val="2"/>
      </rPr>
      <t>發電度數</t>
    </r>
    <r>
      <rPr>
        <sz val="12"/>
        <color rgb="FF000000"/>
        <rFont val="Arial"/>
        <family val="2"/>
      </rPr>
      <t>(KWH)</t>
    </r>
  </si>
  <si>
    <r>
      <t xml:space="preserve">Inflow : </t>
    </r>
    <r>
      <rPr>
        <sz val="12"/>
        <color rgb="FF000000"/>
        <rFont val="細明體"/>
        <family val="2"/>
      </rPr>
      <t>電費收入</t>
    </r>
  </si>
  <si>
    <r>
      <t xml:space="preserve">Inflow : </t>
    </r>
    <r>
      <rPr>
        <sz val="12"/>
        <color rgb="FF000000"/>
        <rFont val="細明體"/>
        <family val="2"/>
      </rPr>
      <t>政府補助</t>
    </r>
  </si>
  <si>
    <r>
      <t xml:space="preserve">Inflow : </t>
    </r>
    <r>
      <rPr>
        <sz val="12"/>
        <color rgb="FF000000"/>
        <rFont val="細明體"/>
        <family val="2"/>
      </rPr>
      <t>銀行借款</t>
    </r>
  </si>
  <si>
    <r>
      <t xml:space="preserve">Outflow : </t>
    </r>
    <r>
      <rPr>
        <sz val="12"/>
        <color rgb="FF000000"/>
        <rFont val="細明體"/>
        <family val="2"/>
      </rPr>
      <t>設備費用</t>
    </r>
  </si>
  <si>
    <r>
      <t xml:space="preserve">Outflow : </t>
    </r>
    <r>
      <rPr>
        <sz val="12"/>
        <color rgb="FF000000"/>
        <rFont val="細明體"/>
        <family val="2"/>
      </rPr>
      <t>設備放置區域租金</t>
    </r>
  </si>
  <si>
    <r>
      <t xml:space="preserve">Outflow : </t>
    </r>
    <r>
      <rPr>
        <sz val="12"/>
        <color rgb="FF000000"/>
        <rFont val="細明體"/>
        <family val="2"/>
      </rPr>
      <t>返還借款</t>
    </r>
  </si>
  <si>
    <r>
      <t xml:space="preserve">Outflow : </t>
    </r>
    <r>
      <rPr>
        <sz val="12"/>
        <color rgb="FF000000"/>
        <rFont val="細明體"/>
        <family val="2"/>
      </rPr>
      <t>利息費用</t>
    </r>
  </si>
  <si>
    <r>
      <t xml:space="preserve">Outflow : </t>
    </r>
    <r>
      <rPr>
        <sz val="12"/>
        <color rgb="FF000000"/>
        <rFont val="細明體"/>
        <family val="2"/>
      </rPr>
      <t>維運費</t>
    </r>
  </si>
  <si>
    <r>
      <t xml:space="preserve">Outflow : </t>
    </r>
    <r>
      <rPr>
        <sz val="12"/>
        <color rgb="FF000000"/>
        <rFont val="細明體"/>
        <family val="2"/>
      </rPr>
      <t>保險費</t>
    </r>
  </si>
  <si>
    <t>Outflow : 模組回收費</t>
  </si>
  <si>
    <r>
      <t xml:space="preserve">Outflow : </t>
    </r>
    <r>
      <rPr>
        <sz val="12"/>
        <color rgb="FF000000"/>
        <rFont val="細明體"/>
        <family val="2"/>
      </rPr>
      <t>其它費用</t>
    </r>
    <r>
      <rPr>
        <sz val="12"/>
        <color rgb="FF000000"/>
        <rFont val="Arial"/>
        <family val="2"/>
      </rPr>
      <t>(</t>
    </r>
    <r>
      <rPr>
        <sz val="12"/>
        <color rgb="FF000000"/>
        <rFont val="細明體"/>
        <family val="2"/>
      </rPr>
      <t>人事薪資</t>
    </r>
    <r>
      <rPr>
        <sz val="12"/>
        <color rgb="FF000000"/>
        <rFont val="Arial"/>
        <family val="2"/>
      </rPr>
      <t>…</t>
    </r>
    <r>
      <rPr>
        <sz val="12"/>
        <color rgb="FF000000"/>
        <rFont val="細明體"/>
        <family val="2"/>
      </rPr>
      <t>等</t>
    </r>
    <r>
      <rPr>
        <sz val="12"/>
        <color rgb="FF000000"/>
        <rFont val="Arial"/>
        <family val="2"/>
      </rPr>
      <t>)</t>
    </r>
  </si>
  <si>
    <r>
      <t>1%</t>
    </r>
    <r>
      <rPr>
        <sz val="12"/>
        <color rgb="FF000000"/>
        <rFont val="細明體"/>
        <family val="2"/>
      </rPr>
      <t>管理費</t>
    </r>
  </si>
  <si>
    <t>績效獎金</t>
  </si>
  <si>
    <r>
      <t>所得稅</t>
    </r>
    <r>
      <rPr>
        <sz val="12"/>
        <color rgb="FF000000"/>
        <rFont val="Arial"/>
        <family val="2"/>
      </rPr>
      <t>20%</t>
    </r>
  </si>
  <si>
    <t>現金流</t>
  </si>
  <si>
    <t>累計現金流</t>
  </si>
  <si>
    <t>Discounted cash flow</t>
  </si>
  <si>
    <t>Minus : Depreciation</t>
  </si>
  <si>
    <t>Plus : Principle payment</t>
  </si>
  <si>
    <t>Profit</t>
  </si>
  <si>
    <t>EPS</t>
  </si>
  <si>
    <t>回收年限評估</t>
  </si>
  <si>
    <t>預估可建置量</t>
  </si>
  <si>
    <t>稅後淨利</t>
  </si>
  <si>
    <t>設備折舊</t>
  </si>
  <si>
    <t>營運活動現金流量</t>
  </si>
  <si>
    <t>投資活動-設備支出</t>
  </si>
  <si>
    <t>理財活動-借款</t>
  </si>
  <si>
    <t>理財活動-還款</t>
  </si>
  <si>
    <t>理財活動-現金增資</t>
  </si>
  <si>
    <t>現金股利</t>
  </si>
  <si>
    <t>年底減資</t>
  </si>
  <si>
    <t>現金淨流入(出 )</t>
  </si>
  <si>
    <t>期初淨現金</t>
  </si>
  <si>
    <t>期未淨現金</t>
  </si>
  <si>
    <t>成本法實際現金流</t>
  </si>
  <si>
    <t>成本法IRR</t>
  </si>
  <si>
    <t>權益法實際現金流</t>
  </si>
  <si>
    <t>權益法IRR</t>
  </si>
  <si>
    <t>借款餘額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</si>
</sst>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%"/>
    <numFmt numFmtId="177" formatCode="#,##0.000"/>
  </numFmts>
  <fonts count="27" x14ac:knownFonts="1">
    <font>
      <sz val="11"/>
      <color theme="1"/>
      <name val="新細明體"/>
      <family val="2"/>
      <scheme val="minor"/>
    </font>
    <font>
      <b/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微軟正黑體"/>
      <family val="2"/>
    </font>
    <font>
      <sz val="12"/>
      <color theme="1"/>
      <name val="新細明體"/>
      <family val="2"/>
    </font>
    <font>
      <sz val="12"/>
      <color rgb="FFFFFFFF"/>
      <name val="新細明體"/>
      <family val="2"/>
    </font>
    <font>
      <b/>
      <sz val="14"/>
      <color theme="1"/>
      <name val="Arial"/>
      <family val="2"/>
    </font>
    <font>
      <b/>
      <sz val="14"/>
      <color theme="1"/>
      <name val="微軟正黑體"/>
      <family val="2"/>
    </font>
    <font>
      <sz val="12"/>
      <color theme="1"/>
      <name val="微軟正黑體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rgb="FF000000"/>
      <name val="細明體"/>
      <family val="2"/>
    </font>
    <font>
      <sz val="12"/>
      <color rgb="FF000080"/>
      <name val="Arial"/>
      <family val="2"/>
    </font>
    <font>
      <sz val="12"/>
      <color rgb="FF000000"/>
      <name val="新細明體"/>
      <family val="2"/>
    </font>
    <font>
      <b/>
      <sz val="12"/>
      <color rgb="FF000000"/>
      <name val="細明體"/>
      <family val="2"/>
    </font>
    <font>
      <b/>
      <sz val="12"/>
      <color theme="1"/>
      <name val="Arial"/>
      <family val="2"/>
    </font>
    <font>
      <b/>
      <sz val="12"/>
      <color rgb="FF993366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新細明體"/>
      <family val="2"/>
    </font>
    <font>
      <b/>
      <sz val="12"/>
      <color theme="1"/>
      <name val="細明體"/>
      <family val="2"/>
    </font>
    <font>
      <sz val="10"/>
      <color rgb="FF000000"/>
      <name val="新細明體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9" fontId="6" fillId="0" borderId="5" xfId="0" applyNumberFormat="1" applyFont="1" applyBorder="1" applyAlignment="1">
      <alignment horizontal="left" vertical="center"/>
    </xf>
    <xf numFmtId="10" fontId="6" fillId="0" borderId="5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0" fontId="6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3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left"/>
    </xf>
    <xf numFmtId="3" fontId="10" fillId="6" borderId="14" xfId="0" applyNumberFormat="1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4" fontId="11" fillId="0" borderId="16" xfId="0" applyNumberFormat="1" applyFont="1" applyBorder="1" applyAlignment="1">
      <alignment horizontal="right"/>
    </xf>
    <xf numFmtId="3" fontId="12" fillId="0" borderId="17" xfId="0" applyNumberFormat="1" applyFont="1" applyBorder="1" applyAlignment="1">
      <alignment horizontal="left"/>
    </xf>
    <xf numFmtId="3" fontId="12" fillId="0" borderId="18" xfId="0" applyNumberFormat="1" applyFont="1" applyBorder="1" applyAlignment="1">
      <alignment horizontal="left"/>
    </xf>
    <xf numFmtId="3" fontId="13" fillId="7" borderId="19" xfId="0" applyNumberFormat="1" applyFont="1" applyFill="1" applyBorder="1" applyAlignment="1">
      <alignment horizontal="left"/>
    </xf>
    <xf numFmtId="3" fontId="9" fillId="0" borderId="18" xfId="0" applyNumberFormat="1" applyFont="1" applyBorder="1" applyAlignment="1">
      <alignment horizontal="left"/>
    </xf>
    <xf numFmtId="3" fontId="9" fillId="8" borderId="19" xfId="0" applyNumberFormat="1" applyFont="1" applyFill="1" applyBorder="1" applyAlignment="1">
      <alignment horizontal="center"/>
    </xf>
    <xf numFmtId="0" fontId="9" fillId="0" borderId="20" xfId="0" applyFont="1" applyBorder="1" applyAlignment="1">
      <alignment horizontal="left"/>
    </xf>
    <xf numFmtId="4" fontId="14" fillId="0" borderId="21" xfId="0" applyNumberFormat="1" applyFont="1" applyBorder="1" applyAlignment="1">
      <alignment horizontal="right"/>
    </xf>
    <xf numFmtId="3" fontId="14" fillId="0" borderId="15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22" xfId="0" applyFont="1" applyBorder="1" applyAlignment="1">
      <alignment horizontal="center"/>
    </xf>
    <xf numFmtId="4" fontId="16" fillId="0" borderId="23" xfId="0" applyNumberFormat="1" applyFont="1" applyBorder="1" applyAlignment="1">
      <alignment horizontal="right"/>
    </xf>
    <xf numFmtId="3" fontId="14" fillId="5" borderId="24" xfId="0" applyNumberFormat="1" applyFont="1" applyFill="1" applyBorder="1" applyAlignment="1">
      <alignment horizontal="center"/>
    </xf>
    <xf numFmtId="4" fontId="16" fillId="9" borderId="25" xfId="0" applyNumberFormat="1" applyFont="1" applyFill="1" applyBorder="1" applyAlignment="1">
      <alignment horizontal="left"/>
    </xf>
    <xf numFmtId="3" fontId="14" fillId="0" borderId="17" xfId="0" applyNumberFormat="1" applyFont="1" applyBorder="1" applyAlignment="1">
      <alignment horizontal="center"/>
    </xf>
    <xf numFmtId="3" fontId="14" fillId="0" borderId="18" xfId="0" applyNumberFormat="1" applyFont="1" applyBorder="1" applyAlignment="1">
      <alignment horizontal="center"/>
    </xf>
    <xf numFmtId="3" fontId="14" fillId="0" borderId="20" xfId="0" applyNumberFormat="1" applyFont="1" applyBorder="1" applyAlignment="1">
      <alignment horizontal="center"/>
    </xf>
    <xf numFmtId="4" fontId="16" fillId="9" borderId="26" xfId="0" applyNumberFormat="1" applyFont="1" applyFill="1" applyBorder="1" applyAlignment="1">
      <alignment horizontal="left"/>
    </xf>
    <xf numFmtId="3" fontId="14" fillId="0" borderId="22" xfId="0" applyNumberFormat="1" applyFont="1" applyBorder="1" applyAlignment="1">
      <alignment horizontal="center"/>
    </xf>
    <xf numFmtId="4" fontId="16" fillId="9" borderId="27" xfId="0" applyNumberFormat="1" applyFont="1" applyFill="1" applyBorder="1" applyAlignment="1">
      <alignment horizontal="left"/>
    </xf>
    <xf numFmtId="3" fontId="14" fillId="0" borderId="28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3" fontId="14" fillId="0" borderId="30" xfId="0" applyNumberFormat="1" applyFont="1" applyBorder="1" applyAlignment="1">
      <alignment horizontal="center"/>
    </xf>
    <xf numFmtId="4" fontId="16" fillId="10" borderId="26" xfId="0" applyNumberFormat="1" applyFont="1" applyFill="1" applyBorder="1" applyAlignment="1">
      <alignment horizontal="left"/>
    </xf>
    <xf numFmtId="3" fontId="14" fillId="7" borderId="14" xfId="0" applyNumberFormat="1" applyFont="1" applyFill="1" applyBorder="1" applyAlignment="1">
      <alignment horizontal="center"/>
    </xf>
    <xf numFmtId="3" fontId="9" fillId="0" borderId="15" xfId="0" applyNumberFormat="1" applyFont="1" applyBorder="1" applyAlignment="1">
      <alignment horizontal="left"/>
    </xf>
    <xf numFmtId="3" fontId="9" fillId="0" borderId="31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4" fontId="17" fillId="10" borderId="26" xfId="0" applyNumberFormat="1" applyFont="1" applyFill="1" applyBorder="1" applyAlignment="1">
      <alignment horizontal="left"/>
    </xf>
    <xf numFmtId="3" fontId="9" fillId="0" borderId="0" xfId="0" applyNumberFormat="1" applyFont="1" applyAlignment="1">
      <alignment horizontal="center"/>
    </xf>
    <xf numFmtId="4" fontId="16" fillId="10" borderId="26" xfId="0" applyNumberFormat="1" applyFont="1" applyFill="1" applyBorder="1" applyAlignment="1">
      <alignment horizontal="right"/>
    </xf>
    <xf numFmtId="0" fontId="9" fillId="0" borderId="22" xfId="0" applyFont="1" applyBorder="1" applyAlignment="1">
      <alignment horizontal="center"/>
    </xf>
    <xf numFmtId="4" fontId="17" fillId="0" borderId="16" xfId="0" applyNumberFormat="1" applyFont="1" applyBorder="1" applyAlignment="1">
      <alignment horizontal="right"/>
    </xf>
    <xf numFmtId="3" fontId="18" fillId="0" borderId="18" xfId="0" applyNumberFormat="1" applyFont="1" applyBorder="1" applyAlignment="1">
      <alignment horizontal="center"/>
    </xf>
    <xf numFmtId="3" fontId="18" fillId="0" borderId="32" xfId="0" applyNumberFormat="1" applyFont="1" applyBorder="1" applyAlignment="1">
      <alignment horizontal="center"/>
    </xf>
    <xf numFmtId="3" fontId="18" fillId="0" borderId="20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3" fontId="19" fillId="0" borderId="0" xfId="0" applyNumberFormat="1" applyFont="1" applyAlignment="1">
      <alignment horizontal="right"/>
    </xf>
    <xf numFmtId="4" fontId="20" fillId="0" borderId="23" xfId="0" applyNumberFormat="1" applyFont="1" applyBorder="1" applyAlignment="1">
      <alignment horizontal="right"/>
    </xf>
    <xf numFmtId="3" fontId="21" fillId="0" borderId="28" xfId="0" applyNumberFormat="1" applyFont="1" applyBorder="1" applyAlignment="1">
      <alignment horizontal="center"/>
    </xf>
    <xf numFmtId="3" fontId="21" fillId="0" borderId="29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4" fontId="16" fillId="0" borderId="21" xfId="0" applyNumberFormat="1" applyFont="1" applyBorder="1" applyAlignment="1">
      <alignment horizontal="left"/>
    </xf>
    <xf numFmtId="3" fontId="22" fillId="0" borderId="15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16" fillId="0" borderId="22" xfId="0" applyNumberFormat="1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4" fontId="23" fillId="0" borderId="33" xfId="0" applyNumberFormat="1" applyFont="1" applyBorder="1" applyAlignment="1">
      <alignment horizontal="left"/>
    </xf>
    <xf numFmtId="3" fontId="24" fillId="0" borderId="13" xfId="0" applyNumberFormat="1" applyFont="1" applyBorder="1" applyAlignment="1">
      <alignment horizontal="center"/>
    </xf>
    <xf numFmtId="3" fontId="24" fillId="0" borderId="34" xfId="0" applyNumberFormat="1" applyFont="1" applyBorder="1" applyAlignment="1">
      <alignment horizontal="center"/>
    </xf>
    <xf numFmtId="3" fontId="24" fillId="0" borderId="35" xfId="0" applyNumberFormat="1" applyFont="1" applyBorder="1" applyAlignment="1">
      <alignment horizontal="center"/>
    </xf>
    <xf numFmtId="4" fontId="21" fillId="0" borderId="21" xfId="0" applyNumberFormat="1" applyFont="1" applyBorder="1" applyAlignment="1">
      <alignment horizontal="left"/>
    </xf>
    <xf numFmtId="3" fontId="24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4" fontId="21" fillId="0" borderId="22" xfId="0" applyNumberFormat="1" applyFont="1" applyBorder="1" applyAlignment="1">
      <alignment horizontal="center"/>
    </xf>
    <xf numFmtId="4" fontId="25" fillId="0" borderId="23" xfId="0" applyNumberFormat="1" applyFont="1" applyBorder="1" applyAlignment="1">
      <alignment horizontal="right"/>
    </xf>
    <xf numFmtId="3" fontId="24" fillId="0" borderId="28" xfId="0" applyNumberFormat="1" applyFont="1" applyBorder="1" applyAlignment="1">
      <alignment horizontal="center"/>
    </xf>
    <xf numFmtId="3" fontId="21" fillId="0" borderId="36" xfId="0" applyNumberFormat="1" applyFont="1" applyBorder="1" applyAlignment="1">
      <alignment horizontal="center"/>
    </xf>
    <xf numFmtId="4" fontId="21" fillId="0" borderId="37" xfId="0" applyNumberFormat="1" applyFont="1" applyBorder="1" applyAlignment="1">
      <alignment horizontal="center"/>
    </xf>
    <xf numFmtId="177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3" fontId="10" fillId="11" borderId="14" xfId="0" applyNumberFormat="1" applyFont="1" applyFill="1" applyBorder="1" applyAlignment="1">
      <alignment horizontal="left"/>
    </xf>
    <xf numFmtId="3" fontId="10" fillId="11" borderId="14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12" borderId="14" xfId="0" applyNumberFormat="1" applyFont="1" applyFill="1" applyBorder="1" applyAlignment="1">
      <alignment horizontal="left"/>
    </xf>
    <xf numFmtId="3" fontId="8" fillId="0" borderId="34" xfId="0" applyNumberFormat="1" applyFont="1" applyBorder="1" applyAlignment="1">
      <alignment horizontal="left"/>
    </xf>
    <xf numFmtId="3" fontId="1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4" fontId="8" fillId="0" borderId="38" xfId="0" applyNumberFormat="1" applyFont="1" applyBorder="1" applyAlignment="1">
      <alignment horizontal="left"/>
    </xf>
    <xf numFmtId="3" fontId="8" fillId="0" borderId="38" xfId="0" applyNumberFormat="1" applyFont="1" applyBorder="1" applyAlignment="1">
      <alignment horizontal="right"/>
    </xf>
    <xf numFmtId="3" fontId="8" fillId="0" borderId="38" xfId="0" applyNumberFormat="1" applyFont="1" applyBorder="1" applyAlignment="1">
      <alignment horizontal="left"/>
    </xf>
    <xf numFmtId="3" fontId="8" fillId="13" borderId="14" xfId="0" applyNumberFormat="1" applyFont="1" applyFill="1" applyBorder="1" applyAlignment="1">
      <alignment horizontal="left"/>
    </xf>
    <xf numFmtId="4" fontId="8" fillId="0" borderId="39" xfId="0" applyNumberFormat="1" applyFont="1" applyBorder="1" applyAlignment="1">
      <alignment horizontal="left"/>
    </xf>
    <xf numFmtId="3" fontId="8" fillId="0" borderId="39" xfId="0" applyNumberFormat="1" applyFont="1" applyBorder="1" applyAlignment="1">
      <alignment horizontal="right"/>
    </xf>
    <xf numFmtId="3" fontId="8" fillId="0" borderId="39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4" fontId="8" fillId="0" borderId="34" xfId="0" applyNumberFormat="1" applyFont="1" applyBorder="1" applyAlignment="1">
      <alignment horizontal="left"/>
    </xf>
    <xf numFmtId="3" fontId="8" fillId="0" borderId="34" xfId="0" applyNumberFormat="1" applyFont="1" applyBorder="1" applyAlignment="1">
      <alignment horizontal="right"/>
    </xf>
    <xf numFmtId="3" fontId="8" fillId="5" borderId="40" xfId="0" applyNumberFormat="1" applyFont="1" applyFill="1" applyBorder="1" applyAlignment="1">
      <alignment horizontal="left"/>
    </xf>
    <xf numFmtId="3" fontId="8" fillId="7" borderId="14" xfId="0" applyNumberFormat="1" applyFont="1" applyFill="1" applyBorder="1" applyAlignment="1">
      <alignment horizontal="left"/>
    </xf>
    <xf numFmtId="176" fontId="8" fillId="0" borderId="0" xfId="0" applyNumberFormat="1" applyFont="1" applyAlignment="1">
      <alignment horizontal="right"/>
    </xf>
    <xf numFmtId="4" fontId="26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86C4-38E3-4043-95CF-C0FD9267F8D8}">
  <dimension ref="A1:AI97"/>
  <sheetViews>
    <sheetView tabSelected="1" topLeftCell="A5" workbookViewId="0">
      <selection activeCell="J17" sqref="J17"/>
    </sheetView>
  </sheetViews>
  <sheetFormatPr defaultRowHeight="15.75" x14ac:dyDescent="0.25"/>
  <cols>
    <col min="1" max="1" width="33.140625" style="27" bestFit="1" customWidth="1"/>
    <col min="2" max="2" width="19.42578125" style="26" bestFit="1" customWidth="1"/>
    <col min="3" max="22" width="17.85546875" style="26" bestFit="1" customWidth="1"/>
    <col min="23" max="23" width="17.85546875" bestFit="1" customWidth="1"/>
    <col min="24" max="24" width="30" bestFit="1" customWidth="1"/>
    <col min="25" max="28" width="13.5703125" bestFit="1" customWidth="1"/>
    <col min="29" max="29" width="19.5703125" bestFit="1" customWidth="1"/>
    <col min="30" max="30" width="20.5703125" bestFit="1" customWidth="1"/>
    <col min="31" max="31" width="20.28515625" bestFit="1" customWidth="1"/>
    <col min="32" max="32" width="20.85546875" bestFit="1" customWidth="1"/>
    <col min="33" max="33" width="15.5703125" bestFit="1" customWidth="1"/>
    <col min="34" max="34" width="36.85546875" bestFit="1" customWidth="1"/>
    <col min="35" max="35" width="32.5703125" bestFit="1" customWidth="1"/>
  </cols>
  <sheetData>
    <row r="1" spans="1:4" ht="22.5" customHeight="1" thickBot="1" x14ac:dyDescent="0.3">
      <c r="A1" s="131" t="s">
        <v>0</v>
      </c>
      <c r="B1" s="132"/>
      <c r="C1" s="132"/>
      <c r="D1" s="133"/>
    </row>
    <row r="2" spans="1:4" ht="21.75" customHeight="1" x14ac:dyDescent="0.25">
      <c r="A2" s="1" t="s">
        <v>1</v>
      </c>
      <c r="B2" s="2" t="s">
        <v>2</v>
      </c>
      <c r="C2" s="3" t="s">
        <v>3</v>
      </c>
      <c r="D2" s="3" t="s">
        <v>3</v>
      </c>
    </row>
    <row r="3" spans="1:4" ht="21.75" customHeight="1" x14ac:dyDescent="0.25">
      <c r="A3" s="4" t="s">
        <v>4</v>
      </c>
      <c r="B3" s="5">
        <v>20</v>
      </c>
      <c r="C3" s="6" t="s">
        <v>3</v>
      </c>
      <c r="D3" s="6" t="s">
        <v>3</v>
      </c>
    </row>
    <row r="4" spans="1:4" ht="21.75" customHeight="1" x14ac:dyDescent="0.25">
      <c r="A4" s="4" t="s">
        <v>5</v>
      </c>
      <c r="B4" s="5">
        <v>436.1</v>
      </c>
      <c r="C4" s="6" t="s">
        <v>3</v>
      </c>
      <c r="D4" s="6" t="s">
        <v>3</v>
      </c>
    </row>
    <row r="5" spans="1:4" ht="22.5" customHeight="1" x14ac:dyDescent="0.25">
      <c r="A5" s="7" t="s">
        <v>6</v>
      </c>
      <c r="B5" s="7">
        <v>2020</v>
      </c>
      <c r="C5" s="7" t="s">
        <v>7</v>
      </c>
      <c r="D5" s="7">
        <v>2039</v>
      </c>
    </row>
    <row r="6" spans="1:4" ht="20.25" customHeight="1" thickBot="1" x14ac:dyDescent="0.3">
      <c r="A6" s="8"/>
      <c r="B6" s="8"/>
      <c r="C6" s="8"/>
      <c r="D6" s="8"/>
    </row>
    <row r="7" spans="1:4" ht="22.5" customHeight="1" thickBot="1" x14ac:dyDescent="0.3">
      <c r="A7" s="128" t="s">
        <v>8</v>
      </c>
      <c r="B7" s="129"/>
      <c r="C7" s="129"/>
      <c r="D7" s="130"/>
    </row>
    <row r="8" spans="1:4" ht="22.5" customHeight="1" thickBot="1" x14ac:dyDescent="0.3">
      <c r="A8" s="134" t="s">
        <v>9</v>
      </c>
      <c r="B8" s="135"/>
      <c r="C8" s="135"/>
      <c r="D8" s="136"/>
    </row>
    <row r="9" spans="1:4" ht="22.5" customHeight="1" thickBot="1" x14ac:dyDescent="0.3">
      <c r="A9" s="9" t="s">
        <v>10</v>
      </c>
      <c r="B9" s="10" t="s">
        <v>11</v>
      </c>
      <c r="C9" s="10" t="s">
        <v>12</v>
      </c>
      <c r="D9" s="11" t="s">
        <v>13</v>
      </c>
    </row>
    <row r="10" spans="1:4" ht="21.75" customHeight="1" x14ac:dyDescent="0.25">
      <c r="A10" s="123" t="s">
        <v>14</v>
      </c>
      <c r="B10" s="12" t="s">
        <v>15</v>
      </c>
      <c r="C10" s="12">
        <v>547002</v>
      </c>
      <c r="D10" s="123">
        <v>20</v>
      </c>
    </row>
    <row r="11" spans="1:4" ht="21.75" customHeight="1" x14ac:dyDescent="0.25">
      <c r="A11" s="123"/>
      <c r="B11" s="7" t="s">
        <v>16</v>
      </c>
      <c r="C11" s="13">
        <v>0.01</v>
      </c>
      <c r="D11" s="123"/>
    </row>
    <row r="12" spans="1:4" ht="21.75" customHeight="1" x14ac:dyDescent="0.25">
      <c r="A12" s="123"/>
      <c r="B12" s="7" t="s">
        <v>17</v>
      </c>
      <c r="C12" s="14">
        <v>4.0000000000000001E-3</v>
      </c>
      <c r="D12" s="123"/>
    </row>
    <row r="13" spans="1:4" ht="22.5" customHeight="1" thickBot="1" x14ac:dyDescent="0.3">
      <c r="A13" s="123"/>
      <c r="B13" s="15" t="s">
        <v>18</v>
      </c>
      <c r="C13" s="15">
        <v>3.7151999999999998</v>
      </c>
      <c r="D13" s="123"/>
    </row>
    <row r="14" spans="1:4" ht="22.5" customHeight="1" thickBot="1" x14ac:dyDescent="0.3">
      <c r="A14" s="137" t="s">
        <v>19</v>
      </c>
      <c r="B14" s="138"/>
      <c r="C14" s="138"/>
      <c r="D14" s="139"/>
    </row>
    <row r="15" spans="1:4" ht="22.5" customHeight="1" thickBot="1" x14ac:dyDescent="0.3">
      <c r="A15" s="9" t="s">
        <v>10</v>
      </c>
      <c r="B15" s="10" t="s">
        <v>11</v>
      </c>
      <c r="C15" s="10" t="s">
        <v>12</v>
      </c>
      <c r="D15" s="16" t="s">
        <v>20</v>
      </c>
    </row>
    <row r="16" spans="1:4" ht="21.75" customHeight="1" x14ac:dyDescent="0.25">
      <c r="A16" s="123" t="s">
        <v>21</v>
      </c>
      <c r="B16" s="17" t="s">
        <v>22</v>
      </c>
      <c r="C16" s="12">
        <v>35000</v>
      </c>
      <c r="D16" s="125">
        <v>20</v>
      </c>
    </row>
    <row r="17" spans="1:4" ht="21.75" customHeight="1" x14ac:dyDescent="0.25">
      <c r="A17" s="123"/>
      <c r="B17" s="7" t="s">
        <v>23</v>
      </c>
      <c r="C17" s="5">
        <v>0.3</v>
      </c>
      <c r="D17" s="125"/>
    </row>
    <row r="18" spans="1:4" ht="21.75" customHeight="1" x14ac:dyDescent="0.25">
      <c r="A18" s="124"/>
      <c r="B18" s="7" t="s">
        <v>24</v>
      </c>
      <c r="C18" s="5">
        <v>3000</v>
      </c>
      <c r="D18" s="126"/>
    </row>
    <row r="19" spans="1:4" ht="54" customHeight="1" x14ac:dyDescent="0.25">
      <c r="A19" s="127" t="s">
        <v>25</v>
      </c>
      <c r="B19" s="18" t="s">
        <v>26</v>
      </c>
      <c r="C19" s="5">
        <v>2</v>
      </c>
      <c r="D19" s="3" t="s">
        <v>3</v>
      </c>
    </row>
    <row r="20" spans="1:4" ht="20.25" customHeight="1" x14ac:dyDescent="0.25">
      <c r="A20" s="123"/>
      <c r="B20" s="19" t="s">
        <v>27</v>
      </c>
      <c r="C20" s="5"/>
      <c r="D20" s="3">
        <v>20</v>
      </c>
    </row>
    <row r="21" spans="1:4" ht="21.75" customHeight="1" x14ac:dyDescent="0.25">
      <c r="A21" s="124"/>
      <c r="B21" s="20" t="s">
        <v>28</v>
      </c>
      <c r="C21" s="5">
        <v>0.3</v>
      </c>
      <c r="D21" s="6" t="s">
        <v>3</v>
      </c>
    </row>
    <row r="22" spans="1:4" ht="21.75" customHeight="1" x14ac:dyDescent="0.25">
      <c r="A22" s="7" t="s">
        <v>29</v>
      </c>
      <c r="B22" s="20" t="s">
        <v>30</v>
      </c>
      <c r="C22" s="5">
        <v>400</v>
      </c>
      <c r="D22" s="6">
        <v>20</v>
      </c>
    </row>
    <row r="23" spans="1:4" ht="21.75" customHeight="1" x14ac:dyDescent="0.25">
      <c r="A23" s="7" t="s">
        <v>31</v>
      </c>
      <c r="B23" s="21" t="s">
        <v>32</v>
      </c>
      <c r="C23" s="5">
        <v>3.0000000000000001E-3</v>
      </c>
      <c r="D23" s="6">
        <v>20</v>
      </c>
    </row>
    <row r="24" spans="1:4" ht="21.75" customHeight="1" x14ac:dyDescent="0.25">
      <c r="A24" s="7" t="s">
        <v>33</v>
      </c>
      <c r="B24" s="20" t="s">
        <v>34</v>
      </c>
      <c r="C24" s="5">
        <v>1000</v>
      </c>
      <c r="D24" s="6">
        <v>10</v>
      </c>
    </row>
    <row r="25" spans="1:4" ht="21.75" customHeight="1" x14ac:dyDescent="0.25">
      <c r="A25" s="7" t="s">
        <v>35</v>
      </c>
      <c r="B25" s="7" t="s">
        <v>36</v>
      </c>
      <c r="C25" s="22">
        <v>2.5595E-2</v>
      </c>
      <c r="D25" s="6" t="s">
        <v>3</v>
      </c>
    </row>
    <row r="26" spans="1:4" ht="22.5" customHeight="1" x14ac:dyDescent="0.25">
      <c r="A26" s="7" t="s">
        <v>37</v>
      </c>
      <c r="B26" s="7" t="s">
        <v>38</v>
      </c>
      <c r="C26" s="5">
        <v>0.2</v>
      </c>
      <c r="D26" s="6" t="s">
        <v>3</v>
      </c>
    </row>
    <row r="27" spans="1:4" ht="20.25" customHeight="1" x14ac:dyDescent="0.25">
      <c r="A27" s="8"/>
      <c r="B27" s="8"/>
      <c r="C27" s="8"/>
      <c r="D27" s="8"/>
    </row>
    <row r="28" spans="1:4" ht="20.25" customHeight="1" thickBot="1" x14ac:dyDescent="0.3">
      <c r="A28" s="8"/>
      <c r="B28" s="8"/>
      <c r="C28" s="8"/>
      <c r="D28" s="8"/>
    </row>
    <row r="29" spans="1:4" ht="22.5" customHeight="1" thickBot="1" x14ac:dyDescent="0.3">
      <c r="A29" s="128" t="s">
        <v>39</v>
      </c>
      <c r="B29" s="129"/>
      <c r="C29" s="130"/>
      <c r="D29" s="8"/>
    </row>
    <row r="30" spans="1:4" ht="22.5" customHeight="1" thickBot="1" x14ac:dyDescent="0.3">
      <c r="A30" s="9" t="s">
        <v>40</v>
      </c>
      <c r="B30" s="23" t="s">
        <v>11</v>
      </c>
      <c r="C30" s="24" t="s">
        <v>12</v>
      </c>
      <c r="D30" s="8"/>
    </row>
    <row r="31" spans="1:4" ht="18.75" customHeight="1" x14ac:dyDescent="0.25">
      <c r="A31" s="17" t="s">
        <v>41</v>
      </c>
      <c r="B31" s="1" t="s">
        <v>42</v>
      </c>
      <c r="C31" s="25">
        <v>0.8</v>
      </c>
      <c r="D31" s="8"/>
    </row>
    <row r="32" spans="1:4" ht="18.75" customHeight="1" x14ac:dyDescent="0.25">
      <c r="A32" s="12" t="s">
        <v>43</v>
      </c>
      <c r="B32" s="25" t="s">
        <v>44</v>
      </c>
      <c r="C32" s="25">
        <v>15</v>
      </c>
      <c r="D32" s="8"/>
    </row>
    <row r="33" spans="1:23" ht="18.75" customHeight="1" x14ac:dyDescent="0.25">
      <c r="A33" s="7" t="s">
        <v>45</v>
      </c>
      <c r="B33" s="5" t="s">
        <v>46</v>
      </c>
      <c r="C33" s="5">
        <v>0.9</v>
      </c>
      <c r="D33" s="8"/>
    </row>
    <row r="34" spans="1:23" ht="18.75" customHeight="1" x14ac:dyDescent="0.25">
      <c r="A34" s="7" t="s">
        <v>47</v>
      </c>
      <c r="B34" s="5" t="s">
        <v>44</v>
      </c>
      <c r="C34" s="5">
        <v>4</v>
      </c>
      <c r="D34" s="8"/>
    </row>
    <row r="35" spans="1:23" ht="18.75" customHeight="1" x14ac:dyDescent="0.25"/>
    <row r="36" spans="1:23" ht="18.75" customHeight="1" x14ac:dyDescent="0.25"/>
    <row r="37" spans="1:23" ht="18.75" customHeight="1" thickBot="1" x14ac:dyDescent="0.3">
      <c r="A37" s="28"/>
      <c r="B37" s="29" t="s">
        <v>49</v>
      </c>
      <c r="C37" s="29">
        <v>2020</v>
      </c>
      <c r="D37" s="29">
        <v>2021</v>
      </c>
      <c r="E37" s="29">
        <v>2022</v>
      </c>
      <c r="F37" s="29">
        <v>2023</v>
      </c>
      <c r="G37" s="29">
        <v>2024</v>
      </c>
      <c r="H37" s="29">
        <v>2025</v>
      </c>
      <c r="I37" s="29">
        <v>2026</v>
      </c>
      <c r="J37" s="29">
        <v>2027</v>
      </c>
      <c r="K37" s="29">
        <v>2028</v>
      </c>
      <c r="L37" s="29">
        <v>2029</v>
      </c>
      <c r="M37" s="29">
        <v>2030</v>
      </c>
      <c r="N37" s="29">
        <v>2031</v>
      </c>
      <c r="O37" s="29">
        <v>2032</v>
      </c>
      <c r="P37" s="29">
        <v>2033</v>
      </c>
      <c r="Q37" s="29">
        <v>2034</v>
      </c>
      <c r="R37" s="29">
        <v>2035</v>
      </c>
      <c r="S37" s="29">
        <v>2036</v>
      </c>
      <c r="T37" s="29">
        <v>2037</v>
      </c>
      <c r="U37" s="29">
        <v>2038</v>
      </c>
      <c r="V37" s="29">
        <v>2039</v>
      </c>
      <c r="W37" s="30"/>
    </row>
    <row r="38" spans="1:23" ht="18.75" customHeight="1" x14ac:dyDescent="0.3">
      <c r="A38" s="31">
        <v>0</v>
      </c>
      <c r="B38" s="32"/>
      <c r="C38" s="33"/>
      <c r="D38" s="33"/>
      <c r="E38" s="34" t="s">
        <v>50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6" t="s">
        <v>51</v>
      </c>
      <c r="T38" s="35"/>
      <c r="U38" s="35"/>
      <c r="V38" s="35"/>
      <c r="W38" s="37"/>
    </row>
    <row r="39" spans="1:23" ht="18.75" customHeight="1" x14ac:dyDescent="0.25">
      <c r="A39" s="38" t="s">
        <v>52</v>
      </c>
      <c r="B39" s="39">
        <v>0</v>
      </c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  <c r="O39" s="40">
        <v>13</v>
      </c>
      <c r="P39" s="40">
        <v>14</v>
      </c>
      <c r="Q39" s="40">
        <v>15</v>
      </c>
      <c r="R39" s="40">
        <v>16</v>
      </c>
      <c r="S39" s="41">
        <v>17</v>
      </c>
      <c r="T39" s="40">
        <v>18</v>
      </c>
      <c r="U39" s="40">
        <v>19</v>
      </c>
      <c r="V39" s="40">
        <v>20</v>
      </c>
      <c r="W39" s="42"/>
    </row>
    <row r="40" spans="1:23" ht="18.75" customHeight="1" thickBot="1" x14ac:dyDescent="0.3">
      <c r="A40" s="43" t="s">
        <v>53</v>
      </c>
      <c r="B40" s="39">
        <v>0</v>
      </c>
      <c r="C40" s="40" t="e">
        <f>#REF!</f>
        <v>#REF!</v>
      </c>
      <c r="D40" s="40" t="e">
        <f>#REF!</f>
        <v>#REF!</v>
      </c>
      <c r="E40" s="40" t="e">
        <f>#REF!</f>
        <v>#REF!</v>
      </c>
      <c r="F40" s="40" t="e">
        <f>#REF!</f>
        <v>#REF!</v>
      </c>
      <c r="G40" s="40" t="e">
        <f>#REF!</f>
        <v>#REF!</v>
      </c>
      <c r="H40" s="40" t="e">
        <f>#REF!</f>
        <v>#REF!</v>
      </c>
      <c r="I40" s="40" t="e">
        <f>#REF!</f>
        <v>#REF!</v>
      </c>
      <c r="J40" s="40" t="e">
        <f>#REF!</f>
        <v>#REF!</v>
      </c>
      <c r="K40" s="40" t="e">
        <f>#REF!</f>
        <v>#REF!</v>
      </c>
      <c r="L40" s="40" t="e">
        <f>#REF!</f>
        <v>#REF!</v>
      </c>
      <c r="M40" s="40" t="e">
        <f>#REF!</f>
        <v>#REF!</v>
      </c>
      <c r="N40" s="40" t="e">
        <f>#REF!</f>
        <v>#REF!</v>
      </c>
      <c r="O40" s="40" t="e">
        <f>#REF!</f>
        <v>#REF!</v>
      </c>
      <c r="P40" s="40" t="e">
        <f>#REF!</f>
        <v>#REF!</v>
      </c>
      <c r="Q40" s="40" t="e">
        <f>#REF!</f>
        <v>#REF!</v>
      </c>
      <c r="R40" s="40" t="e">
        <f>#REF!</f>
        <v>#REF!</v>
      </c>
      <c r="S40" s="40" t="e">
        <f>#REF!</f>
        <v>#REF!</v>
      </c>
      <c r="T40" s="40" t="e">
        <f>#REF!</f>
        <v>#REF!</v>
      </c>
      <c r="U40" s="40" t="e">
        <f>#REF!</f>
        <v>#REF!</v>
      </c>
      <c r="V40" s="40" t="e">
        <f>#REF!</f>
        <v>#REF!</v>
      </c>
      <c r="W40" s="44"/>
    </row>
    <row r="41" spans="1:23" ht="18.75" customHeight="1" x14ac:dyDescent="0.25">
      <c r="A41" s="45" t="s">
        <v>54</v>
      </c>
      <c r="B41" s="46" t="s">
        <v>48</v>
      </c>
      <c r="C41" s="47" t="e">
        <f>#REF!</f>
        <v>#REF!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7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7" t="e">
        <f>#REF!</f>
        <v>#REF!</v>
      </c>
      <c r="N41" s="47" t="e">
        <f>#REF!</f>
        <v>#REF!</v>
      </c>
      <c r="O41" s="47" t="e">
        <f>#REF!</f>
        <v>#REF!</v>
      </c>
      <c r="P41" s="47" t="e">
        <f>#REF!</f>
        <v>#REF!</v>
      </c>
      <c r="Q41" s="47" t="e">
        <f>#REF!</f>
        <v>#REF!</v>
      </c>
      <c r="R41" s="47" t="e">
        <f>#REF!</f>
        <v>#REF!</v>
      </c>
      <c r="S41" s="47" t="e">
        <f>#REF!</f>
        <v>#REF!</v>
      </c>
      <c r="T41" s="47" t="e">
        <f>#REF!</f>
        <v>#REF!</v>
      </c>
      <c r="U41" s="47" t="e">
        <f>#REF!</f>
        <v>#REF!</v>
      </c>
      <c r="V41" s="47" t="e">
        <f>#REF!</f>
        <v>#REF!</v>
      </c>
      <c r="W41" s="48"/>
    </row>
    <row r="42" spans="1:23" ht="18.75" customHeight="1" x14ac:dyDescent="0.25">
      <c r="A42" s="49" t="s">
        <v>55</v>
      </c>
      <c r="B42" s="39" t="s">
        <v>48</v>
      </c>
      <c r="C42" s="40"/>
      <c r="D42" s="40"/>
      <c r="E42" s="40">
        <v>0</v>
      </c>
      <c r="F42" s="40" t="s">
        <v>48</v>
      </c>
      <c r="G42" s="40" t="s">
        <v>48</v>
      </c>
      <c r="H42" s="40" t="s">
        <v>48</v>
      </c>
      <c r="I42" s="40" t="s">
        <v>48</v>
      </c>
      <c r="J42" s="40" t="s">
        <v>48</v>
      </c>
      <c r="K42" s="40" t="s">
        <v>48</v>
      </c>
      <c r="L42" s="40" t="s">
        <v>48</v>
      </c>
      <c r="M42" s="40" t="s">
        <v>48</v>
      </c>
      <c r="N42" s="40" t="s">
        <v>48</v>
      </c>
      <c r="O42" s="40" t="s">
        <v>48</v>
      </c>
      <c r="P42" s="40" t="s">
        <v>48</v>
      </c>
      <c r="Q42" s="40" t="s">
        <v>48</v>
      </c>
      <c r="R42" s="40" t="s">
        <v>48</v>
      </c>
      <c r="S42" s="40" t="s">
        <v>48</v>
      </c>
      <c r="T42" s="40" t="s">
        <v>48</v>
      </c>
      <c r="U42" s="40" t="s">
        <v>48</v>
      </c>
      <c r="V42" s="40" t="s">
        <v>48</v>
      </c>
      <c r="W42" s="50"/>
    </row>
    <row r="43" spans="1:23" ht="18.75" customHeight="1" thickBot="1" x14ac:dyDescent="0.3">
      <c r="A43" s="51" t="s">
        <v>56</v>
      </c>
      <c r="B43" s="52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4"/>
    </row>
    <row r="44" spans="1:23" ht="18.75" customHeight="1" x14ac:dyDescent="0.25">
      <c r="A44" s="55" t="s">
        <v>57</v>
      </c>
      <c r="B44" s="39" t="e">
        <f>-#REF!</f>
        <v>#REF!</v>
      </c>
      <c r="C44" s="56"/>
      <c r="D44" s="40"/>
      <c r="E44" s="40" t="s">
        <v>48</v>
      </c>
      <c r="F44" s="40" t="s">
        <v>48</v>
      </c>
      <c r="G44" s="40" t="s">
        <v>48</v>
      </c>
      <c r="H44" s="40" t="s">
        <v>48</v>
      </c>
      <c r="I44" s="40" t="s">
        <v>48</v>
      </c>
      <c r="J44" s="40" t="s">
        <v>48</v>
      </c>
      <c r="K44" s="40" t="s">
        <v>48</v>
      </c>
      <c r="L44" s="40" t="s">
        <v>48</v>
      </c>
      <c r="M44" s="40" t="s">
        <v>48</v>
      </c>
      <c r="N44" s="40" t="s">
        <v>48</v>
      </c>
      <c r="O44" s="40" t="s">
        <v>48</v>
      </c>
      <c r="P44" s="40" t="s">
        <v>48</v>
      </c>
      <c r="Q44" s="40" t="s">
        <v>48</v>
      </c>
      <c r="R44" s="40" t="s">
        <v>48</v>
      </c>
      <c r="S44" s="40" t="s">
        <v>48</v>
      </c>
      <c r="T44" s="40" t="s">
        <v>48</v>
      </c>
      <c r="U44" s="40" t="s">
        <v>48</v>
      </c>
      <c r="V44" s="40" t="s">
        <v>48</v>
      </c>
      <c r="W44" s="50"/>
    </row>
    <row r="45" spans="1:23" ht="18.75" customHeight="1" x14ac:dyDescent="0.25">
      <c r="A45" s="55" t="s">
        <v>58</v>
      </c>
      <c r="B45" s="39" t="s">
        <v>48</v>
      </c>
      <c r="C45" s="40" t="e">
        <f>-#REF!</f>
        <v>#REF!</v>
      </c>
      <c r="D45" s="40" t="e">
        <f>-#REF!</f>
        <v>#REF!</v>
      </c>
      <c r="E45" s="40" t="e">
        <f>-#REF!</f>
        <v>#REF!</v>
      </c>
      <c r="F45" s="40" t="e">
        <f>-#REF!</f>
        <v>#REF!</v>
      </c>
      <c r="G45" s="40" t="e">
        <f>-#REF!</f>
        <v>#REF!</v>
      </c>
      <c r="H45" s="40" t="e">
        <f>-#REF!</f>
        <v>#REF!</v>
      </c>
      <c r="I45" s="40" t="e">
        <f>-#REF!</f>
        <v>#REF!</v>
      </c>
      <c r="J45" s="40" t="e">
        <f>-#REF!</f>
        <v>#REF!</v>
      </c>
      <c r="K45" s="40" t="e">
        <f>-#REF!</f>
        <v>#REF!</v>
      </c>
      <c r="L45" s="40" t="e">
        <f>-#REF!</f>
        <v>#REF!</v>
      </c>
      <c r="M45" s="40" t="e">
        <f>-#REF!</f>
        <v>#REF!</v>
      </c>
      <c r="N45" s="40" t="e">
        <f>-#REF!</f>
        <v>#REF!</v>
      </c>
      <c r="O45" s="40" t="e">
        <f>-#REF!</f>
        <v>#REF!</v>
      </c>
      <c r="P45" s="40" t="e">
        <f>-#REF!</f>
        <v>#REF!</v>
      </c>
      <c r="Q45" s="40" t="e">
        <f>-#REF!</f>
        <v>#REF!</v>
      </c>
      <c r="R45" s="40" t="e">
        <f>-#REF!</f>
        <v>#REF!</v>
      </c>
      <c r="S45" s="40" t="e">
        <f>-#REF!</f>
        <v>#REF!</v>
      </c>
      <c r="T45" s="40" t="e">
        <f>-#REF!</f>
        <v>#REF!</v>
      </c>
      <c r="U45" s="40" t="e">
        <f>-#REF!</f>
        <v>#REF!</v>
      </c>
      <c r="V45" s="40" t="e">
        <f>-#REF!</f>
        <v>#REF!</v>
      </c>
      <c r="W45" s="50"/>
    </row>
    <row r="46" spans="1:23" ht="18.75" customHeight="1" x14ac:dyDescent="0.25">
      <c r="A46" s="55" t="s">
        <v>59</v>
      </c>
      <c r="B46" s="39">
        <v>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>
        <v>0</v>
      </c>
      <c r="V46" s="40">
        <v>0</v>
      </c>
      <c r="W46" s="50"/>
    </row>
    <row r="47" spans="1:23" ht="18.75" customHeight="1" x14ac:dyDescent="0.25">
      <c r="A47" s="55" t="s">
        <v>60</v>
      </c>
      <c r="B47" s="39" t="s">
        <v>48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50"/>
    </row>
    <row r="48" spans="1:23" ht="18.75" customHeight="1" x14ac:dyDescent="0.25">
      <c r="A48" s="55" t="s">
        <v>61</v>
      </c>
      <c r="B48" s="39" t="s">
        <v>48</v>
      </c>
      <c r="C48" s="40" t="e">
        <f>-#REF!</f>
        <v>#REF!</v>
      </c>
      <c r="D48" s="40" t="e">
        <f>-#REF!</f>
        <v>#REF!</v>
      </c>
      <c r="E48" s="40" t="e">
        <f>-#REF!</f>
        <v>#REF!</v>
      </c>
      <c r="F48" s="40" t="e">
        <f>-#REF!</f>
        <v>#REF!</v>
      </c>
      <c r="G48" s="40" t="e">
        <f>-#REF!</f>
        <v>#REF!</v>
      </c>
      <c r="H48" s="40" t="e">
        <f>-#REF!</f>
        <v>#REF!</v>
      </c>
      <c r="I48" s="40" t="e">
        <f>-#REF!</f>
        <v>#REF!</v>
      </c>
      <c r="J48" s="40" t="e">
        <f>-#REF!</f>
        <v>#REF!</v>
      </c>
      <c r="K48" s="40" t="e">
        <f>-#REF!</f>
        <v>#REF!</v>
      </c>
      <c r="L48" s="40" t="e">
        <f>-#REF!</f>
        <v>#REF!</v>
      </c>
      <c r="M48" s="40" t="e">
        <f>-#REF!</f>
        <v>#REF!</v>
      </c>
      <c r="N48" s="40" t="e">
        <f>-#REF!</f>
        <v>#REF!</v>
      </c>
      <c r="O48" s="40" t="e">
        <f>-#REF!</f>
        <v>#REF!</v>
      </c>
      <c r="P48" s="40" t="e">
        <f>-#REF!</f>
        <v>#REF!</v>
      </c>
      <c r="Q48" s="40" t="e">
        <f>-#REF!</f>
        <v>#REF!</v>
      </c>
      <c r="R48" s="40" t="e">
        <f>-#REF!</f>
        <v>#REF!</v>
      </c>
      <c r="S48" s="40" t="e">
        <f>-#REF!</f>
        <v>#REF!</v>
      </c>
      <c r="T48" s="40" t="e">
        <f>-#REF!</f>
        <v>#REF!</v>
      </c>
      <c r="U48" s="40" t="e">
        <f>-#REF!</f>
        <v>#REF!</v>
      </c>
      <c r="V48" s="40" t="e">
        <f>-#REF!</f>
        <v>#REF!</v>
      </c>
      <c r="W48" s="50"/>
    </row>
    <row r="49" spans="1:35" ht="18.75" customHeight="1" x14ac:dyDescent="0.25">
      <c r="A49" s="55" t="s">
        <v>62</v>
      </c>
      <c r="B49" s="39" t="s">
        <v>48</v>
      </c>
      <c r="C49" s="40" t="e">
        <f>-#REF!</f>
        <v>#REF!</v>
      </c>
      <c r="D49" s="40" t="e">
        <f>-#REF!</f>
        <v>#REF!</v>
      </c>
      <c r="E49" s="40" t="e">
        <f>-#REF!</f>
        <v>#REF!</v>
      </c>
      <c r="F49" s="40" t="e">
        <f>-#REF!</f>
        <v>#REF!</v>
      </c>
      <c r="G49" s="40" t="e">
        <f>-#REF!</f>
        <v>#REF!</v>
      </c>
      <c r="H49" s="40" t="e">
        <f>-#REF!</f>
        <v>#REF!</v>
      </c>
      <c r="I49" s="40" t="e">
        <f>-#REF!</f>
        <v>#REF!</v>
      </c>
      <c r="J49" s="40" t="e">
        <f>-#REF!</f>
        <v>#REF!</v>
      </c>
      <c r="K49" s="40" t="e">
        <f>-#REF!</f>
        <v>#REF!</v>
      </c>
      <c r="L49" s="40" t="e">
        <f>-#REF!</f>
        <v>#REF!</v>
      </c>
      <c r="M49" s="40" t="e">
        <f>-#REF!</f>
        <v>#REF!</v>
      </c>
      <c r="N49" s="40" t="e">
        <f>-#REF!</f>
        <v>#REF!</v>
      </c>
      <c r="O49" s="40" t="e">
        <f>-#REF!</f>
        <v>#REF!</v>
      </c>
      <c r="P49" s="40" t="e">
        <f>-#REF!</f>
        <v>#REF!</v>
      </c>
      <c r="Q49" s="40" t="e">
        <f>-#REF!</f>
        <v>#REF!</v>
      </c>
      <c r="R49" s="40" t="e">
        <f>-#REF!</f>
        <v>#REF!</v>
      </c>
      <c r="S49" s="40" t="e">
        <f>-#REF!</f>
        <v>#REF!</v>
      </c>
      <c r="T49" s="40" t="e">
        <f>-#REF!</f>
        <v>#REF!</v>
      </c>
      <c r="U49" s="40" t="e">
        <f>-#REF!</f>
        <v>#REF!</v>
      </c>
      <c r="V49" s="40" t="e">
        <f>-#REF!</f>
        <v>#REF!</v>
      </c>
      <c r="W49" s="50"/>
    </row>
    <row r="50" spans="1:35" ht="18.75" customHeight="1" x14ac:dyDescent="0.25">
      <c r="A50" s="55" t="s">
        <v>63</v>
      </c>
      <c r="B50" s="39"/>
      <c r="C50" s="40" t="e">
        <f>-#REF!</f>
        <v>#REF!</v>
      </c>
      <c r="D50" s="40" t="e">
        <f>-#REF!</f>
        <v>#REF!</v>
      </c>
      <c r="E50" s="40" t="e">
        <f>-#REF!</f>
        <v>#REF!</v>
      </c>
      <c r="F50" s="40" t="e">
        <f>-#REF!</f>
        <v>#REF!</v>
      </c>
      <c r="G50" s="40" t="e">
        <f>-#REF!</f>
        <v>#REF!</v>
      </c>
      <c r="H50" s="40" t="e">
        <f>-#REF!</f>
        <v>#REF!</v>
      </c>
      <c r="I50" s="40" t="e">
        <f>-#REF!</f>
        <v>#REF!</v>
      </c>
      <c r="J50" s="40" t="e">
        <f>-#REF!</f>
        <v>#REF!</v>
      </c>
      <c r="K50" s="40" t="e">
        <f>-#REF!</f>
        <v>#REF!</v>
      </c>
      <c r="L50" s="40" t="e">
        <f>-#REF!</f>
        <v>#REF!</v>
      </c>
      <c r="M50" s="40" t="e">
        <f>-#REF!</f>
        <v>#REF!</v>
      </c>
      <c r="N50" s="40" t="e">
        <f>-#REF!</f>
        <v>#REF!</v>
      </c>
      <c r="O50" s="40" t="e">
        <f>-#REF!</f>
        <v>#REF!</v>
      </c>
      <c r="P50" s="40" t="e">
        <f>-#REF!</f>
        <v>#REF!</v>
      </c>
      <c r="Q50" s="40" t="e">
        <f>-#REF!</f>
        <v>#REF!</v>
      </c>
      <c r="R50" s="40" t="e">
        <f>-#REF!</f>
        <v>#REF!</v>
      </c>
      <c r="S50" s="40" t="e">
        <f>-#REF!</f>
        <v>#REF!</v>
      </c>
      <c r="T50" s="40" t="e">
        <f>-#REF!</f>
        <v>#REF!</v>
      </c>
      <c r="U50" s="40" t="e">
        <f>-#REF!</f>
        <v>#REF!</v>
      </c>
      <c r="V50" s="40" t="e">
        <f>-#REF!</f>
        <v>#REF!</v>
      </c>
      <c r="W50" s="50"/>
    </row>
    <row r="51" spans="1:35" ht="18.75" customHeight="1" x14ac:dyDescent="0.25">
      <c r="A51" s="55" t="s">
        <v>64</v>
      </c>
      <c r="B51" s="57"/>
      <c r="C51" s="58"/>
      <c r="D51" s="59"/>
      <c r="E51" s="40" t="e">
        <f>-(E41*#REF!)</f>
        <v>#REF!</v>
      </c>
      <c r="F51" s="40" t="e">
        <f>-(F41*#REF!)</f>
        <v>#REF!</v>
      </c>
      <c r="G51" s="40" t="e">
        <f>-(G41*#REF!)</f>
        <v>#REF!</v>
      </c>
      <c r="H51" s="40" t="e">
        <f>-(H41*#REF!)</f>
        <v>#REF!</v>
      </c>
      <c r="I51" s="40" t="e">
        <f>-(I41*#REF!)</f>
        <v>#REF!</v>
      </c>
      <c r="J51" s="40" t="e">
        <f>-(J41*#REF!)</f>
        <v>#REF!</v>
      </c>
      <c r="K51" s="40" t="e">
        <f>-(K41*#REF!)</f>
        <v>#REF!</v>
      </c>
      <c r="L51" s="40" t="e">
        <f>-(L41*#REF!)</f>
        <v>#REF!</v>
      </c>
      <c r="M51" s="40" t="e">
        <f>-(M41*#REF!)</f>
        <v>#REF!</v>
      </c>
      <c r="N51" s="40" t="e">
        <f>-(N41*#REF!)</f>
        <v>#REF!</v>
      </c>
      <c r="O51" s="40" t="e">
        <f>-(O41*#REF!)</f>
        <v>#REF!</v>
      </c>
      <c r="P51" s="40" t="e">
        <f>-(P41*#REF!)</f>
        <v>#REF!</v>
      </c>
      <c r="Q51" s="40" t="e">
        <f>-(Q41*#REF!)</f>
        <v>#REF!</v>
      </c>
      <c r="R51" s="40" t="e">
        <f>-(R41*#REF!)</f>
        <v>#REF!</v>
      </c>
      <c r="S51" s="40" t="e">
        <f>-(S41*#REF!)</f>
        <v>#REF!</v>
      </c>
      <c r="T51" s="40" t="e">
        <f>-(T41*#REF!)</f>
        <v>#REF!</v>
      </c>
      <c r="U51" s="40" t="e">
        <f>-(U41*#REF!)</f>
        <v>#REF!</v>
      </c>
      <c r="V51" s="40" t="e">
        <f>-(V41*#REF!)</f>
        <v>#REF!</v>
      </c>
      <c r="W51" s="50"/>
    </row>
    <row r="52" spans="1:35" ht="18.75" customHeight="1" x14ac:dyDescent="0.25">
      <c r="A52" s="55" t="s">
        <v>65</v>
      </c>
      <c r="B52" s="57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50"/>
    </row>
    <row r="53" spans="1:35" ht="18.75" customHeight="1" x14ac:dyDescent="0.25">
      <c r="A53" s="60" t="s">
        <v>66</v>
      </c>
      <c r="B53" s="57"/>
      <c r="C53" s="61"/>
      <c r="D53" s="61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50"/>
    </row>
    <row r="54" spans="1:35" ht="18.75" customHeight="1" x14ac:dyDescent="0.25">
      <c r="A54" s="60" t="s">
        <v>67</v>
      </c>
      <c r="B54" s="57"/>
      <c r="C54" s="40" t="e">
        <f>IF((#REF!+SUM(#REF!+#REF!+#REF!+#REF!+#REF!+#REF!))&gt;0,-(#REF!+SUM(#REF!+#REF!+#REF!+#REF!+#REF!+#REF!))*0.2,0)</f>
        <v>#REF!</v>
      </c>
      <c r="D54" s="40" t="e">
        <f>IF((#REF!+SUM(#REF!+#REF!+#REF!+#REF!+#REF!+#REF!))&gt;0,-(#REF!+SUM(#REF!+#REF!+#REF!+#REF!+#REF!+#REF!))*0.2,0)</f>
        <v>#REF!</v>
      </c>
      <c r="E54" s="40" t="e">
        <f>IF((#REF!+SUM(#REF!+#REF!+#REF!+#REF!+#REF!+#REF!))&gt;0,-(#REF!+SUM(#REF!+#REF!+#REF!+#REF!+#REF!+#REF!))*0.2,0)</f>
        <v>#REF!</v>
      </c>
      <c r="F54" s="40" t="e">
        <f>IF((#REF!+SUM(#REF!+#REF!+#REF!+#REF!+#REF!+#REF!))&gt;0,-(#REF!+SUM(#REF!+#REF!+#REF!+#REF!+#REF!+#REF!))*0.2,0)</f>
        <v>#REF!</v>
      </c>
      <c r="G54" s="40" t="e">
        <f>IF((#REF!+SUM(#REF!+#REF!+#REF!+#REF!+#REF!+#REF!))&gt;0,-(#REF!+SUM(#REF!+#REF!+#REF!+#REF!+#REF!+#REF!))*0.2,0)</f>
        <v>#REF!</v>
      </c>
      <c r="H54" s="40" t="e">
        <f>IF((#REF!+SUM(#REF!+#REF!+#REF!+#REF!+#REF!+#REF!))&gt;0,-(#REF!+SUM(#REF!+#REF!+#REF!+#REF!+#REF!+#REF!))*0.2,0)</f>
        <v>#REF!</v>
      </c>
      <c r="I54" s="40" t="e">
        <f>IF((#REF!+SUM(#REF!+#REF!+#REF!+#REF!+#REF!+#REF!))&gt;0,-(#REF!+SUM(#REF!+#REF!+#REF!+#REF!+#REF!+#REF!))*0.2,0)</f>
        <v>#REF!</v>
      </c>
      <c r="J54" s="40" t="e">
        <f>IF((#REF!+SUM(#REF!+#REF!+#REF!+#REF!+#REF!+#REF!))&gt;0,-(#REF!+SUM(#REF!+#REF!+#REF!+#REF!+#REF!+#REF!))*0.2,0)</f>
        <v>#REF!</v>
      </c>
      <c r="K54" s="40" t="e">
        <f>IF((#REF!+SUM(#REF!+#REF!+#REF!+#REF!+#REF!+#REF!))&gt;0,-(#REF!+SUM(#REF!+#REF!+#REF!+#REF!+#REF!+#REF!))*0.2,0)</f>
        <v>#REF!</v>
      </c>
      <c r="L54" s="40" t="e">
        <f>IF((#REF!+SUM(#REF!+#REF!+#REF!+#REF!+#REF!+#REF!))&gt;0,-(#REF!+SUM(#REF!+#REF!+#REF!+#REF!+#REF!+#REF!))*0.2,0)</f>
        <v>#REF!</v>
      </c>
      <c r="M54" s="40" t="e">
        <f>IF((#REF!+SUM(#REF!+#REF!+#REF!+#REF!+#REF!+#REF!))&gt;0,-(#REF!+SUM(#REF!+#REF!+#REF!+#REF!+#REF!+#REF!))*0.2,0)</f>
        <v>#REF!</v>
      </c>
      <c r="N54" s="40" t="e">
        <f>IF((#REF!+SUM(#REF!+#REF!+#REF!+#REF!+#REF!+#REF!))&gt;0,-(#REF!+SUM(#REF!+#REF!+#REF!+#REF!+#REF!+#REF!))*0.2,0)</f>
        <v>#REF!</v>
      </c>
      <c r="O54" s="40" t="e">
        <f>IF((#REF!+SUM(#REF!+#REF!+#REF!+#REF!+#REF!+#REF!))&gt;0,-(#REF!+SUM(#REF!+#REF!+#REF!+#REF!+#REF!+#REF!))*0.2,0)</f>
        <v>#REF!</v>
      </c>
      <c r="P54" s="40" t="e">
        <f>IF((#REF!+SUM(#REF!+#REF!+#REF!+#REF!+#REF!+#REF!))&gt;0,-(#REF!+SUM(#REF!+#REF!+#REF!+#REF!+#REF!+#REF!))*0.2,0)</f>
        <v>#REF!</v>
      </c>
      <c r="Q54" s="40" t="e">
        <f>IF((#REF!+SUM(#REF!+#REF!+#REF!+#REF!+#REF!+#REF!))&gt;0,-(#REF!+SUM(#REF!+#REF!+#REF!+#REF!+#REF!+#REF!))*0.2,0)</f>
        <v>#REF!</v>
      </c>
      <c r="R54" s="40" t="e">
        <f>IF((#REF!+SUM(#REF!+#REF!+#REF!+#REF!+#REF!+#REF!))&gt;0,-(#REF!+SUM(#REF!+#REF!+#REF!+#REF!+#REF!+#REF!))*0.2,0)</f>
        <v>#REF!</v>
      </c>
      <c r="S54" s="40" t="e">
        <f>IF((#REF!+SUM(#REF!+#REF!+#REF!+#REF!+#REF!+#REF!))&gt;0,-(#REF!+SUM(#REF!+#REF!+#REF!+#REF!+#REF!+#REF!))*0.2,0)</f>
        <v>#REF!</v>
      </c>
      <c r="T54" s="40" t="e">
        <f>IF((#REF!+SUM(#REF!+#REF!+#REF!+#REF!+#REF!+#REF!))&gt;0,-(#REF!+SUM(#REF!+#REF!+#REF!+#REF!+#REF!+#REF!))*0.2,0)</f>
        <v>#REF!</v>
      </c>
      <c r="U54" s="40" t="e">
        <f>IF((#REF!+SUM(#REF!+#REF!+#REF!+#REF!+#REF!+#REF!))&gt;0,-(#REF!+SUM(#REF!+#REF!+#REF!+#REF!+#REF!+#REF!))*0.2,0)</f>
        <v>#REF!</v>
      </c>
      <c r="V54" s="40" t="e">
        <f>IF((#REF!+SUM(#REF!+#REF!+#REF!+#REF!+#REF!+#REF!))&gt;0,-(#REF!+SUM(#REF!+#REF!+#REF!+#REF!+#REF!+#REF!))*0.2,0)</f>
        <v>#REF!</v>
      </c>
      <c r="W54" s="50"/>
    </row>
    <row r="55" spans="1:35" ht="18.75" customHeight="1" thickBot="1" x14ac:dyDescent="0.3">
      <c r="A55" s="62"/>
      <c r="B55" s="57"/>
      <c r="C55" s="59"/>
      <c r="D55" s="5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3"/>
    </row>
    <row r="56" spans="1:35" ht="18.75" customHeight="1" x14ac:dyDescent="0.25">
      <c r="A56" s="64" t="s">
        <v>68</v>
      </c>
      <c r="B56" s="65" t="e">
        <f>B44</f>
        <v>#REF!</v>
      </c>
      <c r="C56" s="66" t="e">
        <f t="shared" ref="C56:V56" si="0">SUM(C41:C54)</f>
        <v>#REF!</v>
      </c>
      <c r="D56" s="65" t="e">
        <f t="shared" si="0"/>
        <v>#REF!</v>
      </c>
      <c r="E56" s="65" t="e">
        <f t="shared" si="0"/>
        <v>#REF!</v>
      </c>
      <c r="F56" s="65" t="e">
        <f t="shared" si="0"/>
        <v>#REF!</v>
      </c>
      <c r="G56" s="65" t="e">
        <f t="shared" si="0"/>
        <v>#REF!</v>
      </c>
      <c r="H56" s="65" t="e">
        <f t="shared" si="0"/>
        <v>#REF!</v>
      </c>
      <c r="I56" s="65" t="e">
        <f t="shared" si="0"/>
        <v>#REF!</v>
      </c>
      <c r="J56" s="65" t="e">
        <f t="shared" si="0"/>
        <v>#REF!</v>
      </c>
      <c r="K56" s="65" t="e">
        <f t="shared" si="0"/>
        <v>#REF!</v>
      </c>
      <c r="L56" s="65" t="e">
        <f t="shared" si="0"/>
        <v>#REF!</v>
      </c>
      <c r="M56" s="65" t="e">
        <f t="shared" si="0"/>
        <v>#REF!</v>
      </c>
      <c r="N56" s="65" t="e">
        <f t="shared" si="0"/>
        <v>#REF!</v>
      </c>
      <c r="O56" s="65" t="e">
        <f t="shared" si="0"/>
        <v>#REF!</v>
      </c>
      <c r="P56" s="65" t="e">
        <f t="shared" si="0"/>
        <v>#REF!</v>
      </c>
      <c r="Q56" s="65" t="e">
        <f t="shared" si="0"/>
        <v>#REF!</v>
      </c>
      <c r="R56" s="65" t="e">
        <f t="shared" si="0"/>
        <v>#REF!</v>
      </c>
      <c r="S56" s="65" t="e">
        <f t="shared" si="0"/>
        <v>#REF!</v>
      </c>
      <c r="T56" s="65" t="e">
        <f t="shared" si="0"/>
        <v>#REF!</v>
      </c>
      <c r="U56" s="65" t="e">
        <f t="shared" si="0"/>
        <v>#REF!</v>
      </c>
      <c r="V56" s="65" t="e">
        <f t="shared" si="0"/>
        <v>#REF!</v>
      </c>
      <c r="W56" s="67"/>
      <c r="X56" s="68"/>
      <c r="Y56" s="69"/>
      <c r="Z56" s="68"/>
      <c r="AA56" s="68"/>
      <c r="AB56" s="68"/>
      <c r="AC56" s="68"/>
      <c r="AD56" s="68"/>
      <c r="AE56" s="68"/>
      <c r="AF56" s="68"/>
      <c r="AG56" s="68"/>
      <c r="AH56" s="68"/>
      <c r="AI56" s="68"/>
    </row>
    <row r="57" spans="1:35" ht="18.75" customHeight="1" thickBot="1" x14ac:dyDescent="0.3">
      <c r="A57" s="70" t="s">
        <v>69</v>
      </c>
      <c r="B57" s="71"/>
      <c r="C57" s="72" t="e">
        <f>C56+B56</f>
        <v>#REF!</v>
      </c>
      <c r="D57" s="72" t="e">
        <f t="shared" ref="D57:V57" si="1">D56+C57</f>
        <v>#REF!</v>
      </c>
      <c r="E57" s="72" t="e">
        <f t="shared" si="1"/>
        <v>#REF!</v>
      </c>
      <c r="F57" s="72" t="e">
        <f t="shared" si="1"/>
        <v>#REF!</v>
      </c>
      <c r="G57" s="72" t="e">
        <f t="shared" si="1"/>
        <v>#REF!</v>
      </c>
      <c r="H57" s="72" t="e">
        <f t="shared" si="1"/>
        <v>#REF!</v>
      </c>
      <c r="I57" s="72" t="e">
        <f t="shared" si="1"/>
        <v>#REF!</v>
      </c>
      <c r="J57" s="72" t="e">
        <f t="shared" si="1"/>
        <v>#REF!</v>
      </c>
      <c r="K57" s="72" t="e">
        <f t="shared" si="1"/>
        <v>#REF!</v>
      </c>
      <c r="L57" s="72" t="e">
        <f t="shared" si="1"/>
        <v>#REF!</v>
      </c>
      <c r="M57" s="72" t="e">
        <f t="shared" si="1"/>
        <v>#REF!</v>
      </c>
      <c r="N57" s="72" t="e">
        <f t="shared" si="1"/>
        <v>#REF!</v>
      </c>
      <c r="O57" s="72" t="e">
        <f t="shared" si="1"/>
        <v>#REF!</v>
      </c>
      <c r="P57" s="72" t="e">
        <f t="shared" si="1"/>
        <v>#REF!</v>
      </c>
      <c r="Q57" s="72" t="e">
        <f t="shared" si="1"/>
        <v>#REF!</v>
      </c>
      <c r="R57" s="72" t="e">
        <f t="shared" si="1"/>
        <v>#REF!</v>
      </c>
      <c r="S57" s="72" t="e">
        <f t="shared" si="1"/>
        <v>#REF!</v>
      </c>
      <c r="T57" s="72" t="e">
        <f t="shared" si="1"/>
        <v>#REF!</v>
      </c>
      <c r="U57" s="72" t="e">
        <f t="shared" si="1"/>
        <v>#REF!</v>
      </c>
      <c r="V57" s="72" t="e">
        <f t="shared" si="1"/>
        <v>#REF!</v>
      </c>
      <c r="W57" s="73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</row>
    <row r="58" spans="1:35" ht="18.75" hidden="1" customHeight="1" x14ac:dyDescent="0.25">
      <c r="A58" s="74" t="s">
        <v>70</v>
      </c>
      <c r="B58" s="75">
        <v>-37721416.399999999</v>
      </c>
      <c r="C58" s="76"/>
      <c r="D58" s="76"/>
      <c r="E58" s="77">
        <v>4765724.1019346248</v>
      </c>
      <c r="F58" s="77">
        <v>4715578.6871229885</v>
      </c>
      <c r="G58" s="77">
        <v>4665433.2723113531</v>
      </c>
      <c r="H58" s="77">
        <v>4615287.8574997187</v>
      </c>
      <c r="I58" s="77">
        <v>4565142.4426880814</v>
      </c>
      <c r="J58" s="77">
        <v>4517504.2986170296</v>
      </c>
      <c r="K58" s="77">
        <v>4469866.1545459758</v>
      </c>
      <c r="L58" s="77">
        <v>4422228.0104749212</v>
      </c>
      <c r="M58" s="77">
        <v>4374589.8664038675</v>
      </c>
      <c r="N58" s="77">
        <v>4326951.7223328147</v>
      </c>
      <c r="O58" s="77">
        <v>4284954.9374280693</v>
      </c>
      <c r="P58" s="77">
        <v>4242958.1525233248</v>
      </c>
      <c r="Q58" s="77">
        <v>4200961.3676185803</v>
      </c>
      <c r="R58" s="77">
        <v>4158964.5827138354</v>
      </c>
      <c r="S58" s="77">
        <v>4116967.7978090928</v>
      </c>
      <c r="T58" s="77">
        <v>4074971.0129043465</v>
      </c>
      <c r="U58" s="77">
        <v>4032974.227999602</v>
      </c>
      <c r="V58" s="77">
        <v>3990977.4430948575</v>
      </c>
      <c r="W58" s="7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</row>
    <row r="59" spans="1:35" ht="18.75" hidden="1" customHeight="1" x14ac:dyDescent="0.25">
      <c r="A59" s="74" t="s">
        <v>71</v>
      </c>
      <c r="B59" s="79"/>
      <c r="C59" s="61"/>
      <c r="D59" s="61"/>
      <c r="E59" s="61">
        <v>1886070.8199999998</v>
      </c>
      <c r="F59" s="61">
        <v>1886070.8199999998</v>
      </c>
      <c r="G59" s="61">
        <v>1886070.8199999998</v>
      </c>
      <c r="H59" s="61">
        <v>1886070.8199999998</v>
      </c>
      <c r="I59" s="61">
        <v>1886070.8199999998</v>
      </c>
      <c r="J59" s="61">
        <v>1886070.8199999998</v>
      </c>
      <c r="K59" s="61">
        <v>1886070.8199999998</v>
      </c>
      <c r="L59" s="61">
        <v>1886070.8199999998</v>
      </c>
      <c r="M59" s="61">
        <v>1886070.8199999998</v>
      </c>
      <c r="N59" s="61">
        <v>1886070.8199999998</v>
      </c>
      <c r="O59" s="61">
        <v>1886070.8199999998</v>
      </c>
      <c r="P59" s="61">
        <v>1886070.8199999998</v>
      </c>
      <c r="Q59" s="61">
        <v>1886070.8199999998</v>
      </c>
      <c r="R59" s="61">
        <v>1886070.8199999998</v>
      </c>
      <c r="S59" s="61">
        <v>1886070.8199999998</v>
      </c>
      <c r="T59" s="61">
        <v>1886070.8199999998</v>
      </c>
      <c r="U59" s="61">
        <v>1886070.8199999998</v>
      </c>
      <c r="V59" s="61">
        <v>1886070.8199999998</v>
      </c>
      <c r="W59" s="80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</row>
    <row r="60" spans="1:35" ht="18.75" hidden="1" customHeight="1" x14ac:dyDescent="0.25">
      <c r="A60" s="74" t="s">
        <v>72</v>
      </c>
      <c r="B60" s="79"/>
      <c r="C60" s="61"/>
      <c r="D60" s="61"/>
      <c r="E60" s="61">
        <v>0</v>
      </c>
      <c r="F60" s="61">
        <v>0</v>
      </c>
      <c r="G60" s="61">
        <v>0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80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</row>
    <row r="61" spans="1:35" ht="18.75" hidden="1" customHeight="1" x14ac:dyDescent="0.25">
      <c r="A61" s="81" t="s">
        <v>73</v>
      </c>
      <c r="B61" s="82"/>
      <c r="C61" s="83"/>
      <c r="D61" s="83"/>
      <c r="E61" s="83">
        <v>2879653.281934625</v>
      </c>
      <c r="F61" s="83">
        <v>2829507.8671229887</v>
      </c>
      <c r="G61" s="83">
        <v>2779362.4523113533</v>
      </c>
      <c r="H61" s="83">
        <v>2729217.0374997188</v>
      </c>
      <c r="I61" s="83">
        <v>2679071.6226880816</v>
      </c>
      <c r="J61" s="83">
        <v>2631433.4786170297</v>
      </c>
      <c r="K61" s="83">
        <v>2583795.334545976</v>
      </c>
      <c r="L61" s="83">
        <v>2536157.1904749214</v>
      </c>
      <c r="M61" s="83">
        <v>2488519.0464038677</v>
      </c>
      <c r="N61" s="83">
        <v>2440880.9023328149</v>
      </c>
      <c r="O61" s="83">
        <v>2398884.1174280695</v>
      </c>
      <c r="P61" s="83">
        <v>2356887.332523325</v>
      </c>
      <c r="Q61" s="83">
        <v>2314890.5476185805</v>
      </c>
      <c r="R61" s="83">
        <v>2272893.7627138356</v>
      </c>
      <c r="S61" s="83">
        <v>2230896.977809093</v>
      </c>
      <c r="T61" s="83">
        <v>2188900.1929043466</v>
      </c>
      <c r="U61" s="83">
        <v>2146903.4079996021</v>
      </c>
      <c r="V61" s="83">
        <v>2104906.6230948577</v>
      </c>
      <c r="W61" s="84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</row>
    <row r="62" spans="1:35" ht="18.75" hidden="1" customHeight="1" x14ac:dyDescent="0.25">
      <c r="A62" s="85" t="s">
        <v>74</v>
      </c>
      <c r="B62" s="86"/>
      <c r="C62" s="87"/>
      <c r="D62" s="87"/>
      <c r="E62" s="88">
        <v>0.76340009383492435</v>
      </c>
      <c r="F62" s="88">
        <v>0.75010647456042745</v>
      </c>
      <c r="G62" s="88">
        <v>0.73681285528593077</v>
      </c>
      <c r="H62" s="88">
        <v>0.72351923601143431</v>
      </c>
      <c r="I62" s="88">
        <v>0.71022561673693718</v>
      </c>
      <c r="J62" s="88">
        <v>0.69759667842616591</v>
      </c>
      <c r="K62" s="88">
        <v>0.68496774011539407</v>
      </c>
      <c r="L62" s="88">
        <v>0.67233880180462191</v>
      </c>
      <c r="M62" s="88">
        <v>0.65970986349385008</v>
      </c>
      <c r="N62" s="88">
        <v>0.64708092518307847</v>
      </c>
      <c r="O62" s="88">
        <v>0.63594751904068736</v>
      </c>
      <c r="P62" s="88">
        <v>0.62481411289829647</v>
      </c>
      <c r="Q62" s="88">
        <v>0.61368070675590558</v>
      </c>
      <c r="R62" s="88">
        <v>0.60254730061351458</v>
      </c>
      <c r="S62" s="88">
        <v>0.59141389447112414</v>
      </c>
      <c r="T62" s="88">
        <v>0.5802804883287328</v>
      </c>
      <c r="U62" s="88">
        <v>0.5691470821863418</v>
      </c>
      <c r="V62" s="88">
        <v>0.55801367604395091</v>
      </c>
      <c r="W62" s="89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</row>
    <row r="63" spans="1:35" ht="18.75" customHeight="1" thickBot="1" x14ac:dyDescent="0.3">
      <c r="A63" s="90" t="s">
        <v>75</v>
      </c>
      <c r="B63" s="91"/>
      <c r="C63" s="92" t="e">
        <f t="shared" ref="C63:V63" si="2">IF((C57)&gt;0,"回收","未回收")</f>
        <v>#REF!</v>
      </c>
      <c r="D63" s="92" t="e">
        <f t="shared" si="2"/>
        <v>#REF!</v>
      </c>
      <c r="E63" s="92" t="e">
        <f t="shared" si="2"/>
        <v>#REF!</v>
      </c>
      <c r="F63" s="92" t="e">
        <f t="shared" si="2"/>
        <v>#REF!</v>
      </c>
      <c r="G63" s="92" t="e">
        <f t="shared" si="2"/>
        <v>#REF!</v>
      </c>
      <c r="H63" s="92" t="e">
        <f t="shared" si="2"/>
        <v>#REF!</v>
      </c>
      <c r="I63" s="92" t="e">
        <f t="shared" si="2"/>
        <v>#REF!</v>
      </c>
      <c r="J63" s="92" t="e">
        <f t="shared" si="2"/>
        <v>#REF!</v>
      </c>
      <c r="K63" s="92" t="e">
        <f t="shared" si="2"/>
        <v>#REF!</v>
      </c>
      <c r="L63" s="92" t="e">
        <f t="shared" si="2"/>
        <v>#REF!</v>
      </c>
      <c r="M63" s="92" t="e">
        <f t="shared" si="2"/>
        <v>#REF!</v>
      </c>
      <c r="N63" s="92" t="e">
        <f t="shared" si="2"/>
        <v>#REF!</v>
      </c>
      <c r="O63" s="92" t="e">
        <f t="shared" si="2"/>
        <v>#REF!</v>
      </c>
      <c r="P63" s="92" t="e">
        <f t="shared" si="2"/>
        <v>#REF!</v>
      </c>
      <c r="Q63" s="92" t="e">
        <f t="shared" si="2"/>
        <v>#REF!</v>
      </c>
      <c r="R63" s="92" t="e">
        <f t="shared" si="2"/>
        <v>#REF!</v>
      </c>
      <c r="S63" s="92" t="e">
        <f t="shared" si="2"/>
        <v>#REF!</v>
      </c>
      <c r="T63" s="92" t="e">
        <f t="shared" si="2"/>
        <v>#REF!</v>
      </c>
      <c r="U63" s="92" t="e">
        <f t="shared" si="2"/>
        <v>#REF!</v>
      </c>
      <c r="V63" s="92" t="e">
        <f t="shared" si="2"/>
        <v>#REF!</v>
      </c>
      <c r="W63" s="93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</row>
    <row r="64" spans="1:35" ht="18.75" customHeight="1" x14ac:dyDescent="0.25">
      <c r="A64" s="28"/>
      <c r="B64" s="94"/>
      <c r="C64" s="94"/>
      <c r="D64" s="94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95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</row>
    <row r="65" spans="1:35" ht="18.75" customHeight="1" x14ac:dyDescent="0.25">
      <c r="A65" s="28"/>
      <c r="B65" s="94"/>
      <c r="C65" s="94"/>
      <c r="D65" s="94"/>
      <c r="E65" s="59"/>
      <c r="F65" s="59"/>
      <c r="G65" s="59"/>
      <c r="H65" s="59"/>
      <c r="I65" s="59"/>
      <c r="J65" s="59"/>
      <c r="K65" s="59" t="s">
        <v>76</v>
      </c>
      <c r="L65" s="96">
        <v>0</v>
      </c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95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</row>
    <row r="66" spans="1:35" ht="18.75" customHeight="1" x14ac:dyDescent="0.25">
      <c r="A66" s="28"/>
      <c r="B66" s="94"/>
      <c r="C66" s="94"/>
      <c r="D66" s="94"/>
      <c r="E66" s="59"/>
      <c r="F66" s="59"/>
      <c r="G66" s="59"/>
      <c r="H66" s="59"/>
      <c r="I66" s="59"/>
      <c r="J66" s="59"/>
      <c r="K66" s="59" t="s">
        <v>76</v>
      </c>
      <c r="L66" s="96">
        <v>0</v>
      </c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95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</row>
    <row r="67" spans="1:35" ht="18.75" customHeight="1" x14ac:dyDescent="0.25">
      <c r="B67" s="97" t="s">
        <v>49</v>
      </c>
      <c r="C67" s="98">
        <v>2020</v>
      </c>
      <c r="D67" s="98">
        <v>2021</v>
      </c>
      <c r="E67" s="98">
        <v>2022</v>
      </c>
      <c r="F67" s="98">
        <v>2023</v>
      </c>
      <c r="G67" s="98">
        <v>2024</v>
      </c>
      <c r="H67" s="98">
        <v>2025</v>
      </c>
      <c r="I67" s="98">
        <v>2026</v>
      </c>
      <c r="J67" s="98">
        <v>2027</v>
      </c>
      <c r="K67" s="98">
        <v>2028</v>
      </c>
      <c r="L67" s="98">
        <v>2029</v>
      </c>
      <c r="M67" s="98">
        <v>2030</v>
      </c>
      <c r="N67" s="98">
        <v>2031</v>
      </c>
      <c r="O67" s="98">
        <v>2032</v>
      </c>
      <c r="P67" s="98">
        <v>2033</v>
      </c>
      <c r="Q67" s="98">
        <v>2034</v>
      </c>
      <c r="R67" s="98">
        <v>2035</v>
      </c>
      <c r="S67" s="98">
        <v>2036</v>
      </c>
      <c r="T67" s="98">
        <v>2037</v>
      </c>
      <c r="U67" s="98">
        <v>2038</v>
      </c>
      <c r="V67" s="98">
        <v>2039</v>
      </c>
      <c r="W67" s="99"/>
    </row>
    <row r="68" spans="1:35" ht="18.75" customHeight="1" x14ac:dyDescent="0.25">
      <c r="W68" s="99"/>
    </row>
    <row r="69" spans="1:35" ht="18.75" customHeight="1" x14ac:dyDescent="0.25">
      <c r="A69" s="100" t="s">
        <v>52</v>
      </c>
      <c r="B69" s="101">
        <v>0</v>
      </c>
      <c r="C69" s="101">
        <v>1</v>
      </c>
      <c r="D69" s="101">
        <v>2</v>
      </c>
      <c r="E69" s="101">
        <v>3</v>
      </c>
      <c r="F69" s="101">
        <v>4</v>
      </c>
      <c r="G69" s="101">
        <v>5</v>
      </c>
      <c r="H69" s="101">
        <v>6</v>
      </c>
      <c r="I69" s="101">
        <v>7</v>
      </c>
      <c r="J69" s="101">
        <v>8</v>
      </c>
      <c r="K69" s="101">
        <v>9</v>
      </c>
      <c r="L69" s="101">
        <v>10</v>
      </c>
      <c r="M69" s="101">
        <v>11</v>
      </c>
      <c r="N69" s="101">
        <v>12</v>
      </c>
      <c r="O69" s="101">
        <v>13</v>
      </c>
      <c r="P69" s="101">
        <v>14</v>
      </c>
      <c r="Q69" s="101">
        <v>15</v>
      </c>
      <c r="R69" s="101">
        <v>16</v>
      </c>
      <c r="S69" s="101">
        <v>17</v>
      </c>
      <c r="T69" s="101">
        <v>18</v>
      </c>
      <c r="U69" s="101">
        <v>19</v>
      </c>
      <c r="V69" s="101">
        <v>20</v>
      </c>
      <c r="W69" s="102"/>
    </row>
    <row r="70" spans="1:35" ht="18.75" customHeight="1" x14ac:dyDescent="0.25">
      <c r="A70" s="103" t="s">
        <v>77</v>
      </c>
      <c r="B70" s="104"/>
      <c r="C70" s="104" t="e">
        <f>#REF!</f>
        <v>#REF!</v>
      </c>
      <c r="D70" s="104" t="e">
        <f>#REF!</f>
        <v>#REF!</v>
      </c>
      <c r="E70" s="104" t="e">
        <f>#REF!</f>
        <v>#REF!</v>
      </c>
      <c r="F70" s="104" t="e">
        <f>#REF!</f>
        <v>#REF!</v>
      </c>
      <c r="G70" s="104" t="e">
        <f>#REF!</f>
        <v>#REF!</v>
      </c>
      <c r="H70" s="104" t="e">
        <f>#REF!</f>
        <v>#REF!</v>
      </c>
      <c r="I70" s="104" t="e">
        <f>#REF!</f>
        <v>#REF!</v>
      </c>
      <c r="J70" s="104" t="e">
        <f>#REF!</f>
        <v>#REF!</v>
      </c>
      <c r="K70" s="104" t="e">
        <f>#REF!</f>
        <v>#REF!</v>
      </c>
      <c r="L70" s="104" t="e">
        <f>#REF!</f>
        <v>#REF!</v>
      </c>
      <c r="M70" s="104" t="e">
        <f>#REF!</f>
        <v>#REF!</v>
      </c>
      <c r="N70" s="104" t="e">
        <f>#REF!</f>
        <v>#REF!</v>
      </c>
      <c r="O70" s="104" t="e">
        <f>#REF!</f>
        <v>#REF!</v>
      </c>
      <c r="P70" s="104" t="e">
        <f>#REF!</f>
        <v>#REF!</v>
      </c>
      <c r="Q70" s="104" t="e">
        <f>#REF!</f>
        <v>#REF!</v>
      </c>
      <c r="R70" s="104" t="e">
        <f>#REF!</f>
        <v>#REF!</v>
      </c>
      <c r="S70" s="104" t="e">
        <f>#REF!</f>
        <v>#REF!</v>
      </c>
      <c r="T70" s="104" t="e">
        <f>#REF!</f>
        <v>#REF!</v>
      </c>
      <c r="U70" s="104" t="e">
        <f>#REF!</f>
        <v>#REF!</v>
      </c>
      <c r="V70" s="104" t="e">
        <f>#REF!</f>
        <v>#REF!</v>
      </c>
      <c r="W70" s="77"/>
    </row>
    <row r="71" spans="1:35" ht="18.75" customHeight="1" x14ac:dyDescent="0.25">
      <c r="A71" s="103" t="s">
        <v>78</v>
      </c>
      <c r="B71" s="104"/>
      <c r="C71" s="105" t="e">
        <f>-#REF!</f>
        <v>#REF!</v>
      </c>
      <c r="D71" s="105" t="e">
        <f>-#REF!</f>
        <v>#REF!</v>
      </c>
      <c r="E71" s="105" t="e">
        <f>-#REF!</f>
        <v>#REF!</v>
      </c>
      <c r="F71" s="105" t="e">
        <f>-#REF!</f>
        <v>#REF!</v>
      </c>
      <c r="G71" s="105" t="e">
        <f>-#REF!</f>
        <v>#REF!</v>
      </c>
      <c r="H71" s="105" t="e">
        <f>-#REF!</f>
        <v>#REF!</v>
      </c>
      <c r="I71" s="105" t="e">
        <f>-#REF!</f>
        <v>#REF!</v>
      </c>
      <c r="J71" s="105" t="e">
        <f>-#REF!</f>
        <v>#REF!</v>
      </c>
      <c r="K71" s="105" t="e">
        <f>-#REF!</f>
        <v>#REF!</v>
      </c>
      <c r="L71" s="105" t="e">
        <f>-#REF!</f>
        <v>#REF!</v>
      </c>
      <c r="M71" s="105" t="e">
        <f>-#REF!</f>
        <v>#REF!</v>
      </c>
      <c r="N71" s="105" t="e">
        <f>-#REF!</f>
        <v>#REF!</v>
      </c>
      <c r="O71" s="105" t="e">
        <f>-#REF!</f>
        <v>#REF!</v>
      </c>
      <c r="P71" s="105" t="e">
        <f>-#REF!</f>
        <v>#REF!</v>
      </c>
      <c r="Q71" s="105" t="e">
        <f>-#REF!</f>
        <v>#REF!</v>
      </c>
      <c r="R71" s="105" t="e">
        <f>-#REF!</f>
        <v>#REF!</v>
      </c>
      <c r="S71" s="105" t="e">
        <f>-#REF!</f>
        <v>#REF!</v>
      </c>
      <c r="T71" s="105" t="e">
        <f>-#REF!</f>
        <v>#REF!</v>
      </c>
      <c r="U71" s="105" t="e">
        <f>-#REF!</f>
        <v>#REF!</v>
      </c>
      <c r="V71" s="105" t="e">
        <f>-#REF!</f>
        <v>#REF!</v>
      </c>
      <c r="W71" s="77"/>
    </row>
    <row r="72" spans="1:35" ht="18.75" customHeight="1" x14ac:dyDescent="0.25">
      <c r="A72" s="103" t="s">
        <v>79</v>
      </c>
      <c r="B72" s="104"/>
      <c r="C72" s="106" t="e">
        <f t="shared" ref="C72:V72" si="3">SUM(C70:C71)</f>
        <v>#REF!</v>
      </c>
      <c r="D72" s="106" t="e">
        <f t="shared" si="3"/>
        <v>#REF!</v>
      </c>
      <c r="E72" s="106" t="e">
        <f t="shared" si="3"/>
        <v>#REF!</v>
      </c>
      <c r="F72" s="106" t="e">
        <f t="shared" si="3"/>
        <v>#REF!</v>
      </c>
      <c r="G72" s="106" t="e">
        <f t="shared" si="3"/>
        <v>#REF!</v>
      </c>
      <c r="H72" s="106" t="e">
        <f t="shared" si="3"/>
        <v>#REF!</v>
      </c>
      <c r="I72" s="106" t="e">
        <f t="shared" si="3"/>
        <v>#REF!</v>
      </c>
      <c r="J72" s="106" t="e">
        <f t="shared" si="3"/>
        <v>#REF!</v>
      </c>
      <c r="K72" s="106" t="e">
        <f t="shared" si="3"/>
        <v>#REF!</v>
      </c>
      <c r="L72" s="106" t="e">
        <f t="shared" si="3"/>
        <v>#REF!</v>
      </c>
      <c r="M72" s="106" t="e">
        <f t="shared" si="3"/>
        <v>#REF!</v>
      </c>
      <c r="N72" s="106" t="e">
        <f t="shared" si="3"/>
        <v>#REF!</v>
      </c>
      <c r="O72" s="106" t="e">
        <f t="shared" si="3"/>
        <v>#REF!</v>
      </c>
      <c r="P72" s="106" t="e">
        <f t="shared" si="3"/>
        <v>#REF!</v>
      </c>
      <c r="Q72" s="106" t="e">
        <f t="shared" si="3"/>
        <v>#REF!</v>
      </c>
      <c r="R72" s="106" t="e">
        <f t="shared" si="3"/>
        <v>#REF!</v>
      </c>
      <c r="S72" s="106" t="e">
        <f t="shared" si="3"/>
        <v>#REF!</v>
      </c>
      <c r="T72" s="106" t="e">
        <f t="shared" si="3"/>
        <v>#REF!</v>
      </c>
      <c r="U72" s="106" t="e">
        <f t="shared" si="3"/>
        <v>#REF!</v>
      </c>
      <c r="V72" s="106" t="e">
        <f t="shared" si="3"/>
        <v>#REF!</v>
      </c>
      <c r="W72" s="107"/>
    </row>
    <row r="73" spans="1:35" ht="18.75" customHeight="1" x14ac:dyDescent="0.25">
      <c r="A73" s="103"/>
      <c r="B73" s="104"/>
      <c r="C73" s="104"/>
      <c r="D73" s="104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99"/>
    </row>
    <row r="74" spans="1:35" ht="18.75" customHeight="1" x14ac:dyDescent="0.25">
      <c r="A74" s="109" t="s">
        <v>80</v>
      </c>
      <c r="B74" s="110"/>
      <c r="C74" s="111" t="e">
        <f>B44</f>
        <v>#REF!</v>
      </c>
      <c r="D74" s="110">
        <v>0</v>
      </c>
      <c r="E74" s="110"/>
      <c r="F74" s="110">
        <v>0</v>
      </c>
      <c r="G74" s="110">
        <v>0</v>
      </c>
      <c r="H74" s="110">
        <v>0</v>
      </c>
      <c r="I74" s="110">
        <v>0</v>
      </c>
      <c r="J74" s="110">
        <v>0</v>
      </c>
      <c r="K74" s="110">
        <v>0</v>
      </c>
      <c r="L74" s="110">
        <v>0</v>
      </c>
      <c r="M74" s="110">
        <v>0</v>
      </c>
      <c r="N74" s="110">
        <v>0</v>
      </c>
      <c r="O74" s="110">
        <v>0</v>
      </c>
      <c r="P74" s="110">
        <v>0</v>
      </c>
      <c r="Q74" s="110">
        <v>0</v>
      </c>
      <c r="R74" s="110">
        <v>0</v>
      </c>
      <c r="S74" s="110">
        <v>0</v>
      </c>
      <c r="T74" s="110">
        <v>0</v>
      </c>
      <c r="U74" s="110">
        <v>0</v>
      </c>
      <c r="V74" s="110">
        <v>0</v>
      </c>
      <c r="W74" s="77"/>
    </row>
    <row r="75" spans="1:35" ht="18.75" customHeight="1" x14ac:dyDescent="0.25">
      <c r="A75" s="103"/>
      <c r="B75" s="104"/>
      <c r="C75" s="104"/>
      <c r="D75" s="104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99"/>
    </row>
    <row r="76" spans="1:35" ht="18.75" customHeight="1" x14ac:dyDescent="0.25">
      <c r="A76" s="103"/>
      <c r="B76" s="104"/>
      <c r="C76" s="104"/>
      <c r="D76" s="104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99"/>
    </row>
    <row r="77" spans="1:35" ht="18.75" customHeight="1" x14ac:dyDescent="0.25">
      <c r="A77" s="109" t="s">
        <v>81</v>
      </c>
      <c r="B77" s="110"/>
      <c r="C77" s="111" t="e">
        <f>#REF!*0.8</f>
        <v>#REF!</v>
      </c>
      <c r="D77" s="110"/>
      <c r="E77" s="110"/>
      <c r="F77" s="110">
        <v>0</v>
      </c>
      <c r="G77" s="110">
        <v>0</v>
      </c>
      <c r="H77" s="110">
        <v>0</v>
      </c>
      <c r="I77" s="110">
        <v>0</v>
      </c>
      <c r="J77" s="110">
        <v>0</v>
      </c>
      <c r="K77" s="110">
        <v>0</v>
      </c>
      <c r="L77" s="110">
        <v>0</v>
      </c>
      <c r="M77" s="110">
        <v>0</v>
      </c>
      <c r="N77" s="110">
        <v>0</v>
      </c>
      <c r="O77" s="110">
        <v>0</v>
      </c>
      <c r="P77" s="110">
        <v>0</v>
      </c>
      <c r="Q77" s="110">
        <v>0</v>
      </c>
      <c r="R77" s="110">
        <v>0</v>
      </c>
      <c r="S77" s="110">
        <v>0</v>
      </c>
      <c r="T77" s="110">
        <v>0</v>
      </c>
      <c r="U77" s="110">
        <v>0</v>
      </c>
      <c r="V77" s="110">
        <v>0</v>
      </c>
      <c r="W77" s="99"/>
    </row>
    <row r="78" spans="1:35" ht="18.75" customHeight="1" x14ac:dyDescent="0.25">
      <c r="A78" s="103" t="s">
        <v>82</v>
      </c>
      <c r="B78" s="104"/>
      <c r="C78" s="104"/>
      <c r="D78" s="104" t="e">
        <f>-#REF!</f>
        <v>#REF!</v>
      </c>
      <c r="E78" s="104" t="e">
        <f>-#REF!</f>
        <v>#REF!</v>
      </c>
      <c r="F78" s="104" t="e">
        <f>-#REF!</f>
        <v>#REF!</v>
      </c>
      <c r="G78" s="104" t="e">
        <f>-#REF!</f>
        <v>#REF!</v>
      </c>
      <c r="H78" s="104" t="e">
        <f>-#REF!</f>
        <v>#REF!</v>
      </c>
      <c r="I78" s="104" t="e">
        <f>-#REF!</f>
        <v>#REF!</v>
      </c>
      <c r="J78" s="104" t="e">
        <f>-#REF!</f>
        <v>#REF!</v>
      </c>
      <c r="K78" s="104" t="e">
        <f>-#REF!</f>
        <v>#REF!</v>
      </c>
      <c r="L78" s="104" t="e">
        <f>-#REF!</f>
        <v>#REF!</v>
      </c>
      <c r="M78" s="104" t="e">
        <f>-#REF!</f>
        <v>#REF!</v>
      </c>
      <c r="N78" s="104" t="e">
        <f>-#REF!</f>
        <v>#REF!</v>
      </c>
      <c r="O78" s="104" t="e">
        <f>-#REF!</f>
        <v>#REF!</v>
      </c>
      <c r="P78" s="104" t="e">
        <f>-#REF!</f>
        <v>#REF!</v>
      </c>
      <c r="Q78" s="104" t="e">
        <f>-#REF!</f>
        <v>#REF!</v>
      </c>
      <c r="R78" s="104" t="e">
        <f>-#REF!</f>
        <v>#REF!</v>
      </c>
      <c r="S78" s="108"/>
      <c r="T78" s="108"/>
      <c r="U78" s="108"/>
      <c r="V78" s="108"/>
      <c r="W78" s="77"/>
    </row>
    <row r="79" spans="1:35" ht="18.75" customHeight="1" x14ac:dyDescent="0.25">
      <c r="A79" s="103" t="s">
        <v>83</v>
      </c>
      <c r="B79" s="108"/>
      <c r="C79" s="104" t="e">
        <f>#REF!*0.2</f>
        <v>#REF!</v>
      </c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7"/>
    </row>
    <row r="80" spans="1:35" ht="18.75" customHeight="1" x14ac:dyDescent="0.25">
      <c r="A80" s="103" t="s">
        <v>84</v>
      </c>
      <c r="B80" s="108"/>
      <c r="C80" s="108"/>
      <c r="D80" s="112" t="e">
        <f t="shared" ref="D80:T80" si="4">-C70*0.9</f>
        <v>#REF!</v>
      </c>
      <c r="E80" s="104" t="e">
        <f t="shared" si="4"/>
        <v>#REF!</v>
      </c>
      <c r="F80" s="104" t="e">
        <f t="shared" si="4"/>
        <v>#REF!</v>
      </c>
      <c r="G80" s="104" t="e">
        <f t="shared" si="4"/>
        <v>#REF!</v>
      </c>
      <c r="H80" s="104" t="e">
        <f t="shared" si="4"/>
        <v>#REF!</v>
      </c>
      <c r="I80" s="104" t="e">
        <f t="shared" si="4"/>
        <v>#REF!</v>
      </c>
      <c r="J80" s="104" t="e">
        <f t="shared" si="4"/>
        <v>#REF!</v>
      </c>
      <c r="K80" s="104" t="e">
        <f t="shared" si="4"/>
        <v>#REF!</v>
      </c>
      <c r="L80" s="104" t="e">
        <f t="shared" si="4"/>
        <v>#REF!</v>
      </c>
      <c r="M80" s="104" t="e">
        <f t="shared" si="4"/>
        <v>#REF!</v>
      </c>
      <c r="N80" s="104" t="e">
        <f t="shared" si="4"/>
        <v>#REF!</v>
      </c>
      <c r="O80" s="104" t="e">
        <f t="shared" si="4"/>
        <v>#REF!</v>
      </c>
      <c r="P80" s="104" t="e">
        <f t="shared" si="4"/>
        <v>#REF!</v>
      </c>
      <c r="Q80" s="104" t="e">
        <f t="shared" si="4"/>
        <v>#REF!</v>
      </c>
      <c r="R80" s="104" t="e">
        <f t="shared" si="4"/>
        <v>#REF!</v>
      </c>
      <c r="S80" s="104" t="e">
        <f t="shared" si="4"/>
        <v>#REF!</v>
      </c>
      <c r="T80" s="104" t="e">
        <f t="shared" si="4"/>
        <v>#REF!</v>
      </c>
      <c r="U80" s="108"/>
      <c r="V80" s="104" t="e">
        <f>-U70*0.9</f>
        <v>#REF!</v>
      </c>
      <c r="W80" s="107"/>
    </row>
    <row r="81" spans="1:23" ht="18.75" customHeight="1" x14ac:dyDescent="0.25">
      <c r="A81" s="113" t="s">
        <v>85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5" t="e">
        <f>-$C$79/4</f>
        <v>#REF!</v>
      </c>
      <c r="R81" s="115" t="e">
        <f>-$C$79/4</f>
        <v>#REF!</v>
      </c>
      <c r="S81" s="115" t="e">
        <f>-$C$79/4</f>
        <v>#REF!</v>
      </c>
      <c r="T81" s="115" t="e">
        <f>-$C$79/4</f>
        <v>#REF!</v>
      </c>
      <c r="U81" s="114"/>
      <c r="V81" s="114"/>
      <c r="W81" s="107"/>
    </row>
    <row r="82" spans="1:23" ht="18.7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7"/>
    </row>
    <row r="83" spans="1:23" ht="18.7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7"/>
    </row>
    <row r="84" spans="1:23" ht="18.75" customHeight="1" x14ac:dyDescent="0.25">
      <c r="A84" s="103" t="s">
        <v>86</v>
      </c>
      <c r="B84" s="108">
        <f>SUM(B74:B83)</f>
        <v>0</v>
      </c>
      <c r="C84" s="106" t="e">
        <f t="shared" ref="C84:V84" si="5">SUM(C72:C83)</f>
        <v>#REF!</v>
      </c>
      <c r="D84" s="106" t="e">
        <f t="shared" si="5"/>
        <v>#REF!</v>
      </c>
      <c r="E84" s="106" t="e">
        <f t="shared" si="5"/>
        <v>#REF!</v>
      </c>
      <c r="F84" s="106" t="e">
        <f t="shared" si="5"/>
        <v>#REF!</v>
      </c>
      <c r="G84" s="106" t="e">
        <f t="shared" si="5"/>
        <v>#REF!</v>
      </c>
      <c r="H84" s="106" t="e">
        <f t="shared" si="5"/>
        <v>#REF!</v>
      </c>
      <c r="I84" s="106" t="e">
        <f t="shared" si="5"/>
        <v>#REF!</v>
      </c>
      <c r="J84" s="106" t="e">
        <f t="shared" si="5"/>
        <v>#REF!</v>
      </c>
      <c r="K84" s="106" t="e">
        <f t="shared" si="5"/>
        <v>#REF!</v>
      </c>
      <c r="L84" s="106" t="e">
        <f t="shared" si="5"/>
        <v>#REF!</v>
      </c>
      <c r="M84" s="106" t="e">
        <f t="shared" si="5"/>
        <v>#REF!</v>
      </c>
      <c r="N84" s="106" t="e">
        <f t="shared" si="5"/>
        <v>#REF!</v>
      </c>
      <c r="O84" s="106" t="e">
        <f t="shared" si="5"/>
        <v>#REF!</v>
      </c>
      <c r="P84" s="106" t="e">
        <f t="shared" si="5"/>
        <v>#REF!</v>
      </c>
      <c r="Q84" s="106" t="e">
        <f t="shared" si="5"/>
        <v>#REF!</v>
      </c>
      <c r="R84" s="106" t="e">
        <f t="shared" si="5"/>
        <v>#REF!</v>
      </c>
      <c r="S84" s="106" t="e">
        <f t="shared" si="5"/>
        <v>#REF!</v>
      </c>
      <c r="T84" s="106" t="e">
        <f t="shared" si="5"/>
        <v>#REF!</v>
      </c>
      <c r="U84" s="106" t="e">
        <f t="shared" si="5"/>
        <v>#REF!</v>
      </c>
      <c r="V84" s="106" t="e">
        <f t="shared" si="5"/>
        <v>#REF!</v>
      </c>
      <c r="W84" s="107"/>
    </row>
    <row r="85" spans="1:23" ht="18.75" customHeight="1" x14ac:dyDescent="0.25">
      <c r="A85" s="103" t="s">
        <v>87</v>
      </c>
      <c r="B85" s="108">
        <v>0</v>
      </c>
      <c r="C85" s="108">
        <f t="shared" ref="C85:T85" si="6">B86</f>
        <v>0</v>
      </c>
      <c r="D85" s="104" t="e">
        <f t="shared" si="6"/>
        <v>#REF!</v>
      </c>
      <c r="E85" s="104" t="e">
        <f t="shared" si="6"/>
        <v>#REF!</v>
      </c>
      <c r="F85" s="104" t="e">
        <f t="shared" si="6"/>
        <v>#REF!</v>
      </c>
      <c r="G85" s="104" t="e">
        <f t="shared" si="6"/>
        <v>#REF!</v>
      </c>
      <c r="H85" s="104" t="e">
        <f t="shared" si="6"/>
        <v>#REF!</v>
      </c>
      <c r="I85" s="104" t="e">
        <f t="shared" si="6"/>
        <v>#REF!</v>
      </c>
      <c r="J85" s="104" t="e">
        <f t="shared" si="6"/>
        <v>#REF!</v>
      </c>
      <c r="K85" s="104" t="e">
        <f t="shared" si="6"/>
        <v>#REF!</v>
      </c>
      <c r="L85" s="104" t="e">
        <f t="shared" si="6"/>
        <v>#REF!</v>
      </c>
      <c r="M85" s="104" t="e">
        <f t="shared" si="6"/>
        <v>#REF!</v>
      </c>
      <c r="N85" s="104" t="e">
        <f t="shared" si="6"/>
        <v>#REF!</v>
      </c>
      <c r="O85" s="104" t="e">
        <f t="shared" si="6"/>
        <v>#REF!</v>
      </c>
      <c r="P85" s="104" t="e">
        <f t="shared" si="6"/>
        <v>#REF!</v>
      </c>
      <c r="Q85" s="104" t="e">
        <f t="shared" si="6"/>
        <v>#REF!</v>
      </c>
      <c r="R85" s="104" t="e">
        <f t="shared" si="6"/>
        <v>#REF!</v>
      </c>
      <c r="S85" s="104" t="e">
        <f t="shared" si="6"/>
        <v>#REF!</v>
      </c>
      <c r="T85" s="104" t="e">
        <f t="shared" si="6"/>
        <v>#REF!</v>
      </c>
      <c r="U85" s="108"/>
      <c r="V85" s="108"/>
      <c r="W85" s="99"/>
    </row>
    <row r="86" spans="1:23" ht="18.75" customHeight="1" x14ac:dyDescent="0.25">
      <c r="A86" s="103" t="s">
        <v>88</v>
      </c>
      <c r="B86" s="108">
        <f>B84</f>
        <v>0</v>
      </c>
      <c r="C86" s="104" t="e">
        <f t="shared" ref="C86:T86" si="7">C84+C85</f>
        <v>#REF!</v>
      </c>
      <c r="D86" s="104" t="e">
        <f t="shared" si="7"/>
        <v>#REF!</v>
      </c>
      <c r="E86" s="104" t="e">
        <f t="shared" si="7"/>
        <v>#REF!</v>
      </c>
      <c r="F86" s="104" t="e">
        <f t="shared" si="7"/>
        <v>#REF!</v>
      </c>
      <c r="G86" s="104" t="e">
        <f t="shared" si="7"/>
        <v>#REF!</v>
      </c>
      <c r="H86" s="104" t="e">
        <f t="shared" si="7"/>
        <v>#REF!</v>
      </c>
      <c r="I86" s="104" t="e">
        <f t="shared" si="7"/>
        <v>#REF!</v>
      </c>
      <c r="J86" s="104" t="e">
        <f t="shared" si="7"/>
        <v>#REF!</v>
      </c>
      <c r="K86" s="104" t="e">
        <f t="shared" si="7"/>
        <v>#REF!</v>
      </c>
      <c r="L86" s="104" t="e">
        <f t="shared" si="7"/>
        <v>#REF!</v>
      </c>
      <c r="M86" s="104" t="e">
        <f t="shared" si="7"/>
        <v>#REF!</v>
      </c>
      <c r="N86" s="104" t="e">
        <f t="shared" si="7"/>
        <v>#REF!</v>
      </c>
      <c r="O86" s="104" t="e">
        <f t="shared" si="7"/>
        <v>#REF!</v>
      </c>
      <c r="P86" s="104" t="e">
        <f t="shared" si="7"/>
        <v>#REF!</v>
      </c>
      <c r="Q86" s="104" t="e">
        <f t="shared" si="7"/>
        <v>#REF!</v>
      </c>
      <c r="R86" s="104" t="e">
        <f t="shared" si="7"/>
        <v>#REF!</v>
      </c>
      <c r="S86" s="104" t="e">
        <f t="shared" si="7"/>
        <v>#REF!</v>
      </c>
      <c r="T86" s="104" t="e">
        <f t="shared" si="7"/>
        <v>#REF!</v>
      </c>
      <c r="U86" s="108"/>
      <c r="V86" s="108"/>
      <c r="W86" s="99"/>
    </row>
    <row r="87" spans="1:23" ht="18.75" customHeight="1" x14ac:dyDescent="0.25">
      <c r="A87" s="103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16"/>
    </row>
    <row r="88" spans="1:23" ht="18.75" customHeight="1" x14ac:dyDescent="0.25">
      <c r="A88" s="103"/>
      <c r="B88" s="104"/>
      <c r="C88" s="104"/>
      <c r="D88" s="104"/>
      <c r="E88" s="108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16"/>
    </row>
    <row r="89" spans="1:23" ht="18.75" customHeight="1" x14ac:dyDescent="0.25">
      <c r="A89" s="117" t="s">
        <v>89</v>
      </c>
      <c r="B89" s="118"/>
      <c r="C89" s="119" t="e">
        <f>-C79</f>
        <v>#REF!</v>
      </c>
      <c r="D89" s="106" t="e">
        <f t="shared" ref="D89:V89" si="8">-D80-D81</f>
        <v>#REF!</v>
      </c>
      <c r="E89" s="106" t="e">
        <f t="shared" si="8"/>
        <v>#REF!</v>
      </c>
      <c r="F89" s="106" t="e">
        <f t="shared" si="8"/>
        <v>#REF!</v>
      </c>
      <c r="G89" s="106" t="e">
        <f t="shared" si="8"/>
        <v>#REF!</v>
      </c>
      <c r="H89" s="106" t="e">
        <f t="shared" si="8"/>
        <v>#REF!</v>
      </c>
      <c r="I89" s="106" t="e">
        <f t="shared" si="8"/>
        <v>#REF!</v>
      </c>
      <c r="J89" s="106" t="e">
        <f t="shared" si="8"/>
        <v>#REF!</v>
      </c>
      <c r="K89" s="106" t="e">
        <f t="shared" si="8"/>
        <v>#REF!</v>
      </c>
      <c r="L89" s="106" t="e">
        <f t="shared" si="8"/>
        <v>#REF!</v>
      </c>
      <c r="M89" s="106" t="e">
        <f t="shared" si="8"/>
        <v>#REF!</v>
      </c>
      <c r="N89" s="106" t="e">
        <f t="shared" si="8"/>
        <v>#REF!</v>
      </c>
      <c r="O89" s="106" t="e">
        <f t="shared" si="8"/>
        <v>#REF!</v>
      </c>
      <c r="P89" s="106" t="e">
        <f t="shared" si="8"/>
        <v>#REF!</v>
      </c>
      <c r="Q89" s="106" t="e">
        <f t="shared" si="8"/>
        <v>#REF!</v>
      </c>
      <c r="R89" s="106" t="e">
        <f t="shared" si="8"/>
        <v>#REF!</v>
      </c>
      <c r="S89" s="106" t="e">
        <f t="shared" si="8"/>
        <v>#REF!</v>
      </c>
      <c r="T89" s="106" t="e">
        <f t="shared" si="8"/>
        <v>#REF!</v>
      </c>
      <c r="U89" s="118">
        <f t="shared" si="8"/>
        <v>0</v>
      </c>
      <c r="V89" s="106" t="e">
        <f t="shared" si="8"/>
        <v>#REF!</v>
      </c>
      <c r="W89" s="107"/>
    </row>
    <row r="90" spans="1:23" ht="18.75" customHeight="1" x14ac:dyDescent="0.25">
      <c r="A90" s="103" t="s">
        <v>90</v>
      </c>
      <c r="B90" s="120" t="e">
        <f>IRR(C89:V89)</f>
        <v>#VALUE!</v>
      </c>
      <c r="C90" s="121"/>
      <c r="D90" s="121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16"/>
    </row>
    <row r="91" spans="1:23" ht="18.75" customHeight="1" x14ac:dyDescent="0.25">
      <c r="A91" s="117" t="s">
        <v>91</v>
      </c>
      <c r="B91" s="118"/>
      <c r="C91" s="119" t="e">
        <f>#REF!-C79</f>
        <v>#REF!</v>
      </c>
      <c r="D91" s="106" t="e">
        <f>#REF!</f>
        <v>#REF!</v>
      </c>
      <c r="E91" s="106" t="e">
        <f>#REF!-E81</f>
        <v>#REF!</v>
      </c>
      <c r="F91" s="106" t="e">
        <f>#REF!-F81</f>
        <v>#REF!</v>
      </c>
      <c r="G91" s="106" t="e">
        <f>#REF!-G81</f>
        <v>#REF!</v>
      </c>
      <c r="H91" s="106" t="e">
        <f>#REF!-H81</f>
        <v>#REF!</v>
      </c>
      <c r="I91" s="106" t="e">
        <f>#REF!-I81</f>
        <v>#REF!</v>
      </c>
      <c r="J91" s="106" t="e">
        <f>#REF!-J81</f>
        <v>#REF!</v>
      </c>
      <c r="K91" s="106" t="e">
        <f>#REF!-K81</f>
        <v>#REF!</v>
      </c>
      <c r="L91" s="106" t="e">
        <f>#REF!-L81</f>
        <v>#REF!</v>
      </c>
      <c r="M91" s="106" t="e">
        <f>#REF!-M81</f>
        <v>#REF!</v>
      </c>
      <c r="N91" s="106" t="e">
        <f>#REF!-N81</f>
        <v>#REF!</v>
      </c>
      <c r="O91" s="106" t="e">
        <f>#REF!-O81</f>
        <v>#REF!</v>
      </c>
      <c r="P91" s="106" t="e">
        <f>#REF!-P81</f>
        <v>#REF!</v>
      </c>
      <c r="Q91" s="106" t="e">
        <f>#REF!-Q81</f>
        <v>#REF!</v>
      </c>
      <c r="R91" s="106" t="e">
        <f>#REF!-R81</f>
        <v>#REF!</v>
      </c>
      <c r="S91" s="106" t="e">
        <f>#REF!-S81</f>
        <v>#REF!</v>
      </c>
      <c r="T91" s="106" t="e">
        <f>#REF!-T81</f>
        <v>#REF!</v>
      </c>
      <c r="U91" s="106" t="e">
        <f>#REF!-U81</f>
        <v>#REF!</v>
      </c>
      <c r="V91" s="106" t="e">
        <f>#REF!-V81</f>
        <v>#REF!</v>
      </c>
      <c r="W91" s="77"/>
    </row>
    <row r="92" spans="1:23" ht="18.75" customHeight="1" x14ac:dyDescent="0.25">
      <c r="A92" s="117" t="s">
        <v>92</v>
      </c>
      <c r="B92" s="120" t="e">
        <f>IRR(C91:V91)</f>
        <v>#VALUE!</v>
      </c>
      <c r="C92" s="121"/>
      <c r="D92" s="121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16"/>
    </row>
    <row r="93" spans="1:23" ht="18.75" customHeight="1" x14ac:dyDescent="0.25">
      <c r="A93" s="103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16"/>
    </row>
    <row r="94" spans="1:23" ht="18.75" customHeight="1" x14ac:dyDescent="0.25">
      <c r="A94" s="103" t="s">
        <v>93</v>
      </c>
      <c r="B94" s="108">
        <v>0</v>
      </c>
      <c r="C94" s="104" t="e">
        <f>C77</f>
        <v>#REF!</v>
      </c>
      <c r="D94" s="104" t="e">
        <f t="shared" ref="D94:R94" si="9">C94+D77+D78</f>
        <v>#REF!</v>
      </c>
      <c r="E94" s="104" t="e">
        <f t="shared" si="9"/>
        <v>#REF!</v>
      </c>
      <c r="F94" s="104" t="e">
        <f t="shared" si="9"/>
        <v>#REF!</v>
      </c>
      <c r="G94" s="104" t="e">
        <f t="shared" si="9"/>
        <v>#REF!</v>
      </c>
      <c r="H94" s="104" t="e">
        <f t="shared" si="9"/>
        <v>#REF!</v>
      </c>
      <c r="I94" s="104" t="e">
        <f t="shared" si="9"/>
        <v>#REF!</v>
      </c>
      <c r="J94" s="104" t="e">
        <f t="shared" si="9"/>
        <v>#REF!</v>
      </c>
      <c r="K94" s="104" t="e">
        <f t="shared" si="9"/>
        <v>#REF!</v>
      </c>
      <c r="L94" s="104" t="e">
        <f t="shared" si="9"/>
        <v>#REF!</v>
      </c>
      <c r="M94" s="104" t="e">
        <f t="shared" si="9"/>
        <v>#REF!</v>
      </c>
      <c r="N94" s="104" t="e">
        <f t="shared" si="9"/>
        <v>#REF!</v>
      </c>
      <c r="O94" s="104" t="e">
        <f t="shared" si="9"/>
        <v>#REF!</v>
      </c>
      <c r="P94" s="104" t="e">
        <f t="shared" si="9"/>
        <v>#REF!</v>
      </c>
      <c r="Q94" s="104" t="e">
        <f t="shared" si="9"/>
        <v>#REF!</v>
      </c>
      <c r="R94" s="104" t="e">
        <f t="shared" si="9"/>
        <v>#REF!</v>
      </c>
      <c r="S94" s="108"/>
      <c r="T94" s="108"/>
      <c r="U94" s="108"/>
      <c r="V94" s="108"/>
      <c r="W94" s="108"/>
    </row>
    <row r="95" spans="1:23" ht="18.75" customHeight="1" x14ac:dyDescent="0.25"/>
    <row r="96" spans="1:23" ht="18.75" customHeight="1" x14ac:dyDescent="0.25">
      <c r="A96" s="122"/>
    </row>
    <row r="97" spans="6:6" ht="18.75" customHeight="1" x14ac:dyDescent="0.25">
      <c r="F97" s="69"/>
    </row>
  </sheetData>
  <mergeCells count="10">
    <mergeCell ref="A16:A18"/>
    <mergeCell ref="D16:D18"/>
    <mergeCell ref="A19:A21"/>
    <mergeCell ref="A29:C29"/>
    <mergeCell ref="A1:D1"/>
    <mergeCell ref="A7:D7"/>
    <mergeCell ref="A8:D8"/>
    <mergeCell ref="A10:A13"/>
    <mergeCell ref="D10:D13"/>
    <mergeCell ref="A14:D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王竣生</dc:creator>
  <cp:lastModifiedBy>王竣生</cp:lastModifiedBy>
  <dcterms:created xsi:type="dcterms:W3CDTF">2015-06-05T18:19:34Z</dcterms:created>
  <dcterms:modified xsi:type="dcterms:W3CDTF">2026-02-28T17:47:35Z</dcterms:modified>
</cp:coreProperties>
</file>