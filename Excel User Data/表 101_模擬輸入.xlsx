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&quot;$&quot;#,##0_);[Red]\(&quot;$&quot;#,##0\)"/>
    <numFmt numFmtId="169" formatCode="0.00000%"/>
    <numFmt numFmtId="170" formatCode="_-&quot;$&quot;* #,##0.00_-;\-&quot;$&quot;* #,##0.00_-;_-&quot;$&quot;* &quot;-&quot;??_-;_-@_-"/>
    <numFmt numFmtId="171" formatCode="0.0000%"/>
    <numFmt numFmtId="172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3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8" fontId="21" fillId="0" borderId="29" applyAlignment="1" pivotButton="0" quotePrefix="0" xfId="0">
      <alignment horizontal="center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9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4" fillId="7" borderId="14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70" fontId="8" fillId="13" borderId="14" applyAlignment="1" pivotButton="0" quotePrefix="0" xfId="0">
      <alignment horizontal="center"/>
    </xf>
    <xf numFmtId="170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70" fontId="8" fillId="0" borderId="39" applyAlignment="1" pivotButton="0" quotePrefix="0" xfId="0">
      <alignment horizontal="right"/>
    </xf>
    <xf numFmtId="170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1" fontId="8" fillId="7" borderId="14" applyAlignment="1" pivotButton="0" quotePrefix="0" xfId="0">
      <alignment horizontal="left"/>
    </xf>
    <xf numFmtId="172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1.27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-45790</v>
      </c>
      <c r="E49" s="202" t="n">
        <v>-45790</v>
      </c>
      <c r="F49" s="202" t="n">
        <v>-45790</v>
      </c>
      <c r="G49" s="202" t="n">
        <v>-45790</v>
      </c>
      <c r="H49" s="202" t="n">
        <v>-45790</v>
      </c>
      <c r="I49" s="202" t="n">
        <v>-45790</v>
      </c>
      <c r="J49" s="202" t="n">
        <v>-45790</v>
      </c>
      <c r="K49" s="202" t="n">
        <v>-45790</v>
      </c>
      <c r="L49" s="202" t="n">
        <v>-45790</v>
      </c>
      <c r="M49" s="202" t="n">
        <v>-45790</v>
      </c>
      <c r="N49" s="202" t="n">
        <v>-45790</v>
      </c>
      <c r="O49" s="202" t="n">
        <v>-45790</v>
      </c>
      <c r="P49" s="202" t="n">
        <v>-45790</v>
      </c>
      <c r="Q49" s="202" t="n">
        <v>-45790</v>
      </c>
      <c r="R49" s="202" t="n">
        <v>-45790</v>
      </c>
      <c r="S49" s="202" t="n">
        <v>-45790</v>
      </c>
      <c r="T49" s="202" t="n">
        <v>-45790</v>
      </c>
      <c r="U49" s="202" t="n">
        <v>-45790</v>
      </c>
      <c r="V49" s="202" t="n">
        <v>-45790</v>
      </c>
      <c r="W49" s="202" t="n">
        <v>-45790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-473268</v>
      </c>
      <c r="E70" s="202" t="n">
        <v>-441717</v>
      </c>
      <c r="F70" s="202" t="n">
        <v>-410166</v>
      </c>
      <c r="G70" s="202" t="n">
        <v>-378614</v>
      </c>
      <c r="H70" s="202" t="n">
        <v>-347063</v>
      </c>
      <c r="I70" s="202" t="n">
        <v>-315512</v>
      </c>
      <c r="J70" s="202" t="n">
        <v>-283961</v>
      </c>
      <c r="K70" s="202" t="n">
        <v>-252410</v>
      </c>
      <c r="L70" s="202" t="n">
        <v>-220858</v>
      </c>
      <c r="M70" s="202" t="n">
        <v>-189307</v>
      </c>
      <c r="N70" s="202" t="n">
        <v>-157756</v>
      </c>
      <c r="O70" s="202" t="n">
        <v>-126205</v>
      </c>
      <c r="P70" s="202" t="n">
        <v>-94654</v>
      </c>
      <c r="Q70" s="202" t="n">
        <v>-63102</v>
      </c>
      <c r="R70" s="202" t="n">
        <v>-31551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-1232709</v>
      </c>
      <c r="F93" s="248" t="n">
        <v>-1232709</v>
      </c>
      <c r="G93" s="248" t="n">
        <v>-1232709</v>
      </c>
      <c r="H93" s="248" t="n">
        <v>-1232709</v>
      </c>
      <c r="I93" s="248" t="n">
        <v>-1232709</v>
      </c>
      <c r="J93" s="248" t="n">
        <v>-1232709</v>
      </c>
      <c r="K93" s="248" t="n">
        <v>-1232709</v>
      </c>
      <c r="L93" s="248" t="n">
        <v>-1232709</v>
      </c>
      <c r="M93" s="248" t="n">
        <v>-1232709</v>
      </c>
      <c r="N93" s="248" t="n">
        <v>-1232709</v>
      </c>
      <c r="O93" s="248" t="n">
        <v>-1232709</v>
      </c>
      <c r="P93" s="248" t="n">
        <v>-1232709</v>
      </c>
      <c r="Q93" s="248" t="n">
        <v>-1232709</v>
      </c>
      <c r="R93" s="248" t="n">
        <v>-1232709</v>
      </c>
      <c r="S93" s="248" t="n">
        <v>-1232709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-1155665</v>
      </c>
      <c r="U96" s="264" t="n">
        <v>-1155665</v>
      </c>
      <c r="V96" s="263" t="n">
        <v>-1155665</v>
      </c>
      <c r="W96" s="263" t="n">
        <v>-1155665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1.99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-44482</v>
      </c>
      <c r="E49" s="202" t="n">
        <v>-44482</v>
      </c>
      <c r="F49" s="202" t="n">
        <v>-44482</v>
      </c>
      <c r="G49" s="202" t="n">
        <v>-44482</v>
      </c>
      <c r="H49" s="202" t="n">
        <v>-44482</v>
      </c>
      <c r="I49" s="202" t="n">
        <v>-44482</v>
      </c>
      <c r="J49" s="202" t="n">
        <v>-44482</v>
      </c>
      <c r="K49" s="202" t="n">
        <v>-44482</v>
      </c>
      <c r="L49" s="202" t="n">
        <v>-44482</v>
      </c>
      <c r="M49" s="202" t="n">
        <v>-44482</v>
      </c>
      <c r="N49" s="202" t="n">
        <v>-44482</v>
      </c>
      <c r="O49" s="202" t="n">
        <v>-44482</v>
      </c>
      <c r="P49" s="202" t="n">
        <v>-44482</v>
      </c>
      <c r="Q49" s="202" t="n">
        <v>-44482</v>
      </c>
      <c r="R49" s="202" t="n">
        <v>-44482</v>
      </c>
      <c r="S49" s="202" t="n">
        <v>-44482</v>
      </c>
      <c r="T49" s="202" t="n">
        <v>-44482</v>
      </c>
      <c r="U49" s="202" t="n">
        <v>-44482</v>
      </c>
      <c r="V49" s="202" t="n">
        <v>-44482</v>
      </c>
      <c r="W49" s="202" t="n">
        <v>-44482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-460511</v>
      </c>
      <c r="E70" s="202" t="n">
        <v>-429811</v>
      </c>
      <c r="F70" s="202" t="n">
        <v>-399110</v>
      </c>
      <c r="G70" s="202" t="n">
        <v>-368409</v>
      </c>
      <c r="H70" s="202" t="n">
        <v>-337708</v>
      </c>
      <c r="I70" s="202" t="n">
        <v>-307008</v>
      </c>
      <c r="J70" s="202" t="n">
        <v>-276307</v>
      </c>
      <c r="K70" s="202" t="n">
        <v>-245606</v>
      </c>
      <c r="L70" s="202" t="n">
        <v>-214905</v>
      </c>
      <c r="M70" s="202" t="n">
        <v>-184205</v>
      </c>
      <c r="N70" s="202" t="n">
        <v>-153504</v>
      </c>
      <c r="O70" s="202" t="n">
        <v>-122803</v>
      </c>
      <c r="P70" s="202" t="n">
        <v>-92102</v>
      </c>
      <c r="Q70" s="202" t="n">
        <v>-61402</v>
      </c>
      <c r="R70" s="202" t="n">
        <v>-30701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-1199483</v>
      </c>
      <c r="F93" s="248" t="n">
        <v>-1199483</v>
      </c>
      <c r="G93" s="248" t="n">
        <v>-1199483</v>
      </c>
      <c r="H93" s="248" t="n">
        <v>-1199483</v>
      </c>
      <c r="I93" s="248" t="n">
        <v>-1199483</v>
      </c>
      <c r="J93" s="248" t="n">
        <v>-1199483</v>
      </c>
      <c r="K93" s="248" t="n">
        <v>-1199483</v>
      </c>
      <c r="L93" s="248" t="n">
        <v>-1199483</v>
      </c>
      <c r="M93" s="248" t="n">
        <v>-1199483</v>
      </c>
      <c r="N93" s="248" t="n">
        <v>-1199483</v>
      </c>
      <c r="O93" s="248" t="n">
        <v>-1199483</v>
      </c>
      <c r="P93" s="248" t="n">
        <v>-1199483</v>
      </c>
      <c r="Q93" s="248" t="n">
        <v>-1199483</v>
      </c>
      <c r="R93" s="248" t="n">
        <v>-1199483</v>
      </c>
      <c r="S93" s="248" t="n">
        <v>-1199483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-1124515</v>
      </c>
      <c r="U96" s="264" t="n">
        <v>-1124515</v>
      </c>
      <c r="V96" s="263" t="n">
        <v>-1124515</v>
      </c>
      <c r="W96" s="263" t="n">
        <v>-1124515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2.75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-43174</v>
      </c>
      <c r="E49" s="202" t="n">
        <v>-43174</v>
      </c>
      <c r="F49" s="202" t="n">
        <v>-43174</v>
      </c>
      <c r="G49" s="202" t="n">
        <v>-43174</v>
      </c>
      <c r="H49" s="202" t="n">
        <v>-43174</v>
      </c>
      <c r="I49" s="202" t="n">
        <v>-43174</v>
      </c>
      <c r="J49" s="202" t="n">
        <v>-43174</v>
      </c>
      <c r="K49" s="202" t="n">
        <v>-43174</v>
      </c>
      <c r="L49" s="202" t="n">
        <v>-43174</v>
      </c>
      <c r="M49" s="202" t="n">
        <v>-43174</v>
      </c>
      <c r="N49" s="202" t="n">
        <v>-43174</v>
      </c>
      <c r="O49" s="202" t="n">
        <v>-43174</v>
      </c>
      <c r="P49" s="202" t="n">
        <v>-43174</v>
      </c>
      <c r="Q49" s="202" t="n">
        <v>-43174</v>
      </c>
      <c r="R49" s="202" t="n">
        <v>-43174</v>
      </c>
      <c r="S49" s="202" t="n">
        <v>-43174</v>
      </c>
      <c r="T49" s="202" t="n">
        <v>-43174</v>
      </c>
      <c r="U49" s="202" t="n">
        <v>-43174</v>
      </c>
      <c r="V49" s="202" t="n">
        <v>-43174</v>
      </c>
      <c r="W49" s="202" t="n">
        <v>-43174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-447755</v>
      </c>
      <c r="E70" s="202" t="n">
        <v>-417905</v>
      </c>
      <c r="F70" s="202" t="n">
        <v>-388054</v>
      </c>
      <c r="G70" s="202" t="n">
        <v>-358204</v>
      </c>
      <c r="H70" s="202" t="n">
        <v>-328354</v>
      </c>
      <c r="I70" s="202" t="n">
        <v>-298503</v>
      </c>
      <c r="J70" s="202" t="n">
        <v>-268653</v>
      </c>
      <c r="K70" s="202" t="n">
        <v>-238803</v>
      </c>
      <c r="L70" s="202" t="n">
        <v>-208952</v>
      </c>
      <c r="M70" s="202" t="n">
        <v>-179102</v>
      </c>
      <c r="N70" s="202" t="n">
        <v>-149252</v>
      </c>
      <c r="O70" s="202" t="n">
        <v>-119401</v>
      </c>
      <c r="P70" s="202" t="n">
        <v>-89551</v>
      </c>
      <c r="Q70" s="202" t="n">
        <v>-59701</v>
      </c>
      <c r="R70" s="202" t="n">
        <v>-29850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-1166256</v>
      </c>
      <c r="F93" s="248" t="n">
        <v>-1166256</v>
      </c>
      <c r="G93" s="248" t="n">
        <v>-1166256</v>
      </c>
      <c r="H93" s="248" t="n">
        <v>-1166256</v>
      </c>
      <c r="I93" s="248" t="n">
        <v>-1166256</v>
      </c>
      <c r="J93" s="248" t="n">
        <v>-1166256</v>
      </c>
      <c r="K93" s="248" t="n">
        <v>-1166256</v>
      </c>
      <c r="L93" s="248" t="n">
        <v>-1166256</v>
      </c>
      <c r="M93" s="248" t="n">
        <v>-1166256</v>
      </c>
      <c r="N93" s="248" t="n">
        <v>-1166256</v>
      </c>
      <c r="O93" s="248" t="n">
        <v>-1166256</v>
      </c>
      <c r="P93" s="248" t="n">
        <v>-1166256</v>
      </c>
      <c r="Q93" s="248" t="n">
        <v>-1166256</v>
      </c>
      <c r="R93" s="248" t="n">
        <v>-1166256</v>
      </c>
      <c r="S93" s="248" t="n">
        <v>-1166256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-1093365</v>
      </c>
      <c r="U96" s="264" t="n">
        <v>-1093365</v>
      </c>
      <c r="V96" s="263" t="n">
        <v>-1093365</v>
      </c>
      <c r="W96" s="263" t="n">
        <v>-1093365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3.56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-41866</v>
      </c>
      <c r="E49" s="202" t="n">
        <v>-41866</v>
      </c>
      <c r="F49" s="202" t="n">
        <v>-41866</v>
      </c>
      <c r="G49" s="202" t="n">
        <v>-41866</v>
      </c>
      <c r="H49" s="202" t="n">
        <v>-41866</v>
      </c>
      <c r="I49" s="202" t="n">
        <v>-41866</v>
      </c>
      <c r="J49" s="202" t="n">
        <v>-41866</v>
      </c>
      <c r="K49" s="202" t="n">
        <v>-41866</v>
      </c>
      <c r="L49" s="202" t="n">
        <v>-41866</v>
      </c>
      <c r="M49" s="202" t="n">
        <v>-41866</v>
      </c>
      <c r="N49" s="202" t="n">
        <v>-41866</v>
      </c>
      <c r="O49" s="202" t="n">
        <v>-41866</v>
      </c>
      <c r="P49" s="202" t="n">
        <v>-41866</v>
      </c>
      <c r="Q49" s="202" t="n">
        <v>-41866</v>
      </c>
      <c r="R49" s="202" t="n">
        <v>-41866</v>
      </c>
      <c r="S49" s="202" t="n">
        <v>-41866</v>
      </c>
      <c r="T49" s="202" t="n">
        <v>-41866</v>
      </c>
      <c r="U49" s="202" t="n">
        <v>-41866</v>
      </c>
      <c r="V49" s="202" t="n">
        <v>-41866</v>
      </c>
      <c r="W49" s="202" t="n">
        <v>-41866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-434998</v>
      </c>
      <c r="E70" s="202" t="n">
        <v>-405998</v>
      </c>
      <c r="F70" s="202" t="n">
        <v>-376999</v>
      </c>
      <c r="G70" s="202" t="n">
        <v>-347999</v>
      </c>
      <c r="H70" s="202" t="n">
        <v>-318999</v>
      </c>
      <c r="I70" s="202" t="n">
        <v>-289999</v>
      </c>
      <c r="J70" s="202" t="n">
        <v>-260999</v>
      </c>
      <c r="K70" s="202" t="n">
        <v>-231999</v>
      </c>
      <c r="L70" s="202" t="n">
        <v>-202999</v>
      </c>
      <c r="M70" s="202" t="n">
        <v>-173999</v>
      </c>
      <c r="N70" s="202" t="n">
        <v>-144999</v>
      </c>
      <c r="O70" s="202" t="n">
        <v>-116000</v>
      </c>
      <c r="P70" s="202" t="n">
        <v>-87000</v>
      </c>
      <c r="Q70" s="202" t="n">
        <v>-58000</v>
      </c>
      <c r="R70" s="202" t="n">
        <v>-29000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-1133029</v>
      </c>
      <c r="F93" s="248" t="n">
        <v>-1133029</v>
      </c>
      <c r="G93" s="248" t="n">
        <v>-1133029</v>
      </c>
      <c r="H93" s="248" t="n">
        <v>-1133029</v>
      </c>
      <c r="I93" s="248" t="n">
        <v>-1133029</v>
      </c>
      <c r="J93" s="248" t="n">
        <v>-1133029</v>
      </c>
      <c r="K93" s="248" t="n">
        <v>-1133029</v>
      </c>
      <c r="L93" s="248" t="n">
        <v>-1133029</v>
      </c>
      <c r="M93" s="248" t="n">
        <v>-1133029</v>
      </c>
      <c r="N93" s="248" t="n">
        <v>-1133029</v>
      </c>
      <c r="O93" s="248" t="n">
        <v>-1133029</v>
      </c>
      <c r="P93" s="248" t="n">
        <v>-1133029</v>
      </c>
      <c r="Q93" s="248" t="n">
        <v>-1133029</v>
      </c>
      <c r="R93" s="248" t="n">
        <v>-1133029</v>
      </c>
      <c r="S93" s="248" t="n">
        <v>-1133029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-1062215</v>
      </c>
      <c r="U96" s="264" t="n">
        <v>-1062215</v>
      </c>
      <c r="V96" s="263" t="n">
        <v>-1062215</v>
      </c>
      <c r="W96" s="263" t="n">
        <v>-1062215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4.43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-40557</v>
      </c>
      <c r="E49" s="202" t="n">
        <v>-40557</v>
      </c>
      <c r="F49" s="202" t="n">
        <v>-40557</v>
      </c>
      <c r="G49" s="202" t="n">
        <v>-40557</v>
      </c>
      <c r="H49" s="202" t="n">
        <v>-40557</v>
      </c>
      <c r="I49" s="202" t="n">
        <v>-40557</v>
      </c>
      <c r="J49" s="202" t="n">
        <v>-40557</v>
      </c>
      <c r="K49" s="202" t="n">
        <v>-40557</v>
      </c>
      <c r="L49" s="202" t="n">
        <v>-40557</v>
      </c>
      <c r="M49" s="202" t="n">
        <v>-40557</v>
      </c>
      <c r="N49" s="202" t="n">
        <v>-40557</v>
      </c>
      <c r="O49" s="202" t="n">
        <v>-40557</v>
      </c>
      <c r="P49" s="202" t="n">
        <v>-40557</v>
      </c>
      <c r="Q49" s="202" t="n">
        <v>-40557</v>
      </c>
      <c r="R49" s="202" t="n">
        <v>-40557</v>
      </c>
      <c r="S49" s="202" t="n">
        <v>-40557</v>
      </c>
      <c r="T49" s="202" t="n">
        <v>-40557</v>
      </c>
      <c r="U49" s="202" t="n">
        <v>-40557</v>
      </c>
      <c r="V49" s="202" t="n">
        <v>-40557</v>
      </c>
      <c r="W49" s="202" t="n">
        <v>-40557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-422242</v>
      </c>
      <c r="E70" s="202" t="n">
        <v>-394092</v>
      </c>
      <c r="F70" s="202" t="n">
        <v>-365943</v>
      </c>
      <c r="G70" s="202" t="n">
        <v>-337793</v>
      </c>
      <c r="H70" s="202" t="n">
        <v>-309644</v>
      </c>
      <c r="I70" s="202" t="n">
        <v>-281494</v>
      </c>
      <c r="J70" s="202" t="n">
        <v>-253345</v>
      </c>
      <c r="K70" s="202" t="n">
        <v>-225196</v>
      </c>
      <c r="L70" s="202" t="n">
        <v>-197046</v>
      </c>
      <c r="M70" s="202" t="n">
        <v>-168897</v>
      </c>
      <c r="N70" s="202" t="n">
        <v>-140747</v>
      </c>
      <c r="O70" s="202" t="n">
        <v>-112598</v>
      </c>
      <c r="P70" s="202" t="n">
        <v>-84448</v>
      </c>
      <c r="Q70" s="202" t="n">
        <v>-56299</v>
      </c>
      <c r="R70" s="202" t="n">
        <v>-28149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-1099803</v>
      </c>
      <c r="F93" s="248" t="n">
        <v>-1099803</v>
      </c>
      <c r="G93" s="248" t="n">
        <v>-1099803</v>
      </c>
      <c r="H93" s="248" t="n">
        <v>-1099803</v>
      </c>
      <c r="I93" s="248" t="n">
        <v>-1099803</v>
      </c>
      <c r="J93" s="248" t="n">
        <v>-1099803</v>
      </c>
      <c r="K93" s="248" t="n">
        <v>-1099803</v>
      </c>
      <c r="L93" s="248" t="n">
        <v>-1099803</v>
      </c>
      <c r="M93" s="248" t="n">
        <v>-1099803</v>
      </c>
      <c r="N93" s="248" t="n">
        <v>-1099803</v>
      </c>
      <c r="O93" s="248" t="n">
        <v>-1099803</v>
      </c>
      <c r="P93" s="248" t="n">
        <v>-1099803</v>
      </c>
      <c r="Q93" s="248" t="n">
        <v>-1099803</v>
      </c>
      <c r="R93" s="248" t="n">
        <v>-1099803</v>
      </c>
      <c r="S93" s="248" t="n">
        <v>-1099803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-1031065</v>
      </c>
      <c r="U96" s="264" t="n">
        <v>-1031065</v>
      </c>
      <c r="V96" s="263" t="n">
        <v>-1031065</v>
      </c>
      <c r="W96" s="263" t="n">
        <v>-1031065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5.37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-409485</v>
      </c>
      <c r="E70" s="202" t="n">
        <v>-382186</v>
      </c>
      <c r="F70" s="202" t="n">
        <v>-354887</v>
      </c>
      <c r="G70" s="202" t="n">
        <v>-327588</v>
      </c>
      <c r="H70" s="202" t="n">
        <v>-300289</v>
      </c>
      <c r="I70" s="202" t="n">
        <v>-272990</v>
      </c>
      <c r="J70" s="202" t="n">
        <v>-245691</v>
      </c>
      <c r="K70" s="202" t="n">
        <v>-218392</v>
      </c>
      <c r="L70" s="202" t="n">
        <v>-191093</v>
      </c>
      <c r="M70" s="202" t="n">
        <v>-163794</v>
      </c>
      <c r="N70" s="202" t="n">
        <v>-136495</v>
      </c>
      <c r="O70" s="202" t="n">
        <v>-109196</v>
      </c>
      <c r="P70" s="202" t="n">
        <v>-81897</v>
      </c>
      <c r="Q70" s="202" t="n">
        <v>-54598</v>
      </c>
      <c r="R70" s="202" t="n">
        <v>-27299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-1066576</v>
      </c>
      <c r="F93" s="248" t="n">
        <v>-1066576</v>
      </c>
      <c r="G93" s="248" t="n">
        <v>-1066576</v>
      </c>
      <c r="H93" s="248" t="n">
        <v>-1066576</v>
      </c>
      <c r="I93" s="248" t="n">
        <v>-1066576</v>
      </c>
      <c r="J93" s="248" t="n">
        <v>-1066576</v>
      </c>
      <c r="K93" s="248" t="n">
        <v>-1066576</v>
      </c>
      <c r="L93" s="248" t="n">
        <v>-1066576</v>
      </c>
      <c r="M93" s="248" t="n">
        <v>-1066576</v>
      </c>
      <c r="N93" s="248" t="n">
        <v>-1066576</v>
      </c>
      <c r="O93" s="248" t="n">
        <v>-1066576</v>
      </c>
      <c r="P93" s="248" t="n">
        <v>-1066576</v>
      </c>
      <c r="Q93" s="248" t="n">
        <v>-1066576</v>
      </c>
      <c r="R93" s="248" t="n">
        <v>-1066576</v>
      </c>
      <c r="S93" s="248" t="n">
        <v>-1066576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-999915</v>
      </c>
      <c r="U96" s="264" t="n">
        <v>-999915</v>
      </c>
      <c r="V96" s="263" t="n">
        <v>-999915</v>
      </c>
      <c r="W96" s="263" t="n">
        <v>-999915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7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第6次滾算摘要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29000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6.37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第6次滾算，減少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29000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-37941</v>
      </c>
      <c r="E49" s="202" t="n">
        <v>-37941</v>
      </c>
      <c r="F49" s="202" t="n">
        <v>-37941</v>
      </c>
      <c r="G49" s="202" t="n">
        <v>-37941</v>
      </c>
      <c r="H49" s="202" t="n">
        <v>-37941</v>
      </c>
      <c r="I49" s="202" t="n">
        <v>-37941</v>
      </c>
      <c r="J49" s="202" t="n">
        <v>-37941</v>
      </c>
      <c r="K49" s="202" t="n">
        <v>-37941</v>
      </c>
      <c r="L49" s="202" t="n">
        <v>-37941</v>
      </c>
      <c r="M49" s="202" t="n">
        <v>-37941</v>
      </c>
      <c r="N49" s="202" t="n">
        <v>-37941</v>
      </c>
      <c r="O49" s="202" t="n">
        <v>-37941</v>
      </c>
      <c r="P49" s="202" t="n">
        <v>-37941</v>
      </c>
      <c r="Q49" s="202" t="n">
        <v>-37941</v>
      </c>
      <c r="R49" s="202" t="n">
        <v>-37941</v>
      </c>
      <c r="S49" s="202" t="n">
        <v>-37941</v>
      </c>
      <c r="T49" s="202" t="n">
        <v>-37941</v>
      </c>
      <c r="U49" s="202" t="n">
        <v>-37941</v>
      </c>
      <c r="V49" s="202" t="n">
        <v>-37941</v>
      </c>
      <c r="W49" s="202" t="n">
        <v>-37941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-396729</v>
      </c>
      <c r="E70" s="202" t="n">
        <v>-370280</v>
      </c>
      <c r="F70" s="202" t="n">
        <v>-343831</v>
      </c>
      <c r="G70" s="202" t="n">
        <v>-317383</v>
      </c>
      <c r="H70" s="202" t="n">
        <v>-290934</v>
      </c>
      <c r="I70" s="202" t="n">
        <v>-264486</v>
      </c>
      <c r="J70" s="202" t="n">
        <v>-238037</v>
      </c>
      <c r="K70" s="202" t="n">
        <v>-211589</v>
      </c>
      <c r="L70" s="202" t="n">
        <v>-185140</v>
      </c>
      <c r="M70" s="202" t="n">
        <v>-158691</v>
      </c>
      <c r="N70" s="202" t="n">
        <v>-132243</v>
      </c>
      <c r="O70" s="202" t="n">
        <v>-105794</v>
      </c>
      <c r="P70" s="202" t="n">
        <v>-79346</v>
      </c>
      <c r="Q70" s="202" t="n">
        <v>-52897</v>
      </c>
      <c r="R70" s="202" t="n">
        <v>-26449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-1033349</v>
      </c>
      <c r="F93" s="248" t="n">
        <v>-1033349</v>
      </c>
      <c r="G93" s="248" t="n">
        <v>-1033349</v>
      </c>
      <c r="H93" s="248" t="n">
        <v>-1033349</v>
      </c>
      <c r="I93" s="248" t="n">
        <v>-1033349</v>
      </c>
      <c r="J93" s="248" t="n">
        <v>-1033349</v>
      </c>
      <c r="K93" s="248" t="n">
        <v>-1033349</v>
      </c>
      <c r="L93" s="248" t="n">
        <v>-1033349</v>
      </c>
      <c r="M93" s="248" t="n">
        <v>-1033349</v>
      </c>
      <c r="N93" s="248" t="n">
        <v>-1033349</v>
      </c>
      <c r="O93" s="248" t="n">
        <v>-1033349</v>
      </c>
      <c r="P93" s="248" t="n">
        <v>-1033349</v>
      </c>
      <c r="Q93" s="248" t="n">
        <v>-1033349</v>
      </c>
      <c r="R93" s="248" t="n">
        <v>-1033349</v>
      </c>
      <c r="S93" s="248" t="n">
        <v>-1033349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-968765</v>
      </c>
      <c r="U96" s="264" t="n">
        <v>-968765</v>
      </c>
      <c r="V96" s="263" t="n">
        <v>-968765</v>
      </c>
      <c r="W96" s="263" t="n">
        <v>-968765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8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第7次滾算摘要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7.46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第7次滾算，減少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</v>
      </c>
      <c r="E49" s="202" t="n">
        <v>-36632</v>
      </c>
      <c r="F49" s="202" t="n">
        <v>-36632</v>
      </c>
      <c r="G49" s="202" t="n">
        <v>-36632</v>
      </c>
      <c r="H49" s="202" t="n">
        <v>-36632</v>
      </c>
      <c r="I49" s="202" t="n">
        <v>-36632</v>
      </c>
      <c r="J49" s="202" t="n">
        <v>-36632</v>
      </c>
      <c r="K49" s="202" t="n">
        <v>-36632</v>
      </c>
      <c r="L49" s="202" t="n">
        <v>-36632</v>
      </c>
      <c r="M49" s="202" t="n">
        <v>-36632</v>
      </c>
      <c r="N49" s="202" t="n">
        <v>-36632</v>
      </c>
      <c r="O49" s="202" t="n">
        <v>-36632</v>
      </c>
      <c r="P49" s="202" t="n">
        <v>-36632</v>
      </c>
      <c r="Q49" s="202" t="n">
        <v>-36632</v>
      </c>
      <c r="R49" s="202" t="n">
        <v>-36632</v>
      </c>
      <c r="S49" s="202" t="n">
        <v>-36632</v>
      </c>
      <c r="T49" s="202" t="n">
        <v>-36632</v>
      </c>
      <c r="U49" s="202" t="n">
        <v>-36632</v>
      </c>
      <c r="V49" s="202" t="n">
        <v>-36632</v>
      </c>
      <c r="W49" s="202" t="n">
        <v>-36632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-383972</v>
      </c>
      <c r="E70" s="202" t="n">
        <v>-358374</v>
      </c>
      <c r="F70" s="202" t="n">
        <v>-332776</v>
      </c>
      <c r="G70" s="202" t="n">
        <v>-307178</v>
      </c>
      <c r="H70" s="202" t="n">
        <v>-281580</v>
      </c>
      <c r="I70" s="202" t="n">
        <v>-255981</v>
      </c>
      <c r="J70" s="202" t="n">
        <v>-230383</v>
      </c>
      <c r="K70" s="202" t="n">
        <v>-204785</v>
      </c>
      <c r="L70" s="202" t="n">
        <v>-179187</v>
      </c>
      <c r="M70" s="202" t="n">
        <v>-153589</v>
      </c>
      <c r="N70" s="202" t="n">
        <v>-127991</v>
      </c>
      <c r="O70" s="202" t="n">
        <v>-102393</v>
      </c>
      <c r="P70" s="202" t="n">
        <v>-76794</v>
      </c>
      <c r="Q70" s="202" t="n">
        <v>-51196</v>
      </c>
      <c r="R70" s="202" t="n">
        <v>-25598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-1000123</v>
      </c>
      <c r="F93" s="248" t="n">
        <v>-1000123</v>
      </c>
      <c r="G93" s="248" t="n">
        <v>-1000123</v>
      </c>
      <c r="H93" s="248" t="n">
        <v>-1000123</v>
      </c>
      <c r="I93" s="248" t="n">
        <v>-1000123</v>
      </c>
      <c r="J93" s="248" t="n">
        <v>-1000123</v>
      </c>
      <c r="K93" s="248" t="n">
        <v>-1000123</v>
      </c>
      <c r="L93" s="248" t="n">
        <v>-1000123</v>
      </c>
      <c r="M93" s="248" t="n">
        <v>-1000123</v>
      </c>
      <c r="N93" s="248" t="n">
        <v>-1000123</v>
      </c>
      <c r="O93" s="248" t="n">
        <v>-1000123</v>
      </c>
      <c r="P93" s="248" t="n">
        <v>-1000123</v>
      </c>
      <c r="Q93" s="248" t="n">
        <v>-1000123</v>
      </c>
      <c r="R93" s="248" t="n">
        <v>-1000123</v>
      </c>
      <c r="S93" s="248" t="n">
        <v>-1000123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-937615</v>
      </c>
      <c r="U96" s="264" t="n">
        <v>-937615</v>
      </c>
      <c r="V96" s="263" t="n">
        <v>-937615</v>
      </c>
      <c r="W96" s="263" t="n">
        <v>-937615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9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第8次滾算摘要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27000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8.65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第8次滾算，減少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27000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-35324</v>
      </c>
      <c r="E49" s="202" t="n">
        <v>-35324</v>
      </c>
      <c r="F49" s="202" t="n">
        <v>-35324</v>
      </c>
      <c r="G49" s="202" t="n">
        <v>-35324</v>
      </c>
      <c r="H49" s="202" t="n">
        <v>-35324</v>
      </c>
      <c r="I49" s="202" t="n">
        <v>-35324</v>
      </c>
      <c r="J49" s="202" t="n">
        <v>-35324</v>
      </c>
      <c r="K49" s="202" t="n">
        <v>-35324</v>
      </c>
      <c r="L49" s="202" t="n">
        <v>-35324</v>
      </c>
      <c r="M49" s="202" t="n">
        <v>-35324</v>
      </c>
      <c r="N49" s="202" t="n">
        <v>-35324</v>
      </c>
      <c r="O49" s="202" t="n">
        <v>-35324</v>
      </c>
      <c r="P49" s="202" t="n">
        <v>-35324</v>
      </c>
      <c r="Q49" s="202" t="n">
        <v>-35324</v>
      </c>
      <c r="R49" s="202" t="n">
        <v>-35324</v>
      </c>
      <c r="S49" s="202" t="n">
        <v>-35324</v>
      </c>
      <c r="T49" s="202" t="n">
        <v>-35324</v>
      </c>
      <c r="U49" s="202" t="n">
        <v>-35324</v>
      </c>
      <c r="V49" s="202" t="n">
        <v>-35324</v>
      </c>
      <c r="W49" s="202" t="n">
        <v>-35324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-371216</v>
      </c>
      <c r="E70" s="202" t="n">
        <v>-346468</v>
      </c>
      <c r="F70" s="202" t="n">
        <v>-321720</v>
      </c>
      <c r="G70" s="202" t="n">
        <v>-296972</v>
      </c>
      <c r="H70" s="202" t="n">
        <v>-272225</v>
      </c>
      <c r="I70" s="202" t="n">
        <v>-247477</v>
      </c>
      <c r="J70" s="202" t="n">
        <v>-222729</v>
      </c>
      <c r="K70" s="202" t="n">
        <v>-197982</v>
      </c>
      <c r="L70" s="202" t="n">
        <v>-173234</v>
      </c>
      <c r="M70" s="202" t="n">
        <v>-148486</v>
      </c>
      <c r="N70" s="202" t="n">
        <v>-123739</v>
      </c>
      <c r="O70" s="202" t="n">
        <v>-98991</v>
      </c>
      <c r="P70" s="202" t="n">
        <v>-74243</v>
      </c>
      <c r="Q70" s="202" t="n">
        <v>-49495</v>
      </c>
      <c r="R70" s="202" t="n">
        <v>-24748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-966896</v>
      </c>
      <c r="F93" s="248" t="n">
        <v>-966896</v>
      </c>
      <c r="G93" s="248" t="n">
        <v>-966896</v>
      </c>
      <c r="H93" s="248" t="n">
        <v>-966896</v>
      </c>
      <c r="I93" s="248" t="n">
        <v>-966896</v>
      </c>
      <c r="J93" s="248" t="n">
        <v>-966896</v>
      </c>
      <c r="K93" s="248" t="n">
        <v>-966896</v>
      </c>
      <c r="L93" s="248" t="n">
        <v>-966896</v>
      </c>
      <c r="M93" s="248" t="n">
        <v>-966896</v>
      </c>
      <c r="N93" s="248" t="n">
        <v>-966896</v>
      </c>
      <c r="O93" s="248" t="n">
        <v>-966896</v>
      </c>
      <c r="P93" s="248" t="n">
        <v>-966896</v>
      </c>
      <c r="Q93" s="248" t="n">
        <v>-966896</v>
      </c>
      <c r="R93" s="248" t="n">
        <v>-966896</v>
      </c>
      <c r="S93" s="248" t="n">
        <v>-966896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-906465</v>
      </c>
      <c r="U96" s="264" t="n">
        <v>-906465</v>
      </c>
      <c r="V96" s="263" t="n">
        <v>-906465</v>
      </c>
      <c r="W96" s="263" t="n">
        <v>-906465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10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第9次滾算摘要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9.96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第9次滾算，減少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-34016</v>
      </c>
      <c r="E49" s="202" t="n">
        <v>-34016</v>
      </c>
      <c r="F49" s="202" t="n">
        <v>-34016</v>
      </c>
      <c r="G49" s="202" t="n">
        <v>-34016</v>
      </c>
      <c r="H49" s="202" t="n">
        <v>-34016</v>
      </c>
      <c r="I49" s="202" t="n">
        <v>-34016</v>
      </c>
      <c r="J49" s="202" t="n">
        <v>-34016</v>
      </c>
      <c r="K49" s="202" t="n">
        <v>-34016</v>
      </c>
      <c r="L49" s="202" t="n">
        <v>-34016</v>
      </c>
      <c r="M49" s="202" t="n">
        <v>-34016</v>
      </c>
      <c r="N49" s="202" t="n">
        <v>-34016</v>
      </c>
      <c r="O49" s="202" t="n">
        <v>-34016</v>
      </c>
      <c r="P49" s="202" t="n">
        <v>-34016</v>
      </c>
      <c r="Q49" s="202" t="n">
        <v>-34016</v>
      </c>
      <c r="R49" s="202" t="n">
        <v>-34016</v>
      </c>
      <c r="S49" s="202" t="n">
        <v>-34016</v>
      </c>
      <c r="T49" s="202" t="n">
        <v>-34016</v>
      </c>
      <c r="U49" s="202" t="n">
        <v>-34016</v>
      </c>
      <c r="V49" s="202" t="n">
        <v>-34016</v>
      </c>
      <c r="W49" s="202" t="n">
        <v>-34016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-358459</v>
      </c>
      <c r="E70" s="202" t="n">
        <v>-334562</v>
      </c>
      <c r="F70" s="202" t="n">
        <v>-310664</v>
      </c>
      <c r="G70" s="202" t="n">
        <v>-286767</v>
      </c>
      <c r="H70" s="202" t="n">
        <v>-262870</v>
      </c>
      <c r="I70" s="202" t="n">
        <v>-238973</v>
      </c>
      <c r="J70" s="202" t="n">
        <v>-215075</v>
      </c>
      <c r="K70" s="202" t="n">
        <v>-191178</v>
      </c>
      <c r="L70" s="202" t="n">
        <v>-167281</v>
      </c>
      <c r="M70" s="202" t="n">
        <v>-143384</v>
      </c>
      <c r="N70" s="202" t="n">
        <v>-119486</v>
      </c>
      <c r="O70" s="202" t="n">
        <v>-95589</v>
      </c>
      <c r="P70" s="202" t="n">
        <v>-71692</v>
      </c>
      <c r="Q70" s="202" t="n">
        <v>-47795</v>
      </c>
      <c r="R70" s="202" t="n">
        <v>-23897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-933669</v>
      </c>
      <c r="F93" s="248" t="n">
        <v>-933669</v>
      </c>
      <c r="G93" s="248" t="n">
        <v>-933669</v>
      </c>
      <c r="H93" s="248" t="n">
        <v>-933669</v>
      </c>
      <c r="I93" s="248" t="n">
        <v>-933669</v>
      </c>
      <c r="J93" s="248" t="n">
        <v>-933669</v>
      </c>
      <c r="K93" s="248" t="n">
        <v>-933669</v>
      </c>
      <c r="L93" s="248" t="n">
        <v>-933669</v>
      </c>
      <c r="M93" s="248" t="n">
        <v>-933669</v>
      </c>
      <c r="N93" s="248" t="n">
        <v>-933669</v>
      </c>
      <c r="O93" s="248" t="n">
        <v>-933669</v>
      </c>
      <c r="P93" s="248" t="n">
        <v>-933669</v>
      </c>
      <c r="Q93" s="248" t="n">
        <v>-933669</v>
      </c>
      <c r="R93" s="248" t="n">
        <v>-933669</v>
      </c>
      <c r="S93" s="248" t="n">
        <v>-933669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-875315</v>
      </c>
      <c r="U96" s="264" t="n">
        <v>-875315</v>
      </c>
      <c r="V96" s="263" t="n">
        <v>-875315</v>
      </c>
      <c r="W96" s="263" t="n">
        <v>-875315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11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第10次滾算摘要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25000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11.4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第10次滾算，減少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25000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-32708</v>
      </c>
      <c r="E49" s="202" t="n">
        <v>-32708</v>
      </c>
      <c r="F49" s="202" t="n">
        <v>-32708</v>
      </c>
      <c r="G49" s="202" t="n">
        <v>-32708</v>
      </c>
      <c r="H49" s="202" t="n">
        <v>-32708</v>
      </c>
      <c r="I49" s="202" t="n">
        <v>-32708</v>
      </c>
      <c r="J49" s="202" t="n">
        <v>-32708</v>
      </c>
      <c r="K49" s="202" t="n">
        <v>-32708</v>
      </c>
      <c r="L49" s="202" t="n">
        <v>-32708</v>
      </c>
      <c r="M49" s="202" t="n">
        <v>-32708</v>
      </c>
      <c r="N49" s="202" t="n">
        <v>-32708</v>
      </c>
      <c r="O49" s="202" t="n">
        <v>-32708</v>
      </c>
      <c r="P49" s="202" t="n">
        <v>-32708</v>
      </c>
      <c r="Q49" s="202" t="n">
        <v>-32708</v>
      </c>
      <c r="R49" s="202" t="n">
        <v>-32708</v>
      </c>
      <c r="S49" s="202" t="n">
        <v>-32708</v>
      </c>
      <c r="T49" s="202" t="n">
        <v>-32708</v>
      </c>
      <c r="U49" s="202" t="n">
        <v>-32708</v>
      </c>
      <c r="V49" s="202" t="n">
        <v>-32708</v>
      </c>
      <c r="W49" s="202" t="n">
        <v>-32708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-345702</v>
      </c>
      <c r="E70" s="202" t="n">
        <v>-322656</v>
      </c>
      <c r="F70" s="202" t="n">
        <v>-299609</v>
      </c>
      <c r="G70" s="202" t="n">
        <v>-276562</v>
      </c>
      <c r="H70" s="202" t="n">
        <v>-253515</v>
      </c>
      <c r="I70" s="202" t="n">
        <v>-230468</v>
      </c>
      <c r="J70" s="202" t="n">
        <v>-207421</v>
      </c>
      <c r="K70" s="202" t="n">
        <v>-184375</v>
      </c>
      <c r="L70" s="202" t="n">
        <v>-161328</v>
      </c>
      <c r="M70" s="202" t="n">
        <v>-138281</v>
      </c>
      <c r="N70" s="202" t="n">
        <v>-115234</v>
      </c>
      <c r="O70" s="202" t="n">
        <v>-92187</v>
      </c>
      <c r="P70" s="202" t="n">
        <v>-69140</v>
      </c>
      <c r="Q70" s="202" t="n">
        <v>-46094</v>
      </c>
      <c r="R70" s="202" t="n">
        <v>-23047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-900443</v>
      </c>
      <c r="F93" s="248" t="n">
        <v>-900443</v>
      </c>
      <c r="G93" s="248" t="n">
        <v>-900443</v>
      </c>
      <c r="H93" s="248" t="n">
        <v>-900443</v>
      </c>
      <c r="I93" s="248" t="n">
        <v>-900443</v>
      </c>
      <c r="J93" s="248" t="n">
        <v>-900443</v>
      </c>
      <c r="K93" s="248" t="n">
        <v>-900443</v>
      </c>
      <c r="L93" s="248" t="n">
        <v>-900443</v>
      </c>
      <c r="M93" s="248" t="n">
        <v>-900443</v>
      </c>
      <c r="N93" s="248" t="n">
        <v>-900443</v>
      </c>
      <c r="O93" s="248" t="n">
        <v>-900443</v>
      </c>
      <c r="P93" s="248" t="n">
        <v>-900443</v>
      </c>
      <c r="Q93" s="248" t="n">
        <v>-900443</v>
      </c>
      <c r="R93" s="248" t="n">
        <v>-900443</v>
      </c>
      <c r="S93" s="248" t="n">
        <v>-900443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-844165</v>
      </c>
      <c r="U96" s="264" t="n">
        <v>-844165</v>
      </c>
      <c r="V96" s="263" t="n">
        <v>-844165</v>
      </c>
      <c r="W96" s="263" t="n">
        <v>-844165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12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13.0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第11次滾算，減少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</v>
      </c>
      <c r="E49" s="202" t="n">
        <v>-31399</v>
      </c>
      <c r="F49" s="202" t="n">
        <v>-31399</v>
      </c>
      <c r="G49" s="202" t="n">
        <v>-31399</v>
      </c>
      <c r="H49" s="202" t="n">
        <v>-31399</v>
      </c>
      <c r="I49" s="202" t="n">
        <v>-31399</v>
      </c>
      <c r="J49" s="202" t="n">
        <v>-31399</v>
      </c>
      <c r="K49" s="202" t="n">
        <v>-31399</v>
      </c>
      <c r="L49" s="202" t="n">
        <v>-31399</v>
      </c>
      <c r="M49" s="202" t="n">
        <v>-31399</v>
      </c>
      <c r="N49" s="202" t="n">
        <v>-31399</v>
      </c>
      <c r="O49" s="202" t="n">
        <v>-31399</v>
      </c>
      <c r="P49" s="202" t="n">
        <v>-31399</v>
      </c>
      <c r="Q49" s="202" t="n">
        <v>-31399</v>
      </c>
      <c r="R49" s="202" t="n">
        <v>-31399</v>
      </c>
      <c r="S49" s="202" t="n">
        <v>-31399</v>
      </c>
      <c r="T49" s="202" t="n">
        <v>-31399</v>
      </c>
      <c r="U49" s="202" t="n">
        <v>-31399</v>
      </c>
      <c r="V49" s="202" t="n">
        <v>-31399</v>
      </c>
      <c r="W49" s="202" t="n">
        <v>-31399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-332946</v>
      </c>
      <c r="E70" s="202" t="n">
        <v>-310750</v>
      </c>
      <c r="F70" s="202" t="n">
        <v>-288553</v>
      </c>
      <c r="G70" s="202" t="n">
        <v>-266357</v>
      </c>
      <c r="H70" s="202" t="n">
        <v>-244160</v>
      </c>
      <c r="I70" s="202" t="n">
        <v>-221964</v>
      </c>
      <c r="J70" s="202" t="n">
        <v>-199768</v>
      </c>
      <c r="K70" s="202" t="n">
        <v>-177571</v>
      </c>
      <c r="L70" s="202" t="n">
        <v>-155375</v>
      </c>
      <c r="M70" s="202" t="n">
        <v>-133178</v>
      </c>
      <c r="N70" s="202" t="n">
        <v>-110982</v>
      </c>
      <c r="O70" s="202" t="n">
        <v>-88786</v>
      </c>
      <c r="P70" s="202" t="n">
        <v>-66589</v>
      </c>
      <c r="Q70" s="202" t="n">
        <v>-44393</v>
      </c>
      <c r="R70" s="202" t="n">
        <v>-22196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-867216</v>
      </c>
      <c r="F93" s="248" t="n">
        <v>-867216</v>
      </c>
      <c r="G93" s="248" t="n">
        <v>-867216</v>
      </c>
      <c r="H93" s="248" t="n">
        <v>-867216</v>
      </c>
      <c r="I93" s="248" t="n">
        <v>-867216</v>
      </c>
      <c r="J93" s="248" t="n">
        <v>-867216</v>
      </c>
      <c r="K93" s="248" t="n">
        <v>-867216</v>
      </c>
      <c r="L93" s="248" t="n">
        <v>-867216</v>
      </c>
      <c r="M93" s="248" t="n">
        <v>-867216</v>
      </c>
      <c r="N93" s="248" t="n">
        <v>-867216</v>
      </c>
      <c r="O93" s="248" t="n">
        <v>-867216</v>
      </c>
      <c r="P93" s="248" t="n">
        <v>-867216</v>
      </c>
      <c r="Q93" s="248" t="n">
        <v>-867216</v>
      </c>
      <c r="R93" s="248" t="n">
        <v>-867216</v>
      </c>
      <c r="S93" s="248" t="n">
        <v>-867216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-813015</v>
      </c>
      <c r="U96" s="264" t="n">
        <v>-813015</v>
      </c>
      <c r="V96" s="263" t="n">
        <v>-813015</v>
      </c>
      <c r="W96" s="263" t="n">
        <v>-813015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13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23000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14.79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第12次滾算，減少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23000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-30091</v>
      </c>
      <c r="E49" s="202" t="n">
        <v>-30091</v>
      </c>
      <c r="F49" s="202" t="n">
        <v>-30091</v>
      </c>
      <c r="G49" s="202" t="n">
        <v>-30091</v>
      </c>
      <c r="H49" s="202" t="n">
        <v>-30091</v>
      </c>
      <c r="I49" s="202" t="n">
        <v>-30091</v>
      </c>
      <c r="J49" s="202" t="n">
        <v>-30091</v>
      </c>
      <c r="K49" s="202" t="n">
        <v>-30091</v>
      </c>
      <c r="L49" s="202" t="n">
        <v>-30091</v>
      </c>
      <c r="M49" s="202" t="n">
        <v>-30091</v>
      </c>
      <c r="N49" s="202" t="n">
        <v>-30091</v>
      </c>
      <c r="O49" s="202" t="n">
        <v>-30091</v>
      </c>
      <c r="P49" s="202" t="n">
        <v>-30091</v>
      </c>
      <c r="Q49" s="202" t="n">
        <v>-30091</v>
      </c>
      <c r="R49" s="202" t="n">
        <v>-30091</v>
      </c>
      <c r="S49" s="202" t="n">
        <v>-30091</v>
      </c>
      <c r="T49" s="202" t="n">
        <v>-30091</v>
      </c>
      <c r="U49" s="202" t="n">
        <v>-30091</v>
      </c>
      <c r="V49" s="202" t="n">
        <v>-30091</v>
      </c>
      <c r="W49" s="202" t="n">
        <v>-30091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-320189</v>
      </c>
      <c r="E70" s="202" t="n">
        <v>-298843</v>
      </c>
      <c r="F70" s="202" t="n">
        <v>-277497</v>
      </c>
      <c r="G70" s="202" t="n">
        <v>-256151</v>
      </c>
      <c r="H70" s="202" t="n">
        <v>-234806</v>
      </c>
      <c r="I70" s="202" t="n">
        <v>-213460</v>
      </c>
      <c r="J70" s="202" t="n">
        <v>-192114</v>
      </c>
      <c r="K70" s="202" t="n">
        <v>-170768</v>
      </c>
      <c r="L70" s="202" t="n">
        <v>-149422</v>
      </c>
      <c r="M70" s="202" t="n">
        <v>-128076</v>
      </c>
      <c r="N70" s="202" t="n">
        <v>-106730</v>
      </c>
      <c r="O70" s="202" t="n">
        <v>-85384</v>
      </c>
      <c r="P70" s="202" t="n">
        <v>-64038</v>
      </c>
      <c r="Q70" s="202" t="n">
        <v>-42692</v>
      </c>
      <c r="R70" s="202" t="n">
        <v>-21346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-833989</v>
      </c>
      <c r="F93" s="248" t="n">
        <v>-833989</v>
      </c>
      <c r="G93" s="248" t="n">
        <v>-833989</v>
      </c>
      <c r="H93" s="248" t="n">
        <v>-833989</v>
      </c>
      <c r="I93" s="248" t="n">
        <v>-833989</v>
      </c>
      <c r="J93" s="248" t="n">
        <v>-833989</v>
      </c>
      <c r="K93" s="248" t="n">
        <v>-833989</v>
      </c>
      <c r="L93" s="248" t="n">
        <v>-833989</v>
      </c>
      <c r="M93" s="248" t="n">
        <v>-833989</v>
      </c>
      <c r="N93" s="248" t="n">
        <v>-833989</v>
      </c>
      <c r="O93" s="248" t="n">
        <v>-833989</v>
      </c>
      <c r="P93" s="248" t="n">
        <v>-833989</v>
      </c>
      <c r="Q93" s="248" t="n">
        <v>-833989</v>
      </c>
      <c r="R93" s="248" t="n">
        <v>-833989</v>
      </c>
      <c r="S93" s="248" t="n">
        <v>-833989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-781865</v>
      </c>
      <c r="U96" s="264" t="n">
        <v>-781865</v>
      </c>
      <c r="V96" s="263" t="n">
        <v>-781865</v>
      </c>
      <c r="W96" s="263" t="n">
        <v>-781865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14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16.83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第13次滾算，減少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-28783</v>
      </c>
      <c r="E49" s="202" t="n">
        <v>-28783</v>
      </c>
      <c r="F49" s="202" t="n">
        <v>-28783</v>
      </c>
      <c r="G49" s="202" t="n">
        <v>-28783</v>
      </c>
      <c r="H49" s="202" t="n">
        <v>-28783</v>
      </c>
      <c r="I49" s="202" t="n">
        <v>-28783</v>
      </c>
      <c r="J49" s="202" t="n">
        <v>-28783</v>
      </c>
      <c r="K49" s="202" t="n">
        <v>-28783</v>
      </c>
      <c r="L49" s="202" t="n">
        <v>-28783</v>
      </c>
      <c r="M49" s="202" t="n">
        <v>-28783</v>
      </c>
      <c r="N49" s="202" t="n">
        <v>-28783</v>
      </c>
      <c r="O49" s="202" t="n">
        <v>-28783</v>
      </c>
      <c r="P49" s="202" t="n">
        <v>-28783</v>
      </c>
      <c r="Q49" s="202" t="n">
        <v>-28783</v>
      </c>
      <c r="R49" s="202" t="n">
        <v>-28783</v>
      </c>
      <c r="S49" s="202" t="n">
        <v>-28783</v>
      </c>
      <c r="T49" s="202" t="n">
        <v>-28783</v>
      </c>
      <c r="U49" s="202" t="n">
        <v>-28783</v>
      </c>
      <c r="V49" s="202" t="n">
        <v>-28783</v>
      </c>
      <c r="W49" s="202" t="n">
        <v>-28783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-307433</v>
      </c>
      <c r="E70" s="202" t="n">
        <v>-286937</v>
      </c>
      <c r="F70" s="202" t="n">
        <v>-266442</v>
      </c>
      <c r="G70" s="202" t="n">
        <v>-245946</v>
      </c>
      <c r="H70" s="202" t="n">
        <v>-225451</v>
      </c>
      <c r="I70" s="202" t="n">
        <v>-204955</v>
      </c>
      <c r="J70" s="202" t="n">
        <v>-184460</v>
      </c>
      <c r="K70" s="202" t="n">
        <v>-163964</v>
      </c>
      <c r="L70" s="202" t="n">
        <v>-143469</v>
      </c>
      <c r="M70" s="202" t="n">
        <v>-122973</v>
      </c>
      <c r="N70" s="202" t="n">
        <v>-102478</v>
      </c>
      <c r="O70" s="202" t="n">
        <v>-81982</v>
      </c>
      <c r="P70" s="202" t="n">
        <v>-61487</v>
      </c>
      <c r="Q70" s="202" t="n">
        <v>-40991</v>
      </c>
      <c r="R70" s="202" t="n">
        <v>-20496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-800763</v>
      </c>
      <c r="F93" s="248" t="n">
        <v>-800763</v>
      </c>
      <c r="G93" s="248" t="n">
        <v>-800763</v>
      </c>
      <c r="H93" s="248" t="n">
        <v>-800763</v>
      </c>
      <c r="I93" s="248" t="n">
        <v>-800763</v>
      </c>
      <c r="J93" s="248" t="n">
        <v>-800763</v>
      </c>
      <c r="K93" s="248" t="n">
        <v>-800763</v>
      </c>
      <c r="L93" s="248" t="n">
        <v>-800763</v>
      </c>
      <c r="M93" s="248" t="n">
        <v>-800763</v>
      </c>
      <c r="N93" s="248" t="n">
        <v>-800763</v>
      </c>
      <c r="O93" s="248" t="n">
        <v>-800763</v>
      </c>
      <c r="P93" s="248" t="n">
        <v>-800763</v>
      </c>
      <c r="Q93" s="248" t="n">
        <v>-800763</v>
      </c>
      <c r="R93" s="248" t="n">
        <v>-800763</v>
      </c>
      <c r="S93" s="248" t="n">
        <v>-800763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-750715</v>
      </c>
      <c r="U96" s="264" t="n">
        <v>-750715</v>
      </c>
      <c r="V96" s="263" t="n">
        <v>-750715</v>
      </c>
      <c r="W96" s="263" t="n">
        <v>-750715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15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21000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19.16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第14次滾算，減少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21000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-27474</v>
      </c>
      <c r="E49" s="202" t="n">
        <v>-27474</v>
      </c>
      <c r="F49" s="202" t="n">
        <v>-27474</v>
      </c>
      <c r="G49" s="202" t="n">
        <v>-27474</v>
      </c>
      <c r="H49" s="202" t="n">
        <v>-27474</v>
      </c>
      <c r="I49" s="202" t="n">
        <v>-27474</v>
      </c>
      <c r="J49" s="202" t="n">
        <v>-27474</v>
      </c>
      <c r="K49" s="202" t="n">
        <v>-27474</v>
      </c>
      <c r="L49" s="202" t="n">
        <v>-27474</v>
      </c>
      <c r="M49" s="202" t="n">
        <v>-27474</v>
      </c>
      <c r="N49" s="202" t="n">
        <v>-27474</v>
      </c>
      <c r="O49" s="202" t="n">
        <v>-27474</v>
      </c>
      <c r="P49" s="202" t="n">
        <v>-27474</v>
      </c>
      <c r="Q49" s="202" t="n">
        <v>-27474</v>
      </c>
      <c r="R49" s="202" t="n">
        <v>-27474</v>
      </c>
      <c r="S49" s="202" t="n">
        <v>-27474</v>
      </c>
      <c r="T49" s="202" t="n">
        <v>-27474</v>
      </c>
      <c r="U49" s="202" t="n">
        <v>-27474</v>
      </c>
      <c r="V49" s="202" t="n">
        <v>-27474</v>
      </c>
      <c r="W49" s="202" t="n">
        <v>-27474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-294676</v>
      </c>
      <c r="E70" s="202" t="n">
        <v>-275031</v>
      </c>
      <c r="F70" s="202" t="n">
        <v>-255386</v>
      </c>
      <c r="G70" s="202" t="n">
        <v>-235741</v>
      </c>
      <c r="H70" s="202" t="n">
        <v>-216096</v>
      </c>
      <c r="I70" s="202" t="n">
        <v>-196451</v>
      </c>
      <c r="J70" s="202" t="n">
        <v>-176806</v>
      </c>
      <c r="K70" s="202" t="n">
        <v>-157161</v>
      </c>
      <c r="L70" s="202" t="n">
        <v>-137516</v>
      </c>
      <c r="M70" s="202" t="n">
        <v>-117871</v>
      </c>
      <c r="N70" s="202" t="n">
        <v>-98225</v>
      </c>
      <c r="O70" s="202" t="n">
        <v>-78580</v>
      </c>
      <c r="P70" s="202" t="n">
        <v>-58935</v>
      </c>
      <c r="Q70" s="202" t="n">
        <v>-39290</v>
      </c>
      <c r="R70" s="202" t="n">
        <v>-19645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-767536</v>
      </c>
      <c r="F93" s="248" t="n">
        <v>-767536</v>
      </c>
      <c r="G93" s="248" t="n">
        <v>-767536</v>
      </c>
      <c r="H93" s="248" t="n">
        <v>-767536</v>
      </c>
      <c r="I93" s="248" t="n">
        <v>-767536</v>
      </c>
      <c r="J93" s="248" t="n">
        <v>-767536</v>
      </c>
      <c r="K93" s="248" t="n">
        <v>-767536</v>
      </c>
      <c r="L93" s="248" t="n">
        <v>-767536</v>
      </c>
      <c r="M93" s="248" t="n">
        <v>-767536</v>
      </c>
      <c r="N93" s="248" t="n">
        <v>-767536</v>
      </c>
      <c r="O93" s="248" t="n">
        <v>-767536</v>
      </c>
      <c r="P93" s="248" t="n">
        <v>-767536</v>
      </c>
      <c r="Q93" s="248" t="n">
        <v>-767536</v>
      </c>
      <c r="R93" s="248" t="n">
        <v>-767536</v>
      </c>
      <c r="S93" s="248" t="n">
        <v>-767536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-719565</v>
      </c>
      <c r="U96" s="264" t="n">
        <v>-719565</v>
      </c>
      <c r="V96" s="263" t="n">
        <v>-719565</v>
      </c>
      <c r="W96" s="263" t="n">
        <v>-719565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16</t>
        </is>
      </c>
    </row>
    <row r="5" ht="22.5" customHeight="1">
      <c r="B5" s="159" t="inlineStr">
        <is>
          <t>起始年度</t>
        </is>
      </c>
      <c r="C5" s="159" t="n">
        <v>2023</v>
      </c>
      <c r="D5" s="159" t="inlineStr">
        <is>
          <t>結束年度</t>
        </is>
      </c>
      <c r="E5" s="159" t="n">
        <v>2042</v>
      </c>
      <c r="M5" t="inlineStr">
        <is>
          <t>第15次滾算摘要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21.86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30.00%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第15次滾算，減少 1000 元 - 現金模式，每次減少 1000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0.3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3000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290201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02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t="n">
        <v>0</v>
      </c>
      <c r="E45" s="202" t="n">
        <v>-290201</v>
      </c>
      <c r="F45" s="202" t="n">
        <v>-290201</v>
      </c>
      <c r="G45" s="202" t="n">
        <v>-290201</v>
      </c>
      <c r="H45" s="202" t="n">
        <v>-290201</v>
      </c>
      <c r="I45" s="202" t="n">
        <v>-290201</v>
      </c>
      <c r="J45" s="202" t="n">
        <v>-290201</v>
      </c>
      <c r="K45" s="202" t="n">
        <v>-290201</v>
      </c>
      <c r="L45" s="202" t="n">
        <v>-290201</v>
      </c>
      <c r="M45" s="202" t="n">
        <v>-290201</v>
      </c>
      <c r="N45" s="202" t="n">
        <v>-290201</v>
      </c>
      <c r="O45" s="202" t="n">
        <v>-290201</v>
      </c>
      <c r="P45" s="202" t="n">
        <v>-290201</v>
      </c>
      <c r="Q45" s="202" t="n">
        <v>-290201</v>
      </c>
      <c r="R45" s="202" t="n">
        <v>-290201</v>
      </c>
      <c r="S45" s="202" t="n">
        <v>-290201</v>
      </c>
      <c r="T45" s="202" t="n">
        <v>-290201</v>
      </c>
      <c r="U45" s="202" t="n">
        <v>-290201</v>
      </c>
      <c r="V45" s="202" t="n">
        <v>-290201</v>
      </c>
      <c r="W45" s="202" t="n">
        <v>-290201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15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6" t="inlineStr">
        <is>
          <t>現金流</t>
        </is>
      </c>
      <c r="C55" s="217">
        <f>C44</f>
        <v/>
      </c>
      <c r="D55" s="218">
        <f>SUM(D41:D54)</f>
        <v/>
      </c>
      <c r="E55" s="219">
        <f>SUM(E41:E54)</f>
        <v/>
      </c>
      <c r="F55" s="219">
        <f>SUM(F41:F54)</f>
        <v/>
      </c>
      <c r="G55" s="219">
        <f>SUM(G41:G54)</f>
        <v/>
      </c>
      <c r="H55" s="219">
        <f>SUM(H41:H54)</f>
        <v/>
      </c>
      <c r="I55" s="219">
        <f>SUM(I41:I54)</f>
        <v/>
      </c>
      <c r="J55" s="219">
        <f>SUM(J41:J54)</f>
        <v/>
      </c>
      <c r="K55" s="219">
        <f>SUM(K41:K54)</f>
        <v/>
      </c>
      <c r="L55" s="219">
        <f>SUM(L41:L54)</f>
        <v/>
      </c>
      <c r="M55" s="219">
        <f>SUM(M41:M54)</f>
        <v/>
      </c>
      <c r="N55" s="219">
        <f>SUM(N41:N54)</f>
        <v/>
      </c>
      <c r="O55" s="219">
        <f>SUM(O41:O54)</f>
        <v/>
      </c>
      <c r="P55" s="219">
        <f>SUM(P41:P54)</f>
        <v/>
      </c>
      <c r="Q55" s="219">
        <f>SUM(Q41:Q54)</f>
        <v/>
      </c>
      <c r="R55" s="219">
        <f>SUM(R41:R54)</f>
        <v/>
      </c>
      <c r="S55" s="219">
        <f>SUM(S41:S54)</f>
        <v/>
      </c>
      <c r="T55" s="219">
        <f>SUM(T41:T54)</f>
        <v/>
      </c>
      <c r="U55" s="219">
        <f>SUM(U41:U54)</f>
        <v/>
      </c>
      <c r="V55" s="219">
        <f>SUM(V41:V54)</f>
        <v/>
      </c>
      <c r="W55" s="219">
        <f>SUM(W41:W54)</f>
        <v/>
      </c>
      <c r="X55" s="219" t="n"/>
      <c r="Y55" s="220" t="n"/>
      <c r="Z55" s="221" t="n"/>
      <c r="AA55" s="220" t="n"/>
      <c r="AB55" s="220" t="n"/>
      <c r="AC55" s="220" t="n"/>
      <c r="AD55" s="220" t="n"/>
      <c r="AE55" s="220" t="n"/>
      <c r="AF55" s="220" t="n"/>
      <c r="AG55" s="220" t="n"/>
      <c r="AH55" s="220" t="n"/>
      <c r="AI55" s="220" t="n"/>
      <c r="AJ55" s="220" t="n"/>
    </row>
    <row r="56" ht="18.75" customHeight="1">
      <c r="B56" s="222" t="inlineStr">
        <is>
          <t>累計現金流</t>
        </is>
      </c>
      <c r="D56" s="223">
        <f>C55+D55</f>
        <v/>
      </c>
      <c r="E56" s="224">
        <f>D56+E55</f>
        <v/>
      </c>
      <c r="F56" s="224">
        <f>E56+F55</f>
        <v/>
      </c>
      <c r="G56" s="224">
        <f>F56+G55</f>
        <v/>
      </c>
      <c r="H56" s="224">
        <f>G56+H55</f>
        <v/>
      </c>
      <c r="I56" s="224">
        <f>H56+I55</f>
        <v/>
      </c>
      <c r="J56" s="224">
        <f>I56+J55</f>
        <v/>
      </c>
      <c r="K56" s="224">
        <f>J56+K55</f>
        <v/>
      </c>
      <c r="L56" s="224">
        <f>K56+L55</f>
        <v/>
      </c>
      <c r="M56" s="224">
        <f>L56+M55</f>
        <v/>
      </c>
      <c r="N56" s="224">
        <f>M56+N55</f>
        <v/>
      </c>
      <c r="O56" s="224">
        <f>N56+O55</f>
        <v/>
      </c>
      <c r="P56" s="224">
        <f>O56+P55</f>
        <v/>
      </c>
      <c r="Q56" s="224">
        <f>P56+Q55</f>
        <v/>
      </c>
      <c r="R56" s="224">
        <f>Q56+R55</f>
        <v/>
      </c>
      <c r="S56" s="224">
        <f>R56+S55</f>
        <v/>
      </c>
      <c r="T56" s="224">
        <f>S56+T55</f>
        <v/>
      </c>
      <c r="U56" s="224">
        <f>T56+U55</f>
        <v/>
      </c>
      <c r="V56" s="224">
        <f>U56+V55</f>
        <v/>
      </c>
      <c r="W56" s="224">
        <f>V56+W55</f>
        <v/>
      </c>
      <c r="X56" s="224">
        <f>W56+X55</f>
        <v/>
      </c>
      <c r="Y56" s="220" t="n"/>
      <c r="Z56" s="220" t="n"/>
      <c r="AA56" s="220" t="n"/>
      <c r="AB56" s="220" t="n"/>
      <c r="AC56" s="220" t="n"/>
      <c r="AD56" s="220" t="n"/>
      <c r="AE56" s="220" t="n"/>
      <c r="AF56" s="220" t="n"/>
      <c r="AG56" s="220" t="n"/>
      <c r="AH56" s="220" t="n"/>
      <c r="AI56" s="220" t="n"/>
      <c r="AJ56" s="220" t="n"/>
    </row>
    <row r="57" ht="18.75" customHeight="1">
      <c r="B57" s="225" t="inlineStr">
        <is>
          <t>回收年限評估</t>
        </is>
      </c>
      <c r="C57" s="226" t="n"/>
      <c r="D57" s="227">
        <f>IF((D56)&gt;0,"回收","未回收")</f>
        <v/>
      </c>
      <c r="E57" s="228">
        <f>IF((E56)&gt;0,"回收","未回收")</f>
        <v/>
      </c>
      <c r="F57" s="228">
        <f>IF((F56)&gt;0,"回收","未回收")</f>
        <v/>
      </c>
      <c r="G57" s="228">
        <f>IF((G56)&gt;0,"回收","未回收")</f>
        <v/>
      </c>
      <c r="H57" s="228">
        <f>IF((H56)&gt;0,"回收","未回收")</f>
        <v/>
      </c>
      <c r="I57" s="228">
        <f>IF((I56)&gt;0,"回收","未回收")</f>
        <v/>
      </c>
      <c r="J57" s="228">
        <f>IF((J56)&gt;0,"回收","未回收")</f>
        <v/>
      </c>
      <c r="K57" s="228">
        <f>IF((K56)&gt;0,"回收","未回收")</f>
        <v/>
      </c>
      <c r="L57" s="228">
        <f>IF((L56)&gt;0,"回收","未回收")</f>
        <v/>
      </c>
      <c r="M57" s="228">
        <f>IF((M56)&gt;0,"回收","未回收")</f>
        <v/>
      </c>
      <c r="N57" s="228">
        <f>IF((N56)&gt;0,"回收","未回收")</f>
        <v/>
      </c>
      <c r="O57" s="228">
        <f>IF((O56)&gt;0,"回收","未回收")</f>
        <v/>
      </c>
      <c r="P57" s="228">
        <f>IF((P56)&gt;0,"回收","未回收")</f>
        <v/>
      </c>
      <c r="Q57" s="228">
        <f>IF((Q56)&gt;0,"回收","未回收")</f>
        <v/>
      </c>
      <c r="R57" s="228">
        <f>IF((R56)&gt;0,"回收","未回收")</f>
        <v/>
      </c>
      <c r="S57" s="228">
        <f>IF((S56)&gt;0,"回收","未回收")</f>
        <v/>
      </c>
      <c r="T57" s="228">
        <f>IF((T56)&gt;0,"回收","未回收")</f>
        <v/>
      </c>
      <c r="U57" s="228">
        <f>IF((U56)&gt;0,"回收","未回收")</f>
        <v/>
      </c>
      <c r="V57" s="228">
        <f>IF((V56)&gt;0,"回收","未回收")</f>
        <v/>
      </c>
      <c r="W57" s="228">
        <f>IF((W56)&gt;0,"回收","未回收")</f>
        <v/>
      </c>
      <c r="X57" s="228">
        <f>IF((X56)&gt;0,"回收","未回收")</f>
        <v/>
      </c>
      <c r="Y57" s="220" t="n"/>
      <c r="Z57" s="220" t="n"/>
      <c r="AA57" s="220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</row>
    <row r="58" ht="18.75" customHeight="1">
      <c r="B58" s="229" t="inlineStr">
        <is>
          <t>專案法IRR</t>
        </is>
      </c>
      <c r="C58" s="230">
        <f>IRR(C55:W55)</f>
        <v/>
      </c>
      <c r="D58" s="231" t="n"/>
      <c r="E58" s="231" t="n"/>
      <c r="F58" s="232" t="n"/>
      <c r="G58" s="232" t="n"/>
      <c r="H58" s="232" t="n"/>
      <c r="I58" s="232" t="n"/>
      <c r="J58" s="232" t="n"/>
      <c r="K58" s="232" t="n"/>
      <c r="L58" s="232" t="n"/>
      <c r="M58" s="232" t="n"/>
      <c r="N58" s="232" t="n"/>
      <c r="O58" s="232" t="n"/>
      <c r="P58" s="232" t="n"/>
      <c r="Q58" s="232" t="n"/>
      <c r="R58" s="232" t="n"/>
      <c r="S58" s="232" t="n"/>
      <c r="T58" s="232" t="n"/>
      <c r="U58" s="232" t="n"/>
      <c r="V58" s="232" t="n"/>
      <c r="W58" s="232" t="n"/>
      <c r="X58" s="232" t="n"/>
      <c r="Y58" s="233" t="n"/>
      <c r="Z58" s="233" t="n"/>
      <c r="AA58" s="233" t="n"/>
      <c r="AB58" s="233" t="n"/>
      <c r="AC58" s="233" t="n"/>
      <c r="AD58" s="233" t="n"/>
      <c r="AE58" s="233" t="n"/>
      <c r="AF58" s="233" t="n"/>
      <c r="AG58" s="233" t="n"/>
      <c r="AH58" s="233" t="n"/>
      <c r="AI58" s="233" t="n"/>
      <c r="AJ58" s="233" t="n"/>
    </row>
    <row r="59" ht="18.75" customHeight="1">
      <c r="B59" s="232" t="n"/>
      <c r="C59" s="231" t="n"/>
      <c r="D59" s="231" t="n"/>
      <c r="E59" s="231" t="n"/>
      <c r="F59" s="232" t="n"/>
      <c r="G59" s="232" t="n"/>
      <c r="H59" s="232" t="n"/>
      <c r="I59" s="232" t="n"/>
      <c r="J59" s="232" t="n"/>
      <c r="K59" s="232" t="n"/>
      <c r="L59" s="232" t="n"/>
      <c r="M59" s="231" t="n"/>
      <c r="N59" s="232" t="n"/>
      <c r="O59" s="232" t="n"/>
      <c r="P59" s="232" t="n"/>
      <c r="Q59" s="232" t="n"/>
      <c r="R59" s="232" t="n"/>
      <c r="S59" s="232" t="n"/>
      <c r="T59" s="232" t="n"/>
      <c r="U59" s="232" t="n"/>
      <c r="V59" s="232" t="n"/>
      <c r="W59" s="232" t="n"/>
      <c r="X59" s="232" t="n"/>
      <c r="Y59" s="233" t="n"/>
      <c r="Z59" s="233" t="n"/>
      <c r="AA59" s="233" t="n"/>
      <c r="AB59" s="233" t="n"/>
      <c r="AC59" s="233" t="n"/>
      <c r="AD59" s="233" t="n"/>
      <c r="AE59" s="233" t="n"/>
      <c r="AF59" s="233" t="n"/>
      <c r="AG59" s="233" t="n"/>
      <c r="AH59" s="233" t="n"/>
      <c r="AI59" s="233" t="n"/>
      <c r="AJ59" s="233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4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5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6">
        <f>$C$44/$E$16</f>
        <v/>
      </c>
      <c r="E67" s="236">
        <f>$C$44/$E$16</f>
        <v/>
      </c>
      <c r="F67" s="236">
        <f>$C$44/$E$16</f>
        <v/>
      </c>
      <c r="G67" s="236">
        <f>$C$44/$E$16</f>
        <v/>
      </c>
      <c r="H67" s="236">
        <f>$C$44/$E$16</f>
        <v/>
      </c>
      <c r="I67" s="236">
        <f>$C$44/$E$16</f>
        <v/>
      </c>
      <c r="J67" s="236">
        <f>$C$44/$E$16</f>
        <v/>
      </c>
      <c r="K67" s="236">
        <f>$C$44/$E$16</f>
        <v/>
      </c>
      <c r="L67" s="236">
        <f>$C$44/$E$16</f>
        <v/>
      </c>
      <c r="M67" s="236">
        <f>$C$44/$E$16</f>
        <v/>
      </c>
      <c r="N67" s="236">
        <f>$C$44/$E$16</f>
        <v/>
      </c>
      <c r="O67" s="236">
        <f>$C$44/$E$16</f>
        <v/>
      </c>
      <c r="P67" s="236">
        <f>$C$44/$E$16</f>
        <v/>
      </c>
      <c r="Q67" s="236">
        <f>$C$44/$E$16</f>
        <v/>
      </c>
      <c r="R67" s="236">
        <f>$C$44/$E$16</f>
        <v/>
      </c>
      <c r="S67" s="236">
        <f>$C$44/$E$16</f>
        <v/>
      </c>
      <c r="T67" s="236">
        <f>$C$44/$E$16</f>
        <v/>
      </c>
      <c r="U67" s="236">
        <f>$C$44/$E$16</f>
        <v/>
      </c>
      <c r="V67" s="236">
        <f>$C$44/$E$16</f>
        <v/>
      </c>
      <c r="W67" s="236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D44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-281920</v>
      </c>
      <c r="E70" s="202" t="n">
        <v>-263125</v>
      </c>
      <c r="F70" s="202" t="n">
        <v>-244330</v>
      </c>
      <c r="G70" s="202" t="n">
        <v>-225536</v>
      </c>
      <c r="H70" s="202" t="n">
        <v>-206741</v>
      </c>
      <c r="I70" s="202" t="n">
        <v>-187946</v>
      </c>
      <c r="J70" s="202" t="n">
        <v>-169152</v>
      </c>
      <c r="K70" s="202" t="n">
        <v>-150357</v>
      </c>
      <c r="L70" s="202" t="n">
        <v>-131563</v>
      </c>
      <c r="M70" s="202" t="n">
        <v>-112768</v>
      </c>
      <c r="N70" s="202" t="n">
        <v>-93973</v>
      </c>
      <c r="O70" s="202" t="n">
        <v>-75179</v>
      </c>
      <c r="P70" s="202" t="n">
        <v>-56384</v>
      </c>
      <c r="Q70" s="202" t="n">
        <v>-37589</v>
      </c>
      <c r="R70" s="202" t="n">
        <v>-18795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6" t="inlineStr">
        <is>
          <t>稅前淨利</t>
        </is>
      </c>
      <c r="C76" s="237" t="n"/>
      <c r="D76" s="219">
        <f>SUM(D64:D75)</f>
        <v/>
      </c>
      <c r="E76" s="219">
        <f>SUM(E64:E75)</f>
        <v/>
      </c>
      <c r="F76" s="219">
        <f>SUM(F64:F75)</f>
        <v/>
      </c>
      <c r="G76" s="219">
        <f>SUM(G64:G75)</f>
        <v/>
      </c>
      <c r="H76" s="219">
        <f>SUM(H64:H75)</f>
        <v/>
      </c>
      <c r="I76" s="219">
        <f>SUM(I64:I75)</f>
        <v/>
      </c>
      <c r="J76" s="219">
        <f>SUM(J64:J75)</f>
        <v/>
      </c>
      <c r="K76" s="219">
        <f>SUM(K64:K75)</f>
        <v/>
      </c>
      <c r="L76" s="219">
        <f>SUM(L64:L75)</f>
        <v/>
      </c>
      <c r="M76" s="219">
        <f>SUM(M64:M75)</f>
        <v/>
      </c>
      <c r="N76" s="219">
        <f>SUM(N64:N75)</f>
        <v/>
      </c>
      <c r="O76" s="219">
        <f>SUM(O64:O75)</f>
        <v/>
      </c>
      <c r="P76" s="219">
        <f>SUM(P64:P75)</f>
        <v/>
      </c>
      <c r="Q76" s="219">
        <f>SUM(Q64:Q75)</f>
        <v/>
      </c>
      <c r="R76" s="219">
        <f>SUM(R64:R75)</f>
        <v/>
      </c>
      <c r="S76" s="219">
        <f>SUM(S64:S75)</f>
        <v/>
      </c>
      <c r="T76" s="219">
        <f>SUM(T64:T75)</f>
        <v/>
      </c>
      <c r="U76" s="219">
        <f>SUM(U64:U75)</f>
        <v/>
      </c>
      <c r="V76" s="219">
        <f>SUM(V64:V75)</f>
        <v/>
      </c>
      <c r="W76" s="219">
        <f>SUM(W64:W75)</f>
        <v/>
      </c>
      <c r="X76" s="219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>
      <c r="B78" s="238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2" t="inlineStr">
        <is>
          <t>累計現金流</t>
        </is>
      </c>
      <c r="C79" s="217" t="n"/>
      <c r="D79" s="224" t="n"/>
      <c r="E79" s="224" t="n"/>
      <c r="F79" s="224" t="n"/>
      <c r="G79" s="224" t="n"/>
      <c r="H79" s="224" t="n"/>
      <c r="I79" s="224" t="n"/>
      <c r="J79" s="224" t="n"/>
      <c r="K79" s="224" t="n"/>
      <c r="L79" s="224" t="n"/>
      <c r="M79" s="224" t="n"/>
      <c r="N79" s="224" t="n"/>
      <c r="O79" s="224" t="n"/>
      <c r="P79" s="224" t="n"/>
      <c r="Q79" s="224" t="n"/>
      <c r="R79" s="224" t="n"/>
      <c r="S79" s="224" t="n"/>
      <c r="T79" s="224" t="n"/>
      <c r="U79" s="224" t="n"/>
      <c r="V79" s="224" t="n"/>
      <c r="W79" s="224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32" t="n"/>
      <c r="C81" s="231" t="n"/>
      <c r="D81" s="231" t="n"/>
      <c r="E81" s="231" t="n"/>
      <c r="F81" s="232" t="n"/>
      <c r="G81" s="232" t="n"/>
      <c r="H81" s="232" t="n"/>
      <c r="I81" s="232" t="n"/>
      <c r="J81" s="232" t="n"/>
      <c r="K81" s="232" t="n"/>
      <c r="L81" s="232" t="n"/>
      <c r="M81" s="231" t="n"/>
      <c r="N81" s="232" t="n"/>
      <c r="O81" s="232" t="n"/>
      <c r="P81" s="232" t="n"/>
      <c r="Q81" s="232" t="n"/>
      <c r="R81" s="232" t="n"/>
      <c r="S81" s="232" t="n"/>
      <c r="T81" s="232" t="n"/>
      <c r="U81" s="232" t="n"/>
      <c r="V81" s="232" t="n"/>
      <c r="W81" s="232" t="n"/>
      <c r="X81" s="232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1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48" t="n"/>
      <c r="E93" s="248" t="n">
        <v>-734309</v>
      </c>
      <c r="F93" s="248" t="n">
        <v>-734309</v>
      </c>
      <c r="G93" s="248" t="n">
        <v>-734309</v>
      </c>
      <c r="H93" s="248" t="n">
        <v>-734309</v>
      </c>
      <c r="I93" s="248" t="n">
        <v>-734309</v>
      </c>
      <c r="J93" s="248" t="n">
        <v>-734309</v>
      </c>
      <c r="K93" s="248" t="n">
        <v>-734309</v>
      </c>
      <c r="L93" s="248" t="n">
        <v>-734309</v>
      </c>
      <c r="M93" s="248" t="n">
        <v>-734309</v>
      </c>
      <c r="N93" s="248" t="n">
        <v>-734309</v>
      </c>
      <c r="O93" s="248" t="n">
        <v>-734309</v>
      </c>
      <c r="P93" s="248" t="n">
        <v>-734309</v>
      </c>
      <c r="Q93" s="248" t="n">
        <v>-734309</v>
      </c>
      <c r="R93" s="248" t="n">
        <v>-734309</v>
      </c>
      <c r="S93" s="248" t="n">
        <v>-734309</v>
      </c>
      <c r="T93" s="254" t="n">
        <v>0</v>
      </c>
      <c r="U93" s="254" t="n">
        <v>0</v>
      </c>
      <c r="V93" s="254" t="n">
        <v>0</v>
      </c>
      <c r="W93" s="254" t="n">
        <v>0</v>
      </c>
      <c r="X93" s="251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59">
        <f>-D85*$D$33</f>
        <v/>
      </c>
      <c r="F95" s="259">
        <f>-E85*$D$33</f>
        <v/>
      </c>
      <c r="G95" s="259">
        <f>-F85*$D$33</f>
        <v/>
      </c>
      <c r="H95" s="259">
        <f>-G85*$D$33</f>
        <v/>
      </c>
      <c r="I95" s="259">
        <f>-H85*$D$33</f>
        <v/>
      </c>
      <c r="J95" s="259">
        <f>-I85*$D$33</f>
        <v/>
      </c>
      <c r="K95" s="259">
        <f>-J85*$D$33</f>
        <v/>
      </c>
      <c r="L95" s="259">
        <f>-K85*$D$33</f>
        <v/>
      </c>
      <c r="M95" s="259">
        <f>-L85*$D$33</f>
        <v/>
      </c>
      <c r="N95" s="259">
        <f>-M85*$D$33</f>
        <v/>
      </c>
      <c r="O95" s="259">
        <f>-N85*$D$33</f>
        <v/>
      </c>
      <c r="P95" s="259">
        <f>-O85*$D$33</f>
        <v/>
      </c>
      <c r="Q95" s="259">
        <f>-P85*$D$33</f>
        <v/>
      </c>
      <c r="R95" s="259">
        <f>-Q85*$D$33</f>
        <v/>
      </c>
      <c r="S95" s="259">
        <f>-R85*$D$33</f>
        <v/>
      </c>
      <c r="T95" s="259">
        <f>-S85*$D$33</f>
        <v/>
      </c>
      <c r="U95" s="259">
        <f>-T85*$D$33</f>
        <v/>
      </c>
      <c r="V95" s="259">
        <f>-U85*$D$33</f>
        <v/>
      </c>
      <c r="W95" s="259">
        <f>-V85*$D$33</f>
        <v/>
      </c>
      <c r="X95" s="260">
        <f>-W85</f>
        <v/>
      </c>
    </row>
    <row r="96">
      <c r="B96" s="261" t="inlineStr">
        <is>
          <t>年底減資</t>
        </is>
      </c>
      <c r="C96" s="262" t="n"/>
      <c r="D96" s="262" t="n">
        <v>0</v>
      </c>
      <c r="E96" s="263" t="n">
        <v>0</v>
      </c>
      <c r="F96" s="263" t="n">
        <v>0</v>
      </c>
      <c r="G96" s="263" t="n">
        <v>0</v>
      </c>
      <c r="H96" s="263" t="n">
        <v>0</v>
      </c>
      <c r="I96" s="263" t="n">
        <v>0</v>
      </c>
      <c r="J96" s="263" t="n">
        <v>0</v>
      </c>
      <c r="K96" s="263" t="n">
        <v>0</v>
      </c>
      <c r="L96" s="263" t="n">
        <v>0</v>
      </c>
      <c r="M96" s="263" t="n">
        <v>0</v>
      </c>
      <c r="N96" s="263" t="n">
        <v>0</v>
      </c>
      <c r="O96" s="263" t="n">
        <v>0</v>
      </c>
      <c r="P96" s="263" t="n">
        <v>0</v>
      </c>
      <c r="Q96" s="263" t="n">
        <v>0</v>
      </c>
      <c r="R96" s="264" t="n">
        <v>0</v>
      </c>
      <c r="S96" s="264" t="n">
        <v>0</v>
      </c>
      <c r="T96" s="264" t="n">
        <v>-688415</v>
      </c>
      <c r="U96" s="264" t="n">
        <v>-688415</v>
      </c>
      <c r="V96" s="263" t="n">
        <v>-688415</v>
      </c>
      <c r="W96" s="263" t="n">
        <v>-688415</v>
      </c>
      <c r="X96" s="260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 ht="16.5" customHeight="1">
      <c r="B99" s="248" t="inlineStr">
        <is>
          <t>現金淨流入(出 )</t>
        </is>
      </c>
      <c r="C99" s="265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1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2026-02-28T18:09:47Z</dcterms:modified>
  <cp:lastModifiedBy>王竣生</cp:lastModifiedBy>
</cp:coreProperties>
</file>