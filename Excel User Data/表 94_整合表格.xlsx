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彙整總表" sheetId="1" state="visible" r:id="rId1"/>
    <sheet name="表 62_滾算紀錄7" sheetId="2" state="visible" r:id="rId2"/>
    <sheet name="表 62_滾算紀錄6" sheetId="3" state="visible" r:id="rId3"/>
    <sheet name="表 62_滾算紀錄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_);[Red]\(0.00\)"/>
    <numFmt numFmtId="165" formatCode="&quot;$&quot;#,##0.00_);[Red]\(&quot;$&quot;#,##0.00\)"/>
    <numFmt numFmtId="166" formatCode="0.00000%"/>
    <numFmt numFmtId="167" formatCode="_-&quot;$&quot;* #,##0.00_-;\-&quot;$&quot;* #,##0.00_-;_-&quot;$&quot;* &quot;-&quot;??_-;_-@_-"/>
    <numFmt numFmtId="168" formatCode="0.0000%"/>
    <numFmt numFmtId="169" formatCode="0.000%"/>
  </numFmts>
  <fonts count="28">
    <font>
      <name val="Calibri"/>
      <family val="2"/>
      <color theme="1"/>
      <sz val="11"/>
      <scheme val="minor"/>
    </font>
    <font>
      <name val="微軟正黑體"/>
      <family val="2"/>
      <b val="1"/>
      <color rgb="FFFFFFFF"/>
      <sz val="12"/>
    </font>
    <font>
      <name val="新細明體"/>
      <family val="2"/>
      <color theme="1"/>
      <sz val="11"/>
      <scheme val="minor"/>
    </font>
    <font>
      <name val="微軟正黑體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細明體"/>
      <charset val="136"/>
      <family val="3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細明體"/>
      <family val="2"/>
      <b val="1"/>
      <color theme="1"/>
      <sz val="12"/>
    </font>
    <font>
      <name val="新細明體"/>
      <family val="2"/>
      <b val="1"/>
      <color theme="1"/>
      <sz val="12"/>
    </font>
    <font>
      <name val="新細明體"/>
      <charset val="136"/>
      <family val="1"/>
      <b val="1"/>
      <color theme="1"/>
      <sz val="12"/>
    </font>
    <font>
      <name val="Arial"/>
      <family val="2"/>
      <b val="1"/>
      <color rgb="FFFF0000"/>
      <sz val="12"/>
    </font>
    <font>
      <name val="新細明體"/>
      <charset val="136"/>
      <family val="1"/>
      <b val="1"/>
      <color theme="1"/>
      <sz val="11"/>
      <scheme val="minor"/>
    </font>
    <font>
      <color rgb="00FFFFFF"/>
    </font>
    <font>
      <name val="新細明體"/>
      <family val="2"/>
      <color theme="1"/>
      <sz val="12"/>
      <scheme val="minor"/>
    </font>
  </fonts>
  <fills count="21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  <fill>
      <patternFill patternType="solid">
        <fgColor rgb="FF376092"/>
      </patternFill>
    </fill>
    <fill>
      <patternFill patternType="solid">
        <fgColor rgb="FFFFFFCC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001F3864"/>
      </patternFill>
    </fill>
    <fill>
      <patternFill patternType="solid">
        <fgColor rgb="00FFFF99"/>
      </patternFill>
    </fill>
    <fill>
      <patternFill patternType="solid">
        <fgColor rgb="00F2DCDB"/>
      </patternFill>
    </fill>
    <fill>
      <patternFill patternType="solid">
        <fgColor rgb="00FCD5B5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DAEEF3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26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7" fillId="0" borderId="0" applyAlignment="1" pivotButton="0" quotePrefix="0" xfId="0">
      <alignment horizontal="left"/>
    </xf>
    <xf numFmtId="0" fontId="8" fillId="5" borderId="14" applyAlignment="1" pivotButton="0" quotePrefix="0" xfId="0">
      <alignment horizontal="center"/>
    </xf>
    <xf numFmtId="164" fontId="9" fillId="0" borderId="15" applyAlignment="1" pivotButton="0" quotePrefix="0" xfId="0">
      <alignment horizontal="right"/>
    </xf>
    <xf numFmtId="164" fontId="10" fillId="0" borderId="16" applyAlignment="1" pivotButton="0" quotePrefix="0" xfId="0">
      <alignment horizontal="left"/>
    </xf>
    <xf numFmtId="164" fontId="10" fillId="0" borderId="17" applyAlignment="1" pivotButton="0" quotePrefix="0" xfId="0">
      <alignment horizontal="left"/>
    </xf>
    <xf numFmtId="164" fontId="11" fillId="0" borderId="18" applyAlignment="1" pivotButton="0" quotePrefix="0" xfId="0">
      <alignment horizontal="left"/>
    </xf>
    <xf numFmtId="164" fontId="7" fillId="0" borderId="17" applyAlignment="1" pivotButton="0" quotePrefix="0" xfId="0">
      <alignment horizontal="left"/>
    </xf>
    <xf numFmtId="164" fontId="7" fillId="0" borderId="18" applyAlignment="1" pivotButton="0" quotePrefix="0" xfId="0">
      <alignment horizontal="center"/>
    </xf>
    <xf numFmtId="0" fontId="12" fillId="0" borderId="20" applyAlignment="1" pivotButton="0" quotePrefix="0" xfId="0">
      <alignment horizontal="right"/>
    </xf>
    <xf numFmtId="0" fontId="12" fillId="0" borderId="12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64" fontId="14" fillId="0" borderId="22" applyAlignment="1" pivotButton="0" quotePrefix="0" xfId="0">
      <alignment horizontal="right"/>
    </xf>
    <xf numFmtId="164" fontId="12" fillId="0" borderId="12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5" fontId="14" fillId="7" borderId="24" applyAlignment="1" pivotButton="0" quotePrefix="0" xfId="0">
      <alignment horizontal="left"/>
    </xf>
    <xf numFmtId="165" fontId="12" fillId="0" borderId="16" applyAlignment="1" pivotButton="0" quotePrefix="0" xfId="0">
      <alignment horizontal="center"/>
    </xf>
    <xf numFmtId="165" fontId="12" fillId="0" borderId="17" applyAlignment="1" pivotButton="0" quotePrefix="0" xfId="0">
      <alignment horizontal="center"/>
    </xf>
    <xf numFmtId="165" fontId="14" fillId="7" borderId="25" applyAlignment="1" pivotButton="0" quotePrefix="0" xfId="0">
      <alignment horizontal="left"/>
    </xf>
    <xf numFmtId="165" fontId="12" fillId="0" borderId="12" applyAlignment="1" pivotButton="0" quotePrefix="0" xfId="0">
      <alignment horizontal="center"/>
    </xf>
    <xf numFmtId="165" fontId="12" fillId="0" borderId="0" applyAlignment="1" pivotButton="0" quotePrefix="0" xfId="0">
      <alignment horizontal="center"/>
    </xf>
    <xf numFmtId="165" fontId="14" fillId="7" borderId="26" applyAlignment="1" pivotButton="0" quotePrefix="0" xfId="0">
      <alignment horizontal="left"/>
    </xf>
    <xf numFmtId="165" fontId="12" fillId="0" borderId="27" applyAlignment="1" pivotButton="0" quotePrefix="0" xfId="0">
      <alignment horizontal="center"/>
    </xf>
    <xf numFmtId="165" fontId="12" fillId="0" borderId="28" applyAlignment="1" pivotButton="0" quotePrefix="0" xfId="0">
      <alignment horizontal="center"/>
    </xf>
    <xf numFmtId="165" fontId="14" fillId="8" borderId="25" applyAlignment="1" pivotButton="0" quotePrefix="0" xfId="0">
      <alignment horizontal="left"/>
    </xf>
    <xf numFmtId="165" fontId="12" fillId="9" borderId="14" applyAlignment="1" pivotButton="0" quotePrefix="0" xfId="0">
      <alignment horizontal="center"/>
    </xf>
    <xf numFmtId="165" fontId="7" fillId="0" borderId="12" applyAlignment="1" pivotButton="0" quotePrefix="0" xfId="0">
      <alignment horizontal="left"/>
    </xf>
    <xf numFmtId="165" fontId="7" fillId="0" borderId="30" applyAlignment="1" pivotButton="0" quotePrefix="0" xfId="0">
      <alignment horizontal="left"/>
    </xf>
    <xf numFmtId="165" fontId="7" fillId="0" borderId="0" applyAlignment="1" pivotButton="0" quotePrefix="0" xfId="0">
      <alignment horizontal="left"/>
    </xf>
    <xf numFmtId="165" fontId="15" fillId="8" borderId="25" applyAlignment="1" pivotButton="0" quotePrefix="0" xfId="0">
      <alignment horizontal="left"/>
    </xf>
    <xf numFmtId="165" fontId="7" fillId="0" borderId="0" applyAlignment="1" pivotButton="0" quotePrefix="0" xfId="0">
      <alignment horizontal="center"/>
    </xf>
    <xf numFmtId="165" fontId="16" fillId="0" borderId="15" applyAlignment="1" pivotButton="0" quotePrefix="0" xfId="0">
      <alignment horizontal="right"/>
    </xf>
    <xf numFmtId="165" fontId="17" fillId="0" borderId="27" applyAlignment="1" pivotButton="0" quotePrefix="0" xfId="0">
      <alignment horizontal="center"/>
    </xf>
    <xf numFmtId="165" fontId="18" fillId="0" borderId="31" applyAlignment="1" pivotButton="0" quotePrefix="0" xfId="0">
      <alignment horizontal="center"/>
    </xf>
    <xf numFmtId="165" fontId="20" fillId="0" borderId="22" applyAlignment="1" pivotButton="0" quotePrefix="0" xfId="0">
      <alignment horizontal="right"/>
    </xf>
    <xf numFmtId="165" fontId="17" fillId="0" borderId="28" applyAlignment="1" pivotButton="0" quotePrefix="0" xfId="0">
      <alignment horizontal="center"/>
    </xf>
    <xf numFmtId="165" fontId="21" fillId="0" borderId="22" applyAlignment="1" pivotButton="0" quotePrefix="0" xfId="0">
      <alignment horizontal="right"/>
    </xf>
    <xf numFmtId="165" fontId="22" fillId="0" borderId="27" applyAlignment="1" pivotButton="0" quotePrefix="0" xfId="0">
      <alignment horizontal="center"/>
    </xf>
    <xf numFmtId="165" fontId="17" fillId="0" borderId="2" applyAlignment="1" pivotButton="0" quotePrefix="0" xfId="0">
      <alignment horizontal="center"/>
    </xf>
    <xf numFmtId="164" fontId="23" fillId="0" borderId="0" applyAlignment="1" pivotButton="0" quotePrefix="0" xfId="0">
      <alignment horizontal="right"/>
    </xf>
    <xf numFmtId="166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left"/>
    </xf>
    <xf numFmtId="164" fontId="7" fillId="10" borderId="18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65" fontId="18" fillId="0" borderId="17" applyAlignment="1" pivotButton="0" quotePrefix="0" xfId="0">
      <alignment horizontal="center"/>
    </xf>
    <xf numFmtId="165" fontId="25" fillId="0" borderId="0" applyAlignment="1" pivotButton="0" quotePrefix="0" xfId="0">
      <alignment horizontal="right"/>
    </xf>
    <xf numFmtId="164" fontId="21" fillId="0" borderId="22" applyAlignment="1" pivotButton="0" quotePrefix="0" xfId="0">
      <alignment horizontal="right"/>
    </xf>
    <xf numFmtId="164" fontId="22" fillId="0" borderId="27" applyAlignment="1" pivotButton="0" quotePrefix="0" xfId="0">
      <alignment horizontal="center"/>
    </xf>
    <xf numFmtId="164" fontId="17" fillId="0" borderId="2" applyAlignment="1" pivotButton="0" quotePrefix="0" xfId="0">
      <alignment horizontal="center"/>
    </xf>
    <xf numFmtId="0" fontId="8" fillId="18" borderId="14" applyAlignment="1" pivotButton="0" quotePrefix="0" xfId="0">
      <alignment horizontal="left"/>
    </xf>
    <xf numFmtId="0" fontId="8" fillId="18" borderId="14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5" fontId="3" fillId="19" borderId="14" applyAlignment="1" pivotButton="0" quotePrefix="0" xfId="0">
      <alignment horizontal="center"/>
    </xf>
    <xf numFmtId="165" fontId="3" fillId="0" borderId="33" applyAlignment="1" pivotButton="0" quotePrefix="0" xfId="0">
      <alignment horizontal="center"/>
    </xf>
    <xf numFmtId="165" fontId="3" fillId="0" borderId="0" applyAlignment="1" pivotButton="0" quotePrefix="0" xfId="0">
      <alignment horizontal="right"/>
    </xf>
    <xf numFmtId="165" fontId="3" fillId="0" borderId="34" applyAlignment="1" pivotButton="0" quotePrefix="0" xfId="0">
      <alignment horizontal="left"/>
    </xf>
    <xf numFmtId="165" fontId="3" fillId="0" borderId="34" applyAlignment="1" pivotButton="0" quotePrefix="0" xfId="0">
      <alignment horizontal="right"/>
    </xf>
    <xf numFmtId="165" fontId="3" fillId="0" borderId="34" applyAlignment="1" pivotButton="0" quotePrefix="0" xfId="0">
      <alignment horizontal="center"/>
    </xf>
    <xf numFmtId="167" fontId="3" fillId="20" borderId="14" applyAlignment="1" pivotButton="0" quotePrefix="0" xfId="0">
      <alignment horizontal="center"/>
    </xf>
    <xf numFmtId="165" fontId="3" fillId="0" borderId="35" applyAlignment="1" pivotButton="0" quotePrefix="0" xfId="0">
      <alignment horizontal="left"/>
    </xf>
    <xf numFmtId="165" fontId="3" fillId="0" borderId="35" applyAlignment="1" pivotButton="0" quotePrefix="0" xfId="0">
      <alignment horizontal="right"/>
    </xf>
    <xf numFmtId="167" fontId="3" fillId="0" borderId="35" applyAlignment="1" pivotButton="0" quotePrefix="0" xfId="0">
      <alignment horizontal="right"/>
    </xf>
    <xf numFmtId="167" fontId="3" fillId="0" borderId="35" applyAlignment="1" pivotButton="0" quotePrefix="0" xfId="0">
      <alignment horizontal="left"/>
    </xf>
    <xf numFmtId="165" fontId="27" fillId="0" borderId="0" applyAlignment="1" pivotButton="0" quotePrefix="0" xfId="0">
      <alignment horizontal="center"/>
    </xf>
    <xf numFmtId="165" fontId="3" fillId="0" borderId="33" applyAlignment="1" pivotButton="0" quotePrefix="0" xfId="0">
      <alignment horizontal="left"/>
    </xf>
    <xf numFmtId="165" fontId="3" fillId="0" borderId="33" applyAlignment="1" pivotButton="0" quotePrefix="0" xfId="0">
      <alignment horizontal="right"/>
    </xf>
    <xf numFmtId="165" fontId="3" fillId="6" borderId="36" applyAlignment="1" pivotButton="0" quotePrefix="0" xfId="0">
      <alignment horizontal="center"/>
    </xf>
    <xf numFmtId="168" fontId="3" fillId="9" borderId="14" applyAlignment="1" pivotButton="0" quotePrefix="0" xfId="0">
      <alignment horizontal="left"/>
    </xf>
    <xf numFmtId="169" fontId="3" fillId="9" borderId="14" applyAlignment="1" pivotButton="0" quotePrefix="0" xfId="0">
      <alignment horizontal="left"/>
    </xf>
    <xf numFmtId="164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164" fontId="3" fillId="0" borderId="4" applyAlignment="1" pivotButton="0" quotePrefix="0" xfId="0">
      <alignment horizontal="left"/>
    </xf>
    <xf numFmtId="164" fontId="4" fillId="0" borderId="4" applyAlignment="1" pivotButton="0" quotePrefix="0" xfId="0">
      <alignment horizontal="left"/>
    </xf>
    <xf numFmtId="164" fontId="4" fillId="0" borderId="4" applyAlignment="1" pivotButton="0" quotePrefix="0" xfId="0">
      <alignment horizontal="center"/>
    </xf>
    <xf numFmtId="164" fontId="3" fillId="0" borderId="5" applyAlignment="1" pivotButton="0" quotePrefix="0" xfId="0">
      <alignment horizontal="left"/>
    </xf>
    <xf numFmtId="164" fontId="4" fillId="0" borderId="5" applyAlignment="1" pivotButton="0" quotePrefix="0" xfId="0">
      <alignment horizontal="left"/>
    </xf>
    <xf numFmtId="164" fontId="4" fillId="0" borderId="5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164" fontId="5" fillId="2" borderId="1" applyAlignment="1" pivotButton="0" quotePrefix="0" xfId="0">
      <alignment horizontal="center"/>
    </xf>
    <xf numFmtId="164" fontId="4" fillId="3" borderId="6" applyAlignment="1" pivotButton="0" quotePrefix="0" xfId="0">
      <alignment horizontal="center"/>
    </xf>
    <xf numFmtId="0" fontId="2" fillId="0" borderId="7" pivotButton="0" quotePrefix="0" xfId="0"/>
    <xf numFmtId="0" fontId="2" fillId="0" borderId="8" pivotButton="0" quotePrefix="0" xfId="0"/>
    <xf numFmtId="164" fontId="4" fillId="0" borderId="9" applyAlignment="1" pivotButton="0" quotePrefix="0" xfId="0">
      <alignment horizontal="left"/>
    </xf>
    <xf numFmtId="164" fontId="4" fillId="0" borderId="10" applyAlignment="1" pivotButton="0" quotePrefix="0" xfId="0">
      <alignment horizontal="left"/>
    </xf>
    <xf numFmtId="164" fontId="3" fillId="0" borderId="11" applyAlignment="1" pivotButton="0" quotePrefix="0" xfId="0">
      <alignment horizontal="left"/>
    </xf>
    <xf numFmtId="164" fontId="4" fillId="0" borderId="12" applyAlignment="1" pivotButton="0" quotePrefix="0" xfId="0">
      <alignment horizontal="left" vertical="top"/>
    </xf>
    <xf numFmtId="0" fontId="2" fillId="0" borderId="12" pivotButton="0" quotePrefix="0" xfId="0"/>
    <xf numFmtId="164" fontId="4" fillId="0" borderId="13" applyAlignment="1" pivotButton="0" quotePrefix="0" xfId="0">
      <alignment horizontal="left"/>
    </xf>
    <xf numFmtId="164" fontId="4" fillId="4" borderId="1" applyAlignment="1" pivotButton="0" quotePrefix="0" xfId="0">
      <alignment horizontal="center"/>
    </xf>
    <xf numFmtId="164" fontId="4" fillId="0" borderId="11" applyAlignment="1" pivotButton="0" quotePrefix="0" xfId="0">
      <alignment horizontal="left"/>
    </xf>
    <xf numFmtId="164" fontId="4" fillId="0" borderId="4" applyAlignment="1" pivotButton="0" quotePrefix="0" xfId="0">
      <alignment horizontal="left" vertical="top"/>
    </xf>
    <xf numFmtId="164" fontId="4" fillId="0" borderId="4" applyAlignment="1" pivotButton="0" quotePrefix="0" xfId="0">
      <alignment horizontal="center" vertical="top"/>
    </xf>
    <xf numFmtId="0" fontId="2" fillId="0" borderId="4" pivotButton="0" quotePrefix="0" xfId="0"/>
    <xf numFmtId="164" fontId="4" fillId="0" borderId="5" applyAlignment="1" pivotButton="0" quotePrefix="0" xfId="0">
      <alignment horizontal="left" vertical="top"/>
    </xf>
    <xf numFmtId="164" fontId="3" fillId="0" borderId="5" applyAlignment="1" pivotButton="0" quotePrefix="0" xfId="0">
      <alignment horizontal="left" wrapText="1"/>
    </xf>
    <xf numFmtId="164" fontId="6" fillId="0" borderId="0" applyAlignment="1" pivotButton="0" quotePrefix="0" xfId="0">
      <alignment horizontal="left"/>
    </xf>
    <xf numFmtId="164" fontId="4" fillId="0" borderId="5" applyAlignment="1" pivotButton="0" quotePrefix="0" xfId="0">
      <alignment horizontal="right"/>
    </xf>
    <xf numFmtId="164" fontId="7" fillId="0" borderId="19" applyAlignment="1" pivotButton="0" quotePrefix="0" xfId="0">
      <alignment horizontal="left"/>
    </xf>
    <xf numFmtId="0" fontId="12" fillId="0" borderId="21" applyAlignment="1" pivotButton="0" quotePrefix="0" xfId="0">
      <alignment horizontal="center"/>
    </xf>
    <xf numFmtId="164" fontId="12" fillId="6" borderId="23" applyAlignment="1" pivotButton="0" quotePrefix="0" xfId="0">
      <alignment horizontal="center"/>
    </xf>
    <xf numFmtId="165" fontId="12" fillId="0" borderId="19" applyAlignment="1" pivotButton="0" quotePrefix="0" xfId="0">
      <alignment horizontal="center"/>
    </xf>
    <xf numFmtId="165" fontId="12" fillId="0" borderId="21" applyAlignment="1" pivotButton="0" quotePrefix="0" xfId="0">
      <alignment horizontal="center"/>
    </xf>
    <xf numFmtId="165" fontId="12" fillId="0" borderId="29" applyAlignment="1" pivotButton="0" quotePrefix="0" xfId="0">
      <alignment horizontal="center"/>
    </xf>
    <xf numFmtId="165" fontId="19" fillId="0" borderId="0" applyAlignment="1" pivotButton="0" quotePrefix="0" xfId="0">
      <alignment horizontal="left"/>
    </xf>
    <xf numFmtId="165" fontId="19" fillId="0" borderId="0" applyAlignment="1" pivotButton="0" quotePrefix="0" xfId="0">
      <alignment horizontal="right"/>
    </xf>
    <xf numFmtId="164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165" fontId="17" fillId="0" borderId="29" applyAlignment="1" pivotButton="0" quotePrefix="0" xfId="0">
      <alignment horizontal="center"/>
    </xf>
    <xf numFmtId="164" fontId="17" fillId="0" borderId="3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2"/>
  <sheetViews>
    <sheetView workbookViewId="0">
      <selection activeCell="A1" sqref="A1"/>
    </sheetView>
  </sheetViews>
  <sheetFormatPr baseColWidth="8" defaultRowHeight="15"/>
  <cols>
    <col width="33.140625" customWidth="1" min="2" max="2"/>
    <col width="20.42578125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/>
    <row r="2"/>
    <row r="3"/>
    <row r="4">
      <c r="C4" s="1" t="inlineStr">
        <is>
          <t>年份</t>
        </is>
      </c>
      <c r="D4" s="1" t="n">
        <v>2023</v>
      </c>
      <c r="E4" s="1" t="n">
        <v>2024</v>
      </c>
      <c r="F4" s="1" t="n">
        <v>2025</v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  <c r="L4" s="1" t="n">
        <v>2031</v>
      </c>
      <c r="M4" s="1" t="n">
        <v>2032</v>
      </c>
      <c r="N4" s="1" t="n">
        <v>2033</v>
      </c>
      <c r="O4" s="1" t="n">
        <v>2034</v>
      </c>
      <c r="P4" s="1" t="n">
        <v>2035</v>
      </c>
      <c r="Q4" s="1" t="n">
        <v>2036</v>
      </c>
      <c r="R4" s="1" t="n">
        <v>2037</v>
      </c>
      <c r="S4" s="1" t="n">
        <v>2038</v>
      </c>
      <c r="T4" s="1" t="n">
        <v>2039</v>
      </c>
      <c r="U4" s="1" t="n">
        <v>2040</v>
      </c>
      <c r="V4" s="1" t="n">
        <v>2041</v>
      </c>
      <c r="W4" s="1" t="n">
        <v>2042</v>
      </c>
    </row>
    <row r="5">
      <c r="C5" t="inlineStr">
        <is>
          <t>預估發電度數</t>
        </is>
      </c>
    </row>
    <row r="6">
      <c r="B6" t="inlineStr">
        <is>
          <t>表 62</t>
        </is>
      </c>
      <c r="D6">
        <f>ABS('表 62_滾算紀錄7'!D40)</f>
        <v/>
      </c>
      <c r="E6">
        <f>ABS('表 62_滾算紀錄7'!E40)</f>
        <v/>
      </c>
      <c r="F6">
        <f>ABS('表 62_滾算紀錄7'!F40)</f>
        <v/>
      </c>
      <c r="G6">
        <f>ABS('表 62_滾算紀錄7'!G40)</f>
        <v/>
      </c>
      <c r="H6">
        <f>ABS('表 62_滾算紀錄7'!H40)</f>
        <v/>
      </c>
      <c r="I6">
        <f>ABS('表 62_滾算紀錄7'!I40)</f>
        <v/>
      </c>
      <c r="J6">
        <f>ABS('表 62_滾算紀錄7'!J40)</f>
        <v/>
      </c>
      <c r="K6">
        <f>ABS('表 62_滾算紀錄7'!K40)</f>
        <v/>
      </c>
      <c r="L6">
        <f>ABS('表 62_滾算紀錄7'!L40)</f>
        <v/>
      </c>
      <c r="M6">
        <f>ABS('表 62_滾算紀錄7'!M40)</f>
        <v/>
      </c>
      <c r="N6">
        <f>ABS('表 62_滾算紀錄7'!N40)</f>
        <v/>
      </c>
      <c r="O6">
        <f>ABS('表 62_滾算紀錄7'!O40)</f>
        <v/>
      </c>
      <c r="P6">
        <f>ABS('表 62_滾算紀錄7'!P40)</f>
        <v/>
      </c>
      <c r="Q6">
        <f>ABS('表 62_滾算紀錄7'!Q40)</f>
        <v/>
      </c>
      <c r="R6">
        <f>ABS('表 62_滾算紀錄7'!R40)</f>
        <v/>
      </c>
      <c r="S6">
        <f>ABS('表 62_滾算紀錄7'!S40)</f>
        <v/>
      </c>
      <c r="T6">
        <f>ABS('表 62_滾算紀錄7'!T40)</f>
        <v/>
      </c>
      <c r="U6">
        <f>ABS('表 62_滾算紀錄7'!U40)</f>
        <v/>
      </c>
      <c r="V6">
        <f>ABS('表 62_滾算紀錄7'!V40)</f>
        <v/>
      </c>
      <c r="W6">
        <f>ABS('表 62_滾算紀錄7'!W40)</f>
        <v/>
      </c>
    </row>
    <row r="7">
      <c r="B7" t="inlineStr">
        <is>
          <t>表 62</t>
        </is>
      </c>
      <c r="D7">
        <f>ABS('表 62_滾算紀錄6'!D40)</f>
        <v/>
      </c>
      <c r="E7">
        <f>ABS('表 62_滾算紀錄6'!E40)</f>
        <v/>
      </c>
      <c r="F7">
        <f>ABS('表 62_滾算紀錄6'!F40)</f>
        <v/>
      </c>
      <c r="G7">
        <f>ABS('表 62_滾算紀錄6'!G40)</f>
        <v/>
      </c>
      <c r="H7">
        <f>ABS('表 62_滾算紀錄6'!H40)</f>
        <v/>
      </c>
      <c r="I7">
        <f>ABS('表 62_滾算紀錄6'!I40)</f>
        <v/>
      </c>
      <c r="J7">
        <f>ABS('表 62_滾算紀錄6'!J40)</f>
        <v/>
      </c>
      <c r="K7">
        <f>ABS('表 62_滾算紀錄6'!K40)</f>
        <v/>
      </c>
      <c r="L7">
        <f>ABS('表 62_滾算紀錄6'!L40)</f>
        <v/>
      </c>
      <c r="M7">
        <f>ABS('表 62_滾算紀錄6'!M40)</f>
        <v/>
      </c>
      <c r="N7">
        <f>ABS('表 62_滾算紀錄6'!N40)</f>
        <v/>
      </c>
      <c r="O7">
        <f>ABS('表 62_滾算紀錄6'!O40)</f>
        <v/>
      </c>
      <c r="P7">
        <f>ABS('表 62_滾算紀錄6'!P40)</f>
        <v/>
      </c>
      <c r="Q7">
        <f>ABS('表 62_滾算紀錄6'!Q40)</f>
        <v/>
      </c>
      <c r="R7">
        <f>ABS('表 62_滾算紀錄6'!R40)</f>
        <v/>
      </c>
      <c r="S7">
        <f>ABS('表 62_滾算紀錄6'!S40)</f>
        <v/>
      </c>
      <c r="T7">
        <f>ABS('表 62_滾算紀錄6'!T40)</f>
        <v/>
      </c>
      <c r="U7">
        <f>ABS('表 62_滾算紀錄6'!U40)</f>
        <v/>
      </c>
      <c r="V7">
        <f>ABS('表 62_滾算紀錄6'!V40)</f>
        <v/>
      </c>
      <c r="W7">
        <f>ABS('表 62_滾算紀錄6'!W40)</f>
        <v/>
      </c>
    </row>
    <row r="8">
      <c r="B8" t="inlineStr">
        <is>
          <t>表 62</t>
        </is>
      </c>
      <c r="D8">
        <f>ABS('表 62_滾算紀錄8'!D40)</f>
        <v/>
      </c>
      <c r="E8">
        <f>ABS('表 62_滾算紀錄8'!E40)</f>
        <v/>
      </c>
      <c r="F8">
        <f>ABS('表 62_滾算紀錄8'!F40)</f>
        <v/>
      </c>
      <c r="G8">
        <f>ABS('表 62_滾算紀錄8'!G40)</f>
        <v/>
      </c>
      <c r="H8">
        <f>ABS('表 62_滾算紀錄8'!H40)</f>
        <v/>
      </c>
      <c r="I8">
        <f>ABS('表 62_滾算紀錄8'!I40)</f>
        <v/>
      </c>
      <c r="J8">
        <f>ABS('表 62_滾算紀錄8'!J40)</f>
        <v/>
      </c>
      <c r="K8">
        <f>ABS('表 62_滾算紀錄8'!K40)</f>
        <v/>
      </c>
      <c r="L8">
        <f>ABS('表 62_滾算紀錄8'!L40)</f>
        <v/>
      </c>
      <c r="M8">
        <f>ABS('表 62_滾算紀錄8'!M40)</f>
        <v/>
      </c>
      <c r="N8">
        <f>ABS('表 62_滾算紀錄8'!N40)</f>
        <v/>
      </c>
      <c r="O8">
        <f>ABS('表 62_滾算紀錄8'!O40)</f>
        <v/>
      </c>
      <c r="P8">
        <f>ABS('表 62_滾算紀錄8'!P40)</f>
        <v/>
      </c>
      <c r="Q8">
        <f>ABS('表 62_滾算紀錄8'!Q40)</f>
        <v/>
      </c>
      <c r="R8">
        <f>ABS('表 62_滾算紀錄8'!R40)</f>
        <v/>
      </c>
      <c r="S8">
        <f>ABS('表 62_滾算紀錄8'!S40)</f>
        <v/>
      </c>
      <c r="T8">
        <f>ABS('表 62_滾算紀錄8'!T40)</f>
        <v/>
      </c>
      <c r="U8">
        <f>ABS('表 62_滾算紀錄8'!U40)</f>
        <v/>
      </c>
      <c r="V8">
        <f>ABS('表 62_滾算紀錄8'!V40)</f>
        <v/>
      </c>
      <c r="W8">
        <f>ABS('表 62_滾算紀錄8'!W40)</f>
        <v/>
      </c>
    </row>
    <row r="9">
      <c r="C9" s="2" t="inlineStr">
        <is>
          <t>預估發電度數/年總計</t>
        </is>
      </c>
      <c r="D9" s="2">
        <f>SUM(D6:D8)</f>
        <v/>
      </c>
      <c r="E9" s="2">
        <f>SUM(E6:E8)</f>
        <v/>
      </c>
      <c r="F9" s="2">
        <f>SUM(F6:F8)</f>
        <v/>
      </c>
      <c r="G9" s="2">
        <f>SUM(G6:G8)</f>
        <v/>
      </c>
      <c r="H9" s="2">
        <f>SUM(H6:H8)</f>
        <v/>
      </c>
      <c r="I9" s="2">
        <f>SUM(I6:I8)</f>
        <v/>
      </c>
      <c r="J9" s="2">
        <f>SUM(J6:J8)</f>
        <v/>
      </c>
      <c r="K9" s="2">
        <f>SUM(K6:K8)</f>
        <v/>
      </c>
      <c r="L9" s="2">
        <f>SUM(L6:L8)</f>
        <v/>
      </c>
      <c r="M9" s="2">
        <f>SUM(M6:M8)</f>
        <v/>
      </c>
      <c r="N9" s="2">
        <f>SUM(N6:N8)</f>
        <v/>
      </c>
      <c r="O9" s="2">
        <f>SUM(O6:O8)</f>
        <v/>
      </c>
      <c r="P9" s="2">
        <f>SUM(P6:P8)</f>
        <v/>
      </c>
      <c r="Q9" s="2">
        <f>SUM(Q6:Q8)</f>
        <v/>
      </c>
      <c r="R9" s="2">
        <f>SUM(R6:R8)</f>
        <v/>
      </c>
      <c r="S9" s="2">
        <f>SUM(S6:S8)</f>
        <v/>
      </c>
      <c r="T9" s="2">
        <f>SUM(T6:T8)</f>
        <v/>
      </c>
      <c r="U9" s="2">
        <f>SUM(U6:U8)</f>
        <v/>
      </c>
      <c r="V9" s="2">
        <f>SUM(V6:V8)</f>
        <v/>
      </c>
      <c r="W9" s="2">
        <f>SUM(W6:W8)</f>
        <v/>
      </c>
    </row>
    <row r="10">
      <c r="C10" s="1" t="inlineStr">
        <is>
          <t>預估收入</t>
        </is>
      </c>
      <c r="D10" s="1" t="n">
        <v>2023</v>
      </c>
      <c r="E10" s="1" t="n">
        <v>2024</v>
      </c>
      <c r="F10" s="1" t="n">
        <v>2025</v>
      </c>
      <c r="G10" s="1" t="n">
        <v>2026</v>
      </c>
      <c r="H10" s="1" t="n">
        <v>2027</v>
      </c>
      <c r="I10" s="1" t="n">
        <v>2028</v>
      </c>
      <c r="J10" s="1" t="n">
        <v>2029</v>
      </c>
      <c r="K10" s="1" t="n">
        <v>2030</v>
      </c>
      <c r="L10" s="1" t="n">
        <v>2031</v>
      </c>
      <c r="M10" s="1" t="n">
        <v>2032</v>
      </c>
      <c r="N10" s="1" t="n">
        <v>2033</v>
      </c>
      <c r="O10" s="1" t="n">
        <v>2034</v>
      </c>
      <c r="P10" s="1" t="n">
        <v>2035</v>
      </c>
      <c r="Q10" s="1" t="n">
        <v>2036</v>
      </c>
      <c r="R10" s="1" t="n">
        <v>2037</v>
      </c>
      <c r="S10" s="1" t="n">
        <v>2038</v>
      </c>
      <c r="T10" s="1" t="n">
        <v>2039</v>
      </c>
      <c r="U10" s="1" t="n">
        <v>2040</v>
      </c>
      <c r="V10" s="1" t="n">
        <v>2041</v>
      </c>
      <c r="W10" s="1" t="n">
        <v>2042</v>
      </c>
    </row>
    <row r="11">
      <c r="B11" t="inlineStr">
        <is>
          <t>表 62</t>
        </is>
      </c>
      <c r="D11">
        <f>ABS('表 62_滾算紀錄7'!D41)</f>
        <v/>
      </c>
      <c r="E11">
        <f>ABS('表 62_滾算紀錄7'!E41)</f>
        <v/>
      </c>
      <c r="F11">
        <f>ABS('表 62_滾算紀錄7'!F41)</f>
        <v/>
      </c>
      <c r="G11">
        <f>ABS('表 62_滾算紀錄7'!G41)</f>
        <v/>
      </c>
      <c r="H11">
        <f>ABS('表 62_滾算紀錄7'!H41)</f>
        <v/>
      </c>
      <c r="I11">
        <f>ABS('表 62_滾算紀錄7'!I41)</f>
        <v/>
      </c>
      <c r="J11">
        <f>ABS('表 62_滾算紀錄7'!J41)</f>
        <v/>
      </c>
      <c r="K11">
        <f>ABS('表 62_滾算紀錄7'!K41)</f>
        <v/>
      </c>
      <c r="L11">
        <f>ABS('表 62_滾算紀錄7'!L41)</f>
        <v/>
      </c>
      <c r="M11">
        <f>ABS('表 62_滾算紀錄7'!M41)</f>
        <v/>
      </c>
      <c r="N11">
        <f>ABS('表 62_滾算紀錄7'!N41)</f>
        <v/>
      </c>
      <c r="O11">
        <f>ABS('表 62_滾算紀錄7'!O41)</f>
        <v/>
      </c>
      <c r="P11">
        <f>ABS('表 62_滾算紀錄7'!P41)</f>
        <v/>
      </c>
      <c r="Q11">
        <f>ABS('表 62_滾算紀錄7'!Q41)</f>
        <v/>
      </c>
      <c r="R11">
        <f>ABS('表 62_滾算紀錄7'!R41)</f>
        <v/>
      </c>
      <c r="S11">
        <f>ABS('表 62_滾算紀錄7'!S41)</f>
        <v/>
      </c>
      <c r="T11">
        <f>ABS('表 62_滾算紀錄7'!T41)</f>
        <v/>
      </c>
      <c r="U11">
        <f>ABS('表 62_滾算紀錄7'!U41)</f>
        <v/>
      </c>
      <c r="V11">
        <f>ABS('表 62_滾算紀錄7'!V41)</f>
        <v/>
      </c>
      <c r="W11">
        <f>ABS('表 62_滾算紀錄7'!W41)</f>
        <v/>
      </c>
    </row>
    <row r="12">
      <c r="B12" t="inlineStr">
        <is>
          <t>表 62</t>
        </is>
      </c>
      <c r="D12">
        <f>ABS('表 62_滾算紀錄6'!D41)</f>
        <v/>
      </c>
      <c r="E12">
        <f>ABS('表 62_滾算紀錄6'!E41)</f>
        <v/>
      </c>
      <c r="F12">
        <f>ABS('表 62_滾算紀錄6'!F41)</f>
        <v/>
      </c>
      <c r="G12">
        <f>ABS('表 62_滾算紀錄6'!G41)</f>
        <v/>
      </c>
      <c r="H12">
        <f>ABS('表 62_滾算紀錄6'!H41)</f>
        <v/>
      </c>
      <c r="I12">
        <f>ABS('表 62_滾算紀錄6'!I41)</f>
        <v/>
      </c>
      <c r="J12">
        <f>ABS('表 62_滾算紀錄6'!J41)</f>
        <v/>
      </c>
      <c r="K12">
        <f>ABS('表 62_滾算紀錄6'!K41)</f>
        <v/>
      </c>
      <c r="L12">
        <f>ABS('表 62_滾算紀錄6'!L41)</f>
        <v/>
      </c>
      <c r="M12">
        <f>ABS('表 62_滾算紀錄6'!M41)</f>
        <v/>
      </c>
      <c r="N12">
        <f>ABS('表 62_滾算紀錄6'!N41)</f>
        <v/>
      </c>
      <c r="O12">
        <f>ABS('表 62_滾算紀錄6'!O41)</f>
        <v/>
      </c>
      <c r="P12">
        <f>ABS('表 62_滾算紀錄6'!P41)</f>
        <v/>
      </c>
      <c r="Q12">
        <f>ABS('表 62_滾算紀錄6'!Q41)</f>
        <v/>
      </c>
      <c r="R12">
        <f>ABS('表 62_滾算紀錄6'!R41)</f>
        <v/>
      </c>
      <c r="S12">
        <f>ABS('表 62_滾算紀錄6'!S41)</f>
        <v/>
      </c>
      <c r="T12">
        <f>ABS('表 62_滾算紀錄6'!T41)</f>
        <v/>
      </c>
      <c r="U12">
        <f>ABS('表 62_滾算紀錄6'!U41)</f>
        <v/>
      </c>
      <c r="V12">
        <f>ABS('表 62_滾算紀錄6'!V41)</f>
        <v/>
      </c>
      <c r="W12">
        <f>ABS('表 62_滾算紀錄6'!W41)</f>
        <v/>
      </c>
    </row>
    <row r="13">
      <c r="B13" t="inlineStr">
        <is>
          <t>表 62</t>
        </is>
      </c>
      <c r="D13">
        <f>ABS('表 62_滾算紀錄8'!D41)</f>
        <v/>
      </c>
      <c r="E13">
        <f>ABS('表 62_滾算紀錄8'!E41)</f>
        <v/>
      </c>
      <c r="F13">
        <f>ABS('表 62_滾算紀錄8'!F41)</f>
        <v/>
      </c>
      <c r="G13">
        <f>ABS('表 62_滾算紀錄8'!G41)</f>
        <v/>
      </c>
      <c r="H13">
        <f>ABS('表 62_滾算紀錄8'!H41)</f>
        <v/>
      </c>
      <c r="I13">
        <f>ABS('表 62_滾算紀錄8'!I41)</f>
        <v/>
      </c>
      <c r="J13">
        <f>ABS('表 62_滾算紀錄8'!J41)</f>
        <v/>
      </c>
      <c r="K13">
        <f>ABS('表 62_滾算紀錄8'!K41)</f>
        <v/>
      </c>
      <c r="L13">
        <f>ABS('表 62_滾算紀錄8'!L41)</f>
        <v/>
      </c>
      <c r="M13">
        <f>ABS('表 62_滾算紀錄8'!M41)</f>
        <v/>
      </c>
      <c r="N13">
        <f>ABS('表 62_滾算紀錄8'!N41)</f>
        <v/>
      </c>
      <c r="O13">
        <f>ABS('表 62_滾算紀錄8'!O41)</f>
        <v/>
      </c>
      <c r="P13">
        <f>ABS('表 62_滾算紀錄8'!P41)</f>
        <v/>
      </c>
      <c r="Q13">
        <f>ABS('表 62_滾算紀錄8'!Q41)</f>
        <v/>
      </c>
      <c r="R13">
        <f>ABS('表 62_滾算紀錄8'!R41)</f>
        <v/>
      </c>
      <c r="S13">
        <f>ABS('表 62_滾算紀錄8'!S41)</f>
        <v/>
      </c>
      <c r="T13">
        <f>ABS('表 62_滾算紀錄8'!T41)</f>
        <v/>
      </c>
      <c r="U13">
        <f>ABS('表 62_滾算紀錄8'!U41)</f>
        <v/>
      </c>
      <c r="V13">
        <f>ABS('表 62_滾算紀錄8'!V41)</f>
        <v/>
      </c>
      <c r="W13">
        <f>ABS('表 62_滾算紀錄8'!W41)</f>
        <v/>
      </c>
    </row>
    <row r="14">
      <c r="C14" s="3" t="inlineStr">
        <is>
          <t>預估收入/年總計</t>
        </is>
      </c>
      <c r="D14" s="3">
        <f>SUM(D11:D13)</f>
        <v/>
      </c>
      <c r="E14" s="3">
        <f>SUM(E11:E13)</f>
        <v/>
      </c>
      <c r="F14" s="3">
        <f>SUM(F11:F13)</f>
        <v/>
      </c>
      <c r="G14" s="3">
        <f>SUM(G11:G13)</f>
        <v/>
      </c>
      <c r="H14" s="3">
        <f>SUM(H11:H13)</f>
        <v/>
      </c>
      <c r="I14" s="3">
        <f>SUM(I11:I13)</f>
        <v/>
      </c>
      <c r="J14" s="3">
        <f>SUM(J11:J13)</f>
        <v/>
      </c>
      <c r="K14" s="3">
        <f>SUM(K11:K13)</f>
        <v/>
      </c>
      <c r="L14" s="3">
        <f>SUM(L11:L13)</f>
        <v/>
      </c>
      <c r="M14" s="3">
        <f>SUM(M11:M13)</f>
        <v/>
      </c>
      <c r="N14" s="3">
        <f>SUM(N11:N13)</f>
        <v/>
      </c>
      <c r="O14" s="3">
        <f>SUM(O11:O13)</f>
        <v/>
      </c>
      <c r="P14" s="3">
        <f>SUM(P11:P13)</f>
        <v/>
      </c>
      <c r="Q14" s="3">
        <f>SUM(Q11:Q13)</f>
        <v/>
      </c>
      <c r="R14" s="3">
        <f>SUM(R11:R13)</f>
        <v/>
      </c>
      <c r="S14" s="3">
        <f>SUM(S11:S13)</f>
        <v/>
      </c>
      <c r="T14" s="3">
        <f>SUM(T11:T13)</f>
        <v/>
      </c>
      <c r="U14" s="3">
        <f>SUM(U11:U13)</f>
        <v/>
      </c>
      <c r="V14" s="3">
        <f>SUM(V11:V13)</f>
        <v/>
      </c>
      <c r="W14" s="3">
        <f>SUM(W11:W13)</f>
        <v/>
      </c>
    </row>
    <row r="15">
      <c r="C15" s="1" t="inlineStr">
        <is>
          <t>租金</t>
        </is>
      </c>
      <c r="D15" s="1" t="n">
        <v>2023</v>
      </c>
      <c r="E15" s="1" t="n">
        <v>2024</v>
      </c>
      <c r="F15" s="1" t="n">
        <v>2025</v>
      </c>
      <c r="G15" s="1" t="n">
        <v>2026</v>
      </c>
      <c r="H15" s="1" t="n">
        <v>2027</v>
      </c>
      <c r="I15" s="1" t="n">
        <v>2028</v>
      </c>
      <c r="J15" s="1" t="n">
        <v>2029</v>
      </c>
      <c r="K15" s="1" t="n">
        <v>2030</v>
      </c>
      <c r="L15" s="1" t="n">
        <v>2031</v>
      </c>
      <c r="M15" s="1" t="n">
        <v>2032</v>
      </c>
      <c r="N15" s="1" t="n">
        <v>2033</v>
      </c>
      <c r="O15" s="1" t="n">
        <v>2034</v>
      </c>
      <c r="P15" s="1" t="n">
        <v>2035</v>
      </c>
      <c r="Q15" s="1" t="n">
        <v>2036</v>
      </c>
      <c r="R15" s="1" t="n">
        <v>2037</v>
      </c>
      <c r="S15" s="1" t="n">
        <v>2038</v>
      </c>
      <c r="T15" s="1" t="n">
        <v>2039</v>
      </c>
      <c r="U15" s="1" t="n">
        <v>2040</v>
      </c>
      <c r="V15" s="1" t="n">
        <v>2041</v>
      </c>
      <c r="W15" s="1" t="n">
        <v>2042</v>
      </c>
    </row>
    <row r="16">
      <c r="B16" t="inlineStr">
        <is>
          <t>表 62</t>
        </is>
      </c>
      <c r="D16">
        <f>ABS('表 62_滾算紀錄7'!D45)</f>
        <v/>
      </c>
      <c r="E16">
        <f>ABS('表 62_滾算紀錄7'!E45)</f>
        <v/>
      </c>
      <c r="F16">
        <f>ABS('表 62_滾算紀錄7'!F45)</f>
        <v/>
      </c>
      <c r="G16">
        <f>ABS('表 62_滾算紀錄7'!G45)</f>
        <v/>
      </c>
      <c r="H16">
        <f>ABS('表 62_滾算紀錄7'!H45)</f>
        <v/>
      </c>
      <c r="I16">
        <f>ABS('表 62_滾算紀錄7'!I45)</f>
        <v/>
      </c>
      <c r="J16">
        <f>ABS('表 62_滾算紀錄7'!J45)</f>
        <v/>
      </c>
      <c r="K16">
        <f>ABS('表 62_滾算紀錄7'!K45)</f>
        <v/>
      </c>
      <c r="L16">
        <f>ABS('表 62_滾算紀錄7'!L45)</f>
        <v/>
      </c>
      <c r="M16">
        <f>ABS('表 62_滾算紀錄7'!M45)</f>
        <v/>
      </c>
      <c r="N16">
        <f>ABS('表 62_滾算紀錄7'!N45)</f>
        <v/>
      </c>
      <c r="O16">
        <f>ABS('表 62_滾算紀錄7'!O45)</f>
        <v/>
      </c>
      <c r="P16">
        <f>ABS('表 62_滾算紀錄7'!P45)</f>
        <v/>
      </c>
      <c r="Q16">
        <f>ABS('表 62_滾算紀錄7'!Q45)</f>
        <v/>
      </c>
      <c r="R16">
        <f>ABS('表 62_滾算紀錄7'!R45)</f>
        <v/>
      </c>
      <c r="S16">
        <f>ABS('表 62_滾算紀錄7'!S45)</f>
        <v/>
      </c>
      <c r="T16">
        <f>ABS('表 62_滾算紀錄7'!T45)</f>
        <v/>
      </c>
      <c r="U16">
        <f>ABS('表 62_滾算紀錄7'!U45)</f>
        <v/>
      </c>
      <c r="V16">
        <f>ABS('表 62_滾算紀錄7'!V45)</f>
        <v/>
      </c>
      <c r="W16">
        <f>ABS('表 62_滾算紀錄7'!W45)</f>
        <v/>
      </c>
    </row>
    <row r="17">
      <c r="B17" t="inlineStr">
        <is>
          <t>表 62</t>
        </is>
      </c>
      <c r="D17">
        <f>ABS('表 62_滾算紀錄6'!D45)</f>
        <v/>
      </c>
      <c r="E17">
        <f>ABS('表 62_滾算紀錄6'!E45)</f>
        <v/>
      </c>
      <c r="F17">
        <f>ABS('表 62_滾算紀錄6'!F45)</f>
        <v/>
      </c>
      <c r="G17">
        <f>ABS('表 62_滾算紀錄6'!G45)</f>
        <v/>
      </c>
      <c r="H17">
        <f>ABS('表 62_滾算紀錄6'!H45)</f>
        <v/>
      </c>
      <c r="I17">
        <f>ABS('表 62_滾算紀錄6'!I45)</f>
        <v/>
      </c>
      <c r="J17">
        <f>ABS('表 62_滾算紀錄6'!J45)</f>
        <v/>
      </c>
      <c r="K17">
        <f>ABS('表 62_滾算紀錄6'!K45)</f>
        <v/>
      </c>
      <c r="L17">
        <f>ABS('表 62_滾算紀錄6'!L45)</f>
        <v/>
      </c>
      <c r="M17">
        <f>ABS('表 62_滾算紀錄6'!M45)</f>
        <v/>
      </c>
      <c r="N17">
        <f>ABS('表 62_滾算紀錄6'!N45)</f>
        <v/>
      </c>
      <c r="O17">
        <f>ABS('表 62_滾算紀錄6'!O45)</f>
        <v/>
      </c>
      <c r="P17">
        <f>ABS('表 62_滾算紀錄6'!P45)</f>
        <v/>
      </c>
      <c r="Q17">
        <f>ABS('表 62_滾算紀錄6'!Q45)</f>
        <v/>
      </c>
      <c r="R17">
        <f>ABS('表 62_滾算紀錄6'!R45)</f>
        <v/>
      </c>
      <c r="S17">
        <f>ABS('表 62_滾算紀錄6'!S45)</f>
        <v/>
      </c>
      <c r="T17">
        <f>ABS('表 62_滾算紀錄6'!T45)</f>
        <v/>
      </c>
      <c r="U17">
        <f>ABS('表 62_滾算紀錄6'!U45)</f>
        <v/>
      </c>
      <c r="V17">
        <f>ABS('表 62_滾算紀錄6'!V45)</f>
        <v/>
      </c>
      <c r="W17">
        <f>ABS('表 62_滾算紀錄6'!W45)</f>
        <v/>
      </c>
    </row>
    <row r="18">
      <c r="B18" t="inlineStr">
        <is>
          <t>表 62</t>
        </is>
      </c>
      <c r="D18">
        <f>ABS('表 62_滾算紀錄8'!D45)</f>
        <v/>
      </c>
      <c r="E18">
        <f>ABS('表 62_滾算紀錄8'!E45)</f>
        <v/>
      </c>
      <c r="F18">
        <f>ABS('表 62_滾算紀錄8'!F45)</f>
        <v/>
      </c>
      <c r="G18">
        <f>ABS('表 62_滾算紀錄8'!G45)</f>
        <v/>
      </c>
      <c r="H18">
        <f>ABS('表 62_滾算紀錄8'!H45)</f>
        <v/>
      </c>
      <c r="I18">
        <f>ABS('表 62_滾算紀錄8'!I45)</f>
        <v/>
      </c>
      <c r="J18">
        <f>ABS('表 62_滾算紀錄8'!J45)</f>
        <v/>
      </c>
      <c r="K18">
        <f>ABS('表 62_滾算紀錄8'!K45)</f>
        <v/>
      </c>
      <c r="L18">
        <f>ABS('表 62_滾算紀錄8'!L45)</f>
        <v/>
      </c>
      <c r="M18">
        <f>ABS('表 62_滾算紀錄8'!M45)</f>
        <v/>
      </c>
      <c r="N18">
        <f>ABS('表 62_滾算紀錄8'!N45)</f>
        <v/>
      </c>
      <c r="O18">
        <f>ABS('表 62_滾算紀錄8'!O45)</f>
        <v/>
      </c>
      <c r="P18">
        <f>ABS('表 62_滾算紀錄8'!P45)</f>
        <v/>
      </c>
      <c r="Q18">
        <f>ABS('表 62_滾算紀錄8'!Q45)</f>
        <v/>
      </c>
      <c r="R18">
        <f>ABS('表 62_滾算紀錄8'!R45)</f>
        <v/>
      </c>
      <c r="S18">
        <f>ABS('表 62_滾算紀錄8'!S45)</f>
        <v/>
      </c>
      <c r="T18">
        <f>ABS('表 62_滾算紀錄8'!T45)</f>
        <v/>
      </c>
      <c r="U18">
        <f>ABS('表 62_滾算紀錄8'!U45)</f>
        <v/>
      </c>
      <c r="V18">
        <f>ABS('表 62_滾算紀錄8'!V45)</f>
        <v/>
      </c>
      <c r="W18">
        <f>ABS('表 62_滾算紀錄8'!W45)</f>
        <v/>
      </c>
    </row>
    <row r="19">
      <c r="C19" s="4" t="inlineStr">
        <is>
          <t>租金/年總計</t>
        </is>
      </c>
      <c r="D19" s="4">
        <f>SUM(D16:D18)</f>
        <v/>
      </c>
      <c r="E19" s="4">
        <f>SUM(E16:E18)</f>
        <v/>
      </c>
      <c r="F19" s="4">
        <f>SUM(F16:F18)</f>
        <v/>
      </c>
      <c r="G19" s="4">
        <f>SUM(G16:G18)</f>
        <v/>
      </c>
      <c r="H19" s="4">
        <f>SUM(H16:H18)</f>
        <v/>
      </c>
      <c r="I19" s="4">
        <f>SUM(I16:I18)</f>
        <v/>
      </c>
      <c r="J19" s="4">
        <f>SUM(J16:J18)</f>
        <v/>
      </c>
      <c r="K19" s="4">
        <f>SUM(K16:K18)</f>
        <v/>
      </c>
      <c r="L19" s="4">
        <f>SUM(L16:L18)</f>
        <v/>
      </c>
      <c r="M19" s="4">
        <f>SUM(M16:M18)</f>
        <v/>
      </c>
      <c r="N19" s="4">
        <f>SUM(N16:N18)</f>
        <v/>
      </c>
      <c r="O19" s="4">
        <f>SUM(O16:O18)</f>
        <v/>
      </c>
      <c r="P19" s="4">
        <f>SUM(P16:P18)</f>
        <v/>
      </c>
      <c r="Q19" s="4">
        <f>SUM(Q16:Q18)</f>
        <v/>
      </c>
      <c r="R19" s="4">
        <f>SUM(R16:R18)</f>
        <v/>
      </c>
      <c r="S19" s="4">
        <f>SUM(S16:S18)</f>
        <v/>
      </c>
      <c r="T19" s="4">
        <f>SUM(T16:T18)</f>
        <v/>
      </c>
      <c r="U19" s="4">
        <f>SUM(U16:U18)</f>
        <v/>
      </c>
      <c r="V19" s="4">
        <f>SUM(V16:V18)</f>
        <v/>
      </c>
      <c r="W19" s="4">
        <f>SUM(W16:W18)</f>
        <v/>
      </c>
    </row>
    <row r="20">
      <c r="C20" s="1" t="inlineStr">
        <is>
          <t>運維</t>
        </is>
      </c>
      <c r="D20" s="1" t="n">
        <v>2023</v>
      </c>
      <c r="E20" s="1" t="n">
        <v>2024</v>
      </c>
      <c r="F20" s="1" t="n">
        <v>2025</v>
      </c>
      <c r="G20" s="1" t="n">
        <v>2026</v>
      </c>
      <c r="H20" s="1" t="n">
        <v>2027</v>
      </c>
      <c r="I20" s="1" t="n">
        <v>2028</v>
      </c>
      <c r="J20" s="1" t="n">
        <v>2029</v>
      </c>
      <c r="K20" s="1" t="n">
        <v>2030</v>
      </c>
      <c r="L20" s="1" t="n">
        <v>2031</v>
      </c>
      <c r="M20" s="1" t="n">
        <v>2032</v>
      </c>
      <c r="N20" s="1" t="n">
        <v>2033</v>
      </c>
      <c r="O20" s="1" t="n">
        <v>2034</v>
      </c>
      <c r="P20" s="1" t="n">
        <v>2035</v>
      </c>
      <c r="Q20" s="1" t="n">
        <v>2036</v>
      </c>
      <c r="R20" s="1" t="n">
        <v>2037</v>
      </c>
      <c r="S20" s="1" t="n">
        <v>2038</v>
      </c>
      <c r="T20" s="1" t="n">
        <v>2039</v>
      </c>
      <c r="U20" s="1" t="n">
        <v>2040</v>
      </c>
      <c r="V20" s="1" t="n">
        <v>2041</v>
      </c>
      <c r="W20" s="1" t="n">
        <v>2042</v>
      </c>
    </row>
    <row r="21">
      <c r="B21" t="inlineStr">
        <is>
          <t>表 62</t>
        </is>
      </c>
      <c r="D21">
        <f>ABS('表 62_滾算紀錄7'!D48)</f>
        <v/>
      </c>
      <c r="E21">
        <f>ABS('表 62_滾算紀錄7'!E48)</f>
        <v/>
      </c>
      <c r="F21">
        <f>ABS('表 62_滾算紀錄7'!F48)</f>
        <v/>
      </c>
      <c r="G21">
        <f>ABS('表 62_滾算紀錄7'!G48)</f>
        <v/>
      </c>
      <c r="H21">
        <f>ABS('表 62_滾算紀錄7'!H48)</f>
        <v/>
      </c>
      <c r="I21">
        <f>ABS('表 62_滾算紀錄7'!I48)</f>
        <v/>
      </c>
      <c r="J21">
        <f>ABS('表 62_滾算紀錄7'!J48)</f>
        <v/>
      </c>
      <c r="K21">
        <f>ABS('表 62_滾算紀錄7'!K48)</f>
        <v/>
      </c>
      <c r="L21">
        <f>ABS('表 62_滾算紀錄7'!L48)</f>
        <v/>
      </c>
      <c r="M21">
        <f>ABS('表 62_滾算紀錄7'!M48)</f>
        <v/>
      </c>
      <c r="N21">
        <f>ABS('表 62_滾算紀錄7'!N48)</f>
        <v/>
      </c>
      <c r="O21">
        <f>ABS('表 62_滾算紀錄7'!O48)</f>
        <v/>
      </c>
      <c r="P21">
        <f>ABS('表 62_滾算紀錄7'!P48)</f>
        <v/>
      </c>
      <c r="Q21">
        <f>ABS('表 62_滾算紀錄7'!Q48)</f>
        <v/>
      </c>
      <c r="R21">
        <f>ABS('表 62_滾算紀錄7'!R48)</f>
        <v/>
      </c>
      <c r="S21">
        <f>ABS('表 62_滾算紀錄7'!S48)</f>
        <v/>
      </c>
      <c r="T21">
        <f>ABS('表 62_滾算紀錄7'!T48)</f>
        <v/>
      </c>
      <c r="U21">
        <f>ABS('表 62_滾算紀錄7'!U48)</f>
        <v/>
      </c>
      <c r="V21">
        <f>ABS('表 62_滾算紀錄7'!V48)</f>
        <v/>
      </c>
      <c r="W21">
        <f>ABS('表 62_滾算紀錄7'!W48)</f>
        <v/>
      </c>
    </row>
    <row r="22">
      <c r="B22" t="inlineStr">
        <is>
          <t>表 62</t>
        </is>
      </c>
      <c r="D22">
        <f>ABS('表 62_滾算紀錄6'!D48)</f>
        <v/>
      </c>
      <c r="E22">
        <f>ABS('表 62_滾算紀錄6'!E48)</f>
        <v/>
      </c>
      <c r="F22">
        <f>ABS('表 62_滾算紀錄6'!F48)</f>
        <v/>
      </c>
      <c r="G22">
        <f>ABS('表 62_滾算紀錄6'!G48)</f>
        <v/>
      </c>
      <c r="H22">
        <f>ABS('表 62_滾算紀錄6'!H48)</f>
        <v/>
      </c>
      <c r="I22">
        <f>ABS('表 62_滾算紀錄6'!I48)</f>
        <v/>
      </c>
      <c r="J22">
        <f>ABS('表 62_滾算紀錄6'!J48)</f>
        <v/>
      </c>
      <c r="K22">
        <f>ABS('表 62_滾算紀錄6'!K48)</f>
        <v/>
      </c>
      <c r="L22">
        <f>ABS('表 62_滾算紀錄6'!L48)</f>
        <v/>
      </c>
      <c r="M22">
        <f>ABS('表 62_滾算紀錄6'!M48)</f>
        <v/>
      </c>
      <c r="N22">
        <f>ABS('表 62_滾算紀錄6'!N48)</f>
        <v/>
      </c>
      <c r="O22">
        <f>ABS('表 62_滾算紀錄6'!O48)</f>
        <v/>
      </c>
      <c r="P22">
        <f>ABS('表 62_滾算紀錄6'!P48)</f>
        <v/>
      </c>
      <c r="Q22">
        <f>ABS('表 62_滾算紀錄6'!Q48)</f>
        <v/>
      </c>
      <c r="R22">
        <f>ABS('表 62_滾算紀錄6'!R48)</f>
        <v/>
      </c>
      <c r="S22">
        <f>ABS('表 62_滾算紀錄6'!S48)</f>
        <v/>
      </c>
      <c r="T22">
        <f>ABS('表 62_滾算紀錄6'!T48)</f>
        <v/>
      </c>
      <c r="U22">
        <f>ABS('表 62_滾算紀錄6'!U48)</f>
        <v/>
      </c>
      <c r="V22">
        <f>ABS('表 62_滾算紀錄6'!V48)</f>
        <v/>
      </c>
      <c r="W22">
        <f>ABS('表 62_滾算紀錄6'!W48)</f>
        <v/>
      </c>
    </row>
    <row r="23">
      <c r="B23" t="inlineStr">
        <is>
          <t>表 62</t>
        </is>
      </c>
      <c r="D23">
        <f>ABS('表 62_滾算紀錄8'!D48)</f>
        <v/>
      </c>
      <c r="E23">
        <f>ABS('表 62_滾算紀錄8'!E48)</f>
        <v/>
      </c>
      <c r="F23">
        <f>ABS('表 62_滾算紀錄8'!F48)</f>
        <v/>
      </c>
      <c r="G23">
        <f>ABS('表 62_滾算紀錄8'!G48)</f>
        <v/>
      </c>
      <c r="H23">
        <f>ABS('表 62_滾算紀錄8'!H48)</f>
        <v/>
      </c>
      <c r="I23">
        <f>ABS('表 62_滾算紀錄8'!I48)</f>
        <v/>
      </c>
      <c r="J23">
        <f>ABS('表 62_滾算紀錄8'!J48)</f>
        <v/>
      </c>
      <c r="K23">
        <f>ABS('表 62_滾算紀錄8'!K48)</f>
        <v/>
      </c>
      <c r="L23">
        <f>ABS('表 62_滾算紀錄8'!L48)</f>
        <v/>
      </c>
      <c r="M23">
        <f>ABS('表 62_滾算紀錄8'!M48)</f>
        <v/>
      </c>
      <c r="N23">
        <f>ABS('表 62_滾算紀錄8'!N48)</f>
        <v/>
      </c>
      <c r="O23">
        <f>ABS('表 62_滾算紀錄8'!O48)</f>
        <v/>
      </c>
      <c r="P23">
        <f>ABS('表 62_滾算紀錄8'!P48)</f>
        <v/>
      </c>
      <c r="Q23">
        <f>ABS('表 62_滾算紀錄8'!Q48)</f>
        <v/>
      </c>
      <c r="R23">
        <f>ABS('表 62_滾算紀錄8'!R48)</f>
        <v/>
      </c>
      <c r="S23">
        <f>ABS('表 62_滾算紀錄8'!S48)</f>
        <v/>
      </c>
      <c r="T23">
        <f>ABS('表 62_滾算紀錄8'!T48)</f>
        <v/>
      </c>
      <c r="U23">
        <f>ABS('表 62_滾算紀錄8'!U48)</f>
        <v/>
      </c>
      <c r="V23">
        <f>ABS('表 62_滾算紀錄8'!V48)</f>
        <v/>
      </c>
      <c r="W23">
        <f>ABS('表 62_滾算紀錄8'!W48)</f>
        <v/>
      </c>
    </row>
    <row r="24">
      <c r="C24" s="5" t="inlineStr">
        <is>
          <t>運維/年總計</t>
        </is>
      </c>
      <c r="D24" s="5">
        <f>SUM(D21:D23)</f>
        <v/>
      </c>
      <c r="E24" s="5">
        <f>SUM(E21:E23)</f>
        <v/>
      </c>
      <c r="F24" s="5">
        <f>SUM(F21:F23)</f>
        <v/>
      </c>
      <c r="G24" s="5">
        <f>SUM(G21:G23)</f>
        <v/>
      </c>
      <c r="H24" s="5">
        <f>SUM(H21:H23)</f>
        <v/>
      </c>
      <c r="I24" s="5">
        <f>SUM(I21:I23)</f>
        <v/>
      </c>
      <c r="J24" s="5">
        <f>SUM(J21:J23)</f>
        <v/>
      </c>
      <c r="K24" s="5">
        <f>SUM(K21:K23)</f>
        <v/>
      </c>
      <c r="L24" s="5">
        <f>SUM(L21:L23)</f>
        <v/>
      </c>
      <c r="M24" s="5">
        <f>SUM(M21:M23)</f>
        <v/>
      </c>
      <c r="N24" s="5">
        <f>SUM(N21:N23)</f>
        <v/>
      </c>
      <c r="O24" s="5">
        <f>SUM(O21:O23)</f>
        <v/>
      </c>
      <c r="P24" s="5">
        <f>SUM(P21:P23)</f>
        <v/>
      </c>
      <c r="Q24" s="5">
        <f>SUM(Q21:Q23)</f>
        <v/>
      </c>
      <c r="R24" s="5">
        <f>SUM(R21:R23)</f>
        <v/>
      </c>
      <c r="S24" s="5">
        <f>SUM(S21:S23)</f>
        <v/>
      </c>
      <c r="T24" s="5">
        <f>SUM(T21:T23)</f>
        <v/>
      </c>
      <c r="U24" s="5">
        <f>SUM(U21:U23)</f>
        <v/>
      </c>
      <c r="V24" s="5">
        <f>SUM(V21:V23)</f>
        <v/>
      </c>
      <c r="W24" s="5">
        <f>SUM(W21:W23)</f>
        <v/>
      </c>
    </row>
    <row r="25">
      <c r="C25" s="1" t="inlineStr">
        <is>
          <t>保險</t>
        </is>
      </c>
      <c r="D25" s="1" t="n">
        <v>2023</v>
      </c>
      <c r="E25" s="1" t="n">
        <v>2024</v>
      </c>
      <c r="F25" s="1" t="n">
        <v>2025</v>
      </c>
      <c r="G25" s="1" t="n">
        <v>2026</v>
      </c>
      <c r="H25" s="1" t="n">
        <v>2027</v>
      </c>
      <c r="I25" s="1" t="n">
        <v>2028</v>
      </c>
      <c r="J25" s="1" t="n">
        <v>2029</v>
      </c>
      <c r="K25" s="1" t="n">
        <v>2030</v>
      </c>
      <c r="L25" s="1" t="n">
        <v>2031</v>
      </c>
      <c r="M25" s="1" t="n">
        <v>2032</v>
      </c>
      <c r="N25" s="1" t="n">
        <v>2033</v>
      </c>
      <c r="O25" s="1" t="n">
        <v>2034</v>
      </c>
      <c r="P25" s="1" t="n">
        <v>2035</v>
      </c>
      <c r="Q25" s="1" t="n">
        <v>2036</v>
      </c>
      <c r="R25" s="1" t="n">
        <v>2037</v>
      </c>
      <c r="S25" s="1" t="n">
        <v>2038</v>
      </c>
      <c r="T25" s="1" t="n">
        <v>2039</v>
      </c>
      <c r="U25" s="1" t="n">
        <v>2040</v>
      </c>
      <c r="V25" s="1" t="n">
        <v>2041</v>
      </c>
      <c r="W25" s="1" t="n">
        <v>2042</v>
      </c>
    </row>
    <row r="26">
      <c r="B26" t="inlineStr">
        <is>
          <t>表 62</t>
        </is>
      </c>
      <c r="D26">
        <f>ABS('表 62_滾算紀錄7'!D49)</f>
        <v/>
      </c>
      <c r="E26">
        <f>ABS('表 62_滾算紀錄7'!E49)</f>
        <v/>
      </c>
      <c r="F26">
        <f>ABS('表 62_滾算紀錄7'!F49)</f>
        <v/>
      </c>
      <c r="G26">
        <f>ABS('表 62_滾算紀錄7'!G49)</f>
        <v/>
      </c>
      <c r="H26">
        <f>ABS('表 62_滾算紀錄7'!H49)</f>
        <v/>
      </c>
      <c r="I26">
        <f>ABS('表 62_滾算紀錄7'!I49)</f>
        <v/>
      </c>
      <c r="J26">
        <f>ABS('表 62_滾算紀錄7'!J49)</f>
        <v/>
      </c>
      <c r="K26">
        <f>ABS('表 62_滾算紀錄7'!K49)</f>
        <v/>
      </c>
      <c r="L26">
        <f>ABS('表 62_滾算紀錄7'!L49)</f>
        <v/>
      </c>
      <c r="M26">
        <f>ABS('表 62_滾算紀錄7'!M49)</f>
        <v/>
      </c>
      <c r="N26">
        <f>ABS('表 62_滾算紀錄7'!N49)</f>
        <v/>
      </c>
      <c r="O26">
        <f>ABS('表 62_滾算紀錄7'!O49)</f>
        <v/>
      </c>
      <c r="P26">
        <f>ABS('表 62_滾算紀錄7'!P49)</f>
        <v/>
      </c>
      <c r="Q26">
        <f>ABS('表 62_滾算紀錄7'!Q49)</f>
        <v/>
      </c>
      <c r="R26">
        <f>ABS('表 62_滾算紀錄7'!R49)</f>
        <v/>
      </c>
      <c r="S26">
        <f>ABS('表 62_滾算紀錄7'!S49)</f>
        <v/>
      </c>
      <c r="T26">
        <f>ABS('表 62_滾算紀錄7'!T49)</f>
        <v/>
      </c>
      <c r="U26">
        <f>ABS('表 62_滾算紀錄7'!U49)</f>
        <v/>
      </c>
      <c r="V26">
        <f>ABS('表 62_滾算紀錄7'!V49)</f>
        <v/>
      </c>
      <c r="W26">
        <f>ABS('表 62_滾算紀錄7'!W49)</f>
        <v/>
      </c>
    </row>
    <row r="27">
      <c r="B27" t="inlineStr">
        <is>
          <t>表 62</t>
        </is>
      </c>
      <c r="D27">
        <f>ABS('表 62_滾算紀錄6'!D49)</f>
        <v/>
      </c>
      <c r="E27">
        <f>ABS('表 62_滾算紀錄6'!E49)</f>
        <v/>
      </c>
      <c r="F27">
        <f>ABS('表 62_滾算紀錄6'!F49)</f>
        <v/>
      </c>
      <c r="G27">
        <f>ABS('表 62_滾算紀錄6'!G49)</f>
        <v/>
      </c>
      <c r="H27">
        <f>ABS('表 62_滾算紀錄6'!H49)</f>
        <v/>
      </c>
      <c r="I27">
        <f>ABS('表 62_滾算紀錄6'!I49)</f>
        <v/>
      </c>
      <c r="J27">
        <f>ABS('表 62_滾算紀錄6'!J49)</f>
        <v/>
      </c>
      <c r="K27">
        <f>ABS('表 62_滾算紀錄6'!K49)</f>
        <v/>
      </c>
      <c r="L27">
        <f>ABS('表 62_滾算紀錄6'!L49)</f>
        <v/>
      </c>
      <c r="M27">
        <f>ABS('表 62_滾算紀錄6'!M49)</f>
        <v/>
      </c>
      <c r="N27">
        <f>ABS('表 62_滾算紀錄6'!N49)</f>
        <v/>
      </c>
      <c r="O27">
        <f>ABS('表 62_滾算紀錄6'!O49)</f>
        <v/>
      </c>
      <c r="P27">
        <f>ABS('表 62_滾算紀錄6'!P49)</f>
        <v/>
      </c>
      <c r="Q27">
        <f>ABS('表 62_滾算紀錄6'!Q49)</f>
        <v/>
      </c>
      <c r="R27">
        <f>ABS('表 62_滾算紀錄6'!R49)</f>
        <v/>
      </c>
      <c r="S27">
        <f>ABS('表 62_滾算紀錄6'!S49)</f>
        <v/>
      </c>
      <c r="T27">
        <f>ABS('表 62_滾算紀錄6'!T49)</f>
        <v/>
      </c>
      <c r="U27">
        <f>ABS('表 62_滾算紀錄6'!U49)</f>
        <v/>
      </c>
      <c r="V27">
        <f>ABS('表 62_滾算紀錄6'!V49)</f>
        <v/>
      </c>
      <c r="W27">
        <f>ABS('表 62_滾算紀錄6'!W49)</f>
        <v/>
      </c>
    </row>
    <row r="28">
      <c r="B28" t="inlineStr">
        <is>
          <t>表 62</t>
        </is>
      </c>
      <c r="D28">
        <f>ABS('表 62_滾算紀錄8'!D49)</f>
        <v/>
      </c>
      <c r="E28">
        <f>ABS('表 62_滾算紀錄8'!E49)</f>
        <v/>
      </c>
      <c r="F28">
        <f>ABS('表 62_滾算紀錄8'!F49)</f>
        <v/>
      </c>
      <c r="G28">
        <f>ABS('表 62_滾算紀錄8'!G49)</f>
        <v/>
      </c>
      <c r="H28">
        <f>ABS('表 62_滾算紀錄8'!H49)</f>
        <v/>
      </c>
      <c r="I28">
        <f>ABS('表 62_滾算紀錄8'!I49)</f>
        <v/>
      </c>
      <c r="J28">
        <f>ABS('表 62_滾算紀錄8'!J49)</f>
        <v/>
      </c>
      <c r="K28">
        <f>ABS('表 62_滾算紀錄8'!K49)</f>
        <v/>
      </c>
      <c r="L28">
        <f>ABS('表 62_滾算紀錄8'!L49)</f>
        <v/>
      </c>
      <c r="M28">
        <f>ABS('表 62_滾算紀錄8'!M49)</f>
        <v/>
      </c>
      <c r="N28">
        <f>ABS('表 62_滾算紀錄8'!N49)</f>
        <v/>
      </c>
      <c r="O28">
        <f>ABS('表 62_滾算紀錄8'!O49)</f>
        <v/>
      </c>
      <c r="P28">
        <f>ABS('表 62_滾算紀錄8'!P49)</f>
        <v/>
      </c>
      <c r="Q28">
        <f>ABS('表 62_滾算紀錄8'!Q49)</f>
        <v/>
      </c>
      <c r="R28">
        <f>ABS('表 62_滾算紀錄8'!R49)</f>
        <v/>
      </c>
      <c r="S28">
        <f>ABS('表 62_滾算紀錄8'!S49)</f>
        <v/>
      </c>
      <c r="T28">
        <f>ABS('表 62_滾算紀錄8'!T49)</f>
        <v/>
      </c>
      <c r="U28">
        <f>ABS('表 62_滾算紀錄8'!U49)</f>
        <v/>
      </c>
      <c r="V28">
        <f>ABS('表 62_滾算紀錄8'!V49)</f>
        <v/>
      </c>
      <c r="W28">
        <f>ABS('表 62_滾算紀錄8'!W49)</f>
        <v/>
      </c>
    </row>
    <row r="29">
      <c r="C29" s="6" t="inlineStr">
        <is>
          <t>保險/年總計</t>
        </is>
      </c>
      <c r="D29" s="6">
        <f>SUM(D26:D28)</f>
        <v/>
      </c>
      <c r="E29" s="6">
        <f>SUM(E26:E28)</f>
        <v/>
      </c>
      <c r="F29" s="6">
        <f>SUM(F26:F28)</f>
        <v/>
      </c>
      <c r="G29" s="6">
        <f>SUM(G26:G28)</f>
        <v/>
      </c>
      <c r="H29" s="6">
        <f>SUM(H26:H28)</f>
        <v/>
      </c>
      <c r="I29" s="6">
        <f>SUM(I26:I28)</f>
        <v/>
      </c>
      <c r="J29" s="6">
        <f>SUM(J26:J28)</f>
        <v/>
      </c>
      <c r="K29" s="6">
        <f>SUM(K26:K28)</f>
        <v/>
      </c>
      <c r="L29" s="6">
        <f>SUM(L26:L28)</f>
        <v/>
      </c>
      <c r="M29" s="6">
        <f>SUM(M26:M28)</f>
        <v/>
      </c>
      <c r="N29" s="6">
        <f>SUM(N26:N28)</f>
        <v/>
      </c>
      <c r="O29" s="6">
        <f>SUM(O26:O28)</f>
        <v/>
      </c>
      <c r="P29" s="6">
        <f>SUM(P26:P28)</f>
        <v/>
      </c>
      <c r="Q29" s="6">
        <f>SUM(Q26:Q28)</f>
        <v/>
      </c>
      <c r="R29" s="6">
        <f>SUM(R26:R28)</f>
        <v/>
      </c>
      <c r="S29" s="6">
        <f>SUM(S26:S28)</f>
        <v/>
      </c>
      <c r="T29" s="6">
        <f>SUM(T26:T28)</f>
        <v/>
      </c>
      <c r="U29" s="6">
        <f>SUM(U26:U28)</f>
        <v/>
      </c>
      <c r="V29" s="6">
        <f>SUM(V26:V28)</f>
        <v/>
      </c>
      <c r="W29" s="6">
        <f>SUM(W26:W28)</f>
        <v/>
      </c>
    </row>
    <row r="30">
      <c r="C30" s="1" t="inlineStr">
        <is>
          <t>模組回收費</t>
        </is>
      </c>
      <c r="D30" s="1" t="n">
        <v>2023</v>
      </c>
      <c r="E30" s="1" t="n">
        <v>2024</v>
      </c>
      <c r="F30" s="1" t="n">
        <v>2025</v>
      </c>
      <c r="G30" s="1" t="n">
        <v>2026</v>
      </c>
      <c r="H30" s="1" t="n">
        <v>2027</v>
      </c>
      <c r="I30" s="1" t="n">
        <v>2028</v>
      </c>
      <c r="J30" s="1" t="n">
        <v>2029</v>
      </c>
      <c r="K30" s="1" t="n">
        <v>2030</v>
      </c>
      <c r="L30" s="1" t="n">
        <v>2031</v>
      </c>
      <c r="M30" s="1" t="n">
        <v>2032</v>
      </c>
      <c r="N30" s="1" t="n">
        <v>2033</v>
      </c>
      <c r="O30" s="1" t="n">
        <v>2034</v>
      </c>
      <c r="P30" s="1" t="n">
        <v>2035</v>
      </c>
      <c r="Q30" s="1" t="n">
        <v>2036</v>
      </c>
      <c r="R30" s="1" t="n">
        <v>2037</v>
      </c>
      <c r="S30" s="1" t="n">
        <v>2038</v>
      </c>
      <c r="T30" s="1" t="n">
        <v>2039</v>
      </c>
      <c r="U30" s="1" t="n">
        <v>2040</v>
      </c>
      <c r="V30" s="1" t="n">
        <v>2041</v>
      </c>
      <c r="W30" s="1" t="n">
        <v>2042</v>
      </c>
    </row>
    <row r="31">
      <c r="B31" t="inlineStr">
        <is>
          <t>表 62</t>
        </is>
      </c>
      <c r="D31">
        <f>ABS('表 62_滾算紀錄7'!D50)</f>
        <v/>
      </c>
      <c r="E31">
        <f>ABS('表 62_滾算紀錄7'!E50)</f>
        <v/>
      </c>
      <c r="F31">
        <f>ABS('表 62_滾算紀錄7'!F50)</f>
        <v/>
      </c>
      <c r="G31">
        <f>ABS('表 62_滾算紀錄7'!G50)</f>
        <v/>
      </c>
      <c r="H31">
        <f>ABS('表 62_滾算紀錄7'!H50)</f>
        <v/>
      </c>
      <c r="I31">
        <f>ABS('表 62_滾算紀錄7'!I50)</f>
        <v/>
      </c>
      <c r="J31">
        <f>ABS('表 62_滾算紀錄7'!J50)</f>
        <v/>
      </c>
      <c r="K31">
        <f>ABS('表 62_滾算紀錄7'!K50)</f>
        <v/>
      </c>
      <c r="L31">
        <f>ABS('表 62_滾算紀錄7'!L50)</f>
        <v/>
      </c>
      <c r="M31">
        <f>ABS('表 62_滾算紀錄7'!M50)</f>
        <v/>
      </c>
      <c r="N31">
        <f>ABS('表 62_滾算紀錄7'!N50)</f>
        <v/>
      </c>
      <c r="O31">
        <f>ABS('表 62_滾算紀錄7'!O50)</f>
        <v/>
      </c>
      <c r="P31">
        <f>ABS('表 62_滾算紀錄7'!P50)</f>
        <v/>
      </c>
      <c r="Q31">
        <f>ABS('表 62_滾算紀錄7'!Q50)</f>
        <v/>
      </c>
      <c r="R31">
        <f>ABS('表 62_滾算紀錄7'!R50)</f>
        <v/>
      </c>
      <c r="S31">
        <f>ABS('表 62_滾算紀錄7'!S50)</f>
        <v/>
      </c>
      <c r="T31">
        <f>ABS('表 62_滾算紀錄7'!T50)</f>
        <v/>
      </c>
      <c r="U31">
        <f>ABS('表 62_滾算紀錄7'!U50)</f>
        <v/>
      </c>
      <c r="V31">
        <f>ABS('表 62_滾算紀錄7'!V50)</f>
        <v/>
      </c>
      <c r="W31">
        <f>ABS('表 62_滾算紀錄7'!W50)</f>
        <v/>
      </c>
    </row>
    <row r="32">
      <c r="B32" t="inlineStr">
        <is>
          <t>表 62</t>
        </is>
      </c>
      <c r="D32">
        <f>ABS('表 62_滾算紀錄6'!D50)</f>
        <v/>
      </c>
      <c r="E32">
        <f>ABS('表 62_滾算紀錄6'!E50)</f>
        <v/>
      </c>
      <c r="F32">
        <f>ABS('表 62_滾算紀錄6'!F50)</f>
        <v/>
      </c>
      <c r="G32">
        <f>ABS('表 62_滾算紀錄6'!G50)</f>
        <v/>
      </c>
      <c r="H32">
        <f>ABS('表 62_滾算紀錄6'!H50)</f>
        <v/>
      </c>
      <c r="I32">
        <f>ABS('表 62_滾算紀錄6'!I50)</f>
        <v/>
      </c>
      <c r="J32">
        <f>ABS('表 62_滾算紀錄6'!J50)</f>
        <v/>
      </c>
      <c r="K32">
        <f>ABS('表 62_滾算紀錄6'!K50)</f>
        <v/>
      </c>
      <c r="L32">
        <f>ABS('表 62_滾算紀錄6'!L50)</f>
        <v/>
      </c>
      <c r="M32">
        <f>ABS('表 62_滾算紀錄6'!M50)</f>
        <v/>
      </c>
      <c r="N32">
        <f>ABS('表 62_滾算紀錄6'!N50)</f>
        <v/>
      </c>
      <c r="O32">
        <f>ABS('表 62_滾算紀錄6'!O50)</f>
        <v/>
      </c>
      <c r="P32">
        <f>ABS('表 62_滾算紀錄6'!P50)</f>
        <v/>
      </c>
      <c r="Q32">
        <f>ABS('表 62_滾算紀錄6'!Q50)</f>
        <v/>
      </c>
      <c r="R32">
        <f>ABS('表 62_滾算紀錄6'!R50)</f>
        <v/>
      </c>
      <c r="S32">
        <f>ABS('表 62_滾算紀錄6'!S50)</f>
        <v/>
      </c>
      <c r="T32">
        <f>ABS('表 62_滾算紀錄6'!T50)</f>
        <v/>
      </c>
      <c r="U32">
        <f>ABS('表 62_滾算紀錄6'!U50)</f>
        <v/>
      </c>
      <c r="V32">
        <f>ABS('表 62_滾算紀錄6'!V50)</f>
        <v/>
      </c>
      <c r="W32">
        <f>ABS('表 62_滾算紀錄6'!W50)</f>
        <v/>
      </c>
    </row>
    <row r="33">
      <c r="B33" t="inlineStr">
        <is>
          <t>表 62</t>
        </is>
      </c>
      <c r="D33">
        <f>ABS('表 62_滾算紀錄8'!D50)</f>
        <v/>
      </c>
      <c r="E33">
        <f>ABS('表 62_滾算紀錄8'!E50)</f>
        <v/>
      </c>
      <c r="F33">
        <f>ABS('表 62_滾算紀錄8'!F50)</f>
        <v/>
      </c>
      <c r="G33">
        <f>ABS('表 62_滾算紀錄8'!G50)</f>
        <v/>
      </c>
      <c r="H33">
        <f>ABS('表 62_滾算紀錄8'!H50)</f>
        <v/>
      </c>
      <c r="I33">
        <f>ABS('表 62_滾算紀錄8'!I50)</f>
        <v/>
      </c>
      <c r="J33">
        <f>ABS('表 62_滾算紀錄8'!J50)</f>
        <v/>
      </c>
      <c r="K33">
        <f>ABS('表 62_滾算紀錄8'!K50)</f>
        <v/>
      </c>
      <c r="L33">
        <f>ABS('表 62_滾算紀錄8'!L50)</f>
        <v/>
      </c>
      <c r="M33">
        <f>ABS('表 62_滾算紀錄8'!M50)</f>
        <v/>
      </c>
      <c r="N33">
        <f>ABS('表 62_滾算紀錄8'!N50)</f>
        <v/>
      </c>
      <c r="O33">
        <f>ABS('表 62_滾算紀錄8'!O50)</f>
        <v/>
      </c>
      <c r="P33">
        <f>ABS('表 62_滾算紀錄8'!P50)</f>
        <v/>
      </c>
      <c r="Q33">
        <f>ABS('表 62_滾算紀錄8'!Q50)</f>
        <v/>
      </c>
      <c r="R33">
        <f>ABS('表 62_滾算紀錄8'!R50)</f>
        <v/>
      </c>
      <c r="S33">
        <f>ABS('表 62_滾算紀錄8'!S50)</f>
        <v/>
      </c>
      <c r="T33">
        <f>ABS('表 62_滾算紀錄8'!T50)</f>
        <v/>
      </c>
      <c r="U33">
        <f>ABS('表 62_滾算紀錄8'!U50)</f>
        <v/>
      </c>
      <c r="V33">
        <f>ABS('表 62_滾算紀錄8'!V50)</f>
        <v/>
      </c>
      <c r="W33">
        <f>ABS('表 62_滾算紀錄8'!W50)</f>
        <v/>
      </c>
    </row>
    <row r="34">
      <c r="C34" s="3" t="inlineStr">
        <is>
          <t>模組回收費/年總計</t>
        </is>
      </c>
      <c r="D34" s="3">
        <f>SUM(D31:D33)</f>
        <v/>
      </c>
      <c r="E34" s="3">
        <f>SUM(E31:E33)</f>
        <v/>
      </c>
      <c r="F34" s="3">
        <f>SUM(F31:F33)</f>
        <v/>
      </c>
      <c r="G34" s="3">
        <f>SUM(G31:G33)</f>
        <v/>
      </c>
      <c r="H34" s="3">
        <f>SUM(H31:H33)</f>
        <v/>
      </c>
      <c r="I34" s="3">
        <f>SUM(I31:I33)</f>
        <v/>
      </c>
      <c r="J34" s="3">
        <f>SUM(J31:J33)</f>
        <v/>
      </c>
      <c r="K34" s="3">
        <f>SUM(K31:K33)</f>
        <v/>
      </c>
      <c r="L34" s="3">
        <f>SUM(L31:L33)</f>
        <v/>
      </c>
      <c r="M34" s="3">
        <f>SUM(M31:M33)</f>
        <v/>
      </c>
      <c r="N34" s="3">
        <f>SUM(N31:N33)</f>
        <v/>
      </c>
      <c r="O34" s="3">
        <f>SUM(O31:O33)</f>
        <v/>
      </c>
      <c r="P34" s="3">
        <f>SUM(P31:P33)</f>
        <v/>
      </c>
      <c r="Q34" s="3">
        <f>SUM(Q31:Q33)</f>
        <v/>
      </c>
      <c r="R34" s="3">
        <f>SUM(R31:R33)</f>
        <v/>
      </c>
      <c r="S34" s="3">
        <f>SUM(S31:S33)</f>
        <v/>
      </c>
      <c r="T34" s="3">
        <f>SUM(T31:T33)</f>
        <v/>
      </c>
      <c r="U34" s="3">
        <f>SUM(U31:U33)</f>
        <v/>
      </c>
      <c r="V34" s="3">
        <f>SUM(V31:V33)</f>
        <v/>
      </c>
      <c r="W34" s="3">
        <f>SUM(W31:W33)</f>
        <v/>
      </c>
    </row>
    <row r="35">
      <c r="C35" s="1" t="inlineStr">
        <is>
          <t>所得稅</t>
        </is>
      </c>
      <c r="D35" s="1" t="n">
        <v>2023</v>
      </c>
      <c r="E35" s="1" t="n">
        <v>2024</v>
      </c>
      <c r="F35" s="1" t="n">
        <v>2025</v>
      </c>
      <c r="G35" s="1" t="n">
        <v>2026</v>
      </c>
      <c r="H35" s="1" t="n">
        <v>2027</v>
      </c>
      <c r="I35" s="1" t="n">
        <v>2028</v>
      </c>
      <c r="J35" s="1" t="n">
        <v>2029</v>
      </c>
      <c r="K35" s="1" t="n">
        <v>2030</v>
      </c>
      <c r="L35" s="1" t="n">
        <v>2031</v>
      </c>
      <c r="M35" s="1" t="n">
        <v>2032</v>
      </c>
      <c r="N35" s="1" t="n">
        <v>2033</v>
      </c>
      <c r="O35" s="1" t="n">
        <v>2034</v>
      </c>
      <c r="P35" s="1" t="n">
        <v>2035</v>
      </c>
      <c r="Q35" s="1" t="n">
        <v>2036</v>
      </c>
      <c r="R35" s="1" t="n">
        <v>2037</v>
      </c>
      <c r="S35" s="1" t="n">
        <v>2038</v>
      </c>
      <c r="T35" s="1" t="n">
        <v>2039</v>
      </c>
      <c r="U35" s="1" t="n">
        <v>2040</v>
      </c>
      <c r="V35" s="1" t="n">
        <v>2041</v>
      </c>
      <c r="W35" s="1" t="n">
        <v>2042</v>
      </c>
    </row>
    <row r="36">
      <c r="B36" t="inlineStr">
        <is>
          <t>表 62</t>
        </is>
      </c>
      <c r="D36">
        <f>ABS('表 62_滾算紀錄7'!D54)</f>
        <v/>
      </c>
      <c r="E36">
        <f>ABS('表 62_滾算紀錄7'!E54)</f>
        <v/>
      </c>
      <c r="F36">
        <f>ABS('表 62_滾算紀錄7'!F54)</f>
        <v/>
      </c>
      <c r="G36">
        <f>ABS('表 62_滾算紀錄7'!G54)</f>
        <v/>
      </c>
      <c r="H36">
        <f>ABS('表 62_滾算紀錄7'!H54)</f>
        <v/>
      </c>
      <c r="I36">
        <f>ABS('表 62_滾算紀錄7'!I54)</f>
        <v/>
      </c>
      <c r="J36">
        <f>ABS('表 62_滾算紀錄7'!J54)</f>
        <v/>
      </c>
      <c r="K36">
        <f>ABS('表 62_滾算紀錄7'!K54)</f>
        <v/>
      </c>
      <c r="L36">
        <f>ABS('表 62_滾算紀錄7'!L54)</f>
        <v/>
      </c>
      <c r="M36">
        <f>ABS('表 62_滾算紀錄7'!M54)</f>
        <v/>
      </c>
      <c r="N36">
        <f>ABS('表 62_滾算紀錄7'!N54)</f>
        <v/>
      </c>
      <c r="O36">
        <f>ABS('表 62_滾算紀錄7'!O54)</f>
        <v/>
      </c>
      <c r="P36">
        <f>ABS('表 62_滾算紀錄7'!P54)</f>
        <v/>
      </c>
      <c r="Q36">
        <f>ABS('表 62_滾算紀錄7'!Q54)</f>
        <v/>
      </c>
      <c r="R36">
        <f>ABS('表 62_滾算紀錄7'!R54)</f>
        <v/>
      </c>
      <c r="S36">
        <f>ABS('表 62_滾算紀錄7'!S54)</f>
        <v/>
      </c>
      <c r="T36">
        <f>ABS('表 62_滾算紀錄7'!T54)</f>
        <v/>
      </c>
      <c r="U36">
        <f>ABS('表 62_滾算紀錄7'!U54)</f>
        <v/>
      </c>
      <c r="V36">
        <f>ABS('表 62_滾算紀錄7'!V54)</f>
        <v/>
      </c>
      <c r="W36">
        <f>ABS('表 62_滾算紀錄7'!W54)</f>
        <v/>
      </c>
    </row>
    <row r="37">
      <c r="B37" t="inlineStr">
        <is>
          <t>表 62</t>
        </is>
      </c>
      <c r="D37">
        <f>ABS('表 62_滾算紀錄6'!D54)</f>
        <v/>
      </c>
      <c r="E37">
        <f>ABS('表 62_滾算紀錄6'!E54)</f>
        <v/>
      </c>
      <c r="F37">
        <f>ABS('表 62_滾算紀錄6'!F54)</f>
        <v/>
      </c>
      <c r="G37">
        <f>ABS('表 62_滾算紀錄6'!G54)</f>
        <v/>
      </c>
      <c r="H37">
        <f>ABS('表 62_滾算紀錄6'!H54)</f>
        <v/>
      </c>
      <c r="I37">
        <f>ABS('表 62_滾算紀錄6'!I54)</f>
        <v/>
      </c>
      <c r="J37">
        <f>ABS('表 62_滾算紀錄6'!J54)</f>
        <v/>
      </c>
      <c r="K37">
        <f>ABS('表 62_滾算紀錄6'!K54)</f>
        <v/>
      </c>
      <c r="L37">
        <f>ABS('表 62_滾算紀錄6'!L54)</f>
        <v/>
      </c>
      <c r="M37">
        <f>ABS('表 62_滾算紀錄6'!M54)</f>
        <v/>
      </c>
      <c r="N37">
        <f>ABS('表 62_滾算紀錄6'!N54)</f>
        <v/>
      </c>
      <c r="O37">
        <f>ABS('表 62_滾算紀錄6'!O54)</f>
        <v/>
      </c>
      <c r="P37">
        <f>ABS('表 62_滾算紀錄6'!P54)</f>
        <v/>
      </c>
      <c r="Q37">
        <f>ABS('表 62_滾算紀錄6'!Q54)</f>
        <v/>
      </c>
      <c r="R37">
        <f>ABS('表 62_滾算紀錄6'!R54)</f>
        <v/>
      </c>
      <c r="S37">
        <f>ABS('表 62_滾算紀錄6'!S54)</f>
        <v/>
      </c>
      <c r="T37">
        <f>ABS('表 62_滾算紀錄6'!T54)</f>
        <v/>
      </c>
      <c r="U37">
        <f>ABS('表 62_滾算紀錄6'!U54)</f>
        <v/>
      </c>
      <c r="V37">
        <f>ABS('表 62_滾算紀錄6'!V54)</f>
        <v/>
      </c>
      <c r="W37">
        <f>ABS('表 62_滾算紀錄6'!W54)</f>
        <v/>
      </c>
    </row>
    <row r="38">
      <c r="B38" t="inlineStr">
        <is>
          <t>表 62</t>
        </is>
      </c>
      <c r="D38">
        <f>ABS('表 62_滾算紀錄8'!D54)</f>
        <v/>
      </c>
      <c r="E38">
        <f>ABS('表 62_滾算紀錄8'!E54)</f>
        <v/>
      </c>
      <c r="F38">
        <f>ABS('表 62_滾算紀錄8'!F54)</f>
        <v/>
      </c>
      <c r="G38">
        <f>ABS('表 62_滾算紀錄8'!G54)</f>
        <v/>
      </c>
      <c r="H38">
        <f>ABS('表 62_滾算紀錄8'!H54)</f>
        <v/>
      </c>
      <c r="I38">
        <f>ABS('表 62_滾算紀錄8'!I54)</f>
        <v/>
      </c>
      <c r="J38">
        <f>ABS('表 62_滾算紀錄8'!J54)</f>
        <v/>
      </c>
      <c r="K38">
        <f>ABS('表 62_滾算紀錄8'!K54)</f>
        <v/>
      </c>
      <c r="L38">
        <f>ABS('表 62_滾算紀錄8'!L54)</f>
        <v/>
      </c>
      <c r="M38">
        <f>ABS('表 62_滾算紀錄8'!M54)</f>
        <v/>
      </c>
      <c r="N38">
        <f>ABS('表 62_滾算紀錄8'!N54)</f>
        <v/>
      </c>
      <c r="O38">
        <f>ABS('表 62_滾算紀錄8'!O54)</f>
        <v/>
      </c>
      <c r="P38">
        <f>ABS('表 62_滾算紀錄8'!P54)</f>
        <v/>
      </c>
      <c r="Q38">
        <f>ABS('表 62_滾算紀錄8'!Q54)</f>
        <v/>
      </c>
      <c r="R38">
        <f>ABS('表 62_滾算紀錄8'!R54)</f>
        <v/>
      </c>
      <c r="S38">
        <f>ABS('表 62_滾算紀錄8'!S54)</f>
        <v/>
      </c>
      <c r="T38">
        <f>ABS('表 62_滾算紀錄8'!T54)</f>
        <v/>
      </c>
      <c r="U38">
        <f>ABS('表 62_滾算紀錄8'!U54)</f>
        <v/>
      </c>
      <c r="V38">
        <f>ABS('表 62_滾算紀錄8'!V54)</f>
        <v/>
      </c>
      <c r="W38">
        <f>ABS('表 62_滾算紀錄8'!W54)</f>
        <v/>
      </c>
    </row>
    <row r="39">
      <c r="C39" s="2" t="inlineStr">
        <is>
          <t>所得稅/年總計</t>
        </is>
      </c>
      <c r="D39" s="2">
        <f>SUM(D36:D38)</f>
        <v/>
      </c>
      <c r="E39" s="2">
        <f>SUM(E36:E38)</f>
        <v/>
      </c>
      <c r="F39" s="2">
        <f>SUM(F36:F38)</f>
        <v/>
      </c>
      <c r="G39" s="2">
        <f>SUM(G36:G38)</f>
        <v/>
      </c>
      <c r="H39" s="2">
        <f>SUM(H36:H38)</f>
        <v/>
      </c>
      <c r="I39" s="2">
        <f>SUM(I36:I38)</f>
        <v/>
      </c>
      <c r="J39" s="2">
        <f>SUM(J36:J38)</f>
        <v/>
      </c>
      <c r="K39" s="2">
        <f>SUM(K36:K38)</f>
        <v/>
      </c>
      <c r="L39" s="2">
        <f>SUM(L36:L38)</f>
        <v/>
      </c>
      <c r="M39" s="2">
        <f>SUM(M36:M38)</f>
        <v/>
      </c>
      <c r="N39" s="2">
        <f>SUM(N36:N38)</f>
        <v/>
      </c>
      <c r="O39" s="2">
        <f>SUM(O36:O38)</f>
        <v/>
      </c>
      <c r="P39" s="2">
        <f>SUM(P36:P38)</f>
        <v/>
      </c>
      <c r="Q39" s="2">
        <f>SUM(Q36:Q38)</f>
        <v/>
      </c>
      <c r="R39" s="2">
        <f>SUM(R36:R38)</f>
        <v/>
      </c>
      <c r="S39" s="2">
        <f>SUM(S36:S38)</f>
        <v/>
      </c>
      <c r="T39" s="2">
        <f>SUM(T36:T38)</f>
        <v/>
      </c>
      <c r="U39" s="2">
        <f>SUM(U36:U38)</f>
        <v/>
      </c>
      <c r="V39" s="2">
        <f>SUM(V36:V38)</f>
        <v/>
      </c>
      <c r="W39" s="2">
        <f>SUM(W36:W38)</f>
        <v/>
      </c>
    </row>
    <row r="40">
      <c r="C40" s="1" t="inlineStr">
        <is>
          <t>設備折舊</t>
        </is>
      </c>
      <c r="D40" s="1" t="n">
        <v>2023</v>
      </c>
      <c r="E40" s="1" t="n">
        <v>2024</v>
      </c>
      <c r="F40" s="1" t="n">
        <v>2025</v>
      </c>
      <c r="G40" s="1" t="n">
        <v>2026</v>
      </c>
      <c r="H40" s="1" t="n">
        <v>2027</v>
      </c>
      <c r="I40" s="1" t="n">
        <v>2028</v>
      </c>
      <c r="J40" s="1" t="n">
        <v>2029</v>
      </c>
      <c r="K40" s="1" t="n">
        <v>2030</v>
      </c>
      <c r="L40" s="1" t="n">
        <v>2031</v>
      </c>
      <c r="M40" s="1" t="n">
        <v>2032</v>
      </c>
      <c r="N40" s="1" t="n">
        <v>2033</v>
      </c>
      <c r="O40" s="1" t="n">
        <v>2034</v>
      </c>
      <c r="P40" s="1" t="n">
        <v>2035</v>
      </c>
      <c r="Q40" s="1" t="n">
        <v>2036</v>
      </c>
      <c r="R40" s="1" t="n">
        <v>2037</v>
      </c>
      <c r="S40" s="1" t="n">
        <v>2038</v>
      </c>
      <c r="T40" s="1" t="n">
        <v>2039</v>
      </c>
      <c r="U40" s="1" t="n">
        <v>2040</v>
      </c>
      <c r="V40" s="1" t="n">
        <v>2041</v>
      </c>
      <c r="W40" s="1" t="n">
        <v>2042</v>
      </c>
    </row>
    <row r="41">
      <c r="B41" t="inlineStr">
        <is>
          <t>表 62</t>
        </is>
      </c>
      <c r="D41">
        <f>ABS('表 62_滾算紀錄7'!D67)</f>
        <v/>
      </c>
      <c r="E41">
        <f>ABS('表 62_滾算紀錄7'!E67)</f>
        <v/>
      </c>
      <c r="F41">
        <f>ABS('表 62_滾算紀錄7'!F67)</f>
        <v/>
      </c>
      <c r="G41">
        <f>ABS('表 62_滾算紀錄7'!G67)</f>
        <v/>
      </c>
      <c r="H41">
        <f>ABS('表 62_滾算紀錄7'!H67)</f>
        <v/>
      </c>
      <c r="I41">
        <f>ABS('表 62_滾算紀錄7'!I67)</f>
        <v/>
      </c>
      <c r="J41">
        <f>ABS('表 62_滾算紀錄7'!J67)</f>
        <v/>
      </c>
      <c r="K41">
        <f>ABS('表 62_滾算紀錄7'!K67)</f>
        <v/>
      </c>
      <c r="L41">
        <f>ABS('表 62_滾算紀錄7'!L67)</f>
        <v/>
      </c>
      <c r="M41">
        <f>ABS('表 62_滾算紀錄7'!M67)</f>
        <v/>
      </c>
      <c r="N41">
        <f>ABS('表 62_滾算紀錄7'!N67)</f>
        <v/>
      </c>
      <c r="O41">
        <f>ABS('表 62_滾算紀錄7'!O67)</f>
        <v/>
      </c>
      <c r="P41">
        <f>ABS('表 62_滾算紀錄7'!P67)</f>
        <v/>
      </c>
      <c r="Q41">
        <f>ABS('表 62_滾算紀錄7'!Q67)</f>
        <v/>
      </c>
      <c r="R41">
        <f>ABS('表 62_滾算紀錄7'!R67)</f>
        <v/>
      </c>
      <c r="S41">
        <f>ABS('表 62_滾算紀錄7'!S67)</f>
        <v/>
      </c>
      <c r="T41">
        <f>ABS('表 62_滾算紀錄7'!T67)</f>
        <v/>
      </c>
      <c r="U41">
        <f>ABS('表 62_滾算紀錄7'!U67)</f>
        <v/>
      </c>
      <c r="V41">
        <f>ABS('表 62_滾算紀錄7'!V67)</f>
        <v/>
      </c>
      <c r="W41">
        <f>ABS('表 62_滾算紀錄7'!W67)</f>
        <v/>
      </c>
    </row>
    <row r="42">
      <c r="B42" t="inlineStr">
        <is>
          <t>表 62</t>
        </is>
      </c>
      <c r="D42">
        <f>ABS('表 62_滾算紀錄6'!D67)</f>
        <v/>
      </c>
      <c r="E42">
        <f>ABS('表 62_滾算紀錄6'!E67)</f>
        <v/>
      </c>
      <c r="F42">
        <f>ABS('表 62_滾算紀錄6'!F67)</f>
        <v/>
      </c>
      <c r="G42">
        <f>ABS('表 62_滾算紀錄6'!G67)</f>
        <v/>
      </c>
      <c r="H42">
        <f>ABS('表 62_滾算紀錄6'!H67)</f>
        <v/>
      </c>
      <c r="I42">
        <f>ABS('表 62_滾算紀錄6'!I67)</f>
        <v/>
      </c>
      <c r="J42">
        <f>ABS('表 62_滾算紀錄6'!J67)</f>
        <v/>
      </c>
      <c r="K42">
        <f>ABS('表 62_滾算紀錄6'!K67)</f>
        <v/>
      </c>
      <c r="L42">
        <f>ABS('表 62_滾算紀錄6'!L67)</f>
        <v/>
      </c>
      <c r="M42">
        <f>ABS('表 62_滾算紀錄6'!M67)</f>
        <v/>
      </c>
      <c r="N42">
        <f>ABS('表 62_滾算紀錄6'!N67)</f>
        <v/>
      </c>
      <c r="O42">
        <f>ABS('表 62_滾算紀錄6'!O67)</f>
        <v/>
      </c>
      <c r="P42">
        <f>ABS('表 62_滾算紀錄6'!P67)</f>
        <v/>
      </c>
      <c r="Q42">
        <f>ABS('表 62_滾算紀錄6'!Q67)</f>
        <v/>
      </c>
      <c r="R42">
        <f>ABS('表 62_滾算紀錄6'!R67)</f>
        <v/>
      </c>
      <c r="S42">
        <f>ABS('表 62_滾算紀錄6'!S67)</f>
        <v/>
      </c>
      <c r="T42">
        <f>ABS('表 62_滾算紀錄6'!T67)</f>
        <v/>
      </c>
      <c r="U42">
        <f>ABS('表 62_滾算紀錄6'!U67)</f>
        <v/>
      </c>
      <c r="V42">
        <f>ABS('表 62_滾算紀錄6'!V67)</f>
        <v/>
      </c>
      <c r="W42">
        <f>ABS('表 62_滾算紀錄6'!W67)</f>
        <v/>
      </c>
    </row>
    <row r="43">
      <c r="B43" t="inlineStr">
        <is>
          <t>表 62</t>
        </is>
      </c>
      <c r="D43">
        <f>ABS('表 62_滾算紀錄8'!D67)</f>
        <v/>
      </c>
      <c r="E43">
        <f>ABS('表 62_滾算紀錄8'!E67)</f>
        <v/>
      </c>
      <c r="F43">
        <f>ABS('表 62_滾算紀錄8'!F67)</f>
        <v/>
      </c>
      <c r="G43">
        <f>ABS('表 62_滾算紀錄8'!G67)</f>
        <v/>
      </c>
      <c r="H43">
        <f>ABS('表 62_滾算紀錄8'!H67)</f>
        <v/>
      </c>
      <c r="I43">
        <f>ABS('表 62_滾算紀錄8'!I67)</f>
        <v/>
      </c>
      <c r="J43">
        <f>ABS('表 62_滾算紀錄8'!J67)</f>
        <v/>
      </c>
      <c r="K43">
        <f>ABS('表 62_滾算紀錄8'!K67)</f>
        <v/>
      </c>
      <c r="L43">
        <f>ABS('表 62_滾算紀錄8'!L67)</f>
        <v/>
      </c>
      <c r="M43">
        <f>ABS('表 62_滾算紀錄8'!M67)</f>
        <v/>
      </c>
      <c r="N43">
        <f>ABS('表 62_滾算紀錄8'!N67)</f>
        <v/>
      </c>
      <c r="O43">
        <f>ABS('表 62_滾算紀錄8'!O67)</f>
        <v/>
      </c>
      <c r="P43">
        <f>ABS('表 62_滾算紀錄8'!P67)</f>
        <v/>
      </c>
      <c r="Q43">
        <f>ABS('表 62_滾算紀錄8'!Q67)</f>
        <v/>
      </c>
      <c r="R43">
        <f>ABS('表 62_滾算紀錄8'!R67)</f>
        <v/>
      </c>
      <c r="S43">
        <f>ABS('表 62_滾算紀錄8'!S67)</f>
        <v/>
      </c>
      <c r="T43">
        <f>ABS('表 62_滾算紀錄8'!T67)</f>
        <v/>
      </c>
      <c r="U43">
        <f>ABS('表 62_滾算紀錄8'!U67)</f>
        <v/>
      </c>
      <c r="V43">
        <f>ABS('表 62_滾算紀錄8'!V67)</f>
        <v/>
      </c>
      <c r="W43">
        <f>ABS('表 62_滾算紀錄8'!W67)</f>
        <v/>
      </c>
    </row>
    <row r="44">
      <c r="C44" s="7" t="inlineStr">
        <is>
          <t>設備折舊/年總計</t>
        </is>
      </c>
      <c r="D44" s="7">
        <f>SUM(D41:D43)</f>
        <v/>
      </c>
      <c r="E44" s="7">
        <f>SUM(E41:E43)</f>
        <v/>
      </c>
      <c r="F44" s="7">
        <f>SUM(F41:F43)</f>
        <v/>
      </c>
      <c r="G44" s="7">
        <f>SUM(G41:G43)</f>
        <v/>
      </c>
      <c r="H44" s="7">
        <f>SUM(H41:H43)</f>
        <v/>
      </c>
      <c r="I44" s="7">
        <f>SUM(I41:I43)</f>
        <v/>
      </c>
      <c r="J44" s="7">
        <f>SUM(J41:J43)</f>
        <v/>
      </c>
      <c r="K44" s="7">
        <f>SUM(K41:K43)</f>
        <v/>
      </c>
      <c r="L44" s="7">
        <f>SUM(L41:L43)</f>
        <v/>
      </c>
      <c r="M44" s="7">
        <f>SUM(M41:M43)</f>
        <v/>
      </c>
      <c r="N44" s="7">
        <f>SUM(N41:N43)</f>
        <v/>
      </c>
      <c r="O44" s="7">
        <f>SUM(O41:O43)</f>
        <v/>
      </c>
      <c r="P44" s="7">
        <f>SUM(P41:P43)</f>
        <v/>
      </c>
      <c r="Q44" s="7">
        <f>SUM(Q41:Q43)</f>
        <v/>
      </c>
      <c r="R44" s="7">
        <f>SUM(R41:R43)</f>
        <v/>
      </c>
      <c r="S44" s="7">
        <f>SUM(S41:S43)</f>
        <v/>
      </c>
      <c r="T44" s="7">
        <f>SUM(T41:T43)</f>
        <v/>
      </c>
      <c r="U44" s="7">
        <f>SUM(U41:U43)</f>
        <v/>
      </c>
      <c r="V44" s="7">
        <f>SUM(V41:V43)</f>
        <v/>
      </c>
      <c r="W44" s="7">
        <f>SUM(W41:W43)</f>
        <v/>
      </c>
    </row>
    <row r="51" ht="18.75" customHeight="1">
      <c r="B51" s="8" t="n"/>
      <c r="C51" s="9" t="inlineStr">
        <is>
          <t>年份</t>
        </is>
      </c>
      <c r="D51" s="9" t="n">
        <v>2023</v>
      </c>
      <c r="E51" s="9" t="n">
        <v>2024</v>
      </c>
      <c r="F51" s="9" t="n">
        <v>2025</v>
      </c>
      <c r="G51" s="9" t="n">
        <v>2026</v>
      </c>
      <c r="H51" s="9" t="n">
        <v>2027</v>
      </c>
      <c r="I51" s="9" t="n">
        <v>2028</v>
      </c>
      <c r="J51" s="9" t="n">
        <v>2029</v>
      </c>
      <c r="K51" s="9" t="n">
        <v>2030</v>
      </c>
      <c r="L51" s="9" t="n">
        <v>2031</v>
      </c>
      <c r="M51" s="9" t="n">
        <v>2032</v>
      </c>
      <c r="N51" s="9" t="n">
        <v>2033</v>
      </c>
      <c r="O51" s="9" t="n">
        <v>2034</v>
      </c>
      <c r="P51" s="9" t="n">
        <v>2035</v>
      </c>
      <c r="Q51" s="9" t="n">
        <v>2036</v>
      </c>
      <c r="R51" s="9" t="n">
        <v>2037</v>
      </c>
      <c r="S51" s="9" t="n">
        <v>2038</v>
      </c>
      <c r="T51" s="9" t="n">
        <v>2039</v>
      </c>
      <c r="U51" s="9" t="n">
        <v>2040</v>
      </c>
      <c r="V51" s="9" t="n">
        <v>2041</v>
      </c>
      <c r="W51" s="9" t="n">
        <v>2042</v>
      </c>
    </row>
    <row r="52" ht="18.75" customHeight="1">
      <c r="B52" s="10" t="n">
        <v>0</v>
      </c>
      <c r="C52" s="11" t="n"/>
      <c r="D52" s="12" t="n"/>
      <c r="E52" s="12" t="n"/>
      <c r="F52" s="13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14" t="n"/>
      <c r="V52" s="14" t="n"/>
      <c r="W52" s="14" t="n"/>
    </row>
    <row r="53" ht="18.75" customHeight="1">
      <c r="B53" s="16" t="inlineStr">
        <is>
          <t>(Unit : Currency)</t>
        </is>
      </c>
      <c r="C53" s="17" t="n">
        <v>0</v>
      </c>
      <c r="D53" s="18" t="n">
        <v>1</v>
      </c>
      <c r="E53" s="18" t="n">
        <v>2</v>
      </c>
      <c r="F53" s="18" t="n">
        <v>3</v>
      </c>
      <c r="G53" s="18" t="n">
        <v>4</v>
      </c>
      <c r="H53" s="18" t="n">
        <v>5</v>
      </c>
      <c r="I53" s="18" t="n">
        <v>6</v>
      </c>
      <c r="J53" s="18" t="n">
        <v>7</v>
      </c>
      <c r="K53" s="18" t="n">
        <v>8</v>
      </c>
      <c r="L53" s="18" t="n">
        <v>9</v>
      </c>
      <c r="M53" s="18" t="n">
        <v>10</v>
      </c>
      <c r="N53" s="18" t="n">
        <v>11</v>
      </c>
      <c r="O53" s="18" t="n">
        <v>12</v>
      </c>
      <c r="P53" s="18" t="n">
        <v>13</v>
      </c>
      <c r="Q53" s="18" t="n">
        <v>14</v>
      </c>
      <c r="R53" s="18" t="n">
        <v>15</v>
      </c>
      <c r="S53" s="18" t="n">
        <v>16</v>
      </c>
      <c r="T53" s="19" t="n">
        <v>17</v>
      </c>
      <c r="U53" s="18" t="n">
        <v>18</v>
      </c>
      <c r="V53" s="18" t="n">
        <v>19</v>
      </c>
      <c r="W53" s="18" t="n">
        <v>20</v>
      </c>
    </row>
    <row r="54" ht="18.75" customHeight="1">
      <c r="B54" s="20" t="inlineStr">
        <is>
          <t>發電度數(KWH)</t>
        </is>
      </c>
      <c r="C54" s="21" t="n">
        <v>0</v>
      </c>
      <c r="D54" s="22">
        <f>D9</f>
        <v/>
      </c>
      <c r="E54" s="22">
        <f>E9</f>
        <v/>
      </c>
      <c r="F54" s="22">
        <f>F9</f>
        <v/>
      </c>
      <c r="G54" s="22">
        <f>G9</f>
        <v/>
      </c>
      <c r="H54" s="22">
        <f>H9</f>
        <v/>
      </c>
      <c r="I54" s="22">
        <f>I9</f>
        <v/>
      </c>
      <c r="J54" s="22">
        <f>J9</f>
        <v/>
      </c>
      <c r="K54" s="22">
        <f>K9</f>
        <v/>
      </c>
      <c r="L54" s="22">
        <f>L9</f>
        <v/>
      </c>
      <c r="M54" s="22">
        <f>M9</f>
        <v/>
      </c>
      <c r="N54" s="22">
        <f>N9</f>
        <v/>
      </c>
      <c r="O54" s="22">
        <f>O9</f>
        <v/>
      </c>
      <c r="P54" s="22">
        <f>P9</f>
        <v/>
      </c>
      <c r="Q54" s="22">
        <f>Q9</f>
        <v/>
      </c>
      <c r="R54" s="22">
        <f>R9</f>
        <v/>
      </c>
      <c r="S54" s="22">
        <f>S9</f>
        <v/>
      </c>
      <c r="T54" s="22">
        <f>T9</f>
        <v/>
      </c>
      <c r="U54" s="22">
        <f>U9</f>
        <v/>
      </c>
      <c r="V54" s="22">
        <f>V9</f>
        <v/>
      </c>
      <c r="W54" s="22">
        <f>W9</f>
        <v/>
      </c>
    </row>
    <row r="55" ht="18.75" customHeight="1">
      <c r="B55" s="23" t="inlineStr">
        <is>
          <t>Inflow : 電費收入</t>
        </is>
      </c>
      <c r="C55" s="24" t="inlineStr">
        <is>
          <t>-</t>
        </is>
      </c>
      <c r="D55" s="25">
        <f>D14</f>
        <v/>
      </c>
      <c r="E55" s="25">
        <f>E14</f>
        <v/>
      </c>
      <c r="F55" s="25">
        <f>F14</f>
        <v/>
      </c>
      <c r="G55" s="25">
        <f>G14</f>
        <v/>
      </c>
      <c r="H55" s="25">
        <f>H14</f>
        <v/>
      </c>
      <c r="I55" s="25">
        <f>I14</f>
        <v/>
      </c>
      <c r="J55" s="25">
        <f>J14</f>
        <v/>
      </c>
      <c r="K55" s="25">
        <f>K14</f>
        <v/>
      </c>
      <c r="L55" s="25">
        <f>L14</f>
        <v/>
      </c>
      <c r="M55" s="25">
        <f>M14</f>
        <v/>
      </c>
      <c r="N55" s="25">
        <f>N14</f>
        <v/>
      </c>
      <c r="O55" s="25">
        <f>O14</f>
        <v/>
      </c>
      <c r="P55" s="25">
        <f>P14</f>
        <v/>
      </c>
      <c r="Q55" s="25">
        <f>Q14</f>
        <v/>
      </c>
      <c r="R55" s="25">
        <f>R14</f>
        <v/>
      </c>
      <c r="S55" s="25">
        <f>S14</f>
        <v/>
      </c>
      <c r="T55" s="25">
        <f>T14</f>
        <v/>
      </c>
      <c r="U55" s="25">
        <f>U14</f>
        <v/>
      </c>
      <c r="V55" s="25">
        <f>V14</f>
        <v/>
      </c>
      <c r="W55" s="25">
        <f>W14</f>
        <v/>
      </c>
    </row>
    <row r="56" ht="18.75" customHeight="1">
      <c r="B56" s="26" t="inlineStr">
        <is>
          <t>Inflow : 政府補助</t>
        </is>
      </c>
      <c r="C56" s="27" t="inlineStr">
        <is>
          <t>-</t>
        </is>
      </c>
      <c r="D56" s="28" t="n"/>
      <c r="E56" s="28" t="n"/>
      <c r="F56" s="28" t="n"/>
      <c r="G56" s="28" t="inlineStr">
        <is>
          <t>-</t>
        </is>
      </c>
      <c r="H56" s="28" t="inlineStr">
        <is>
          <t>-</t>
        </is>
      </c>
      <c r="I56" s="28" t="inlineStr">
        <is>
          <t>-</t>
        </is>
      </c>
      <c r="J56" s="28" t="inlineStr">
        <is>
          <t>-</t>
        </is>
      </c>
      <c r="K56" s="28" t="inlineStr">
        <is>
          <t>-</t>
        </is>
      </c>
      <c r="L56" s="28" t="inlineStr">
        <is>
          <t>-</t>
        </is>
      </c>
      <c r="M56" s="28" t="inlineStr">
        <is>
          <t>-</t>
        </is>
      </c>
      <c r="N56" s="28" t="inlineStr">
        <is>
          <t>-</t>
        </is>
      </c>
      <c r="O56" s="28" t="inlineStr">
        <is>
          <t>-</t>
        </is>
      </c>
      <c r="P56" s="28" t="inlineStr">
        <is>
          <t>-</t>
        </is>
      </c>
      <c r="Q56" s="28" t="inlineStr">
        <is>
          <t>-</t>
        </is>
      </c>
      <c r="R56" s="28" t="inlineStr">
        <is>
          <t>-</t>
        </is>
      </c>
      <c r="S56" s="28" t="inlineStr">
        <is>
          <t>-</t>
        </is>
      </c>
      <c r="T56" s="28" t="inlineStr">
        <is>
          <t>-</t>
        </is>
      </c>
      <c r="U56" s="28" t="inlineStr">
        <is>
          <t>-</t>
        </is>
      </c>
      <c r="V56" s="28" t="inlineStr">
        <is>
          <t>-</t>
        </is>
      </c>
      <c r="W56" s="28" t="inlineStr">
        <is>
          <t>-</t>
        </is>
      </c>
    </row>
    <row r="57" ht="18.75" customHeight="1">
      <c r="B57" s="29" t="inlineStr">
        <is>
          <t>Inflow : 銀行借款</t>
        </is>
      </c>
      <c r="C57" s="30">
        <f>SUM(D44:W44)</f>
        <v/>
      </c>
      <c r="D57" s="31" t="n">
        <v>0</v>
      </c>
      <c r="E57" s="31" t="n">
        <v>0</v>
      </c>
      <c r="F57" s="31" t="n">
        <v>0</v>
      </c>
      <c r="G57" s="31" t="n">
        <v>0</v>
      </c>
      <c r="H57" s="31" t="n">
        <v>0</v>
      </c>
      <c r="I57" s="31" t="n">
        <v>0</v>
      </c>
      <c r="J57" s="31" t="n">
        <v>0</v>
      </c>
      <c r="K57" s="31" t="n">
        <v>0</v>
      </c>
      <c r="L57" s="31" t="n">
        <v>0</v>
      </c>
      <c r="M57" s="31" t="n">
        <v>0</v>
      </c>
      <c r="N57" s="31" t="n">
        <v>0</v>
      </c>
      <c r="O57" s="31" t="n">
        <v>0</v>
      </c>
      <c r="P57" s="31" t="n">
        <v>0</v>
      </c>
      <c r="Q57" s="31" t="n">
        <v>0</v>
      </c>
      <c r="R57" s="31" t="n">
        <v>0</v>
      </c>
      <c r="S57" s="31" t="n">
        <v>0</v>
      </c>
      <c r="T57" s="31" t="n">
        <v>0</v>
      </c>
      <c r="U57" s="31" t="n">
        <v>0</v>
      </c>
      <c r="V57" s="31" t="n">
        <v>0</v>
      </c>
      <c r="W57" s="31" t="n">
        <v>0</v>
      </c>
    </row>
    <row r="58" ht="18.75" customHeight="1">
      <c r="B58" s="32" t="inlineStr">
        <is>
          <t>Outflow : 設備費用</t>
        </is>
      </c>
      <c r="C58" s="27">
        <f>-(D16/(1-D17)+D18)*C4</f>
        <v/>
      </c>
      <c r="D58" s="33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</row>
    <row r="59" ht="18.75" customHeight="1">
      <c r="B59" s="32" t="inlineStr">
        <is>
          <t>Outflow : 設備放置區域租金</t>
        </is>
      </c>
      <c r="C59" s="27" t="inlineStr">
        <is>
          <t>-</t>
        </is>
      </c>
      <c r="D59" s="28">
        <f>D19</f>
        <v/>
      </c>
      <c r="E59" s="28">
        <f>E19</f>
        <v/>
      </c>
      <c r="F59" s="28">
        <f>F19</f>
        <v/>
      </c>
      <c r="G59" s="28">
        <f>G19</f>
        <v/>
      </c>
      <c r="H59" s="28">
        <f>H19</f>
        <v/>
      </c>
      <c r="I59" s="28">
        <f>I19</f>
        <v/>
      </c>
      <c r="J59" s="28">
        <f>J19</f>
        <v/>
      </c>
      <c r="K59" s="28">
        <f>K19</f>
        <v/>
      </c>
      <c r="L59" s="28">
        <f>L19</f>
        <v/>
      </c>
      <c r="M59" s="28">
        <f>M19</f>
        <v/>
      </c>
      <c r="N59" s="28">
        <f>N19</f>
        <v/>
      </c>
      <c r="O59" s="28">
        <f>O19</f>
        <v/>
      </c>
      <c r="P59" s="28">
        <f>P19</f>
        <v/>
      </c>
      <c r="Q59" s="28">
        <f>Q19</f>
        <v/>
      </c>
      <c r="R59" s="28">
        <f>R19</f>
        <v/>
      </c>
      <c r="S59" s="28">
        <f>S19</f>
        <v/>
      </c>
      <c r="T59" s="28">
        <f>T19</f>
        <v/>
      </c>
      <c r="U59" s="28">
        <f>U19</f>
        <v/>
      </c>
      <c r="V59" s="28">
        <f>V19</f>
        <v/>
      </c>
      <c r="W59" s="28">
        <f>W19</f>
        <v/>
      </c>
    </row>
    <row r="60" ht="18.75" customHeight="1">
      <c r="B60" s="32" t="inlineStr">
        <is>
          <t>Outflow : 返還借款</t>
        </is>
      </c>
      <c r="C60" s="27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</row>
    <row r="61" ht="18.75" customHeight="1">
      <c r="B61" s="32" t="inlineStr">
        <is>
          <t>Outflow : 利息費用</t>
        </is>
      </c>
      <c r="C61" s="27" t="inlineStr">
        <is>
          <t>-</t>
        </is>
      </c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</row>
    <row r="62" ht="18.75" customHeight="1">
      <c r="B62" s="32" t="inlineStr">
        <is>
          <t>Outflow : 維運費</t>
        </is>
      </c>
      <c r="C62" s="27" t="inlineStr">
        <is>
          <t>-</t>
        </is>
      </c>
      <c r="D62" s="28">
        <f>D24</f>
        <v/>
      </c>
      <c r="E62" s="28">
        <f>E24</f>
        <v/>
      </c>
      <c r="F62" s="28">
        <f>F24</f>
        <v/>
      </c>
      <c r="G62" s="28">
        <f>G24</f>
        <v/>
      </c>
      <c r="H62" s="28">
        <f>H24</f>
        <v/>
      </c>
      <c r="I62" s="28">
        <f>I24</f>
        <v/>
      </c>
      <c r="J62" s="28">
        <f>J24</f>
        <v/>
      </c>
      <c r="K62" s="28">
        <f>K24</f>
        <v/>
      </c>
      <c r="L62" s="28">
        <f>L24</f>
        <v/>
      </c>
      <c r="M62" s="28">
        <f>M24</f>
        <v/>
      </c>
      <c r="N62" s="28">
        <f>N24</f>
        <v/>
      </c>
      <c r="O62" s="28">
        <f>O24</f>
        <v/>
      </c>
      <c r="P62" s="28">
        <f>P24</f>
        <v/>
      </c>
      <c r="Q62" s="28">
        <f>Q24</f>
        <v/>
      </c>
      <c r="R62" s="28">
        <f>R24</f>
        <v/>
      </c>
      <c r="S62" s="28">
        <f>S24</f>
        <v/>
      </c>
      <c r="T62" s="28">
        <f>T24</f>
        <v/>
      </c>
      <c r="U62" s="28">
        <f>U24</f>
        <v/>
      </c>
      <c r="V62" s="28">
        <f>V24</f>
        <v/>
      </c>
      <c r="W62" s="28">
        <f>W24</f>
        <v/>
      </c>
    </row>
    <row r="63" ht="18.75" customHeight="1">
      <c r="B63" s="32" t="inlineStr">
        <is>
          <t>Outflow : 保險費</t>
        </is>
      </c>
      <c r="C63" s="27" t="inlineStr">
        <is>
          <t>-</t>
        </is>
      </c>
      <c r="D63" s="28">
        <f>D29</f>
        <v/>
      </c>
      <c r="E63" s="28">
        <f>E29</f>
        <v/>
      </c>
      <c r="F63" s="28">
        <f>F29</f>
        <v/>
      </c>
      <c r="G63" s="28">
        <f>G29</f>
        <v/>
      </c>
      <c r="H63" s="28">
        <f>H29</f>
        <v/>
      </c>
      <c r="I63" s="28">
        <f>I29</f>
        <v/>
      </c>
      <c r="J63" s="28">
        <f>J29</f>
        <v/>
      </c>
      <c r="K63" s="28">
        <f>K29</f>
        <v/>
      </c>
      <c r="L63" s="28">
        <f>L29</f>
        <v/>
      </c>
      <c r="M63" s="28">
        <f>M29</f>
        <v/>
      </c>
      <c r="N63" s="28">
        <f>N29</f>
        <v/>
      </c>
      <c r="O63" s="28">
        <f>O29</f>
        <v/>
      </c>
      <c r="P63" s="28">
        <f>P29</f>
        <v/>
      </c>
      <c r="Q63" s="28">
        <f>Q29</f>
        <v/>
      </c>
      <c r="R63" s="28">
        <f>R29</f>
        <v/>
      </c>
      <c r="S63" s="28">
        <f>S29</f>
        <v/>
      </c>
      <c r="T63" s="28">
        <f>T29</f>
        <v/>
      </c>
      <c r="U63" s="28">
        <f>U29</f>
        <v/>
      </c>
      <c r="V63" s="28">
        <f>V29</f>
        <v/>
      </c>
      <c r="W63" s="28">
        <f>W29</f>
        <v/>
      </c>
    </row>
    <row r="64" ht="18.75" customHeight="1">
      <c r="B64" s="32" t="inlineStr">
        <is>
          <t>Outflow : 模組回收費</t>
        </is>
      </c>
      <c r="C64" s="27" t="n"/>
      <c r="D64" s="28">
        <f>D34</f>
        <v/>
      </c>
      <c r="E64" s="28">
        <f>E34</f>
        <v/>
      </c>
      <c r="F64" s="28">
        <f>F34</f>
        <v/>
      </c>
      <c r="G64" s="28">
        <f>G34</f>
        <v/>
      </c>
      <c r="H64" s="28">
        <f>H34</f>
        <v/>
      </c>
      <c r="I64" s="28">
        <f>I34</f>
        <v/>
      </c>
      <c r="J64" s="28">
        <f>J34</f>
        <v/>
      </c>
      <c r="K64" s="28">
        <f>K34</f>
        <v/>
      </c>
      <c r="L64" s="28">
        <f>L34</f>
        <v/>
      </c>
      <c r="M64" s="28">
        <f>M34</f>
        <v/>
      </c>
      <c r="N64" s="28">
        <f>N34</f>
        <v/>
      </c>
      <c r="O64" s="28">
        <f>O34</f>
        <v/>
      </c>
      <c r="P64" s="28">
        <f>P34</f>
        <v/>
      </c>
      <c r="Q64" s="28">
        <f>Q34</f>
        <v/>
      </c>
      <c r="R64" s="28">
        <f>R34</f>
        <v/>
      </c>
      <c r="S64" s="28">
        <f>S34</f>
        <v/>
      </c>
      <c r="T64" s="28">
        <f>T34</f>
        <v/>
      </c>
      <c r="U64" s="28">
        <f>U34</f>
        <v/>
      </c>
      <c r="V64" s="28">
        <f>V34</f>
        <v/>
      </c>
      <c r="W64" s="28">
        <f>W34</f>
        <v/>
      </c>
    </row>
    <row r="65" ht="18.75" customHeight="1">
      <c r="B65" s="32" t="inlineStr">
        <is>
          <t>Outflow : 其它費用(人事薪資…等)</t>
        </is>
      </c>
      <c r="C65" s="34" t="n"/>
      <c r="D65" s="35" t="n"/>
      <c r="E65" s="36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</row>
    <row r="66" ht="18.75" customHeight="1">
      <c r="B66" s="32" t="inlineStr">
        <is>
          <t>1%管理費</t>
        </is>
      </c>
      <c r="C66" s="34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</row>
    <row r="67" ht="18.75" customHeight="1">
      <c r="B67" s="37" t="inlineStr">
        <is>
          <t>績效獎金</t>
        </is>
      </c>
      <c r="C67" s="34" t="n"/>
      <c r="D67" s="38" t="n"/>
      <c r="E67" s="3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</row>
    <row r="68" ht="18.75" customHeight="1">
      <c r="B68" s="37" t="inlineStr">
        <is>
          <t>所得稅20%</t>
        </is>
      </c>
      <c r="C68" s="34" t="n"/>
      <c r="D68" s="28">
        <f>D91</f>
        <v/>
      </c>
      <c r="E68" s="28">
        <f>E91</f>
        <v/>
      </c>
      <c r="F68" s="28">
        <f>F91</f>
        <v/>
      </c>
      <c r="G68" s="28">
        <f>G91</f>
        <v/>
      </c>
      <c r="H68" s="28">
        <f>H91</f>
        <v/>
      </c>
      <c r="I68" s="28">
        <f>I91</f>
        <v/>
      </c>
      <c r="J68" s="28">
        <f>J91</f>
        <v/>
      </c>
      <c r="K68" s="28">
        <f>K91</f>
        <v/>
      </c>
      <c r="L68" s="28">
        <f>L91</f>
        <v/>
      </c>
      <c r="M68" s="28">
        <f>M91</f>
        <v/>
      </c>
      <c r="N68" s="28">
        <f>N91</f>
        <v/>
      </c>
      <c r="O68" s="28">
        <f>O91</f>
        <v/>
      </c>
      <c r="P68" s="28">
        <f>P91</f>
        <v/>
      </c>
      <c r="Q68" s="28">
        <f>Q91</f>
        <v/>
      </c>
      <c r="R68" s="28">
        <f>R91</f>
        <v/>
      </c>
      <c r="S68" s="28">
        <f>S91</f>
        <v/>
      </c>
      <c r="T68" s="28">
        <f>T91</f>
        <v/>
      </c>
      <c r="U68" s="28">
        <f>U91</f>
        <v/>
      </c>
      <c r="V68" s="28">
        <f>V91</f>
        <v/>
      </c>
      <c r="W68" s="28">
        <f>W91</f>
        <v/>
      </c>
    </row>
    <row r="69" ht="18.75" customHeight="1">
      <c r="B69" s="39" t="inlineStr">
        <is>
          <t>現金流</t>
        </is>
      </c>
      <c r="C69" s="40">
        <f>C44</f>
        <v/>
      </c>
      <c r="D69" s="41">
        <f>SUM(D55:D68)</f>
        <v/>
      </c>
      <c r="E69" s="41">
        <f>SUM(E55:E68)</f>
        <v/>
      </c>
      <c r="F69" s="41">
        <f>SUM(F55:F68)</f>
        <v/>
      </c>
      <c r="G69" s="41">
        <f>SUM(G55:G68)</f>
        <v/>
      </c>
      <c r="H69" s="41">
        <f>SUM(H55:H68)</f>
        <v/>
      </c>
      <c r="I69" s="41">
        <f>SUM(I55:I68)</f>
        <v/>
      </c>
      <c r="J69" s="41">
        <f>SUM(J55:J68)</f>
        <v/>
      </c>
      <c r="K69" s="41">
        <f>SUM(K55:K68)</f>
        <v/>
      </c>
      <c r="L69" s="41">
        <f>SUM(L55:L68)</f>
        <v/>
      </c>
      <c r="M69" s="41">
        <f>SUM(M55:M68)</f>
        <v/>
      </c>
      <c r="N69" s="41">
        <f>SUM(N55:N68)</f>
        <v/>
      </c>
      <c r="O69" s="41">
        <f>SUM(O55:O68)</f>
        <v/>
      </c>
      <c r="P69" s="41">
        <f>SUM(P55:P68)</f>
        <v/>
      </c>
      <c r="Q69" s="41">
        <f>SUM(Q55:Q68)</f>
        <v/>
      </c>
      <c r="R69" s="41">
        <f>SUM(R55:R68)</f>
        <v/>
      </c>
      <c r="S69" s="41">
        <f>SUM(S55:S68)</f>
        <v/>
      </c>
      <c r="T69" s="41">
        <f>SUM(T55:T68)</f>
        <v/>
      </c>
      <c r="U69" s="41">
        <f>SUM(U55:U68)</f>
        <v/>
      </c>
      <c r="V69" s="41">
        <f>SUM(V55:V68)</f>
        <v/>
      </c>
      <c r="W69" s="41">
        <f>SUM(W55:W68)</f>
        <v/>
      </c>
    </row>
    <row r="70" ht="18.75" customHeight="1">
      <c r="B70" s="42" t="inlineStr">
        <is>
          <t>累計現金流</t>
        </is>
      </c>
      <c r="D70" s="43">
        <f>C55+D55</f>
        <v/>
      </c>
      <c r="E70" s="43">
        <f>D56+E55</f>
        <v/>
      </c>
      <c r="F70" s="43">
        <f>E56+F55</f>
        <v/>
      </c>
      <c r="G70" s="43">
        <f>F56+G55</f>
        <v/>
      </c>
      <c r="H70" s="43">
        <f>G56+H55</f>
        <v/>
      </c>
      <c r="I70" s="43">
        <f>H56+I55</f>
        <v/>
      </c>
      <c r="J70" s="43">
        <f>I56+J55</f>
        <v/>
      </c>
      <c r="K70" s="43">
        <f>J56+K55</f>
        <v/>
      </c>
      <c r="L70" s="43">
        <f>K56+L55</f>
        <v/>
      </c>
      <c r="M70" s="43">
        <f>L56+M55</f>
        <v/>
      </c>
      <c r="N70" s="43">
        <f>M56+N55</f>
        <v/>
      </c>
      <c r="O70" s="43">
        <f>N56+O55</f>
        <v/>
      </c>
      <c r="P70" s="43">
        <f>O56+P55</f>
        <v/>
      </c>
      <c r="Q70" s="43">
        <f>P56+Q55</f>
        <v/>
      </c>
      <c r="R70" s="43">
        <f>Q56+R55</f>
        <v/>
      </c>
      <c r="S70" s="43">
        <f>R56+S55</f>
        <v/>
      </c>
      <c r="T70" s="43">
        <f>S56+T55</f>
        <v/>
      </c>
      <c r="U70" s="43">
        <f>T56+U55</f>
        <v/>
      </c>
      <c r="V70" s="43">
        <f>U56+V55</f>
        <v/>
      </c>
      <c r="W70" s="43">
        <f>V56+W55</f>
        <v/>
      </c>
    </row>
    <row r="71" ht="18.75" customHeight="1">
      <c r="B71" s="44" t="inlineStr">
        <is>
          <t>回收年限評估</t>
        </is>
      </c>
      <c r="C71" s="45" t="n"/>
      <c r="D71" s="46">
        <f>IF((D56)&gt;0,"回收","未回收")</f>
        <v/>
      </c>
      <c r="E71" s="46">
        <f>IF((E56)&gt;0,"回收","未回收")</f>
        <v/>
      </c>
      <c r="F71" s="46">
        <f>IF((F56)&gt;0,"回收","未回收")</f>
        <v/>
      </c>
      <c r="G71" s="46">
        <f>IF((G56)&gt;0,"回收","未回收")</f>
        <v/>
      </c>
      <c r="H71" s="46">
        <f>IF((H56)&gt;0,"回收","未回收")</f>
        <v/>
      </c>
      <c r="I71" s="46">
        <f>IF((I56)&gt;0,"回收","未回收")</f>
        <v/>
      </c>
      <c r="J71" s="46">
        <f>IF((J56)&gt;0,"回收","未回收")</f>
        <v/>
      </c>
      <c r="K71" s="46">
        <f>IF((K56)&gt;0,"回收","未回收")</f>
        <v/>
      </c>
      <c r="L71" s="46">
        <f>IF((L56)&gt;0,"回收","未回收")</f>
        <v/>
      </c>
      <c r="M71" s="46">
        <f>IF((M56)&gt;0,"回收","未回收")</f>
        <v/>
      </c>
      <c r="N71" s="46">
        <f>IF((N56)&gt;0,"回收","未回收")</f>
        <v/>
      </c>
      <c r="O71" s="46">
        <f>IF((O56)&gt;0,"回收","未回收")</f>
        <v/>
      </c>
      <c r="P71" s="46">
        <f>IF((P56)&gt;0,"回收","未回收")</f>
        <v/>
      </c>
      <c r="Q71" s="46">
        <f>IF((Q56)&gt;0,"回收","未回收")</f>
        <v/>
      </c>
      <c r="R71" s="46">
        <f>IF((R56)&gt;0,"回收","未回收")</f>
        <v/>
      </c>
      <c r="S71" s="46">
        <f>IF((S56)&gt;0,"回收","未回收")</f>
        <v/>
      </c>
      <c r="T71" s="46">
        <f>IF((T56)&gt;0,"回收","未回收")</f>
        <v/>
      </c>
      <c r="U71" s="46">
        <f>IF((U56)&gt;0,"回收","未回收")</f>
        <v/>
      </c>
      <c r="V71" s="46">
        <f>IF((V56)&gt;0,"回收","未回收")</f>
        <v/>
      </c>
      <c r="W71" s="46">
        <f>IF((W56)&gt;0,"回收","未回收")</f>
        <v/>
      </c>
    </row>
    <row r="72" ht="18.75" customHeight="1">
      <c r="B72" s="47" t="inlineStr">
        <is>
          <t>專案法IRR</t>
        </is>
      </c>
      <c r="C72" s="48">
        <f>IRR(C55:W55)</f>
        <v/>
      </c>
      <c r="D72" s="49" t="n"/>
      <c r="E72" s="49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</row>
    <row r="73" ht="18.75" customHeight="1">
      <c r="B73" s="50" t="n"/>
      <c r="C73" s="49" t="n"/>
      <c r="D73" s="49" t="n"/>
      <c r="E73" s="49" t="n"/>
      <c r="F73" s="50" t="n"/>
      <c r="G73" s="50" t="n"/>
      <c r="H73" s="50" t="n"/>
      <c r="I73" s="50" t="n"/>
      <c r="J73" s="50" t="n"/>
      <c r="K73" s="50" t="n"/>
      <c r="L73" s="50" t="n"/>
      <c r="M73" s="49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</row>
    <row r="74" ht="18.75" customHeight="1">
      <c r="B74" s="8" t="n"/>
      <c r="C74" s="9" t="inlineStr">
        <is>
          <t>年份</t>
        </is>
      </c>
      <c r="D74" s="9" t="n">
        <v>2023</v>
      </c>
      <c r="E74" s="9" t="n">
        <v>2024</v>
      </c>
      <c r="F74" s="9" t="n">
        <v>2025</v>
      </c>
      <c r="G74" s="9" t="n">
        <v>2026</v>
      </c>
      <c r="H74" s="9" t="n">
        <v>2027</v>
      </c>
      <c r="I74" s="9" t="n">
        <v>2028</v>
      </c>
      <c r="J74" s="9" t="n">
        <v>2029</v>
      </c>
      <c r="K74" s="9" t="n">
        <v>2030</v>
      </c>
      <c r="L74" s="9" t="n">
        <v>2031</v>
      </c>
      <c r="M74" s="9" t="n">
        <v>2032</v>
      </c>
      <c r="N74" s="9" t="n">
        <v>2033</v>
      </c>
      <c r="O74" s="9" t="n">
        <v>2034</v>
      </c>
      <c r="P74" s="9" t="n">
        <v>2035</v>
      </c>
      <c r="Q74" s="9" t="n">
        <v>2036</v>
      </c>
      <c r="R74" s="9" t="n">
        <v>2037</v>
      </c>
      <c r="S74" s="9" t="n">
        <v>2038</v>
      </c>
      <c r="T74" s="9" t="n">
        <v>2039</v>
      </c>
      <c r="U74" s="9" t="n">
        <v>2040</v>
      </c>
      <c r="V74" s="9" t="n">
        <v>2041</v>
      </c>
      <c r="W74" s="9" t="n">
        <v>2042</v>
      </c>
    </row>
    <row r="75" ht="18.75" customHeight="1">
      <c r="B75" s="10" t="n">
        <v>0</v>
      </c>
      <c r="C75" s="11" t="n"/>
      <c r="D75" s="12" t="n"/>
      <c r="E75" s="12" t="n"/>
      <c r="F75" s="13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51" t="inlineStr">
        <is>
          <t>償還年限</t>
        </is>
      </c>
      <c r="U75" s="14" t="n"/>
      <c r="V75" s="14" t="n"/>
      <c r="W75" s="14" t="n"/>
    </row>
    <row r="76" ht="18.75" customHeight="1">
      <c r="B76" s="16" t="inlineStr">
        <is>
          <t>(Unit : Currency)</t>
        </is>
      </c>
      <c r="C76" s="17" t="n">
        <v>0</v>
      </c>
      <c r="D76" s="18" t="n">
        <v>1</v>
      </c>
      <c r="E76" s="18" t="n">
        <v>2</v>
      </c>
      <c r="F76" s="18" t="n">
        <v>3</v>
      </c>
      <c r="G76" s="18" t="n">
        <v>4</v>
      </c>
      <c r="H76" s="18" t="n">
        <v>5</v>
      </c>
      <c r="I76" s="18" t="n">
        <v>6</v>
      </c>
      <c r="J76" s="18" t="n">
        <v>7</v>
      </c>
      <c r="K76" s="18" t="n">
        <v>8</v>
      </c>
      <c r="L76" s="18" t="n">
        <v>9</v>
      </c>
      <c r="M76" s="18" t="n">
        <v>10</v>
      </c>
      <c r="N76" s="18" t="n">
        <v>11</v>
      </c>
      <c r="O76" s="18" t="n">
        <v>12</v>
      </c>
      <c r="P76" s="18" t="n">
        <v>13</v>
      </c>
      <c r="Q76" s="18" t="n">
        <v>14</v>
      </c>
      <c r="R76" s="18" t="n">
        <v>15</v>
      </c>
      <c r="S76" s="18" t="n">
        <v>16</v>
      </c>
      <c r="T76" s="52" t="n">
        <v>17</v>
      </c>
      <c r="U76" s="18" t="n">
        <v>18</v>
      </c>
      <c r="V76" s="18" t="n">
        <v>19</v>
      </c>
      <c r="W76" s="18" t="n">
        <v>20</v>
      </c>
    </row>
    <row r="77" ht="18.75" customHeight="1">
      <c r="B77" s="20" t="inlineStr">
        <is>
          <t>發電度數(KWH)</t>
        </is>
      </c>
      <c r="C77" s="21" t="n">
        <v>0</v>
      </c>
      <c r="D77" s="22">
        <f>D9</f>
        <v/>
      </c>
      <c r="E77" s="22">
        <f>E9</f>
        <v/>
      </c>
      <c r="F77" s="22">
        <f>F9</f>
        <v/>
      </c>
      <c r="G77" s="22">
        <f>G9</f>
        <v/>
      </c>
      <c r="H77" s="22">
        <f>H9</f>
        <v/>
      </c>
      <c r="I77" s="22">
        <f>I9</f>
        <v/>
      </c>
      <c r="J77" s="22">
        <f>J9</f>
        <v/>
      </c>
      <c r="K77" s="22">
        <f>K9</f>
        <v/>
      </c>
      <c r="L77" s="22">
        <f>L9</f>
        <v/>
      </c>
      <c r="M77" s="22">
        <f>M9</f>
        <v/>
      </c>
      <c r="N77" s="22">
        <f>N9</f>
        <v/>
      </c>
      <c r="O77" s="22">
        <f>O9</f>
        <v/>
      </c>
      <c r="P77" s="22">
        <f>P9</f>
        <v/>
      </c>
      <c r="Q77" s="22">
        <f>Q9</f>
        <v/>
      </c>
      <c r="R77" s="22">
        <f>R9</f>
        <v/>
      </c>
      <c r="S77" s="22">
        <f>S9</f>
        <v/>
      </c>
      <c r="T77" s="22">
        <f>T9</f>
        <v/>
      </c>
      <c r="U77" s="22">
        <f>U9</f>
        <v/>
      </c>
      <c r="V77" s="22">
        <f>V9</f>
        <v/>
      </c>
      <c r="W77" s="22">
        <f>W9</f>
        <v/>
      </c>
    </row>
    <row r="78" ht="18.75" customHeight="1">
      <c r="B78" s="23" t="inlineStr">
        <is>
          <t>Inflow : 電費收入</t>
        </is>
      </c>
      <c r="C78" s="24" t="inlineStr">
        <is>
          <t>-</t>
        </is>
      </c>
      <c r="D78" s="25">
        <f>D14</f>
        <v/>
      </c>
      <c r="E78" s="25">
        <f>E14</f>
        <v/>
      </c>
      <c r="F78" s="25">
        <f>F14</f>
        <v/>
      </c>
      <c r="G78" s="25">
        <f>G14</f>
        <v/>
      </c>
      <c r="H78" s="25">
        <f>H14</f>
        <v/>
      </c>
      <c r="I78" s="25">
        <f>I14</f>
        <v/>
      </c>
      <c r="J78" s="25">
        <f>J14</f>
        <v/>
      </c>
      <c r="K78" s="25">
        <f>K14</f>
        <v/>
      </c>
      <c r="L78" s="25">
        <f>L14</f>
        <v/>
      </c>
      <c r="M78" s="25">
        <f>M14</f>
        <v/>
      </c>
      <c r="N78" s="25">
        <f>N14</f>
        <v/>
      </c>
      <c r="O78" s="25">
        <f>O14</f>
        <v/>
      </c>
      <c r="P78" s="25">
        <f>P14</f>
        <v/>
      </c>
      <c r="Q78" s="25">
        <f>Q14</f>
        <v/>
      </c>
      <c r="R78" s="25">
        <f>R14</f>
        <v/>
      </c>
      <c r="S78" s="25">
        <f>S14</f>
        <v/>
      </c>
      <c r="T78" s="25">
        <f>T14</f>
        <v/>
      </c>
      <c r="U78" s="25">
        <f>U14</f>
        <v/>
      </c>
      <c r="V78" s="25">
        <f>V14</f>
        <v/>
      </c>
      <c r="W78" s="25">
        <f>W14</f>
        <v/>
      </c>
    </row>
    <row r="79" ht="18.75" customHeight="1">
      <c r="B79" s="26" t="inlineStr">
        <is>
          <t>Inflow : 政府補助</t>
        </is>
      </c>
      <c r="C79" s="27" t="inlineStr">
        <is>
          <t>-</t>
        </is>
      </c>
      <c r="D79" s="28" t="n"/>
      <c r="E79" s="28" t="n"/>
      <c r="F79" s="28" t="n"/>
      <c r="G79" s="28" t="inlineStr">
        <is>
          <t>-</t>
        </is>
      </c>
      <c r="H79" s="28" t="inlineStr">
        <is>
          <t>-</t>
        </is>
      </c>
      <c r="I79" s="28" t="inlineStr">
        <is>
          <t>-</t>
        </is>
      </c>
      <c r="J79" s="28" t="inlineStr">
        <is>
          <t>-</t>
        </is>
      </c>
      <c r="K79" s="28" t="inlineStr">
        <is>
          <t>-</t>
        </is>
      </c>
      <c r="L79" s="28" t="inlineStr">
        <is>
          <t>-</t>
        </is>
      </c>
      <c r="M79" s="28" t="inlineStr">
        <is>
          <t>-</t>
        </is>
      </c>
      <c r="N79" s="28" t="inlineStr">
        <is>
          <t>-</t>
        </is>
      </c>
      <c r="O79" s="28" t="inlineStr">
        <is>
          <t>-</t>
        </is>
      </c>
      <c r="P79" s="28" t="inlineStr">
        <is>
          <t>-</t>
        </is>
      </c>
      <c r="Q79" s="28" t="inlineStr">
        <is>
          <t>-</t>
        </is>
      </c>
      <c r="R79" s="28" t="inlineStr">
        <is>
          <t>-</t>
        </is>
      </c>
      <c r="S79" s="28" t="inlineStr">
        <is>
          <t>-</t>
        </is>
      </c>
      <c r="T79" s="28" t="inlineStr">
        <is>
          <t>-</t>
        </is>
      </c>
      <c r="U79" s="28" t="inlineStr">
        <is>
          <t>-</t>
        </is>
      </c>
      <c r="V79" s="28" t="inlineStr">
        <is>
          <t>-</t>
        </is>
      </c>
      <c r="W79" s="28" t="inlineStr">
        <is>
          <t>-</t>
        </is>
      </c>
    </row>
    <row r="80" ht="18.75" customHeight="1">
      <c r="B80" s="29" t="inlineStr">
        <is>
          <t>Inflow : 銀行借款</t>
        </is>
      </c>
      <c r="C80" s="30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</row>
    <row r="81" ht="18.75" customHeight="1">
      <c r="B81" s="32" t="inlineStr">
        <is>
          <t>Outflow : 設備折舊</t>
        </is>
      </c>
      <c r="C81" s="27" t="n"/>
      <c r="D81" s="33">
        <f>D44</f>
        <v/>
      </c>
      <c r="E81" s="33">
        <f>E44</f>
        <v/>
      </c>
      <c r="F81" s="33">
        <f>F44</f>
        <v/>
      </c>
      <c r="G81" s="33">
        <f>G44</f>
        <v/>
      </c>
      <c r="H81" s="33">
        <f>H44</f>
        <v/>
      </c>
      <c r="I81" s="33">
        <f>I44</f>
        <v/>
      </c>
      <c r="J81" s="33">
        <f>J44</f>
        <v/>
      </c>
      <c r="K81" s="33">
        <f>K44</f>
        <v/>
      </c>
      <c r="L81" s="33">
        <f>L44</f>
        <v/>
      </c>
      <c r="M81" s="33">
        <f>M44</f>
        <v/>
      </c>
      <c r="N81" s="33">
        <f>N44</f>
        <v/>
      </c>
      <c r="O81" s="33">
        <f>O44</f>
        <v/>
      </c>
      <c r="P81" s="33">
        <f>P44</f>
        <v/>
      </c>
      <c r="Q81" s="33">
        <f>Q44</f>
        <v/>
      </c>
      <c r="R81" s="33">
        <f>R44</f>
        <v/>
      </c>
      <c r="S81" s="33">
        <f>S44</f>
        <v/>
      </c>
      <c r="T81" s="33">
        <f>T44</f>
        <v/>
      </c>
      <c r="U81" s="33">
        <f>U44</f>
        <v/>
      </c>
      <c r="V81" s="33">
        <f>V44</f>
        <v/>
      </c>
      <c r="W81" s="33">
        <f>W44</f>
        <v/>
      </c>
    </row>
    <row r="82" ht="18.75" customHeight="1">
      <c r="B82" s="32" t="inlineStr">
        <is>
          <t>Outflow : 設備放置區域租金</t>
        </is>
      </c>
      <c r="C82" s="27" t="inlineStr">
        <is>
          <t>-</t>
        </is>
      </c>
      <c r="D82" s="28">
        <f>D19</f>
        <v/>
      </c>
      <c r="E82" s="28">
        <f>E19</f>
        <v/>
      </c>
      <c r="F82" s="28">
        <f>F19</f>
        <v/>
      </c>
      <c r="G82" s="28">
        <f>G19</f>
        <v/>
      </c>
      <c r="H82" s="28">
        <f>H19</f>
        <v/>
      </c>
      <c r="I82" s="28">
        <f>I19</f>
        <v/>
      </c>
      <c r="J82" s="28">
        <f>J19</f>
        <v/>
      </c>
      <c r="K82" s="28">
        <f>K19</f>
        <v/>
      </c>
      <c r="L82" s="28">
        <f>L19</f>
        <v/>
      </c>
      <c r="M82" s="28">
        <f>M19</f>
        <v/>
      </c>
      <c r="N82" s="28">
        <f>N19</f>
        <v/>
      </c>
      <c r="O82" s="28">
        <f>O19</f>
        <v/>
      </c>
      <c r="P82" s="28">
        <f>P19</f>
        <v/>
      </c>
      <c r="Q82" s="28">
        <f>Q19</f>
        <v/>
      </c>
      <c r="R82" s="28">
        <f>R19</f>
        <v/>
      </c>
      <c r="S82" s="28">
        <f>S19</f>
        <v/>
      </c>
      <c r="T82" s="28">
        <f>T19</f>
        <v/>
      </c>
      <c r="U82" s="28">
        <f>U19</f>
        <v/>
      </c>
      <c r="V82" s="28">
        <f>V19</f>
        <v/>
      </c>
      <c r="W82" s="28">
        <f>W19</f>
        <v/>
      </c>
    </row>
    <row r="83" ht="18.75" customHeight="1">
      <c r="B83" s="32" t="inlineStr">
        <is>
          <t>Outflow : 返還借款</t>
        </is>
      </c>
      <c r="C83" s="27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</row>
    <row r="84" ht="18.75" customHeight="1">
      <c r="B84" s="32" t="inlineStr">
        <is>
          <t>Outflow : 利息費用</t>
        </is>
      </c>
      <c r="C84" s="27" t="inlineStr">
        <is>
          <t>-</t>
        </is>
      </c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</row>
    <row r="85" ht="18.75" customHeight="1">
      <c r="B85" s="32" t="inlineStr">
        <is>
          <t>Outflow : 維運費</t>
        </is>
      </c>
      <c r="C85" s="27" t="inlineStr">
        <is>
          <t>-</t>
        </is>
      </c>
      <c r="D85" s="28">
        <f>D24</f>
        <v/>
      </c>
      <c r="E85" s="28">
        <f>E24</f>
        <v/>
      </c>
      <c r="F85" s="28">
        <f>F24</f>
        <v/>
      </c>
      <c r="G85" s="28">
        <f>G24</f>
        <v/>
      </c>
      <c r="H85" s="28">
        <f>H24</f>
        <v/>
      </c>
      <c r="I85" s="28">
        <f>I24</f>
        <v/>
      </c>
      <c r="J85" s="28">
        <f>J24</f>
        <v/>
      </c>
      <c r="K85" s="28">
        <f>K24</f>
        <v/>
      </c>
      <c r="L85" s="28">
        <f>L24</f>
        <v/>
      </c>
      <c r="M85" s="28">
        <f>M24</f>
        <v/>
      </c>
      <c r="N85" s="28">
        <f>N24</f>
        <v/>
      </c>
      <c r="O85" s="28">
        <f>O24</f>
        <v/>
      </c>
      <c r="P85" s="28">
        <f>P24</f>
        <v/>
      </c>
      <c r="Q85" s="28">
        <f>Q24</f>
        <v/>
      </c>
      <c r="R85" s="28">
        <f>R24</f>
        <v/>
      </c>
      <c r="S85" s="28">
        <f>S24</f>
        <v/>
      </c>
      <c r="T85" s="28">
        <f>T24</f>
        <v/>
      </c>
      <c r="U85" s="28">
        <f>U24</f>
        <v/>
      </c>
      <c r="V85" s="28">
        <f>V24</f>
        <v/>
      </c>
      <c r="W85" s="28">
        <f>W24</f>
        <v/>
      </c>
    </row>
    <row r="86" ht="18.75" customHeight="1">
      <c r="B86" s="32" t="inlineStr">
        <is>
          <t>Outflow : 保險費</t>
        </is>
      </c>
      <c r="C86" s="27" t="inlineStr">
        <is>
          <t>-</t>
        </is>
      </c>
      <c r="D86" s="28">
        <f>D29</f>
        <v/>
      </c>
      <c r="E86" s="28">
        <f>E29</f>
        <v/>
      </c>
      <c r="F86" s="28">
        <f>F29</f>
        <v/>
      </c>
      <c r="G86" s="28">
        <f>G29</f>
        <v/>
      </c>
      <c r="H86" s="28">
        <f>H29</f>
        <v/>
      </c>
      <c r="I86" s="28">
        <f>I29</f>
        <v/>
      </c>
      <c r="J86" s="28">
        <f>J29</f>
        <v/>
      </c>
      <c r="K86" s="28">
        <f>K29</f>
        <v/>
      </c>
      <c r="L86" s="28">
        <f>L29</f>
        <v/>
      </c>
      <c r="M86" s="28">
        <f>M29</f>
        <v/>
      </c>
      <c r="N86" s="28">
        <f>N29</f>
        <v/>
      </c>
      <c r="O86" s="28">
        <f>O29</f>
        <v/>
      </c>
      <c r="P86" s="28">
        <f>P29</f>
        <v/>
      </c>
      <c r="Q86" s="28">
        <f>Q29</f>
        <v/>
      </c>
      <c r="R86" s="28">
        <f>R29</f>
        <v/>
      </c>
      <c r="S86" s="28">
        <f>S29</f>
        <v/>
      </c>
      <c r="T86" s="28">
        <f>T29</f>
        <v/>
      </c>
      <c r="U86" s="28">
        <f>U29</f>
        <v/>
      </c>
      <c r="V86" s="28">
        <f>V29</f>
        <v/>
      </c>
      <c r="W86" s="28">
        <f>W29</f>
        <v/>
      </c>
    </row>
    <row r="87" ht="18.75" customHeight="1">
      <c r="B87" s="32" t="inlineStr">
        <is>
          <t>Outflow : 模組回收費</t>
        </is>
      </c>
      <c r="C87" s="27" t="n"/>
      <c r="D87" s="28">
        <f>D34</f>
        <v/>
      </c>
      <c r="E87" s="28">
        <f>E34</f>
        <v/>
      </c>
      <c r="F87" s="28">
        <f>F34</f>
        <v/>
      </c>
      <c r="G87" s="28">
        <f>G34</f>
        <v/>
      </c>
      <c r="H87" s="28">
        <f>H34</f>
        <v/>
      </c>
      <c r="I87" s="28">
        <f>I34</f>
        <v/>
      </c>
      <c r="J87" s="28">
        <f>J34</f>
        <v/>
      </c>
      <c r="K87" s="28">
        <f>K34</f>
        <v/>
      </c>
      <c r="L87" s="28">
        <f>L34</f>
        <v/>
      </c>
      <c r="M87" s="28">
        <f>M34</f>
        <v/>
      </c>
      <c r="N87" s="28">
        <f>N34</f>
        <v/>
      </c>
      <c r="O87" s="28">
        <f>O34</f>
        <v/>
      </c>
      <c r="P87" s="28">
        <f>P34</f>
        <v/>
      </c>
      <c r="Q87" s="28">
        <f>Q34</f>
        <v/>
      </c>
      <c r="R87" s="28">
        <f>R34</f>
        <v/>
      </c>
      <c r="S87" s="28">
        <f>S34</f>
        <v/>
      </c>
      <c r="T87" s="28">
        <f>T34</f>
        <v/>
      </c>
      <c r="U87" s="28">
        <f>U34</f>
        <v/>
      </c>
      <c r="V87" s="28">
        <f>V34</f>
        <v/>
      </c>
      <c r="W87" s="28">
        <f>W34</f>
        <v/>
      </c>
    </row>
    <row r="88" ht="18.75" customHeight="1">
      <c r="B88" s="32" t="inlineStr">
        <is>
          <t>Outflow : 其它費用(人事薪資…等)</t>
        </is>
      </c>
      <c r="C88" s="34" t="n"/>
      <c r="D88" s="35" t="n"/>
      <c r="E88" s="36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</row>
    <row r="89" ht="18.75" customHeight="1">
      <c r="B89" s="32" t="inlineStr">
        <is>
          <t>1%管理費</t>
        </is>
      </c>
      <c r="C89" s="34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</row>
    <row r="90" ht="18.75" customHeight="1">
      <c r="B90" s="39" t="inlineStr">
        <is>
          <t>稅前淨利</t>
        </is>
      </c>
      <c r="C90" s="53" t="n"/>
      <c r="D90" s="41">
        <f>SUM(D78:D89)</f>
        <v/>
      </c>
      <c r="E90" s="41">
        <f>SUM(E78:E89)</f>
        <v/>
      </c>
      <c r="F90" s="41">
        <f>SUM(F78:F89)</f>
        <v/>
      </c>
      <c r="G90" s="41">
        <f>SUM(G78:G89)</f>
        <v/>
      </c>
      <c r="H90" s="41">
        <f>SUM(H78:H89)</f>
        <v/>
      </c>
      <c r="I90" s="41">
        <f>SUM(I78:I89)</f>
        <v/>
      </c>
      <c r="J90" s="41">
        <f>SUM(J78:J89)</f>
        <v/>
      </c>
      <c r="K90" s="41">
        <f>SUM(K78:K89)</f>
        <v/>
      </c>
      <c r="L90" s="41">
        <f>SUM(L78:L89)</f>
        <v/>
      </c>
      <c r="M90" s="41">
        <f>SUM(M78:M89)</f>
        <v/>
      </c>
      <c r="N90" s="41">
        <f>SUM(N78:N89)</f>
        <v/>
      </c>
      <c r="O90" s="41">
        <f>SUM(O78:O89)</f>
        <v/>
      </c>
      <c r="P90" s="41">
        <f>SUM(P78:P89)</f>
        <v/>
      </c>
      <c r="Q90" s="41">
        <f>SUM(Q78:Q89)</f>
        <v/>
      </c>
      <c r="R90" s="41">
        <f>SUM(R78:R89)</f>
        <v/>
      </c>
      <c r="S90" s="41">
        <f>SUM(S78:S89)</f>
        <v/>
      </c>
      <c r="T90" s="41">
        <f>SUM(T78:T89)</f>
        <v/>
      </c>
      <c r="U90" s="41">
        <f>SUM(U78:U89)</f>
        <v/>
      </c>
      <c r="V90" s="41">
        <f>SUM(V78:V89)</f>
        <v/>
      </c>
      <c r="W90" s="41">
        <f>SUM(W78:W89)</f>
        <v/>
      </c>
    </row>
    <row r="91" ht="18.75" customHeight="1">
      <c r="B91" s="37" t="inlineStr">
        <is>
          <t>所得稅20%</t>
        </is>
      </c>
      <c r="C91" s="34" t="n"/>
      <c r="D91" s="28">
        <f>D90*0.2</f>
        <v/>
      </c>
      <c r="E91" s="28">
        <f>E90*0.2</f>
        <v/>
      </c>
      <c r="F91" s="28">
        <f>F90*0.2</f>
        <v/>
      </c>
      <c r="G91" s="28">
        <f>G90*0.2</f>
        <v/>
      </c>
      <c r="H91" s="28">
        <f>H90*0.2</f>
        <v/>
      </c>
      <c r="I91" s="28">
        <f>I90*0.2</f>
        <v/>
      </c>
      <c r="J91" s="28">
        <f>J90*0.2</f>
        <v/>
      </c>
      <c r="K91" s="28">
        <f>K90*0.2</f>
        <v/>
      </c>
      <c r="L91" s="28">
        <f>L90*0.2</f>
        <v/>
      </c>
      <c r="M91" s="28">
        <f>M90*0.2</f>
        <v/>
      </c>
      <c r="N91" s="28">
        <f>N90*0.2</f>
        <v/>
      </c>
      <c r="O91" s="28">
        <f>O90*0.2</f>
        <v/>
      </c>
      <c r="P91" s="28">
        <f>P90*0.2</f>
        <v/>
      </c>
      <c r="Q91" s="28">
        <f>Q90*0.2</f>
        <v/>
      </c>
      <c r="R91" s="28">
        <f>R90*0.2</f>
        <v/>
      </c>
      <c r="S91" s="28">
        <f>S90*0.2</f>
        <v/>
      </c>
      <c r="T91" s="28">
        <f>T90*0.2</f>
        <v/>
      </c>
      <c r="U91" s="28">
        <f>U90*0.2</f>
        <v/>
      </c>
      <c r="V91" s="28">
        <f>V90*0.2</f>
        <v/>
      </c>
      <c r="W91" s="28">
        <f>W90*0.2</f>
        <v/>
      </c>
    </row>
    <row r="92" ht="15.4" customHeight="1">
      <c r="B92" s="54" t="inlineStr">
        <is>
          <t>稅後淨利</t>
        </is>
      </c>
      <c r="D92" s="28">
        <f>D90-D91</f>
        <v/>
      </c>
      <c r="E92" s="28">
        <f>E90-E91</f>
        <v/>
      </c>
      <c r="F92" s="28">
        <f>F90-F91</f>
        <v/>
      </c>
      <c r="G92" s="28">
        <f>G90-G91</f>
        <v/>
      </c>
      <c r="H92" s="28">
        <f>H90-H91</f>
        <v/>
      </c>
      <c r="I92" s="28">
        <f>I90-I91</f>
        <v/>
      </c>
      <c r="J92" s="28">
        <f>J90-J91</f>
        <v/>
      </c>
      <c r="K92" s="28">
        <f>K90-K91</f>
        <v/>
      </c>
      <c r="L92" s="28">
        <f>L90-L91</f>
        <v/>
      </c>
      <c r="M92" s="28">
        <f>M90-M91</f>
        <v/>
      </c>
      <c r="N92" s="28">
        <f>N90-N91</f>
        <v/>
      </c>
      <c r="O92" s="28">
        <f>O90-O91</f>
        <v/>
      </c>
      <c r="P92" s="28">
        <f>P90-P91</f>
        <v/>
      </c>
      <c r="Q92" s="28">
        <f>Q90-Q91</f>
        <v/>
      </c>
      <c r="R92" s="28">
        <f>R90-R91</f>
        <v/>
      </c>
      <c r="S92" s="28">
        <f>S90-S91</f>
        <v/>
      </c>
      <c r="T92" s="28">
        <f>T90-T91</f>
        <v/>
      </c>
      <c r="U92" s="28">
        <f>U90-U91</f>
        <v/>
      </c>
      <c r="V92" s="28">
        <f>V90-V91</f>
        <v/>
      </c>
      <c r="W92" s="28">
        <f>W90-W91</f>
        <v/>
      </c>
    </row>
    <row r="93" ht="18.75" customHeight="1">
      <c r="B93" s="42" t="inlineStr">
        <is>
          <t>累計現金流</t>
        </is>
      </c>
      <c r="C93" s="40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</row>
    <row r="94" ht="18.75" customHeight="1">
      <c r="B94" s="55" t="inlineStr">
        <is>
          <t>回收年限評估</t>
        </is>
      </c>
      <c r="C94" s="56" t="n"/>
      <c r="D94" s="57" t="n"/>
      <c r="E94" s="57" t="n"/>
      <c r="F94" s="57" t="n"/>
      <c r="G94" s="57" t="n"/>
      <c r="H94" s="57" t="n"/>
      <c r="I94" s="57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</row>
    <row r="95" ht="18.75" customHeight="1">
      <c r="C95" s="58" t="inlineStr">
        <is>
          <t>年份</t>
        </is>
      </c>
      <c r="D95" s="59" t="n">
        <v>2023</v>
      </c>
      <c r="E95" s="59" t="n">
        <v>2024</v>
      </c>
      <c r="F95" s="59" t="n">
        <v>2025</v>
      </c>
      <c r="G95" s="59" t="n">
        <v>2026</v>
      </c>
      <c r="H95" s="59" t="n">
        <v>2027</v>
      </c>
      <c r="I95" s="59" t="n">
        <v>2028</v>
      </c>
      <c r="J95" s="59" t="n">
        <v>2029</v>
      </c>
      <c r="K95" s="59" t="n">
        <v>2030</v>
      </c>
      <c r="L95" s="59" t="n">
        <v>2031</v>
      </c>
      <c r="M95" s="59" t="n">
        <v>2032</v>
      </c>
      <c r="N95" s="59" t="n">
        <v>2033</v>
      </c>
      <c r="O95" s="59" t="n">
        <v>2034</v>
      </c>
      <c r="P95" s="59" t="n">
        <v>2035</v>
      </c>
      <c r="Q95" s="59" t="n">
        <v>2036</v>
      </c>
      <c r="R95" s="59" t="n">
        <v>2037</v>
      </c>
      <c r="S95" s="59" t="n">
        <v>2038</v>
      </c>
      <c r="T95" s="59" t="n">
        <v>2039</v>
      </c>
      <c r="U95" s="59" t="n">
        <v>2040</v>
      </c>
      <c r="V95" s="59" t="n">
        <v>2041</v>
      </c>
      <c r="W95" s="59" t="n">
        <v>2042</v>
      </c>
      <c r="X95" s="59" t="n"/>
    </row>
    <row r="96" ht="18.75" customHeight="1"/>
    <row r="97" ht="18.75" customHeight="1">
      <c r="B97" s="60" t="inlineStr">
        <is>
          <t>(Unit : Currency)</t>
        </is>
      </c>
      <c r="C97" s="60" t="n">
        <v>0</v>
      </c>
      <c r="D97" s="60" t="n">
        <v>1</v>
      </c>
      <c r="E97" s="60" t="n">
        <v>2</v>
      </c>
      <c r="F97" s="60" t="n">
        <v>3</v>
      </c>
      <c r="G97" s="60" t="n">
        <v>4</v>
      </c>
      <c r="H97" s="60" t="n">
        <v>5</v>
      </c>
      <c r="I97" s="60" t="n">
        <v>6</v>
      </c>
      <c r="J97" s="60" t="n">
        <v>7</v>
      </c>
      <c r="K97" s="60" t="n">
        <v>8</v>
      </c>
      <c r="L97" s="60" t="n">
        <v>9</v>
      </c>
      <c r="M97" s="60" t="n">
        <v>10</v>
      </c>
      <c r="N97" s="60" t="n">
        <v>11</v>
      </c>
      <c r="O97" s="60" t="n">
        <v>12</v>
      </c>
      <c r="P97" s="60" t="n">
        <v>13</v>
      </c>
      <c r="Q97" s="60" t="n">
        <v>14</v>
      </c>
      <c r="R97" s="60" t="n">
        <v>15</v>
      </c>
      <c r="S97" s="60" t="n">
        <v>16</v>
      </c>
      <c r="T97" s="60" t="n">
        <v>17</v>
      </c>
      <c r="U97" s="60" t="n">
        <v>18</v>
      </c>
      <c r="V97" s="60" t="n">
        <v>19</v>
      </c>
      <c r="W97" s="60" t="n">
        <v>20</v>
      </c>
      <c r="X97" s="60" t="n"/>
    </row>
    <row r="98" ht="18.75" customHeight="1">
      <c r="B98" s="61" t="inlineStr">
        <is>
          <t>稅後淨利</t>
        </is>
      </c>
      <c r="C98" s="61" t="n"/>
      <c r="D98" s="62">
        <f>D78</f>
        <v/>
      </c>
      <c r="E98" s="62">
        <f>E78</f>
        <v/>
      </c>
      <c r="F98" s="62">
        <f>F78</f>
        <v/>
      </c>
      <c r="G98" s="62">
        <f>G78</f>
        <v/>
      </c>
      <c r="H98" s="62">
        <f>H78</f>
        <v/>
      </c>
      <c r="I98" s="62">
        <f>I78</f>
        <v/>
      </c>
      <c r="J98" s="62">
        <f>J78</f>
        <v/>
      </c>
      <c r="K98" s="62">
        <f>K78</f>
        <v/>
      </c>
      <c r="L98" s="62">
        <f>L78</f>
        <v/>
      </c>
      <c r="M98" s="62">
        <f>M78</f>
        <v/>
      </c>
      <c r="N98" s="62">
        <f>N78</f>
        <v/>
      </c>
      <c r="O98" s="62">
        <f>O78</f>
        <v/>
      </c>
      <c r="P98" s="62">
        <f>P78</f>
        <v/>
      </c>
      <c r="Q98" s="62">
        <f>Q78</f>
        <v/>
      </c>
      <c r="R98" s="62">
        <f>R78</f>
        <v/>
      </c>
      <c r="S98" s="62">
        <f>S78</f>
        <v/>
      </c>
      <c r="T98" s="62">
        <f>T78</f>
        <v/>
      </c>
      <c r="U98" s="62">
        <f>U78</f>
        <v/>
      </c>
      <c r="V98" s="62">
        <f>V78</f>
        <v/>
      </c>
      <c r="W98" s="62">
        <f>W78</f>
        <v/>
      </c>
      <c r="X98" s="62" t="n"/>
    </row>
    <row r="99" ht="15.4" customHeight="1">
      <c r="B99" s="61" t="inlineStr">
        <is>
          <t>設備折舊</t>
        </is>
      </c>
      <c r="C99" s="61" t="n"/>
      <c r="D99" s="63">
        <f>-D67</f>
        <v/>
      </c>
      <c r="E99" s="63">
        <f>-E67</f>
        <v/>
      </c>
      <c r="F99" s="63">
        <f>-F67</f>
        <v/>
      </c>
      <c r="G99" s="63">
        <f>-G67</f>
        <v/>
      </c>
      <c r="H99" s="63">
        <f>-H67</f>
        <v/>
      </c>
      <c r="I99" s="63">
        <f>-I67</f>
        <v/>
      </c>
      <c r="J99" s="63">
        <f>-J67</f>
        <v/>
      </c>
      <c r="K99" s="63">
        <f>-K67</f>
        <v/>
      </c>
      <c r="L99" s="63">
        <f>-L67</f>
        <v/>
      </c>
      <c r="M99" s="63">
        <f>-M67</f>
        <v/>
      </c>
      <c r="N99" s="63">
        <f>-N67</f>
        <v/>
      </c>
      <c r="O99" s="63">
        <f>-O67</f>
        <v/>
      </c>
      <c r="P99" s="63">
        <f>-P67</f>
        <v/>
      </c>
      <c r="Q99" s="63">
        <f>-Q67</f>
        <v/>
      </c>
      <c r="R99" s="63">
        <f>-R67</f>
        <v/>
      </c>
      <c r="S99" s="63">
        <f>-S67</f>
        <v/>
      </c>
      <c r="T99" s="63">
        <f>-T67</f>
        <v/>
      </c>
      <c r="U99" s="63">
        <f>-U67</f>
        <v/>
      </c>
      <c r="V99" s="63">
        <f>-V67</f>
        <v/>
      </c>
      <c r="W99" s="63">
        <f>-W67</f>
        <v/>
      </c>
      <c r="X99" s="63" t="n"/>
    </row>
    <row r="100" ht="15.4" customHeight="1">
      <c r="B100" s="61" t="inlineStr">
        <is>
          <t>營運活動現金流量</t>
        </is>
      </c>
      <c r="C100" s="61" t="n"/>
      <c r="D100" s="64">
        <f>SUM(D85:D86)</f>
        <v/>
      </c>
      <c r="E100" s="64">
        <f>SUM(E85:E86)</f>
        <v/>
      </c>
      <c r="F100" s="64">
        <f>SUM(F85:F86)</f>
        <v/>
      </c>
      <c r="G100" s="64">
        <f>SUM(G85:G86)</f>
        <v/>
      </c>
      <c r="H100" s="64">
        <f>SUM(H85:H86)</f>
        <v/>
      </c>
      <c r="I100" s="64">
        <f>SUM(I85:I86)</f>
        <v/>
      </c>
      <c r="J100" s="64">
        <f>SUM(J85:J86)</f>
        <v/>
      </c>
      <c r="K100" s="64">
        <f>SUM(K85:K86)</f>
        <v/>
      </c>
      <c r="L100" s="64">
        <f>SUM(L85:L86)</f>
        <v/>
      </c>
      <c r="M100" s="64">
        <f>SUM(M85:M86)</f>
        <v/>
      </c>
      <c r="N100" s="64">
        <f>SUM(N85:N86)</f>
        <v/>
      </c>
      <c r="O100" s="64">
        <f>SUM(O85:O86)</f>
        <v/>
      </c>
      <c r="P100" s="64">
        <f>SUM(P85:P86)</f>
        <v/>
      </c>
      <c r="Q100" s="64">
        <f>SUM(Q85:Q86)</f>
        <v/>
      </c>
      <c r="R100" s="64">
        <f>SUM(R85:R86)</f>
        <v/>
      </c>
      <c r="S100" s="64">
        <f>SUM(S85:S86)</f>
        <v/>
      </c>
      <c r="T100" s="64">
        <f>SUM(T85:T86)</f>
        <v/>
      </c>
      <c r="U100" s="64">
        <f>SUM(U85:U86)</f>
        <v/>
      </c>
      <c r="V100" s="64">
        <f>SUM(V85:V86)</f>
        <v/>
      </c>
      <c r="W100" s="64">
        <f>SUM(W85:W86)</f>
        <v/>
      </c>
      <c r="X100" s="64" t="n"/>
    </row>
    <row r="101" ht="15.4" customHeight="1">
      <c r="B101" s="61" t="n"/>
      <c r="C101" s="61" t="n"/>
      <c r="D101" s="61" t="n"/>
      <c r="E101" s="61" t="n"/>
      <c r="F101" s="65" t="n"/>
      <c r="G101" s="65" t="n"/>
      <c r="H101" s="65" t="n"/>
      <c r="I101" s="65" t="n"/>
      <c r="J101" s="65" t="n"/>
      <c r="K101" s="65" t="n"/>
      <c r="L101" s="65" t="n"/>
      <c r="M101" s="65" t="n"/>
      <c r="N101" s="65" t="n"/>
      <c r="O101" s="65" t="n"/>
      <c r="P101" s="65" t="n"/>
      <c r="Q101" s="65" t="n"/>
      <c r="R101" s="65" t="n"/>
      <c r="S101" s="65" t="n"/>
      <c r="T101" s="65" t="n"/>
      <c r="U101" s="65" t="n"/>
      <c r="V101" s="65" t="n"/>
      <c r="W101" s="65" t="n"/>
      <c r="X101" s="61" t="n"/>
    </row>
    <row r="102" ht="15.4" customHeight="1">
      <c r="B102" s="66" t="inlineStr">
        <is>
          <t>投資活動-設備支出</t>
        </is>
      </c>
      <c r="C102" s="67" t="n"/>
      <c r="D102" s="68">
        <f>C44</f>
        <v/>
      </c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</row>
    <row r="103" ht="15.4" customHeight="1">
      <c r="B103" s="61" t="n"/>
      <c r="C103" s="61" t="n"/>
      <c r="D103" s="61" t="n"/>
      <c r="E103" s="61" t="n"/>
      <c r="F103" s="65" t="n"/>
      <c r="G103" s="65" t="n"/>
      <c r="H103" s="65" t="n"/>
      <c r="I103" s="65" t="n"/>
      <c r="J103" s="65" t="n"/>
      <c r="K103" s="65" t="n"/>
      <c r="L103" s="65" t="n"/>
      <c r="M103" s="65" t="n"/>
      <c r="N103" s="65" t="n"/>
      <c r="O103" s="65" t="n"/>
      <c r="P103" s="65" t="n"/>
      <c r="Q103" s="65" t="n"/>
      <c r="R103" s="65" t="n"/>
      <c r="S103" s="65" t="n"/>
      <c r="T103" s="65" t="n"/>
      <c r="U103" s="65" t="n"/>
      <c r="V103" s="65" t="n"/>
      <c r="W103" s="65" t="n"/>
      <c r="X103" s="61" t="n"/>
    </row>
    <row r="104" ht="15.4" customHeight="1">
      <c r="B104" s="61" t="n"/>
      <c r="C104" s="61" t="n"/>
      <c r="D104" s="61" t="n"/>
      <c r="E104" s="61" t="n"/>
      <c r="F104" s="65" t="n"/>
      <c r="G104" s="65" t="n"/>
      <c r="H104" s="65" t="n"/>
      <c r="I104" s="65" t="n"/>
      <c r="J104" s="65" t="n"/>
      <c r="K104" s="65" t="n"/>
      <c r="L104" s="65" t="n"/>
      <c r="M104" s="65" t="n"/>
      <c r="N104" s="65" t="n"/>
      <c r="O104" s="65" t="n"/>
      <c r="P104" s="65" t="n"/>
      <c r="Q104" s="65" t="n"/>
      <c r="R104" s="65" t="n"/>
      <c r="S104" s="65" t="n"/>
      <c r="T104" s="65" t="n"/>
      <c r="U104" s="65" t="n"/>
      <c r="V104" s="65" t="n"/>
      <c r="W104" s="65" t="n"/>
      <c r="X104" s="61" t="n"/>
    </row>
    <row r="105" ht="15.4" customHeight="1">
      <c r="B105" s="66" t="inlineStr">
        <is>
          <t>理財活動-借款</t>
        </is>
      </c>
      <c r="C105" s="67" t="n"/>
      <c r="D105" s="68">
        <f>-D89*D31</f>
        <v/>
      </c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</row>
    <row r="106" ht="15.4" customHeight="1">
      <c r="B106" s="61" t="inlineStr">
        <is>
          <t>理財活動-還款</t>
        </is>
      </c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5" t="n"/>
      <c r="U106" s="65" t="n"/>
      <c r="V106" s="65" t="n"/>
      <c r="W106" s="65" t="n"/>
      <c r="X106" s="61" t="n"/>
    </row>
    <row r="107" ht="15.4" customHeight="1">
      <c r="B107" s="61" t="inlineStr">
        <is>
          <t>理財活動-現金增資</t>
        </is>
      </c>
      <c r="C107" s="65" t="n"/>
      <c r="D107" s="62">
        <f>-D89*(1-D31)</f>
        <v/>
      </c>
      <c r="E107" s="65" t="n"/>
      <c r="F107" s="65" t="n"/>
      <c r="G107" s="65" t="n"/>
      <c r="H107" s="65" t="n"/>
      <c r="I107" s="65" t="n"/>
      <c r="J107" s="65" t="n"/>
      <c r="K107" s="65" t="n"/>
      <c r="L107" s="65" t="n"/>
      <c r="M107" s="65" t="n"/>
      <c r="N107" s="65" t="n"/>
      <c r="O107" s="65" t="n"/>
      <c r="P107" s="65" t="n"/>
      <c r="Q107" s="65" t="n"/>
      <c r="R107" s="65" t="n"/>
      <c r="S107" s="65" t="n"/>
      <c r="T107" s="65" t="n"/>
      <c r="U107" s="65" t="n"/>
      <c r="V107" s="65" t="n"/>
      <c r="W107" s="65" t="n"/>
      <c r="X107" s="65" t="n"/>
    </row>
    <row r="108" ht="15.4" customHeight="1">
      <c r="B108" s="61" t="inlineStr">
        <is>
          <t>現金股利</t>
        </is>
      </c>
      <c r="C108" s="65" t="n"/>
      <c r="D108" s="65" t="n"/>
      <c r="E108" s="69">
        <f>-D85*$D$33</f>
        <v/>
      </c>
      <c r="F108" s="69">
        <f>-E85*$D$33</f>
        <v/>
      </c>
      <c r="G108" s="69">
        <f>-F85*$D$33</f>
        <v/>
      </c>
      <c r="H108" s="69">
        <f>-G85*$D$33</f>
        <v/>
      </c>
      <c r="I108" s="69">
        <f>-H85*$D$33</f>
        <v/>
      </c>
      <c r="J108" s="69">
        <f>-I85*$D$33</f>
        <v/>
      </c>
      <c r="K108" s="69">
        <f>-J85*$D$33</f>
        <v/>
      </c>
      <c r="L108" s="69">
        <f>-K85*$D$33</f>
        <v/>
      </c>
      <c r="M108" s="69">
        <f>-L85*$D$33</f>
        <v/>
      </c>
      <c r="N108" s="69">
        <f>-M85*$D$33</f>
        <v/>
      </c>
      <c r="O108" s="69">
        <f>-N85*$D$33</f>
        <v/>
      </c>
      <c r="P108" s="69">
        <f>-O85*$D$33</f>
        <v/>
      </c>
      <c r="Q108" s="69">
        <f>-P85*$D$33</f>
        <v/>
      </c>
      <c r="R108" s="69">
        <f>-Q85*$D$33</f>
        <v/>
      </c>
      <c r="S108" s="69">
        <f>-R85*$D$33</f>
        <v/>
      </c>
      <c r="T108" s="69">
        <f>-S85*$D$33</f>
        <v/>
      </c>
      <c r="U108" s="69">
        <f>-T85*$D$33</f>
        <v/>
      </c>
      <c r="V108" s="69">
        <f>-U85*$D$33</f>
        <v/>
      </c>
      <c r="W108" s="69">
        <f>-V85*$D$33</f>
        <v/>
      </c>
      <c r="X108" s="69" t="n"/>
    </row>
    <row r="109" ht="15.4" customHeight="1">
      <c r="B109" s="70" t="inlineStr">
        <is>
          <t>年底減資</t>
        </is>
      </c>
      <c r="C109" s="71" t="n"/>
      <c r="D109" s="71" t="n"/>
      <c r="E109" s="72" t="n"/>
      <c r="F109" s="72" t="n"/>
      <c r="G109" s="72" t="n"/>
      <c r="H109" s="72" t="n"/>
      <c r="I109" s="72" t="n"/>
      <c r="J109" s="72" t="n"/>
      <c r="K109" s="72" t="n"/>
      <c r="L109" s="72" t="n"/>
      <c r="M109" s="72" t="n"/>
      <c r="N109" s="72" t="n"/>
      <c r="O109" s="72" t="n"/>
      <c r="P109" s="72" t="n"/>
      <c r="Q109" s="72" t="n"/>
      <c r="R109" s="73" t="n"/>
      <c r="S109" s="73" t="n"/>
      <c r="T109" s="73" t="n"/>
      <c r="U109" s="73" t="n"/>
      <c r="V109" s="72" t="n"/>
      <c r="W109" s="72" t="n"/>
      <c r="X109" s="72" t="n"/>
    </row>
    <row r="110" ht="15.4" customHeight="1">
      <c r="B110" s="65" t="n"/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65" t="n"/>
      <c r="L110" s="65" t="n"/>
      <c r="M110" s="65" t="n"/>
      <c r="N110" s="65" t="n"/>
      <c r="O110" s="65" t="n"/>
      <c r="P110" s="65" t="n"/>
      <c r="Q110" s="65" t="n"/>
      <c r="R110" s="65" t="n"/>
      <c r="S110" s="65" t="n"/>
      <c r="T110" s="65" t="n"/>
      <c r="U110" s="65" t="n"/>
      <c r="V110" s="65" t="n"/>
      <c r="W110" s="65" t="n"/>
      <c r="X110" s="65" t="n"/>
    </row>
    <row r="111" ht="15.4" customHeight="1">
      <c r="B111" s="65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65" t="n"/>
      <c r="U111" s="65" t="n"/>
      <c r="V111" s="65" t="n"/>
      <c r="W111" s="65" t="n"/>
      <c r="X111" s="65" t="n"/>
    </row>
    <row r="112" ht="16.15" customHeight="1">
      <c r="B112" s="61" t="inlineStr">
        <is>
          <t>現金淨流入(出 )</t>
        </is>
      </c>
      <c r="C112" s="74" t="n">
        <v>0</v>
      </c>
      <c r="D112" s="62">
        <f>SUM(D87:D96)</f>
        <v/>
      </c>
      <c r="E112" s="62">
        <f>SUM(E87:E96)</f>
        <v/>
      </c>
      <c r="F112" s="62">
        <f>SUM(F87:F96)</f>
        <v/>
      </c>
      <c r="G112" s="62">
        <f>SUM(G87:G96)</f>
        <v/>
      </c>
      <c r="H112" s="62">
        <f>SUM(H87:H96)</f>
        <v/>
      </c>
      <c r="I112" s="62">
        <f>SUM(I87:I96)</f>
        <v/>
      </c>
      <c r="J112" s="62">
        <f>SUM(J87:J96)</f>
        <v/>
      </c>
      <c r="K112" s="62">
        <f>SUM(K87:K96)</f>
        <v/>
      </c>
      <c r="L112" s="62">
        <f>SUM(L87:L96)</f>
        <v/>
      </c>
      <c r="M112" s="62">
        <f>SUM(M87:M96)</f>
        <v/>
      </c>
      <c r="N112" s="62">
        <f>SUM(N87:N96)</f>
        <v/>
      </c>
      <c r="O112" s="62">
        <f>SUM(O87:O96)</f>
        <v/>
      </c>
      <c r="P112" s="62">
        <f>SUM(P87:P96)</f>
        <v/>
      </c>
      <c r="Q112" s="62">
        <f>SUM(Q87:Q96)</f>
        <v/>
      </c>
      <c r="R112" s="62">
        <f>SUM(R87:R96)</f>
        <v/>
      </c>
      <c r="S112" s="62">
        <f>SUM(S87:S96)</f>
        <v/>
      </c>
      <c r="T112" s="62">
        <f>SUM(T87:T96)</f>
        <v/>
      </c>
      <c r="U112" s="62">
        <f>SUM(U87:U96)</f>
        <v/>
      </c>
      <c r="V112" s="62">
        <f>SUM(V87:V96)</f>
        <v/>
      </c>
      <c r="W112" s="62">
        <f>SUM(W87:W96)</f>
        <v/>
      </c>
      <c r="X112" s="62" t="n"/>
    </row>
    <row r="113" ht="15.4" customHeight="1">
      <c r="B113" s="61" t="inlineStr">
        <is>
          <t>期初淨現金</t>
        </is>
      </c>
      <c r="C113" s="62" t="n">
        <v>0</v>
      </c>
      <c r="D113" s="62">
        <f>C101</f>
        <v/>
      </c>
      <c r="E113" s="62">
        <f>D101</f>
        <v/>
      </c>
      <c r="F113" s="62">
        <f>E101</f>
        <v/>
      </c>
      <c r="G113" s="62">
        <f>F101</f>
        <v/>
      </c>
      <c r="H113" s="62">
        <f>G101</f>
        <v/>
      </c>
      <c r="I113" s="62">
        <f>H101</f>
        <v/>
      </c>
      <c r="J113" s="62">
        <f>I101</f>
        <v/>
      </c>
      <c r="K113" s="62">
        <f>J101</f>
        <v/>
      </c>
      <c r="L113" s="62">
        <f>K101</f>
        <v/>
      </c>
      <c r="M113" s="62">
        <f>L101</f>
        <v/>
      </c>
      <c r="N113" s="62">
        <f>M101</f>
        <v/>
      </c>
      <c r="O113" s="62">
        <f>N101</f>
        <v/>
      </c>
      <c r="P113" s="62">
        <f>O101</f>
        <v/>
      </c>
      <c r="Q113" s="62">
        <f>P101</f>
        <v/>
      </c>
      <c r="R113" s="62">
        <f>Q101</f>
        <v/>
      </c>
      <c r="S113" s="62">
        <f>R101</f>
        <v/>
      </c>
      <c r="T113" s="62">
        <f>S101</f>
        <v/>
      </c>
      <c r="U113" s="62">
        <f>T101</f>
        <v/>
      </c>
      <c r="V113" s="62">
        <f>U101</f>
        <v/>
      </c>
      <c r="W113" s="62">
        <f>V101</f>
        <v/>
      </c>
      <c r="X113" s="62" t="n"/>
    </row>
    <row r="114" ht="15.4" customHeight="1">
      <c r="B114" s="61" t="inlineStr">
        <is>
          <t>期未淨現金</t>
        </is>
      </c>
      <c r="C114" s="62" t="n">
        <v>0</v>
      </c>
      <c r="D114" s="62">
        <f>D99+D100</f>
        <v/>
      </c>
      <c r="E114" s="62">
        <f>E99+E100</f>
        <v/>
      </c>
      <c r="F114" s="62">
        <f>F99+F100</f>
        <v/>
      </c>
      <c r="G114" s="62">
        <f>G99+G100</f>
        <v/>
      </c>
      <c r="H114" s="62">
        <f>H99+H100</f>
        <v/>
      </c>
      <c r="I114" s="62">
        <f>I99+I100</f>
        <v/>
      </c>
      <c r="J114" s="62">
        <f>J99+J100</f>
        <v/>
      </c>
      <c r="K114" s="62">
        <f>K99+K100</f>
        <v/>
      </c>
      <c r="L114" s="62">
        <f>L99+L100</f>
        <v/>
      </c>
      <c r="M114" s="62">
        <f>M99+M100</f>
        <v/>
      </c>
      <c r="N114" s="62">
        <f>N99+N100</f>
        <v/>
      </c>
      <c r="O114" s="62">
        <f>O99+O100</f>
        <v/>
      </c>
      <c r="P114" s="62">
        <f>P99+P100</f>
        <v/>
      </c>
      <c r="Q114" s="62">
        <f>Q99+Q100</f>
        <v/>
      </c>
      <c r="R114" s="62">
        <f>R99+R100</f>
        <v/>
      </c>
      <c r="S114" s="62">
        <f>S99+S100</f>
        <v/>
      </c>
      <c r="T114" s="62">
        <f>T99+T100</f>
        <v/>
      </c>
      <c r="U114" s="62">
        <f>U99+U100</f>
        <v/>
      </c>
      <c r="V114" s="62">
        <f>V99+V100</f>
        <v/>
      </c>
      <c r="W114" s="62">
        <f>W99+W100</f>
        <v/>
      </c>
      <c r="X114" s="62" t="n"/>
    </row>
    <row r="115" ht="15.4" customHeight="1"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  <c r="M115" s="61" t="n"/>
      <c r="N115" s="61" t="n"/>
      <c r="O115" s="61" t="n"/>
      <c r="P115" s="61" t="n"/>
      <c r="Q115" s="61" t="n"/>
      <c r="R115" s="61" t="n"/>
      <c r="S115" s="61" t="n"/>
      <c r="T115" s="61" t="n"/>
      <c r="U115" s="61" t="n"/>
      <c r="V115" s="61" t="n"/>
      <c r="W115" s="61" t="n"/>
      <c r="X115" s="61" t="n"/>
    </row>
    <row r="116" ht="15.4" customHeight="1">
      <c r="B116" s="61" t="n"/>
      <c r="C116" s="61" t="n"/>
      <c r="D116" s="61" t="n"/>
      <c r="E116" s="61" t="n"/>
      <c r="F116" s="65" t="n"/>
      <c r="G116" s="61" t="n"/>
      <c r="H116" s="61" t="n"/>
      <c r="I116" s="61" t="n"/>
      <c r="J116" s="61" t="n"/>
      <c r="K116" s="61" t="n"/>
      <c r="L116" s="61" t="n"/>
      <c r="M116" s="61" t="n"/>
      <c r="N116" s="61" t="n"/>
      <c r="O116" s="61" t="n"/>
      <c r="P116" s="61" t="n"/>
      <c r="Q116" s="61" t="n"/>
      <c r="R116" s="61" t="n"/>
      <c r="S116" s="61" t="n"/>
      <c r="T116" s="61" t="n"/>
      <c r="U116" s="61" t="n"/>
      <c r="V116" s="61" t="n"/>
      <c r="W116" s="61" t="n"/>
      <c r="X116" s="61" t="n"/>
    </row>
    <row r="117" ht="15.4" customHeight="1">
      <c r="B117" s="75" t="inlineStr">
        <is>
          <t>成本法實際現金流</t>
        </is>
      </c>
      <c r="C117" s="76" t="n"/>
      <c r="D117" s="77">
        <f>-D94</f>
        <v/>
      </c>
      <c r="E117" s="64">
        <f>-E95-E96</f>
        <v/>
      </c>
      <c r="F117" s="64">
        <f>-F95-F96</f>
        <v/>
      </c>
      <c r="G117" s="64">
        <f>-G95-G96</f>
        <v/>
      </c>
      <c r="H117" s="64">
        <f>-H95-H96</f>
        <v/>
      </c>
      <c r="I117" s="64">
        <f>-I95-I96</f>
        <v/>
      </c>
      <c r="J117" s="64">
        <f>-J95-J96</f>
        <v/>
      </c>
      <c r="K117" s="64">
        <f>-K95-K96</f>
        <v/>
      </c>
      <c r="L117" s="64">
        <f>-L95-L96</f>
        <v/>
      </c>
      <c r="M117" s="64">
        <f>-M95-M96</f>
        <v/>
      </c>
      <c r="N117" s="64">
        <f>-N95-N96</f>
        <v/>
      </c>
      <c r="O117" s="64">
        <f>-O95-O96</f>
        <v/>
      </c>
      <c r="P117" s="64">
        <f>-P95-P96</f>
        <v/>
      </c>
      <c r="Q117" s="64">
        <f>-Q95-Q96</f>
        <v/>
      </c>
      <c r="R117" s="64">
        <f>-R95-R96</f>
        <v/>
      </c>
      <c r="S117" s="64">
        <f>-S95-S96</f>
        <v/>
      </c>
      <c r="T117" s="64">
        <f>-T95-T96</f>
        <v/>
      </c>
      <c r="U117" s="64">
        <f>-U95-U96</f>
        <v/>
      </c>
      <c r="V117" s="64">
        <f>-V95-V96</f>
        <v/>
      </c>
      <c r="W117" s="64">
        <f>-W95-W96</f>
        <v/>
      </c>
      <c r="X117" s="64" t="n"/>
    </row>
    <row r="118" ht="15.4" customHeight="1">
      <c r="B118" s="61" t="inlineStr">
        <is>
          <t>成本法IRR</t>
        </is>
      </c>
      <c r="C118" s="78">
        <f>IRR(D104:X104)</f>
        <v/>
      </c>
      <c r="D118" s="65" t="n"/>
      <c r="E118" s="65" t="n"/>
      <c r="F118" s="61" t="n"/>
      <c r="G118" s="61" t="n"/>
      <c r="H118" s="61" t="n"/>
      <c r="I118" s="61" t="n"/>
      <c r="J118" s="61" t="n"/>
      <c r="K118" s="61" t="n"/>
      <c r="L118" s="61" t="n"/>
      <c r="M118" s="61" t="n"/>
      <c r="N118" s="61" t="n"/>
      <c r="O118" s="61" t="n"/>
      <c r="P118" s="61" t="n"/>
      <c r="Q118" s="61" t="n"/>
      <c r="R118" s="61" t="n"/>
      <c r="S118" s="61" t="n"/>
      <c r="T118" s="61" t="n"/>
      <c r="U118" s="61" t="n"/>
      <c r="V118" s="61" t="n"/>
      <c r="W118" s="61" t="n"/>
      <c r="X118" s="65" t="n"/>
    </row>
    <row r="119" ht="15.4" customHeight="1">
      <c r="B119" s="75" t="inlineStr">
        <is>
          <t>權益法實際現金流</t>
        </is>
      </c>
      <c r="C119" s="76" t="n"/>
      <c r="D119" s="77">
        <f>D85-D94</f>
        <v/>
      </c>
      <c r="E119" s="64">
        <f>E85</f>
        <v/>
      </c>
      <c r="F119" s="64">
        <f>F85-F96</f>
        <v/>
      </c>
      <c r="G119" s="64">
        <f>G85-G96</f>
        <v/>
      </c>
      <c r="H119" s="64">
        <f>H85-H96</f>
        <v/>
      </c>
      <c r="I119" s="64">
        <f>I85-I96</f>
        <v/>
      </c>
      <c r="J119" s="64">
        <f>J85-J96</f>
        <v/>
      </c>
      <c r="K119" s="64">
        <f>K85-K96</f>
        <v/>
      </c>
      <c r="L119" s="64">
        <f>L85-L96</f>
        <v/>
      </c>
      <c r="M119" s="64">
        <f>M85-M96</f>
        <v/>
      </c>
      <c r="N119" s="64">
        <f>N85-N96</f>
        <v/>
      </c>
      <c r="O119" s="64">
        <f>O85-O96</f>
        <v/>
      </c>
      <c r="P119" s="64">
        <f>P85-P96</f>
        <v/>
      </c>
      <c r="Q119" s="64">
        <f>Q85-Q96</f>
        <v/>
      </c>
      <c r="R119" s="64">
        <f>R85-R96</f>
        <v/>
      </c>
      <c r="S119" s="64">
        <f>S85-S96</f>
        <v/>
      </c>
      <c r="T119" s="64">
        <f>T85-T96</f>
        <v/>
      </c>
      <c r="U119" s="64">
        <f>U85-U96</f>
        <v/>
      </c>
      <c r="V119" s="64">
        <f>V85-V96</f>
        <v/>
      </c>
      <c r="W119" s="64">
        <f>W85-W96</f>
        <v/>
      </c>
      <c r="X119" s="64" t="n"/>
    </row>
    <row r="120" ht="15.4" customHeight="1">
      <c r="B120" s="75" t="inlineStr">
        <is>
          <t>權益法IRR</t>
        </is>
      </c>
      <c r="C120" s="79">
        <f>IRR(D106:W106)</f>
        <v/>
      </c>
      <c r="D120" s="65" t="n"/>
      <c r="E120" s="65" t="n"/>
      <c r="F120" s="61" t="n"/>
      <c r="G120" s="61" t="n"/>
      <c r="H120" s="61" t="n"/>
      <c r="I120" s="61" t="n"/>
      <c r="J120" s="61" t="n"/>
      <c r="K120" s="61" t="n"/>
      <c r="L120" s="61" t="n"/>
      <c r="M120" s="61" t="n"/>
      <c r="N120" s="61" t="n"/>
      <c r="O120" s="61" t="n"/>
      <c r="P120" s="61" t="n"/>
      <c r="Q120" s="61" t="n"/>
      <c r="R120" s="61" t="n"/>
      <c r="S120" s="61" t="n"/>
      <c r="T120" s="61" t="n"/>
      <c r="U120" s="61" t="n"/>
      <c r="V120" s="61" t="n"/>
      <c r="W120" s="61" t="n"/>
      <c r="X120" s="65" t="n"/>
    </row>
    <row r="121" ht="15.4" customHeight="1"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  <c r="M121" s="61" t="n"/>
      <c r="N121" s="61" t="n"/>
      <c r="O121" s="61" t="n"/>
      <c r="P121" s="61" t="n"/>
      <c r="Q121" s="61" t="n"/>
      <c r="R121" s="61" t="n"/>
      <c r="S121" s="61" t="n"/>
      <c r="T121" s="61" t="n"/>
      <c r="U121" s="61" t="n"/>
      <c r="V121" s="61" t="n"/>
      <c r="W121" s="61" t="n"/>
      <c r="X121" s="61" t="n"/>
    </row>
    <row r="122" ht="15.4" customHeight="1">
      <c r="B122" s="61" t="inlineStr">
        <is>
          <t>借款餘額</t>
        </is>
      </c>
      <c r="C122" s="62" t="n">
        <v>0</v>
      </c>
      <c r="D122" s="62">
        <f>D92</f>
        <v/>
      </c>
      <c r="E122" s="62">
        <f>D109+E93</f>
        <v/>
      </c>
      <c r="F122" s="62">
        <f>E109+F93</f>
        <v/>
      </c>
      <c r="G122" s="62">
        <f>F109+G93</f>
        <v/>
      </c>
      <c r="H122" s="62">
        <f>G109+H93</f>
        <v/>
      </c>
      <c r="I122" s="62">
        <f>H109+I93</f>
        <v/>
      </c>
      <c r="J122" s="62">
        <f>I109+J93</f>
        <v/>
      </c>
      <c r="K122" s="62">
        <f>J109+K93</f>
        <v/>
      </c>
      <c r="L122" s="62">
        <f>K109+L93</f>
        <v/>
      </c>
      <c r="M122" s="62">
        <f>L109+M93</f>
        <v/>
      </c>
      <c r="N122" s="62">
        <f>M109+N93</f>
        <v/>
      </c>
      <c r="O122" s="62">
        <f>N109+O93</f>
        <v/>
      </c>
      <c r="P122" s="62">
        <f>O109+P93</f>
        <v/>
      </c>
      <c r="Q122" s="62">
        <f>P109+Q93</f>
        <v/>
      </c>
      <c r="R122" s="62">
        <f>Q109+R93</f>
        <v/>
      </c>
      <c r="S122" s="62">
        <f>R109+S93</f>
        <v/>
      </c>
      <c r="T122" s="62">
        <f>S109+T93</f>
        <v/>
      </c>
      <c r="U122" s="62">
        <f>T109+U93</f>
        <v/>
      </c>
      <c r="V122" s="62">
        <f>U109+V93</f>
        <v/>
      </c>
      <c r="W122" s="62">
        <f>V109+W93</f>
        <v/>
      </c>
      <c r="X122" s="6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80" t="inlineStr">
        <is>
          <t>電站基本資料</t>
        </is>
      </c>
      <c r="C1" s="81" t="n"/>
      <c r="D1" s="81" t="n"/>
      <c r="E1" s="82" t="n"/>
    </row>
    <row r="2" ht="21.75" customHeight="1">
      <c r="B2" s="83" t="inlineStr">
        <is>
          <t>電站名稱</t>
        </is>
      </c>
      <c r="C2" s="84" t="inlineStr">
        <is>
          <t>淡江大學-財務模擬案場</t>
        </is>
      </c>
      <c r="D2" s="85" t="inlineStr">
        <is>
          <t>-</t>
        </is>
      </c>
      <c r="E2" s="85" t="inlineStr">
        <is>
          <t>-</t>
        </is>
      </c>
    </row>
    <row r="3" ht="21.75" customHeight="1">
      <c r="B3" s="86" t="inlineStr">
        <is>
          <t>電站壽命</t>
        </is>
      </c>
      <c r="C3" s="87" t="n">
        <v>20</v>
      </c>
      <c r="D3" s="88" t="inlineStr">
        <is>
          <t>-</t>
        </is>
      </c>
      <c r="E3" s="88" t="inlineStr">
        <is>
          <t>-</t>
        </is>
      </c>
    </row>
    <row r="4" ht="21.75" customHeight="1">
      <c r="B4" s="86" t="inlineStr">
        <is>
          <t>建置量(kWp)</t>
        </is>
      </c>
      <c r="C4" s="87" t="n">
        <v>436.1</v>
      </c>
      <c r="D4" s="88" t="inlineStr">
        <is>
          <t>-</t>
        </is>
      </c>
      <c r="E4" s="88" t="inlineStr">
        <is>
          <t>-</t>
        </is>
      </c>
      <c r="M4" t="inlineStr">
        <is>
          <t>滾算紀錄編號: 7</t>
        </is>
      </c>
    </row>
    <row r="5" ht="22.5" customHeight="1">
      <c r="B5" s="87" t="inlineStr">
        <is>
          <t>起始年度</t>
        </is>
      </c>
      <c r="C5" s="87" t="n">
        <v>2023</v>
      </c>
      <c r="D5" s="87" t="inlineStr">
        <is>
          <t>結束年度</t>
        </is>
      </c>
      <c r="E5" s="87" t="n">
        <v>2042</v>
      </c>
      <c r="M5" t="inlineStr">
        <is>
          <t>第6次滾算摘要</t>
        </is>
      </c>
    </row>
    <row r="6" ht="20.25" customHeight="1">
      <c r="B6" s="89" t="n"/>
      <c r="C6" s="89" t="n"/>
      <c r="D6" s="89" t="n"/>
      <c r="E6" s="89" t="n"/>
      <c r="M6" t="inlineStr">
        <is>
          <t>價金: 24000</t>
        </is>
      </c>
    </row>
    <row r="7" ht="22.5" customHeight="1">
      <c r="B7" s="90" t="inlineStr">
        <is>
          <t>綜合損益表</t>
        </is>
      </c>
      <c r="C7" s="81" t="n"/>
      <c r="D7" s="81" t="n"/>
      <c r="E7" s="82" t="n"/>
      <c r="M7" t="inlineStr">
        <is>
          <t>專案IRR: 6.59</t>
        </is>
      </c>
    </row>
    <row r="8" ht="22.5" customHeight="1">
      <c r="B8" s="91" t="inlineStr">
        <is>
          <t>收入</t>
        </is>
      </c>
      <c r="C8" s="92" t="n"/>
      <c r="D8" s="92" t="n"/>
      <c r="E8" s="93" t="n"/>
      <c r="M8" t="inlineStr">
        <is>
          <t>權益法IRR: 20.81</t>
        </is>
      </c>
    </row>
    <row r="9" ht="22.5" customHeight="1">
      <c r="B9" s="94" t="inlineStr">
        <is>
          <t>收支項目</t>
        </is>
      </c>
      <c r="C9" s="95" t="inlineStr">
        <is>
          <t>相關參數</t>
        </is>
      </c>
      <c r="D9" s="95" t="inlineStr">
        <is>
          <t>參數數值</t>
        </is>
      </c>
      <c r="E9" s="96" t="inlineStr">
        <is>
          <t>年限</t>
        </is>
      </c>
      <c r="M9" t="inlineStr">
        <is>
          <t>利潤率: 20.00%</t>
        </is>
      </c>
    </row>
    <row r="10" ht="21.75" customHeight="1">
      <c r="B10" s="97" t="inlineStr">
        <is>
          <t>電費收入</t>
        </is>
      </c>
      <c r="C10" s="84" t="inlineStr">
        <is>
          <t>年度AC併網總發電量</t>
        </is>
      </c>
      <c r="D10" s="84" t="n">
        <v>547002</v>
      </c>
      <c r="E10" s="97" t="n">
        <v>20</v>
      </c>
      <c r="M10" t="inlineStr">
        <is>
          <t>第6次滾算，減少 1000 元 - 現金模式，每次減少 1000 元</t>
        </is>
      </c>
    </row>
    <row r="11" ht="21.75" customHeight="1">
      <c r="B11" s="98" t="n"/>
      <c r="C11" s="87" t="inlineStr">
        <is>
          <t>首年衰退率</t>
        </is>
      </c>
      <c r="D11" s="87" t="n">
        <v>0.01</v>
      </c>
      <c r="E11" s="98" t="n"/>
    </row>
    <row r="12" ht="21.75" customHeight="1">
      <c r="B12" s="98" t="n"/>
      <c r="C12" s="87" t="inlineStr">
        <is>
          <t>次年衰退率</t>
        </is>
      </c>
      <c r="D12" s="87" t="n">
        <v>0.004</v>
      </c>
      <c r="E12" s="98" t="n"/>
    </row>
    <row r="13" ht="22.5" customHeight="1">
      <c r="B13" s="98" t="n"/>
      <c r="C13" s="99" t="inlineStr">
        <is>
          <t>躉售費率(FIT)</t>
        </is>
      </c>
      <c r="D13" s="99" t="n">
        <v>3.7152</v>
      </c>
      <c r="E13" s="98" t="n"/>
    </row>
    <row r="14" ht="22.5" customHeight="1">
      <c r="B14" s="100" t="inlineStr">
        <is>
          <t>支出</t>
        </is>
      </c>
      <c r="C14" s="81" t="n"/>
      <c r="D14" s="81" t="n"/>
      <c r="E14" s="82" t="n"/>
    </row>
    <row r="15" ht="22.5" customHeight="1">
      <c r="B15" s="94" t="inlineStr">
        <is>
          <t>收支項目</t>
        </is>
      </c>
      <c r="C15" s="95" t="inlineStr">
        <is>
          <t>相關參數</t>
        </is>
      </c>
      <c r="D15" s="95" t="inlineStr">
        <is>
          <t>參數數值</t>
        </is>
      </c>
      <c r="E15" s="101" t="inlineStr">
        <is>
          <t>攤提年限</t>
        </is>
      </c>
    </row>
    <row r="16" ht="21.75" customHeight="1">
      <c r="B16" s="102" t="inlineStr">
        <is>
          <t>設備費用(價金)</t>
        </is>
      </c>
      <c r="C16" s="83" t="inlineStr">
        <is>
          <t>每kWp設備成本</t>
        </is>
      </c>
      <c r="D16" s="84" t="n">
        <v>24000</v>
      </c>
      <c r="E16" s="103" t="n">
        <v>20</v>
      </c>
    </row>
    <row r="17" ht="21.75" customHeight="1">
      <c r="B17" s="98" t="n"/>
      <c r="C17" s="87" t="inlineStr">
        <is>
          <t>信邦利潤率</t>
        </is>
      </c>
      <c r="D17" s="87" t="n">
        <v>0.2</v>
      </c>
      <c r="E17" s="98" t="n"/>
    </row>
    <row r="18" ht="21.75" customHeight="1">
      <c r="B18" s="104" t="n"/>
      <c r="C18" s="87" t="inlineStr">
        <is>
          <t>開發費</t>
        </is>
      </c>
      <c r="D18" s="87" t="n">
        <v>2000</v>
      </c>
      <c r="E18" s="104" t="n"/>
    </row>
    <row r="19" ht="54" customHeight="1">
      <c r="B19" s="105" t="inlineStr">
        <is>
          <t>租金費用</t>
        </is>
      </c>
      <c r="C19" s="106" t="inlineStr">
        <is>
          <t>租金計算方式
(1=固定攤提/2=電費抽成)</t>
        </is>
      </c>
      <c r="D19" s="87" t="n">
        <v>1</v>
      </c>
      <c r="E19" s="85" t="n">
        <v>0</v>
      </c>
    </row>
    <row r="20" ht="20.25" customHeight="1">
      <c r="B20" s="98" t="n"/>
      <c r="C20" s="107" t="inlineStr">
        <is>
          <t>【方式1參數】租金總額</t>
        </is>
      </c>
      <c r="D20" s="87" t="n">
        <v>5804025</v>
      </c>
      <c r="E20" s="85" t="n">
        <v>20</v>
      </c>
    </row>
    <row r="21" ht="21.75" customHeight="1">
      <c r="B21" s="104" t="n"/>
      <c r="C21" s="87" t="inlineStr">
        <is>
          <t>【方式2參數】抽成比率</t>
        </is>
      </c>
      <c r="D21" s="87" t="n">
        <v>0</v>
      </c>
      <c r="E21" s="88" t="n">
        <v>0</v>
      </c>
    </row>
    <row r="22" ht="21.75" customHeight="1">
      <c r="B22" s="87" t="inlineStr">
        <is>
          <t>運維費用</t>
        </is>
      </c>
      <c r="C22" s="87" t="inlineStr">
        <is>
          <t>每kw運維成本</t>
        </is>
      </c>
      <c r="D22" s="87" t="n">
        <v>400</v>
      </c>
      <c r="E22" s="88" t="n">
        <v>20</v>
      </c>
    </row>
    <row r="23" ht="21.75" customHeight="1">
      <c r="B23" s="87" t="inlineStr">
        <is>
          <t>保險費用</t>
        </is>
      </c>
      <c r="C23" s="86" t="inlineStr">
        <is>
          <t>占整體設備費用比例</t>
        </is>
      </c>
      <c r="D23" s="87" t="n">
        <v>0.003</v>
      </c>
      <c r="E23" s="88" t="n">
        <v>20</v>
      </c>
    </row>
    <row r="24" ht="21.75" customHeight="1">
      <c r="B24" s="87" t="inlineStr">
        <is>
          <t>模組回收費用</t>
        </is>
      </c>
      <c r="C24" s="87" t="inlineStr">
        <is>
          <t>每kw模組回收成本</t>
        </is>
      </c>
      <c r="D24" s="87" t="n">
        <v>1000</v>
      </c>
      <c r="E24" s="88" t="n">
        <v>10</v>
      </c>
    </row>
    <row r="25" ht="21.75" customHeight="1">
      <c r="B25" s="87" t="inlineStr">
        <is>
          <t>利息費用</t>
        </is>
      </c>
      <c r="C25" s="87" t="inlineStr">
        <is>
          <t>銀行利率</t>
        </is>
      </c>
      <c r="D25" s="108" t="n">
        <v>0.025595</v>
      </c>
      <c r="E25" s="88" t="n">
        <v>0</v>
      </c>
    </row>
    <row r="26" ht="22.5" customHeight="1">
      <c r="B26" s="87" t="inlineStr">
        <is>
          <t>所得稅</t>
        </is>
      </c>
      <c r="C26" s="87" t="inlineStr">
        <is>
          <t>所得稅率</t>
        </is>
      </c>
      <c r="D26" s="87" t="n">
        <v>0.2</v>
      </c>
      <c r="E26" s="88" t="n">
        <v>0</v>
      </c>
    </row>
    <row r="27" ht="20.25" customHeight="1">
      <c r="B27" s="89" t="n"/>
      <c r="C27" s="89" t="n"/>
      <c r="D27" s="89" t="n"/>
      <c r="E27" s="89" t="n"/>
    </row>
    <row r="28" ht="20.25" customHeight="1">
      <c r="B28" s="89" t="n"/>
      <c r="C28" s="89" t="n"/>
      <c r="D28" s="89" t="n"/>
      <c r="E28" s="89" t="n"/>
    </row>
    <row r="29" ht="22.5" customHeight="1">
      <c r="B29" s="90" t="inlineStr">
        <is>
          <t>現金流量表</t>
        </is>
      </c>
      <c r="C29" s="81" t="n"/>
      <c r="D29" s="82" t="n"/>
      <c r="E29" s="89" t="n"/>
    </row>
    <row r="30" ht="22.5" customHeight="1">
      <c r="B30" s="94" t="inlineStr">
        <is>
          <t>金流項目</t>
        </is>
      </c>
      <c r="C30" s="95" t="inlineStr">
        <is>
          <t>相關參數</t>
        </is>
      </c>
      <c r="D30" s="101" t="inlineStr">
        <is>
          <t>參數數值</t>
        </is>
      </c>
      <c r="E30" s="89" t="n"/>
    </row>
    <row r="31" ht="18.75" customHeight="1">
      <c r="B31" s="83" t="inlineStr">
        <is>
          <t>貸款成數</t>
        </is>
      </c>
      <c r="C31" s="83" t="inlineStr">
        <is>
          <t>占總設備費用比例</t>
        </is>
      </c>
      <c r="D31" s="84" t="n">
        <v>0.8</v>
      </c>
      <c r="E31" s="89" t="n"/>
    </row>
    <row r="32" ht="18.75" customHeight="1">
      <c r="B32" s="84" t="inlineStr">
        <is>
          <t>貸款還款</t>
        </is>
      </c>
      <c r="C32" s="84" t="inlineStr">
        <is>
          <t>攤還期數</t>
        </is>
      </c>
      <c r="D32" s="84" t="n">
        <v>15</v>
      </c>
      <c r="E32" s="89" t="n"/>
    </row>
    <row r="33" ht="18.75" customHeight="1">
      <c r="B33" s="87" t="inlineStr">
        <is>
          <t>現金股利</t>
        </is>
      </c>
      <c r="C33" s="87" t="inlineStr">
        <is>
          <t>股利比率</t>
        </is>
      </c>
      <c r="D33" s="87" t="n">
        <v>0.9</v>
      </c>
      <c r="E33" s="89" t="n"/>
    </row>
    <row r="34" ht="18.75" customHeight="1">
      <c r="B34" s="87" t="inlineStr">
        <is>
          <t>年底減資</t>
        </is>
      </c>
      <c r="C34" s="87" t="inlineStr">
        <is>
          <t>攤還期數</t>
        </is>
      </c>
      <c r="D34" s="87" t="n">
        <v>4</v>
      </c>
      <c r="E34" s="89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09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0" t="n"/>
    </row>
    <row r="40" ht="18.75" customHeight="1">
      <c r="B40" s="20" t="inlineStr">
        <is>
          <t>發電度數(KWH)</t>
        </is>
      </c>
      <c r="C40" s="21" t="n">
        <v>0</v>
      </c>
      <c r="D40" s="22">
        <f>$D$10*0.99</f>
        <v/>
      </c>
      <c r="E40" s="22">
        <f>$D$10*0.986</f>
        <v/>
      </c>
      <c r="F40" s="22">
        <f>$D$10*0.982</f>
        <v/>
      </c>
      <c r="G40" s="22">
        <f>$D$10*0.978</f>
        <v/>
      </c>
      <c r="H40" s="22">
        <f>$D$10*0.974</f>
        <v/>
      </c>
      <c r="I40" s="22">
        <f>$D$10*0.97</f>
        <v/>
      </c>
      <c r="J40" s="22">
        <f>$D$10*0.966</f>
        <v/>
      </c>
      <c r="K40" s="22">
        <f>$D$10*0.962</f>
        <v/>
      </c>
      <c r="L40" s="22">
        <f>$D$10*0.958</f>
        <v/>
      </c>
      <c r="M40" s="22">
        <f>$D$10*0.954</f>
        <v/>
      </c>
      <c r="N40" s="22">
        <f>$D$10*0.95</f>
        <v/>
      </c>
      <c r="O40" s="22">
        <f>$D$10*0.946</f>
        <v/>
      </c>
      <c r="P40" s="22">
        <f>$D$10*0.942</f>
        <v/>
      </c>
      <c r="Q40" s="22">
        <f>$D$10*0.938</f>
        <v/>
      </c>
      <c r="R40" s="22">
        <f>$D$10*0.934</f>
        <v/>
      </c>
      <c r="S40" s="22">
        <f>$D$10*0.93</f>
        <v/>
      </c>
      <c r="T40" s="22">
        <f>$D$10*0.926</f>
        <v/>
      </c>
      <c r="U40" s="22">
        <f>$D$10*0.922</f>
        <v/>
      </c>
      <c r="V40" s="22">
        <f>$D$10*0.918</f>
        <v/>
      </c>
      <c r="W40" s="22">
        <f>$D$10*0.914</f>
        <v/>
      </c>
      <c r="X40" s="111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2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3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4" t="n"/>
    </row>
    <row r="44" ht="18.75" customHeight="1">
      <c r="B44" s="32" t="inlineStr">
        <is>
          <t>Outflow : 設備費用</t>
        </is>
      </c>
      <c r="C44" s="27">
        <f>-(D16/(1-D17)+D18)*C4</f>
        <v/>
      </c>
      <c r="D44" s="33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113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28" t="n">
        <v>0</v>
      </c>
      <c r="E45" s="28" t="n">
        <v>-290201.25</v>
      </c>
      <c r="F45" s="28" t="n">
        <v>-290201.25</v>
      </c>
      <c r="G45" s="28" t="n">
        <v>-290201.25</v>
      </c>
      <c r="H45" s="28" t="n">
        <v>-290201.25</v>
      </c>
      <c r="I45" s="28" t="n">
        <v>-290201.25</v>
      </c>
      <c r="J45" s="28" t="n">
        <v>-290201.25</v>
      </c>
      <c r="K45" s="28" t="n">
        <v>-290201.25</v>
      </c>
      <c r="L45" s="28" t="n">
        <v>-290201.25</v>
      </c>
      <c r="M45" s="28" t="n">
        <v>-290201.25</v>
      </c>
      <c r="N45" s="28" t="n">
        <v>-290201.25</v>
      </c>
      <c r="O45" s="28" t="n">
        <v>-290201.25</v>
      </c>
      <c r="P45" s="28" t="n">
        <v>-290201.25</v>
      </c>
      <c r="Q45" s="28" t="n">
        <v>-290201.25</v>
      </c>
      <c r="R45" s="28" t="n">
        <v>-290201.25</v>
      </c>
      <c r="S45" s="28" t="n">
        <v>-290201.25</v>
      </c>
      <c r="T45" s="28" t="n">
        <v>-290201.25</v>
      </c>
      <c r="U45" s="28" t="n">
        <v>-290201.25</v>
      </c>
      <c r="V45" s="28" t="n">
        <v>-290201.25</v>
      </c>
      <c r="W45" s="28" t="n">
        <v>-290201.25</v>
      </c>
      <c r="X45" s="113" t="n"/>
    </row>
    <row r="46" ht="18.75" customHeight="1">
      <c r="B46" s="32" t="inlineStr">
        <is>
          <t>Outflow : 返還借款</t>
        </is>
      </c>
      <c r="C46" s="27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113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113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28" t="n">
        <v>-174440</v>
      </c>
      <c r="E48" s="28" t="n">
        <v>-174440</v>
      </c>
      <c r="F48" s="28" t="n">
        <v>-174440</v>
      </c>
      <c r="G48" s="28" t="n">
        <v>-174440</v>
      </c>
      <c r="H48" s="28" t="n">
        <v>-174440</v>
      </c>
      <c r="I48" s="28" t="n">
        <v>-174440</v>
      </c>
      <c r="J48" s="28" t="n">
        <v>-174440</v>
      </c>
      <c r="K48" s="28" t="n">
        <v>-174440</v>
      </c>
      <c r="L48" s="28" t="n">
        <v>-174440</v>
      </c>
      <c r="M48" s="28" t="n">
        <v>-174440</v>
      </c>
      <c r="N48" s="28" t="n">
        <v>-174440</v>
      </c>
      <c r="O48" s="28" t="n">
        <v>-174440</v>
      </c>
      <c r="P48" s="28" t="n">
        <v>-174440</v>
      </c>
      <c r="Q48" s="28" t="n">
        <v>-174440</v>
      </c>
      <c r="R48" s="28" t="n">
        <v>-174440</v>
      </c>
      <c r="S48" s="28" t="n">
        <v>-174440</v>
      </c>
      <c r="T48" s="28" t="n">
        <v>-174440</v>
      </c>
      <c r="U48" s="28" t="n">
        <v>-174440</v>
      </c>
      <c r="V48" s="28" t="n">
        <v>-174440</v>
      </c>
      <c r="W48" s="28" t="n">
        <v>-174440</v>
      </c>
      <c r="X48" s="113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28" t="n">
        <v>-31399.2</v>
      </c>
      <c r="E49" s="28" t="n">
        <v>-31399.2</v>
      </c>
      <c r="F49" s="28" t="n">
        <v>-31399.2</v>
      </c>
      <c r="G49" s="28" t="n">
        <v>-31399.2</v>
      </c>
      <c r="H49" s="28" t="n">
        <v>-31399.2</v>
      </c>
      <c r="I49" s="28" t="n">
        <v>-31399.2</v>
      </c>
      <c r="J49" s="28" t="n">
        <v>-31399.2</v>
      </c>
      <c r="K49" s="28" t="n">
        <v>-31399.2</v>
      </c>
      <c r="L49" s="28" t="n">
        <v>-31399.2</v>
      </c>
      <c r="M49" s="28" t="n">
        <v>-31399.2</v>
      </c>
      <c r="N49" s="28" t="n">
        <v>-31399.2</v>
      </c>
      <c r="O49" s="28" t="n">
        <v>-31399.2</v>
      </c>
      <c r="P49" s="28" t="n">
        <v>-31399.2</v>
      </c>
      <c r="Q49" s="28" t="n">
        <v>-31399.2</v>
      </c>
      <c r="R49" s="28" t="n">
        <v>-31399.2</v>
      </c>
      <c r="S49" s="28" t="n">
        <v>-31399.2</v>
      </c>
      <c r="T49" s="28" t="n">
        <v>-31399.2</v>
      </c>
      <c r="U49" s="28" t="n">
        <v>-31399.2</v>
      </c>
      <c r="V49" s="28" t="n">
        <v>-31399.2</v>
      </c>
      <c r="W49" s="28" t="n">
        <v>-31399.2</v>
      </c>
      <c r="X49" s="113" t="n"/>
    </row>
    <row r="50" ht="18.75" customHeight="1">
      <c r="B50" s="32" t="inlineStr">
        <is>
          <t>Outflow : 模組回收費</t>
        </is>
      </c>
      <c r="C50" s="27" t="n"/>
      <c r="D50" s="28" t="n">
        <v>-43610</v>
      </c>
      <c r="E50" s="28" t="n">
        <v>-43610</v>
      </c>
      <c r="F50" s="28" t="n">
        <v>-43610</v>
      </c>
      <c r="G50" s="28" t="n">
        <v>-43610</v>
      </c>
      <c r="H50" s="28" t="n">
        <v>-43610</v>
      </c>
      <c r="I50" s="28" t="n">
        <v>-43610</v>
      </c>
      <c r="J50" s="28" t="n">
        <v>-43610</v>
      </c>
      <c r="K50" s="28" t="n">
        <v>-43610</v>
      </c>
      <c r="L50" s="28" t="n">
        <v>-43610</v>
      </c>
      <c r="M50" s="28" t="n">
        <v>-43610</v>
      </c>
      <c r="N50" s="28" t="n">
        <v>0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113" t="n"/>
    </row>
    <row r="51" ht="18.75" customHeight="1">
      <c r="B51" s="32" t="inlineStr">
        <is>
          <t>Outflow : 其它費用(人事薪資…等)</t>
        </is>
      </c>
      <c r="C51" s="34" t="n"/>
      <c r="D51" s="35" t="n"/>
      <c r="E51" s="36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113" t="n"/>
    </row>
    <row r="52" ht="18.75" customHeight="1">
      <c r="B52" s="32" t="inlineStr">
        <is>
          <t>1%管理費</t>
        </is>
      </c>
      <c r="C52" s="34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113" t="n"/>
    </row>
    <row r="53" ht="18.75" customHeight="1">
      <c r="B53" s="37" t="inlineStr">
        <is>
          <t>績效獎金</t>
        </is>
      </c>
      <c r="C53" s="34" t="n"/>
      <c r="D53" s="38" t="n"/>
      <c r="E53" s="3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113" t="n"/>
    </row>
    <row r="54" ht="18.75" customHeight="1">
      <c r="B54" s="37" t="inlineStr">
        <is>
          <t>所得稅20%</t>
        </is>
      </c>
      <c r="C54" s="34" t="n"/>
      <c r="D54" s="28">
        <f>D77</f>
        <v/>
      </c>
      <c r="E54" s="28">
        <f>E77</f>
        <v/>
      </c>
      <c r="F54" s="28">
        <f>F77</f>
        <v/>
      </c>
      <c r="G54" s="28">
        <f>G77</f>
        <v/>
      </c>
      <c r="H54" s="28">
        <f>H77</f>
        <v/>
      </c>
      <c r="I54" s="28">
        <f>I77</f>
        <v/>
      </c>
      <c r="J54" s="28">
        <f>J77</f>
        <v/>
      </c>
      <c r="K54" s="28">
        <f>K77</f>
        <v/>
      </c>
      <c r="L54" s="28">
        <f>L77</f>
        <v/>
      </c>
      <c r="M54" s="28">
        <f>M77</f>
        <v/>
      </c>
      <c r="N54" s="28">
        <f>N77</f>
        <v/>
      </c>
      <c r="O54" s="28">
        <f>O77</f>
        <v/>
      </c>
      <c r="P54" s="28">
        <f>P77</f>
        <v/>
      </c>
      <c r="Q54" s="28">
        <f>Q77</f>
        <v/>
      </c>
      <c r="R54" s="28">
        <f>R77</f>
        <v/>
      </c>
      <c r="S54" s="28">
        <f>S77</f>
        <v/>
      </c>
      <c r="T54" s="28">
        <f>T77</f>
        <v/>
      </c>
      <c r="U54" s="28">
        <f>U77</f>
        <v/>
      </c>
      <c r="V54" s="28">
        <f>V77</f>
        <v/>
      </c>
      <c r="W54" s="28">
        <f>W77</f>
        <v/>
      </c>
      <c r="X54" s="28" t="n"/>
    </row>
    <row r="55" ht="18.75" customHeight="1">
      <c r="B55" s="39" t="inlineStr">
        <is>
          <t>現金流</t>
        </is>
      </c>
      <c r="C55" s="40">
        <f>C44</f>
        <v/>
      </c>
      <c r="D55" s="41">
        <f>SUM(D41:D54)</f>
        <v/>
      </c>
      <c r="E55" s="41">
        <f>SUM(E41:E54)</f>
        <v/>
      </c>
      <c r="F55" s="41">
        <f>SUM(F41:F54)</f>
        <v/>
      </c>
      <c r="G55" s="41">
        <f>SUM(G41:G54)</f>
        <v/>
      </c>
      <c r="H55" s="41">
        <f>SUM(H41:H54)</f>
        <v/>
      </c>
      <c r="I55" s="41">
        <f>SUM(I41:I54)</f>
        <v/>
      </c>
      <c r="J55" s="41">
        <f>SUM(J41:J54)</f>
        <v/>
      </c>
      <c r="K55" s="41">
        <f>SUM(K41:K54)</f>
        <v/>
      </c>
      <c r="L55" s="41">
        <f>SUM(L41:L54)</f>
        <v/>
      </c>
      <c r="M55" s="41">
        <f>SUM(M41:M54)</f>
        <v/>
      </c>
      <c r="N55" s="41">
        <f>SUM(N41:N54)</f>
        <v/>
      </c>
      <c r="O55" s="41">
        <f>SUM(O41:O54)</f>
        <v/>
      </c>
      <c r="P55" s="41">
        <f>SUM(P41:P54)</f>
        <v/>
      </c>
      <c r="Q55" s="41">
        <f>SUM(Q41:Q54)</f>
        <v/>
      </c>
      <c r="R55" s="41">
        <f>SUM(R41:R54)</f>
        <v/>
      </c>
      <c r="S55" s="41">
        <f>SUM(S41:S54)</f>
        <v/>
      </c>
      <c r="T55" s="41">
        <f>SUM(T41:T54)</f>
        <v/>
      </c>
      <c r="U55" s="41">
        <f>SUM(U41:U54)</f>
        <v/>
      </c>
      <c r="V55" s="41">
        <f>SUM(V41:V54)</f>
        <v/>
      </c>
      <c r="W55" s="41">
        <f>SUM(W41:W54)</f>
        <v/>
      </c>
      <c r="X55" s="41" t="n"/>
      <c r="Y55" s="115" t="n"/>
      <c r="Z55" s="116" t="n"/>
      <c r="AA55" s="115" t="n"/>
      <c r="AB55" s="115" t="n"/>
      <c r="AC55" s="115" t="n"/>
      <c r="AD55" s="115" t="n"/>
      <c r="AE55" s="115" t="n"/>
      <c r="AF55" s="115" t="n"/>
      <c r="AG55" s="115" t="n"/>
      <c r="AH55" s="115" t="n"/>
      <c r="AI55" s="115" t="n"/>
      <c r="AJ55" s="115" t="n"/>
    </row>
    <row r="56" ht="18.75" customHeight="1">
      <c r="B56" s="42" t="inlineStr">
        <is>
          <t>累計現金流</t>
        </is>
      </c>
      <c r="D56" s="43">
        <f>C55+D55</f>
        <v/>
      </c>
      <c r="E56" s="43">
        <f>D56+E55</f>
        <v/>
      </c>
      <c r="F56" s="43">
        <f>E56+F55</f>
        <v/>
      </c>
      <c r="G56" s="43">
        <f>F56+G55</f>
        <v/>
      </c>
      <c r="H56" s="43">
        <f>G56+H55</f>
        <v/>
      </c>
      <c r="I56" s="43">
        <f>H56+I55</f>
        <v/>
      </c>
      <c r="J56" s="43">
        <f>I56+J55</f>
        <v/>
      </c>
      <c r="K56" s="43">
        <f>J56+K55</f>
        <v/>
      </c>
      <c r="L56" s="43">
        <f>K56+L55</f>
        <v/>
      </c>
      <c r="M56" s="43">
        <f>L56+M55</f>
        <v/>
      </c>
      <c r="N56" s="43">
        <f>M56+N55</f>
        <v/>
      </c>
      <c r="O56" s="43">
        <f>N56+O55</f>
        <v/>
      </c>
      <c r="P56" s="43">
        <f>O56+P55</f>
        <v/>
      </c>
      <c r="Q56" s="43">
        <f>P56+Q55</f>
        <v/>
      </c>
      <c r="R56" s="43">
        <f>Q56+R55</f>
        <v/>
      </c>
      <c r="S56" s="43">
        <f>R56+S55</f>
        <v/>
      </c>
      <c r="T56" s="43">
        <f>S56+T55</f>
        <v/>
      </c>
      <c r="U56" s="43">
        <f>T56+U55</f>
        <v/>
      </c>
      <c r="V56" s="43">
        <f>U56+V55</f>
        <v/>
      </c>
      <c r="W56" s="43">
        <f>V56+W55</f>
        <v/>
      </c>
      <c r="X56" s="43">
        <f>W56+X55</f>
        <v/>
      </c>
      <c r="Y56" s="115" t="n"/>
      <c r="Z56" s="115" t="n"/>
      <c r="AA56" s="115" t="n"/>
      <c r="AB56" s="115" t="n"/>
      <c r="AC56" s="115" t="n"/>
      <c r="AD56" s="115" t="n"/>
      <c r="AE56" s="115" t="n"/>
      <c r="AF56" s="115" t="n"/>
      <c r="AG56" s="115" t="n"/>
      <c r="AH56" s="115" t="n"/>
      <c r="AI56" s="115" t="n"/>
      <c r="AJ56" s="115" t="n"/>
    </row>
    <row r="57" ht="18.75" customHeight="1">
      <c r="B57" s="44" t="inlineStr">
        <is>
          <t>回收年限評估</t>
        </is>
      </c>
      <c r="C57" s="45" t="n"/>
      <c r="D57" s="46">
        <f>IF((D56)&gt;0,"回收","未回收")</f>
        <v/>
      </c>
      <c r="E57" s="46">
        <f>IF((E56)&gt;0,"回收","未回收")</f>
        <v/>
      </c>
      <c r="F57" s="46">
        <f>IF((F56)&gt;0,"回收","未回收")</f>
        <v/>
      </c>
      <c r="G57" s="46">
        <f>IF((G56)&gt;0,"回收","未回收")</f>
        <v/>
      </c>
      <c r="H57" s="46">
        <f>IF((H56)&gt;0,"回收","未回收")</f>
        <v/>
      </c>
      <c r="I57" s="46">
        <f>IF((I56)&gt;0,"回收","未回收")</f>
        <v/>
      </c>
      <c r="J57" s="46">
        <f>IF((J56)&gt;0,"回收","未回收")</f>
        <v/>
      </c>
      <c r="K57" s="46">
        <f>IF((K56)&gt;0,"回收","未回收")</f>
        <v/>
      </c>
      <c r="L57" s="46">
        <f>IF((L56)&gt;0,"回收","未回收")</f>
        <v/>
      </c>
      <c r="M57" s="46">
        <f>IF((M56)&gt;0,"回收","未回收")</f>
        <v/>
      </c>
      <c r="N57" s="46">
        <f>IF((N56)&gt;0,"回收","未回收")</f>
        <v/>
      </c>
      <c r="O57" s="46">
        <f>IF((O56)&gt;0,"回收","未回收")</f>
        <v/>
      </c>
      <c r="P57" s="46">
        <f>IF((P56)&gt;0,"回收","未回收")</f>
        <v/>
      </c>
      <c r="Q57" s="46">
        <f>IF((Q56)&gt;0,"回收","未回收")</f>
        <v/>
      </c>
      <c r="R57" s="46">
        <f>IF((R56)&gt;0,"回收","未回收")</f>
        <v/>
      </c>
      <c r="S57" s="46">
        <f>IF((S56)&gt;0,"回收","未回收")</f>
        <v/>
      </c>
      <c r="T57" s="46">
        <f>IF((T56)&gt;0,"回收","未回收")</f>
        <v/>
      </c>
      <c r="U57" s="46">
        <f>IF((U56)&gt;0,"回收","未回收")</f>
        <v/>
      </c>
      <c r="V57" s="46">
        <f>IF((V56)&gt;0,"回收","未回收")</f>
        <v/>
      </c>
      <c r="W57" s="46">
        <f>IF((W56)&gt;0,"回收","未回收")</f>
        <v/>
      </c>
      <c r="X57" s="46">
        <f>IF((X56)&gt;0,"回收","未回收")</f>
        <v/>
      </c>
      <c r="Y57" s="115" t="n"/>
      <c r="Z57" s="115" t="n"/>
      <c r="AA57" s="115" t="n"/>
      <c r="AB57" s="115" t="n"/>
      <c r="AC57" s="115" t="n"/>
      <c r="AD57" s="115" t="n"/>
      <c r="AE57" s="115" t="n"/>
      <c r="AF57" s="115" t="n"/>
      <c r="AG57" s="115" t="n"/>
      <c r="AH57" s="115" t="n"/>
      <c r="AI57" s="115" t="n"/>
      <c r="AJ57" s="115" t="n"/>
    </row>
    <row r="58" ht="18.75" customHeight="1">
      <c r="B58" s="47" t="inlineStr">
        <is>
          <t>專案法IRR</t>
        </is>
      </c>
      <c r="C58" s="48">
        <f>IRR(C55:W55)</f>
        <v/>
      </c>
      <c r="D58" s="49" t="n"/>
      <c r="E58" s="49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  <c r="AJ58" s="117" t="n"/>
    </row>
    <row r="59" ht="18.75" customHeight="1">
      <c r="B59" s="50" t="n"/>
      <c r="C59" s="49" t="n"/>
      <c r="D59" s="49" t="n"/>
      <c r="E59" s="49" t="n"/>
      <c r="F59" s="50" t="n"/>
      <c r="G59" s="50" t="n"/>
      <c r="H59" s="50" t="n"/>
      <c r="I59" s="50" t="n"/>
      <c r="J59" s="50" t="n"/>
      <c r="K59" s="50" t="n"/>
      <c r="L59" s="50" t="n"/>
      <c r="M59" s="49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117" t="n"/>
      <c r="Z59" s="117" t="n"/>
      <c r="AA59" s="117" t="n"/>
      <c r="AB59" s="117" t="n"/>
      <c r="AC59" s="117" t="n"/>
      <c r="AD59" s="117" t="n"/>
      <c r="AE59" s="117" t="n"/>
      <c r="AF59" s="117" t="n"/>
      <c r="AG59" s="117" t="n"/>
      <c r="AH59" s="117" t="n"/>
      <c r="AI59" s="117" t="n"/>
      <c r="AJ59" s="117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18" t="n"/>
      <c r="Z60" s="118" t="n"/>
      <c r="AA60" s="118" t="n"/>
      <c r="AB60" s="118" t="n"/>
      <c r="AC60" s="118" t="n"/>
      <c r="AD60" s="118" t="n"/>
      <c r="AE60" s="118" t="n"/>
      <c r="AF60" s="118" t="n"/>
      <c r="AG60" s="118" t="n"/>
      <c r="AH60" s="118" t="n"/>
      <c r="AI60" s="118" t="n"/>
      <c r="AJ60" s="118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1" t="inlineStr">
        <is>
          <t>償還年限</t>
        </is>
      </c>
      <c r="U61" s="14" t="n"/>
      <c r="V61" s="14" t="n"/>
      <c r="W61" s="14" t="n"/>
      <c r="X61" s="109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2" t="n">
        <v>17</v>
      </c>
      <c r="U62" s="18" t="n">
        <v>18</v>
      </c>
      <c r="V62" s="18" t="n">
        <v>19</v>
      </c>
      <c r="W62" s="18" t="n">
        <v>20</v>
      </c>
      <c r="X62" s="110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1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2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3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4" t="n"/>
    </row>
    <row r="67" ht="18.75" customHeight="1">
      <c r="B67" s="32" t="inlineStr">
        <is>
          <t>Outflow : 設備折舊</t>
        </is>
      </c>
      <c r="C67" s="27" t="n"/>
      <c r="D67" s="33">
        <f>$C$44/$E$16</f>
        <v/>
      </c>
      <c r="E67" s="33">
        <f>$C$44/$E$16</f>
        <v/>
      </c>
      <c r="F67" s="33">
        <f>$C$44/$E$16</f>
        <v/>
      </c>
      <c r="G67" s="33">
        <f>$C$44/$E$16</f>
        <v/>
      </c>
      <c r="H67" s="33">
        <f>$C$44/$E$16</f>
        <v/>
      </c>
      <c r="I67" s="33">
        <f>$C$44/$E$16</f>
        <v/>
      </c>
      <c r="J67" s="33">
        <f>$C$44/$E$16</f>
        <v/>
      </c>
      <c r="K67" s="33">
        <f>$C$44/$E$16</f>
        <v/>
      </c>
      <c r="L67" s="33">
        <f>$C$44/$E$16</f>
        <v/>
      </c>
      <c r="M67" s="33">
        <f>$C$44/$E$16</f>
        <v/>
      </c>
      <c r="N67" s="33">
        <f>$C$44/$E$16</f>
        <v/>
      </c>
      <c r="O67" s="33">
        <f>$C$44/$E$16</f>
        <v/>
      </c>
      <c r="P67" s="33">
        <f>$C$44/$E$16</f>
        <v/>
      </c>
      <c r="Q67" s="33">
        <f>$C$44/$E$16</f>
        <v/>
      </c>
      <c r="R67" s="33">
        <f>$C$44/$E$16</f>
        <v/>
      </c>
      <c r="S67" s="33">
        <f>$C$44/$E$16</f>
        <v/>
      </c>
      <c r="T67" s="33">
        <f>$C$44/$E$16</f>
        <v/>
      </c>
      <c r="U67" s="33">
        <f>$C$44/$E$16</f>
        <v/>
      </c>
      <c r="V67" s="33">
        <f>$C$44/$E$16</f>
        <v/>
      </c>
      <c r="W67" s="33">
        <f>$C$44/$E$16</f>
        <v/>
      </c>
      <c r="X67" s="113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28">
        <f>D45</f>
        <v/>
      </c>
      <c r="E68" s="28">
        <f>E45</f>
        <v/>
      </c>
      <c r="F68" s="28">
        <f>F45</f>
        <v/>
      </c>
      <c r="G68" s="28">
        <f>G45</f>
        <v/>
      </c>
      <c r="H68" s="28">
        <f>H45</f>
        <v/>
      </c>
      <c r="I68" s="28">
        <f>I45</f>
        <v/>
      </c>
      <c r="J68" s="28">
        <f>J45</f>
        <v/>
      </c>
      <c r="K68" s="28">
        <f>K45</f>
        <v/>
      </c>
      <c r="L68" s="28">
        <f>L45</f>
        <v/>
      </c>
      <c r="M68" s="28">
        <f>M45</f>
        <v/>
      </c>
      <c r="N68" s="28">
        <f>N45</f>
        <v/>
      </c>
      <c r="O68" s="28">
        <f>O45</f>
        <v/>
      </c>
      <c r="P68" s="28">
        <f>P45</f>
        <v/>
      </c>
      <c r="Q68" s="28">
        <f>Q45</f>
        <v/>
      </c>
      <c r="R68" s="28">
        <f>R45</f>
        <v/>
      </c>
      <c r="S68" s="28">
        <f>S45</f>
        <v/>
      </c>
      <c r="T68" s="28">
        <f>T45</f>
        <v/>
      </c>
      <c r="U68" s="28">
        <f>U45</f>
        <v/>
      </c>
      <c r="V68" s="28">
        <f>V45</f>
        <v/>
      </c>
      <c r="W68" s="28">
        <f>W45</f>
        <v/>
      </c>
      <c r="X68" s="113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3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28" t="n">
        <v>0</v>
      </c>
      <c r="E70" s="28" t="n">
        <v>0</v>
      </c>
      <c r="F70" s="28" t="n">
        <v>0</v>
      </c>
      <c r="G70" s="28" t="n">
        <v>0</v>
      </c>
      <c r="H70" s="28" t="n">
        <v>0</v>
      </c>
      <c r="I70" s="28" t="n">
        <v>0</v>
      </c>
      <c r="J70" s="28" t="n">
        <v>0</v>
      </c>
      <c r="K70" s="28" t="n">
        <v>0</v>
      </c>
      <c r="L70" s="28" t="n">
        <v>0</v>
      </c>
      <c r="M70" s="28" t="n">
        <v>0</v>
      </c>
      <c r="N70" s="28" t="n">
        <v>0</v>
      </c>
      <c r="O70" s="28" t="n">
        <v>0</v>
      </c>
      <c r="P70" s="28" t="n">
        <v>0</v>
      </c>
      <c r="Q70" s="28" t="n">
        <v>0</v>
      </c>
      <c r="R70" s="28" t="n">
        <v>0</v>
      </c>
      <c r="S70" s="28" t="n">
        <v>0</v>
      </c>
      <c r="T70" s="28" t="n">
        <v>0</v>
      </c>
      <c r="U70" s="28" t="n">
        <v>0</v>
      </c>
      <c r="V70" s="28" t="n">
        <v>0</v>
      </c>
      <c r="W70" s="28" t="n">
        <v>0</v>
      </c>
      <c r="X70" s="113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28">
        <f>D48</f>
        <v/>
      </c>
      <c r="E71" s="28">
        <f>E48</f>
        <v/>
      </c>
      <c r="F71" s="28">
        <f>F48</f>
        <v/>
      </c>
      <c r="G71" s="28">
        <f>G48</f>
        <v/>
      </c>
      <c r="H71" s="28">
        <f>H48</f>
        <v/>
      </c>
      <c r="I71" s="28">
        <f>I48</f>
        <v/>
      </c>
      <c r="J71" s="28">
        <f>J48</f>
        <v/>
      </c>
      <c r="K71" s="28">
        <f>K48</f>
        <v/>
      </c>
      <c r="L71" s="28">
        <f>L48</f>
        <v/>
      </c>
      <c r="M71" s="28">
        <f>M48</f>
        <v/>
      </c>
      <c r="N71" s="28">
        <f>N48</f>
        <v/>
      </c>
      <c r="O71" s="28">
        <f>O48</f>
        <v/>
      </c>
      <c r="P71" s="28">
        <f>P48</f>
        <v/>
      </c>
      <c r="Q71" s="28">
        <f>Q48</f>
        <v/>
      </c>
      <c r="R71" s="28">
        <f>R48</f>
        <v/>
      </c>
      <c r="S71" s="28">
        <f>S48</f>
        <v/>
      </c>
      <c r="T71" s="28">
        <f>T48</f>
        <v/>
      </c>
      <c r="U71" s="28">
        <f>U48</f>
        <v/>
      </c>
      <c r="V71" s="28">
        <f>V48</f>
        <v/>
      </c>
      <c r="W71" s="28">
        <f>W48</f>
        <v/>
      </c>
      <c r="X71" s="113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28">
        <f>D49</f>
        <v/>
      </c>
      <c r="E72" s="28">
        <f>E49</f>
        <v/>
      </c>
      <c r="F72" s="28">
        <f>F49</f>
        <v/>
      </c>
      <c r="G72" s="28">
        <f>G49</f>
        <v/>
      </c>
      <c r="H72" s="28">
        <f>H49</f>
        <v/>
      </c>
      <c r="I72" s="28">
        <f>I49</f>
        <v/>
      </c>
      <c r="J72" s="28">
        <f>J49</f>
        <v/>
      </c>
      <c r="K72" s="28">
        <f>K49</f>
        <v/>
      </c>
      <c r="L72" s="28">
        <f>L49</f>
        <v/>
      </c>
      <c r="M72" s="28">
        <f>M49</f>
        <v/>
      </c>
      <c r="N72" s="28">
        <f>N49</f>
        <v/>
      </c>
      <c r="O72" s="28">
        <f>O49</f>
        <v/>
      </c>
      <c r="P72" s="28">
        <f>P49</f>
        <v/>
      </c>
      <c r="Q72" s="28">
        <f>Q49</f>
        <v/>
      </c>
      <c r="R72" s="28">
        <f>R49</f>
        <v/>
      </c>
      <c r="S72" s="28">
        <f>S49</f>
        <v/>
      </c>
      <c r="T72" s="28">
        <f>T49</f>
        <v/>
      </c>
      <c r="U72" s="28">
        <f>U49</f>
        <v/>
      </c>
      <c r="V72" s="28">
        <f>V49</f>
        <v/>
      </c>
      <c r="W72" s="28">
        <f>W49</f>
        <v/>
      </c>
      <c r="X72" s="113" t="n"/>
    </row>
    <row r="73" ht="18.75" customHeight="1">
      <c r="B73" s="32" t="inlineStr">
        <is>
          <t>Outflow : 模組回收費</t>
        </is>
      </c>
      <c r="C73" s="27" t="n"/>
      <c r="D73" s="28">
        <f>D50</f>
        <v/>
      </c>
      <c r="E73" s="28">
        <f>E50</f>
        <v/>
      </c>
      <c r="F73" s="28">
        <f>F50</f>
        <v/>
      </c>
      <c r="G73" s="28">
        <f>G50</f>
        <v/>
      </c>
      <c r="H73" s="28">
        <f>H50</f>
        <v/>
      </c>
      <c r="I73" s="28">
        <f>I50</f>
        <v/>
      </c>
      <c r="J73" s="28">
        <f>J50</f>
        <v/>
      </c>
      <c r="K73" s="28">
        <f>K50</f>
        <v/>
      </c>
      <c r="L73" s="28">
        <f>L50</f>
        <v/>
      </c>
      <c r="M73" s="28">
        <f>M50</f>
        <v/>
      </c>
      <c r="N73" s="28">
        <f>N50</f>
        <v/>
      </c>
      <c r="O73" s="28">
        <f>O50</f>
        <v/>
      </c>
      <c r="P73" s="28">
        <f>P50</f>
        <v/>
      </c>
      <c r="Q73" s="28">
        <f>Q50</f>
        <v/>
      </c>
      <c r="R73" s="28">
        <f>R50</f>
        <v/>
      </c>
      <c r="S73" s="28">
        <f>S50</f>
        <v/>
      </c>
      <c r="T73" s="28">
        <f>T50</f>
        <v/>
      </c>
      <c r="U73" s="28">
        <f>U50</f>
        <v/>
      </c>
      <c r="V73" s="28">
        <f>V50</f>
        <v/>
      </c>
      <c r="W73" s="28">
        <f>W50</f>
        <v/>
      </c>
      <c r="X73" s="113" t="n"/>
    </row>
    <row r="74" ht="18.75" customHeight="1">
      <c r="B74" s="32" t="inlineStr">
        <is>
          <t>Outflow : 其它費用(人事薪資…等)</t>
        </is>
      </c>
      <c r="C74" s="34" t="n"/>
      <c r="D74" s="35" t="n"/>
      <c r="E74" s="36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3" t="n"/>
    </row>
    <row r="75" ht="18.75" customHeight="1">
      <c r="B75" s="32" t="inlineStr">
        <is>
          <t>1%管理費</t>
        </is>
      </c>
      <c r="C75" s="34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3" t="n"/>
    </row>
    <row r="76" ht="18.75" customHeight="1">
      <c r="B76" s="39" t="inlineStr">
        <is>
          <t>稅前淨利</t>
        </is>
      </c>
      <c r="C76" s="53" t="n"/>
      <c r="D76" s="41">
        <f>SUM(D64:D75)</f>
        <v/>
      </c>
      <c r="E76" s="41">
        <f>SUM(E64:E75)</f>
        <v/>
      </c>
      <c r="F76" s="41">
        <f>SUM(F64:F75)</f>
        <v/>
      </c>
      <c r="G76" s="41">
        <f>SUM(G64:G75)</f>
        <v/>
      </c>
      <c r="H76" s="41">
        <f>SUM(H64:H75)</f>
        <v/>
      </c>
      <c r="I76" s="41">
        <f>SUM(I64:I75)</f>
        <v/>
      </c>
      <c r="J76" s="41">
        <f>SUM(J64:J75)</f>
        <v/>
      </c>
      <c r="K76" s="41">
        <f>SUM(K64:K75)</f>
        <v/>
      </c>
      <c r="L76" s="41">
        <f>SUM(L64:L75)</f>
        <v/>
      </c>
      <c r="M76" s="41">
        <f>SUM(M64:M75)</f>
        <v/>
      </c>
      <c r="N76" s="41">
        <f>SUM(N64:N75)</f>
        <v/>
      </c>
      <c r="O76" s="41">
        <f>SUM(O64:O75)</f>
        <v/>
      </c>
      <c r="P76" s="41">
        <f>SUM(P64:P75)</f>
        <v/>
      </c>
      <c r="Q76" s="41">
        <f>SUM(Q64:Q75)</f>
        <v/>
      </c>
      <c r="R76" s="41">
        <f>SUM(R64:R75)</f>
        <v/>
      </c>
      <c r="S76" s="41">
        <f>SUM(S64:S75)</f>
        <v/>
      </c>
      <c r="T76" s="41">
        <f>SUM(T64:T75)</f>
        <v/>
      </c>
      <c r="U76" s="41">
        <f>SUM(U64:U75)</f>
        <v/>
      </c>
      <c r="V76" s="41">
        <f>SUM(V64:V75)</f>
        <v/>
      </c>
      <c r="W76" s="41">
        <f>SUM(W64:W75)</f>
        <v/>
      </c>
      <c r="X76" s="41">
        <f>SUM(X64:X75)</f>
        <v/>
      </c>
    </row>
    <row r="77" ht="18.75" customHeight="1">
      <c r="B77" s="37" t="inlineStr">
        <is>
          <t>所得稅20%</t>
        </is>
      </c>
      <c r="C77" s="34" t="n"/>
      <c r="D77" s="28">
        <f>-D76*0.2</f>
        <v/>
      </c>
      <c r="E77" s="28">
        <f>-E76*0.2</f>
        <v/>
      </c>
      <c r="F77" s="28">
        <f>-F76*0.2</f>
        <v/>
      </c>
      <c r="G77" s="28">
        <f>-G76*0.2</f>
        <v/>
      </c>
      <c r="H77" s="28">
        <f>-H76*0.2</f>
        <v/>
      </c>
      <c r="I77" s="28">
        <f>-I76*0.2</f>
        <v/>
      </c>
      <c r="J77" s="28">
        <f>-J76*0.2</f>
        <v/>
      </c>
      <c r="K77" s="28">
        <f>-K76*0.2</f>
        <v/>
      </c>
      <c r="L77" s="28">
        <f>-L76*0.2</f>
        <v/>
      </c>
      <c r="M77" s="28">
        <f>-M76*0.2</f>
        <v/>
      </c>
      <c r="N77" s="28">
        <f>-N76*0.2</f>
        <v/>
      </c>
      <c r="O77" s="28">
        <f>-O76*0.2</f>
        <v/>
      </c>
      <c r="P77" s="28">
        <f>-P76*0.2</f>
        <v/>
      </c>
      <c r="Q77" s="28">
        <f>-Q76*0.2</f>
        <v/>
      </c>
      <c r="R77" s="28">
        <f>-R76*0.2</f>
        <v/>
      </c>
      <c r="S77" s="28">
        <f>-S76*0.2</f>
        <v/>
      </c>
      <c r="T77" s="28">
        <f>-T76*0.2</f>
        <v/>
      </c>
      <c r="U77" s="28">
        <f>-U76*0.2</f>
        <v/>
      </c>
      <c r="V77" s="28">
        <f>-V76*0.2</f>
        <v/>
      </c>
      <c r="W77" s="28">
        <f>-W76*0.2</f>
        <v/>
      </c>
      <c r="X77" s="28">
        <f>-X76*0.2</f>
        <v/>
      </c>
    </row>
    <row r="78" ht="15.4" customHeight="1">
      <c r="B78" s="54" t="inlineStr">
        <is>
          <t>稅後淨利</t>
        </is>
      </c>
      <c r="D78" s="28">
        <f>SUM(D76:D77)</f>
        <v/>
      </c>
      <c r="E78" s="28">
        <f>SUM(E76:E77)</f>
        <v/>
      </c>
      <c r="F78" s="28">
        <f>SUM(F76:F77)</f>
        <v/>
      </c>
      <c r="G78" s="28">
        <f>SUM(G76:G77)</f>
        <v/>
      </c>
      <c r="H78" s="28">
        <f>SUM(H76:H77)</f>
        <v/>
      </c>
      <c r="I78" s="28">
        <f>SUM(I76:I77)</f>
        <v/>
      </c>
      <c r="J78" s="28">
        <f>SUM(J76:J77)</f>
        <v/>
      </c>
      <c r="K78" s="28">
        <f>SUM(K76:K77)</f>
        <v/>
      </c>
      <c r="L78" s="28">
        <f>SUM(L76:L77)</f>
        <v/>
      </c>
      <c r="M78" s="28">
        <f>SUM(M76:M77)</f>
        <v/>
      </c>
      <c r="N78" s="28">
        <f>SUM(N76:N77)</f>
        <v/>
      </c>
      <c r="O78" s="28">
        <f>SUM(O76:O77)</f>
        <v/>
      </c>
      <c r="P78" s="28">
        <f>SUM(P76:P77)</f>
        <v/>
      </c>
      <c r="Q78" s="28">
        <f>SUM(Q76:Q77)</f>
        <v/>
      </c>
      <c r="R78" s="28">
        <f>SUM(R76:R77)</f>
        <v/>
      </c>
      <c r="S78" s="28">
        <f>SUM(S76:S77)</f>
        <v/>
      </c>
      <c r="T78" s="28">
        <f>SUM(T76:T77)</f>
        <v/>
      </c>
      <c r="U78" s="28">
        <f>SUM(U76:U77)</f>
        <v/>
      </c>
      <c r="V78" s="28">
        <f>SUM(V76:V77)</f>
        <v/>
      </c>
      <c r="W78" s="28">
        <f>SUM(W76:W77)</f>
        <v/>
      </c>
      <c r="X78" s="28">
        <f>SUM(X76:X77)</f>
        <v/>
      </c>
    </row>
    <row r="79" ht="18.75" customHeight="1">
      <c r="B79" s="42" t="inlineStr">
        <is>
          <t>累計現金流</t>
        </is>
      </c>
      <c r="C79" s="40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119" t="n"/>
    </row>
    <row r="80" ht="18.75" customHeight="1">
      <c r="B80" s="55" t="inlineStr">
        <is>
          <t>回收年限評估</t>
        </is>
      </c>
      <c r="C80" s="56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120" t="n"/>
    </row>
    <row r="81" ht="18.75" customHeight="1">
      <c r="B81" s="50" t="n"/>
      <c r="C81" s="49" t="n"/>
      <c r="D81" s="49" t="n"/>
      <c r="E81" s="49" t="n"/>
      <c r="F81" s="50" t="n"/>
      <c r="G81" s="50" t="n"/>
      <c r="H81" s="50" t="n"/>
      <c r="I81" s="50" t="n"/>
      <c r="J81" s="50" t="n"/>
      <c r="K81" s="50" t="n"/>
      <c r="L81" s="50" t="n"/>
      <c r="M81" s="49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80" t="inlineStr">
        <is>
          <t>電站基本資料</t>
        </is>
      </c>
      <c r="C1" s="81" t="n"/>
      <c r="D1" s="81" t="n"/>
      <c r="E1" s="82" t="n"/>
    </row>
    <row r="2" ht="21.75" customHeight="1">
      <c r="B2" s="83" t="inlineStr">
        <is>
          <t>電站名稱</t>
        </is>
      </c>
      <c r="C2" s="84" t="inlineStr">
        <is>
          <t>淡江大學-財務模擬案場</t>
        </is>
      </c>
      <c r="D2" s="85" t="inlineStr">
        <is>
          <t>-</t>
        </is>
      </c>
      <c r="E2" s="85" t="inlineStr">
        <is>
          <t>-</t>
        </is>
      </c>
    </row>
    <row r="3" ht="21.75" customHeight="1">
      <c r="B3" s="86" t="inlineStr">
        <is>
          <t>電站壽命</t>
        </is>
      </c>
      <c r="C3" s="87" t="n">
        <v>20</v>
      </c>
      <c r="D3" s="88" t="inlineStr">
        <is>
          <t>-</t>
        </is>
      </c>
      <c r="E3" s="88" t="inlineStr">
        <is>
          <t>-</t>
        </is>
      </c>
    </row>
    <row r="4" ht="21.75" customHeight="1">
      <c r="B4" s="86" t="inlineStr">
        <is>
          <t>建置量(kWp)</t>
        </is>
      </c>
      <c r="C4" s="87" t="n">
        <v>436.1</v>
      </c>
      <c r="D4" s="88" t="inlineStr">
        <is>
          <t>-</t>
        </is>
      </c>
      <c r="E4" s="88" t="inlineStr">
        <is>
          <t>-</t>
        </is>
      </c>
      <c r="M4" t="inlineStr">
        <is>
          <t>滾算紀錄編號: 6</t>
        </is>
      </c>
    </row>
    <row r="5" ht="22.5" customHeight="1">
      <c r="B5" s="87" t="inlineStr">
        <is>
          <t>起始年度</t>
        </is>
      </c>
      <c r="C5" s="87" t="n">
        <v>2023</v>
      </c>
      <c r="D5" s="87" t="inlineStr">
        <is>
          <t>結束年度</t>
        </is>
      </c>
      <c r="E5" s="87" t="n">
        <v>2042</v>
      </c>
      <c r="M5" t="inlineStr">
        <is>
          <t>第5次滾算摘要</t>
        </is>
      </c>
    </row>
    <row r="6" ht="20.25" customHeight="1">
      <c r="B6" s="89" t="n"/>
      <c r="C6" s="89" t="n"/>
      <c r="D6" s="89" t="n"/>
      <c r="E6" s="89" t="n"/>
      <c r="M6" t="inlineStr">
        <is>
          <t>價金: 25000</t>
        </is>
      </c>
    </row>
    <row r="7" ht="22.5" customHeight="1">
      <c r="B7" s="90" t="inlineStr">
        <is>
          <t>綜合損益表</t>
        </is>
      </c>
      <c r="C7" s="81" t="n"/>
      <c r="D7" s="81" t="n"/>
      <c r="E7" s="82" t="n"/>
      <c r="M7" t="inlineStr">
        <is>
          <t>專案IRR: 6.15</t>
        </is>
      </c>
    </row>
    <row r="8" ht="22.5" customHeight="1">
      <c r="B8" s="91" t="inlineStr">
        <is>
          <t>收入</t>
        </is>
      </c>
      <c r="C8" s="92" t="n"/>
      <c r="D8" s="92" t="n"/>
      <c r="E8" s="93" t="n"/>
      <c r="M8" t="inlineStr">
        <is>
          <t>權益法IRR: 18.54</t>
        </is>
      </c>
    </row>
    <row r="9" ht="22.5" customHeight="1">
      <c r="B9" s="94" t="inlineStr">
        <is>
          <t>收支項目</t>
        </is>
      </c>
      <c r="C9" s="95" t="inlineStr">
        <is>
          <t>相關參數</t>
        </is>
      </c>
      <c r="D9" s="95" t="inlineStr">
        <is>
          <t>參數數值</t>
        </is>
      </c>
      <c r="E9" s="96" t="inlineStr">
        <is>
          <t>年限</t>
        </is>
      </c>
      <c r="M9" t="inlineStr">
        <is>
          <t>利潤率: 20.00%</t>
        </is>
      </c>
    </row>
    <row r="10" ht="21.75" customHeight="1">
      <c r="B10" s="97" t="inlineStr">
        <is>
          <t>電費收入</t>
        </is>
      </c>
      <c r="C10" s="84" t="inlineStr">
        <is>
          <t>年度AC併網總發電量</t>
        </is>
      </c>
      <c r="D10" s="84" t="n">
        <v>547002</v>
      </c>
      <c r="E10" s="97" t="n">
        <v>20</v>
      </c>
      <c r="M10" t="inlineStr">
        <is>
          <t>第5次滾算，減少 1000 元 - 現金模式，每次減少 1000 元</t>
        </is>
      </c>
    </row>
    <row r="11" ht="21.75" customHeight="1">
      <c r="B11" s="98" t="n"/>
      <c r="C11" s="87" t="inlineStr">
        <is>
          <t>首年衰退率</t>
        </is>
      </c>
      <c r="D11" s="87" t="n">
        <v>0.01</v>
      </c>
      <c r="E11" s="98" t="n"/>
    </row>
    <row r="12" ht="21.75" customHeight="1">
      <c r="B12" s="98" t="n"/>
      <c r="C12" s="87" t="inlineStr">
        <is>
          <t>次年衰退率</t>
        </is>
      </c>
      <c r="D12" s="87" t="n">
        <v>0.004</v>
      </c>
      <c r="E12" s="98" t="n"/>
    </row>
    <row r="13" ht="22.5" customHeight="1">
      <c r="B13" s="98" t="n"/>
      <c r="C13" s="99" t="inlineStr">
        <is>
          <t>躉售費率(FIT)</t>
        </is>
      </c>
      <c r="D13" s="99" t="n">
        <v>3.7152</v>
      </c>
      <c r="E13" s="98" t="n"/>
    </row>
    <row r="14" ht="22.5" customHeight="1">
      <c r="B14" s="100" t="inlineStr">
        <is>
          <t>支出</t>
        </is>
      </c>
      <c r="C14" s="81" t="n"/>
      <c r="D14" s="81" t="n"/>
      <c r="E14" s="82" t="n"/>
    </row>
    <row r="15" ht="22.5" customHeight="1">
      <c r="B15" s="94" t="inlineStr">
        <is>
          <t>收支項目</t>
        </is>
      </c>
      <c r="C15" s="95" t="inlineStr">
        <is>
          <t>相關參數</t>
        </is>
      </c>
      <c r="D15" s="95" t="inlineStr">
        <is>
          <t>參數數值</t>
        </is>
      </c>
      <c r="E15" s="101" t="inlineStr">
        <is>
          <t>攤提年限</t>
        </is>
      </c>
    </row>
    <row r="16" ht="21.75" customHeight="1">
      <c r="B16" s="102" t="inlineStr">
        <is>
          <t>設備費用(價金)</t>
        </is>
      </c>
      <c r="C16" s="83" t="inlineStr">
        <is>
          <t>每kWp設備成本</t>
        </is>
      </c>
      <c r="D16" s="84" t="n">
        <v>25000</v>
      </c>
      <c r="E16" s="103" t="n">
        <v>20</v>
      </c>
    </row>
    <row r="17" ht="21.75" customHeight="1">
      <c r="B17" s="98" t="n"/>
      <c r="C17" s="87" t="inlineStr">
        <is>
          <t>信邦利潤率</t>
        </is>
      </c>
      <c r="D17" s="87" t="n">
        <v>0.2</v>
      </c>
      <c r="E17" s="98" t="n"/>
    </row>
    <row r="18" ht="21.75" customHeight="1">
      <c r="B18" s="104" t="n"/>
      <c r="C18" s="87" t="inlineStr">
        <is>
          <t>開發費</t>
        </is>
      </c>
      <c r="D18" s="87" t="n">
        <v>2000</v>
      </c>
      <c r="E18" s="104" t="n"/>
    </row>
    <row r="19" ht="54" customHeight="1">
      <c r="B19" s="105" t="inlineStr">
        <is>
          <t>租金費用</t>
        </is>
      </c>
      <c r="C19" s="106" t="inlineStr">
        <is>
          <t>租金計算方式
(1=固定攤提/2=電費抽成)</t>
        </is>
      </c>
      <c r="D19" s="87" t="n">
        <v>1</v>
      </c>
      <c r="E19" s="85" t="n">
        <v>0</v>
      </c>
    </row>
    <row r="20" ht="20.25" customHeight="1">
      <c r="B20" s="98" t="n"/>
      <c r="C20" s="107" t="inlineStr">
        <is>
          <t>【方式1參數】租金總額</t>
        </is>
      </c>
      <c r="D20" s="87" t="n">
        <v>5804025</v>
      </c>
      <c r="E20" s="85" t="n">
        <v>20</v>
      </c>
    </row>
    <row r="21" ht="21.75" customHeight="1">
      <c r="B21" s="104" t="n"/>
      <c r="C21" s="87" t="inlineStr">
        <is>
          <t>【方式2參數】抽成比率</t>
        </is>
      </c>
      <c r="D21" s="87" t="n">
        <v>0</v>
      </c>
      <c r="E21" s="88" t="n">
        <v>0</v>
      </c>
    </row>
    <row r="22" ht="21.75" customHeight="1">
      <c r="B22" s="87" t="inlineStr">
        <is>
          <t>運維費用</t>
        </is>
      </c>
      <c r="C22" s="87" t="inlineStr">
        <is>
          <t>每kw運維成本</t>
        </is>
      </c>
      <c r="D22" s="87" t="n">
        <v>400</v>
      </c>
      <c r="E22" s="88" t="n">
        <v>20</v>
      </c>
    </row>
    <row r="23" ht="21.75" customHeight="1">
      <c r="B23" s="87" t="inlineStr">
        <is>
          <t>保險費用</t>
        </is>
      </c>
      <c r="C23" s="86" t="inlineStr">
        <is>
          <t>占整體設備費用比例</t>
        </is>
      </c>
      <c r="D23" s="87" t="n">
        <v>0.003</v>
      </c>
      <c r="E23" s="88" t="n">
        <v>20</v>
      </c>
    </row>
    <row r="24" ht="21.75" customHeight="1">
      <c r="B24" s="87" t="inlineStr">
        <is>
          <t>模組回收費用</t>
        </is>
      </c>
      <c r="C24" s="87" t="inlineStr">
        <is>
          <t>每kw模組回收成本</t>
        </is>
      </c>
      <c r="D24" s="87" t="n">
        <v>1000</v>
      </c>
      <c r="E24" s="88" t="n">
        <v>10</v>
      </c>
    </row>
    <row r="25" ht="21.75" customHeight="1">
      <c r="B25" s="87" t="inlineStr">
        <is>
          <t>利息費用</t>
        </is>
      </c>
      <c r="C25" s="87" t="inlineStr">
        <is>
          <t>銀行利率</t>
        </is>
      </c>
      <c r="D25" s="108" t="n">
        <v>0.025595</v>
      </c>
      <c r="E25" s="88" t="n">
        <v>0</v>
      </c>
    </row>
    <row r="26" ht="22.5" customHeight="1">
      <c r="B26" s="87" t="inlineStr">
        <is>
          <t>所得稅</t>
        </is>
      </c>
      <c r="C26" s="87" t="inlineStr">
        <is>
          <t>所得稅率</t>
        </is>
      </c>
      <c r="D26" s="87" t="n">
        <v>0.2</v>
      </c>
      <c r="E26" s="88" t="n">
        <v>0</v>
      </c>
    </row>
    <row r="27" ht="20.25" customHeight="1">
      <c r="B27" s="89" t="n"/>
      <c r="C27" s="89" t="n"/>
      <c r="D27" s="89" t="n"/>
      <c r="E27" s="89" t="n"/>
    </row>
    <row r="28" ht="20.25" customHeight="1">
      <c r="B28" s="89" t="n"/>
      <c r="C28" s="89" t="n"/>
      <c r="D28" s="89" t="n"/>
      <c r="E28" s="89" t="n"/>
    </row>
    <row r="29" ht="22.5" customHeight="1">
      <c r="B29" s="90" t="inlineStr">
        <is>
          <t>現金流量表</t>
        </is>
      </c>
      <c r="C29" s="81" t="n"/>
      <c r="D29" s="82" t="n"/>
      <c r="E29" s="89" t="n"/>
    </row>
    <row r="30" ht="22.5" customHeight="1">
      <c r="B30" s="94" t="inlineStr">
        <is>
          <t>金流項目</t>
        </is>
      </c>
      <c r="C30" s="95" t="inlineStr">
        <is>
          <t>相關參數</t>
        </is>
      </c>
      <c r="D30" s="101" t="inlineStr">
        <is>
          <t>參數數值</t>
        </is>
      </c>
      <c r="E30" s="89" t="n"/>
    </row>
    <row r="31" ht="18.75" customHeight="1">
      <c r="B31" s="83" t="inlineStr">
        <is>
          <t>貸款成數</t>
        </is>
      </c>
      <c r="C31" s="83" t="inlineStr">
        <is>
          <t>占總設備費用比例</t>
        </is>
      </c>
      <c r="D31" s="84" t="n">
        <v>0.8</v>
      </c>
      <c r="E31" s="89" t="n"/>
    </row>
    <row r="32" ht="18.75" customHeight="1">
      <c r="B32" s="84" t="inlineStr">
        <is>
          <t>貸款還款</t>
        </is>
      </c>
      <c r="C32" s="84" t="inlineStr">
        <is>
          <t>攤還期數</t>
        </is>
      </c>
      <c r="D32" s="84" t="n">
        <v>15</v>
      </c>
      <c r="E32" s="89" t="n"/>
    </row>
    <row r="33" ht="18.75" customHeight="1">
      <c r="B33" s="87" t="inlineStr">
        <is>
          <t>現金股利</t>
        </is>
      </c>
      <c r="C33" s="87" t="inlineStr">
        <is>
          <t>股利比率</t>
        </is>
      </c>
      <c r="D33" s="87" t="n">
        <v>0.9</v>
      </c>
      <c r="E33" s="89" t="n"/>
    </row>
    <row r="34" ht="18.75" customHeight="1">
      <c r="B34" s="87" t="inlineStr">
        <is>
          <t>年底減資</t>
        </is>
      </c>
      <c r="C34" s="87" t="inlineStr">
        <is>
          <t>攤還期數</t>
        </is>
      </c>
      <c r="D34" s="87" t="n">
        <v>4</v>
      </c>
      <c r="E34" s="89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09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0" t="n"/>
    </row>
    <row r="40" ht="18.75" customHeight="1">
      <c r="B40" s="20" t="inlineStr">
        <is>
          <t>發電度數(KWH)</t>
        </is>
      </c>
      <c r="C40" s="21" t="n">
        <v>0</v>
      </c>
      <c r="D40" s="22">
        <f>$D$10*0.99</f>
        <v/>
      </c>
      <c r="E40" s="22">
        <f>$D$10*0.986</f>
        <v/>
      </c>
      <c r="F40" s="22">
        <f>$D$10*0.982</f>
        <v/>
      </c>
      <c r="G40" s="22">
        <f>$D$10*0.978</f>
        <v/>
      </c>
      <c r="H40" s="22">
        <f>$D$10*0.974</f>
        <v/>
      </c>
      <c r="I40" s="22">
        <f>$D$10*0.97</f>
        <v/>
      </c>
      <c r="J40" s="22">
        <f>$D$10*0.966</f>
        <v/>
      </c>
      <c r="K40" s="22">
        <f>$D$10*0.962</f>
        <v/>
      </c>
      <c r="L40" s="22">
        <f>$D$10*0.958</f>
        <v/>
      </c>
      <c r="M40" s="22">
        <f>$D$10*0.954</f>
        <v/>
      </c>
      <c r="N40" s="22">
        <f>$D$10*0.95</f>
        <v/>
      </c>
      <c r="O40" s="22">
        <f>$D$10*0.946</f>
        <v/>
      </c>
      <c r="P40" s="22">
        <f>$D$10*0.942</f>
        <v/>
      </c>
      <c r="Q40" s="22">
        <f>$D$10*0.938</f>
        <v/>
      </c>
      <c r="R40" s="22">
        <f>$D$10*0.934</f>
        <v/>
      </c>
      <c r="S40" s="22">
        <f>$D$10*0.93</f>
        <v/>
      </c>
      <c r="T40" s="22">
        <f>$D$10*0.926</f>
        <v/>
      </c>
      <c r="U40" s="22">
        <f>$D$10*0.922</f>
        <v/>
      </c>
      <c r="V40" s="22">
        <f>$D$10*0.918</f>
        <v/>
      </c>
      <c r="W40" s="22">
        <f>$D$10*0.914</f>
        <v/>
      </c>
      <c r="X40" s="111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2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3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4" t="n"/>
    </row>
    <row r="44" ht="18.75" customHeight="1">
      <c r="B44" s="32" t="inlineStr">
        <is>
          <t>Outflow : 設備費用</t>
        </is>
      </c>
      <c r="C44" s="27">
        <f>-(D16/(1-D17)+D18)*C4</f>
        <v/>
      </c>
      <c r="D44" s="33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113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28" t="n">
        <v>0</v>
      </c>
      <c r="E45" s="28" t="n">
        <v>-290201.25</v>
      </c>
      <c r="F45" s="28" t="n">
        <v>-290201.25</v>
      </c>
      <c r="G45" s="28" t="n">
        <v>-290201.25</v>
      </c>
      <c r="H45" s="28" t="n">
        <v>-290201.25</v>
      </c>
      <c r="I45" s="28" t="n">
        <v>-290201.25</v>
      </c>
      <c r="J45" s="28" t="n">
        <v>-290201.25</v>
      </c>
      <c r="K45" s="28" t="n">
        <v>-290201.25</v>
      </c>
      <c r="L45" s="28" t="n">
        <v>-290201.25</v>
      </c>
      <c r="M45" s="28" t="n">
        <v>-290201.25</v>
      </c>
      <c r="N45" s="28" t="n">
        <v>-290201.25</v>
      </c>
      <c r="O45" s="28" t="n">
        <v>-290201.25</v>
      </c>
      <c r="P45" s="28" t="n">
        <v>-290201.25</v>
      </c>
      <c r="Q45" s="28" t="n">
        <v>-290201.25</v>
      </c>
      <c r="R45" s="28" t="n">
        <v>-290201.25</v>
      </c>
      <c r="S45" s="28" t="n">
        <v>-290201.25</v>
      </c>
      <c r="T45" s="28" t="n">
        <v>-290201.25</v>
      </c>
      <c r="U45" s="28" t="n">
        <v>-290201.25</v>
      </c>
      <c r="V45" s="28" t="n">
        <v>-290201.25</v>
      </c>
      <c r="W45" s="28" t="n">
        <v>-290201.25</v>
      </c>
      <c r="X45" s="113" t="n"/>
    </row>
    <row r="46" ht="18.75" customHeight="1">
      <c r="B46" s="32" t="inlineStr">
        <is>
          <t>Outflow : 返還借款</t>
        </is>
      </c>
      <c r="C46" s="27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113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113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28" t="n">
        <v>-174440</v>
      </c>
      <c r="E48" s="28" t="n">
        <v>-174440</v>
      </c>
      <c r="F48" s="28" t="n">
        <v>-174440</v>
      </c>
      <c r="G48" s="28" t="n">
        <v>-174440</v>
      </c>
      <c r="H48" s="28" t="n">
        <v>-174440</v>
      </c>
      <c r="I48" s="28" t="n">
        <v>-174440</v>
      </c>
      <c r="J48" s="28" t="n">
        <v>-174440</v>
      </c>
      <c r="K48" s="28" t="n">
        <v>-174440</v>
      </c>
      <c r="L48" s="28" t="n">
        <v>-174440</v>
      </c>
      <c r="M48" s="28" t="n">
        <v>-174440</v>
      </c>
      <c r="N48" s="28" t="n">
        <v>-174440</v>
      </c>
      <c r="O48" s="28" t="n">
        <v>-174440</v>
      </c>
      <c r="P48" s="28" t="n">
        <v>-174440</v>
      </c>
      <c r="Q48" s="28" t="n">
        <v>-174440</v>
      </c>
      <c r="R48" s="28" t="n">
        <v>-174440</v>
      </c>
      <c r="S48" s="28" t="n">
        <v>-174440</v>
      </c>
      <c r="T48" s="28" t="n">
        <v>-174440</v>
      </c>
      <c r="U48" s="28" t="n">
        <v>-174440</v>
      </c>
      <c r="V48" s="28" t="n">
        <v>-174440</v>
      </c>
      <c r="W48" s="28" t="n">
        <v>-174440</v>
      </c>
      <c r="X48" s="113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28" t="n">
        <v>-32707.5</v>
      </c>
      <c r="E49" s="28" t="n">
        <v>-32707.5</v>
      </c>
      <c r="F49" s="28" t="n">
        <v>-32707.5</v>
      </c>
      <c r="G49" s="28" t="n">
        <v>-32707.5</v>
      </c>
      <c r="H49" s="28" t="n">
        <v>-32707.5</v>
      </c>
      <c r="I49" s="28" t="n">
        <v>-32707.5</v>
      </c>
      <c r="J49" s="28" t="n">
        <v>-32707.5</v>
      </c>
      <c r="K49" s="28" t="n">
        <v>-32707.5</v>
      </c>
      <c r="L49" s="28" t="n">
        <v>-32707.5</v>
      </c>
      <c r="M49" s="28" t="n">
        <v>-32707.5</v>
      </c>
      <c r="N49" s="28" t="n">
        <v>-32707.5</v>
      </c>
      <c r="O49" s="28" t="n">
        <v>-32707.5</v>
      </c>
      <c r="P49" s="28" t="n">
        <v>-32707.5</v>
      </c>
      <c r="Q49" s="28" t="n">
        <v>-32707.5</v>
      </c>
      <c r="R49" s="28" t="n">
        <v>-32707.5</v>
      </c>
      <c r="S49" s="28" t="n">
        <v>-32707.5</v>
      </c>
      <c r="T49" s="28" t="n">
        <v>-32707.5</v>
      </c>
      <c r="U49" s="28" t="n">
        <v>-32707.5</v>
      </c>
      <c r="V49" s="28" t="n">
        <v>-32707.5</v>
      </c>
      <c r="W49" s="28" t="n">
        <v>-32707.5</v>
      </c>
      <c r="X49" s="113" t="n"/>
    </row>
    <row r="50" ht="18.75" customHeight="1">
      <c r="B50" s="32" t="inlineStr">
        <is>
          <t>Outflow : 模組回收費</t>
        </is>
      </c>
      <c r="C50" s="27" t="n"/>
      <c r="D50" s="28" t="n">
        <v>-43610</v>
      </c>
      <c r="E50" s="28" t="n">
        <v>-43610</v>
      </c>
      <c r="F50" s="28" t="n">
        <v>-43610</v>
      </c>
      <c r="G50" s="28" t="n">
        <v>-43610</v>
      </c>
      <c r="H50" s="28" t="n">
        <v>-43610</v>
      </c>
      <c r="I50" s="28" t="n">
        <v>-43610</v>
      </c>
      <c r="J50" s="28" t="n">
        <v>-43610</v>
      </c>
      <c r="K50" s="28" t="n">
        <v>-43610</v>
      </c>
      <c r="L50" s="28" t="n">
        <v>-43610</v>
      </c>
      <c r="M50" s="28" t="n">
        <v>-43610</v>
      </c>
      <c r="N50" s="28" t="n">
        <v>0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113" t="n"/>
    </row>
    <row r="51" ht="18.75" customHeight="1">
      <c r="B51" s="32" t="inlineStr">
        <is>
          <t>Outflow : 其它費用(人事薪資…等)</t>
        </is>
      </c>
      <c r="C51" s="34" t="n"/>
      <c r="D51" s="35" t="n"/>
      <c r="E51" s="36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113" t="n"/>
    </row>
    <row r="52" ht="18.75" customHeight="1">
      <c r="B52" s="32" t="inlineStr">
        <is>
          <t>1%管理費</t>
        </is>
      </c>
      <c r="C52" s="34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113" t="n"/>
    </row>
    <row r="53" ht="18.75" customHeight="1">
      <c r="B53" s="37" t="inlineStr">
        <is>
          <t>績效獎金</t>
        </is>
      </c>
      <c r="C53" s="34" t="n"/>
      <c r="D53" s="38" t="n"/>
      <c r="E53" s="3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113" t="n"/>
    </row>
    <row r="54" ht="18.75" customHeight="1">
      <c r="B54" s="37" t="inlineStr">
        <is>
          <t>所得稅20%</t>
        </is>
      </c>
      <c r="C54" s="34" t="n"/>
      <c r="D54" s="28">
        <f>D77</f>
        <v/>
      </c>
      <c r="E54" s="28">
        <f>E77</f>
        <v/>
      </c>
      <c r="F54" s="28">
        <f>F77</f>
        <v/>
      </c>
      <c r="G54" s="28">
        <f>G77</f>
        <v/>
      </c>
      <c r="H54" s="28">
        <f>H77</f>
        <v/>
      </c>
      <c r="I54" s="28">
        <f>I77</f>
        <v/>
      </c>
      <c r="J54" s="28">
        <f>J77</f>
        <v/>
      </c>
      <c r="K54" s="28">
        <f>K77</f>
        <v/>
      </c>
      <c r="L54" s="28">
        <f>L77</f>
        <v/>
      </c>
      <c r="M54" s="28">
        <f>M77</f>
        <v/>
      </c>
      <c r="N54" s="28">
        <f>N77</f>
        <v/>
      </c>
      <c r="O54" s="28">
        <f>O77</f>
        <v/>
      </c>
      <c r="P54" s="28">
        <f>P77</f>
        <v/>
      </c>
      <c r="Q54" s="28">
        <f>Q77</f>
        <v/>
      </c>
      <c r="R54" s="28">
        <f>R77</f>
        <v/>
      </c>
      <c r="S54" s="28">
        <f>S77</f>
        <v/>
      </c>
      <c r="T54" s="28">
        <f>T77</f>
        <v/>
      </c>
      <c r="U54" s="28">
        <f>U77</f>
        <v/>
      </c>
      <c r="V54" s="28">
        <f>V77</f>
        <v/>
      </c>
      <c r="W54" s="28">
        <f>W77</f>
        <v/>
      </c>
      <c r="X54" s="28" t="n"/>
    </row>
    <row r="55" ht="18.75" customHeight="1">
      <c r="B55" s="39" t="inlineStr">
        <is>
          <t>現金流</t>
        </is>
      </c>
      <c r="C55" s="40">
        <f>C44</f>
        <v/>
      </c>
      <c r="D55" s="41">
        <f>SUM(D41:D54)</f>
        <v/>
      </c>
      <c r="E55" s="41">
        <f>SUM(E41:E54)</f>
        <v/>
      </c>
      <c r="F55" s="41">
        <f>SUM(F41:F54)</f>
        <v/>
      </c>
      <c r="G55" s="41">
        <f>SUM(G41:G54)</f>
        <v/>
      </c>
      <c r="H55" s="41">
        <f>SUM(H41:H54)</f>
        <v/>
      </c>
      <c r="I55" s="41">
        <f>SUM(I41:I54)</f>
        <v/>
      </c>
      <c r="J55" s="41">
        <f>SUM(J41:J54)</f>
        <v/>
      </c>
      <c r="K55" s="41">
        <f>SUM(K41:K54)</f>
        <v/>
      </c>
      <c r="L55" s="41">
        <f>SUM(L41:L54)</f>
        <v/>
      </c>
      <c r="M55" s="41">
        <f>SUM(M41:M54)</f>
        <v/>
      </c>
      <c r="N55" s="41">
        <f>SUM(N41:N54)</f>
        <v/>
      </c>
      <c r="O55" s="41">
        <f>SUM(O41:O54)</f>
        <v/>
      </c>
      <c r="P55" s="41">
        <f>SUM(P41:P54)</f>
        <v/>
      </c>
      <c r="Q55" s="41">
        <f>SUM(Q41:Q54)</f>
        <v/>
      </c>
      <c r="R55" s="41">
        <f>SUM(R41:R54)</f>
        <v/>
      </c>
      <c r="S55" s="41">
        <f>SUM(S41:S54)</f>
        <v/>
      </c>
      <c r="T55" s="41">
        <f>SUM(T41:T54)</f>
        <v/>
      </c>
      <c r="U55" s="41">
        <f>SUM(U41:U54)</f>
        <v/>
      </c>
      <c r="V55" s="41">
        <f>SUM(V41:V54)</f>
        <v/>
      </c>
      <c r="W55" s="41">
        <f>SUM(W41:W54)</f>
        <v/>
      </c>
      <c r="X55" s="41" t="n"/>
      <c r="Y55" s="115" t="n"/>
      <c r="Z55" s="116" t="n"/>
      <c r="AA55" s="115" t="n"/>
      <c r="AB55" s="115" t="n"/>
      <c r="AC55" s="115" t="n"/>
      <c r="AD55" s="115" t="n"/>
      <c r="AE55" s="115" t="n"/>
      <c r="AF55" s="115" t="n"/>
      <c r="AG55" s="115" t="n"/>
      <c r="AH55" s="115" t="n"/>
      <c r="AI55" s="115" t="n"/>
      <c r="AJ55" s="115" t="n"/>
    </row>
    <row r="56" ht="18.75" customHeight="1">
      <c r="B56" s="42" t="inlineStr">
        <is>
          <t>累計現金流</t>
        </is>
      </c>
      <c r="D56" s="43">
        <f>C55+D55</f>
        <v/>
      </c>
      <c r="E56" s="43">
        <f>D56+E55</f>
        <v/>
      </c>
      <c r="F56" s="43">
        <f>E56+F55</f>
        <v/>
      </c>
      <c r="G56" s="43">
        <f>F56+G55</f>
        <v/>
      </c>
      <c r="H56" s="43">
        <f>G56+H55</f>
        <v/>
      </c>
      <c r="I56" s="43">
        <f>H56+I55</f>
        <v/>
      </c>
      <c r="J56" s="43">
        <f>I56+J55</f>
        <v/>
      </c>
      <c r="K56" s="43">
        <f>J56+K55</f>
        <v/>
      </c>
      <c r="L56" s="43">
        <f>K56+L55</f>
        <v/>
      </c>
      <c r="M56" s="43">
        <f>L56+M55</f>
        <v/>
      </c>
      <c r="N56" s="43">
        <f>M56+N55</f>
        <v/>
      </c>
      <c r="O56" s="43">
        <f>N56+O55</f>
        <v/>
      </c>
      <c r="P56" s="43">
        <f>O56+P55</f>
        <v/>
      </c>
      <c r="Q56" s="43">
        <f>P56+Q55</f>
        <v/>
      </c>
      <c r="R56" s="43">
        <f>Q56+R55</f>
        <v/>
      </c>
      <c r="S56" s="43">
        <f>R56+S55</f>
        <v/>
      </c>
      <c r="T56" s="43">
        <f>S56+T55</f>
        <v/>
      </c>
      <c r="U56" s="43">
        <f>T56+U55</f>
        <v/>
      </c>
      <c r="V56" s="43">
        <f>U56+V55</f>
        <v/>
      </c>
      <c r="W56" s="43">
        <f>V56+W55</f>
        <v/>
      </c>
      <c r="X56" s="43">
        <f>W56+X55</f>
        <v/>
      </c>
      <c r="Y56" s="115" t="n"/>
      <c r="Z56" s="115" t="n"/>
      <c r="AA56" s="115" t="n"/>
      <c r="AB56" s="115" t="n"/>
      <c r="AC56" s="115" t="n"/>
      <c r="AD56" s="115" t="n"/>
      <c r="AE56" s="115" t="n"/>
      <c r="AF56" s="115" t="n"/>
      <c r="AG56" s="115" t="n"/>
      <c r="AH56" s="115" t="n"/>
      <c r="AI56" s="115" t="n"/>
      <c r="AJ56" s="115" t="n"/>
    </row>
    <row r="57" ht="18.75" customHeight="1">
      <c r="B57" s="44" t="inlineStr">
        <is>
          <t>回收年限評估</t>
        </is>
      </c>
      <c r="C57" s="45" t="n"/>
      <c r="D57" s="46">
        <f>IF((D56)&gt;0,"回收","未回收")</f>
        <v/>
      </c>
      <c r="E57" s="46">
        <f>IF((E56)&gt;0,"回收","未回收")</f>
        <v/>
      </c>
      <c r="F57" s="46">
        <f>IF((F56)&gt;0,"回收","未回收")</f>
        <v/>
      </c>
      <c r="G57" s="46">
        <f>IF((G56)&gt;0,"回收","未回收")</f>
        <v/>
      </c>
      <c r="H57" s="46">
        <f>IF((H56)&gt;0,"回收","未回收")</f>
        <v/>
      </c>
      <c r="I57" s="46">
        <f>IF((I56)&gt;0,"回收","未回收")</f>
        <v/>
      </c>
      <c r="J57" s="46">
        <f>IF((J56)&gt;0,"回收","未回收")</f>
        <v/>
      </c>
      <c r="K57" s="46">
        <f>IF((K56)&gt;0,"回收","未回收")</f>
        <v/>
      </c>
      <c r="L57" s="46">
        <f>IF((L56)&gt;0,"回收","未回收")</f>
        <v/>
      </c>
      <c r="M57" s="46">
        <f>IF((M56)&gt;0,"回收","未回收")</f>
        <v/>
      </c>
      <c r="N57" s="46">
        <f>IF((N56)&gt;0,"回收","未回收")</f>
        <v/>
      </c>
      <c r="O57" s="46">
        <f>IF((O56)&gt;0,"回收","未回收")</f>
        <v/>
      </c>
      <c r="P57" s="46">
        <f>IF((P56)&gt;0,"回收","未回收")</f>
        <v/>
      </c>
      <c r="Q57" s="46">
        <f>IF((Q56)&gt;0,"回收","未回收")</f>
        <v/>
      </c>
      <c r="R57" s="46">
        <f>IF((R56)&gt;0,"回收","未回收")</f>
        <v/>
      </c>
      <c r="S57" s="46">
        <f>IF((S56)&gt;0,"回收","未回收")</f>
        <v/>
      </c>
      <c r="T57" s="46">
        <f>IF((T56)&gt;0,"回收","未回收")</f>
        <v/>
      </c>
      <c r="U57" s="46">
        <f>IF((U56)&gt;0,"回收","未回收")</f>
        <v/>
      </c>
      <c r="V57" s="46">
        <f>IF((V56)&gt;0,"回收","未回收")</f>
        <v/>
      </c>
      <c r="W57" s="46">
        <f>IF((W56)&gt;0,"回收","未回收")</f>
        <v/>
      </c>
      <c r="X57" s="46">
        <f>IF((X56)&gt;0,"回收","未回收")</f>
        <v/>
      </c>
      <c r="Y57" s="115" t="n"/>
      <c r="Z57" s="115" t="n"/>
      <c r="AA57" s="115" t="n"/>
      <c r="AB57" s="115" t="n"/>
      <c r="AC57" s="115" t="n"/>
      <c r="AD57" s="115" t="n"/>
      <c r="AE57" s="115" t="n"/>
      <c r="AF57" s="115" t="n"/>
      <c r="AG57" s="115" t="n"/>
      <c r="AH57" s="115" t="n"/>
      <c r="AI57" s="115" t="n"/>
      <c r="AJ57" s="115" t="n"/>
    </row>
    <row r="58" ht="18.75" customHeight="1">
      <c r="B58" s="47" t="inlineStr">
        <is>
          <t>專案法IRR</t>
        </is>
      </c>
      <c r="C58" s="48">
        <f>IRR(C55:W55)</f>
        <v/>
      </c>
      <c r="D58" s="49" t="n"/>
      <c r="E58" s="49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  <c r="AJ58" s="117" t="n"/>
    </row>
    <row r="59" ht="18.75" customHeight="1">
      <c r="B59" s="50" t="n"/>
      <c r="C59" s="49" t="n"/>
      <c r="D59" s="49" t="n"/>
      <c r="E59" s="49" t="n"/>
      <c r="F59" s="50" t="n"/>
      <c r="G59" s="50" t="n"/>
      <c r="H59" s="50" t="n"/>
      <c r="I59" s="50" t="n"/>
      <c r="J59" s="50" t="n"/>
      <c r="K59" s="50" t="n"/>
      <c r="L59" s="50" t="n"/>
      <c r="M59" s="49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117" t="n"/>
      <c r="Z59" s="117" t="n"/>
      <c r="AA59" s="117" t="n"/>
      <c r="AB59" s="117" t="n"/>
      <c r="AC59" s="117" t="n"/>
      <c r="AD59" s="117" t="n"/>
      <c r="AE59" s="117" t="n"/>
      <c r="AF59" s="117" t="n"/>
      <c r="AG59" s="117" t="n"/>
      <c r="AH59" s="117" t="n"/>
      <c r="AI59" s="117" t="n"/>
      <c r="AJ59" s="117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18" t="n"/>
      <c r="Z60" s="118" t="n"/>
      <c r="AA60" s="118" t="n"/>
      <c r="AB60" s="118" t="n"/>
      <c r="AC60" s="118" t="n"/>
      <c r="AD60" s="118" t="n"/>
      <c r="AE60" s="118" t="n"/>
      <c r="AF60" s="118" t="n"/>
      <c r="AG60" s="118" t="n"/>
      <c r="AH60" s="118" t="n"/>
      <c r="AI60" s="118" t="n"/>
      <c r="AJ60" s="118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1" t="inlineStr">
        <is>
          <t>償還年限</t>
        </is>
      </c>
      <c r="U61" s="14" t="n"/>
      <c r="V61" s="14" t="n"/>
      <c r="W61" s="14" t="n"/>
      <c r="X61" s="109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2" t="n">
        <v>17</v>
      </c>
      <c r="U62" s="18" t="n">
        <v>18</v>
      </c>
      <c r="V62" s="18" t="n">
        <v>19</v>
      </c>
      <c r="W62" s="18" t="n">
        <v>20</v>
      </c>
      <c r="X62" s="110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1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2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3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4" t="n"/>
    </row>
    <row r="67" ht="18.75" customHeight="1">
      <c r="B67" s="32" t="inlineStr">
        <is>
          <t>Outflow : 設備折舊</t>
        </is>
      </c>
      <c r="C67" s="27" t="n"/>
      <c r="D67" s="33">
        <f>$C$44/$E$16</f>
        <v/>
      </c>
      <c r="E67" s="33">
        <f>$C$44/$E$16</f>
        <v/>
      </c>
      <c r="F67" s="33">
        <f>$C$44/$E$16</f>
        <v/>
      </c>
      <c r="G67" s="33">
        <f>$C$44/$E$16</f>
        <v/>
      </c>
      <c r="H67" s="33">
        <f>$C$44/$E$16</f>
        <v/>
      </c>
      <c r="I67" s="33">
        <f>$C$44/$E$16</f>
        <v/>
      </c>
      <c r="J67" s="33">
        <f>$C$44/$E$16</f>
        <v/>
      </c>
      <c r="K67" s="33">
        <f>$C$44/$E$16</f>
        <v/>
      </c>
      <c r="L67" s="33">
        <f>$C$44/$E$16</f>
        <v/>
      </c>
      <c r="M67" s="33">
        <f>$C$44/$E$16</f>
        <v/>
      </c>
      <c r="N67" s="33">
        <f>$C$44/$E$16</f>
        <v/>
      </c>
      <c r="O67" s="33">
        <f>$C$44/$E$16</f>
        <v/>
      </c>
      <c r="P67" s="33">
        <f>$C$44/$E$16</f>
        <v/>
      </c>
      <c r="Q67" s="33">
        <f>$C$44/$E$16</f>
        <v/>
      </c>
      <c r="R67" s="33">
        <f>$C$44/$E$16</f>
        <v/>
      </c>
      <c r="S67" s="33">
        <f>$C$44/$E$16</f>
        <v/>
      </c>
      <c r="T67" s="33">
        <f>$C$44/$E$16</f>
        <v/>
      </c>
      <c r="U67" s="33">
        <f>$C$44/$E$16</f>
        <v/>
      </c>
      <c r="V67" s="33">
        <f>$C$44/$E$16</f>
        <v/>
      </c>
      <c r="W67" s="33">
        <f>$C$44/$E$16</f>
        <v/>
      </c>
      <c r="X67" s="113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28">
        <f>D45</f>
        <v/>
      </c>
      <c r="E68" s="28">
        <f>E45</f>
        <v/>
      </c>
      <c r="F68" s="28">
        <f>F45</f>
        <v/>
      </c>
      <c r="G68" s="28">
        <f>G45</f>
        <v/>
      </c>
      <c r="H68" s="28">
        <f>H45</f>
        <v/>
      </c>
      <c r="I68" s="28">
        <f>I45</f>
        <v/>
      </c>
      <c r="J68" s="28">
        <f>J45</f>
        <v/>
      </c>
      <c r="K68" s="28">
        <f>K45</f>
        <v/>
      </c>
      <c r="L68" s="28">
        <f>L45</f>
        <v/>
      </c>
      <c r="M68" s="28">
        <f>M45</f>
        <v/>
      </c>
      <c r="N68" s="28">
        <f>N45</f>
        <v/>
      </c>
      <c r="O68" s="28">
        <f>O45</f>
        <v/>
      </c>
      <c r="P68" s="28">
        <f>P45</f>
        <v/>
      </c>
      <c r="Q68" s="28">
        <f>Q45</f>
        <v/>
      </c>
      <c r="R68" s="28">
        <f>R45</f>
        <v/>
      </c>
      <c r="S68" s="28">
        <f>S45</f>
        <v/>
      </c>
      <c r="T68" s="28">
        <f>T45</f>
        <v/>
      </c>
      <c r="U68" s="28">
        <f>U45</f>
        <v/>
      </c>
      <c r="V68" s="28">
        <f>V45</f>
        <v/>
      </c>
      <c r="W68" s="28">
        <f>W45</f>
        <v/>
      </c>
      <c r="X68" s="113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3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28" t="n">
        <v>0</v>
      </c>
      <c r="E70" s="28" t="n">
        <v>0</v>
      </c>
      <c r="F70" s="28" t="n">
        <v>0</v>
      </c>
      <c r="G70" s="28" t="n">
        <v>0</v>
      </c>
      <c r="H70" s="28" t="n">
        <v>0</v>
      </c>
      <c r="I70" s="28" t="n">
        <v>0</v>
      </c>
      <c r="J70" s="28" t="n">
        <v>0</v>
      </c>
      <c r="K70" s="28" t="n">
        <v>0</v>
      </c>
      <c r="L70" s="28" t="n">
        <v>0</v>
      </c>
      <c r="M70" s="28" t="n">
        <v>0</v>
      </c>
      <c r="N70" s="28" t="n">
        <v>0</v>
      </c>
      <c r="O70" s="28" t="n">
        <v>0</v>
      </c>
      <c r="P70" s="28" t="n">
        <v>0</v>
      </c>
      <c r="Q70" s="28" t="n">
        <v>0</v>
      </c>
      <c r="R70" s="28" t="n">
        <v>0</v>
      </c>
      <c r="S70" s="28" t="n">
        <v>0</v>
      </c>
      <c r="T70" s="28" t="n">
        <v>0</v>
      </c>
      <c r="U70" s="28" t="n">
        <v>0</v>
      </c>
      <c r="V70" s="28" t="n">
        <v>0</v>
      </c>
      <c r="W70" s="28" t="n">
        <v>0</v>
      </c>
      <c r="X70" s="113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28">
        <f>D48</f>
        <v/>
      </c>
      <c r="E71" s="28">
        <f>E48</f>
        <v/>
      </c>
      <c r="F71" s="28">
        <f>F48</f>
        <v/>
      </c>
      <c r="G71" s="28">
        <f>G48</f>
        <v/>
      </c>
      <c r="H71" s="28">
        <f>H48</f>
        <v/>
      </c>
      <c r="I71" s="28">
        <f>I48</f>
        <v/>
      </c>
      <c r="J71" s="28">
        <f>J48</f>
        <v/>
      </c>
      <c r="K71" s="28">
        <f>K48</f>
        <v/>
      </c>
      <c r="L71" s="28">
        <f>L48</f>
        <v/>
      </c>
      <c r="M71" s="28">
        <f>M48</f>
        <v/>
      </c>
      <c r="N71" s="28">
        <f>N48</f>
        <v/>
      </c>
      <c r="O71" s="28">
        <f>O48</f>
        <v/>
      </c>
      <c r="P71" s="28">
        <f>P48</f>
        <v/>
      </c>
      <c r="Q71" s="28">
        <f>Q48</f>
        <v/>
      </c>
      <c r="R71" s="28">
        <f>R48</f>
        <v/>
      </c>
      <c r="S71" s="28">
        <f>S48</f>
        <v/>
      </c>
      <c r="T71" s="28">
        <f>T48</f>
        <v/>
      </c>
      <c r="U71" s="28">
        <f>U48</f>
        <v/>
      </c>
      <c r="V71" s="28">
        <f>V48</f>
        <v/>
      </c>
      <c r="W71" s="28">
        <f>W48</f>
        <v/>
      </c>
      <c r="X71" s="113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28">
        <f>D49</f>
        <v/>
      </c>
      <c r="E72" s="28">
        <f>E49</f>
        <v/>
      </c>
      <c r="F72" s="28">
        <f>F49</f>
        <v/>
      </c>
      <c r="G72" s="28">
        <f>G49</f>
        <v/>
      </c>
      <c r="H72" s="28">
        <f>H49</f>
        <v/>
      </c>
      <c r="I72" s="28">
        <f>I49</f>
        <v/>
      </c>
      <c r="J72" s="28">
        <f>J49</f>
        <v/>
      </c>
      <c r="K72" s="28">
        <f>K49</f>
        <v/>
      </c>
      <c r="L72" s="28">
        <f>L49</f>
        <v/>
      </c>
      <c r="M72" s="28">
        <f>M49</f>
        <v/>
      </c>
      <c r="N72" s="28">
        <f>N49</f>
        <v/>
      </c>
      <c r="O72" s="28">
        <f>O49</f>
        <v/>
      </c>
      <c r="P72" s="28">
        <f>P49</f>
        <v/>
      </c>
      <c r="Q72" s="28">
        <f>Q49</f>
        <v/>
      </c>
      <c r="R72" s="28">
        <f>R49</f>
        <v/>
      </c>
      <c r="S72" s="28">
        <f>S49</f>
        <v/>
      </c>
      <c r="T72" s="28">
        <f>T49</f>
        <v/>
      </c>
      <c r="U72" s="28">
        <f>U49</f>
        <v/>
      </c>
      <c r="V72" s="28">
        <f>V49</f>
        <v/>
      </c>
      <c r="W72" s="28">
        <f>W49</f>
        <v/>
      </c>
      <c r="X72" s="113" t="n"/>
    </row>
    <row r="73" ht="18.75" customHeight="1">
      <c r="B73" s="32" t="inlineStr">
        <is>
          <t>Outflow : 模組回收費</t>
        </is>
      </c>
      <c r="C73" s="27" t="n"/>
      <c r="D73" s="28">
        <f>D50</f>
        <v/>
      </c>
      <c r="E73" s="28">
        <f>E50</f>
        <v/>
      </c>
      <c r="F73" s="28">
        <f>F50</f>
        <v/>
      </c>
      <c r="G73" s="28">
        <f>G50</f>
        <v/>
      </c>
      <c r="H73" s="28">
        <f>H50</f>
        <v/>
      </c>
      <c r="I73" s="28">
        <f>I50</f>
        <v/>
      </c>
      <c r="J73" s="28">
        <f>J50</f>
        <v/>
      </c>
      <c r="K73" s="28">
        <f>K50</f>
        <v/>
      </c>
      <c r="L73" s="28">
        <f>L50</f>
        <v/>
      </c>
      <c r="M73" s="28">
        <f>M50</f>
        <v/>
      </c>
      <c r="N73" s="28">
        <f>N50</f>
        <v/>
      </c>
      <c r="O73" s="28">
        <f>O50</f>
        <v/>
      </c>
      <c r="P73" s="28">
        <f>P50</f>
        <v/>
      </c>
      <c r="Q73" s="28">
        <f>Q50</f>
        <v/>
      </c>
      <c r="R73" s="28">
        <f>R50</f>
        <v/>
      </c>
      <c r="S73" s="28">
        <f>S50</f>
        <v/>
      </c>
      <c r="T73" s="28">
        <f>T50</f>
        <v/>
      </c>
      <c r="U73" s="28">
        <f>U50</f>
        <v/>
      </c>
      <c r="V73" s="28">
        <f>V50</f>
        <v/>
      </c>
      <c r="W73" s="28">
        <f>W50</f>
        <v/>
      </c>
      <c r="X73" s="113" t="n"/>
    </row>
    <row r="74" ht="18.75" customHeight="1">
      <c r="B74" s="32" t="inlineStr">
        <is>
          <t>Outflow : 其它費用(人事薪資…等)</t>
        </is>
      </c>
      <c r="C74" s="34" t="n"/>
      <c r="D74" s="35" t="n"/>
      <c r="E74" s="36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3" t="n"/>
    </row>
    <row r="75" ht="18.75" customHeight="1">
      <c r="B75" s="32" t="inlineStr">
        <is>
          <t>1%管理費</t>
        </is>
      </c>
      <c r="C75" s="34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3" t="n"/>
    </row>
    <row r="76" ht="18.75" customHeight="1">
      <c r="B76" s="39" t="inlineStr">
        <is>
          <t>稅前淨利</t>
        </is>
      </c>
      <c r="C76" s="53" t="n"/>
      <c r="D76" s="41">
        <f>SUM(D64:D75)</f>
        <v/>
      </c>
      <c r="E76" s="41">
        <f>SUM(E64:E75)</f>
        <v/>
      </c>
      <c r="F76" s="41">
        <f>SUM(F64:F75)</f>
        <v/>
      </c>
      <c r="G76" s="41">
        <f>SUM(G64:G75)</f>
        <v/>
      </c>
      <c r="H76" s="41">
        <f>SUM(H64:H75)</f>
        <v/>
      </c>
      <c r="I76" s="41">
        <f>SUM(I64:I75)</f>
        <v/>
      </c>
      <c r="J76" s="41">
        <f>SUM(J64:J75)</f>
        <v/>
      </c>
      <c r="K76" s="41">
        <f>SUM(K64:K75)</f>
        <v/>
      </c>
      <c r="L76" s="41">
        <f>SUM(L64:L75)</f>
        <v/>
      </c>
      <c r="M76" s="41">
        <f>SUM(M64:M75)</f>
        <v/>
      </c>
      <c r="N76" s="41">
        <f>SUM(N64:N75)</f>
        <v/>
      </c>
      <c r="O76" s="41">
        <f>SUM(O64:O75)</f>
        <v/>
      </c>
      <c r="P76" s="41">
        <f>SUM(P64:P75)</f>
        <v/>
      </c>
      <c r="Q76" s="41">
        <f>SUM(Q64:Q75)</f>
        <v/>
      </c>
      <c r="R76" s="41">
        <f>SUM(R64:R75)</f>
        <v/>
      </c>
      <c r="S76" s="41">
        <f>SUM(S64:S75)</f>
        <v/>
      </c>
      <c r="T76" s="41">
        <f>SUM(T64:T75)</f>
        <v/>
      </c>
      <c r="U76" s="41">
        <f>SUM(U64:U75)</f>
        <v/>
      </c>
      <c r="V76" s="41">
        <f>SUM(V64:V75)</f>
        <v/>
      </c>
      <c r="W76" s="41">
        <f>SUM(W64:W75)</f>
        <v/>
      </c>
      <c r="X76" s="41">
        <f>SUM(X64:X75)</f>
        <v/>
      </c>
    </row>
    <row r="77" ht="18.75" customHeight="1">
      <c r="B77" s="37" t="inlineStr">
        <is>
          <t>所得稅20%</t>
        </is>
      </c>
      <c r="C77" s="34" t="n"/>
      <c r="D77" s="28">
        <f>-D76*0.2</f>
        <v/>
      </c>
      <c r="E77" s="28">
        <f>-E76*0.2</f>
        <v/>
      </c>
      <c r="F77" s="28">
        <f>-F76*0.2</f>
        <v/>
      </c>
      <c r="G77" s="28">
        <f>-G76*0.2</f>
        <v/>
      </c>
      <c r="H77" s="28">
        <f>-H76*0.2</f>
        <v/>
      </c>
      <c r="I77" s="28">
        <f>-I76*0.2</f>
        <v/>
      </c>
      <c r="J77" s="28">
        <f>-J76*0.2</f>
        <v/>
      </c>
      <c r="K77" s="28">
        <f>-K76*0.2</f>
        <v/>
      </c>
      <c r="L77" s="28">
        <f>-L76*0.2</f>
        <v/>
      </c>
      <c r="M77" s="28">
        <f>-M76*0.2</f>
        <v/>
      </c>
      <c r="N77" s="28">
        <f>-N76*0.2</f>
        <v/>
      </c>
      <c r="O77" s="28">
        <f>-O76*0.2</f>
        <v/>
      </c>
      <c r="P77" s="28">
        <f>-P76*0.2</f>
        <v/>
      </c>
      <c r="Q77" s="28">
        <f>-Q76*0.2</f>
        <v/>
      </c>
      <c r="R77" s="28">
        <f>-R76*0.2</f>
        <v/>
      </c>
      <c r="S77" s="28">
        <f>-S76*0.2</f>
        <v/>
      </c>
      <c r="T77" s="28">
        <f>-T76*0.2</f>
        <v/>
      </c>
      <c r="U77" s="28">
        <f>-U76*0.2</f>
        <v/>
      </c>
      <c r="V77" s="28">
        <f>-V76*0.2</f>
        <v/>
      </c>
      <c r="W77" s="28">
        <f>-W76*0.2</f>
        <v/>
      </c>
      <c r="X77" s="28">
        <f>-X76*0.2</f>
        <v/>
      </c>
    </row>
    <row r="78" ht="15.4" customHeight="1">
      <c r="B78" s="54" t="inlineStr">
        <is>
          <t>稅後淨利</t>
        </is>
      </c>
      <c r="D78" s="28">
        <f>SUM(D76:D77)</f>
        <v/>
      </c>
      <c r="E78" s="28">
        <f>SUM(E76:E77)</f>
        <v/>
      </c>
      <c r="F78" s="28">
        <f>SUM(F76:F77)</f>
        <v/>
      </c>
      <c r="G78" s="28">
        <f>SUM(G76:G77)</f>
        <v/>
      </c>
      <c r="H78" s="28">
        <f>SUM(H76:H77)</f>
        <v/>
      </c>
      <c r="I78" s="28">
        <f>SUM(I76:I77)</f>
        <v/>
      </c>
      <c r="J78" s="28">
        <f>SUM(J76:J77)</f>
        <v/>
      </c>
      <c r="K78" s="28">
        <f>SUM(K76:K77)</f>
        <v/>
      </c>
      <c r="L78" s="28">
        <f>SUM(L76:L77)</f>
        <v/>
      </c>
      <c r="M78" s="28">
        <f>SUM(M76:M77)</f>
        <v/>
      </c>
      <c r="N78" s="28">
        <f>SUM(N76:N77)</f>
        <v/>
      </c>
      <c r="O78" s="28">
        <f>SUM(O76:O77)</f>
        <v/>
      </c>
      <c r="P78" s="28">
        <f>SUM(P76:P77)</f>
        <v/>
      </c>
      <c r="Q78" s="28">
        <f>SUM(Q76:Q77)</f>
        <v/>
      </c>
      <c r="R78" s="28">
        <f>SUM(R76:R77)</f>
        <v/>
      </c>
      <c r="S78" s="28">
        <f>SUM(S76:S77)</f>
        <v/>
      </c>
      <c r="T78" s="28">
        <f>SUM(T76:T77)</f>
        <v/>
      </c>
      <c r="U78" s="28">
        <f>SUM(U76:U77)</f>
        <v/>
      </c>
      <c r="V78" s="28">
        <f>SUM(V76:V77)</f>
        <v/>
      </c>
      <c r="W78" s="28">
        <f>SUM(W76:W77)</f>
        <v/>
      </c>
      <c r="X78" s="28">
        <f>SUM(X76:X77)</f>
        <v/>
      </c>
    </row>
    <row r="79" ht="18.75" customHeight="1">
      <c r="B79" s="42" t="inlineStr">
        <is>
          <t>累計現金流</t>
        </is>
      </c>
      <c r="C79" s="40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119" t="n"/>
    </row>
    <row r="80" ht="18.75" customHeight="1">
      <c r="B80" s="55" t="inlineStr">
        <is>
          <t>回收年限評估</t>
        </is>
      </c>
      <c r="C80" s="56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120" t="n"/>
    </row>
    <row r="81" ht="18.75" customHeight="1">
      <c r="B81" s="50" t="n"/>
      <c r="C81" s="49" t="n"/>
      <c r="D81" s="49" t="n"/>
      <c r="E81" s="49" t="n"/>
      <c r="F81" s="50" t="n"/>
      <c r="G81" s="50" t="n"/>
      <c r="H81" s="50" t="n"/>
      <c r="I81" s="50" t="n"/>
      <c r="J81" s="50" t="n"/>
      <c r="K81" s="50" t="n"/>
      <c r="L81" s="50" t="n"/>
      <c r="M81" s="49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80" t="inlineStr">
        <is>
          <t>電站基本資料</t>
        </is>
      </c>
      <c r="C1" s="81" t="n"/>
      <c r="D1" s="81" t="n"/>
      <c r="E1" s="82" t="n"/>
    </row>
    <row r="2" ht="21.75" customHeight="1">
      <c r="B2" s="83" t="inlineStr">
        <is>
          <t>電站名稱</t>
        </is>
      </c>
      <c r="C2" s="84" t="inlineStr">
        <is>
          <t>淡江大學-財務模擬案場</t>
        </is>
      </c>
      <c r="D2" s="85" t="inlineStr">
        <is>
          <t>-</t>
        </is>
      </c>
      <c r="E2" s="85" t="inlineStr">
        <is>
          <t>-</t>
        </is>
      </c>
    </row>
    <row r="3" ht="21.75" customHeight="1">
      <c r="B3" s="86" t="inlineStr">
        <is>
          <t>電站壽命</t>
        </is>
      </c>
      <c r="C3" s="87" t="n">
        <v>20</v>
      </c>
      <c r="D3" s="88" t="inlineStr">
        <is>
          <t>-</t>
        </is>
      </c>
      <c r="E3" s="88" t="inlineStr">
        <is>
          <t>-</t>
        </is>
      </c>
    </row>
    <row r="4" ht="21.75" customHeight="1">
      <c r="B4" s="86" t="inlineStr">
        <is>
          <t>建置量(kWp)</t>
        </is>
      </c>
      <c r="C4" s="87" t="n">
        <v>436.1</v>
      </c>
      <c r="D4" s="88" t="inlineStr">
        <is>
          <t>-</t>
        </is>
      </c>
      <c r="E4" s="88" t="inlineStr">
        <is>
          <t>-</t>
        </is>
      </c>
      <c r="M4" t="inlineStr">
        <is>
          <t>滾算紀錄編號: 8</t>
        </is>
      </c>
    </row>
    <row r="5" ht="22.5" customHeight="1">
      <c r="B5" s="87" t="inlineStr">
        <is>
          <t>起始年度</t>
        </is>
      </c>
      <c r="C5" s="87" t="n">
        <v>2023</v>
      </c>
      <c r="D5" s="87" t="inlineStr">
        <is>
          <t>結束年度</t>
        </is>
      </c>
      <c r="E5" s="87" t="n">
        <v>2042</v>
      </c>
      <c r="M5" t="inlineStr">
        <is>
          <t>第7次滾算摘要</t>
        </is>
      </c>
    </row>
    <row r="6" ht="20.25" customHeight="1">
      <c r="B6" s="89" t="n"/>
      <c r="C6" s="89" t="n"/>
      <c r="D6" s="89" t="n"/>
      <c r="E6" s="89" t="n"/>
      <c r="M6" t="inlineStr">
        <is>
          <t>價金: 23000</t>
        </is>
      </c>
    </row>
    <row r="7" ht="22.5" customHeight="1">
      <c r="B7" s="90" t="inlineStr">
        <is>
          <t>綜合損益表</t>
        </is>
      </c>
      <c r="C7" s="81" t="n"/>
      <c r="D7" s="81" t="n"/>
      <c r="E7" s="82" t="n"/>
      <c r="M7" t="inlineStr">
        <is>
          <t>專案IRR: 7.06</t>
        </is>
      </c>
    </row>
    <row r="8" ht="22.5" customHeight="1">
      <c r="B8" s="91" t="inlineStr">
        <is>
          <t>收入</t>
        </is>
      </c>
      <c r="C8" s="92" t="n"/>
      <c r="D8" s="92" t="n"/>
      <c r="E8" s="93" t="n"/>
      <c r="M8" t="inlineStr">
        <is>
          <t>權益法IRR: 23.4</t>
        </is>
      </c>
    </row>
    <row r="9" ht="22.5" customHeight="1">
      <c r="B9" s="94" t="inlineStr">
        <is>
          <t>收支項目</t>
        </is>
      </c>
      <c r="C9" s="95" t="inlineStr">
        <is>
          <t>相關參數</t>
        </is>
      </c>
      <c r="D9" s="95" t="inlineStr">
        <is>
          <t>參數數值</t>
        </is>
      </c>
      <c r="E9" s="96" t="inlineStr">
        <is>
          <t>年限</t>
        </is>
      </c>
      <c r="M9" t="inlineStr">
        <is>
          <t>利潤率: 20.00%</t>
        </is>
      </c>
    </row>
    <row r="10" ht="21.75" customHeight="1">
      <c r="B10" s="97" t="inlineStr">
        <is>
          <t>電費收入</t>
        </is>
      </c>
      <c r="C10" s="84" t="inlineStr">
        <is>
          <t>年度AC併網總發電量</t>
        </is>
      </c>
      <c r="D10" s="84" t="n">
        <v>547002</v>
      </c>
      <c r="E10" s="97" t="n">
        <v>20</v>
      </c>
      <c r="M10" t="inlineStr">
        <is>
          <t>第7次滾算，減少 1000 元 - 現金模式，每次減少 1000 元</t>
        </is>
      </c>
    </row>
    <row r="11" ht="21.75" customHeight="1">
      <c r="B11" s="98" t="n"/>
      <c r="C11" s="87" t="inlineStr">
        <is>
          <t>首年衰退率</t>
        </is>
      </c>
      <c r="D11" s="87" t="n">
        <v>0.01</v>
      </c>
      <c r="E11" s="98" t="n"/>
    </row>
    <row r="12" ht="21.75" customHeight="1">
      <c r="B12" s="98" t="n"/>
      <c r="C12" s="87" t="inlineStr">
        <is>
          <t>次年衰退率</t>
        </is>
      </c>
      <c r="D12" s="87" t="n">
        <v>0.004</v>
      </c>
      <c r="E12" s="98" t="n"/>
    </row>
    <row r="13" ht="22.5" customHeight="1">
      <c r="B13" s="98" t="n"/>
      <c r="C13" s="99" t="inlineStr">
        <is>
          <t>躉售費率(FIT)</t>
        </is>
      </c>
      <c r="D13" s="99" t="n">
        <v>3.7152</v>
      </c>
      <c r="E13" s="98" t="n"/>
    </row>
    <row r="14" ht="22.5" customHeight="1">
      <c r="B14" s="100" t="inlineStr">
        <is>
          <t>支出</t>
        </is>
      </c>
      <c r="C14" s="81" t="n"/>
      <c r="D14" s="81" t="n"/>
      <c r="E14" s="82" t="n"/>
    </row>
    <row r="15" ht="22.5" customHeight="1">
      <c r="B15" s="94" t="inlineStr">
        <is>
          <t>收支項目</t>
        </is>
      </c>
      <c r="C15" s="95" t="inlineStr">
        <is>
          <t>相關參數</t>
        </is>
      </c>
      <c r="D15" s="95" t="inlineStr">
        <is>
          <t>參數數值</t>
        </is>
      </c>
      <c r="E15" s="101" t="inlineStr">
        <is>
          <t>攤提年限</t>
        </is>
      </c>
    </row>
    <row r="16" ht="21.75" customHeight="1">
      <c r="B16" s="102" t="inlineStr">
        <is>
          <t>設備費用(價金)</t>
        </is>
      </c>
      <c r="C16" s="83" t="inlineStr">
        <is>
          <t>每kWp設備成本</t>
        </is>
      </c>
      <c r="D16" s="84" t="n">
        <v>23000</v>
      </c>
      <c r="E16" s="103" t="n">
        <v>20</v>
      </c>
    </row>
    <row r="17" ht="21.75" customHeight="1">
      <c r="B17" s="98" t="n"/>
      <c r="C17" s="87" t="inlineStr">
        <is>
          <t>信邦利潤率</t>
        </is>
      </c>
      <c r="D17" s="87" t="n">
        <v>0.2</v>
      </c>
      <c r="E17" s="98" t="n"/>
    </row>
    <row r="18" ht="21.75" customHeight="1">
      <c r="B18" s="104" t="n"/>
      <c r="C18" s="87" t="inlineStr">
        <is>
          <t>開發費</t>
        </is>
      </c>
      <c r="D18" s="87" t="n">
        <v>2000</v>
      </c>
      <c r="E18" s="104" t="n"/>
    </row>
    <row r="19" ht="54" customHeight="1">
      <c r="B19" s="105" t="inlineStr">
        <is>
          <t>租金費用</t>
        </is>
      </c>
      <c r="C19" s="106" t="inlineStr">
        <is>
          <t>租金計算方式
(1=固定攤提/2=電費抽成)</t>
        </is>
      </c>
      <c r="D19" s="87" t="n">
        <v>1</v>
      </c>
      <c r="E19" s="85" t="n">
        <v>0</v>
      </c>
    </row>
    <row r="20" ht="20.25" customHeight="1">
      <c r="B20" s="98" t="n"/>
      <c r="C20" s="107" t="inlineStr">
        <is>
          <t>【方式1參數】租金總額</t>
        </is>
      </c>
      <c r="D20" s="87" t="n">
        <v>5804025</v>
      </c>
      <c r="E20" s="85" t="n">
        <v>20</v>
      </c>
    </row>
    <row r="21" ht="21.75" customHeight="1">
      <c r="B21" s="104" t="n"/>
      <c r="C21" s="87" t="inlineStr">
        <is>
          <t>【方式2參數】抽成比率</t>
        </is>
      </c>
      <c r="D21" s="87" t="n">
        <v>0</v>
      </c>
      <c r="E21" s="88" t="n">
        <v>0</v>
      </c>
    </row>
    <row r="22" ht="21.75" customHeight="1">
      <c r="B22" s="87" t="inlineStr">
        <is>
          <t>運維費用</t>
        </is>
      </c>
      <c r="C22" s="87" t="inlineStr">
        <is>
          <t>每kw運維成本</t>
        </is>
      </c>
      <c r="D22" s="87" t="n">
        <v>400</v>
      </c>
      <c r="E22" s="88" t="n">
        <v>20</v>
      </c>
    </row>
    <row r="23" ht="21.75" customHeight="1">
      <c r="B23" s="87" t="inlineStr">
        <is>
          <t>保險費用</t>
        </is>
      </c>
      <c r="C23" s="86" t="inlineStr">
        <is>
          <t>占整體設備費用比例</t>
        </is>
      </c>
      <c r="D23" s="87" t="n">
        <v>0.003</v>
      </c>
      <c r="E23" s="88" t="n">
        <v>20</v>
      </c>
    </row>
    <row r="24" ht="21.75" customHeight="1">
      <c r="B24" s="87" t="inlineStr">
        <is>
          <t>模組回收費用</t>
        </is>
      </c>
      <c r="C24" s="87" t="inlineStr">
        <is>
          <t>每kw模組回收成本</t>
        </is>
      </c>
      <c r="D24" s="87" t="n">
        <v>1000</v>
      </c>
      <c r="E24" s="88" t="n">
        <v>10</v>
      </c>
    </row>
    <row r="25" ht="21.75" customHeight="1">
      <c r="B25" s="87" t="inlineStr">
        <is>
          <t>利息費用</t>
        </is>
      </c>
      <c r="C25" s="87" t="inlineStr">
        <is>
          <t>銀行利率</t>
        </is>
      </c>
      <c r="D25" s="108" t="n">
        <v>0.025595</v>
      </c>
      <c r="E25" s="88" t="n">
        <v>0</v>
      </c>
    </row>
    <row r="26" ht="22.5" customHeight="1">
      <c r="B26" s="87" t="inlineStr">
        <is>
          <t>所得稅</t>
        </is>
      </c>
      <c r="C26" s="87" t="inlineStr">
        <is>
          <t>所得稅率</t>
        </is>
      </c>
      <c r="D26" s="87" t="n">
        <v>0.2</v>
      </c>
      <c r="E26" s="88" t="n">
        <v>0</v>
      </c>
    </row>
    <row r="27" ht="20.25" customHeight="1">
      <c r="B27" s="89" t="n"/>
      <c r="C27" s="89" t="n"/>
      <c r="D27" s="89" t="n"/>
      <c r="E27" s="89" t="n"/>
    </row>
    <row r="28" ht="20.25" customHeight="1">
      <c r="B28" s="89" t="n"/>
      <c r="C28" s="89" t="n"/>
      <c r="D28" s="89" t="n"/>
      <c r="E28" s="89" t="n"/>
    </row>
    <row r="29" ht="22.5" customHeight="1">
      <c r="B29" s="90" t="inlineStr">
        <is>
          <t>現金流量表</t>
        </is>
      </c>
      <c r="C29" s="81" t="n"/>
      <c r="D29" s="82" t="n"/>
      <c r="E29" s="89" t="n"/>
    </row>
    <row r="30" ht="22.5" customHeight="1">
      <c r="B30" s="94" t="inlineStr">
        <is>
          <t>金流項目</t>
        </is>
      </c>
      <c r="C30" s="95" t="inlineStr">
        <is>
          <t>相關參數</t>
        </is>
      </c>
      <c r="D30" s="101" t="inlineStr">
        <is>
          <t>參數數值</t>
        </is>
      </c>
      <c r="E30" s="89" t="n"/>
    </row>
    <row r="31" ht="18.75" customHeight="1">
      <c r="B31" s="83" t="inlineStr">
        <is>
          <t>貸款成數</t>
        </is>
      </c>
      <c r="C31" s="83" t="inlineStr">
        <is>
          <t>占總設備費用比例</t>
        </is>
      </c>
      <c r="D31" s="84" t="n">
        <v>0.8</v>
      </c>
      <c r="E31" s="89" t="n"/>
    </row>
    <row r="32" ht="18.75" customHeight="1">
      <c r="B32" s="84" t="inlineStr">
        <is>
          <t>貸款還款</t>
        </is>
      </c>
      <c r="C32" s="84" t="inlineStr">
        <is>
          <t>攤還期數</t>
        </is>
      </c>
      <c r="D32" s="84" t="n">
        <v>15</v>
      </c>
      <c r="E32" s="89" t="n"/>
    </row>
    <row r="33" ht="18.75" customHeight="1">
      <c r="B33" s="87" t="inlineStr">
        <is>
          <t>現金股利</t>
        </is>
      </c>
      <c r="C33" s="87" t="inlineStr">
        <is>
          <t>股利比率</t>
        </is>
      </c>
      <c r="D33" s="87" t="n">
        <v>0.9</v>
      </c>
      <c r="E33" s="89" t="n"/>
    </row>
    <row r="34" ht="18.75" customHeight="1">
      <c r="B34" s="87" t="inlineStr">
        <is>
          <t>年底減資</t>
        </is>
      </c>
      <c r="C34" s="87" t="inlineStr">
        <is>
          <t>攤還期數</t>
        </is>
      </c>
      <c r="D34" s="87" t="n">
        <v>4</v>
      </c>
      <c r="E34" s="89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09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0" t="n"/>
    </row>
    <row r="40" ht="18.75" customHeight="1">
      <c r="B40" s="20" t="inlineStr">
        <is>
          <t>發電度數(KWH)</t>
        </is>
      </c>
      <c r="C40" s="21" t="n">
        <v>0</v>
      </c>
      <c r="D40" s="22">
        <f>$D$10*0.99</f>
        <v/>
      </c>
      <c r="E40" s="22">
        <f>$D$10*0.986</f>
        <v/>
      </c>
      <c r="F40" s="22">
        <f>$D$10*0.982</f>
        <v/>
      </c>
      <c r="G40" s="22">
        <f>$D$10*0.978</f>
        <v/>
      </c>
      <c r="H40" s="22">
        <f>$D$10*0.974</f>
        <v/>
      </c>
      <c r="I40" s="22">
        <f>$D$10*0.97</f>
        <v/>
      </c>
      <c r="J40" s="22">
        <f>$D$10*0.966</f>
        <v/>
      </c>
      <c r="K40" s="22">
        <f>$D$10*0.962</f>
        <v/>
      </c>
      <c r="L40" s="22">
        <f>$D$10*0.958</f>
        <v/>
      </c>
      <c r="M40" s="22">
        <f>$D$10*0.954</f>
        <v/>
      </c>
      <c r="N40" s="22">
        <f>$D$10*0.95</f>
        <v/>
      </c>
      <c r="O40" s="22">
        <f>$D$10*0.946</f>
        <v/>
      </c>
      <c r="P40" s="22">
        <f>$D$10*0.942</f>
        <v/>
      </c>
      <c r="Q40" s="22">
        <f>$D$10*0.938</f>
        <v/>
      </c>
      <c r="R40" s="22">
        <f>$D$10*0.934</f>
        <v/>
      </c>
      <c r="S40" s="22">
        <f>$D$10*0.93</f>
        <v/>
      </c>
      <c r="T40" s="22">
        <f>$D$10*0.926</f>
        <v/>
      </c>
      <c r="U40" s="22">
        <f>$D$10*0.922</f>
        <v/>
      </c>
      <c r="V40" s="22">
        <f>$D$10*0.918</f>
        <v/>
      </c>
      <c r="W40" s="22">
        <f>$D$10*0.914</f>
        <v/>
      </c>
      <c r="X40" s="111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2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3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4" t="n"/>
    </row>
    <row r="44" ht="18.75" customHeight="1">
      <c r="B44" s="32" t="inlineStr">
        <is>
          <t>Outflow : 設備費用</t>
        </is>
      </c>
      <c r="C44" s="27">
        <f>-(D16/(1-D17)+D18)*C4</f>
        <v/>
      </c>
      <c r="D44" s="33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113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28" t="n">
        <v>0</v>
      </c>
      <c r="E45" s="28" t="n">
        <v>-290201.25</v>
      </c>
      <c r="F45" s="28" t="n">
        <v>-290201.25</v>
      </c>
      <c r="G45" s="28" t="n">
        <v>-290201.25</v>
      </c>
      <c r="H45" s="28" t="n">
        <v>-290201.25</v>
      </c>
      <c r="I45" s="28" t="n">
        <v>-290201.25</v>
      </c>
      <c r="J45" s="28" t="n">
        <v>-290201.25</v>
      </c>
      <c r="K45" s="28" t="n">
        <v>-290201.25</v>
      </c>
      <c r="L45" s="28" t="n">
        <v>-290201.25</v>
      </c>
      <c r="M45" s="28" t="n">
        <v>-290201.25</v>
      </c>
      <c r="N45" s="28" t="n">
        <v>-290201.25</v>
      </c>
      <c r="O45" s="28" t="n">
        <v>-290201.25</v>
      </c>
      <c r="P45" s="28" t="n">
        <v>-290201.25</v>
      </c>
      <c r="Q45" s="28" t="n">
        <v>-290201.25</v>
      </c>
      <c r="R45" s="28" t="n">
        <v>-290201.25</v>
      </c>
      <c r="S45" s="28" t="n">
        <v>-290201.25</v>
      </c>
      <c r="T45" s="28" t="n">
        <v>-290201.25</v>
      </c>
      <c r="U45" s="28" t="n">
        <v>-290201.25</v>
      </c>
      <c r="V45" s="28" t="n">
        <v>-290201.25</v>
      </c>
      <c r="W45" s="28" t="n">
        <v>-290201.25</v>
      </c>
      <c r="X45" s="113" t="n"/>
    </row>
    <row r="46" ht="18.75" customHeight="1">
      <c r="B46" s="32" t="inlineStr">
        <is>
          <t>Outflow : 返還借款</t>
        </is>
      </c>
      <c r="C46" s="27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113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113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28" t="n">
        <v>-174440</v>
      </c>
      <c r="E48" s="28" t="n">
        <v>-174440</v>
      </c>
      <c r="F48" s="28" t="n">
        <v>-174440</v>
      </c>
      <c r="G48" s="28" t="n">
        <v>-174440</v>
      </c>
      <c r="H48" s="28" t="n">
        <v>-174440</v>
      </c>
      <c r="I48" s="28" t="n">
        <v>-174440</v>
      </c>
      <c r="J48" s="28" t="n">
        <v>-174440</v>
      </c>
      <c r="K48" s="28" t="n">
        <v>-174440</v>
      </c>
      <c r="L48" s="28" t="n">
        <v>-174440</v>
      </c>
      <c r="M48" s="28" t="n">
        <v>-174440</v>
      </c>
      <c r="N48" s="28" t="n">
        <v>-174440</v>
      </c>
      <c r="O48" s="28" t="n">
        <v>-174440</v>
      </c>
      <c r="P48" s="28" t="n">
        <v>-174440</v>
      </c>
      <c r="Q48" s="28" t="n">
        <v>-174440</v>
      </c>
      <c r="R48" s="28" t="n">
        <v>-174440</v>
      </c>
      <c r="S48" s="28" t="n">
        <v>-174440</v>
      </c>
      <c r="T48" s="28" t="n">
        <v>-174440</v>
      </c>
      <c r="U48" s="28" t="n">
        <v>-174440</v>
      </c>
      <c r="V48" s="28" t="n">
        <v>-174440</v>
      </c>
      <c r="W48" s="28" t="n">
        <v>-174440</v>
      </c>
      <c r="X48" s="113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28" t="n">
        <v>-30090.9</v>
      </c>
      <c r="E49" s="28" t="n">
        <v>-30090.9</v>
      </c>
      <c r="F49" s="28" t="n">
        <v>-30090.9</v>
      </c>
      <c r="G49" s="28" t="n">
        <v>-30090.9</v>
      </c>
      <c r="H49" s="28" t="n">
        <v>-30090.9</v>
      </c>
      <c r="I49" s="28" t="n">
        <v>-30090.9</v>
      </c>
      <c r="J49" s="28" t="n">
        <v>-30090.9</v>
      </c>
      <c r="K49" s="28" t="n">
        <v>-30090.9</v>
      </c>
      <c r="L49" s="28" t="n">
        <v>-30090.9</v>
      </c>
      <c r="M49" s="28" t="n">
        <v>-30090.9</v>
      </c>
      <c r="N49" s="28" t="n">
        <v>-30090.9</v>
      </c>
      <c r="O49" s="28" t="n">
        <v>-30090.9</v>
      </c>
      <c r="P49" s="28" t="n">
        <v>-30090.9</v>
      </c>
      <c r="Q49" s="28" t="n">
        <v>-30090.9</v>
      </c>
      <c r="R49" s="28" t="n">
        <v>-30090.9</v>
      </c>
      <c r="S49" s="28" t="n">
        <v>-30090.9</v>
      </c>
      <c r="T49" s="28" t="n">
        <v>-30090.9</v>
      </c>
      <c r="U49" s="28" t="n">
        <v>-30090.9</v>
      </c>
      <c r="V49" s="28" t="n">
        <v>-30090.9</v>
      </c>
      <c r="W49" s="28" t="n">
        <v>-30090.9</v>
      </c>
      <c r="X49" s="113" t="n"/>
    </row>
    <row r="50" ht="18.75" customHeight="1">
      <c r="B50" s="32" t="inlineStr">
        <is>
          <t>Outflow : 模組回收費</t>
        </is>
      </c>
      <c r="C50" s="27" t="n"/>
      <c r="D50" s="28" t="n">
        <v>-43610</v>
      </c>
      <c r="E50" s="28" t="n">
        <v>-43610</v>
      </c>
      <c r="F50" s="28" t="n">
        <v>-43610</v>
      </c>
      <c r="G50" s="28" t="n">
        <v>-43610</v>
      </c>
      <c r="H50" s="28" t="n">
        <v>-43610</v>
      </c>
      <c r="I50" s="28" t="n">
        <v>-43610</v>
      </c>
      <c r="J50" s="28" t="n">
        <v>-43610</v>
      </c>
      <c r="K50" s="28" t="n">
        <v>-43610</v>
      </c>
      <c r="L50" s="28" t="n">
        <v>-43610</v>
      </c>
      <c r="M50" s="28" t="n">
        <v>-43610</v>
      </c>
      <c r="N50" s="28" t="n">
        <v>0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113" t="n"/>
    </row>
    <row r="51" ht="18.75" customHeight="1">
      <c r="B51" s="32" t="inlineStr">
        <is>
          <t>Outflow : 其它費用(人事薪資…等)</t>
        </is>
      </c>
      <c r="C51" s="34" t="n"/>
      <c r="D51" s="35" t="n"/>
      <c r="E51" s="36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113" t="n"/>
    </row>
    <row r="52" ht="18.75" customHeight="1">
      <c r="B52" s="32" t="inlineStr">
        <is>
          <t>1%管理費</t>
        </is>
      </c>
      <c r="C52" s="34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113" t="n"/>
    </row>
    <row r="53" ht="18.75" customHeight="1">
      <c r="B53" s="37" t="inlineStr">
        <is>
          <t>績效獎金</t>
        </is>
      </c>
      <c r="C53" s="34" t="n"/>
      <c r="D53" s="38" t="n"/>
      <c r="E53" s="3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113" t="n"/>
    </row>
    <row r="54" ht="18.75" customHeight="1">
      <c r="B54" s="37" t="inlineStr">
        <is>
          <t>所得稅20%</t>
        </is>
      </c>
      <c r="C54" s="34" t="n"/>
      <c r="D54" s="28">
        <f>D77</f>
        <v/>
      </c>
      <c r="E54" s="28">
        <f>E77</f>
        <v/>
      </c>
      <c r="F54" s="28">
        <f>F77</f>
        <v/>
      </c>
      <c r="G54" s="28">
        <f>G77</f>
        <v/>
      </c>
      <c r="H54" s="28">
        <f>H77</f>
        <v/>
      </c>
      <c r="I54" s="28">
        <f>I77</f>
        <v/>
      </c>
      <c r="J54" s="28">
        <f>J77</f>
        <v/>
      </c>
      <c r="K54" s="28">
        <f>K77</f>
        <v/>
      </c>
      <c r="L54" s="28">
        <f>L77</f>
        <v/>
      </c>
      <c r="M54" s="28">
        <f>M77</f>
        <v/>
      </c>
      <c r="N54" s="28">
        <f>N77</f>
        <v/>
      </c>
      <c r="O54" s="28">
        <f>O77</f>
        <v/>
      </c>
      <c r="P54" s="28">
        <f>P77</f>
        <v/>
      </c>
      <c r="Q54" s="28">
        <f>Q77</f>
        <v/>
      </c>
      <c r="R54" s="28">
        <f>R77</f>
        <v/>
      </c>
      <c r="S54" s="28">
        <f>S77</f>
        <v/>
      </c>
      <c r="T54" s="28">
        <f>T77</f>
        <v/>
      </c>
      <c r="U54" s="28">
        <f>U77</f>
        <v/>
      </c>
      <c r="V54" s="28">
        <f>V77</f>
        <v/>
      </c>
      <c r="W54" s="28">
        <f>W77</f>
        <v/>
      </c>
      <c r="X54" s="28" t="n"/>
    </row>
    <row r="55" ht="18.75" customHeight="1">
      <c r="B55" s="39" t="inlineStr">
        <is>
          <t>現金流</t>
        </is>
      </c>
      <c r="C55" s="40">
        <f>C44</f>
        <v/>
      </c>
      <c r="D55" s="41">
        <f>SUM(D41:D54)</f>
        <v/>
      </c>
      <c r="E55" s="41">
        <f>SUM(E41:E54)</f>
        <v/>
      </c>
      <c r="F55" s="41">
        <f>SUM(F41:F54)</f>
        <v/>
      </c>
      <c r="G55" s="41">
        <f>SUM(G41:G54)</f>
        <v/>
      </c>
      <c r="H55" s="41">
        <f>SUM(H41:H54)</f>
        <v/>
      </c>
      <c r="I55" s="41">
        <f>SUM(I41:I54)</f>
        <v/>
      </c>
      <c r="J55" s="41">
        <f>SUM(J41:J54)</f>
        <v/>
      </c>
      <c r="K55" s="41">
        <f>SUM(K41:K54)</f>
        <v/>
      </c>
      <c r="L55" s="41">
        <f>SUM(L41:L54)</f>
        <v/>
      </c>
      <c r="M55" s="41">
        <f>SUM(M41:M54)</f>
        <v/>
      </c>
      <c r="N55" s="41">
        <f>SUM(N41:N54)</f>
        <v/>
      </c>
      <c r="O55" s="41">
        <f>SUM(O41:O54)</f>
        <v/>
      </c>
      <c r="P55" s="41">
        <f>SUM(P41:P54)</f>
        <v/>
      </c>
      <c r="Q55" s="41">
        <f>SUM(Q41:Q54)</f>
        <v/>
      </c>
      <c r="R55" s="41">
        <f>SUM(R41:R54)</f>
        <v/>
      </c>
      <c r="S55" s="41">
        <f>SUM(S41:S54)</f>
        <v/>
      </c>
      <c r="T55" s="41">
        <f>SUM(T41:T54)</f>
        <v/>
      </c>
      <c r="U55" s="41">
        <f>SUM(U41:U54)</f>
        <v/>
      </c>
      <c r="V55" s="41">
        <f>SUM(V41:V54)</f>
        <v/>
      </c>
      <c r="W55" s="41">
        <f>SUM(W41:W54)</f>
        <v/>
      </c>
      <c r="X55" s="41" t="n"/>
      <c r="Y55" s="115" t="n"/>
      <c r="Z55" s="116" t="n"/>
      <c r="AA55" s="115" t="n"/>
      <c r="AB55" s="115" t="n"/>
      <c r="AC55" s="115" t="n"/>
      <c r="AD55" s="115" t="n"/>
      <c r="AE55" s="115" t="n"/>
      <c r="AF55" s="115" t="n"/>
      <c r="AG55" s="115" t="n"/>
      <c r="AH55" s="115" t="n"/>
      <c r="AI55" s="115" t="n"/>
      <c r="AJ55" s="115" t="n"/>
    </row>
    <row r="56" ht="18.75" customHeight="1">
      <c r="B56" s="42" t="inlineStr">
        <is>
          <t>累計現金流</t>
        </is>
      </c>
      <c r="D56" s="43">
        <f>C55+D55</f>
        <v/>
      </c>
      <c r="E56" s="43">
        <f>D56+E55</f>
        <v/>
      </c>
      <c r="F56" s="43">
        <f>E56+F55</f>
        <v/>
      </c>
      <c r="G56" s="43">
        <f>F56+G55</f>
        <v/>
      </c>
      <c r="H56" s="43">
        <f>G56+H55</f>
        <v/>
      </c>
      <c r="I56" s="43">
        <f>H56+I55</f>
        <v/>
      </c>
      <c r="J56" s="43">
        <f>I56+J55</f>
        <v/>
      </c>
      <c r="K56" s="43">
        <f>J56+K55</f>
        <v/>
      </c>
      <c r="L56" s="43">
        <f>K56+L55</f>
        <v/>
      </c>
      <c r="M56" s="43">
        <f>L56+M55</f>
        <v/>
      </c>
      <c r="N56" s="43">
        <f>M56+N55</f>
        <v/>
      </c>
      <c r="O56" s="43">
        <f>N56+O55</f>
        <v/>
      </c>
      <c r="P56" s="43">
        <f>O56+P55</f>
        <v/>
      </c>
      <c r="Q56" s="43">
        <f>P56+Q55</f>
        <v/>
      </c>
      <c r="R56" s="43">
        <f>Q56+R55</f>
        <v/>
      </c>
      <c r="S56" s="43">
        <f>R56+S55</f>
        <v/>
      </c>
      <c r="T56" s="43">
        <f>S56+T55</f>
        <v/>
      </c>
      <c r="U56" s="43">
        <f>T56+U55</f>
        <v/>
      </c>
      <c r="V56" s="43">
        <f>U56+V55</f>
        <v/>
      </c>
      <c r="W56" s="43">
        <f>V56+W55</f>
        <v/>
      </c>
      <c r="X56" s="43">
        <f>W56+X55</f>
        <v/>
      </c>
      <c r="Y56" s="115" t="n"/>
      <c r="Z56" s="115" t="n"/>
      <c r="AA56" s="115" t="n"/>
      <c r="AB56" s="115" t="n"/>
      <c r="AC56" s="115" t="n"/>
      <c r="AD56" s="115" t="n"/>
      <c r="AE56" s="115" t="n"/>
      <c r="AF56" s="115" t="n"/>
      <c r="AG56" s="115" t="n"/>
      <c r="AH56" s="115" t="n"/>
      <c r="AI56" s="115" t="n"/>
      <c r="AJ56" s="115" t="n"/>
    </row>
    <row r="57" ht="18.75" customHeight="1">
      <c r="B57" s="44" t="inlineStr">
        <is>
          <t>回收年限評估</t>
        </is>
      </c>
      <c r="C57" s="45" t="n"/>
      <c r="D57" s="46">
        <f>IF((D56)&gt;0,"回收","未回收")</f>
        <v/>
      </c>
      <c r="E57" s="46">
        <f>IF((E56)&gt;0,"回收","未回收")</f>
        <v/>
      </c>
      <c r="F57" s="46">
        <f>IF((F56)&gt;0,"回收","未回收")</f>
        <v/>
      </c>
      <c r="G57" s="46">
        <f>IF((G56)&gt;0,"回收","未回收")</f>
        <v/>
      </c>
      <c r="H57" s="46">
        <f>IF((H56)&gt;0,"回收","未回收")</f>
        <v/>
      </c>
      <c r="I57" s="46">
        <f>IF((I56)&gt;0,"回收","未回收")</f>
        <v/>
      </c>
      <c r="J57" s="46">
        <f>IF((J56)&gt;0,"回收","未回收")</f>
        <v/>
      </c>
      <c r="K57" s="46">
        <f>IF((K56)&gt;0,"回收","未回收")</f>
        <v/>
      </c>
      <c r="L57" s="46">
        <f>IF((L56)&gt;0,"回收","未回收")</f>
        <v/>
      </c>
      <c r="M57" s="46">
        <f>IF((M56)&gt;0,"回收","未回收")</f>
        <v/>
      </c>
      <c r="N57" s="46">
        <f>IF((N56)&gt;0,"回收","未回收")</f>
        <v/>
      </c>
      <c r="O57" s="46">
        <f>IF((O56)&gt;0,"回收","未回收")</f>
        <v/>
      </c>
      <c r="P57" s="46">
        <f>IF((P56)&gt;0,"回收","未回收")</f>
        <v/>
      </c>
      <c r="Q57" s="46">
        <f>IF((Q56)&gt;0,"回收","未回收")</f>
        <v/>
      </c>
      <c r="R57" s="46">
        <f>IF((R56)&gt;0,"回收","未回收")</f>
        <v/>
      </c>
      <c r="S57" s="46">
        <f>IF((S56)&gt;0,"回收","未回收")</f>
        <v/>
      </c>
      <c r="T57" s="46">
        <f>IF((T56)&gt;0,"回收","未回收")</f>
        <v/>
      </c>
      <c r="U57" s="46">
        <f>IF((U56)&gt;0,"回收","未回收")</f>
        <v/>
      </c>
      <c r="V57" s="46">
        <f>IF((V56)&gt;0,"回收","未回收")</f>
        <v/>
      </c>
      <c r="W57" s="46">
        <f>IF((W56)&gt;0,"回收","未回收")</f>
        <v/>
      </c>
      <c r="X57" s="46">
        <f>IF((X56)&gt;0,"回收","未回收")</f>
        <v/>
      </c>
      <c r="Y57" s="115" t="n"/>
      <c r="Z57" s="115" t="n"/>
      <c r="AA57" s="115" t="n"/>
      <c r="AB57" s="115" t="n"/>
      <c r="AC57" s="115" t="n"/>
      <c r="AD57" s="115" t="n"/>
      <c r="AE57" s="115" t="n"/>
      <c r="AF57" s="115" t="n"/>
      <c r="AG57" s="115" t="n"/>
      <c r="AH57" s="115" t="n"/>
      <c r="AI57" s="115" t="n"/>
      <c r="AJ57" s="115" t="n"/>
    </row>
    <row r="58" ht="18.75" customHeight="1">
      <c r="B58" s="47" t="inlineStr">
        <is>
          <t>專案法IRR</t>
        </is>
      </c>
      <c r="C58" s="48">
        <f>IRR(C55:W55)</f>
        <v/>
      </c>
      <c r="D58" s="49" t="n"/>
      <c r="E58" s="49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  <c r="AJ58" s="117" t="n"/>
    </row>
    <row r="59" ht="18.75" customHeight="1">
      <c r="B59" s="50" t="n"/>
      <c r="C59" s="49" t="n"/>
      <c r="D59" s="49" t="n"/>
      <c r="E59" s="49" t="n"/>
      <c r="F59" s="50" t="n"/>
      <c r="G59" s="50" t="n"/>
      <c r="H59" s="50" t="n"/>
      <c r="I59" s="50" t="n"/>
      <c r="J59" s="50" t="n"/>
      <c r="K59" s="50" t="n"/>
      <c r="L59" s="50" t="n"/>
      <c r="M59" s="49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117" t="n"/>
      <c r="Z59" s="117" t="n"/>
      <c r="AA59" s="117" t="n"/>
      <c r="AB59" s="117" t="n"/>
      <c r="AC59" s="117" t="n"/>
      <c r="AD59" s="117" t="n"/>
      <c r="AE59" s="117" t="n"/>
      <c r="AF59" s="117" t="n"/>
      <c r="AG59" s="117" t="n"/>
      <c r="AH59" s="117" t="n"/>
      <c r="AI59" s="117" t="n"/>
      <c r="AJ59" s="117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18" t="n"/>
      <c r="Z60" s="118" t="n"/>
      <c r="AA60" s="118" t="n"/>
      <c r="AB60" s="118" t="n"/>
      <c r="AC60" s="118" t="n"/>
      <c r="AD60" s="118" t="n"/>
      <c r="AE60" s="118" t="n"/>
      <c r="AF60" s="118" t="n"/>
      <c r="AG60" s="118" t="n"/>
      <c r="AH60" s="118" t="n"/>
      <c r="AI60" s="118" t="n"/>
      <c r="AJ60" s="118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1" t="inlineStr">
        <is>
          <t>償還年限</t>
        </is>
      </c>
      <c r="U61" s="14" t="n"/>
      <c r="V61" s="14" t="n"/>
      <c r="W61" s="14" t="n"/>
      <c r="X61" s="109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2" t="n">
        <v>17</v>
      </c>
      <c r="U62" s="18" t="n">
        <v>18</v>
      </c>
      <c r="V62" s="18" t="n">
        <v>19</v>
      </c>
      <c r="W62" s="18" t="n">
        <v>20</v>
      </c>
      <c r="X62" s="110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1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2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3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4" t="n"/>
    </row>
    <row r="67" ht="18.75" customHeight="1">
      <c r="B67" s="32" t="inlineStr">
        <is>
          <t>Outflow : 設備折舊</t>
        </is>
      </c>
      <c r="C67" s="27" t="n"/>
      <c r="D67" s="33">
        <f>$C$44/$E$16</f>
        <v/>
      </c>
      <c r="E67" s="33">
        <f>$C$44/$E$16</f>
        <v/>
      </c>
      <c r="F67" s="33">
        <f>$C$44/$E$16</f>
        <v/>
      </c>
      <c r="G67" s="33">
        <f>$C$44/$E$16</f>
        <v/>
      </c>
      <c r="H67" s="33">
        <f>$C$44/$E$16</f>
        <v/>
      </c>
      <c r="I67" s="33">
        <f>$C$44/$E$16</f>
        <v/>
      </c>
      <c r="J67" s="33">
        <f>$C$44/$E$16</f>
        <v/>
      </c>
      <c r="K67" s="33">
        <f>$C$44/$E$16</f>
        <v/>
      </c>
      <c r="L67" s="33">
        <f>$C$44/$E$16</f>
        <v/>
      </c>
      <c r="M67" s="33">
        <f>$C$44/$E$16</f>
        <v/>
      </c>
      <c r="N67" s="33">
        <f>$C$44/$E$16</f>
        <v/>
      </c>
      <c r="O67" s="33">
        <f>$C$44/$E$16</f>
        <v/>
      </c>
      <c r="P67" s="33">
        <f>$C$44/$E$16</f>
        <v/>
      </c>
      <c r="Q67" s="33">
        <f>$C$44/$E$16</f>
        <v/>
      </c>
      <c r="R67" s="33">
        <f>$C$44/$E$16</f>
        <v/>
      </c>
      <c r="S67" s="33">
        <f>$C$44/$E$16</f>
        <v/>
      </c>
      <c r="T67" s="33">
        <f>$C$44/$E$16</f>
        <v/>
      </c>
      <c r="U67" s="33">
        <f>$C$44/$E$16</f>
        <v/>
      </c>
      <c r="V67" s="33">
        <f>$C$44/$E$16</f>
        <v/>
      </c>
      <c r="W67" s="33">
        <f>$C$44/$E$16</f>
        <v/>
      </c>
      <c r="X67" s="113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28">
        <f>D45</f>
        <v/>
      </c>
      <c r="E68" s="28">
        <f>E45</f>
        <v/>
      </c>
      <c r="F68" s="28">
        <f>F45</f>
        <v/>
      </c>
      <c r="G68" s="28">
        <f>G45</f>
        <v/>
      </c>
      <c r="H68" s="28">
        <f>H45</f>
        <v/>
      </c>
      <c r="I68" s="28">
        <f>I45</f>
        <v/>
      </c>
      <c r="J68" s="28">
        <f>J45</f>
        <v/>
      </c>
      <c r="K68" s="28">
        <f>K45</f>
        <v/>
      </c>
      <c r="L68" s="28">
        <f>L45</f>
        <v/>
      </c>
      <c r="M68" s="28">
        <f>M45</f>
        <v/>
      </c>
      <c r="N68" s="28">
        <f>N45</f>
        <v/>
      </c>
      <c r="O68" s="28">
        <f>O45</f>
        <v/>
      </c>
      <c r="P68" s="28">
        <f>P45</f>
        <v/>
      </c>
      <c r="Q68" s="28">
        <f>Q45</f>
        <v/>
      </c>
      <c r="R68" s="28">
        <f>R45</f>
        <v/>
      </c>
      <c r="S68" s="28">
        <f>S45</f>
        <v/>
      </c>
      <c r="T68" s="28">
        <f>T45</f>
        <v/>
      </c>
      <c r="U68" s="28">
        <f>U45</f>
        <v/>
      </c>
      <c r="V68" s="28">
        <f>V45</f>
        <v/>
      </c>
      <c r="W68" s="28">
        <f>W45</f>
        <v/>
      </c>
      <c r="X68" s="113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3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28" t="n">
        <v>0</v>
      </c>
      <c r="E70" s="28" t="n">
        <v>0</v>
      </c>
      <c r="F70" s="28" t="n">
        <v>0</v>
      </c>
      <c r="G70" s="28" t="n">
        <v>0</v>
      </c>
      <c r="H70" s="28" t="n">
        <v>0</v>
      </c>
      <c r="I70" s="28" t="n">
        <v>0</v>
      </c>
      <c r="J70" s="28" t="n">
        <v>0</v>
      </c>
      <c r="K70" s="28" t="n">
        <v>0</v>
      </c>
      <c r="L70" s="28" t="n">
        <v>0</v>
      </c>
      <c r="M70" s="28" t="n">
        <v>0</v>
      </c>
      <c r="N70" s="28" t="n">
        <v>0</v>
      </c>
      <c r="O70" s="28" t="n">
        <v>0</v>
      </c>
      <c r="P70" s="28" t="n">
        <v>0</v>
      </c>
      <c r="Q70" s="28" t="n">
        <v>0</v>
      </c>
      <c r="R70" s="28" t="n">
        <v>0</v>
      </c>
      <c r="S70" s="28" t="n">
        <v>0</v>
      </c>
      <c r="T70" s="28" t="n">
        <v>0</v>
      </c>
      <c r="U70" s="28" t="n">
        <v>0</v>
      </c>
      <c r="V70" s="28" t="n">
        <v>0</v>
      </c>
      <c r="W70" s="28" t="n">
        <v>0</v>
      </c>
      <c r="X70" s="113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28">
        <f>D48</f>
        <v/>
      </c>
      <c r="E71" s="28">
        <f>E48</f>
        <v/>
      </c>
      <c r="F71" s="28">
        <f>F48</f>
        <v/>
      </c>
      <c r="G71" s="28">
        <f>G48</f>
        <v/>
      </c>
      <c r="H71" s="28">
        <f>H48</f>
        <v/>
      </c>
      <c r="I71" s="28">
        <f>I48</f>
        <v/>
      </c>
      <c r="J71" s="28">
        <f>J48</f>
        <v/>
      </c>
      <c r="K71" s="28">
        <f>K48</f>
        <v/>
      </c>
      <c r="L71" s="28">
        <f>L48</f>
        <v/>
      </c>
      <c r="M71" s="28">
        <f>M48</f>
        <v/>
      </c>
      <c r="N71" s="28">
        <f>N48</f>
        <v/>
      </c>
      <c r="O71" s="28">
        <f>O48</f>
        <v/>
      </c>
      <c r="P71" s="28">
        <f>P48</f>
        <v/>
      </c>
      <c r="Q71" s="28">
        <f>Q48</f>
        <v/>
      </c>
      <c r="R71" s="28">
        <f>R48</f>
        <v/>
      </c>
      <c r="S71" s="28">
        <f>S48</f>
        <v/>
      </c>
      <c r="T71" s="28">
        <f>T48</f>
        <v/>
      </c>
      <c r="U71" s="28">
        <f>U48</f>
        <v/>
      </c>
      <c r="V71" s="28">
        <f>V48</f>
        <v/>
      </c>
      <c r="W71" s="28">
        <f>W48</f>
        <v/>
      </c>
      <c r="X71" s="113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28">
        <f>D49</f>
        <v/>
      </c>
      <c r="E72" s="28">
        <f>E49</f>
        <v/>
      </c>
      <c r="F72" s="28">
        <f>F49</f>
        <v/>
      </c>
      <c r="G72" s="28">
        <f>G49</f>
        <v/>
      </c>
      <c r="H72" s="28">
        <f>H49</f>
        <v/>
      </c>
      <c r="I72" s="28">
        <f>I49</f>
        <v/>
      </c>
      <c r="J72" s="28">
        <f>J49</f>
        <v/>
      </c>
      <c r="K72" s="28">
        <f>K49</f>
        <v/>
      </c>
      <c r="L72" s="28">
        <f>L49</f>
        <v/>
      </c>
      <c r="M72" s="28">
        <f>M49</f>
        <v/>
      </c>
      <c r="N72" s="28">
        <f>N49</f>
        <v/>
      </c>
      <c r="O72" s="28">
        <f>O49</f>
        <v/>
      </c>
      <c r="P72" s="28">
        <f>P49</f>
        <v/>
      </c>
      <c r="Q72" s="28">
        <f>Q49</f>
        <v/>
      </c>
      <c r="R72" s="28">
        <f>R49</f>
        <v/>
      </c>
      <c r="S72" s="28">
        <f>S49</f>
        <v/>
      </c>
      <c r="T72" s="28">
        <f>T49</f>
        <v/>
      </c>
      <c r="U72" s="28">
        <f>U49</f>
        <v/>
      </c>
      <c r="V72" s="28">
        <f>V49</f>
        <v/>
      </c>
      <c r="W72" s="28">
        <f>W49</f>
        <v/>
      </c>
      <c r="X72" s="113" t="n"/>
    </row>
    <row r="73" ht="18.75" customHeight="1">
      <c r="B73" s="32" t="inlineStr">
        <is>
          <t>Outflow : 模組回收費</t>
        </is>
      </c>
      <c r="C73" s="27" t="n"/>
      <c r="D73" s="28">
        <f>D50</f>
        <v/>
      </c>
      <c r="E73" s="28">
        <f>E50</f>
        <v/>
      </c>
      <c r="F73" s="28">
        <f>F50</f>
        <v/>
      </c>
      <c r="G73" s="28">
        <f>G50</f>
        <v/>
      </c>
      <c r="H73" s="28">
        <f>H50</f>
        <v/>
      </c>
      <c r="I73" s="28">
        <f>I50</f>
        <v/>
      </c>
      <c r="J73" s="28">
        <f>J50</f>
        <v/>
      </c>
      <c r="K73" s="28">
        <f>K50</f>
        <v/>
      </c>
      <c r="L73" s="28">
        <f>L50</f>
        <v/>
      </c>
      <c r="M73" s="28">
        <f>M50</f>
        <v/>
      </c>
      <c r="N73" s="28">
        <f>N50</f>
        <v/>
      </c>
      <c r="O73" s="28">
        <f>O50</f>
        <v/>
      </c>
      <c r="P73" s="28">
        <f>P50</f>
        <v/>
      </c>
      <c r="Q73" s="28">
        <f>Q50</f>
        <v/>
      </c>
      <c r="R73" s="28">
        <f>R50</f>
        <v/>
      </c>
      <c r="S73" s="28">
        <f>S50</f>
        <v/>
      </c>
      <c r="T73" s="28">
        <f>T50</f>
        <v/>
      </c>
      <c r="U73" s="28">
        <f>U50</f>
        <v/>
      </c>
      <c r="V73" s="28">
        <f>V50</f>
        <v/>
      </c>
      <c r="W73" s="28">
        <f>W50</f>
        <v/>
      </c>
      <c r="X73" s="113" t="n"/>
    </row>
    <row r="74" ht="18.75" customHeight="1">
      <c r="B74" s="32" t="inlineStr">
        <is>
          <t>Outflow : 其它費用(人事薪資…等)</t>
        </is>
      </c>
      <c r="C74" s="34" t="n"/>
      <c r="D74" s="35" t="n"/>
      <c r="E74" s="36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3" t="n"/>
    </row>
    <row r="75" ht="18.75" customHeight="1">
      <c r="B75" s="32" t="inlineStr">
        <is>
          <t>1%管理費</t>
        </is>
      </c>
      <c r="C75" s="34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3" t="n"/>
    </row>
    <row r="76" ht="18.75" customHeight="1">
      <c r="B76" s="39" t="inlineStr">
        <is>
          <t>稅前淨利</t>
        </is>
      </c>
      <c r="C76" s="53" t="n"/>
      <c r="D76" s="41">
        <f>SUM(D64:D75)</f>
        <v/>
      </c>
      <c r="E76" s="41">
        <f>SUM(E64:E75)</f>
        <v/>
      </c>
      <c r="F76" s="41">
        <f>SUM(F64:F75)</f>
        <v/>
      </c>
      <c r="G76" s="41">
        <f>SUM(G64:G75)</f>
        <v/>
      </c>
      <c r="H76" s="41">
        <f>SUM(H64:H75)</f>
        <v/>
      </c>
      <c r="I76" s="41">
        <f>SUM(I64:I75)</f>
        <v/>
      </c>
      <c r="J76" s="41">
        <f>SUM(J64:J75)</f>
        <v/>
      </c>
      <c r="K76" s="41">
        <f>SUM(K64:K75)</f>
        <v/>
      </c>
      <c r="L76" s="41">
        <f>SUM(L64:L75)</f>
        <v/>
      </c>
      <c r="M76" s="41">
        <f>SUM(M64:M75)</f>
        <v/>
      </c>
      <c r="N76" s="41">
        <f>SUM(N64:N75)</f>
        <v/>
      </c>
      <c r="O76" s="41">
        <f>SUM(O64:O75)</f>
        <v/>
      </c>
      <c r="P76" s="41">
        <f>SUM(P64:P75)</f>
        <v/>
      </c>
      <c r="Q76" s="41">
        <f>SUM(Q64:Q75)</f>
        <v/>
      </c>
      <c r="R76" s="41">
        <f>SUM(R64:R75)</f>
        <v/>
      </c>
      <c r="S76" s="41">
        <f>SUM(S64:S75)</f>
        <v/>
      </c>
      <c r="T76" s="41">
        <f>SUM(T64:T75)</f>
        <v/>
      </c>
      <c r="U76" s="41">
        <f>SUM(U64:U75)</f>
        <v/>
      </c>
      <c r="V76" s="41">
        <f>SUM(V64:V75)</f>
        <v/>
      </c>
      <c r="W76" s="41">
        <f>SUM(W64:W75)</f>
        <v/>
      </c>
      <c r="X76" s="41">
        <f>SUM(X64:X75)</f>
        <v/>
      </c>
    </row>
    <row r="77" ht="18.75" customHeight="1">
      <c r="B77" s="37" t="inlineStr">
        <is>
          <t>所得稅20%</t>
        </is>
      </c>
      <c r="C77" s="34" t="n"/>
      <c r="D77" s="28">
        <f>-D76*0.2</f>
        <v/>
      </c>
      <c r="E77" s="28">
        <f>-E76*0.2</f>
        <v/>
      </c>
      <c r="F77" s="28">
        <f>-F76*0.2</f>
        <v/>
      </c>
      <c r="G77" s="28">
        <f>-G76*0.2</f>
        <v/>
      </c>
      <c r="H77" s="28">
        <f>-H76*0.2</f>
        <v/>
      </c>
      <c r="I77" s="28">
        <f>-I76*0.2</f>
        <v/>
      </c>
      <c r="J77" s="28">
        <f>-J76*0.2</f>
        <v/>
      </c>
      <c r="K77" s="28">
        <f>-K76*0.2</f>
        <v/>
      </c>
      <c r="L77" s="28">
        <f>-L76*0.2</f>
        <v/>
      </c>
      <c r="M77" s="28">
        <f>-M76*0.2</f>
        <v/>
      </c>
      <c r="N77" s="28">
        <f>-N76*0.2</f>
        <v/>
      </c>
      <c r="O77" s="28">
        <f>-O76*0.2</f>
        <v/>
      </c>
      <c r="P77" s="28">
        <f>-P76*0.2</f>
        <v/>
      </c>
      <c r="Q77" s="28">
        <f>-Q76*0.2</f>
        <v/>
      </c>
      <c r="R77" s="28">
        <f>-R76*0.2</f>
        <v/>
      </c>
      <c r="S77" s="28">
        <f>-S76*0.2</f>
        <v/>
      </c>
      <c r="T77" s="28">
        <f>-T76*0.2</f>
        <v/>
      </c>
      <c r="U77" s="28">
        <f>-U76*0.2</f>
        <v/>
      </c>
      <c r="V77" s="28">
        <f>-V76*0.2</f>
        <v/>
      </c>
      <c r="W77" s="28">
        <f>-W76*0.2</f>
        <v/>
      </c>
      <c r="X77" s="28">
        <f>-X76*0.2</f>
        <v/>
      </c>
    </row>
    <row r="78" ht="15.4" customHeight="1">
      <c r="B78" s="54" t="inlineStr">
        <is>
          <t>稅後淨利</t>
        </is>
      </c>
      <c r="D78" s="28">
        <f>SUM(D76:D77)</f>
        <v/>
      </c>
      <c r="E78" s="28">
        <f>SUM(E76:E77)</f>
        <v/>
      </c>
      <c r="F78" s="28">
        <f>SUM(F76:F77)</f>
        <v/>
      </c>
      <c r="G78" s="28">
        <f>SUM(G76:G77)</f>
        <v/>
      </c>
      <c r="H78" s="28">
        <f>SUM(H76:H77)</f>
        <v/>
      </c>
      <c r="I78" s="28">
        <f>SUM(I76:I77)</f>
        <v/>
      </c>
      <c r="J78" s="28">
        <f>SUM(J76:J77)</f>
        <v/>
      </c>
      <c r="K78" s="28">
        <f>SUM(K76:K77)</f>
        <v/>
      </c>
      <c r="L78" s="28">
        <f>SUM(L76:L77)</f>
        <v/>
      </c>
      <c r="M78" s="28">
        <f>SUM(M76:M77)</f>
        <v/>
      </c>
      <c r="N78" s="28">
        <f>SUM(N76:N77)</f>
        <v/>
      </c>
      <c r="O78" s="28">
        <f>SUM(O76:O77)</f>
        <v/>
      </c>
      <c r="P78" s="28">
        <f>SUM(P76:P77)</f>
        <v/>
      </c>
      <c r="Q78" s="28">
        <f>SUM(Q76:Q77)</f>
        <v/>
      </c>
      <c r="R78" s="28">
        <f>SUM(R76:R77)</f>
        <v/>
      </c>
      <c r="S78" s="28">
        <f>SUM(S76:S77)</f>
        <v/>
      </c>
      <c r="T78" s="28">
        <f>SUM(T76:T77)</f>
        <v/>
      </c>
      <c r="U78" s="28">
        <f>SUM(U76:U77)</f>
        <v/>
      </c>
      <c r="V78" s="28">
        <f>SUM(V76:V77)</f>
        <v/>
      </c>
      <c r="W78" s="28">
        <f>SUM(W76:W77)</f>
        <v/>
      </c>
      <c r="X78" s="28">
        <f>SUM(X76:X77)</f>
        <v/>
      </c>
    </row>
    <row r="79" ht="18.75" customHeight="1">
      <c r="B79" s="42" t="inlineStr">
        <is>
          <t>累計現金流</t>
        </is>
      </c>
      <c r="C79" s="40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119" t="n"/>
    </row>
    <row r="80" ht="18.75" customHeight="1">
      <c r="B80" s="55" t="inlineStr">
        <is>
          <t>回收年限評估</t>
        </is>
      </c>
      <c r="C80" s="56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120" t="n"/>
    </row>
    <row r="81" ht="18.75" customHeight="1">
      <c r="B81" s="50" t="n"/>
      <c r="C81" s="49" t="n"/>
      <c r="D81" s="49" t="n"/>
      <c r="E81" s="49" t="n"/>
      <c r="F81" s="50" t="n"/>
      <c r="G81" s="50" t="n"/>
      <c r="H81" s="50" t="n"/>
      <c r="I81" s="50" t="n"/>
      <c r="J81" s="50" t="n"/>
      <c r="K81" s="50" t="n"/>
      <c r="L81" s="50" t="n"/>
      <c r="M81" s="49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2026-02-28T17:11:32Z</dcterms:created>
  <dcterms:modified xsi:type="dcterms:W3CDTF">2026-02-28T17:11:38Z</dcterms:modified>
</cp:coreProperties>
</file>