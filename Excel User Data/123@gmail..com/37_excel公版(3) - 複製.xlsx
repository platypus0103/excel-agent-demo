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空白範例" sheetId="1" state="visible" r:id="rId3"/>
    <sheet name="滾算紀錄單(總紀錄)" sheetId="2" state="visible" r:id="rId4"/>
    <sheet name="p1" sheetId="3" state="visible" r:id="rId5"/>
    <sheet name="p2" sheetId="4" state="visible" r:id="rId6"/>
    <sheet name="p3" sheetId="5" state="visible" r:id="rId7"/>
    <sheet name="p4" sheetId="6" state="visible" r:id="rId8"/>
    <sheet name="p5" sheetId="7" state="visible" r:id="rId9"/>
    <sheet name="p6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<sst xmlns="http://schemas.openxmlformats.org/spreadsheetml/2006/main" count="1306" uniqueCount="191">
  <si>
    <r>
      <rPr>
        <b val="true"/>
        <sz val="12"/>
        <color theme="0"/>
        <rFont val="新細明體"/>
        <family val="2"/>
        <charset val="1"/>
      </rPr>
      <t xml:space="preserve">電站基本資料</t>
    </r>
    <r>
      <rPr>
        <b val="true"/>
        <sz val="12"/>
        <color theme="0"/>
        <rFont val="Calibri"/>
        <family val="2"/>
        <charset val="1"/>
      </rPr>
      <t xml:space="preserve">(</t>
    </r>
    <r>
      <rPr>
        <b val="true"/>
        <sz val="12"/>
        <color theme="0"/>
        <rFont val="新細明體"/>
        <family val="2"/>
        <charset val="1"/>
      </rPr>
      <t xml:space="preserve">請填寫著色處</t>
    </r>
    <r>
      <rPr>
        <b val="true"/>
        <sz val="12"/>
        <color theme="0"/>
        <rFont val="Calibri"/>
        <family val="2"/>
        <charset val="1"/>
      </rPr>
      <t xml:space="preserve">)</t>
    </r>
  </si>
  <si>
    <t xml:space="preserve">說明</t>
  </si>
  <si>
    <t xml:space="preserve">電站名稱</t>
  </si>
  <si>
    <t xml:space="preserve">淡江大學</t>
  </si>
  <si>
    <t xml:space="preserve">-</t>
  </si>
  <si>
    <t xml:space="preserve">填入本案場名稱</t>
  </si>
  <si>
    <t xml:space="preserve">電站壽命</t>
  </si>
  <si>
    <r>
      <rPr>
        <sz val="10"/>
        <color rgb="FF404040"/>
        <rFont val="新細明體"/>
        <family val="2"/>
        <charset val="1"/>
      </rPr>
      <t xml:space="preserve">預設 </t>
    </r>
    <r>
      <rPr>
        <sz val="10"/>
        <color rgb="FF404040"/>
        <rFont val="Calibri"/>
        <family val="2"/>
        <charset val="1"/>
      </rPr>
      <t xml:space="preserve">20 </t>
    </r>
    <r>
      <rPr>
        <sz val="10"/>
        <color rgb="FF404040"/>
        <rFont val="新細明體"/>
        <family val="2"/>
        <charset val="1"/>
      </rPr>
      <t xml:space="preserve">年，代表財務評估年期。若合約年限不同可依實際情況修改</t>
    </r>
  </si>
  <si>
    <r>
      <rPr>
        <sz val="12"/>
        <color theme="1"/>
        <rFont val="新細明體"/>
        <family val="2"/>
        <charset val="1"/>
      </rPr>
      <t xml:space="preserve">建置量</t>
    </r>
    <r>
      <rPr>
        <sz val="12"/>
        <color theme="1"/>
        <rFont val="Calibri"/>
        <family val="2"/>
        <charset val="1"/>
      </rPr>
      <t xml:space="preserve">(kWp)</t>
    </r>
  </si>
  <si>
    <r>
      <rPr>
        <sz val="10"/>
        <color rgb="FF404040"/>
        <rFont val="新細明體"/>
        <family val="2"/>
        <charset val="1"/>
      </rPr>
      <t xml:space="preserve">填入裝置容量（</t>
    </r>
    <r>
      <rPr>
        <sz val="10"/>
        <color rgb="FF404040"/>
        <rFont val="Calibri"/>
        <family val="2"/>
        <charset val="1"/>
      </rPr>
      <t xml:space="preserve">kWp</t>
    </r>
    <r>
      <rPr>
        <sz val="10"/>
        <color rgb="FF404040"/>
        <rFont val="新細明體"/>
        <family val="2"/>
        <charset val="1"/>
      </rPr>
      <t xml:space="preserve">），通常由設計圖面或報價書取得</t>
    </r>
  </si>
  <si>
    <t xml:space="preserve">起始年度</t>
  </si>
  <si>
    <t xml:space="preserve">結束年度</t>
  </si>
  <si>
    <r>
      <rPr>
        <sz val="10"/>
        <color rgb="FF404040"/>
        <rFont val="新細明體"/>
        <family val="2"/>
        <charset val="1"/>
      </rPr>
      <t xml:space="preserve">填入電站預計掛表的西元年份（例：</t>
    </r>
    <r>
      <rPr>
        <sz val="10"/>
        <color rgb="FF404040"/>
        <rFont val="Calibri"/>
        <family val="2"/>
        <charset val="1"/>
      </rPr>
      <t xml:space="preserve">2025</t>
    </r>
    <r>
      <rPr>
        <sz val="10"/>
        <color rgb="FF404040"/>
        <rFont val="新細明體"/>
        <family val="2"/>
        <charset val="1"/>
      </rPr>
      <t xml:space="preserve">）。結束年度會自動計算</t>
    </r>
  </si>
  <si>
    <r>
      <rPr>
        <b val="true"/>
        <sz val="12"/>
        <color theme="0"/>
        <rFont val="新細明體"/>
        <family val="2"/>
        <charset val="1"/>
      </rPr>
      <t xml:space="preserve">綜合損益表</t>
    </r>
    <r>
      <rPr>
        <b val="true"/>
        <sz val="12"/>
        <color theme="0"/>
        <rFont val="Calibri"/>
        <family val="2"/>
        <charset val="136"/>
      </rPr>
      <t xml:space="preserve">(</t>
    </r>
    <r>
      <rPr>
        <b val="true"/>
        <sz val="12"/>
        <color theme="0"/>
        <rFont val="新細明體"/>
        <family val="2"/>
        <charset val="1"/>
      </rPr>
      <t xml:space="preserve">請填寫著色處</t>
    </r>
    <r>
      <rPr>
        <b val="true"/>
        <sz val="12"/>
        <color theme="0"/>
        <rFont val="Calibri"/>
        <family val="2"/>
        <charset val="136"/>
      </rPr>
      <t xml:space="preserve">)</t>
    </r>
  </si>
  <si>
    <t xml:space="preserve">收入</t>
  </si>
  <si>
    <t xml:space="preserve">收支項目</t>
  </si>
  <si>
    <t xml:space="preserve">相關參數</t>
  </si>
  <si>
    <t xml:space="preserve">參數數值</t>
  </si>
  <si>
    <t xml:space="preserve">年限</t>
  </si>
  <si>
    <t xml:space="preserve">電費收入</t>
  </si>
  <si>
    <r>
      <rPr>
        <sz val="12"/>
        <color theme="1"/>
        <rFont val="新細明體"/>
        <family val="2"/>
        <charset val="1"/>
      </rPr>
      <t xml:space="preserve">年度</t>
    </r>
    <r>
      <rPr>
        <sz val="12"/>
        <color theme="1"/>
        <rFont val="Calibri"/>
        <family val="2"/>
        <charset val="1"/>
      </rPr>
      <t xml:space="preserve">AC</t>
    </r>
    <r>
      <rPr>
        <sz val="12"/>
        <color theme="1"/>
        <rFont val="新細明體"/>
        <family val="2"/>
        <charset val="1"/>
      </rPr>
      <t xml:space="preserve">併網總發電量</t>
    </r>
  </si>
  <si>
    <r>
      <rPr>
        <sz val="10"/>
        <color rgb="FF404040"/>
        <rFont val="新細明體"/>
        <family val="2"/>
        <charset val="1"/>
      </rPr>
      <t xml:space="preserve">預估年發電量（</t>
    </r>
    <r>
      <rPr>
        <sz val="10"/>
        <color rgb="FF404040"/>
        <rFont val="Calibri"/>
        <family val="2"/>
        <charset val="1"/>
      </rPr>
      <t xml:space="preserve">kWh</t>
    </r>
    <r>
      <rPr>
        <sz val="10"/>
        <color rgb="FF404040"/>
        <rFont val="新細明體"/>
        <family val="2"/>
        <charset val="1"/>
      </rPr>
      <t xml:space="preserve">），通常來自 </t>
    </r>
    <r>
      <rPr>
        <sz val="10"/>
        <color rgb="FF404040"/>
        <rFont val="Calibri"/>
        <family val="2"/>
        <charset val="1"/>
      </rPr>
      <t xml:space="preserve">PVsyst </t>
    </r>
    <r>
      <rPr>
        <sz val="10"/>
        <color rgb="FF404040"/>
        <rFont val="新細明體"/>
        <family val="2"/>
        <charset val="1"/>
      </rPr>
      <t xml:space="preserve">模擬或估算：裝置容量 </t>
    </r>
    <r>
      <rPr>
        <sz val="10"/>
        <color rgb="FF404040"/>
        <rFont val="Calibri"/>
        <family val="2"/>
        <charset val="1"/>
      </rPr>
      <t xml:space="preserve">× </t>
    </r>
    <r>
      <rPr>
        <sz val="10"/>
        <color rgb="FF404040"/>
        <rFont val="新細明體"/>
        <family val="2"/>
        <charset val="1"/>
      </rPr>
      <t xml:space="preserve">年日照時數 </t>
    </r>
    <r>
      <rPr>
        <sz val="10"/>
        <color rgb="FF404040"/>
        <rFont val="Calibri"/>
        <family val="2"/>
        <charset val="1"/>
      </rPr>
      <t xml:space="preserve">× </t>
    </r>
    <r>
      <rPr>
        <sz val="10"/>
        <color rgb="FF404040"/>
        <rFont val="新細明體"/>
        <family val="2"/>
        <charset val="1"/>
      </rPr>
      <t xml:space="preserve">系統效率</t>
    </r>
  </si>
  <si>
    <t xml:space="preserve">首年衰退率</t>
  </si>
  <si>
    <r>
      <rPr>
        <sz val="10"/>
        <color rgb="FF404040"/>
        <rFont val="新細明體"/>
        <family val="2"/>
        <charset val="1"/>
      </rPr>
      <t xml:space="preserve">第一年發電衰退比率，請填小數（例：</t>
    </r>
    <r>
      <rPr>
        <sz val="10"/>
        <color rgb="FF404040"/>
        <rFont val="Calibri"/>
        <family val="2"/>
        <charset val="1"/>
      </rPr>
      <t xml:space="preserve">1% → </t>
    </r>
    <r>
      <rPr>
        <sz val="10"/>
        <color rgb="FF404040"/>
        <rFont val="新細明體"/>
        <family val="2"/>
        <charset val="1"/>
      </rPr>
      <t xml:space="preserve">填 </t>
    </r>
    <r>
      <rPr>
        <sz val="10"/>
        <color rgb="FF404040"/>
        <rFont val="Calibri"/>
        <family val="2"/>
        <charset val="1"/>
      </rPr>
      <t xml:space="preserve">0.01</t>
    </r>
    <r>
      <rPr>
        <sz val="10"/>
        <color rgb="FF404040"/>
        <rFont val="新細明體"/>
        <family val="2"/>
        <charset val="1"/>
      </rPr>
      <t xml:space="preserve">）。一般首年衰退約 </t>
    </r>
    <r>
      <rPr>
        <sz val="10"/>
        <color rgb="FF404040"/>
        <rFont val="Calibri"/>
        <family val="2"/>
        <charset val="1"/>
      </rPr>
      <t xml:space="preserve">1~2%(</t>
    </r>
    <r>
      <rPr>
        <sz val="10"/>
        <color rgb="FF404040"/>
        <rFont val="新細明體"/>
        <family val="2"/>
        <charset val="1"/>
      </rPr>
      <t xml:space="preserve">請參考模組規格書</t>
    </r>
    <r>
      <rPr>
        <sz val="10"/>
        <color rgb="FF404040"/>
        <rFont val="Calibri"/>
        <family val="2"/>
        <charset val="1"/>
      </rPr>
      <t xml:space="preserve">)</t>
    </r>
  </si>
  <si>
    <t xml:space="preserve">次年衰退率</t>
  </si>
  <si>
    <r>
      <rPr>
        <sz val="10"/>
        <color rgb="FF404040"/>
        <rFont val="新細明體"/>
        <family val="2"/>
        <charset val="1"/>
      </rPr>
      <t xml:space="preserve">第二年起每年固定衰退比率，請填小數（例：</t>
    </r>
    <r>
      <rPr>
        <sz val="10"/>
        <color rgb="FF404040"/>
        <rFont val="Calibri"/>
        <family val="2"/>
        <charset val="1"/>
      </rPr>
      <t xml:space="preserve">0.4% → </t>
    </r>
    <r>
      <rPr>
        <sz val="10"/>
        <color rgb="FF404040"/>
        <rFont val="新細明體"/>
        <family val="2"/>
        <charset val="1"/>
      </rPr>
      <t xml:space="preserve">填 </t>
    </r>
    <r>
      <rPr>
        <sz val="10"/>
        <color rgb="FF404040"/>
        <rFont val="Calibri"/>
        <family val="2"/>
        <charset val="1"/>
      </rPr>
      <t xml:space="preserve">0.004</t>
    </r>
    <r>
      <rPr>
        <sz val="10"/>
        <color rgb="FF404040"/>
        <rFont val="新細明體"/>
        <family val="2"/>
        <charset val="1"/>
      </rPr>
      <t xml:space="preserve">）。一般約 </t>
    </r>
    <r>
      <rPr>
        <sz val="10"/>
        <color rgb="FF404040"/>
        <rFont val="Calibri"/>
        <family val="2"/>
        <charset val="1"/>
      </rPr>
      <t xml:space="preserve">0.4~0.7%(</t>
    </r>
    <r>
      <rPr>
        <sz val="10"/>
        <color rgb="FF404040"/>
        <rFont val="新細明體"/>
        <family val="2"/>
        <charset val="1"/>
      </rPr>
      <t xml:space="preserve">請參考模組規格書</t>
    </r>
    <r>
      <rPr>
        <sz val="10"/>
        <color rgb="FF404040"/>
        <rFont val="Calibri"/>
        <family val="2"/>
        <charset val="1"/>
      </rPr>
      <t xml:space="preserve">)</t>
    </r>
  </si>
  <si>
    <r>
      <rPr>
        <sz val="12"/>
        <color theme="1"/>
        <rFont val="新細明體"/>
        <family val="2"/>
        <charset val="1"/>
      </rPr>
      <t xml:space="preserve">躉售費率</t>
    </r>
    <r>
      <rPr>
        <sz val="12"/>
        <color theme="1"/>
        <rFont val="Calibri"/>
        <family val="2"/>
        <charset val="1"/>
      </rPr>
      <t xml:space="preserve">(FIT) / </t>
    </r>
    <r>
      <rPr>
        <sz val="12"/>
        <color theme="1"/>
        <rFont val="新細明體"/>
        <family val="2"/>
        <charset val="1"/>
      </rPr>
      <t xml:space="preserve">綠電費率</t>
    </r>
  </si>
  <si>
    <r>
      <rPr>
        <sz val="10"/>
        <color rgb="FF404040"/>
        <rFont val="新細明體"/>
        <family val="2"/>
        <charset val="1"/>
      </rPr>
      <t xml:space="preserve">與台電簽訂的躉購費率或綠電合約費率，單位：元</t>
    </r>
    <r>
      <rPr>
        <sz val="10"/>
        <color rgb="FF404040"/>
        <rFont val="Calibri"/>
        <family val="2"/>
        <charset val="1"/>
      </rPr>
      <t xml:space="preserve">/</t>
    </r>
    <r>
      <rPr>
        <sz val="10"/>
        <color rgb="FF404040"/>
        <rFont val="新細明體"/>
        <family val="2"/>
        <charset val="1"/>
      </rPr>
      <t xml:space="preserve">度。請參考台電公告或合約內容</t>
    </r>
  </si>
  <si>
    <r>
      <rPr>
        <sz val="12"/>
        <color theme="1"/>
        <rFont val="新細明體"/>
        <family val="2"/>
        <charset val="1"/>
      </rPr>
      <t xml:space="preserve">支出</t>
    </r>
    <r>
      <rPr>
        <sz val="12"/>
        <color theme="1"/>
        <rFont val="Calibri"/>
        <family val="2"/>
        <charset val="136"/>
      </rPr>
      <t xml:space="preserve">(</t>
    </r>
    <r>
      <rPr>
        <sz val="12"/>
        <color theme="1"/>
        <rFont val="新細明體"/>
        <family val="2"/>
        <charset val="1"/>
      </rPr>
      <t xml:space="preserve">請填寫著色處</t>
    </r>
    <r>
      <rPr>
        <sz val="12"/>
        <color theme="1"/>
        <rFont val="Calibri"/>
        <family val="2"/>
        <charset val="136"/>
      </rPr>
      <t xml:space="preserve">)</t>
    </r>
  </si>
  <si>
    <t xml:space="preserve">攤提年限</t>
  </si>
  <si>
    <r>
      <rPr>
        <sz val="12"/>
        <color theme="1"/>
        <rFont val="新細明體"/>
        <family val="2"/>
        <charset val="1"/>
      </rPr>
      <t xml:space="preserve">設備費用</t>
    </r>
    <r>
      <rPr>
        <sz val="12"/>
        <color theme="1"/>
        <rFont val="Calibri"/>
        <family val="2"/>
        <charset val="1"/>
      </rPr>
      <t xml:space="preserve">(</t>
    </r>
    <r>
      <rPr>
        <sz val="12"/>
        <color theme="1"/>
        <rFont val="新細明體"/>
        <family val="2"/>
        <charset val="1"/>
      </rPr>
      <t xml:space="preserve">價金</t>
    </r>
    <r>
      <rPr>
        <sz val="12"/>
        <color theme="1"/>
        <rFont val="Calibri"/>
        <family val="2"/>
        <charset val="1"/>
      </rPr>
      <t xml:space="preserve">)</t>
    </r>
  </si>
  <si>
    <r>
      <rPr>
        <sz val="12"/>
        <color theme="1"/>
        <rFont val="新細明體"/>
        <family val="2"/>
        <charset val="1"/>
      </rPr>
      <t xml:space="preserve">每</t>
    </r>
    <r>
      <rPr>
        <sz val="12"/>
        <color theme="1"/>
        <rFont val="Calibri"/>
        <family val="2"/>
        <charset val="136"/>
      </rPr>
      <t xml:space="preserve">kWp</t>
    </r>
    <r>
      <rPr>
        <sz val="12"/>
        <color theme="1"/>
        <rFont val="新細明體"/>
        <family val="2"/>
        <charset val="1"/>
      </rPr>
      <t xml:space="preserve">設備成本</t>
    </r>
  </si>
  <si>
    <r>
      <rPr>
        <sz val="10"/>
        <color rgb="FF404040"/>
        <rFont val="新細明體"/>
        <family val="2"/>
        <charset val="1"/>
      </rPr>
      <t xml:space="preserve">每峰瓩設備成本（元</t>
    </r>
    <r>
      <rPr>
        <sz val="10"/>
        <color rgb="FF404040"/>
        <rFont val="Calibri"/>
        <family val="2"/>
        <charset val="1"/>
      </rPr>
      <t xml:space="preserve">/kWp</t>
    </r>
    <r>
      <rPr>
        <sz val="10"/>
        <color rgb="FF404040"/>
        <rFont val="新細明體"/>
        <family val="2"/>
        <charset val="1"/>
      </rPr>
      <t xml:space="preserve">），包含模組、逆變器、支架等硬體，不含工程施工費</t>
    </r>
  </si>
  <si>
    <r>
      <rPr>
        <sz val="12"/>
        <color theme="1"/>
        <rFont val="新細明體"/>
        <family val="2"/>
        <charset val="1"/>
      </rPr>
      <t xml:space="preserve">信邦利潤率</t>
    </r>
    <r>
      <rPr>
        <sz val="12"/>
        <color theme="1"/>
        <rFont val="Calibri"/>
        <family val="2"/>
        <charset val="1"/>
      </rPr>
      <t xml:space="preserve">(ex:20%</t>
    </r>
    <r>
      <rPr>
        <sz val="12"/>
        <color theme="1"/>
        <rFont val="新細明體"/>
        <family val="2"/>
        <charset val="1"/>
      </rPr>
      <t xml:space="preserve">填</t>
    </r>
    <r>
      <rPr>
        <sz val="12"/>
        <color theme="1"/>
        <rFont val="Calibri"/>
        <family val="2"/>
        <charset val="1"/>
      </rPr>
      <t xml:space="preserve">0.2)</t>
    </r>
  </si>
  <si>
    <r>
      <rPr>
        <sz val="10"/>
        <color rgb="FF404040"/>
        <rFont val="新細明體"/>
        <family val="2"/>
        <charset val="1"/>
      </rPr>
      <t xml:space="preserve">公司在設備費用上加計的利潤比率，請填小數（例：</t>
    </r>
    <r>
      <rPr>
        <sz val="10"/>
        <color rgb="FF404040"/>
        <rFont val="Calibri"/>
        <family val="2"/>
        <charset val="1"/>
      </rPr>
      <t xml:space="preserve">20% → </t>
    </r>
    <r>
      <rPr>
        <sz val="10"/>
        <color rgb="FF404040"/>
        <rFont val="新細明體"/>
        <family val="2"/>
        <charset val="1"/>
      </rPr>
      <t xml:space="preserve">填 </t>
    </r>
    <r>
      <rPr>
        <sz val="10"/>
        <color rgb="FF404040"/>
        <rFont val="Calibri"/>
        <family val="2"/>
        <charset val="1"/>
      </rPr>
      <t xml:space="preserve">0.2</t>
    </r>
    <r>
      <rPr>
        <sz val="10"/>
        <color rgb="FF404040"/>
        <rFont val="新細明體"/>
        <family val="2"/>
        <charset val="1"/>
      </rPr>
      <t xml:space="preserve">）</t>
    </r>
  </si>
  <si>
    <t xml:space="preserve">開發費</t>
  </si>
  <si>
    <r>
      <rPr>
        <sz val="10"/>
        <color rgb="FF404040"/>
        <rFont val="新細明體"/>
        <family val="2"/>
        <charset val="1"/>
      </rPr>
      <t xml:space="preserve">前期開發費用（元），含可行性評估、申請規費、地主溝通等。若無則填 </t>
    </r>
    <r>
      <rPr>
        <sz val="10"/>
        <color rgb="FF404040"/>
        <rFont val="Calibri"/>
        <family val="2"/>
        <charset val="1"/>
      </rPr>
      <t xml:space="preserve">0</t>
    </r>
  </si>
  <si>
    <t xml:space="preserve">租金費用</t>
  </si>
  <si>
    <t xml:space="preserve">租金計算方式</t>
  </si>
  <si>
    <r>
      <rPr>
        <sz val="10"/>
        <color rgb="FF404040"/>
        <rFont val="新細明體"/>
        <family val="2"/>
        <charset val="1"/>
      </rPr>
      <t xml:space="preserve">填 </t>
    </r>
    <r>
      <rPr>
        <sz val="10"/>
        <color rgb="FF404040"/>
        <rFont val="Calibri"/>
        <family val="2"/>
        <charset val="1"/>
      </rPr>
      <t xml:space="preserve">1 = </t>
    </r>
    <r>
      <rPr>
        <sz val="10"/>
        <color rgb="FF404040"/>
        <rFont val="新細明體"/>
        <family val="2"/>
        <charset val="1"/>
      </rPr>
      <t xml:space="preserve">固定年租金（需填方式</t>
    </r>
    <r>
      <rPr>
        <sz val="10"/>
        <color rgb="FF404040"/>
        <rFont val="Calibri"/>
        <family val="2"/>
        <charset val="1"/>
      </rPr>
      <t xml:space="preserve">1</t>
    </r>
    <r>
      <rPr>
        <sz val="10"/>
        <color rgb="FF404040"/>
        <rFont val="新細明體"/>
        <family val="2"/>
        <charset val="1"/>
      </rPr>
      <t xml:space="preserve">參數）；填 </t>
    </r>
    <r>
      <rPr>
        <sz val="10"/>
        <color rgb="FF404040"/>
        <rFont val="Calibri"/>
        <family val="2"/>
        <charset val="1"/>
      </rPr>
      <t xml:space="preserve">2 = </t>
    </r>
    <r>
      <rPr>
        <sz val="10"/>
        <color rgb="FF404040"/>
        <rFont val="新細明體"/>
        <family val="2"/>
        <charset val="1"/>
      </rPr>
      <t xml:space="preserve">依電費收入抽成（需填方式</t>
    </r>
    <r>
      <rPr>
        <sz val="10"/>
        <color rgb="FF404040"/>
        <rFont val="Calibri"/>
        <family val="2"/>
        <charset val="1"/>
      </rPr>
      <t xml:space="preserve">2</t>
    </r>
    <r>
      <rPr>
        <sz val="10"/>
        <color rgb="FF404040"/>
        <rFont val="新細明體"/>
        <family val="2"/>
        <charset val="1"/>
      </rPr>
      <t xml:space="preserve">參數）</t>
    </r>
  </si>
  <si>
    <r>
      <rPr>
        <sz val="11"/>
        <color theme="1"/>
        <rFont val="新細明體"/>
        <family val="2"/>
        <charset val="1"/>
      </rPr>
      <t xml:space="preserve">【方式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新細明體"/>
        <family val="2"/>
        <charset val="1"/>
      </rPr>
      <t xml:space="preserve">參數】每年相同價格</t>
    </r>
  </si>
  <si>
    <r>
      <rPr>
        <sz val="10"/>
        <color rgb="FF404040"/>
        <rFont val="新細明體"/>
        <family val="2"/>
        <charset val="1"/>
      </rPr>
      <t xml:space="preserve">租金計算方式選「</t>
    </r>
    <r>
      <rPr>
        <sz val="10"/>
        <color rgb="FF404040"/>
        <rFont val="Calibri"/>
        <family val="2"/>
        <charset val="1"/>
      </rPr>
      <t xml:space="preserve">1</t>
    </r>
    <r>
      <rPr>
        <sz val="10"/>
        <color rgb="FF404040"/>
        <rFont val="新細明體"/>
        <family val="2"/>
        <charset val="1"/>
      </rPr>
      <t xml:space="preserve">」時填寫，固定年租金金額（元</t>
    </r>
    <r>
      <rPr>
        <sz val="10"/>
        <color rgb="FF404040"/>
        <rFont val="Calibri"/>
        <family val="2"/>
        <charset val="1"/>
      </rPr>
      <t xml:space="preserve">/</t>
    </r>
    <r>
      <rPr>
        <sz val="10"/>
        <color rgb="FF404040"/>
        <rFont val="新細明體"/>
        <family val="2"/>
        <charset val="1"/>
      </rPr>
      <t xml:space="preserve">年），套用至整個電站壽命期</t>
    </r>
  </si>
  <si>
    <r>
      <rPr>
        <sz val="12"/>
        <color theme="1"/>
        <rFont val="新細明體"/>
        <family val="2"/>
        <charset val="1"/>
      </rPr>
      <t xml:space="preserve">【方式</t>
    </r>
    <r>
      <rPr>
        <sz val="12"/>
        <color theme="1"/>
        <rFont val="Calibri"/>
        <family val="2"/>
        <charset val="1"/>
      </rPr>
      <t xml:space="preserve">2</t>
    </r>
    <r>
      <rPr>
        <sz val="12"/>
        <color theme="1"/>
        <rFont val="新細明體"/>
        <family val="2"/>
        <charset val="1"/>
      </rPr>
      <t xml:space="preserve">參數】抽成比率</t>
    </r>
  </si>
  <si>
    <r>
      <rPr>
        <sz val="10"/>
        <color rgb="FF404040"/>
        <rFont val="新細明體"/>
        <family val="2"/>
        <charset val="1"/>
      </rPr>
      <t xml:space="preserve">租金計算方式選「</t>
    </r>
    <r>
      <rPr>
        <sz val="10"/>
        <color rgb="FF404040"/>
        <rFont val="Calibri"/>
        <family val="2"/>
        <charset val="1"/>
      </rPr>
      <t xml:space="preserve">2</t>
    </r>
    <r>
      <rPr>
        <sz val="10"/>
        <color rgb="FF404040"/>
        <rFont val="新細明體"/>
        <family val="2"/>
        <charset val="1"/>
      </rPr>
      <t xml:space="preserve">」時填寫，請填小數（例：</t>
    </r>
    <r>
      <rPr>
        <sz val="10"/>
        <color rgb="FF404040"/>
        <rFont val="Calibri"/>
        <family val="2"/>
        <charset val="1"/>
      </rPr>
      <t xml:space="preserve">10% → </t>
    </r>
    <r>
      <rPr>
        <sz val="10"/>
        <color rgb="FF404040"/>
        <rFont val="新細明體"/>
        <family val="2"/>
        <charset val="1"/>
      </rPr>
      <t xml:space="preserve">填 </t>
    </r>
    <r>
      <rPr>
        <sz val="10"/>
        <color rgb="FF404040"/>
        <rFont val="Calibri"/>
        <family val="2"/>
        <charset val="1"/>
      </rPr>
      <t xml:space="preserve">0.1</t>
    </r>
    <r>
      <rPr>
        <sz val="10"/>
        <color rgb="FF404040"/>
        <rFont val="新細明體"/>
        <family val="2"/>
        <charset val="1"/>
      </rPr>
      <t xml:space="preserve">）。租金 </t>
    </r>
    <r>
      <rPr>
        <sz val="10"/>
        <color rgb="FF404040"/>
        <rFont val="Calibri"/>
        <family val="2"/>
        <charset val="1"/>
      </rPr>
      <t xml:space="preserve">= </t>
    </r>
    <r>
      <rPr>
        <sz val="10"/>
        <color rgb="FF404040"/>
        <rFont val="新細明體"/>
        <family val="2"/>
        <charset val="1"/>
      </rPr>
      <t xml:space="preserve">當年電費收入 </t>
    </r>
    <r>
      <rPr>
        <sz val="10"/>
        <color rgb="FF404040"/>
        <rFont val="Calibri"/>
        <family val="2"/>
        <charset val="1"/>
      </rPr>
      <t xml:space="preserve">× </t>
    </r>
    <r>
      <rPr>
        <sz val="10"/>
        <color rgb="FF404040"/>
        <rFont val="新細明體"/>
        <family val="2"/>
        <charset val="1"/>
      </rPr>
      <t xml:space="preserve">抽成比率</t>
    </r>
  </si>
  <si>
    <t xml:space="preserve">運維費用</t>
  </si>
  <si>
    <r>
      <rPr>
        <sz val="12"/>
        <color theme="1"/>
        <rFont val="新細明體"/>
        <family val="2"/>
        <charset val="1"/>
      </rPr>
      <t xml:space="preserve">每</t>
    </r>
    <r>
      <rPr>
        <sz val="12"/>
        <color theme="1"/>
        <rFont val="Calibri"/>
        <family val="2"/>
        <charset val="136"/>
      </rPr>
      <t xml:space="preserve">kw</t>
    </r>
    <r>
      <rPr>
        <sz val="12"/>
        <color theme="1"/>
        <rFont val="新細明體"/>
        <family val="2"/>
        <charset val="1"/>
      </rPr>
      <t xml:space="preserve">運維成本</t>
    </r>
  </si>
  <si>
    <r>
      <rPr>
        <sz val="10"/>
        <color rgb="FF404040"/>
        <rFont val="新細明體"/>
        <family val="2"/>
        <charset val="1"/>
      </rPr>
      <t xml:space="preserve">每峰瓩每年運維費用（元</t>
    </r>
    <r>
      <rPr>
        <sz val="10"/>
        <color rgb="FF404040"/>
        <rFont val="Calibri"/>
        <family val="2"/>
        <charset val="1"/>
      </rPr>
      <t xml:space="preserve">/kWp/</t>
    </r>
    <r>
      <rPr>
        <sz val="10"/>
        <color rgb="FF404040"/>
        <rFont val="新細明體"/>
        <family val="2"/>
        <charset val="1"/>
      </rPr>
      <t xml:space="preserve">年），含清洗、巡檢、維修等。</t>
    </r>
  </si>
  <si>
    <t xml:space="preserve">保險費用</t>
  </si>
  <si>
    <t xml:space="preserve">占整體設備費用比例</t>
  </si>
  <si>
    <r>
      <rPr>
        <sz val="10"/>
        <color rgb="FF404040"/>
        <rFont val="新細明體"/>
        <family val="2"/>
        <charset val="1"/>
      </rPr>
      <t xml:space="preserve">保險費佔設備總費用比率，填小數（例：</t>
    </r>
    <r>
      <rPr>
        <sz val="10"/>
        <color rgb="FF404040"/>
        <rFont val="Calibri"/>
        <family val="2"/>
        <charset val="1"/>
      </rPr>
      <t xml:space="preserve">0.3% → </t>
    </r>
    <r>
      <rPr>
        <sz val="10"/>
        <color rgb="FF404040"/>
        <rFont val="新細明體"/>
        <family val="2"/>
        <charset val="1"/>
      </rPr>
      <t xml:space="preserve">填 </t>
    </r>
    <r>
      <rPr>
        <sz val="10"/>
        <color rgb="FF404040"/>
        <rFont val="Calibri"/>
        <family val="2"/>
        <charset val="1"/>
      </rPr>
      <t xml:space="preserve">0.003</t>
    </r>
    <r>
      <rPr>
        <sz val="10"/>
        <color rgb="FF404040"/>
        <rFont val="新細明體"/>
        <family val="2"/>
        <charset val="1"/>
      </rPr>
      <t xml:space="preserve">）。預設 </t>
    </r>
    <r>
      <rPr>
        <sz val="10"/>
        <color rgb="FF404040"/>
        <rFont val="Calibri"/>
        <family val="2"/>
        <charset val="1"/>
      </rPr>
      <t xml:space="preserve">0.003</t>
    </r>
    <r>
      <rPr>
        <sz val="10"/>
        <color rgb="FF404040"/>
        <rFont val="新細明體"/>
        <family val="2"/>
        <charset val="1"/>
      </rPr>
      <t xml:space="preserve">，可依投保條件調整</t>
    </r>
  </si>
  <si>
    <t xml:space="preserve">模組回收費用</t>
  </si>
  <si>
    <r>
      <rPr>
        <sz val="12"/>
        <color theme="1"/>
        <rFont val="新細明體"/>
        <family val="2"/>
        <charset val="1"/>
      </rPr>
      <t xml:space="preserve">每</t>
    </r>
    <r>
      <rPr>
        <sz val="12"/>
        <color theme="1"/>
        <rFont val="Calibri"/>
        <family val="2"/>
        <charset val="136"/>
      </rPr>
      <t xml:space="preserve">kw</t>
    </r>
    <r>
      <rPr>
        <sz val="12"/>
        <color theme="1"/>
        <rFont val="新細明體"/>
        <family val="2"/>
        <charset val="1"/>
      </rPr>
      <t xml:space="preserve">模組回收成本</t>
    </r>
  </si>
  <si>
    <r>
      <rPr>
        <sz val="10"/>
        <color rgb="FF404040"/>
        <rFont val="新細明體"/>
        <family val="2"/>
        <charset val="1"/>
      </rPr>
      <t xml:space="preserve">每峰瓩模組廢棄回收費用（元</t>
    </r>
    <r>
      <rPr>
        <sz val="10"/>
        <color rgb="FF404040"/>
        <rFont val="Calibri"/>
        <family val="2"/>
        <charset val="1"/>
      </rPr>
      <t xml:space="preserve">/kWp</t>
    </r>
    <r>
      <rPr>
        <sz val="10"/>
        <color rgb="FF404040"/>
        <rFont val="新細明體"/>
        <family val="2"/>
        <charset val="1"/>
      </rPr>
      <t xml:space="preserve">），於第 </t>
    </r>
    <r>
      <rPr>
        <sz val="10"/>
        <color rgb="FF404040"/>
        <rFont val="Calibri"/>
        <family val="2"/>
        <charset val="1"/>
      </rPr>
      <t xml:space="preserve">1~10 </t>
    </r>
    <r>
      <rPr>
        <sz val="10"/>
        <color rgb="FF404040"/>
        <rFont val="新細明體"/>
        <family val="2"/>
        <charset val="1"/>
      </rPr>
      <t xml:space="preserve">年計提（攤提 </t>
    </r>
    <r>
      <rPr>
        <sz val="10"/>
        <color rgb="FF404040"/>
        <rFont val="Calibri"/>
        <family val="2"/>
        <charset val="1"/>
      </rPr>
      <t xml:space="preserve">10 </t>
    </r>
    <r>
      <rPr>
        <sz val="10"/>
        <color rgb="FF404040"/>
        <rFont val="新細明體"/>
        <family val="2"/>
        <charset val="1"/>
      </rPr>
      <t xml:space="preserve">年）。</t>
    </r>
  </si>
  <si>
    <t xml:space="preserve">利息費用</t>
  </si>
  <si>
    <t xml:space="preserve">銀行利率</t>
  </si>
  <si>
    <r>
      <rPr>
        <sz val="10"/>
        <color rgb="FF404040"/>
        <rFont val="新細明體"/>
        <family val="2"/>
        <charset val="1"/>
      </rPr>
      <t xml:space="preserve">向銀行貸款的年利率，填小數（例：</t>
    </r>
    <r>
      <rPr>
        <sz val="10"/>
        <color rgb="FF404040"/>
        <rFont val="Calibri"/>
        <family val="2"/>
        <charset val="1"/>
      </rPr>
      <t xml:space="preserve">2.56% → </t>
    </r>
    <r>
      <rPr>
        <sz val="10"/>
        <color rgb="FF404040"/>
        <rFont val="新細明體"/>
        <family val="2"/>
        <charset val="1"/>
      </rPr>
      <t xml:space="preserve">填 </t>
    </r>
    <r>
      <rPr>
        <sz val="10"/>
        <color rgb="FF404040"/>
        <rFont val="Calibri"/>
        <family val="2"/>
        <charset val="1"/>
      </rPr>
      <t xml:space="preserve">0.0256</t>
    </r>
    <r>
      <rPr>
        <sz val="10"/>
        <color rgb="FF404040"/>
        <rFont val="新細明體"/>
        <family val="2"/>
        <charset val="1"/>
      </rPr>
      <t xml:space="preserve">）。請依銀行核准利率填入</t>
    </r>
  </si>
  <si>
    <t xml:space="preserve">所得稅</t>
  </si>
  <si>
    <t xml:space="preserve">所得稅率</t>
  </si>
  <si>
    <r>
      <rPr>
        <sz val="10"/>
        <color rgb="FF404040"/>
        <rFont val="新細明體"/>
        <family val="2"/>
        <charset val="1"/>
      </rPr>
      <t xml:space="preserve">公司所得稅率，填小數（例：</t>
    </r>
    <r>
      <rPr>
        <sz val="10"/>
        <color rgb="FF404040"/>
        <rFont val="Calibri"/>
        <family val="2"/>
        <charset val="1"/>
      </rPr>
      <t xml:space="preserve">20% → </t>
    </r>
    <r>
      <rPr>
        <sz val="10"/>
        <color rgb="FF404040"/>
        <rFont val="新細明體"/>
        <family val="2"/>
        <charset val="1"/>
      </rPr>
      <t xml:space="preserve">填 </t>
    </r>
    <r>
      <rPr>
        <sz val="10"/>
        <color rgb="FF404040"/>
        <rFont val="Calibri"/>
        <family val="2"/>
        <charset val="1"/>
      </rPr>
      <t xml:space="preserve">0.2</t>
    </r>
    <r>
      <rPr>
        <sz val="10"/>
        <color rgb="FF404040"/>
        <rFont val="新細明體"/>
        <family val="2"/>
        <charset val="1"/>
      </rPr>
      <t xml:space="preserve">）。預設 </t>
    </r>
    <r>
      <rPr>
        <sz val="10"/>
        <color rgb="FF404040"/>
        <rFont val="Calibri"/>
        <family val="2"/>
        <charset val="1"/>
      </rPr>
      <t xml:space="preserve">0.2</t>
    </r>
    <r>
      <rPr>
        <sz val="10"/>
        <color rgb="FF404040"/>
        <rFont val="新細明體"/>
        <family val="2"/>
        <charset val="1"/>
      </rPr>
      <t xml:space="preserve">，通常不需更改</t>
    </r>
  </si>
  <si>
    <r>
      <rPr>
        <b val="true"/>
        <sz val="12"/>
        <color theme="0"/>
        <rFont val="新細明體"/>
        <family val="2"/>
        <charset val="1"/>
      </rPr>
      <t xml:space="preserve">現金流量表</t>
    </r>
    <r>
      <rPr>
        <b val="true"/>
        <sz val="12"/>
        <color theme="0"/>
        <rFont val="Calibri"/>
        <family val="2"/>
        <charset val="1"/>
      </rPr>
      <t xml:space="preserve">(</t>
    </r>
    <r>
      <rPr>
        <b val="true"/>
        <sz val="12"/>
        <color theme="0"/>
        <rFont val="新細明體"/>
        <family val="2"/>
        <charset val="1"/>
      </rPr>
      <t xml:space="preserve">請填寫著色處</t>
    </r>
    <r>
      <rPr>
        <b val="true"/>
        <sz val="12"/>
        <color theme="0"/>
        <rFont val="Calibri"/>
        <family val="2"/>
        <charset val="1"/>
      </rPr>
      <t xml:space="preserve">)</t>
    </r>
  </si>
  <si>
    <t xml:space="preserve">金流項目</t>
  </si>
  <si>
    <t xml:space="preserve">貸款成數</t>
  </si>
  <si>
    <t xml:space="preserve">占總設備費用比例</t>
  </si>
  <si>
    <r>
      <rPr>
        <sz val="10"/>
        <color rgb="FF404040"/>
        <rFont val="新細明體"/>
        <family val="2"/>
        <charset val="1"/>
      </rPr>
      <t xml:space="preserve">貸款佔設備總費用比例，填小數（例：</t>
    </r>
    <r>
      <rPr>
        <sz val="10"/>
        <color rgb="FF404040"/>
        <rFont val="Calibri"/>
        <family val="2"/>
        <charset val="1"/>
      </rPr>
      <t xml:space="preserve">80% → </t>
    </r>
    <r>
      <rPr>
        <sz val="10"/>
        <color rgb="FF404040"/>
        <rFont val="新細明體"/>
        <family val="2"/>
        <charset val="1"/>
      </rPr>
      <t xml:space="preserve">填 </t>
    </r>
    <r>
      <rPr>
        <sz val="10"/>
        <color rgb="FF404040"/>
        <rFont val="Calibri"/>
        <family val="2"/>
        <charset val="1"/>
      </rPr>
      <t xml:space="preserve">0.8</t>
    </r>
    <r>
      <rPr>
        <sz val="10"/>
        <color rgb="FF404040"/>
        <rFont val="新細明體"/>
        <family val="2"/>
        <charset val="1"/>
      </rPr>
      <t xml:space="preserve">）。預設 </t>
    </r>
    <r>
      <rPr>
        <sz val="10"/>
        <color rgb="FF404040"/>
        <rFont val="Calibri"/>
        <family val="2"/>
        <charset val="1"/>
      </rPr>
      <t xml:space="preserve">0.8 </t>
    </r>
    <r>
      <rPr>
        <sz val="10"/>
        <color rgb="FF404040"/>
        <rFont val="新細明體"/>
        <family val="2"/>
        <charset val="1"/>
      </rPr>
      <t xml:space="preserve">代表貸八成、自備二成</t>
    </r>
  </si>
  <si>
    <t xml:space="preserve">貸款還款</t>
  </si>
  <si>
    <t xml:space="preserve">攤還期數</t>
  </si>
  <si>
    <r>
      <rPr>
        <sz val="10"/>
        <color rgb="FF404040"/>
        <rFont val="新細明體"/>
        <family val="2"/>
        <charset val="1"/>
      </rPr>
      <t xml:space="preserve">貸款還款年數（年）。預設 </t>
    </r>
    <r>
      <rPr>
        <sz val="10"/>
        <color rgb="FF404040"/>
        <rFont val="Calibri"/>
        <family val="2"/>
        <charset val="1"/>
      </rPr>
      <t xml:space="preserve">15 </t>
    </r>
    <r>
      <rPr>
        <sz val="10"/>
        <color rgb="FF404040"/>
        <rFont val="新細明體"/>
        <family val="2"/>
        <charset val="1"/>
      </rPr>
      <t xml:space="preserve">年，代表分 </t>
    </r>
    <r>
      <rPr>
        <sz val="10"/>
        <color rgb="FF404040"/>
        <rFont val="Calibri"/>
        <family val="2"/>
        <charset val="1"/>
      </rPr>
      <t xml:space="preserve">15 </t>
    </r>
    <r>
      <rPr>
        <sz val="10"/>
        <color rgb="FF404040"/>
        <rFont val="新細明體"/>
        <family val="2"/>
        <charset val="1"/>
      </rPr>
      <t xml:space="preserve">年平均攤還本金</t>
    </r>
  </si>
  <si>
    <t xml:space="preserve">現金股利</t>
  </si>
  <si>
    <t xml:space="preserve">股利比率</t>
  </si>
  <si>
    <r>
      <rPr>
        <sz val="10"/>
        <color rgb="FF404040"/>
        <rFont val="新細明體"/>
        <family val="2"/>
        <charset val="1"/>
      </rPr>
      <t xml:space="preserve">稅後現金流中分配給股東的比例，填小數（例：</t>
    </r>
    <r>
      <rPr>
        <sz val="10"/>
        <color rgb="FF404040"/>
        <rFont val="Calibri"/>
        <family val="2"/>
        <charset val="1"/>
      </rPr>
      <t xml:space="preserve">90% → </t>
    </r>
    <r>
      <rPr>
        <sz val="10"/>
        <color rgb="FF404040"/>
        <rFont val="新細明體"/>
        <family val="2"/>
        <charset val="1"/>
      </rPr>
      <t xml:space="preserve">填 </t>
    </r>
    <r>
      <rPr>
        <sz val="10"/>
        <color rgb="FF404040"/>
        <rFont val="Calibri"/>
        <family val="2"/>
        <charset val="1"/>
      </rPr>
      <t xml:space="preserve">0.9</t>
    </r>
    <r>
      <rPr>
        <sz val="10"/>
        <color rgb="FF404040"/>
        <rFont val="新細明體"/>
        <family val="2"/>
        <charset val="1"/>
      </rPr>
      <t xml:space="preserve">）</t>
    </r>
  </si>
  <si>
    <t xml:space="preserve">年底減資</t>
  </si>
  <si>
    <r>
      <rPr>
        <sz val="10"/>
        <color rgb="FF404040"/>
        <rFont val="新細明體"/>
        <family val="2"/>
        <charset val="1"/>
      </rPr>
      <t xml:space="preserve">年底減資返還股東的年數。預設 </t>
    </r>
    <r>
      <rPr>
        <sz val="10"/>
        <color rgb="FF404040"/>
        <rFont val="Calibri"/>
        <family val="2"/>
        <charset val="1"/>
      </rPr>
      <t xml:space="preserve">4 </t>
    </r>
    <r>
      <rPr>
        <sz val="10"/>
        <color rgb="FF404040"/>
        <rFont val="新細明體"/>
        <family val="2"/>
        <charset val="1"/>
      </rPr>
      <t xml:space="preserve">年，代表 倒數 </t>
    </r>
    <r>
      <rPr>
        <sz val="10"/>
        <color rgb="FF404040"/>
        <rFont val="Calibri"/>
        <family val="2"/>
        <charset val="1"/>
      </rPr>
      <t xml:space="preserve">4 </t>
    </r>
    <r>
      <rPr>
        <sz val="10"/>
        <color rgb="FF404040"/>
        <rFont val="新細明體"/>
        <family val="2"/>
        <charset val="1"/>
      </rPr>
      <t xml:space="preserve">年進行減資，加速資金返還</t>
    </r>
  </si>
  <si>
    <t xml:space="preserve">編號</t>
  </si>
  <si>
    <t xml:space="preserve">價金每KW</t>
  </si>
  <si>
    <t xml:space="preserve">專案法IRR</t>
  </si>
  <si>
    <t xml:space="preserve">成本法IRR</t>
  </si>
  <si>
    <t xml:space="preserve">權益法IRR</t>
  </si>
  <si>
    <t xml:space="preserve">信邦利潤率</t>
  </si>
  <si>
    <t xml:space="preserve">信邦利潤</t>
  </si>
  <si>
    <t xml:space="preserve">每kw信邦利潤</t>
  </si>
  <si>
    <t xml:space="preserve">備註</t>
  </si>
  <si>
    <t xml:space="preserve">初始價金 - 現金模式，每次減少 2000 元，邊界值 20000 元</t>
  </si>
  <si>
    <t xml:space="preserve">第1次滾算，減少 2000 元 - 現金模式，每次減少 2000 元</t>
  </si>
  <si>
    <t xml:space="preserve">第2次滾算，減少 2000 元 - 現金模式，每次減少 2000 元</t>
  </si>
  <si>
    <t xml:space="preserve">第3次滾算，減少 2000 元 - 現金模式，每次減少 2000 元</t>
  </si>
  <si>
    <t xml:space="preserve">第4次滾算，減少 2000 元 - 現金模式，每次減少 2000 元</t>
  </si>
  <si>
    <t xml:space="preserve">第5次滾算，減少 2000 元 - 現金模式，每次減少 2000 元</t>
  </si>
  <si>
    <t xml:space="preserve">電站基本資料</t>
  </si>
  <si>
    <r>
      <rPr>
        <sz val="10"/>
        <color rgb="FF404040"/>
        <rFont val="新細明體"/>
        <family val="2"/>
        <charset val="1"/>
      </rPr>
      <t xml:space="preserve">預設 </t>
    </r>
    <r>
      <rPr>
        <sz val="10"/>
        <color rgb="FF404040"/>
        <rFont val="Noto Sans CJK SC"/>
        <family val="2"/>
        <charset val="1"/>
      </rPr>
      <t xml:space="preserve">20 </t>
    </r>
    <r>
      <rPr>
        <sz val="10"/>
        <color rgb="FF404040"/>
        <rFont val="新細明體"/>
        <family val="2"/>
        <charset val="1"/>
      </rPr>
      <t xml:space="preserve">年，代表財務評估年期。若合約年限不同可依實際情況修改</t>
    </r>
  </si>
  <si>
    <r>
      <rPr>
        <sz val="12"/>
        <color theme="1"/>
        <rFont val="新細明體"/>
        <family val="2"/>
        <charset val="1"/>
      </rPr>
      <t xml:space="preserve">建置量</t>
    </r>
    <r>
      <rPr>
        <sz val="12"/>
        <color theme="1"/>
        <rFont val="Noto Sans CJK SC"/>
        <family val="2"/>
        <charset val="1"/>
      </rPr>
      <t xml:space="preserve">(kWp)</t>
    </r>
  </si>
  <si>
    <r>
      <rPr>
        <sz val="10"/>
        <color rgb="FF404040"/>
        <rFont val="新細明體"/>
        <family val="2"/>
        <charset val="1"/>
      </rPr>
      <t xml:space="preserve">填入裝置容量（</t>
    </r>
    <r>
      <rPr>
        <sz val="10"/>
        <color rgb="FF404040"/>
        <rFont val="Noto Sans CJK SC"/>
        <family val="2"/>
        <charset val="1"/>
      </rPr>
      <t xml:space="preserve">kWp</t>
    </r>
    <r>
      <rPr>
        <sz val="10"/>
        <color rgb="FF404040"/>
        <rFont val="新細明體"/>
        <family val="2"/>
        <charset val="1"/>
      </rPr>
      <t xml:space="preserve">），通常由設計圖面或報價書取得</t>
    </r>
  </si>
  <si>
    <t xml:space="preserve">情境編號: 1</t>
  </si>
  <si>
    <r>
      <rPr>
        <sz val="10"/>
        <color rgb="FF404040"/>
        <rFont val="新細明體"/>
        <family val="2"/>
        <charset val="1"/>
      </rPr>
      <t xml:space="preserve">填入電站預計掛表的西元年份（例：</t>
    </r>
    <r>
      <rPr>
        <sz val="10"/>
        <color rgb="FF404040"/>
        <rFont val="Noto Sans CJK SC"/>
        <family val="2"/>
        <charset val="136"/>
      </rPr>
      <t xml:space="preserve">2025</t>
    </r>
    <r>
      <rPr>
        <sz val="10"/>
        <color rgb="FF404040"/>
        <rFont val="新細明體"/>
        <family val="2"/>
        <charset val="1"/>
      </rPr>
      <t xml:space="preserve">）。結束年度會自動計算</t>
    </r>
  </si>
  <si>
    <t xml:space="preserve">初始價金摘要</t>
  </si>
  <si>
    <t xml:space="preserve">價金: 30000</t>
  </si>
  <si>
    <t xml:space="preserve">綜合損益表</t>
  </si>
  <si>
    <t xml:space="preserve">專案IRR: 5.23</t>
  </si>
  <si>
    <t xml:space="preserve">權益法IRR: 12.97</t>
  </si>
  <si>
    <t xml:space="preserve">利潤率: 20.00%</t>
  </si>
  <si>
    <r>
      <rPr>
        <sz val="12"/>
        <color theme="1"/>
        <rFont val="新細明體"/>
        <family val="2"/>
        <charset val="1"/>
      </rPr>
      <t xml:space="preserve">年度</t>
    </r>
    <r>
      <rPr>
        <sz val="12"/>
        <color theme="1"/>
        <rFont val="Noto Sans CJK SC"/>
        <family val="2"/>
        <charset val="1"/>
      </rPr>
      <t xml:space="preserve">AC</t>
    </r>
    <r>
      <rPr>
        <sz val="12"/>
        <color theme="1"/>
        <rFont val="新細明體"/>
        <family val="2"/>
        <charset val="1"/>
      </rPr>
      <t xml:space="preserve">併網總發電量</t>
    </r>
  </si>
  <si>
    <r>
      <rPr>
        <sz val="10"/>
        <color rgb="FF404040"/>
        <rFont val="新細明體"/>
        <family val="2"/>
        <charset val="1"/>
      </rPr>
      <t xml:space="preserve">預估年發電量（</t>
    </r>
    <r>
      <rPr>
        <sz val="10"/>
        <color rgb="FF404040"/>
        <rFont val="Noto Sans CJK SC"/>
        <family val="2"/>
        <charset val="1"/>
      </rPr>
      <t xml:space="preserve">kWh</t>
    </r>
    <r>
      <rPr>
        <sz val="10"/>
        <color rgb="FF404040"/>
        <rFont val="新細明體"/>
        <family val="2"/>
        <charset val="1"/>
      </rPr>
      <t xml:space="preserve">），通常來自 </t>
    </r>
    <r>
      <rPr>
        <sz val="10"/>
        <color rgb="FF404040"/>
        <rFont val="Noto Sans CJK SC"/>
        <family val="2"/>
        <charset val="1"/>
      </rPr>
      <t xml:space="preserve">PVsyst </t>
    </r>
    <r>
      <rPr>
        <sz val="10"/>
        <color rgb="FF404040"/>
        <rFont val="新細明體"/>
        <family val="2"/>
        <charset val="1"/>
      </rPr>
      <t xml:space="preserve">模擬或估算：裝置容量 </t>
    </r>
    <r>
      <rPr>
        <sz val="10"/>
        <color rgb="FF404040"/>
        <rFont val="Noto Sans CJK SC"/>
        <family val="2"/>
        <charset val="1"/>
      </rPr>
      <t xml:space="preserve">× </t>
    </r>
    <r>
      <rPr>
        <sz val="10"/>
        <color rgb="FF404040"/>
        <rFont val="新細明體"/>
        <family val="2"/>
        <charset val="1"/>
      </rPr>
      <t xml:space="preserve">年日照時數 </t>
    </r>
    <r>
      <rPr>
        <sz val="10"/>
        <color rgb="FF404040"/>
        <rFont val="Noto Sans CJK SC"/>
        <family val="2"/>
        <charset val="1"/>
      </rPr>
      <t xml:space="preserve">× </t>
    </r>
    <r>
      <rPr>
        <sz val="10"/>
        <color rgb="FF404040"/>
        <rFont val="新細明體"/>
        <family val="2"/>
        <charset val="1"/>
      </rPr>
      <t xml:space="preserve">系統效率</t>
    </r>
  </si>
  <si>
    <t xml:space="preserve">初始價金 - 現金模式，每次減少 2000 元</t>
  </si>
  <si>
    <r>
      <rPr>
        <sz val="10"/>
        <color rgb="FF404040"/>
        <rFont val="新細明體"/>
        <family val="2"/>
        <charset val="1"/>
      </rPr>
      <t xml:space="preserve">第一年發電衰退比率，請填小數（例：</t>
    </r>
    <r>
      <rPr>
        <sz val="10"/>
        <color rgb="FF404040"/>
        <rFont val="Noto Sans CJK SC"/>
        <family val="2"/>
        <charset val="136"/>
      </rPr>
      <t xml:space="preserve">1% → </t>
    </r>
    <r>
      <rPr>
        <sz val="10"/>
        <color rgb="FF404040"/>
        <rFont val="新細明體"/>
        <family val="2"/>
        <charset val="1"/>
      </rPr>
      <t xml:space="preserve">填 </t>
    </r>
    <r>
      <rPr>
        <sz val="10"/>
        <color rgb="FF404040"/>
        <rFont val="Noto Sans CJK SC"/>
        <family val="2"/>
        <charset val="136"/>
      </rPr>
      <t xml:space="preserve">0.01</t>
    </r>
    <r>
      <rPr>
        <sz val="10"/>
        <color rgb="FF404040"/>
        <rFont val="新細明體"/>
        <family val="2"/>
        <charset val="1"/>
      </rPr>
      <t xml:space="preserve">）。一般首年衰退約 </t>
    </r>
    <r>
      <rPr>
        <sz val="10"/>
        <color rgb="FF404040"/>
        <rFont val="Noto Sans CJK SC"/>
        <family val="2"/>
        <charset val="136"/>
      </rPr>
      <t xml:space="preserve">1~2%(</t>
    </r>
    <r>
      <rPr>
        <sz val="10"/>
        <color rgb="FF404040"/>
        <rFont val="新細明體"/>
        <family val="2"/>
        <charset val="1"/>
      </rPr>
      <t xml:space="preserve">請參考模組規格書</t>
    </r>
    <r>
      <rPr>
        <sz val="10"/>
        <color rgb="FF404040"/>
        <rFont val="Noto Sans CJK SC"/>
        <family val="2"/>
        <charset val="136"/>
      </rPr>
      <t xml:space="preserve">)</t>
    </r>
  </si>
  <si>
    <r>
      <rPr>
        <sz val="10"/>
        <color rgb="FF404040"/>
        <rFont val="新細明體"/>
        <family val="2"/>
        <charset val="1"/>
      </rPr>
      <t xml:space="preserve">第二年起每年固定衰退比率，請填小數（例：</t>
    </r>
    <r>
      <rPr>
        <sz val="10"/>
        <color rgb="FF404040"/>
        <rFont val="Noto Sans CJK SC"/>
        <family val="2"/>
        <charset val="136"/>
      </rPr>
      <t xml:space="preserve">0.4% → </t>
    </r>
    <r>
      <rPr>
        <sz val="10"/>
        <color rgb="FF404040"/>
        <rFont val="新細明體"/>
        <family val="2"/>
        <charset val="1"/>
      </rPr>
      <t xml:space="preserve">填 </t>
    </r>
    <r>
      <rPr>
        <sz val="10"/>
        <color rgb="FF404040"/>
        <rFont val="Noto Sans CJK SC"/>
        <family val="2"/>
        <charset val="136"/>
      </rPr>
      <t xml:space="preserve">0.004</t>
    </r>
    <r>
      <rPr>
        <sz val="10"/>
        <color rgb="FF404040"/>
        <rFont val="新細明體"/>
        <family val="2"/>
        <charset val="1"/>
      </rPr>
      <t xml:space="preserve">）。一般約 </t>
    </r>
    <r>
      <rPr>
        <sz val="10"/>
        <color rgb="FF404040"/>
        <rFont val="Noto Sans CJK SC"/>
        <family val="2"/>
        <charset val="136"/>
      </rPr>
      <t xml:space="preserve">0.4~0.7%(</t>
    </r>
    <r>
      <rPr>
        <sz val="10"/>
        <color rgb="FF404040"/>
        <rFont val="新細明體"/>
        <family val="2"/>
        <charset val="1"/>
      </rPr>
      <t xml:space="preserve">請參考模組規格書</t>
    </r>
    <r>
      <rPr>
        <sz val="10"/>
        <color rgb="FF404040"/>
        <rFont val="Noto Sans CJK SC"/>
        <family val="2"/>
        <charset val="136"/>
      </rPr>
      <t xml:space="preserve">)</t>
    </r>
  </si>
  <si>
    <r>
      <rPr>
        <sz val="12"/>
        <color theme="1"/>
        <rFont val="新細明體"/>
        <family val="2"/>
        <charset val="1"/>
      </rPr>
      <t xml:space="preserve">躉售費率</t>
    </r>
    <r>
      <rPr>
        <sz val="12"/>
        <color theme="1"/>
        <rFont val="Noto Sans CJK SC"/>
        <family val="2"/>
        <charset val="1"/>
      </rPr>
      <t xml:space="preserve">(FIT) / </t>
    </r>
    <r>
      <rPr>
        <sz val="12"/>
        <color theme="1"/>
        <rFont val="新細明體"/>
        <family val="2"/>
        <charset val="1"/>
      </rPr>
      <t xml:space="preserve">綠電費率</t>
    </r>
  </si>
  <si>
    <r>
      <rPr>
        <sz val="10"/>
        <color rgb="FF404040"/>
        <rFont val="新細明體"/>
        <family val="2"/>
        <charset val="1"/>
      </rPr>
      <t xml:space="preserve">與台電簽訂的躉購費率或綠電合約費率，單位：元</t>
    </r>
    <r>
      <rPr>
        <sz val="10"/>
        <color rgb="FF404040"/>
        <rFont val="Noto Sans CJK SC"/>
        <family val="2"/>
        <charset val="1"/>
      </rPr>
      <t xml:space="preserve">/</t>
    </r>
    <r>
      <rPr>
        <sz val="10"/>
        <color rgb="FF404040"/>
        <rFont val="新細明體"/>
        <family val="2"/>
        <charset val="1"/>
      </rPr>
      <t xml:space="preserve">度。請參考台電公告或合約內容</t>
    </r>
  </si>
  <si>
    <t xml:space="preserve">支出</t>
  </si>
  <si>
    <r>
      <rPr>
        <sz val="12"/>
        <color theme="1"/>
        <rFont val="新細明體"/>
        <family val="2"/>
        <charset val="1"/>
      </rPr>
      <t xml:space="preserve">設備費用</t>
    </r>
    <r>
      <rPr>
        <sz val="12"/>
        <color theme="1"/>
        <rFont val="Noto Sans CJK SC"/>
        <family val="2"/>
        <charset val="1"/>
      </rPr>
      <t xml:space="preserve">(</t>
    </r>
    <r>
      <rPr>
        <sz val="12"/>
        <color theme="1"/>
        <rFont val="新細明體"/>
        <family val="2"/>
        <charset val="1"/>
      </rPr>
      <t xml:space="preserve">價金</t>
    </r>
    <r>
      <rPr>
        <sz val="12"/>
        <color theme="1"/>
        <rFont val="Noto Sans CJK SC"/>
        <family val="2"/>
        <charset val="1"/>
      </rPr>
      <t xml:space="preserve">)</t>
    </r>
  </si>
  <si>
    <r>
      <rPr>
        <sz val="12"/>
        <color theme="1"/>
        <rFont val="新細明體"/>
        <family val="2"/>
        <charset val="1"/>
      </rPr>
      <t xml:space="preserve">每</t>
    </r>
    <r>
      <rPr>
        <sz val="12"/>
        <color theme="1"/>
        <rFont val="Noto Sans CJK SC"/>
        <family val="2"/>
        <charset val="1"/>
      </rPr>
      <t xml:space="preserve">kWp</t>
    </r>
    <r>
      <rPr>
        <sz val="12"/>
        <color theme="1"/>
        <rFont val="新細明體"/>
        <family val="2"/>
        <charset val="1"/>
      </rPr>
      <t xml:space="preserve">設備成本</t>
    </r>
  </si>
  <si>
    <r>
      <rPr>
        <sz val="10"/>
        <color rgb="FF404040"/>
        <rFont val="新細明體"/>
        <family val="2"/>
        <charset val="1"/>
      </rPr>
      <t xml:space="preserve">每峰瓩設備成本（元</t>
    </r>
    <r>
      <rPr>
        <sz val="10"/>
        <color rgb="FF404040"/>
        <rFont val="Noto Sans CJK SC"/>
        <family val="2"/>
        <charset val="1"/>
      </rPr>
      <t xml:space="preserve">/kWp</t>
    </r>
    <r>
      <rPr>
        <sz val="10"/>
        <color rgb="FF404040"/>
        <rFont val="新細明體"/>
        <family val="2"/>
        <charset val="1"/>
      </rPr>
      <t xml:space="preserve">），包含模組、逆變器、支架等硬體，不含工程施工費</t>
    </r>
  </si>
  <si>
    <r>
      <rPr>
        <sz val="12"/>
        <color theme="1"/>
        <rFont val="新細明體"/>
        <family val="2"/>
        <charset val="1"/>
      </rPr>
      <t xml:space="preserve">信邦利潤率</t>
    </r>
    <r>
      <rPr>
        <sz val="12"/>
        <color theme="1"/>
        <rFont val="Noto Sans CJK SC"/>
        <family val="2"/>
        <charset val="1"/>
      </rPr>
      <t xml:space="preserve">(ex:20%</t>
    </r>
    <r>
      <rPr>
        <sz val="12"/>
        <color theme="1"/>
        <rFont val="新細明體"/>
        <family val="2"/>
        <charset val="1"/>
      </rPr>
      <t xml:space="preserve">填</t>
    </r>
    <r>
      <rPr>
        <sz val="12"/>
        <color theme="1"/>
        <rFont val="Noto Sans CJK SC"/>
        <family val="2"/>
        <charset val="1"/>
      </rPr>
      <t xml:space="preserve">0.2)</t>
    </r>
  </si>
  <si>
    <r>
      <rPr>
        <sz val="10"/>
        <color rgb="FF404040"/>
        <rFont val="新細明體"/>
        <family val="2"/>
        <charset val="1"/>
      </rPr>
      <t xml:space="preserve">公司在設備費用上加計的利潤比率，請填小數（例：</t>
    </r>
    <r>
      <rPr>
        <sz val="10"/>
        <color rgb="FF404040"/>
        <rFont val="Noto Sans CJK SC"/>
        <family val="2"/>
        <charset val="1"/>
      </rPr>
      <t xml:space="preserve">20% → </t>
    </r>
    <r>
      <rPr>
        <sz val="10"/>
        <color rgb="FF404040"/>
        <rFont val="新細明體"/>
        <family val="2"/>
        <charset val="1"/>
      </rPr>
      <t xml:space="preserve">填 </t>
    </r>
    <r>
      <rPr>
        <sz val="10"/>
        <color rgb="FF404040"/>
        <rFont val="Noto Sans CJK SC"/>
        <family val="2"/>
        <charset val="1"/>
      </rPr>
      <t xml:space="preserve">0.2</t>
    </r>
    <r>
      <rPr>
        <sz val="10"/>
        <color rgb="FF404040"/>
        <rFont val="新細明體"/>
        <family val="2"/>
        <charset val="1"/>
      </rPr>
      <t xml:space="preserve">）</t>
    </r>
  </si>
  <si>
    <r>
      <rPr>
        <sz val="10"/>
        <color rgb="FF404040"/>
        <rFont val="新細明體"/>
        <family val="2"/>
        <charset val="1"/>
      </rPr>
      <t xml:space="preserve">前期開發費用（元），含可行性評估、申請規費、地主溝通等。若無則填 </t>
    </r>
    <r>
      <rPr>
        <sz val="10"/>
        <color rgb="FF404040"/>
        <rFont val="Noto Sans CJK SC"/>
        <family val="2"/>
        <charset val="1"/>
      </rPr>
      <t xml:space="preserve">0</t>
    </r>
  </si>
  <si>
    <r>
      <rPr>
        <sz val="10"/>
        <color rgb="FF404040"/>
        <rFont val="新細明體"/>
        <family val="2"/>
        <charset val="1"/>
      </rPr>
      <t xml:space="preserve">填 </t>
    </r>
    <r>
      <rPr>
        <sz val="10"/>
        <color rgb="FF404040"/>
        <rFont val="Noto Sans CJK SC"/>
        <family val="2"/>
        <charset val="1"/>
      </rPr>
      <t xml:space="preserve">1 = </t>
    </r>
    <r>
      <rPr>
        <sz val="10"/>
        <color rgb="FF404040"/>
        <rFont val="新細明體"/>
        <family val="2"/>
        <charset val="1"/>
      </rPr>
      <t xml:space="preserve">固定年租金（需填方式</t>
    </r>
    <r>
      <rPr>
        <sz val="10"/>
        <color rgb="FF404040"/>
        <rFont val="Noto Sans CJK SC"/>
        <family val="2"/>
        <charset val="1"/>
      </rPr>
      <t xml:space="preserve">1</t>
    </r>
    <r>
      <rPr>
        <sz val="10"/>
        <color rgb="FF404040"/>
        <rFont val="新細明體"/>
        <family val="2"/>
        <charset val="1"/>
      </rPr>
      <t xml:space="preserve">參數）；填 </t>
    </r>
    <r>
      <rPr>
        <sz val="10"/>
        <color rgb="FF404040"/>
        <rFont val="Noto Sans CJK SC"/>
        <family val="2"/>
        <charset val="1"/>
      </rPr>
      <t xml:space="preserve">2 = </t>
    </r>
    <r>
      <rPr>
        <sz val="10"/>
        <color rgb="FF404040"/>
        <rFont val="新細明體"/>
        <family val="2"/>
        <charset val="1"/>
      </rPr>
      <t xml:space="preserve">依電費收入抽成（需填方式</t>
    </r>
    <r>
      <rPr>
        <sz val="10"/>
        <color rgb="FF404040"/>
        <rFont val="Noto Sans CJK SC"/>
        <family val="2"/>
        <charset val="1"/>
      </rPr>
      <t xml:space="preserve">2</t>
    </r>
    <r>
      <rPr>
        <sz val="10"/>
        <color rgb="FF404040"/>
        <rFont val="新細明體"/>
        <family val="2"/>
        <charset val="1"/>
      </rPr>
      <t xml:space="preserve">參數）</t>
    </r>
  </si>
  <si>
    <r>
      <rPr>
        <sz val="11"/>
        <color theme="1"/>
        <rFont val="新細明體"/>
        <family val="2"/>
        <charset val="1"/>
      </rPr>
      <t xml:space="preserve">【方式</t>
    </r>
    <r>
      <rPr>
        <sz val="11"/>
        <color theme="1"/>
        <rFont val="Noto Sans CJK SC"/>
        <family val="2"/>
        <charset val="1"/>
      </rPr>
      <t xml:space="preserve">1</t>
    </r>
    <r>
      <rPr>
        <sz val="11"/>
        <color theme="1"/>
        <rFont val="新細明體"/>
        <family val="2"/>
        <charset val="1"/>
      </rPr>
      <t xml:space="preserve">參數】每年相同價格</t>
    </r>
  </si>
  <si>
    <r>
      <rPr>
        <sz val="10"/>
        <color rgb="FF404040"/>
        <rFont val="新細明體"/>
        <family val="2"/>
        <charset val="1"/>
      </rPr>
      <t xml:space="preserve">租金計算方式選「</t>
    </r>
    <r>
      <rPr>
        <sz val="10"/>
        <color rgb="FF404040"/>
        <rFont val="Noto Sans CJK SC"/>
        <family val="2"/>
        <charset val="1"/>
      </rPr>
      <t xml:space="preserve">1</t>
    </r>
    <r>
      <rPr>
        <sz val="10"/>
        <color rgb="FF404040"/>
        <rFont val="新細明體"/>
        <family val="2"/>
        <charset val="1"/>
      </rPr>
      <t xml:space="preserve">」時填寫，固定年租金金額（元</t>
    </r>
    <r>
      <rPr>
        <sz val="10"/>
        <color rgb="FF404040"/>
        <rFont val="Noto Sans CJK SC"/>
        <family val="2"/>
        <charset val="1"/>
      </rPr>
      <t xml:space="preserve">/</t>
    </r>
    <r>
      <rPr>
        <sz val="10"/>
        <color rgb="FF404040"/>
        <rFont val="新細明體"/>
        <family val="2"/>
        <charset val="1"/>
      </rPr>
      <t xml:space="preserve">年），套用至整個電站壽命期</t>
    </r>
  </si>
  <si>
    <r>
      <rPr>
        <sz val="12"/>
        <color theme="1"/>
        <rFont val="新細明體"/>
        <family val="2"/>
        <charset val="1"/>
      </rPr>
      <t xml:space="preserve">【方式</t>
    </r>
    <r>
      <rPr>
        <sz val="12"/>
        <color theme="1"/>
        <rFont val="Noto Sans CJK SC"/>
        <family val="2"/>
        <charset val="1"/>
      </rPr>
      <t xml:space="preserve">2</t>
    </r>
    <r>
      <rPr>
        <sz val="12"/>
        <color theme="1"/>
        <rFont val="新細明體"/>
        <family val="2"/>
        <charset val="1"/>
      </rPr>
      <t xml:space="preserve">參數】抽成比率</t>
    </r>
  </si>
  <si>
    <r>
      <rPr>
        <sz val="10"/>
        <color rgb="FF404040"/>
        <rFont val="新細明體"/>
        <family val="2"/>
        <charset val="1"/>
      </rPr>
      <t xml:space="preserve">租金計算方式選「</t>
    </r>
    <r>
      <rPr>
        <sz val="10"/>
        <color rgb="FF404040"/>
        <rFont val="Noto Sans CJK SC"/>
        <family val="2"/>
        <charset val="1"/>
      </rPr>
      <t xml:space="preserve">2</t>
    </r>
    <r>
      <rPr>
        <sz val="10"/>
        <color rgb="FF404040"/>
        <rFont val="新細明體"/>
        <family val="2"/>
        <charset val="1"/>
      </rPr>
      <t xml:space="preserve">」時填寫，請填小數（例：</t>
    </r>
    <r>
      <rPr>
        <sz val="10"/>
        <color rgb="FF404040"/>
        <rFont val="Noto Sans CJK SC"/>
        <family val="2"/>
        <charset val="1"/>
      </rPr>
      <t xml:space="preserve">10% → </t>
    </r>
    <r>
      <rPr>
        <sz val="10"/>
        <color rgb="FF404040"/>
        <rFont val="新細明體"/>
        <family val="2"/>
        <charset val="1"/>
      </rPr>
      <t xml:space="preserve">填 </t>
    </r>
    <r>
      <rPr>
        <sz val="10"/>
        <color rgb="FF404040"/>
        <rFont val="Noto Sans CJK SC"/>
        <family val="2"/>
        <charset val="1"/>
      </rPr>
      <t xml:space="preserve">0.1</t>
    </r>
    <r>
      <rPr>
        <sz val="10"/>
        <color rgb="FF404040"/>
        <rFont val="新細明體"/>
        <family val="2"/>
        <charset val="1"/>
      </rPr>
      <t xml:space="preserve">）。租金 </t>
    </r>
    <r>
      <rPr>
        <sz val="10"/>
        <color rgb="FF404040"/>
        <rFont val="Noto Sans CJK SC"/>
        <family val="2"/>
        <charset val="1"/>
      </rPr>
      <t xml:space="preserve">= </t>
    </r>
    <r>
      <rPr>
        <sz val="10"/>
        <color rgb="FF404040"/>
        <rFont val="新細明體"/>
        <family val="2"/>
        <charset val="1"/>
      </rPr>
      <t xml:space="preserve">當年電費收入 </t>
    </r>
    <r>
      <rPr>
        <sz val="10"/>
        <color rgb="FF404040"/>
        <rFont val="Noto Sans CJK SC"/>
        <family val="2"/>
        <charset val="1"/>
      </rPr>
      <t xml:space="preserve">× </t>
    </r>
    <r>
      <rPr>
        <sz val="10"/>
        <color rgb="FF404040"/>
        <rFont val="新細明體"/>
        <family val="2"/>
        <charset val="1"/>
      </rPr>
      <t xml:space="preserve">抽成比率</t>
    </r>
  </si>
  <si>
    <r>
      <rPr>
        <sz val="12"/>
        <color theme="1"/>
        <rFont val="新細明體"/>
        <family val="2"/>
        <charset val="1"/>
      </rPr>
      <t xml:space="preserve">每</t>
    </r>
    <r>
      <rPr>
        <sz val="12"/>
        <color theme="1"/>
        <rFont val="Noto Sans CJK SC"/>
        <family val="2"/>
        <charset val="1"/>
      </rPr>
      <t xml:space="preserve">kw</t>
    </r>
    <r>
      <rPr>
        <sz val="12"/>
        <color theme="1"/>
        <rFont val="新細明體"/>
        <family val="2"/>
        <charset val="1"/>
      </rPr>
      <t xml:space="preserve">運維成本</t>
    </r>
  </si>
  <si>
    <r>
      <rPr>
        <sz val="10"/>
        <color rgb="FF404040"/>
        <rFont val="新細明體"/>
        <family val="2"/>
        <charset val="1"/>
      </rPr>
      <t xml:space="preserve">每峰瓩每年運維費用（元</t>
    </r>
    <r>
      <rPr>
        <sz val="10"/>
        <color rgb="FF404040"/>
        <rFont val="Noto Sans CJK SC"/>
        <family val="2"/>
        <charset val="136"/>
      </rPr>
      <t xml:space="preserve">/kWp/</t>
    </r>
    <r>
      <rPr>
        <sz val="10"/>
        <color rgb="FF404040"/>
        <rFont val="新細明體"/>
        <family val="2"/>
        <charset val="1"/>
      </rPr>
      <t xml:space="preserve">年），含清洗、巡檢、維修等。</t>
    </r>
  </si>
  <si>
    <r>
      <rPr>
        <sz val="10"/>
        <color rgb="FF404040"/>
        <rFont val="新細明體"/>
        <family val="2"/>
        <charset val="1"/>
      </rPr>
      <t xml:space="preserve">保險費佔設備總費用比率，填小數（例：</t>
    </r>
    <r>
      <rPr>
        <sz val="10"/>
        <color rgb="FF404040"/>
        <rFont val="Noto Sans CJK SC"/>
        <family val="2"/>
        <charset val="1"/>
      </rPr>
      <t xml:space="preserve">0.3% → </t>
    </r>
    <r>
      <rPr>
        <sz val="10"/>
        <color rgb="FF404040"/>
        <rFont val="新細明體"/>
        <family val="2"/>
        <charset val="1"/>
      </rPr>
      <t xml:space="preserve">填 </t>
    </r>
    <r>
      <rPr>
        <sz val="10"/>
        <color rgb="FF404040"/>
        <rFont val="Noto Sans CJK SC"/>
        <family val="2"/>
        <charset val="1"/>
      </rPr>
      <t xml:space="preserve">0.003</t>
    </r>
    <r>
      <rPr>
        <sz val="10"/>
        <color rgb="FF404040"/>
        <rFont val="新細明體"/>
        <family val="2"/>
        <charset val="1"/>
      </rPr>
      <t xml:space="preserve">）。預設 </t>
    </r>
    <r>
      <rPr>
        <sz val="10"/>
        <color rgb="FF404040"/>
        <rFont val="Noto Sans CJK SC"/>
        <family val="2"/>
        <charset val="1"/>
      </rPr>
      <t xml:space="preserve">0.003</t>
    </r>
    <r>
      <rPr>
        <sz val="10"/>
        <color rgb="FF404040"/>
        <rFont val="新細明體"/>
        <family val="2"/>
        <charset val="1"/>
      </rPr>
      <t xml:space="preserve">，可依投保條件調整</t>
    </r>
  </si>
  <si>
    <r>
      <rPr>
        <sz val="12"/>
        <color theme="1"/>
        <rFont val="新細明體"/>
        <family val="2"/>
        <charset val="1"/>
      </rPr>
      <t xml:space="preserve">每</t>
    </r>
    <r>
      <rPr>
        <sz val="12"/>
        <color theme="1"/>
        <rFont val="Noto Sans CJK SC"/>
        <family val="2"/>
        <charset val="1"/>
      </rPr>
      <t xml:space="preserve">kw</t>
    </r>
    <r>
      <rPr>
        <sz val="12"/>
        <color theme="1"/>
        <rFont val="新細明體"/>
        <family val="2"/>
        <charset val="1"/>
      </rPr>
      <t xml:space="preserve">模組回收成本</t>
    </r>
  </si>
  <si>
    <r>
      <rPr>
        <sz val="10"/>
        <color rgb="FF404040"/>
        <rFont val="新細明體"/>
        <family val="2"/>
        <charset val="1"/>
      </rPr>
      <t xml:space="preserve">每峰瓩模組廢棄回收費用（元</t>
    </r>
    <r>
      <rPr>
        <sz val="10"/>
        <color rgb="FF404040"/>
        <rFont val="Noto Sans CJK SC"/>
        <family val="2"/>
        <charset val="136"/>
      </rPr>
      <t xml:space="preserve">/kWp</t>
    </r>
    <r>
      <rPr>
        <sz val="10"/>
        <color rgb="FF404040"/>
        <rFont val="新細明體"/>
        <family val="2"/>
        <charset val="1"/>
      </rPr>
      <t xml:space="preserve">），於第 </t>
    </r>
    <r>
      <rPr>
        <sz val="10"/>
        <color rgb="FF404040"/>
        <rFont val="Noto Sans CJK SC"/>
        <family val="2"/>
        <charset val="136"/>
      </rPr>
      <t xml:space="preserve">1~10 </t>
    </r>
    <r>
      <rPr>
        <sz val="10"/>
        <color rgb="FF404040"/>
        <rFont val="新細明體"/>
        <family val="2"/>
        <charset val="1"/>
      </rPr>
      <t xml:space="preserve">年計提（攤提 </t>
    </r>
    <r>
      <rPr>
        <sz val="10"/>
        <color rgb="FF404040"/>
        <rFont val="Noto Sans CJK SC"/>
        <family val="2"/>
        <charset val="136"/>
      </rPr>
      <t xml:space="preserve">10 </t>
    </r>
    <r>
      <rPr>
        <sz val="10"/>
        <color rgb="FF404040"/>
        <rFont val="新細明體"/>
        <family val="2"/>
        <charset val="1"/>
      </rPr>
      <t xml:space="preserve">年）。</t>
    </r>
  </si>
  <si>
    <r>
      <rPr>
        <sz val="10"/>
        <color rgb="FF404040"/>
        <rFont val="新細明體"/>
        <family val="2"/>
        <charset val="1"/>
      </rPr>
      <t xml:space="preserve">向銀行貸款的年利率，填小數（例：</t>
    </r>
    <r>
      <rPr>
        <sz val="10"/>
        <color rgb="FF404040"/>
        <rFont val="Noto Sans CJK SC"/>
        <family val="2"/>
        <charset val="1"/>
      </rPr>
      <t xml:space="preserve">2.56% → </t>
    </r>
    <r>
      <rPr>
        <sz val="10"/>
        <color rgb="FF404040"/>
        <rFont val="新細明體"/>
        <family val="2"/>
        <charset val="1"/>
      </rPr>
      <t xml:space="preserve">填 </t>
    </r>
    <r>
      <rPr>
        <sz val="10"/>
        <color rgb="FF404040"/>
        <rFont val="Noto Sans CJK SC"/>
        <family val="2"/>
        <charset val="1"/>
      </rPr>
      <t xml:space="preserve">0.0256</t>
    </r>
    <r>
      <rPr>
        <sz val="10"/>
        <color rgb="FF404040"/>
        <rFont val="新細明體"/>
        <family val="2"/>
        <charset val="1"/>
      </rPr>
      <t xml:space="preserve">）。請依銀行核准利率填入</t>
    </r>
  </si>
  <si>
    <r>
      <rPr>
        <sz val="10"/>
        <color rgb="FF404040"/>
        <rFont val="新細明體"/>
        <family val="2"/>
        <charset val="1"/>
      </rPr>
      <t xml:space="preserve">公司所得稅率，填小數（例：</t>
    </r>
    <r>
      <rPr>
        <sz val="10"/>
        <color rgb="FF404040"/>
        <rFont val="Noto Sans CJK SC"/>
        <family val="2"/>
        <charset val="1"/>
      </rPr>
      <t xml:space="preserve">20% → </t>
    </r>
    <r>
      <rPr>
        <sz val="10"/>
        <color rgb="FF404040"/>
        <rFont val="新細明體"/>
        <family val="2"/>
        <charset val="1"/>
      </rPr>
      <t xml:space="preserve">填 </t>
    </r>
    <r>
      <rPr>
        <sz val="10"/>
        <color rgb="FF404040"/>
        <rFont val="Noto Sans CJK SC"/>
        <family val="2"/>
        <charset val="1"/>
      </rPr>
      <t xml:space="preserve">0.2</t>
    </r>
    <r>
      <rPr>
        <sz val="10"/>
        <color rgb="FF404040"/>
        <rFont val="新細明體"/>
        <family val="2"/>
        <charset val="1"/>
      </rPr>
      <t xml:space="preserve">）。預設 </t>
    </r>
    <r>
      <rPr>
        <sz val="10"/>
        <color rgb="FF404040"/>
        <rFont val="Noto Sans CJK SC"/>
        <family val="2"/>
        <charset val="1"/>
      </rPr>
      <t xml:space="preserve">0.2</t>
    </r>
    <r>
      <rPr>
        <sz val="10"/>
        <color rgb="FF404040"/>
        <rFont val="新細明體"/>
        <family val="2"/>
        <charset val="1"/>
      </rPr>
      <t xml:space="preserve">，通常不需更改</t>
    </r>
  </si>
  <si>
    <t xml:space="preserve">現金流量表</t>
  </si>
  <si>
    <r>
      <rPr>
        <sz val="10"/>
        <color rgb="FF404040"/>
        <rFont val="新細明體"/>
        <family val="2"/>
        <charset val="1"/>
      </rPr>
      <t xml:space="preserve">貸款佔設備總費用比例，填小數（例：</t>
    </r>
    <r>
      <rPr>
        <sz val="10"/>
        <color rgb="FF404040"/>
        <rFont val="Noto Sans CJK SC"/>
        <family val="2"/>
        <charset val="1"/>
      </rPr>
      <t xml:space="preserve">80% → </t>
    </r>
    <r>
      <rPr>
        <sz val="10"/>
        <color rgb="FF404040"/>
        <rFont val="新細明體"/>
        <family val="2"/>
        <charset val="1"/>
      </rPr>
      <t xml:space="preserve">填 </t>
    </r>
    <r>
      <rPr>
        <sz val="10"/>
        <color rgb="FF404040"/>
        <rFont val="Noto Sans CJK SC"/>
        <family val="2"/>
        <charset val="1"/>
      </rPr>
      <t xml:space="preserve">0.8</t>
    </r>
    <r>
      <rPr>
        <sz val="10"/>
        <color rgb="FF404040"/>
        <rFont val="新細明體"/>
        <family val="2"/>
        <charset val="1"/>
      </rPr>
      <t xml:space="preserve">）。預設 </t>
    </r>
    <r>
      <rPr>
        <sz val="10"/>
        <color rgb="FF404040"/>
        <rFont val="Noto Sans CJK SC"/>
        <family val="2"/>
        <charset val="1"/>
      </rPr>
      <t xml:space="preserve">0.8 </t>
    </r>
    <r>
      <rPr>
        <sz val="10"/>
        <color rgb="FF404040"/>
        <rFont val="新細明體"/>
        <family val="2"/>
        <charset val="1"/>
      </rPr>
      <t xml:space="preserve">代表貸八成、自備二成</t>
    </r>
  </si>
  <si>
    <r>
      <rPr>
        <sz val="10"/>
        <color rgb="FF404040"/>
        <rFont val="新細明體"/>
        <family val="2"/>
        <charset val="1"/>
      </rPr>
      <t xml:space="preserve">貸款還款年數（年）。預設 </t>
    </r>
    <r>
      <rPr>
        <sz val="10"/>
        <color rgb="FF404040"/>
        <rFont val="Noto Sans CJK SC"/>
        <family val="2"/>
        <charset val="1"/>
      </rPr>
      <t xml:space="preserve">15 </t>
    </r>
    <r>
      <rPr>
        <sz val="10"/>
        <color rgb="FF404040"/>
        <rFont val="新細明體"/>
        <family val="2"/>
        <charset val="1"/>
      </rPr>
      <t xml:space="preserve">年，代表分 </t>
    </r>
    <r>
      <rPr>
        <sz val="10"/>
        <color rgb="FF404040"/>
        <rFont val="Noto Sans CJK SC"/>
        <family val="2"/>
        <charset val="1"/>
      </rPr>
      <t xml:space="preserve">15 </t>
    </r>
    <r>
      <rPr>
        <sz val="10"/>
        <color rgb="FF404040"/>
        <rFont val="新細明體"/>
        <family val="2"/>
        <charset val="1"/>
      </rPr>
      <t xml:space="preserve">年平均攤還本金</t>
    </r>
  </si>
  <si>
    <r>
      <rPr>
        <sz val="10"/>
        <color rgb="FF404040"/>
        <rFont val="新細明體"/>
        <family val="2"/>
        <charset val="1"/>
      </rPr>
      <t xml:space="preserve">稅後現金流中分配給股東的比例，填小數（例：</t>
    </r>
    <r>
      <rPr>
        <sz val="10"/>
        <color rgb="FF404040"/>
        <rFont val="Noto Sans CJK SC"/>
        <family val="2"/>
        <charset val="1"/>
      </rPr>
      <t xml:space="preserve">90% → </t>
    </r>
    <r>
      <rPr>
        <sz val="10"/>
        <color rgb="FF404040"/>
        <rFont val="新細明體"/>
        <family val="2"/>
        <charset val="1"/>
      </rPr>
      <t xml:space="preserve">填 </t>
    </r>
    <r>
      <rPr>
        <sz val="10"/>
        <color rgb="FF404040"/>
        <rFont val="Noto Sans CJK SC"/>
        <family val="2"/>
        <charset val="1"/>
      </rPr>
      <t xml:space="preserve">0.9</t>
    </r>
    <r>
      <rPr>
        <sz val="10"/>
        <color rgb="FF404040"/>
        <rFont val="新細明體"/>
        <family val="2"/>
        <charset val="1"/>
      </rPr>
      <t xml:space="preserve">）</t>
    </r>
  </si>
  <si>
    <r>
      <rPr>
        <sz val="10"/>
        <color rgb="FF404040"/>
        <rFont val="新細明體"/>
        <family val="2"/>
        <charset val="1"/>
      </rPr>
      <t xml:space="preserve">年底減資返還股東的年數。預設 </t>
    </r>
    <r>
      <rPr>
        <sz val="10"/>
        <color rgb="FF404040"/>
        <rFont val="Noto Sans CJK SC"/>
        <family val="2"/>
        <charset val="136"/>
      </rPr>
      <t xml:space="preserve">4 </t>
    </r>
    <r>
      <rPr>
        <sz val="10"/>
        <color rgb="FF404040"/>
        <rFont val="新細明體"/>
        <family val="2"/>
        <charset val="1"/>
      </rPr>
      <t xml:space="preserve">年，代表 倒數 </t>
    </r>
    <r>
      <rPr>
        <sz val="10"/>
        <color rgb="FF404040"/>
        <rFont val="Noto Sans CJK SC"/>
        <family val="2"/>
        <charset val="136"/>
      </rPr>
      <t xml:space="preserve">4 </t>
    </r>
    <r>
      <rPr>
        <sz val="10"/>
        <color rgb="FF404040"/>
        <rFont val="新細明體"/>
        <family val="2"/>
        <charset val="1"/>
      </rPr>
      <t xml:space="preserve">年進行減資，加速資金返還</t>
    </r>
  </si>
  <si>
    <t xml:space="preserve">年份</t>
  </si>
  <si>
    <t xml:space="preserve">(Unit : Currency)</t>
  </si>
  <si>
    <r>
      <rPr>
        <sz val="12"/>
        <color rgb="FF000000"/>
        <rFont val="新細明體"/>
        <family val="2"/>
        <charset val="1"/>
      </rPr>
      <t xml:space="preserve">發電度數</t>
    </r>
    <r>
      <rPr>
        <sz val="12"/>
        <color rgb="FF000000"/>
        <rFont val="Arial"/>
        <family val="2"/>
        <charset val="1"/>
      </rPr>
      <t xml:space="preserve">(KWH)</t>
    </r>
  </si>
  <si>
    <r>
      <rPr>
        <sz val="12"/>
        <color rgb="FF000000"/>
        <rFont val="Arial"/>
        <family val="2"/>
        <charset val="1"/>
      </rPr>
      <t xml:space="preserve">Inflow : </t>
    </r>
    <r>
      <rPr>
        <sz val="12"/>
        <color rgb="FF000000"/>
        <rFont val="新細明體"/>
        <family val="2"/>
        <charset val="1"/>
      </rPr>
      <t xml:space="preserve">電費收入</t>
    </r>
  </si>
  <si>
    <r>
      <rPr>
        <sz val="12"/>
        <color rgb="FF000000"/>
        <rFont val="Arial"/>
        <family val="2"/>
        <charset val="1"/>
      </rPr>
      <t xml:space="preserve">Inflow : </t>
    </r>
    <r>
      <rPr>
        <sz val="12"/>
        <color rgb="FF000000"/>
        <rFont val="新細明體"/>
        <family val="2"/>
        <charset val="1"/>
      </rPr>
      <t xml:space="preserve">政府補助</t>
    </r>
  </si>
  <si>
    <r>
      <rPr>
        <sz val="12"/>
        <color rgb="FF000000"/>
        <rFont val="Arial"/>
        <family val="2"/>
        <charset val="1"/>
      </rPr>
      <t xml:space="preserve">Inflow : </t>
    </r>
    <r>
      <rPr>
        <sz val="12"/>
        <color rgb="FF000000"/>
        <rFont val="新細明體"/>
        <family val="2"/>
        <charset val="1"/>
      </rPr>
      <t xml:space="preserve">銀行借款</t>
    </r>
  </si>
  <si>
    <r>
      <rPr>
        <sz val="12"/>
        <color rgb="FF000000"/>
        <rFont val="Arial"/>
        <family val="2"/>
        <charset val="1"/>
      </rPr>
      <t xml:space="preserve">Outflow : </t>
    </r>
    <r>
      <rPr>
        <sz val="12"/>
        <color rgb="FF000000"/>
        <rFont val="新細明體"/>
        <family val="2"/>
        <charset val="1"/>
      </rPr>
      <t xml:space="preserve">設備費用</t>
    </r>
  </si>
  <si>
    <r>
      <rPr>
        <sz val="12"/>
        <color rgb="FF000000"/>
        <rFont val="Arial"/>
        <family val="2"/>
        <charset val="1"/>
      </rPr>
      <t xml:space="preserve">Outflow : </t>
    </r>
    <r>
      <rPr>
        <sz val="12"/>
        <color rgb="FF000000"/>
        <rFont val="新細明體"/>
        <family val="2"/>
        <charset val="1"/>
      </rPr>
      <t xml:space="preserve">設備放置區域租金</t>
    </r>
  </si>
  <si>
    <r>
      <rPr>
        <sz val="12"/>
        <color rgb="FF000000"/>
        <rFont val="Arial"/>
        <family val="2"/>
        <charset val="1"/>
      </rPr>
      <t xml:space="preserve">Outflow : </t>
    </r>
    <r>
      <rPr>
        <sz val="12"/>
        <color rgb="FF000000"/>
        <rFont val="新細明體"/>
        <family val="2"/>
        <charset val="1"/>
      </rPr>
      <t xml:space="preserve">返還借款</t>
    </r>
  </si>
  <si>
    <r>
      <rPr>
        <sz val="12"/>
        <color rgb="FF000000"/>
        <rFont val="Arial"/>
        <family val="2"/>
        <charset val="1"/>
      </rPr>
      <t xml:space="preserve">Outflow : </t>
    </r>
    <r>
      <rPr>
        <sz val="12"/>
        <color rgb="FF000000"/>
        <rFont val="新細明體"/>
        <family val="2"/>
        <charset val="1"/>
      </rPr>
      <t xml:space="preserve">利息費用</t>
    </r>
  </si>
  <si>
    <r>
      <rPr>
        <sz val="12"/>
        <color rgb="FF000000"/>
        <rFont val="Arial"/>
        <family val="2"/>
        <charset val="1"/>
      </rPr>
      <t xml:space="preserve">Outflow : </t>
    </r>
    <r>
      <rPr>
        <sz val="12"/>
        <color rgb="FF000000"/>
        <rFont val="新細明體"/>
        <family val="2"/>
        <charset val="1"/>
      </rPr>
      <t xml:space="preserve">維運費</t>
    </r>
  </si>
  <si>
    <r>
      <rPr>
        <sz val="12"/>
        <color rgb="FF000000"/>
        <rFont val="Arial"/>
        <family val="2"/>
        <charset val="1"/>
      </rPr>
      <t xml:space="preserve">Outflow : </t>
    </r>
    <r>
      <rPr>
        <sz val="12"/>
        <color rgb="FF000000"/>
        <rFont val="新細明體"/>
        <family val="2"/>
        <charset val="1"/>
      </rPr>
      <t xml:space="preserve">保險費</t>
    </r>
  </si>
  <si>
    <r>
      <rPr>
        <sz val="12"/>
        <color rgb="FF000000"/>
        <rFont val="Arial"/>
        <family val="2"/>
        <charset val="1"/>
      </rPr>
      <t xml:space="preserve">Outflow : </t>
    </r>
    <r>
      <rPr>
        <sz val="12"/>
        <color rgb="FF000000"/>
        <rFont val="新細明體"/>
        <family val="2"/>
        <charset val="1"/>
      </rPr>
      <t xml:space="preserve">模組回收費</t>
    </r>
  </si>
  <si>
    <r>
      <rPr>
        <sz val="12"/>
        <color rgb="FF000000"/>
        <rFont val="Arial"/>
        <family val="2"/>
        <charset val="1"/>
      </rPr>
      <t xml:space="preserve">Outflow : </t>
    </r>
    <r>
      <rPr>
        <sz val="12"/>
        <color rgb="FF000000"/>
        <rFont val="新細明體"/>
        <family val="2"/>
        <charset val="1"/>
      </rPr>
      <t xml:space="preserve">其它費用</t>
    </r>
    <r>
      <rPr>
        <sz val="12"/>
        <color rgb="FF000000"/>
        <rFont val="Arial"/>
        <family val="2"/>
        <charset val="1"/>
      </rPr>
      <t xml:space="preserve">(</t>
    </r>
    <r>
      <rPr>
        <sz val="12"/>
        <color rgb="FF000000"/>
        <rFont val="新細明體"/>
        <family val="2"/>
        <charset val="1"/>
      </rPr>
      <t xml:space="preserve">人事薪資…等</t>
    </r>
    <r>
      <rPr>
        <sz val="12"/>
        <color rgb="FF000000"/>
        <rFont val="Arial"/>
        <family val="2"/>
        <charset val="1"/>
      </rPr>
      <t xml:space="preserve">)</t>
    </r>
  </si>
  <si>
    <r>
      <rPr>
        <sz val="12"/>
        <color rgb="FF000000"/>
        <rFont val="Arial"/>
        <family val="2"/>
        <charset val="1"/>
      </rPr>
      <t xml:space="preserve">1%</t>
    </r>
    <r>
      <rPr>
        <sz val="12"/>
        <color rgb="FF000000"/>
        <rFont val="新細明體"/>
        <family val="2"/>
        <charset val="1"/>
      </rPr>
      <t xml:space="preserve">管理費</t>
    </r>
  </si>
  <si>
    <t xml:space="preserve">績效獎金</t>
  </si>
  <si>
    <t xml:space="preserve">所得稅20%</t>
  </si>
  <si>
    <t xml:space="preserve">現金流</t>
  </si>
  <si>
    <t xml:space="preserve">累計現金流</t>
  </si>
  <si>
    <t xml:space="preserve">回收年限評估</t>
  </si>
  <si>
    <t xml:space="preserve">償還年限</t>
  </si>
  <si>
    <r>
      <rPr>
        <sz val="12"/>
        <color rgb="FF000000"/>
        <rFont val="Arial"/>
        <family val="2"/>
        <charset val="1"/>
      </rPr>
      <t xml:space="preserve">Outflow : </t>
    </r>
    <r>
      <rPr>
        <sz val="12"/>
        <color rgb="FF000000"/>
        <rFont val="新細明體"/>
        <family val="2"/>
        <charset val="1"/>
      </rPr>
      <t xml:space="preserve">設備折舊</t>
    </r>
  </si>
  <si>
    <t xml:space="preserve">稅前淨利</t>
  </si>
  <si>
    <t xml:space="preserve">稅後淨利</t>
  </si>
  <si>
    <t xml:space="preserve">設備折舊</t>
  </si>
  <si>
    <t xml:space="preserve">營運活動現金流量</t>
  </si>
  <si>
    <t xml:space="preserve">投資活動-設備支出</t>
  </si>
  <si>
    <t xml:space="preserve">理財活動-借款</t>
  </si>
  <si>
    <t xml:space="preserve">理財活動-還款</t>
  </si>
  <si>
    <t xml:space="preserve">理財活動-現金增資</t>
  </si>
  <si>
    <t xml:space="preserve">現金淨流入(出 )</t>
  </si>
  <si>
    <t xml:space="preserve">期初淨現金</t>
  </si>
  <si>
    <t xml:space="preserve">期未淨現金</t>
  </si>
  <si>
    <t xml:space="preserve">成本法實際現金流</t>
  </si>
  <si>
    <t xml:space="preserve">權益法實際現金流</t>
  </si>
  <si>
    <t xml:space="preserve">借款餘額</t>
  </si>
  <si>
    <t xml:space="preserve">情境編號: 2</t>
  </si>
  <si>
    <t xml:space="preserve">第1次滾算摘要</t>
  </si>
  <si>
    <t xml:space="preserve">價金: 28000</t>
  </si>
  <si>
    <t xml:space="preserve">專案IRR: 5.95</t>
  </si>
  <si>
    <t xml:space="preserve">權益法IRR: 15.85</t>
  </si>
  <si>
    <t xml:space="preserve">情境編號: 3</t>
  </si>
  <si>
    <t xml:space="preserve">第2次滾算摘要</t>
  </si>
  <si>
    <t xml:space="preserve">價金: 26000</t>
  </si>
  <si>
    <t xml:space="preserve">專案IRR: 6.74</t>
  </si>
  <si>
    <t xml:space="preserve">權益法IRR: 19.36</t>
  </si>
  <si>
    <t xml:space="preserve">情境編號: 4</t>
  </si>
  <si>
    <t xml:space="preserve">第3次滾算摘要</t>
  </si>
  <si>
    <t xml:space="preserve">價金: 24000</t>
  </si>
  <si>
    <t xml:space="preserve">專案IRR: 7.63</t>
  </si>
  <si>
    <t xml:space="preserve">權益法IRR: 23.76</t>
  </si>
  <si>
    <t xml:space="preserve">情境編號: 5</t>
  </si>
  <si>
    <t xml:space="preserve">第4次滾算摘要</t>
  </si>
  <si>
    <t xml:space="preserve">價金: 22000</t>
  </si>
  <si>
    <t xml:space="preserve">專案IRR: 8.64</t>
  </si>
  <si>
    <t xml:space="preserve">權益法IRR: 29.43</t>
  </si>
  <si>
    <t xml:space="preserve">情境編號: 6</t>
  </si>
  <si>
    <t xml:space="preserve">第5次滾算摘要</t>
  </si>
  <si>
    <t xml:space="preserve">價金: 20000</t>
  </si>
  <si>
    <t xml:space="preserve">專案IRR: 9.8</t>
  </si>
  <si>
    <t xml:space="preserve">權益法IRR: 37.04</t>
  </si>
</sst>
</file>

<file path=xl/styles.xml><?xml version="1.0" encoding="utf-8"?>
<styleSheet xmlns="http://schemas.openxmlformats.org/spreadsheetml/2006/main">
  <numFmts count="11">
    <numFmt numFmtId="164" formatCode="General"/>
    <numFmt numFmtId="165" formatCode="0.00_);[RED]\(0.00\)"/>
    <numFmt numFmtId="166" formatCode="#,##0"/>
    <numFmt numFmtId="167" formatCode="#,##0_ "/>
    <numFmt numFmtId="168" formatCode="0%"/>
    <numFmt numFmtId="169" formatCode="0.00%"/>
    <numFmt numFmtId="170" formatCode="_-* #,##0_-;\-* #,##0_-;_-* \-??_-;_-@_-"/>
    <numFmt numFmtId="171" formatCode="0_);[RED]\(0\)"/>
    <numFmt numFmtId="172" formatCode="\$#,##0.00_);[RED]&quot;($&quot;#,##0.00\)"/>
    <numFmt numFmtId="173" formatCode="\$#,##0_);[RED]&quot;($&quot;#,##0\)"/>
    <numFmt numFmtId="174" formatCode="_-\$* #,##0_-;&quot;-$&quot;* #,##0_-;_-\$* \-??_-;_-@_-"/>
  </numFmts>
  <fonts count="42">
    <font>
      <sz val="11"/>
      <color theme="1"/>
      <name val="新細明體"/>
      <family val="2"/>
      <charset val="1"/>
    </font>
    <font>
      <sz val="10"/>
      <name val="Arial"/>
      <family val="0"/>
      <charset val="136"/>
    </font>
    <font>
      <sz val="10"/>
      <name val="Arial"/>
      <family val="0"/>
      <charset val="136"/>
    </font>
    <font>
      <sz val="10"/>
      <name val="Arial"/>
      <family val="0"/>
      <charset val="136"/>
    </font>
    <font>
      <b val="true"/>
      <sz val="12"/>
      <color theme="0"/>
      <name val="新細明體"/>
      <family val="2"/>
      <charset val="1"/>
    </font>
    <font>
      <b val="true"/>
      <sz val="12"/>
      <color theme="0"/>
      <name val="Calibri"/>
      <family val="2"/>
      <charset val="1"/>
    </font>
    <font>
      <b val="true"/>
      <sz val="12"/>
      <name val="新細明體"/>
      <family val="2"/>
      <charset val="1"/>
    </font>
    <font>
      <sz val="11"/>
      <color theme="0" tint="-0.15"/>
      <name val="新細明體"/>
      <family val="2"/>
      <charset val="1"/>
    </font>
    <font>
      <sz val="12"/>
      <color theme="1"/>
      <name val="新細明體"/>
      <family val="2"/>
      <charset val="1"/>
    </font>
    <font>
      <sz val="12"/>
      <color theme="1"/>
      <name val="Microsoft JhengHei"/>
      <family val="2"/>
      <charset val="1"/>
    </font>
    <font>
      <sz val="12"/>
      <color theme="1"/>
      <name val="Calibri"/>
      <family val="2"/>
      <charset val="1"/>
    </font>
    <font>
      <sz val="10"/>
      <color rgb="FF404040"/>
      <name val="新細明體"/>
      <family val="2"/>
      <charset val="1"/>
    </font>
    <font>
      <sz val="10"/>
      <color rgb="FF404040"/>
      <name val="Calibri"/>
      <family val="2"/>
      <charset val="1"/>
    </font>
    <font>
      <b val="true"/>
      <sz val="12"/>
      <color theme="0"/>
      <name val="Calibri"/>
      <family val="2"/>
      <charset val="136"/>
    </font>
    <font>
      <sz val="12"/>
      <color theme="1"/>
      <name val="Calibri"/>
      <family val="2"/>
      <charset val="136"/>
    </font>
    <font>
      <sz val="11"/>
      <color theme="1"/>
      <name val="Calibri"/>
      <family val="2"/>
      <charset val="1"/>
    </font>
    <font>
      <sz val="10"/>
      <color rgb="FF404040"/>
      <name val="微軟正黑體"/>
      <family val="2"/>
      <charset val="136"/>
    </font>
    <font>
      <sz val="10"/>
      <color rgb="FF404040"/>
      <name val="Noto Sans CJK SC"/>
      <family val="2"/>
      <charset val="1"/>
    </font>
    <font>
      <sz val="12"/>
      <color theme="1"/>
      <name val="Noto Sans CJK SC"/>
      <family val="2"/>
      <charset val="1"/>
    </font>
    <font>
      <sz val="10"/>
      <color rgb="FF404040"/>
      <name val="Noto Sans CJK SC"/>
      <family val="2"/>
      <charset val="136"/>
    </font>
    <font>
      <sz val="11"/>
      <color theme="1"/>
      <name val="Noto Sans CJK SC"/>
      <family val="2"/>
      <charset val="1"/>
    </font>
    <font>
      <sz val="12"/>
      <color theme="1"/>
      <name val="微軟正黑體"/>
      <family val="2"/>
      <charset val="136"/>
    </font>
    <font>
      <sz val="12"/>
      <color rgb="FFFFFFFF"/>
      <name val="新細明體"/>
      <family val="2"/>
      <charset val="1"/>
    </font>
    <font>
      <b val="true"/>
      <sz val="14"/>
      <color theme="1"/>
      <name val="Arial"/>
      <family val="2"/>
      <charset val="1"/>
    </font>
    <font>
      <b val="true"/>
      <sz val="14"/>
      <color theme="1"/>
      <name val="微軟正黑體"/>
      <family val="2"/>
      <charset val="1"/>
    </font>
    <font>
      <sz val="12"/>
      <color theme="1"/>
      <name val="微軟正黑體"/>
      <family val="2"/>
      <charset val="1"/>
    </font>
    <font>
      <sz val="12"/>
      <color theme="1"/>
      <name val="Arial"/>
      <family val="2"/>
      <charset val="1"/>
    </font>
    <font>
      <sz val="12"/>
      <name val="Arial"/>
      <family val="2"/>
      <charset val="1"/>
    </font>
    <font>
      <sz val="12"/>
      <color rgb="FF000000"/>
      <name val="新細明體"/>
      <family val="2"/>
      <charset val="1"/>
    </font>
    <font>
      <sz val="12"/>
      <color rgb="FF000000"/>
      <name val="Arial"/>
      <family val="2"/>
      <charset val="1"/>
    </font>
    <font>
      <sz val="12"/>
      <color rgb="FF000000"/>
      <name val="細明體"/>
      <family val="2"/>
      <charset val="1"/>
    </font>
    <font>
      <b val="true"/>
      <sz val="12"/>
      <color rgb="FF000000"/>
      <name val="細明體"/>
      <family val="3"/>
      <charset val="136"/>
    </font>
    <font>
      <b val="true"/>
      <sz val="12"/>
      <color theme="1"/>
      <name val="Arial"/>
      <family val="2"/>
      <charset val="1"/>
    </font>
    <font>
      <sz val="12"/>
      <color rgb="FF000080"/>
      <name val="Arial"/>
      <family val="2"/>
      <charset val="1"/>
    </font>
    <font>
      <sz val="12"/>
      <color rgb="FF000080"/>
      <name val="新細明體"/>
      <family val="2"/>
      <charset val="1"/>
    </font>
    <font>
      <b val="true"/>
      <sz val="12"/>
      <color rgb="FF000000"/>
      <name val="細明體"/>
      <family val="2"/>
      <charset val="1"/>
    </font>
    <font>
      <b val="true"/>
      <sz val="12"/>
      <color theme="1"/>
      <name val="細明體"/>
      <family val="2"/>
      <charset val="1"/>
    </font>
    <font>
      <b val="true"/>
      <sz val="12"/>
      <color theme="1"/>
      <name val="新細明體"/>
      <family val="2"/>
      <charset val="1"/>
    </font>
    <font>
      <b val="true"/>
      <sz val="12"/>
      <color theme="1"/>
      <name val="新細明體"/>
      <family val="1"/>
      <charset val="136"/>
    </font>
    <font>
      <b val="true"/>
      <sz val="12"/>
      <color rgb="FFFF0000"/>
      <name val="Arial"/>
      <family val="2"/>
      <charset val="1"/>
    </font>
    <font>
      <b val="true"/>
      <sz val="11"/>
      <color theme="1"/>
      <name val="新細明體"/>
      <family val="1"/>
      <charset val="136"/>
    </font>
    <font>
      <sz val="12"/>
      <color rgb="FF000000"/>
      <name val="微軟正黑體"/>
      <family val="2"/>
      <charset val="1"/>
    </font>
  </fonts>
  <fills count="15">
    <fill>
      <patternFill patternType="none"/>
    </fill>
    <fill>
      <patternFill patternType="gray125"/>
    </fill>
    <fill>
      <patternFill patternType="solid">
        <fgColor rgb="FF0070C0"/>
        <bgColor rgb="FF008080"/>
      </patternFill>
    </fill>
    <fill>
      <patternFill patternType="solid">
        <fgColor theme="7" tint="0.7998"/>
        <bgColor rgb="FFDCE6F2"/>
      </patternFill>
    </fill>
    <fill>
      <patternFill patternType="solid">
        <fgColor theme="4" tint="0.7998"/>
        <bgColor rgb="FFE6E0EC"/>
      </patternFill>
    </fill>
    <fill>
      <patternFill patternType="solid">
        <fgColor theme="5" tint="0.3998"/>
        <bgColor rgb="FFFF99CC"/>
      </patternFill>
    </fill>
    <fill>
      <patternFill patternType="solid">
        <fgColor rgb="FF376092"/>
        <bgColor rgb="FF2F75B5"/>
      </patternFill>
    </fill>
    <fill>
      <patternFill patternType="solid">
        <fgColor rgb="FFFFFFCC"/>
        <bgColor rgb="FFFFFFFF"/>
      </patternFill>
    </fill>
    <fill>
      <patternFill patternType="solid">
        <fgColor rgb="FF00CCFF"/>
        <bgColor rgb="FF33CCCC"/>
      </patternFill>
    </fill>
    <fill>
      <patternFill patternType="solid">
        <fgColor rgb="FFFF0000"/>
        <bgColor rgb="FF993300"/>
      </patternFill>
    </fill>
    <fill>
      <patternFill patternType="solid">
        <fgColor rgb="FFFFCC00"/>
        <bgColor rgb="FFFFFF00"/>
      </patternFill>
    </fill>
    <fill>
      <patternFill patternType="solid">
        <fgColor rgb="FFFFFF00"/>
        <bgColor rgb="FFFFFF00"/>
      </patternFill>
    </fill>
    <fill>
      <patternFill patternType="solid">
        <fgColor rgb="FF2F75B5"/>
        <bgColor rgb="FF376092"/>
      </patternFill>
    </fill>
    <fill>
      <patternFill patternType="solid">
        <fgColor rgb="FFFFCCCC"/>
        <bgColor rgb="FFE6E0EC"/>
      </patternFill>
    </fill>
    <fill>
      <patternFill patternType="solid">
        <fgColor rgb="FF9BC2E6"/>
        <bgColor rgb="FFC6C6C6"/>
      </patternFill>
    </fill>
  </fills>
  <borders count="37">
    <border diagonalUp="false" diagonalDown="false">
      <left/>
      <right/>
      <top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thin"/>
      <right style="thin"/>
      <top/>
      <bottom/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thin"/>
      <top style="medium"/>
      <bottom style="medium"/>
      <diagonal/>
    </border>
    <border diagonalUp="false" diagonalDown="false">
      <left style="thin"/>
      <right/>
      <top style="medium"/>
      <bottom style="medium"/>
      <diagonal/>
    </border>
    <border diagonalUp="false" diagonalDown="false">
      <left style="thin"/>
      <right/>
      <top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medium"/>
      <top style="medium"/>
      <bottom style="medium"/>
      <diagonal/>
    </border>
    <border diagonalUp="false" diagonalDown="false">
      <left/>
      <right/>
      <top style="medium"/>
      <bottom style="medium"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/>
      <right style="thin"/>
      <top/>
      <bottom/>
      <diagonal/>
    </border>
    <border diagonalUp="false" diagonalDown="false"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 diagonalUp="false" diagonalDown="false">
      <left style="medium"/>
      <right style="thin"/>
      <top style="medium"/>
      <bottom/>
      <diagonal/>
    </border>
    <border diagonalUp="false" diagonalDown="false">
      <left style="thin"/>
      <right style="thin"/>
      <top style="medium"/>
      <bottom/>
      <diagonal/>
    </border>
    <border diagonalUp="false" diagonalDown="false">
      <left/>
      <right/>
      <top style="medium"/>
      <bottom/>
      <diagonal/>
    </border>
    <border diagonalUp="false" diagonalDown="false">
      <left style="thin">
        <color rgb="FFC6C6C6"/>
      </left>
      <right style="thin">
        <color rgb="FFC6C6C6"/>
      </right>
      <top style="medium"/>
      <bottom style="thin">
        <color rgb="FFC6C6C6"/>
      </bottom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 style="thin"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 style="thin"/>
      <top/>
      <bottom style="medium"/>
      <diagonal/>
    </border>
    <border diagonalUp="false" diagonalDown="false">
      <left style="thin">
        <color rgb="FFC6C6C6"/>
      </left>
      <right style="medium"/>
      <top style="thin">
        <color rgb="FFC6C6C6"/>
      </top>
      <bottom style="medium"/>
      <diagonal/>
    </border>
    <border diagonalUp="false" diagonalDown="false">
      <left style="medium"/>
      <right style="thin"/>
      <top style="medium"/>
      <bottom style="thin">
        <color rgb="FFC6C6C6"/>
      </bottom>
      <diagonal/>
    </border>
    <border diagonalUp="false" diagonalDown="false">
      <left style="medium"/>
      <right style="thin"/>
      <top style="thin">
        <color rgb="FFC6C6C6"/>
      </top>
      <bottom style="thin">
        <color rgb="FFC6C6C6"/>
      </bottom>
      <diagonal/>
    </border>
    <border diagonalUp="false" diagonalDown="false">
      <left style="medium"/>
      <right style="thin"/>
      <top style="thin">
        <color rgb="FFC6C6C6"/>
      </top>
      <bottom style="medium"/>
      <diagonal/>
    </border>
    <border diagonalUp="false" diagonalDown="false">
      <left style="thin"/>
      <right style="thin"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thin"/>
      <right/>
      <top style="medium"/>
      <bottom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/>
      <top style="thin"/>
      <bottom/>
      <diagonal/>
    </border>
    <border diagonalUp="false" diagonalDown="false">
      <left/>
      <right/>
      <top/>
      <bottom style="thin"/>
      <diagonal/>
    </border>
    <border diagonalUp="false" diagonalDown="false">
      <left style="thin">
        <color rgb="FFC6C6C6"/>
      </left>
      <right style="thin">
        <color rgb="FFC6C6C6"/>
      </right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6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0" fillId="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0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0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3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0" fillId="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0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0" fillId="3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3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6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3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8" fillId="0" borderId="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1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10" fillId="3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0" fillId="3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0" fillId="3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1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3" borderId="1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0" fontId="10" fillId="3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3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0" fillId="3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70" fontId="21" fillId="3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9" fontId="10" fillId="3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1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3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22" fillId="6" borderId="1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23" fillId="0" borderId="17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24" fillId="0" borderId="18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24" fillId="0" borderId="19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25" fillId="0" borderId="2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8" fillId="0" borderId="19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8" fillId="0" borderId="2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8" fillId="0" borderId="2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26" fillId="0" borderId="2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26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2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28" fillId="0" borderId="2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26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2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8" fillId="7" borderId="2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29" fillId="8" borderId="26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2" fontId="26" fillId="0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26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8" fillId="0" borderId="2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29" fillId="8" borderId="27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2" fontId="26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2" fontId="2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2" fontId="8" fillId="0" borderId="2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29" fillId="8" borderId="28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2" fontId="8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8" fillId="0" borderId="3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8" fillId="0" borderId="3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29" fillId="9" borderId="27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3" fontId="26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2" fontId="8" fillId="0" borderId="6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2" fontId="30" fillId="9" borderId="27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2" fontId="31" fillId="0" borderId="17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3" fontId="32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33" fillId="0" borderId="3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34" fillId="0" borderId="3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28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2" fontId="2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2" fontId="35" fillId="0" borderId="2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3" fontId="32" fillId="0" borderId="3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36" fillId="0" borderId="2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2" fontId="37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32" fillId="0" borderId="1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32" fillId="0" borderId="1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3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9" fontId="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28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28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8" fillId="10" borderId="2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3" fontId="26" fillId="11" borderId="1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8" fillId="0" borderId="1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2" fontId="8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2" fontId="34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4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2" fontId="37" fillId="0" borderId="3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37" fillId="0" borderId="3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36" fillId="0" borderId="2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37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37" fillId="0" borderId="1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37" fillId="0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2" fillId="12" borderId="16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22" fillId="12" borderId="1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1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2" fontId="41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3" fontId="41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3" fontId="41" fillId="13" borderId="1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41" fillId="0" borderId="1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41" fillId="0" borderId="3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41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2" fontId="41" fillId="0" borderId="3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2" fontId="41" fillId="0" borderId="3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3" fontId="41" fillId="0" borderId="3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2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3" fontId="41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1" fontId="41" fillId="14" borderId="1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41" fillId="0" borderId="35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2" fontId="41" fillId="0" borderId="35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4" fontId="41" fillId="0" borderId="35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4" fontId="2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2" fontId="41" fillId="0" borderId="3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2" fontId="41" fillId="0" borderId="3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3" fontId="41" fillId="7" borderId="3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41" fillId="11" borderId="16" xfId="0" applyFont="true" applyBorder="tru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6C6C6"/>
      <rgbColor rgb="FF808080"/>
      <rgbColor rgb="FF9999FF"/>
      <rgbColor rgb="FF993366"/>
      <rgbColor rgb="FFFFFFCC"/>
      <rgbColor rgb="FFDCE6F2"/>
      <rgbColor rgb="FF660066"/>
      <rgbColor rgb="FFD99694"/>
      <rgbColor rgb="FF0070C0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6E0EC"/>
      <rgbColor rgb="FFCCFFCC"/>
      <rgbColor rgb="FFFFFF99"/>
      <rgbColor rgb="FF9BC2E6"/>
      <rgbColor rgb="FFFF99CC"/>
      <rgbColor rgb="FFCC99FF"/>
      <rgbColor rgb="FFFFCCCC"/>
      <rgbColor rgb="FF2F75B5"/>
      <rgbColor rgb="FF33CCCC"/>
      <rgbColor rgb="FF99CC00"/>
      <rgbColor rgb="FFFFCC00"/>
      <rgbColor rgb="FFFF9900"/>
      <rgbColor rgb="FFFF6600"/>
      <rgbColor rgb="FF376092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35"/>
  <sheetViews>
    <sheetView showFormulas="false" showGridLines="true" showRowColHeaders="true" showZeros="true" rightToLeft="false" tabSelected="true" showOutlineSymbols="true" defaultGridColor="true" view="normal" topLeftCell="A7" colorId="64" zoomScale="100" zoomScaleNormal="100" zoomScalePageLayoutView="100" workbookViewId="0">
      <selection pane="topLeft" activeCell="C17" activeCellId="0" sqref="C17"/>
    </sheetView>
  </sheetViews>
  <sheetFormatPr defaultColWidth="8.73046875" defaultRowHeight="15.75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27"/>
    <col collapsed="false" customWidth="true" hidden="false" outlineLevel="0" max="4" min="3" style="0" width="10"/>
    <col collapsed="false" customWidth="true" hidden="false" outlineLevel="0" max="5" min="5" style="0" width="50"/>
    <col collapsed="false" customWidth="true" hidden="false" outlineLevel="0" max="15" min="6" style="0" width="8"/>
    <col collapsed="false" customWidth="true" hidden="false" outlineLevel="0" max="27" min="16" style="0" width="10"/>
    <col collapsed="false" customWidth="true" hidden="false" outlineLevel="0" max="34" min="28" style="0" width="11"/>
    <col collapsed="false" customWidth="true" hidden="false" outlineLevel="0" max="35" min="35" style="0" width="32.57"/>
    <col collapsed="false" customWidth="true" hidden="false" outlineLevel="0" max="36" min="36" style="0" width="9.14"/>
  </cols>
  <sheetData>
    <row r="1" customFormat="false" ht="22.5" hidden="false" customHeight="true" outlineLevel="0" collapsed="false">
      <c r="A1" s="1" t="s">
        <v>0</v>
      </c>
      <c r="B1" s="1"/>
      <c r="C1" s="1"/>
      <c r="D1" s="1"/>
      <c r="E1" s="2" t="s">
        <v>1</v>
      </c>
      <c r="O1" s="3" t="n">
        <f aca="false">1-C11</f>
        <v>0.99</v>
      </c>
      <c r="P1" s="3" t="n">
        <f aca="false">O1-$C12</f>
        <v>0.986</v>
      </c>
      <c r="Q1" s="3" t="n">
        <f aca="false">P1-$C12</f>
        <v>0.982</v>
      </c>
      <c r="R1" s="3" t="n">
        <f aca="false">Q1-$C12</f>
        <v>0.978</v>
      </c>
      <c r="S1" s="3" t="n">
        <f aca="false">R1-$C12</f>
        <v>0.974</v>
      </c>
      <c r="T1" s="3" t="n">
        <f aca="false">S1-$C12</f>
        <v>0.97</v>
      </c>
      <c r="U1" s="3" t="n">
        <f aca="false">T1-$C12</f>
        <v>0.966</v>
      </c>
      <c r="V1" s="3" t="n">
        <f aca="false">U1-$C12</f>
        <v>0.962</v>
      </c>
      <c r="W1" s="3" t="n">
        <f aca="false">V1-$C12</f>
        <v>0.958</v>
      </c>
      <c r="X1" s="3" t="n">
        <f aca="false">W1-$C12</f>
        <v>0.954</v>
      </c>
      <c r="Y1" s="3" t="n">
        <f aca="false">X1-$C12</f>
        <v>0.95</v>
      </c>
      <c r="Z1" s="3" t="n">
        <f aca="false">Y1-$C12</f>
        <v>0.946</v>
      </c>
      <c r="AA1" s="3" t="n">
        <f aca="false">Z1-$C12</f>
        <v>0.942</v>
      </c>
      <c r="AB1" s="3" t="n">
        <f aca="false">AA1-$C12</f>
        <v>0.938</v>
      </c>
      <c r="AC1" s="3" t="n">
        <f aca="false">AB1-$C12</f>
        <v>0.934</v>
      </c>
      <c r="AD1" s="3" t="n">
        <f aca="false">AC1-$C12</f>
        <v>0.93</v>
      </c>
      <c r="AE1" s="3" t="n">
        <f aca="false">AD1-$C12</f>
        <v>0.926</v>
      </c>
      <c r="AF1" s="3" t="n">
        <f aca="false">AE1-$C12</f>
        <v>0.922</v>
      </c>
      <c r="AG1" s="3" t="n">
        <f aca="false">AF1-$C12</f>
        <v>0.918</v>
      </c>
      <c r="AH1" s="3" t="n">
        <f aca="false">AG1-$C12</f>
        <v>0.914</v>
      </c>
    </row>
    <row r="2" customFormat="false" ht="21.75" hidden="false" customHeight="true" outlineLevel="0" collapsed="false">
      <c r="A2" s="4" t="s">
        <v>2</v>
      </c>
      <c r="B2" s="5" t="s">
        <v>3</v>
      </c>
      <c r="C2" s="6" t="s">
        <v>4</v>
      </c>
      <c r="D2" s="7" t="s">
        <v>4</v>
      </c>
      <c r="E2" s="8" t="s">
        <v>5</v>
      </c>
    </row>
    <row r="3" customFormat="false" ht="21.75" hidden="false" customHeight="true" outlineLevel="0" collapsed="false">
      <c r="A3" s="9" t="s">
        <v>6</v>
      </c>
      <c r="B3" s="10" t="n">
        <v>20</v>
      </c>
      <c r="C3" s="11" t="s">
        <v>4</v>
      </c>
      <c r="D3" s="12" t="s">
        <v>4</v>
      </c>
      <c r="E3" s="8" t="s">
        <v>7</v>
      </c>
    </row>
    <row r="4" customFormat="false" ht="21.75" hidden="false" customHeight="true" outlineLevel="0" collapsed="false">
      <c r="A4" s="9" t="s">
        <v>8</v>
      </c>
      <c r="B4" s="10" t="n">
        <v>436.1</v>
      </c>
      <c r="C4" s="11" t="s">
        <v>4</v>
      </c>
      <c r="D4" s="12" t="s">
        <v>4</v>
      </c>
      <c r="E4" s="8" t="s">
        <v>9</v>
      </c>
    </row>
    <row r="5" customFormat="false" ht="22.5" hidden="false" customHeight="true" outlineLevel="0" collapsed="false">
      <c r="A5" s="9" t="s">
        <v>10</v>
      </c>
      <c r="B5" s="10" t="n">
        <v>2020</v>
      </c>
      <c r="C5" s="9" t="s">
        <v>11</v>
      </c>
      <c r="D5" s="12" t="n">
        <f aca="false">B5+B3-1</f>
        <v>2039</v>
      </c>
      <c r="E5" s="8" t="s">
        <v>12</v>
      </c>
    </row>
    <row r="6" customFormat="false" ht="20.25" hidden="false" customHeight="true" outlineLevel="0" collapsed="false">
      <c r="A6" s="13"/>
      <c r="B6" s="13"/>
      <c r="C6" s="13"/>
      <c r="D6" s="13"/>
      <c r="E6" s="14"/>
    </row>
    <row r="7" customFormat="false" ht="22.5" hidden="false" customHeight="true" outlineLevel="0" collapsed="false">
      <c r="A7" s="1" t="s">
        <v>13</v>
      </c>
      <c r="B7" s="1"/>
      <c r="C7" s="1"/>
      <c r="D7" s="1"/>
      <c r="E7" s="14"/>
    </row>
    <row r="8" customFormat="false" ht="22.5" hidden="false" customHeight="true" outlineLevel="0" collapsed="false">
      <c r="A8" s="15" t="s">
        <v>14</v>
      </c>
      <c r="B8" s="15"/>
      <c r="C8" s="15"/>
      <c r="D8" s="15"/>
      <c r="E8" s="14"/>
    </row>
    <row r="9" customFormat="false" ht="22.5" hidden="false" customHeight="true" outlineLevel="0" collapsed="false">
      <c r="A9" s="16" t="s">
        <v>15</v>
      </c>
      <c r="B9" s="17" t="s">
        <v>16</v>
      </c>
      <c r="C9" s="17" t="s">
        <v>17</v>
      </c>
      <c r="D9" s="18" t="s">
        <v>18</v>
      </c>
      <c r="E9" s="2" t="s">
        <v>1</v>
      </c>
    </row>
    <row r="10" customFormat="false" ht="30" hidden="false" customHeight="true" outlineLevel="0" collapsed="false">
      <c r="A10" s="19" t="s">
        <v>19</v>
      </c>
      <c r="B10" s="4" t="s">
        <v>20</v>
      </c>
      <c r="C10" s="20" t="n">
        <v>547002</v>
      </c>
      <c r="D10" s="21" t="n">
        <f aca="false">B3</f>
        <v>20</v>
      </c>
      <c r="E10" s="8" t="s">
        <v>21</v>
      </c>
    </row>
    <row r="11" customFormat="false" ht="30" hidden="false" customHeight="true" outlineLevel="0" collapsed="false">
      <c r="A11" s="19"/>
      <c r="B11" s="9" t="s">
        <v>22</v>
      </c>
      <c r="C11" s="22" t="n">
        <v>0.01</v>
      </c>
      <c r="D11" s="21"/>
      <c r="E11" s="8" t="s">
        <v>23</v>
      </c>
    </row>
    <row r="12" customFormat="false" ht="30" hidden="false" customHeight="true" outlineLevel="0" collapsed="false">
      <c r="A12" s="19"/>
      <c r="B12" s="9" t="s">
        <v>24</v>
      </c>
      <c r="C12" s="23" t="n">
        <v>0.004</v>
      </c>
      <c r="D12" s="21"/>
      <c r="E12" s="8" t="s">
        <v>25</v>
      </c>
    </row>
    <row r="13" customFormat="false" ht="22.5" hidden="false" customHeight="true" outlineLevel="0" collapsed="false">
      <c r="A13" s="19"/>
      <c r="B13" s="24" t="s">
        <v>26</v>
      </c>
      <c r="C13" s="25" t="n">
        <v>4</v>
      </c>
      <c r="D13" s="21"/>
      <c r="E13" s="8" t="s">
        <v>27</v>
      </c>
    </row>
    <row r="14" customFormat="false" ht="22.5" hidden="false" customHeight="true" outlineLevel="0" collapsed="false">
      <c r="A14" s="26" t="s">
        <v>28</v>
      </c>
      <c r="B14" s="26"/>
      <c r="C14" s="26"/>
      <c r="D14" s="26"/>
      <c r="E14" s="14"/>
    </row>
    <row r="15" customFormat="false" ht="22.5" hidden="false" customHeight="true" outlineLevel="0" collapsed="false">
      <c r="A15" s="16" t="s">
        <v>15</v>
      </c>
      <c r="B15" s="17" t="s">
        <v>16</v>
      </c>
      <c r="C15" s="17" t="s">
        <v>17</v>
      </c>
      <c r="D15" s="18" t="s">
        <v>29</v>
      </c>
      <c r="E15" s="2" t="s">
        <v>1</v>
      </c>
    </row>
    <row r="16" customFormat="false" ht="21.75" hidden="false" customHeight="true" outlineLevel="0" collapsed="false">
      <c r="A16" s="4" t="s">
        <v>30</v>
      </c>
      <c r="B16" s="4" t="s">
        <v>31</v>
      </c>
      <c r="C16" s="27" t="n">
        <v>30000</v>
      </c>
      <c r="D16" s="7" t="n">
        <f aca="false">B3</f>
        <v>20</v>
      </c>
      <c r="E16" s="8" t="s">
        <v>32</v>
      </c>
    </row>
    <row r="17" customFormat="false" ht="21.75" hidden="false" customHeight="true" outlineLevel="0" collapsed="false">
      <c r="A17" s="4"/>
      <c r="B17" s="9" t="s">
        <v>33</v>
      </c>
      <c r="C17" s="10" t="n">
        <v>0.2</v>
      </c>
      <c r="D17" s="7"/>
      <c r="E17" s="8" t="s">
        <v>34</v>
      </c>
    </row>
    <row r="18" customFormat="false" ht="21.75" hidden="false" customHeight="true" outlineLevel="0" collapsed="false">
      <c r="A18" s="4"/>
      <c r="B18" s="9" t="s">
        <v>35</v>
      </c>
      <c r="C18" s="28" t="n">
        <v>2500</v>
      </c>
      <c r="D18" s="7"/>
      <c r="E18" s="8" t="s">
        <v>36</v>
      </c>
    </row>
    <row r="19" customFormat="false" ht="54" hidden="false" customHeight="true" outlineLevel="0" collapsed="false">
      <c r="A19" s="9" t="s">
        <v>37</v>
      </c>
      <c r="B19" s="29" t="s">
        <v>38</v>
      </c>
      <c r="C19" s="10" t="n">
        <v>1</v>
      </c>
      <c r="D19" s="7" t="s">
        <v>4</v>
      </c>
      <c r="E19" s="8" t="s">
        <v>39</v>
      </c>
    </row>
    <row r="20" customFormat="false" ht="20.25" hidden="false" customHeight="true" outlineLevel="0" collapsed="false">
      <c r="A20" s="9"/>
      <c r="B20" s="30" t="s">
        <v>40</v>
      </c>
      <c r="C20" s="28" t="n">
        <v>290201</v>
      </c>
      <c r="D20" s="7" t="n">
        <f aca="false">B3</f>
        <v>20</v>
      </c>
      <c r="E20" s="8" t="s">
        <v>41</v>
      </c>
    </row>
    <row r="21" customFormat="false" ht="30" hidden="false" customHeight="true" outlineLevel="0" collapsed="false">
      <c r="A21" s="9"/>
      <c r="B21" s="9" t="s">
        <v>42</v>
      </c>
      <c r="C21" s="10"/>
      <c r="D21" s="12" t="s">
        <v>4</v>
      </c>
      <c r="E21" s="8" t="s">
        <v>43</v>
      </c>
    </row>
    <row r="22" customFormat="false" ht="30" hidden="false" customHeight="true" outlineLevel="0" collapsed="false">
      <c r="A22" s="9" t="s">
        <v>44</v>
      </c>
      <c r="B22" s="9" t="s">
        <v>45</v>
      </c>
      <c r="C22" s="28" t="n">
        <v>400</v>
      </c>
      <c r="D22" s="12" t="n">
        <f aca="false">B3</f>
        <v>20</v>
      </c>
      <c r="E22" s="8" t="s">
        <v>46</v>
      </c>
    </row>
    <row r="23" customFormat="false" ht="30" hidden="false" customHeight="true" outlineLevel="0" collapsed="false">
      <c r="A23" s="9" t="s">
        <v>47</v>
      </c>
      <c r="B23" s="9" t="s">
        <v>48</v>
      </c>
      <c r="C23" s="10" t="n">
        <v>0.003</v>
      </c>
      <c r="D23" s="12" t="n">
        <f aca="false">B3</f>
        <v>20</v>
      </c>
      <c r="E23" s="8" t="s">
        <v>49</v>
      </c>
    </row>
    <row r="24" customFormat="false" ht="30" hidden="false" customHeight="true" outlineLevel="0" collapsed="false">
      <c r="A24" s="9" t="s">
        <v>50</v>
      </c>
      <c r="B24" s="9" t="s">
        <v>51</v>
      </c>
      <c r="C24" s="28" t="n">
        <v>1000</v>
      </c>
      <c r="D24" s="31" t="n">
        <v>10</v>
      </c>
      <c r="E24" s="8" t="s">
        <v>52</v>
      </c>
    </row>
    <row r="25" customFormat="false" ht="30" hidden="false" customHeight="true" outlineLevel="0" collapsed="false">
      <c r="A25" s="9" t="s">
        <v>53</v>
      </c>
      <c r="B25" s="9" t="s">
        <v>54</v>
      </c>
      <c r="C25" s="23" t="n">
        <v>0.0256</v>
      </c>
      <c r="D25" s="12" t="s">
        <v>4</v>
      </c>
      <c r="E25" s="8" t="s">
        <v>55</v>
      </c>
    </row>
    <row r="26" customFormat="false" ht="30" hidden="false" customHeight="true" outlineLevel="0" collapsed="false">
      <c r="A26" s="9" t="s">
        <v>56</v>
      </c>
      <c r="B26" s="9" t="s">
        <v>57</v>
      </c>
      <c r="C26" s="10" t="n">
        <v>0.2</v>
      </c>
      <c r="D26" s="12" t="s">
        <v>4</v>
      </c>
      <c r="E26" s="8" t="s">
        <v>58</v>
      </c>
    </row>
    <row r="27" customFormat="false" ht="20.25" hidden="false" customHeight="true" outlineLevel="0" collapsed="false">
      <c r="A27" s="13"/>
      <c r="B27" s="13"/>
      <c r="C27" s="13"/>
      <c r="D27" s="13"/>
      <c r="E27" s="14"/>
    </row>
    <row r="28" customFormat="false" ht="20.25" hidden="false" customHeight="true" outlineLevel="0" collapsed="false">
      <c r="A28" s="13"/>
      <c r="B28" s="13"/>
      <c r="C28" s="13"/>
      <c r="D28" s="13"/>
      <c r="E28" s="14"/>
    </row>
    <row r="29" customFormat="false" ht="22.5" hidden="false" customHeight="true" outlineLevel="0" collapsed="false">
      <c r="A29" s="1" t="s">
        <v>59</v>
      </c>
      <c r="B29" s="1"/>
      <c r="C29" s="1"/>
      <c r="D29" s="13"/>
      <c r="E29" s="14"/>
    </row>
    <row r="30" customFormat="false" ht="22.5" hidden="false" customHeight="true" outlineLevel="0" collapsed="false">
      <c r="A30" s="16" t="s">
        <v>60</v>
      </c>
      <c r="B30" s="17" t="s">
        <v>16</v>
      </c>
      <c r="C30" s="32" t="s">
        <v>17</v>
      </c>
      <c r="D30" s="13"/>
      <c r="E30" s="2" t="s">
        <v>1</v>
      </c>
    </row>
    <row r="31" customFormat="false" ht="30" hidden="false" customHeight="true" outlineLevel="0" collapsed="false">
      <c r="A31" s="4" t="s">
        <v>61</v>
      </c>
      <c r="B31" s="4" t="s">
        <v>62</v>
      </c>
      <c r="C31" s="33" t="n">
        <v>0.8</v>
      </c>
      <c r="D31" s="13"/>
      <c r="E31" s="8" t="s">
        <v>63</v>
      </c>
    </row>
    <row r="32" customFormat="false" ht="18.75" hidden="false" customHeight="true" outlineLevel="0" collapsed="false">
      <c r="A32" s="4" t="s">
        <v>64</v>
      </c>
      <c r="B32" s="4" t="s">
        <v>65</v>
      </c>
      <c r="C32" s="33" t="n">
        <v>15</v>
      </c>
      <c r="D32" s="13"/>
      <c r="E32" s="8" t="s">
        <v>66</v>
      </c>
    </row>
    <row r="33" customFormat="false" ht="18.75" hidden="false" customHeight="true" outlineLevel="0" collapsed="false">
      <c r="A33" s="9" t="s">
        <v>67</v>
      </c>
      <c r="B33" s="9" t="s">
        <v>68</v>
      </c>
      <c r="C33" s="10" t="n">
        <v>0.9</v>
      </c>
      <c r="D33" s="13"/>
      <c r="E33" s="8" t="s">
        <v>69</v>
      </c>
    </row>
    <row r="34" customFormat="false" ht="30" hidden="false" customHeight="true" outlineLevel="0" collapsed="false">
      <c r="A34" s="9" t="s">
        <v>70</v>
      </c>
      <c r="B34" s="9" t="s">
        <v>65</v>
      </c>
      <c r="C34" s="10" t="n">
        <v>4</v>
      </c>
      <c r="D34" s="13"/>
      <c r="E34" s="8" t="s">
        <v>71</v>
      </c>
    </row>
    <row r="35" customFormat="false" ht="18.75" hidden="false" customHeight="true" outlineLevel="0" collapsed="false"/>
  </sheetData>
  <mergeCells count="10">
    <mergeCell ref="A1:D1"/>
    <mergeCell ref="A7:D7"/>
    <mergeCell ref="A8:D8"/>
    <mergeCell ref="A10:A13"/>
    <mergeCell ref="D10:D13"/>
    <mergeCell ref="A14:D14"/>
    <mergeCell ref="A16:A18"/>
    <mergeCell ref="D16:D18"/>
    <mergeCell ref="A19:A21"/>
    <mergeCell ref="A29:C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304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0"/>
    <col collapsed="false" customWidth="true" hidden="false" outlineLevel="0" max="3" min="3" style="0" width="22"/>
    <col collapsed="false" customWidth="true" hidden="false" outlineLevel="0" max="4" min="4" style="0" width="21"/>
    <col collapsed="false" customWidth="true" hidden="false" outlineLevel="0" max="5" min="5" style="0" width="11"/>
    <col collapsed="false" customWidth="true" hidden="false" outlineLevel="0" max="6" min="6" style="0" width="12"/>
    <col collapsed="false" customWidth="true" hidden="false" outlineLevel="0" max="7" min="7" style="0" width="11"/>
    <col collapsed="false" customWidth="true" hidden="false" outlineLevel="0" max="8" min="8" style="0" width="14"/>
    <col collapsed="false" customWidth="true" hidden="false" outlineLevel="0" max="9" min="9" style="0" width="8"/>
    <col collapsed="false" customWidth="true" hidden="false" outlineLevel="0" max="10" min="10" style="0" width="50"/>
  </cols>
  <sheetData>
    <row r="1" customFormat="false" ht="15" hidden="false" customHeight="false" outlineLevel="0" collapsed="false">
      <c r="A1" s="0" t="s">
        <v>72</v>
      </c>
      <c r="B1" s="0" t="s">
        <v>73</v>
      </c>
      <c r="C1" s="0" t="s">
        <v>74</v>
      </c>
      <c r="D1" s="0" t="s">
        <v>75</v>
      </c>
      <c r="E1" s="0" t="s">
        <v>76</v>
      </c>
      <c r="F1" s="0" t="s">
        <v>77</v>
      </c>
      <c r="G1" s="0" t="s">
        <v>78</v>
      </c>
      <c r="H1" s="0" t="s">
        <v>79</v>
      </c>
      <c r="I1" s="0" t="s">
        <v>35</v>
      </c>
      <c r="J1" s="0" t="s">
        <v>80</v>
      </c>
    </row>
    <row r="2" customFormat="false" ht="15" hidden="false" customHeight="false" outlineLevel="0" collapsed="false">
      <c r="A2" s="0" t="n">
        <v>1</v>
      </c>
      <c r="B2" s="0" t="n">
        <v>30000</v>
      </c>
      <c r="C2" s="34" t="n">
        <v>0.0523</v>
      </c>
      <c r="D2" s="34" t="n">
        <v>0.1099</v>
      </c>
      <c r="E2" s="34" t="n">
        <v>0.1297</v>
      </c>
      <c r="F2" s="34" t="n">
        <v>0.2</v>
      </c>
      <c r="G2" s="0" t="n">
        <v>3270750</v>
      </c>
      <c r="H2" s="0" t="n">
        <v>7500</v>
      </c>
      <c r="I2" s="0" t="n">
        <v>2500</v>
      </c>
      <c r="J2" s="0" t="s">
        <v>81</v>
      </c>
    </row>
    <row r="3" customFormat="false" ht="15" hidden="false" customHeight="false" outlineLevel="0" collapsed="false">
      <c r="A3" s="0" t="n">
        <v>2</v>
      </c>
      <c r="B3" s="0" t="n">
        <v>28000</v>
      </c>
      <c r="C3" s="34" t="n">
        <v>0.0595</v>
      </c>
      <c r="D3" s="34" t="n">
        <v>0.1302</v>
      </c>
      <c r="E3" s="34" t="n">
        <v>0.1585</v>
      </c>
      <c r="F3" s="34" t="n">
        <v>0.2</v>
      </c>
      <c r="G3" s="0" t="n">
        <v>3052700</v>
      </c>
      <c r="H3" s="0" t="n">
        <v>7000</v>
      </c>
      <c r="I3" s="0" t="n">
        <v>2500</v>
      </c>
      <c r="J3" s="0" t="s">
        <v>82</v>
      </c>
    </row>
    <row r="4" customFormat="false" ht="15" hidden="false" customHeight="false" outlineLevel="0" collapsed="false">
      <c r="A4" s="0" t="n">
        <v>3</v>
      </c>
      <c r="B4" s="0" t="n">
        <v>26000</v>
      </c>
      <c r="C4" s="34" t="n">
        <v>0.0674</v>
      </c>
      <c r="D4" s="34" t="n">
        <v>0.1533</v>
      </c>
      <c r="E4" s="34" t="n">
        <v>0.1936</v>
      </c>
      <c r="F4" s="34" t="n">
        <v>0.2</v>
      </c>
      <c r="G4" s="0" t="n">
        <v>2834650</v>
      </c>
      <c r="H4" s="0" t="n">
        <v>6500</v>
      </c>
      <c r="I4" s="0" t="n">
        <v>2500</v>
      </c>
      <c r="J4" s="0" t="s">
        <v>83</v>
      </c>
    </row>
    <row r="5" customFormat="false" ht="15" hidden="false" customHeight="false" outlineLevel="0" collapsed="false">
      <c r="A5" s="0" t="n">
        <v>4</v>
      </c>
      <c r="B5" s="0" t="n">
        <v>24000</v>
      </c>
      <c r="C5" s="34" t="n">
        <v>0.0763</v>
      </c>
      <c r="D5" s="34" t="n">
        <v>0.1802</v>
      </c>
      <c r="E5" s="34" t="n">
        <v>0.2376</v>
      </c>
      <c r="F5" s="34" t="n">
        <v>0.2</v>
      </c>
      <c r="G5" s="0" t="n">
        <v>2616600</v>
      </c>
      <c r="H5" s="0" t="n">
        <v>6000</v>
      </c>
      <c r="I5" s="0" t="n">
        <v>2500</v>
      </c>
      <c r="J5" s="0" t="s">
        <v>84</v>
      </c>
    </row>
    <row r="6" customFormat="false" ht="15" hidden="false" customHeight="false" outlineLevel="0" collapsed="false">
      <c r="A6" s="0" t="n">
        <v>5</v>
      </c>
      <c r="B6" s="0" t="n">
        <v>22000</v>
      </c>
      <c r="C6" s="34" t="n">
        <v>0.0864</v>
      </c>
      <c r="D6" s="34" t="n">
        <v>0.2119</v>
      </c>
      <c r="E6" s="34" t="n">
        <v>0.2943</v>
      </c>
      <c r="F6" s="34" t="n">
        <v>0.2</v>
      </c>
      <c r="G6" s="0" t="n">
        <v>2398550</v>
      </c>
      <c r="H6" s="0" t="n">
        <v>5500</v>
      </c>
      <c r="I6" s="0" t="n">
        <v>2500</v>
      </c>
      <c r="J6" s="0" t="s">
        <v>85</v>
      </c>
    </row>
    <row r="7" customFormat="false" ht="15" hidden="false" customHeight="false" outlineLevel="0" collapsed="false">
      <c r="A7" s="0" t="n">
        <v>6</v>
      </c>
      <c r="B7" s="0" t="n">
        <v>20000</v>
      </c>
      <c r="C7" s="34" t="n">
        <v>0.098</v>
      </c>
      <c r="D7" s="34" t="n">
        <v>0.2498</v>
      </c>
      <c r="E7" s="34" t="n">
        <v>0.3704</v>
      </c>
      <c r="F7" s="34" t="n">
        <v>0.2</v>
      </c>
      <c r="G7" s="0" t="n">
        <v>2180500</v>
      </c>
      <c r="H7" s="0" t="n">
        <v>5000</v>
      </c>
      <c r="I7" s="0" t="n">
        <v>2500</v>
      </c>
      <c r="J7" s="0" t="s">
        <v>86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AJ10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304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4"/>
    <col collapsed="false" customWidth="true" hidden="false" outlineLevel="0" max="3" min="3" style="0" width="27"/>
    <col collapsed="false" customWidth="true" hidden="false" outlineLevel="0" max="5" min="4" style="0" width="37"/>
    <col collapsed="false" customWidth="true" hidden="false" outlineLevel="0" max="6" min="6" style="0" width="50"/>
    <col collapsed="false" customWidth="true" hidden="false" outlineLevel="0" max="12" min="7" style="0" width="37"/>
    <col collapsed="false" customWidth="true" hidden="false" outlineLevel="0" max="13" min="13" style="0" width="39"/>
    <col collapsed="false" customWidth="true" hidden="false" outlineLevel="0" max="23" min="14" style="0" width="37"/>
    <col collapsed="false" customWidth="true" hidden="false" outlineLevel="0" max="24" min="24" style="0" width="30"/>
    <col collapsed="false" customWidth="true" hidden="false" outlineLevel="0" max="27" min="25" style="0" width="10"/>
    <col collapsed="false" customWidth="true" hidden="false" outlineLevel="0" max="35" min="28" style="0" width="11"/>
    <col collapsed="false" customWidth="true" hidden="false" outlineLevel="0" max="36" min="36" style="0" width="8"/>
    <col collapsed="false" customWidth="true" hidden="false" outlineLevel="0" max="37" min="37" style="0" width="9.14"/>
  </cols>
  <sheetData>
    <row r="1" customFormat="false" ht="22.5" hidden="false" customHeight="true" outlineLevel="0" collapsed="false">
      <c r="B1" s="1" t="s">
        <v>87</v>
      </c>
      <c r="C1" s="35"/>
      <c r="D1" s="35"/>
      <c r="E1" s="36"/>
      <c r="F1" s="2" t="s">
        <v>1</v>
      </c>
      <c r="P1" s="3" t="n">
        <f aca="false">1-D11</f>
        <v>0.99</v>
      </c>
      <c r="Q1" s="3" t="n">
        <f aca="false">P1-$D12</f>
        <v>0.986</v>
      </c>
      <c r="R1" s="3" t="n">
        <f aca="false">Q1-$D12</f>
        <v>0.982</v>
      </c>
      <c r="S1" s="3" t="n">
        <f aca="false">R1-$D12</f>
        <v>0.978</v>
      </c>
      <c r="T1" s="3" t="n">
        <f aca="false">S1-$D12</f>
        <v>0.974</v>
      </c>
      <c r="U1" s="3" t="n">
        <f aca="false">T1-$D12</f>
        <v>0.97</v>
      </c>
      <c r="V1" s="3" t="n">
        <f aca="false">U1-$D12</f>
        <v>0.966</v>
      </c>
      <c r="W1" s="3" t="n">
        <f aca="false">V1-$D12</f>
        <v>0.962</v>
      </c>
      <c r="X1" s="3" t="n">
        <f aca="false">W1-$D12</f>
        <v>0.958</v>
      </c>
      <c r="Y1" s="3" t="n">
        <f aca="false">X1-$D12</f>
        <v>0.954</v>
      </c>
      <c r="Z1" s="3" t="n">
        <f aca="false">Y1-$D12</f>
        <v>0.95</v>
      </c>
      <c r="AA1" s="3" t="n">
        <f aca="false">Z1-$D12</f>
        <v>0.946</v>
      </c>
      <c r="AB1" s="3" t="n">
        <f aca="false">AA1-$D12</f>
        <v>0.942</v>
      </c>
      <c r="AC1" s="3" t="n">
        <f aca="false">AB1-$D12</f>
        <v>0.938</v>
      </c>
      <c r="AD1" s="3" t="n">
        <f aca="false">AC1-$D12</f>
        <v>0.934</v>
      </c>
      <c r="AE1" s="3" t="n">
        <f aca="false">AD1-$D12</f>
        <v>0.93</v>
      </c>
      <c r="AF1" s="3" t="n">
        <f aca="false">AE1-$D12</f>
        <v>0.926</v>
      </c>
      <c r="AG1" s="3" t="n">
        <f aca="false">AF1-$D12</f>
        <v>0.922</v>
      </c>
      <c r="AH1" s="3" t="n">
        <f aca="false">AG1-$D12</f>
        <v>0.918</v>
      </c>
      <c r="AI1" s="3" t="n">
        <f aca="false">AH1-$D12</f>
        <v>0.914</v>
      </c>
    </row>
    <row r="2" customFormat="false" ht="21.75" hidden="false" customHeight="true" outlineLevel="0" collapsed="false">
      <c r="B2" s="37" t="s">
        <v>2</v>
      </c>
      <c r="C2" s="38" t="s">
        <v>3</v>
      </c>
      <c r="D2" s="6" t="s">
        <v>4</v>
      </c>
      <c r="E2" s="7" t="s">
        <v>4</v>
      </c>
      <c r="F2" s="39" t="s">
        <v>5</v>
      </c>
    </row>
    <row r="3" customFormat="false" ht="21.75" hidden="false" customHeight="true" outlineLevel="0" collapsed="false">
      <c r="B3" s="40" t="s">
        <v>6</v>
      </c>
      <c r="C3" s="41" t="n">
        <v>20</v>
      </c>
      <c r="D3" s="11" t="s">
        <v>4</v>
      </c>
      <c r="E3" s="12" t="s">
        <v>4</v>
      </c>
      <c r="F3" s="8" t="s">
        <v>88</v>
      </c>
    </row>
    <row r="4" customFormat="false" ht="21.75" hidden="false" customHeight="true" outlineLevel="0" collapsed="false">
      <c r="B4" s="40" t="s">
        <v>89</v>
      </c>
      <c r="C4" s="41" t="n">
        <v>436.1</v>
      </c>
      <c r="D4" s="11" t="s">
        <v>4</v>
      </c>
      <c r="E4" s="12" t="s">
        <v>4</v>
      </c>
      <c r="F4" s="8" t="s">
        <v>90</v>
      </c>
      <c r="M4" s="0" t="s">
        <v>91</v>
      </c>
    </row>
    <row r="5" customFormat="false" ht="22.5" hidden="false" customHeight="true" outlineLevel="0" collapsed="false">
      <c r="B5" s="42" t="s">
        <v>10</v>
      </c>
      <c r="C5" s="41" t="n">
        <v>2020</v>
      </c>
      <c r="D5" s="42" t="s">
        <v>11</v>
      </c>
      <c r="E5" s="43" t="n">
        <v>2039</v>
      </c>
      <c r="F5" s="8" t="s">
        <v>92</v>
      </c>
      <c r="M5" s="0" t="s">
        <v>93</v>
      </c>
    </row>
    <row r="6" customFormat="false" ht="20.25" hidden="false" customHeight="true" outlineLevel="0" collapsed="false">
      <c r="B6" s="13"/>
      <c r="C6" s="13"/>
      <c r="D6" s="13"/>
      <c r="E6" s="13"/>
      <c r="M6" s="0" t="s">
        <v>94</v>
      </c>
    </row>
    <row r="7" customFormat="false" ht="22.5" hidden="false" customHeight="true" outlineLevel="0" collapsed="false">
      <c r="B7" s="1" t="s">
        <v>95</v>
      </c>
      <c r="C7" s="35"/>
      <c r="D7" s="35"/>
      <c r="E7" s="36"/>
      <c r="M7" s="0" t="s">
        <v>96</v>
      </c>
    </row>
    <row r="8" customFormat="false" ht="22.5" hidden="false" customHeight="true" outlineLevel="0" collapsed="false">
      <c r="B8" s="15" t="s">
        <v>14</v>
      </c>
      <c r="E8" s="44"/>
      <c r="M8" s="0" t="s">
        <v>97</v>
      </c>
    </row>
    <row r="9" customFormat="false" ht="22.5" hidden="false" customHeight="true" outlineLevel="0" collapsed="false">
      <c r="B9" s="45" t="s">
        <v>15</v>
      </c>
      <c r="C9" s="46" t="s">
        <v>16</v>
      </c>
      <c r="D9" s="46" t="s">
        <v>17</v>
      </c>
      <c r="E9" s="47" t="s">
        <v>18</v>
      </c>
      <c r="F9" s="2" t="s">
        <v>1</v>
      </c>
      <c r="M9" s="0" t="s">
        <v>98</v>
      </c>
    </row>
    <row r="10" customFormat="false" ht="30" hidden="false" customHeight="true" outlineLevel="0" collapsed="false">
      <c r="B10" s="48" t="s">
        <v>19</v>
      </c>
      <c r="C10" s="49" t="s">
        <v>99</v>
      </c>
      <c r="D10" s="50" t="n">
        <v>547002</v>
      </c>
      <c r="E10" s="21" t="n">
        <v>20</v>
      </c>
      <c r="F10" s="8" t="s">
        <v>100</v>
      </c>
      <c r="M10" s="0" t="s">
        <v>101</v>
      </c>
    </row>
    <row r="11" customFormat="false" ht="30" hidden="false" customHeight="true" outlineLevel="0" collapsed="false">
      <c r="B11" s="51"/>
      <c r="C11" s="42" t="s">
        <v>22</v>
      </c>
      <c r="D11" s="52" t="n">
        <v>0.01</v>
      </c>
      <c r="E11" s="53"/>
      <c r="F11" s="8" t="s">
        <v>102</v>
      </c>
    </row>
    <row r="12" customFormat="false" ht="30" hidden="false" customHeight="true" outlineLevel="0" collapsed="false">
      <c r="B12" s="51"/>
      <c r="C12" s="42" t="s">
        <v>24</v>
      </c>
      <c r="D12" s="54" t="n">
        <v>0.004</v>
      </c>
      <c r="E12" s="53"/>
      <c r="F12" s="8" t="s">
        <v>103</v>
      </c>
    </row>
    <row r="13" customFormat="false" ht="22.5" hidden="false" customHeight="true" outlineLevel="0" collapsed="false">
      <c r="B13" s="51"/>
      <c r="C13" s="55" t="s">
        <v>104</v>
      </c>
      <c r="D13" s="56" t="n">
        <v>4</v>
      </c>
      <c r="E13" s="53"/>
      <c r="F13" s="8" t="s">
        <v>105</v>
      </c>
    </row>
    <row r="14" customFormat="false" ht="22.5" hidden="false" customHeight="true" outlineLevel="0" collapsed="false">
      <c r="B14" s="26" t="s">
        <v>106</v>
      </c>
      <c r="C14" s="35"/>
      <c r="D14" s="35"/>
      <c r="E14" s="36"/>
    </row>
    <row r="15" customFormat="false" ht="22.5" hidden="false" customHeight="true" outlineLevel="0" collapsed="false">
      <c r="B15" s="45" t="s">
        <v>15</v>
      </c>
      <c r="C15" s="46" t="s">
        <v>16</v>
      </c>
      <c r="D15" s="46" t="s">
        <v>17</v>
      </c>
      <c r="E15" s="47" t="s">
        <v>29</v>
      </c>
      <c r="F15" s="2" t="s">
        <v>1</v>
      </c>
    </row>
    <row r="16" customFormat="false" ht="21.75" hidden="false" customHeight="true" outlineLevel="0" collapsed="false">
      <c r="B16" s="49" t="s">
        <v>107</v>
      </c>
      <c r="C16" s="49" t="s">
        <v>108</v>
      </c>
      <c r="D16" s="57" t="n">
        <v>30000</v>
      </c>
      <c r="E16" s="7" t="n">
        <v>20</v>
      </c>
      <c r="F16" s="8" t="s">
        <v>109</v>
      </c>
    </row>
    <row r="17" customFormat="false" ht="21.75" hidden="false" customHeight="true" outlineLevel="0" collapsed="false">
      <c r="B17" s="51"/>
      <c r="C17" s="42" t="s">
        <v>110</v>
      </c>
      <c r="D17" s="58" t="n">
        <v>0.2</v>
      </c>
      <c r="E17" s="53"/>
      <c r="F17" s="8" t="s">
        <v>111</v>
      </c>
    </row>
    <row r="18" customFormat="false" ht="21.75" hidden="false" customHeight="true" outlineLevel="0" collapsed="false">
      <c r="B18" s="59"/>
      <c r="C18" s="42" t="s">
        <v>35</v>
      </c>
      <c r="D18" s="60" t="n">
        <v>2500</v>
      </c>
      <c r="E18" s="61"/>
      <c r="F18" s="8" t="s">
        <v>112</v>
      </c>
    </row>
    <row r="19" customFormat="false" ht="54" hidden="false" customHeight="true" outlineLevel="0" collapsed="false">
      <c r="B19" s="42" t="s">
        <v>37</v>
      </c>
      <c r="C19" s="62" t="s">
        <v>38</v>
      </c>
      <c r="D19" s="58" t="n">
        <v>1</v>
      </c>
      <c r="E19" s="7" t="n">
        <v>20</v>
      </c>
      <c r="F19" s="8" t="s">
        <v>113</v>
      </c>
    </row>
    <row r="20" customFormat="false" ht="20.25" hidden="false" customHeight="true" outlineLevel="0" collapsed="false">
      <c r="B20" s="51"/>
      <c r="C20" s="63" t="s">
        <v>114</v>
      </c>
      <c r="D20" s="60" t="n">
        <v>290201</v>
      </c>
      <c r="E20" s="7" t="n">
        <v>20</v>
      </c>
      <c r="F20" s="8" t="s">
        <v>115</v>
      </c>
    </row>
    <row r="21" customFormat="false" ht="30" hidden="false" customHeight="true" outlineLevel="0" collapsed="false">
      <c r="B21" s="59"/>
      <c r="C21" s="42" t="s">
        <v>116</v>
      </c>
      <c r="D21" s="58" t="n">
        <v>0</v>
      </c>
      <c r="E21" s="12" t="n">
        <v>20</v>
      </c>
      <c r="F21" s="8" t="s">
        <v>117</v>
      </c>
    </row>
    <row r="22" customFormat="false" ht="30" hidden="false" customHeight="true" outlineLevel="0" collapsed="false">
      <c r="B22" s="42" t="s">
        <v>44</v>
      </c>
      <c r="C22" s="42" t="s">
        <v>118</v>
      </c>
      <c r="D22" s="64" t="n">
        <v>400</v>
      </c>
      <c r="E22" s="12" t="n">
        <v>20</v>
      </c>
      <c r="F22" s="8" t="s">
        <v>119</v>
      </c>
    </row>
    <row r="23" customFormat="false" ht="30" hidden="false" customHeight="true" outlineLevel="0" collapsed="false">
      <c r="B23" s="42" t="s">
        <v>47</v>
      </c>
      <c r="C23" s="42" t="s">
        <v>48</v>
      </c>
      <c r="D23" s="58" t="n">
        <v>0.003</v>
      </c>
      <c r="E23" s="12" t="n">
        <v>20</v>
      </c>
      <c r="F23" s="8" t="s">
        <v>120</v>
      </c>
    </row>
    <row r="24" customFormat="false" ht="30" hidden="false" customHeight="true" outlineLevel="0" collapsed="false">
      <c r="B24" s="42" t="s">
        <v>50</v>
      </c>
      <c r="C24" s="42" t="s">
        <v>121</v>
      </c>
      <c r="D24" s="64" t="n">
        <v>1000</v>
      </c>
      <c r="E24" s="31" t="n">
        <v>10</v>
      </c>
      <c r="F24" s="8" t="s">
        <v>122</v>
      </c>
    </row>
    <row r="25" customFormat="false" ht="30" hidden="false" customHeight="true" outlineLevel="0" collapsed="false">
      <c r="B25" s="42" t="s">
        <v>53</v>
      </c>
      <c r="C25" s="42" t="s">
        <v>54</v>
      </c>
      <c r="D25" s="65" t="n">
        <v>0.0256</v>
      </c>
      <c r="E25" s="12" t="n">
        <v>20</v>
      </c>
      <c r="F25" s="8" t="s">
        <v>123</v>
      </c>
    </row>
    <row r="26" customFormat="false" ht="30" hidden="false" customHeight="true" outlineLevel="0" collapsed="false">
      <c r="B26" s="42" t="s">
        <v>56</v>
      </c>
      <c r="C26" s="42" t="s">
        <v>57</v>
      </c>
      <c r="D26" s="58" t="n">
        <v>0.2</v>
      </c>
      <c r="E26" s="12" t="n">
        <v>20</v>
      </c>
      <c r="F26" s="8" t="s">
        <v>124</v>
      </c>
    </row>
    <row r="27" customFormat="false" ht="20.25" hidden="false" customHeight="true" outlineLevel="0" collapsed="false">
      <c r="B27" s="13"/>
      <c r="C27" s="13"/>
      <c r="D27" s="13"/>
      <c r="E27" s="13"/>
    </row>
    <row r="28" customFormat="false" ht="20.25" hidden="false" customHeight="true" outlineLevel="0" collapsed="false">
      <c r="B28" s="13"/>
      <c r="C28" s="13"/>
      <c r="D28" s="13"/>
      <c r="E28" s="13"/>
    </row>
    <row r="29" customFormat="false" ht="22.5" hidden="false" customHeight="true" outlineLevel="0" collapsed="false">
      <c r="B29" s="1" t="s">
        <v>125</v>
      </c>
      <c r="C29" s="35"/>
      <c r="D29" s="36"/>
      <c r="E29" s="13"/>
    </row>
    <row r="30" customFormat="false" ht="22.5" hidden="false" customHeight="true" outlineLevel="0" collapsed="false">
      <c r="B30" s="45" t="s">
        <v>60</v>
      </c>
      <c r="C30" s="66" t="s">
        <v>16</v>
      </c>
      <c r="D30" s="67" t="s">
        <v>17</v>
      </c>
      <c r="E30" s="13"/>
      <c r="F30" s="2" t="s">
        <v>1</v>
      </c>
    </row>
    <row r="31" customFormat="false" ht="30" hidden="false" customHeight="true" outlineLevel="0" collapsed="false">
      <c r="B31" s="49" t="s">
        <v>61</v>
      </c>
      <c r="C31" s="37" t="s">
        <v>62</v>
      </c>
      <c r="D31" s="68" t="n">
        <v>0.8</v>
      </c>
      <c r="E31" s="13"/>
      <c r="F31" s="8" t="s">
        <v>126</v>
      </c>
    </row>
    <row r="32" customFormat="false" ht="18.75" hidden="false" customHeight="true" outlineLevel="0" collapsed="false">
      <c r="B32" s="49" t="s">
        <v>64</v>
      </c>
      <c r="C32" s="37" t="s">
        <v>65</v>
      </c>
      <c r="D32" s="68" t="n">
        <v>15</v>
      </c>
      <c r="E32" s="13"/>
      <c r="F32" s="8" t="s">
        <v>127</v>
      </c>
    </row>
    <row r="33" customFormat="false" ht="18.75" hidden="false" customHeight="true" outlineLevel="0" collapsed="false">
      <c r="B33" s="42" t="s">
        <v>67</v>
      </c>
      <c r="C33" s="40" t="s">
        <v>68</v>
      </c>
      <c r="D33" s="58" t="n">
        <v>0.9</v>
      </c>
      <c r="E33" s="13"/>
      <c r="F33" s="8" t="s">
        <v>128</v>
      </c>
    </row>
    <row r="34" customFormat="false" ht="30" hidden="false" customHeight="true" outlineLevel="0" collapsed="false">
      <c r="B34" s="42" t="s">
        <v>70</v>
      </c>
      <c r="C34" s="40" t="s">
        <v>65</v>
      </c>
      <c r="D34" s="58" t="n">
        <v>4</v>
      </c>
      <c r="E34" s="13"/>
      <c r="F34" s="8" t="s">
        <v>129</v>
      </c>
    </row>
    <row r="35" customFormat="false" ht="18.75" hidden="false" customHeight="true" outlineLevel="0" collapsed="false"/>
    <row r="36" customFormat="false" ht="18.75" hidden="false" customHeight="true" outlineLevel="0" collapsed="false"/>
    <row r="37" customFormat="false" ht="18.75" hidden="false" customHeight="true" outlineLevel="0" collapsed="false">
      <c r="B37" s="69"/>
      <c r="C37" s="70" t="s">
        <v>130</v>
      </c>
      <c r="D37" s="70" t="n">
        <v>2020</v>
      </c>
      <c r="E37" s="70" t="n">
        <v>2021</v>
      </c>
      <c r="F37" s="70" t="n">
        <v>2022</v>
      </c>
      <c r="G37" s="70" t="n">
        <v>2023</v>
      </c>
      <c r="H37" s="70" t="n">
        <v>2024</v>
      </c>
      <c r="I37" s="70" t="n">
        <v>2025</v>
      </c>
      <c r="J37" s="70" t="n">
        <v>2026</v>
      </c>
      <c r="K37" s="70" t="n">
        <v>2027</v>
      </c>
      <c r="L37" s="70" t="n">
        <v>2028</v>
      </c>
      <c r="M37" s="70" t="n">
        <v>2029</v>
      </c>
      <c r="N37" s="70" t="n">
        <v>2030</v>
      </c>
      <c r="O37" s="70" t="n">
        <v>2031</v>
      </c>
      <c r="P37" s="70" t="n">
        <v>2032</v>
      </c>
      <c r="Q37" s="70" t="n">
        <v>2033</v>
      </c>
      <c r="R37" s="70" t="n">
        <v>2034</v>
      </c>
      <c r="S37" s="70" t="n">
        <v>2035</v>
      </c>
      <c r="T37" s="70" t="n">
        <v>2036</v>
      </c>
      <c r="U37" s="70" t="n">
        <v>2037</v>
      </c>
      <c r="V37" s="70" t="n">
        <v>2038</v>
      </c>
      <c r="W37" s="70" t="n">
        <v>2039</v>
      </c>
      <c r="X37" s="70"/>
    </row>
    <row r="38" customFormat="false" ht="18.75" hidden="false" customHeight="true" outlineLevel="0" collapsed="false">
      <c r="B38" s="71" t="n">
        <v>0</v>
      </c>
      <c r="C38" s="72"/>
      <c r="D38" s="73"/>
      <c r="E38" s="73"/>
      <c r="F38" s="74"/>
      <c r="G38" s="75"/>
      <c r="H38" s="75"/>
      <c r="I38" s="75"/>
      <c r="J38" s="75"/>
      <c r="K38" s="75"/>
      <c r="L38" s="75"/>
      <c r="M38" s="75"/>
      <c r="N38" s="75"/>
      <c r="O38" s="75"/>
      <c r="P38" s="75"/>
      <c r="Q38" s="75"/>
      <c r="R38" s="75"/>
      <c r="S38" s="75"/>
      <c r="T38" s="76"/>
      <c r="U38" s="75"/>
      <c r="V38" s="75"/>
      <c r="W38" s="75"/>
      <c r="X38" s="77"/>
    </row>
    <row r="39" customFormat="false" ht="18.75" hidden="false" customHeight="true" outlineLevel="0" collapsed="false">
      <c r="B39" s="78" t="s">
        <v>131</v>
      </c>
      <c r="C39" s="79" t="n">
        <v>0</v>
      </c>
      <c r="D39" s="80" t="n">
        <v>1</v>
      </c>
      <c r="E39" s="80" t="n">
        <v>2</v>
      </c>
      <c r="F39" s="80" t="n">
        <v>3</v>
      </c>
      <c r="G39" s="80" t="n">
        <v>4</v>
      </c>
      <c r="H39" s="80" t="n">
        <v>5</v>
      </c>
      <c r="I39" s="80" t="n">
        <v>6</v>
      </c>
      <c r="J39" s="80" t="n">
        <v>7</v>
      </c>
      <c r="K39" s="80" t="n">
        <v>8</v>
      </c>
      <c r="L39" s="80" t="n">
        <v>9</v>
      </c>
      <c r="M39" s="80" t="n">
        <v>10</v>
      </c>
      <c r="N39" s="80" t="n">
        <v>11</v>
      </c>
      <c r="O39" s="80" t="n">
        <v>12</v>
      </c>
      <c r="P39" s="80" t="n">
        <v>13</v>
      </c>
      <c r="Q39" s="80" t="n">
        <v>14</v>
      </c>
      <c r="R39" s="80" t="n">
        <v>15</v>
      </c>
      <c r="S39" s="80" t="n">
        <v>16</v>
      </c>
      <c r="T39" s="81" t="n">
        <v>17</v>
      </c>
      <c r="U39" s="80" t="n">
        <v>18</v>
      </c>
      <c r="V39" s="80" t="n">
        <v>19</v>
      </c>
      <c r="W39" s="80" t="n">
        <v>20</v>
      </c>
      <c r="X39" s="82"/>
    </row>
    <row r="40" customFormat="false" ht="18.75" hidden="false" customHeight="true" outlineLevel="0" collapsed="false">
      <c r="B40" s="83" t="s">
        <v>132</v>
      </c>
      <c r="C40" s="84" t="n">
        <v>0</v>
      </c>
      <c r="D40" s="85" t="n">
        <f aca="false">$D$10*P1</f>
        <v>541531.98</v>
      </c>
      <c r="E40" s="85" t="n">
        <f aca="false">$D$10*Q1</f>
        <v>539343.972</v>
      </c>
      <c r="F40" s="85" t="n">
        <f aca="false">$D$10*R1</f>
        <v>537155.964</v>
      </c>
      <c r="G40" s="85" t="n">
        <f aca="false">$D$10*S1</f>
        <v>534967.956</v>
      </c>
      <c r="H40" s="85" t="n">
        <f aca="false">$D$10*T1</f>
        <v>532779.948</v>
      </c>
      <c r="I40" s="85" t="n">
        <f aca="false">$D$10*U1</f>
        <v>530591.94</v>
      </c>
      <c r="J40" s="85" t="n">
        <f aca="false">$D$10*V1</f>
        <v>528403.932</v>
      </c>
      <c r="K40" s="85" t="n">
        <f aca="false">$D$10*W1</f>
        <v>526215.924</v>
      </c>
      <c r="L40" s="85" t="n">
        <f aca="false">$D$10*X1</f>
        <v>524027.916</v>
      </c>
      <c r="M40" s="85" t="n">
        <f aca="false">$D$10*Y1</f>
        <v>521839.908</v>
      </c>
      <c r="N40" s="85" t="n">
        <f aca="false">$D$10*Z1</f>
        <v>519651.9</v>
      </c>
      <c r="O40" s="85" t="n">
        <f aca="false">$D$10*AA1</f>
        <v>517463.892</v>
      </c>
      <c r="P40" s="85" t="n">
        <f aca="false">$D$10*AB1</f>
        <v>515275.884</v>
      </c>
      <c r="Q40" s="85" t="n">
        <f aca="false">$D$10*AC1</f>
        <v>513087.876</v>
      </c>
      <c r="R40" s="85" t="n">
        <f aca="false">$D$10*AD1</f>
        <v>510899.868</v>
      </c>
      <c r="S40" s="85" t="n">
        <f aca="false">$D$10*AE1</f>
        <v>508711.86</v>
      </c>
      <c r="T40" s="85" t="n">
        <f aca="false">$D$10*AF1</f>
        <v>506523.852</v>
      </c>
      <c r="U40" s="85" t="n">
        <f aca="false">$D$10*AG1</f>
        <v>504335.844</v>
      </c>
      <c r="V40" s="85" t="n">
        <f aca="false">$D$10*AH1</f>
        <v>502147.836</v>
      </c>
      <c r="W40" s="85" t="n">
        <f aca="false">$D$10*AI1</f>
        <v>499959.828</v>
      </c>
      <c r="X40" s="86"/>
    </row>
    <row r="41" customFormat="false" ht="18.75" hidden="false" customHeight="true" outlineLevel="0" collapsed="false">
      <c r="B41" s="87" t="s">
        <v>133</v>
      </c>
      <c r="C41" s="88" t="s">
        <v>4</v>
      </c>
      <c r="D41" s="89" t="n">
        <f aca="false">D40*$D$13</f>
        <v>2166127.92</v>
      </c>
      <c r="E41" s="89" t="n">
        <f aca="false">E40*$D$13</f>
        <v>2157375.888</v>
      </c>
      <c r="F41" s="89" t="n">
        <f aca="false">F40*$D$13</f>
        <v>2148623.856</v>
      </c>
      <c r="G41" s="89" t="n">
        <f aca="false">G40*$D$13</f>
        <v>2139871.824</v>
      </c>
      <c r="H41" s="89" t="n">
        <f aca="false">H40*$D$13</f>
        <v>2131119.792</v>
      </c>
      <c r="I41" s="89" t="n">
        <f aca="false">I40*$D$13</f>
        <v>2122367.76</v>
      </c>
      <c r="J41" s="89" t="n">
        <f aca="false">J40*$D$13</f>
        <v>2113615.728</v>
      </c>
      <c r="K41" s="89" t="n">
        <f aca="false">K40*$D$13</f>
        <v>2104863.696</v>
      </c>
      <c r="L41" s="89" t="n">
        <f aca="false">L40*$D$13</f>
        <v>2096111.664</v>
      </c>
      <c r="M41" s="89" t="n">
        <f aca="false">M40*$D$13</f>
        <v>2087359.632</v>
      </c>
      <c r="N41" s="89" t="n">
        <f aca="false">N40*$D$13</f>
        <v>2078607.6</v>
      </c>
      <c r="O41" s="89" t="n">
        <f aca="false">O40*$D$13</f>
        <v>2069855.568</v>
      </c>
      <c r="P41" s="89" t="n">
        <f aca="false">P40*$D$13</f>
        <v>2061103.536</v>
      </c>
      <c r="Q41" s="89" t="n">
        <f aca="false">Q40*$D$13</f>
        <v>2052351.504</v>
      </c>
      <c r="R41" s="89" t="n">
        <f aca="false">R40*$D$13</f>
        <v>2043599.472</v>
      </c>
      <c r="S41" s="89" t="n">
        <f aca="false">S40*$D$13</f>
        <v>2034847.44</v>
      </c>
      <c r="T41" s="89" t="n">
        <f aca="false">T40*$D$13</f>
        <v>2026095.408</v>
      </c>
      <c r="U41" s="89" t="n">
        <f aca="false">U40*$D$13</f>
        <v>2017343.376</v>
      </c>
      <c r="V41" s="89" t="n">
        <f aca="false">V40*$D$13</f>
        <v>2008591.344</v>
      </c>
      <c r="W41" s="89" t="n">
        <f aca="false">W40*$D$13</f>
        <v>1999839.312</v>
      </c>
      <c r="X41" s="90"/>
    </row>
    <row r="42" customFormat="false" ht="18.75" hidden="false" customHeight="true" outlineLevel="0" collapsed="false">
      <c r="B42" s="91" t="s">
        <v>134</v>
      </c>
      <c r="C42" s="92" t="s">
        <v>4</v>
      </c>
      <c r="D42" s="93"/>
      <c r="E42" s="93"/>
      <c r="F42" s="93"/>
      <c r="G42" s="94" t="s">
        <v>4</v>
      </c>
      <c r="H42" s="94" t="s">
        <v>4</v>
      </c>
      <c r="I42" s="94" t="s">
        <v>4</v>
      </c>
      <c r="J42" s="94" t="s">
        <v>4</v>
      </c>
      <c r="K42" s="94" t="s">
        <v>4</v>
      </c>
      <c r="L42" s="94" t="s">
        <v>4</v>
      </c>
      <c r="M42" s="94" t="s">
        <v>4</v>
      </c>
      <c r="N42" s="94" t="s">
        <v>4</v>
      </c>
      <c r="O42" s="94" t="s">
        <v>4</v>
      </c>
      <c r="P42" s="94" t="s">
        <v>4</v>
      </c>
      <c r="Q42" s="94" t="s">
        <v>4</v>
      </c>
      <c r="R42" s="94" t="s">
        <v>4</v>
      </c>
      <c r="S42" s="94" t="s">
        <v>4</v>
      </c>
      <c r="T42" s="94" t="s">
        <v>4</v>
      </c>
      <c r="U42" s="94" t="s">
        <v>4</v>
      </c>
      <c r="V42" s="94" t="s">
        <v>4</v>
      </c>
      <c r="W42" s="94" t="s">
        <v>4</v>
      </c>
      <c r="X42" s="95"/>
    </row>
    <row r="43" customFormat="false" ht="18.75" hidden="false" customHeight="true" outlineLevel="0" collapsed="false">
      <c r="B43" s="96" t="s">
        <v>135</v>
      </c>
      <c r="C43" s="97"/>
      <c r="D43" s="98"/>
      <c r="E43" s="98"/>
      <c r="F43" s="98"/>
      <c r="G43" s="98"/>
      <c r="H43" s="98"/>
      <c r="I43" s="98"/>
      <c r="J43" s="98"/>
      <c r="K43" s="98"/>
      <c r="L43" s="98"/>
      <c r="M43" s="98"/>
      <c r="N43" s="98"/>
      <c r="O43" s="98"/>
      <c r="P43" s="98"/>
      <c r="Q43" s="98"/>
      <c r="R43" s="98"/>
      <c r="S43" s="98"/>
      <c r="T43" s="98"/>
      <c r="U43" s="98"/>
      <c r="V43" s="98"/>
      <c r="W43" s="98"/>
      <c r="X43" s="99"/>
    </row>
    <row r="44" customFormat="false" ht="18.75" hidden="false" customHeight="true" outlineLevel="0" collapsed="false">
      <c r="B44" s="100" t="s">
        <v>136</v>
      </c>
      <c r="C44" s="101" t="n">
        <f aca="false">-(D16/(1-D17)+D18)*C4</f>
        <v>-17444000</v>
      </c>
      <c r="D44" s="102"/>
      <c r="E44" s="102"/>
      <c r="F44" s="102"/>
      <c r="G44" s="102"/>
      <c r="H44" s="102"/>
      <c r="I44" s="102"/>
      <c r="J44" s="102"/>
      <c r="K44" s="102"/>
      <c r="L44" s="102"/>
      <c r="M44" s="102"/>
      <c r="N44" s="102"/>
      <c r="O44" s="102"/>
      <c r="P44" s="102"/>
      <c r="Q44" s="102"/>
      <c r="R44" s="102"/>
      <c r="S44" s="102"/>
      <c r="T44" s="102"/>
      <c r="U44" s="102"/>
      <c r="V44" s="102"/>
      <c r="W44" s="102"/>
      <c r="X44" s="102"/>
    </row>
    <row r="45" customFormat="false" ht="18.75" hidden="false" customHeight="true" outlineLevel="0" collapsed="false">
      <c r="B45" s="100" t="s">
        <v>137</v>
      </c>
      <c r="C45" s="92" t="s">
        <v>4</v>
      </c>
      <c r="D45" s="102" t="n">
        <v>-290201</v>
      </c>
      <c r="E45" s="102" t="n">
        <v>-290201</v>
      </c>
      <c r="F45" s="102" t="n">
        <v>-290201</v>
      </c>
      <c r="G45" s="102" t="n">
        <v>-290201</v>
      </c>
      <c r="H45" s="102" t="n">
        <v>-290201</v>
      </c>
      <c r="I45" s="102" t="n">
        <v>-290201</v>
      </c>
      <c r="J45" s="102" t="n">
        <v>-290201</v>
      </c>
      <c r="K45" s="102" t="n">
        <v>-290201</v>
      </c>
      <c r="L45" s="102" t="n">
        <v>-290201</v>
      </c>
      <c r="M45" s="102" t="n">
        <v>-290201</v>
      </c>
      <c r="N45" s="102" t="n">
        <v>-290201</v>
      </c>
      <c r="O45" s="102" t="n">
        <v>-290201</v>
      </c>
      <c r="P45" s="102" t="n">
        <v>-290201</v>
      </c>
      <c r="Q45" s="102" t="n">
        <v>-290201</v>
      </c>
      <c r="R45" s="102" t="n">
        <v>-290201</v>
      </c>
      <c r="S45" s="102" t="n">
        <v>-290201</v>
      </c>
      <c r="T45" s="102" t="n">
        <v>-290201</v>
      </c>
      <c r="U45" s="102" t="n">
        <v>-290201</v>
      </c>
      <c r="V45" s="102" t="n">
        <v>-290201</v>
      </c>
      <c r="W45" s="102" t="n">
        <v>-290201</v>
      </c>
      <c r="X45" s="102"/>
    </row>
    <row r="46" customFormat="false" ht="18.75" hidden="false" customHeight="true" outlineLevel="0" collapsed="false">
      <c r="B46" s="100" t="s">
        <v>138</v>
      </c>
      <c r="C46" s="92"/>
      <c r="D46" s="102"/>
      <c r="E46" s="102"/>
      <c r="F46" s="102"/>
      <c r="G46" s="102"/>
      <c r="H46" s="102"/>
      <c r="I46" s="102"/>
      <c r="J46" s="102"/>
      <c r="K46" s="102"/>
      <c r="L46" s="102"/>
      <c r="M46" s="102"/>
      <c r="N46" s="102"/>
      <c r="O46" s="102"/>
      <c r="P46" s="102"/>
      <c r="Q46" s="102"/>
      <c r="R46" s="102"/>
      <c r="S46" s="102"/>
      <c r="T46" s="102"/>
      <c r="U46" s="102"/>
      <c r="V46" s="102"/>
      <c r="W46" s="102"/>
      <c r="X46" s="102"/>
    </row>
    <row r="47" customFormat="false" ht="18.75" hidden="false" customHeight="true" outlineLevel="0" collapsed="false">
      <c r="B47" s="100" t="s">
        <v>139</v>
      </c>
      <c r="C47" s="92" t="s">
        <v>4</v>
      </c>
      <c r="D47" s="102"/>
      <c r="E47" s="102"/>
      <c r="F47" s="102"/>
      <c r="G47" s="102"/>
      <c r="H47" s="102"/>
      <c r="I47" s="102"/>
      <c r="J47" s="102"/>
      <c r="K47" s="102"/>
      <c r="L47" s="102"/>
      <c r="M47" s="102"/>
      <c r="N47" s="102"/>
      <c r="O47" s="102"/>
      <c r="P47" s="102"/>
      <c r="Q47" s="102"/>
      <c r="R47" s="102"/>
      <c r="S47" s="102"/>
      <c r="T47" s="102"/>
      <c r="U47" s="102"/>
      <c r="V47" s="102"/>
      <c r="W47" s="102"/>
      <c r="X47" s="102"/>
    </row>
    <row r="48" customFormat="false" ht="18.75" hidden="false" customHeight="true" outlineLevel="0" collapsed="false">
      <c r="B48" s="100" t="s">
        <v>140</v>
      </c>
      <c r="C48" s="92" t="s">
        <v>4</v>
      </c>
      <c r="D48" s="102" t="n">
        <v>-174440</v>
      </c>
      <c r="E48" s="102" t="n">
        <v>-174440</v>
      </c>
      <c r="F48" s="102" t="n">
        <v>-174440</v>
      </c>
      <c r="G48" s="102" t="n">
        <v>-174440</v>
      </c>
      <c r="H48" s="102" t="n">
        <v>-174440</v>
      </c>
      <c r="I48" s="102" t="n">
        <v>-174440</v>
      </c>
      <c r="J48" s="102" t="n">
        <v>-174440</v>
      </c>
      <c r="K48" s="102" t="n">
        <v>-174440</v>
      </c>
      <c r="L48" s="102" t="n">
        <v>-174440</v>
      </c>
      <c r="M48" s="102" t="n">
        <v>-174440</v>
      </c>
      <c r="N48" s="102" t="n">
        <v>-174440</v>
      </c>
      <c r="O48" s="102" t="n">
        <v>-174440</v>
      </c>
      <c r="P48" s="102" t="n">
        <v>-174440</v>
      </c>
      <c r="Q48" s="102" t="n">
        <v>-174440</v>
      </c>
      <c r="R48" s="102" t="n">
        <v>-174440</v>
      </c>
      <c r="S48" s="102" t="n">
        <v>-174440</v>
      </c>
      <c r="T48" s="102" t="n">
        <v>-174440</v>
      </c>
      <c r="U48" s="102" t="n">
        <v>-174440</v>
      </c>
      <c r="V48" s="102" t="n">
        <v>-174440</v>
      </c>
      <c r="W48" s="102" t="n">
        <v>-174440</v>
      </c>
      <c r="X48" s="102"/>
    </row>
    <row r="49" customFormat="false" ht="18.75" hidden="false" customHeight="true" outlineLevel="0" collapsed="false">
      <c r="B49" s="100" t="s">
        <v>141</v>
      </c>
      <c r="C49" s="92" t="s">
        <v>4</v>
      </c>
      <c r="D49" s="102" t="n">
        <v>-39249</v>
      </c>
      <c r="E49" s="102" t="n">
        <v>-39249</v>
      </c>
      <c r="F49" s="102" t="n">
        <v>-39249</v>
      </c>
      <c r="G49" s="102" t="n">
        <v>-39249</v>
      </c>
      <c r="H49" s="102" t="n">
        <v>-39249</v>
      </c>
      <c r="I49" s="102" t="n">
        <v>-39249</v>
      </c>
      <c r="J49" s="102" t="n">
        <v>-39249</v>
      </c>
      <c r="K49" s="102" t="n">
        <v>-39249</v>
      </c>
      <c r="L49" s="102" t="n">
        <v>-39249</v>
      </c>
      <c r="M49" s="102" t="n">
        <v>-39249</v>
      </c>
      <c r="N49" s="102" t="n">
        <v>-39249</v>
      </c>
      <c r="O49" s="102" t="n">
        <v>-39249</v>
      </c>
      <c r="P49" s="102" t="n">
        <v>-39249</v>
      </c>
      <c r="Q49" s="102" t="n">
        <v>-39249</v>
      </c>
      <c r="R49" s="102" t="n">
        <v>-39249</v>
      </c>
      <c r="S49" s="102" t="n">
        <v>-39249</v>
      </c>
      <c r="T49" s="102" t="n">
        <v>-39249</v>
      </c>
      <c r="U49" s="102" t="n">
        <v>-39249</v>
      </c>
      <c r="V49" s="102" t="n">
        <v>-39249</v>
      </c>
      <c r="W49" s="102" t="n">
        <v>-39249</v>
      </c>
      <c r="X49" s="102"/>
    </row>
    <row r="50" customFormat="false" ht="18.75" hidden="false" customHeight="true" outlineLevel="0" collapsed="false">
      <c r="B50" s="100" t="s">
        <v>142</v>
      </c>
      <c r="C50" s="92"/>
      <c r="D50" s="102" t="n">
        <v>-43610</v>
      </c>
      <c r="E50" s="102" t="n">
        <v>-43610</v>
      </c>
      <c r="F50" s="102" t="n">
        <v>-43610</v>
      </c>
      <c r="G50" s="102" t="n">
        <v>-43610</v>
      </c>
      <c r="H50" s="102" t="n">
        <v>-43610</v>
      </c>
      <c r="I50" s="102" t="n">
        <v>-43610</v>
      </c>
      <c r="J50" s="102" t="n">
        <v>-43610</v>
      </c>
      <c r="K50" s="102" t="n">
        <v>-43610</v>
      </c>
      <c r="L50" s="102" t="n">
        <v>-43610</v>
      </c>
      <c r="M50" s="102" t="n">
        <v>-43610</v>
      </c>
      <c r="N50" s="102" t="n">
        <v>0</v>
      </c>
      <c r="O50" s="102" t="n">
        <v>0</v>
      </c>
      <c r="P50" s="102" t="n">
        <v>0</v>
      </c>
      <c r="Q50" s="102" t="n">
        <v>0</v>
      </c>
      <c r="R50" s="102" t="n">
        <v>0</v>
      </c>
      <c r="S50" s="102" t="n">
        <v>0</v>
      </c>
      <c r="T50" s="102" t="n">
        <v>0</v>
      </c>
      <c r="U50" s="102" t="n">
        <v>0</v>
      </c>
      <c r="V50" s="102" t="n">
        <v>0</v>
      </c>
      <c r="W50" s="102" t="n">
        <v>0</v>
      </c>
      <c r="X50" s="102"/>
    </row>
    <row r="51" customFormat="false" ht="18.75" hidden="false" customHeight="true" outlineLevel="0" collapsed="false">
      <c r="B51" s="100" t="s">
        <v>143</v>
      </c>
      <c r="C51" s="103"/>
      <c r="D51" s="102"/>
      <c r="E51" s="102"/>
      <c r="F51" s="102"/>
      <c r="G51" s="102"/>
      <c r="H51" s="102"/>
      <c r="I51" s="102"/>
      <c r="J51" s="102"/>
      <c r="K51" s="102"/>
      <c r="L51" s="102"/>
      <c r="M51" s="102"/>
      <c r="N51" s="102"/>
      <c r="O51" s="102"/>
      <c r="P51" s="102"/>
      <c r="Q51" s="102"/>
      <c r="R51" s="102"/>
      <c r="S51" s="102"/>
      <c r="T51" s="102"/>
      <c r="U51" s="102"/>
      <c r="V51" s="102"/>
      <c r="W51" s="102"/>
      <c r="X51" s="102"/>
    </row>
    <row r="52" customFormat="false" ht="18.75" hidden="false" customHeight="true" outlineLevel="0" collapsed="false">
      <c r="B52" s="100" t="s">
        <v>144</v>
      </c>
      <c r="C52" s="103"/>
      <c r="D52" s="102"/>
      <c r="E52" s="102"/>
      <c r="F52" s="102"/>
      <c r="G52" s="102"/>
      <c r="H52" s="102"/>
      <c r="I52" s="102"/>
      <c r="J52" s="102"/>
      <c r="K52" s="102"/>
      <c r="L52" s="102"/>
      <c r="M52" s="102"/>
      <c r="N52" s="102"/>
      <c r="O52" s="102"/>
      <c r="P52" s="102"/>
      <c r="Q52" s="102"/>
      <c r="R52" s="102"/>
      <c r="S52" s="102"/>
      <c r="T52" s="102"/>
      <c r="U52" s="102"/>
      <c r="V52" s="102"/>
      <c r="W52" s="102"/>
      <c r="X52" s="102"/>
    </row>
    <row r="53" customFormat="false" ht="18.75" hidden="false" customHeight="true" outlineLevel="0" collapsed="false">
      <c r="B53" s="104" t="s">
        <v>145</v>
      </c>
      <c r="C53" s="103"/>
      <c r="D53" s="102"/>
      <c r="E53" s="102"/>
      <c r="F53" s="102"/>
      <c r="G53" s="102"/>
      <c r="H53" s="102"/>
      <c r="I53" s="102"/>
      <c r="J53" s="102"/>
      <c r="K53" s="102"/>
      <c r="L53" s="102"/>
      <c r="M53" s="102"/>
      <c r="N53" s="102"/>
      <c r="O53" s="102"/>
      <c r="P53" s="102"/>
      <c r="Q53" s="102"/>
      <c r="R53" s="102"/>
      <c r="S53" s="102"/>
      <c r="T53" s="102"/>
      <c r="U53" s="102"/>
      <c r="V53" s="102"/>
      <c r="W53" s="102"/>
      <c r="X53" s="102"/>
    </row>
    <row r="54" customFormat="false" ht="18.75" hidden="false" customHeight="true" outlineLevel="0" collapsed="false">
      <c r="B54" s="104" t="s">
        <v>146</v>
      </c>
      <c r="C54" s="103"/>
      <c r="D54" s="102" t="n">
        <f aca="false">-(D64+D67+D68+D71+D72+D73+D74)*0.2</f>
        <v>-207325.784</v>
      </c>
      <c r="E54" s="102" t="n">
        <f aca="false">-(E64+E67+E68+E71+E72+E73+E74)*0.2</f>
        <v>-147535.1776</v>
      </c>
      <c r="F54" s="102" t="n">
        <f aca="false">-(F64+F67+F68+F71+F72+F73+F74)*0.2</f>
        <v>-145784.7712</v>
      </c>
      <c r="G54" s="102" t="n">
        <f aca="false">-(G64+G67+G68+G71+G72+G73+G74)*0.2</f>
        <v>-144034.3648</v>
      </c>
      <c r="H54" s="102" t="n">
        <f aca="false">-(H64+H67+H68+H71+H72+H73+H74)*0.2</f>
        <v>-142283.9584</v>
      </c>
      <c r="I54" s="102" t="n">
        <f aca="false">-(I64+I67+I68+I71+I72+I73+I74)*0.2</f>
        <v>-140533.552</v>
      </c>
      <c r="J54" s="102" t="n">
        <f aca="false">-(J64+J67+J68+J71+J72+J73+J74)*0.2</f>
        <v>-138783.1456</v>
      </c>
      <c r="K54" s="102" t="n">
        <f aca="false">-(K64+K67+K68+K71+K72+K73+K74)*0.2</f>
        <v>-137032.7392</v>
      </c>
      <c r="L54" s="102" t="n">
        <f aca="false">-(L64+L67+L68+L71+L72+L73+L74)*0.2</f>
        <v>-135282.3328</v>
      </c>
      <c r="M54" s="102" t="n">
        <f aca="false">-(M64+M67+M68+M71+M72+M73+M74)*0.2</f>
        <v>-133531.9264</v>
      </c>
      <c r="N54" s="102" t="n">
        <f aca="false">-(N64+N67+N68+N71+N72+N73+N74)*0.2</f>
        <v>-140503.52</v>
      </c>
      <c r="O54" s="102" t="n">
        <f aca="false">-(O64+O67+O68+O71+O72+O73+O74)*0.2</f>
        <v>-138753.1136</v>
      </c>
      <c r="P54" s="102" t="n">
        <f aca="false">-(P64+P67+P68+P71+P72+P73+P74)*0.2</f>
        <v>-137002.7072</v>
      </c>
      <c r="Q54" s="102" t="n">
        <f aca="false">-(Q64+Q67+Q68+Q71+Q72+Q73+Q74)*0.2</f>
        <v>-135252.3008</v>
      </c>
      <c r="R54" s="102" t="n">
        <f aca="false">-(R64+R67+R68+R71+R72+R73+R74)*0.2</f>
        <v>-133501.8944</v>
      </c>
      <c r="S54" s="102" t="n">
        <f aca="false">-(S64+S67+S68+S71+S72+S73+S74)*0.2</f>
        <v>-131751.488</v>
      </c>
      <c r="T54" s="102" t="n">
        <f aca="false">-(T64+T67+T68+T71+T72+T73+T74)*0.2</f>
        <v>-130001.0816</v>
      </c>
      <c r="U54" s="102" t="n">
        <f aca="false">-(U64+U67+U68+U71+U72+U73+U74)*0.2</f>
        <v>-128250.6752</v>
      </c>
      <c r="V54" s="102" t="n">
        <f aca="false">-(V64+V67+V68+V71+V72+V73+V74)*0.2</f>
        <v>-126500.2688</v>
      </c>
      <c r="W54" s="102" t="n">
        <f aca="false">-(W64+W67+W68+W71+W72+W73+W74)*0.2</f>
        <v>-124749.8624</v>
      </c>
      <c r="X54" s="93"/>
    </row>
    <row r="55" customFormat="false" ht="18.75" hidden="false" customHeight="true" outlineLevel="0" collapsed="false">
      <c r="B55" s="105" t="s">
        <v>147</v>
      </c>
      <c r="C55" s="106" t="n">
        <f aca="false">C44</f>
        <v>-17444000</v>
      </c>
      <c r="D55" s="107" t="n">
        <f aca="false">SUM(D41:D54)</f>
        <v>1411302.136</v>
      </c>
      <c r="E55" s="107" t="n">
        <f aca="false">SUM(E41:E54)</f>
        <v>1462340.7104</v>
      </c>
      <c r="F55" s="107" t="n">
        <f aca="false">SUM(F41:F54)</f>
        <v>1455339.0848</v>
      </c>
      <c r="G55" s="107" t="n">
        <f aca="false">SUM(G41:G54)</f>
        <v>1448337.4592</v>
      </c>
      <c r="H55" s="107" t="n">
        <f aca="false">SUM(H41:H54)</f>
        <v>1441335.8336</v>
      </c>
      <c r="I55" s="107" t="n">
        <f aca="false">SUM(I41:I54)</f>
        <v>1434334.208</v>
      </c>
      <c r="J55" s="107" t="n">
        <f aca="false">SUM(J41:J54)</f>
        <v>1427332.5824</v>
      </c>
      <c r="K55" s="107" t="n">
        <f aca="false">SUM(K41:K54)</f>
        <v>1420330.9568</v>
      </c>
      <c r="L55" s="107" t="n">
        <f aca="false">SUM(L41:L54)</f>
        <v>1413329.3312</v>
      </c>
      <c r="M55" s="107" t="n">
        <f aca="false">SUM(M41:M54)</f>
        <v>1406327.7056</v>
      </c>
      <c r="N55" s="107" t="n">
        <f aca="false">SUM(N41:N54)</f>
        <v>1434214.08</v>
      </c>
      <c r="O55" s="107" t="n">
        <f aca="false">SUM(O41:O54)</f>
        <v>1427212.4544</v>
      </c>
      <c r="P55" s="107" t="n">
        <f aca="false">SUM(P41:P54)</f>
        <v>1420210.8288</v>
      </c>
      <c r="Q55" s="107" t="n">
        <f aca="false">SUM(Q41:Q54)</f>
        <v>1413209.2032</v>
      </c>
      <c r="R55" s="107" t="n">
        <f aca="false">SUM(R41:R54)</f>
        <v>1406207.5776</v>
      </c>
      <c r="S55" s="107" t="n">
        <f aca="false">SUM(S41:S54)</f>
        <v>1399205.952</v>
      </c>
      <c r="T55" s="107" t="n">
        <f aca="false">SUM(T41:T54)</f>
        <v>1392204.3264</v>
      </c>
      <c r="U55" s="107" t="n">
        <f aca="false">SUM(U41:U54)</f>
        <v>1385202.7008</v>
      </c>
      <c r="V55" s="107" t="n">
        <f aca="false">SUM(V41:V54)</f>
        <v>1378201.0752</v>
      </c>
      <c r="W55" s="107" t="n">
        <f aca="false">SUM(W41:W54)</f>
        <v>1371199.4496</v>
      </c>
      <c r="X55" s="108"/>
      <c r="Y55" s="109"/>
      <c r="Z55" s="110"/>
      <c r="AA55" s="109"/>
      <c r="AB55" s="109"/>
      <c r="AC55" s="109"/>
      <c r="AD55" s="109"/>
      <c r="AE55" s="109"/>
      <c r="AF55" s="109"/>
      <c r="AG55" s="109"/>
      <c r="AH55" s="109"/>
      <c r="AI55" s="109"/>
      <c r="AJ55" s="109"/>
    </row>
    <row r="56" customFormat="false" ht="18.75" hidden="false" customHeight="true" outlineLevel="0" collapsed="false">
      <c r="B56" s="111" t="s">
        <v>148</v>
      </c>
      <c r="D56" s="112" t="n">
        <f aca="false">C55+D55</f>
        <v>-16032697.864</v>
      </c>
      <c r="E56" s="112" t="n">
        <f aca="false">D56+E55</f>
        <v>-14570357.1536</v>
      </c>
      <c r="F56" s="112" t="n">
        <f aca="false">E56+F55</f>
        <v>-13115018.0688</v>
      </c>
      <c r="G56" s="112" t="n">
        <f aca="false">F56+G55</f>
        <v>-11666680.6096</v>
      </c>
      <c r="H56" s="112" t="n">
        <f aca="false">G56+H55</f>
        <v>-10225344.776</v>
      </c>
      <c r="I56" s="112" t="n">
        <f aca="false">H56+I55</f>
        <v>-8791010.568</v>
      </c>
      <c r="J56" s="112" t="n">
        <f aca="false">I56+J55</f>
        <v>-7363677.9856</v>
      </c>
      <c r="K56" s="112" t="n">
        <f aca="false">J56+K55</f>
        <v>-5943347.0288</v>
      </c>
      <c r="L56" s="112" t="n">
        <f aca="false">K56+L55</f>
        <v>-4530017.6976</v>
      </c>
      <c r="M56" s="112" t="n">
        <f aca="false">L56+M55</f>
        <v>-3123689.992</v>
      </c>
      <c r="N56" s="112" t="n">
        <f aca="false">M56+N55</f>
        <v>-1689475.912</v>
      </c>
      <c r="O56" s="112" t="n">
        <f aca="false">N56+O55</f>
        <v>-262263.457600001</v>
      </c>
      <c r="P56" s="112" t="n">
        <f aca="false">O56+P55</f>
        <v>1157947.3712</v>
      </c>
      <c r="Q56" s="112" t="n">
        <f aca="false">P56+Q55</f>
        <v>2571156.5744</v>
      </c>
      <c r="R56" s="112" t="n">
        <f aca="false">Q56+R55</f>
        <v>3977364.152</v>
      </c>
      <c r="S56" s="112" t="n">
        <f aca="false">R56+S55</f>
        <v>5376570.104</v>
      </c>
      <c r="T56" s="112" t="n">
        <f aca="false">S56+T55</f>
        <v>6768774.4304</v>
      </c>
      <c r="U56" s="112" t="n">
        <f aca="false">T56+U55</f>
        <v>8153977.1312</v>
      </c>
      <c r="V56" s="112" t="n">
        <f aca="false">U56+V55</f>
        <v>9532178.2064</v>
      </c>
      <c r="W56" s="112" t="n">
        <f aca="false">V56+W55</f>
        <v>10903377.656</v>
      </c>
      <c r="X56" s="112" t="n">
        <f aca="false">W56+X55</f>
        <v>10903377.656</v>
      </c>
      <c r="Y56" s="109"/>
      <c r="Z56" s="109"/>
      <c r="AA56" s="109"/>
      <c r="AB56" s="109"/>
      <c r="AC56" s="109"/>
      <c r="AD56" s="109"/>
      <c r="AE56" s="109"/>
      <c r="AF56" s="109"/>
      <c r="AG56" s="109"/>
      <c r="AH56" s="109"/>
      <c r="AI56" s="109"/>
      <c r="AJ56" s="109"/>
    </row>
    <row r="57" customFormat="false" ht="18.75" hidden="false" customHeight="true" outlineLevel="0" collapsed="false">
      <c r="B57" s="113" t="s">
        <v>149</v>
      </c>
      <c r="C57" s="114"/>
      <c r="D57" s="115" t="str">
        <f aca="false">IF((D56)&gt;0,"回收","未回收")</f>
        <v>未回收</v>
      </c>
      <c r="E57" s="116" t="str">
        <f aca="false">IF((E56)&gt;0,"回收","未回收")</f>
        <v>未回收</v>
      </c>
      <c r="F57" s="116" t="str">
        <f aca="false">IF((F56)&gt;0,"回收","未回收")</f>
        <v>未回收</v>
      </c>
      <c r="G57" s="116" t="str">
        <f aca="false">IF((G56)&gt;0,"回收","未回收")</f>
        <v>未回收</v>
      </c>
      <c r="H57" s="116" t="str">
        <f aca="false">IF((H56)&gt;0,"回收","未回收")</f>
        <v>未回收</v>
      </c>
      <c r="I57" s="116" t="str">
        <f aca="false">IF((I56)&gt;0,"回收","未回收")</f>
        <v>未回收</v>
      </c>
      <c r="J57" s="116" t="str">
        <f aca="false">IF((J56)&gt;0,"回收","未回收")</f>
        <v>未回收</v>
      </c>
      <c r="K57" s="116" t="str">
        <f aca="false">IF((K56)&gt;0,"回收","未回收")</f>
        <v>未回收</v>
      </c>
      <c r="L57" s="116" t="str">
        <f aca="false">IF((L56)&gt;0,"回收","未回收")</f>
        <v>未回收</v>
      </c>
      <c r="M57" s="116" t="str">
        <f aca="false">IF((M56)&gt;0,"回收","未回收")</f>
        <v>未回收</v>
      </c>
      <c r="N57" s="116" t="str">
        <f aca="false">IF((N56)&gt;0,"回收","未回收")</f>
        <v>未回收</v>
      </c>
      <c r="O57" s="116" t="str">
        <f aca="false">IF((O56)&gt;0,"回收","未回收")</f>
        <v>未回收</v>
      </c>
      <c r="P57" s="116" t="str">
        <f aca="false">IF((P56)&gt;0,"回收","未回收")</f>
        <v>回收</v>
      </c>
      <c r="Q57" s="116" t="str">
        <f aca="false">IF((Q56)&gt;0,"回收","未回收")</f>
        <v>回收</v>
      </c>
      <c r="R57" s="116" t="str">
        <f aca="false">IF((R56)&gt;0,"回收","未回收")</f>
        <v>回收</v>
      </c>
      <c r="S57" s="116" t="str">
        <f aca="false">IF((S56)&gt;0,"回收","未回收")</f>
        <v>回收</v>
      </c>
      <c r="T57" s="116" t="str">
        <f aca="false">IF((T56)&gt;0,"回收","未回收")</f>
        <v>回收</v>
      </c>
      <c r="U57" s="116" t="str">
        <f aca="false">IF((U56)&gt;0,"回收","未回收")</f>
        <v>回收</v>
      </c>
      <c r="V57" s="116" t="str">
        <f aca="false">IF((V56)&gt;0,"回收","未回收")</f>
        <v>回收</v>
      </c>
      <c r="W57" s="116" t="str">
        <f aca="false">IF((W56)&gt;0,"回收","未回收")</f>
        <v>回收</v>
      </c>
      <c r="X57" s="116" t="str">
        <f aca="false">IF((X56)&gt;0,"回收","未回收")</f>
        <v>回收</v>
      </c>
      <c r="Y57" s="109"/>
      <c r="Z57" s="109"/>
      <c r="AA57" s="109"/>
      <c r="AB57" s="109"/>
      <c r="AC57" s="109"/>
      <c r="AD57" s="109"/>
      <c r="AE57" s="109"/>
      <c r="AF57" s="109"/>
      <c r="AG57" s="109"/>
      <c r="AH57" s="109"/>
      <c r="AI57" s="109"/>
      <c r="AJ57" s="109"/>
    </row>
    <row r="58" customFormat="false" ht="18.75" hidden="false" customHeight="true" outlineLevel="0" collapsed="false">
      <c r="B58" s="117" t="s">
        <v>74</v>
      </c>
      <c r="C58" s="118" t="n">
        <f aca="false">IRR(C55:W55)</f>
        <v>0.0519541962632075</v>
      </c>
      <c r="D58" s="119"/>
      <c r="E58" s="119"/>
      <c r="F58" s="120"/>
      <c r="G58" s="120"/>
      <c r="H58" s="120"/>
      <c r="I58" s="120"/>
      <c r="J58" s="120"/>
      <c r="K58" s="120"/>
      <c r="L58" s="120"/>
      <c r="M58" s="120"/>
      <c r="N58" s="120"/>
      <c r="O58" s="120"/>
      <c r="P58" s="120"/>
      <c r="Q58" s="120"/>
      <c r="R58" s="120"/>
      <c r="S58" s="120"/>
      <c r="T58" s="120"/>
      <c r="U58" s="120"/>
      <c r="V58" s="120"/>
      <c r="W58" s="120"/>
      <c r="X58" s="120"/>
      <c r="Y58" s="121"/>
      <c r="Z58" s="121"/>
      <c r="AA58" s="121"/>
      <c r="AB58" s="121"/>
      <c r="AC58" s="121"/>
      <c r="AD58" s="121"/>
      <c r="AE58" s="121"/>
      <c r="AF58" s="121"/>
      <c r="AG58" s="121"/>
      <c r="AH58" s="121"/>
      <c r="AI58" s="121"/>
      <c r="AJ58" s="121"/>
    </row>
    <row r="59" customFormat="false" ht="18.75" hidden="false" customHeight="true" outlineLevel="0" collapsed="false">
      <c r="B59" s="120"/>
      <c r="C59" s="119"/>
      <c r="D59" s="119"/>
      <c r="E59" s="119"/>
      <c r="F59" s="120"/>
      <c r="G59" s="120"/>
      <c r="H59" s="120"/>
      <c r="I59" s="120"/>
      <c r="J59" s="120"/>
      <c r="K59" s="120"/>
      <c r="L59" s="120"/>
      <c r="M59" s="119"/>
      <c r="N59" s="120"/>
      <c r="O59" s="120"/>
      <c r="P59" s="120"/>
      <c r="Q59" s="120"/>
      <c r="R59" s="120"/>
      <c r="S59" s="120"/>
      <c r="T59" s="120"/>
      <c r="U59" s="120"/>
      <c r="V59" s="120"/>
      <c r="W59" s="120"/>
      <c r="X59" s="120"/>
      <c r="Y59" s="121"/>
      <c r="Z59" s="121"/>
      <c r="AA59" s="121"/>
      <c r="AB59" s="121"/>
      <c r="AC59" s="121"/>
      <c r="AD59" s="121"/>
      <c r="AE59" s="121"/>
      <c r="AF59" s="121"/>
      <c r="AG59" s="121"/>
      <c r="AH59" s="121"/>
      <c r="AI59" s="121"/>
      <c r="AJ59" s="121"/>
    </row>
    <row r="60" customFormat="false" ht="18.75" hidden="false" customHeight="true" outlineLevel="0" collapsed="false">
      <c r="B60" s="69"/>
      <c r="C60" s="70" t="s">
        <v>130</v>
      </c>
      <c r="D60" s="70" t="n">
        <f aca="false">D37</f>
        <v>2020</v>
      </c>
      <c r="E60" s="70" t="n">
        <f aca="false">E37</f>
        <v>2021</v>
      </c>
      <c r="F60" s="70" t="n">
        <f aca="false">F37</f>
        <v>2022</v>
      </c>
      <c r="G60" s="70" t="n">
        <f aca="false">G37</f>
        <v>2023</v>
      </c>
      <c r="H60" s="70" t="n">
        <f aca="false">H37</f>
        <v>2024</v>
      </c>
      <c r="I60" s="70" t="n">
        <f aca="false">I37</f>
        <v>2025</v>
      </c>
      <c r="J60" s="70" t="n">
        <f aca="false">J37</f>
        <v>2026</v>
      </c>
      <c r="K60" s="70" t="n">
        <f aca="false">K37</f>
        <v>2027</v>
      </c>
      <c r="L60" s="70" t="n">
        <f aca="false">L37</f>
        <v>2028</v>
      </c>
      <c r="M60" s="70" t="n">
        <f aca="false">M37</f>
        <v>2029</v>
      </c>
      <c r="N60" s="70" t="n">
        <f aca="false">N37</f>
        <v>2030</v>
      </c>
      <c r="O60" s="70" t="n">
        <f aca="false">O37</f>
        <v>2031</v>
      </c>
      <c r="P60" s="70" t="n">
        <f aca="false">P37</f>
        <v>2032</v>
      </c>
      <c r="Q60" s="70" t="n">
        <f aca="false">Q37</f>
        <v>2033</v>
      </c>
      <c r="R60" s="70" t="n">
        <f aca="false">R37</f>
        <v>2034</v>
      </c>
      <c r="S60" s="70" t="n">
        <f aca="false">S37</f>
        <v>2035</v>
      </c>
      <c r="T60" s="70" t="n">
        <f aca="false">T37</f>
        <v>2036</v>
      </c>
      <c r="U60" s="70" t="n">
        <f aca="false">U37</f>
        <v>2037</v>
      </c>
      <c r="V60" s="70" t="n">
        <f aca="false">V37</f>
        <v>2038</v>
      </c>
      <c r="W60" s="70" t="n">
        <f aca="false">W37</f>
        <v>2039</v>
      </c>
      <c r="X60" s="70"/>
      <c r="Y60" s="122"/>
      <c r="Z60" s="122"/>
      <c r="AA60" s="122"/>
      <c r="AB60" s="122"/>
      <c r="AC60" s="122"/>
      <c r="AD60" s="122"/>
      <c r="AE60" s="122"/>
      <c r="AF60" s="122"/>
      <c r="AG60" s="122"/>
      <c r="AH60" s="122"/>
      <c r="AI60" s="122"/>
      <c r="AJ60" s="122"/>
    </row>
    <row r="61" customFormat="false" ht="18.75" hidden="false" customHeight="true" outlineLevel="0" collapsed="false">
      <c r="B61" s="71" t="n">
        <v>0</v>
      </c>
      <c r="C61" s="72"/>
      <c r="D61" s="73"/>
      <c r="E61" s="73"/>
      <c r="F61" s="74"/>
      <c r="G61" s="75"/>
      <c r="H61" s="75"/>
      <c r="I61" s="75"/>
      <c r="J61" s="75"/>
      <c r="K61" s="75"/>
      <c r="L61" s="75"/>
      <c r="M61" s="75"/>
      <c r="N61" s="75"/>
      <c r="O61" s="75"/>
      <c r="P61" s="75"/>
      <c r="Q61" s="75"/>
      <c r="R61" s="75"/>
      <c r="S61" s="75"/>
      <c r="T61" s="123" t="s">
        <v>150</v>
      </c>
      <c r="U61" s="75"/>
      <c r="V61" s="75"/>
      <c r="W61" s="75"/>
      <c r="X61" s="77"/>
    </row>
    <row r="62" customFormat="false" ht="18.75" hidden="false" customHeight="true" outlineLevel="0" collapsed="false">
      <c r="B62" s="78" t="s">
        <v>131</v>
      </c>
      <c r="C62" s="79" t="n">
        <v>0</v>
      </c>
      <c r="D62" s="80" t="n">
        <v>1</v>
      </c>
      <c r="E62" s="80" t="n">
        <v>2</v>
      </c>
      <c r="F62" s="80" t="n">
        <v>3</v>
      </c>
      <c r="G62" s="80" t="n">
        <v>4</v>
      </c>
      <c r="H62" s="80" t="n">
        <v>5</v>
      </c>
      <c r="I62" s="80" t="n">
        <v>6</v>
      </c>
      <c r="J62" s="80" t="n">
        <v>7</v>
      </c>
      <c r="K62" s="80" t="n">
        <v>8</v>
      </c>
      <c r="L62" s="80" t="n">
        <v>9</v>
      </c>
      <c r="M62" s="80" t="n">
        <v>10</v>
      </c>
      <c r="N62" s="80" t="n">
        <v>11</v>
      </c>
      <c r="O62" s="80" t="n">
        <v>12</v>
      </c>
      <c r="P62" s="80" t="n">
        <v>13</v>
      </c>
      <c r="Q62" s="80" t="n">
        <v>14</v>
      </c>
      <c r="R62" s="80" t="n">
        <v>15</v>
      </c>
      <c r="S62" s="80" t="n">
        <v>16</v>
      </c>
      <c r="T62" s="124" t="n">
        <v>17</v>
      </c>
      <c r="U62" s="80" t="n">
        <v>18</v>
      </c>
      <c r="V62" s="80" t="n">
        <v>19</v>
      </c>
      <c r="W62" s="80" t="n">
        <v>20</v>
      </c>
      <c r="X62" s="82"/>
    </row>
    <row r="63" customFormat="false" ht="18.75" hidden="false" customHeight="true" outlineLevel="0" collapsed="false">
      <c r="B63" s="83" t="s">
        <v>132</v>
      </c>
      <c r="C63" s="84" t="n">
        <v>0</v>
      </c>
      <c r="D63" s="85" t="n">
        <f aca="false">D40</f>
        <v>541531.98</v>
      </c>
      <c r="E63" s="85" t="n">
        <f aca="false">E40</f>
        <v>539343.972</v>
      </c>
      <c r="F63" s="85" t="n">
        <f aca="false">F40</f>
        <v>537155.964</v>
      </c>
      <c r="G63" s="85" t="n">
        <f aca="false">G40</f>
        <v>534967.956</v>
      </c>
      <c r="H63" s="85" t="n">
        <f aca="false">H40</f>
        <v>532779.948</v>
      </c>
      <c r="I63" s="85" t="n">
        <f aca="false">I40</f>
        <v>530591.94</v>
      </c>
      <c r="J63" s="85" t="n">
        <f aca="false">J40</f>
        <v>528403.932</v>
      </c>
      <c r="K63" s="85" t="n">
        <f aca="false">K40</f>
        <v>526215.924</v>
      </c>
      <c r="L63" s="85" t="n">
        <f aca="false">L40</f>
        <v>524027.916</v>
      </c>
      <c r="M63" s="85" t="n">
        <f aca="false">M40</f>
        <v>521839.908</v>
      </c>
      <c r="N63" s="85" t="n">
        <f aca="false">N40</f>
        <v>519651.9</v>
      </c>
      <c r="O63" s="85" t="n">
        <f aca="false">O40</f>
        <v>517463.892</v>
      </c>
      <c r="P63" s="85" t="n">
        <f aca="false">P40</f>
        <v>515275.884</v>
      </c>
      <c r="Q63" s="85" t="n">
        <f aca="false">Q40</f>
        <v>513087.876</v>
      </c>
      <c r="R63" s="85" t="n">
        <f aca="false">R40</f>
        <v>510899.868</v>
      </c>
      <c r="S63" s="85" t="n">
        <f aca="false">S40</f>
        <v>508711.86</v>
      </c>
      <c r="T63" s="85" t="n">
        <f aca="false">T40</f>
        <v>506523.852</v>
      </c>
      <c r="U63" s="85" t="n">
        <f aca="false">U40</f>
        <v>504335.844</v>
      </c>
      <c r="V63" s="85" t="n">
        <f aca="false">V40</f>
        <v>502147.836</v>
      </c>
      <c r="W63" s="85" t="n">
        <f aca="false">W40</f>
        <v>499959.828</v>
      </c>
      <c r="X63" s="86"/>
    </row>
    <row r="64" customFormat="false" ht="18.75" hidden="false" customHeight="true" outlineLevel="0" collapsed="false">
      <c r="B64" s="87" t="s">
        <v>133</v>
      </c>
      <c r="C64" s="88" t="s">
        <v>4</v>
      </c>
      <c r="D64" s="89" t="n">
        <f aca="false">D41</f>
        <v>2166127.92</v>
      </c>
      <c r="E64" s="89" t="n">
        <f aca="false">E41</f>
        <v>2157375.888</v>
      </c>
      <c r="F64" s="89" t="n">
        <f aca="false">F41</f>
        <v>2148623.856</v>
      </c>
      <c r="G64" s="89" t="n">
        <f aca="false">G41</f>
        <v>2139871.824</v>
      </c>
      <c r="H64" s="89" t="n">
        <f aca="false">H41</f>
        <v>2131119.792</v>
      </c>
      <c r="I64" s="89" t="n">
        <f aca="false">I41</f>
        <v>2122367.76</v>
      </c>
      <c r="J64" s="89" t="n">
        <f aca="false">J41</f>
        <v>2113615.728</v>
      </c>
      <c r="K64" s="89" t="n">
        <f aca="false">K41</f>
        <v>2104863.696</v>
      </c>
      <c r="L64" s="89" t="n">
        <f aca="false">L41</f>
        <v>2096111.664</v>
      </c>
      <c r="M64" s="89" t="n">
        <f aca="false">M41</f>
        <v>2087359.632</v>
      </c>
      <c r="N64" s="89" t="n">
        <f aca="false">N41</f>
        <v>2078607.6</v>
      </c>
      <c r="O64" s="89" t="n">
        <f aca="false">O41</f>
        <v>2069855.568</v>
      </c>
      <c r="P64" s="89" t="n">
        <f aca="false">P41</f>
        <v>2061103.536</v>
      </c>
      <c r="Q64" s="89" t="n">
        <f aca="false">Q41</f>
        <v>2052351.504</v>
      </c>
      <c r="R64" s="89" t="n">
        <f aca="false">R41</f>
        <v>2043599.472</v>
      </c>
      <c r="S64" s="89" t="n">
        <f aca="false">S41</f>
        <v>2034847.44</v>
      </c>
      <c r="T64" s="89" t="n">
        <f aca="false">T41</f>
        <v>2026095.408</v>
      </c>
      <c r="U64" s="89" t="n">
        <f aca="false">U41</f>
        <v>2017343.376</v>
      </c>
      <c r="V64" s="89" t="n">
        <f aca="false">V41</f>
        <v>2008591.344</v>
      </c>
      <c r="W64" s="89" t="n">
        <f aca="false">W41</f>
        <v>1999839.312</v>
      </c>
      <c r="X64" s="90"/>
    </row>
    <row r="65" customFormat="false" ht="18.75" hidden="false" customHeight="true" outlineLevel="0" collapsed="false">
      <c r="B65" s="91" t="s">
        <v>134</v>
      </c>
      <c r="C65" s="92" t="s">
        <v>4</v>
      </c>
      <c r="D65" s="93"/>
      <c r="E65" s="93"/>
      <c r="F65" s="93"/>
      <c r="G65" s="94" t="s">
        <v>4</v>
      </c>
      <c r="H65" s="94" t="s">
        <v>4</v>
      </c>
      <c r="I65" s="94" t="s">
        <v>4</v>
      </c>
      <c r="J65" s="94" t="s">
        <v>4</v>
      </c>
      <c r="K65" s="94" t="s">
        <v>4</v>
      </c>
      <c r="L65" s="94" t="s">
        <v>4</v>
      </c>
      <c r="M65" s="94" t="s">
        <v>4</v>
      </c>
      <c r="N65" s="94" t="s">
        <v>4</v>
      </c>
      <c r="O65" s="94" t="s">
        <v>4</v>
      </c>
      <c r="P65" s="94" t="s">
        <v>4</v>
      </c>
      <c r="Q65" s="94" t="s">
        <v>4</v>
      </c>
      <c r="R65" s="94" t="s">
        <v>4</v>
      </c>
      <c r="S65" s="94" t="s">
        <v>4</v>
      </c>
      <c r="T65" s="94" t="s">
        <v>4</v>
      </c>
      <c r="U65" s="94" t="s">
        <v>4</v>
      </c>
      <c r="V65" s="94" t="s">
        <v>4</v>
      </c>
      <c r="W65" s="94" t="s">
        <v>4</v>
      </c>
      <c r="X65" s="95"/>
    </row>
    <row r="66" customFormat="false" ht="18.75" hidden="false" customHeight="true" outlineLevel="0" collapsed="false">
      <c r="B66" s="96" t="s">
        <v>135</v>
      </c>
      <c r="C66" s="97"/>
      <c r="D66" s="98"/>
      <c r="E66" s="98"/>
      <c r="F66" s="98"/>
      <c r="G66" s="98"/>
      <c r="H66" s="98"/>
      <c r="I66" s="98"/>
      <c r="J66" s="98"/>
      <c r="K66" s="98"/>
      <c r="L66" s="98"/>
      <c r="M66" s="98"/>
      <c r="N66" s="98"/>
      <c r="O66" s="98"/>
      <c r="P66" s="98"/>
      <c r="Q66" s="98"/>
      <c r="R66" s="98"/>
      <c r="S66" s="98"/>
      <c r="T66" s="98"/>
      <c r="U66" s="98"/>
      <c r="V66" s="98"/>
      <c r="W66" s="98"/>
      <c r="X66" s="99"/>
    </row>
    <row r="67" customFormat="false" ht="18.75" hidden="false" customHeight="true" outlineLevel="0" collapsed="false">
      <c r="B67" s="100" t="s">
        <v>151</v>
      </c>
      <c r="C67" s="92"/>
      <c r="D67" s="125" t="n">
        <f aca="false">$C$44/$E$16</f>
        <v>-872200</v>
      </c>
      <c r="E67" s="125" t="n">
        <f aca="false">$C$44/$E$16</f>
        <v>-872200</v>
      </c>
      <c r="F67" s="125" t="n">
        <f aca="false">$C$44/$E$16</f>
        <v>-872200</v>
      </c>
      <c r="G67" s="125" t="n">
        <f aca="false">$C$44/$E$16</f>
        <v>-872200</v>
      </c>
      <c r="H67" s="125" t="n">
        <f aca="false">$C$44/$E$16</f>
        <v>-872200</v>
      </c>
      <c r="I67" s="125" t="n">
        <f aca="false">$C$44/$E$16</f>
        <v>-872200</v>
      </c>
      <c r="J67" s="125" t="n">
        <f aca="false">$C$44/$E$16</f>
        <v>-872200</v>
      </c>
      <c r="K67" s="125" t="n">
        <f aca="false">$C$44/$E$16</f>
        <v>-872200</v>
      </c>
      <c r="L67" s="125" t="n">
        <f aca="false">$C$44/$E$16</f>
        <v>-872200</v>
      </c>
      <c r="M67" s="125" t="n">
        <f aca="false">$C$44/$E$16</f>
        <v>-872200</v>
      </c>
      <c r="N67" s="125" t="n">
        <f aca="false">$C$44/$E$16</f>
        <v>-872200</v>
      </c>
      <c r="O67" s="125" t="n">
        <f aca="false">$C$44/$E$16</f>
        <v>-872200</v>
      </c>
      <c r="P67" s="125" t="n">
        <f aca="false">$C$44/$E$16</f>
        <v>-872200</v>
      </c>
      <c r="Q67" s="125" t="n">
        <f aca="false">$C$44/$E$16</f>
        <v>-872200</v>
      </c>
      <c r="R67" s="125" t="n">
        <f aca="false">$C$44/$E$16</f>
        <v>-872200</v>
      </c>
      <c r="S67" s="125" t="n">
        <f aca="false">$C$44/$E$16</f>
        <v>-872200</v>
      </c>
      <c r="T67" s="125" t="n">
        <f aca="false">$C$44/$E$16</f>
        <v>-872200</v>
      </c>
      <c r="U67" s="125" t="n">
        <f aca="false">$C$44/$E$16</f>
        <v>-872200</v>
      </c>
      <c r="V67" s="125" t="n">
        <f aca="false">$C$44/$E$16</f>
        <v>-872200</v>
      </c>
      <c r="W67" s="125" t="n">
        <f aca="false">$C$44/$E$16</f>
        <v>-872200</v>
      </c>
      <c r="X67" s="95"/>
    </row>
    <row r="68" customFormat="false" ht="18.75" hidden="false" customHeight="true" outlineLevel="0" collapsed="false">
      <c r="B68" s="100" t="s">
        <v>137</v>
      </c>
      <c r="C68" s="92" t="s">
        <v>4</v>
      </c>
      <c r="D68" s="102" t="n">
        <f aca="false">D44</f>
        <v>0</v>
      </c>
      <c r="E68" s="102" t="n">
        <f aca="false">E45</f>
        <v>-290201</v>
      </c>
      <c r="F68" s="102" t="n">
        <f aca="false">F45</f>
        <v>-290201</v>
      </c>
      <c r="G68" s="102" t="n">
        <f aca="false">G45</f>
        <v>-290201</v>
      </c>
      <c r="H68" s="102" t="n">
        <f aca="false">H45</f>
        <v>-290201</v>
      </c>
      <c r="I68" s="102" t="n">
        <f aca="false">I45</f>
        <v>-290201</v>
      </c>
      <c r="J68" s="102" t="n">
        <f aca="false">J45</f>
        <v>-290201</v>
      </c>
      <c r="K68" s="102" t="n">
        <f aca="false">K45</f>
        <v>-290201</v>
      </c>
      <c r="L68" s="102" t="n">
        <f aca="false">L45</f>
        <v>-290201</v>
      </c>
      <c r="M68" s="102" t="n">
        <f aca="false">M45</f>
        <v>-290201</v>
      </c>
      <c r="N68" s="102" t="n">
        <f aca="false">N45</f>
        <v>-290201</v>
      </c>
      <c r="O68" s="102" t="n">
        <f aca="false">O45</f>
        <v>-290201</v>
      </c>
      <c r="P68" s="102" t="n">
        <f aca="false">P45</f>
        <v>-290201</v>
      </c>
      <c r="Q68" s="102" t="n">
        <f aca="false">Q45</f>
        <v>-290201</v>
      </c>
      <c r="R68" s="102" t="n">
        <f aca="false">R45</f>
        <v>-290201</v>
      </c>
      <c r="S68" s="102" t="n">
        <f aca="false">S45</f>
        <v>-290201</v>
      </c>
      <c r="T68" s="102" t="n">
        <f aca="false">T45</f>
        <v>-290201</v>
      </c>
      <c r="U68" s="102" t="n">
        <f aca="false">U45</f>
        <v>-290201</v>
      </c>
      <c r="V68" s="102" t="n">
        <f aca="false">V45</f>
        <v>-290201</v>
      </c>
      <c r="W68" s="102" t="n">
        <f aca="false">W45</f>
        <v>-290201</v>
      </c>
      <c r="X68" s="95"/>
    </row>
    <row r="69" customFormat="false" ht="18.75" hidden="false" customHeight="true" outlineLevel="0" collapsed="false">
      <c r="B69" s="100" t="s">
        <v>138</v>
      </c>
      <c r="C69" s="92"/>
      <c r="D69" s="93"/>
      <c r="E69" s="93"/>
      <c r="F69" s="93"/>
      <c r="G69" s="93"/>
      <c r="H69" s="93"/>
      <c r="I69" s="93"/>
      <c r="J69" s="93"/>
      <c r="K69" s="93"/>
      <c r="L69" s="93"/>
      <c r="M69" s="93"/>
      <c r="N69" s="93"/>
      <c r="O69" s="93"/>
      <c r="P69" s="93"/>
      <c r="Q69" s="93"/>
      <c r="R69" s="93"/>
      <c r="S69" s="93"/>
      <c r="T69" s="93"/>
      <c r="U69" s="93"/>
      <c r="V69" s="93"/>
      <c r="W69" s="93"/>
      <c r="X69" s="95"/>
    </row>
    <row r="70" customFormat="false" ht="18.75" hidden="false" customHeight="true" outlineLevel="0" collapsed="false">
      <c r="B70" s="100" t="s">
        <v>139</v>
      </c>
      <c r="C70" s="92" t="s">
        <v>4</v>
      </c>
      <c r="D70" s="102" t="n">
        <f aca="false">-D109*$D25</f>
        <v>-357253.12</v>
      </c>
      <c r="E70" s="102" t="n">
        <f aca="false">-E109*$D25</f>
        <v>-333436.245333333</v>
      </c>
      <c r="F70" s="102" t="n">
        <f aca="false">-F109*$D25</f>
        <v>-309619.370666667</v>
      </c>
      <c r="G70" s="102" t="n">
        <f aca="false">-G109*$D25</f>
        <v>-285802.496</v>
      </c>
      <c r="H70" s="102" t="n">
        <f aca="false">-H109*$D25</f>
        <v>-261985.621333333</v>
      </c>
      <c r="I70" s="102" t="n">
        <f aca="false">-I109*$D25</f>
        <v>-238168.746666667</v>
      </c>
      <c r="J70" s="102" t="n">
        <f aca="false">-J109*$D25</f>
        <v>-214351.872</v>
      </c>
      <c r="K70" s="102" t="n">
        <f aca="false">-K109*$D25</f>
        <v>-190534.997333333</v>
      </c>
      <c r="L70" s="102" t="n">
        <f aca="false">-L109*$D25</f>
        <v>-166718.122666667</v>
      </c>
      <c r="M70" s="102" t="n">
        <f aca="false">-M109*$D25</f>
        <v>-142901.248</v>
      </c>
      <c r="N70" s="102" t="n">
        <f aca="false">-N109*$D25</f>
        <v>-119084.373333333</v>
      </c>
      <c r="O70" s="102" t="n">
        <f aca="false">-O109*$D25</f>
        <v>-95267.4986666667</v>
      </c>
      <c r="P70" s="102" t="n">
        <f aca="false">-P109*$D25</f>
        <v>-71450.6240000001</v>
      </c>
      <c r="Q70" s="102" t="n">
        <f aca="false">-Q109*$D25</f>
        <v>-47633.7493333334</v>
      </c>
      <c r="R70" s="102" t="n">
        <f aca="false">-R109*$D25</f>
        <v>-23816.8746666667</v>
      </c>
      <c r="S70" s="102" t="n">
        <f aca="false">-S109*$D25</f>
        <v>-0</v>
      </c>
      <c r="T70" s="102" t="n">
        <f aca="false">-T109*$D25</f>
        <v>-0</v>
      </c>
      <c r="U70" s="102" t="n">
        <f aca="false">-U109*$D25</f>
        <v>-0</v>
      </c>
      <c r="V70" s="102" t="n">
        <f aca="false">-V109*$D25</f>
        <v>-0</v>
      </c>
      <c r="W70" s="102" t="n">
        <f aca="false">-W109*$D25</f>
        <v>-0</v>
      </c>
      <c r="X70" s="95"/>
    </row>
    <row r="71" customFormat="false" ht="18.75" hidden="false" customHeight="true" outlineLevel="0" collapsed="false">
      <c r="B71" s="100" t="s">
        <v>140</v>
      </c>
      <c r="C71" s="92" t="s">
        <v>4</v>
      </c>
      <c r="D71" s="102" t="n">
        <f aca="false">D48</f>
        <v>-174440</v>
      </c>
      <c r="E71" s="102" t="n">
        <f aca="false">E48</f>
        <v>-174440</v>
      </c>
      <c r="F71" s="102" t="n">
        <f aca="false">F48</f>
        <v>-174440</v>
      </c>
      <c r="G71" s="102" t="n">
        <f aca="false">G48</f>
        <v>-174440</v>
      </c>
      <c r="H71" s="102" t="n">
        <f aca="false">H48</f>
        <v>-174440</v>
      </c>
      <c r="I71" s="102" t="n">
        <f aca="false">I48</f>
        <v>-174440</v>
      </c>
      <c r="J71" s="102" t="n">
        <f aca="false">J48</f>
        <v>-174440</v>
      </c>
      <c r="K71" s="102" t="n">
        <f aca="false">K48</f>
        <v>-174440</v>
      </c>
      <c r="L71" s="102" t="n">
        <f aca="false">L48</f>
        <v>-174440</v>
      </c>
      <c r="M71" s="102" t="n">
        <f aca="false">M48</f>
        <v>-174440</v>
      </c>
      <c r="N71" s="102" t="n">
        <f aca="false">N48</f>
        <v>-174440</v>
      </c>
      <c r="O71" s="102" t="n">
        <f aca="false">O48</f>
        <v>-174440</v>
      </c>
      <c r="P71" s="102" t="n">
        <f aca="false">P48</f>
        <v>-174440</v>
      </c>
      <c r="Q71" s="102" t="n">
        <f aca="false">Q48</f>
        <v>-174440</v>
      </c>
      <c r="R71" s="102" t="n">
        <f aca="false">R48</f>
        <v>-174440</v>
      </c>
      <c r="S71" s="102" t="n">
        <f aca="false">S48</f>
        <v>-174440</v>
      </c>
      <c r="T71" s="102" t="n">
        <f aca="false">T48</f>
        <v>-174440</v>
      </c>
      <c r="U71" s="102" t="n">
        <f aca="false">U48</f>
        <v>-174440</v>
      </c>
      <c r="V71" s="102" t="n">
        <f aca="false">V48</f>
        <v>-174440</v>
      </c>
      <c r="W71" s="102" t="n">
        <f aca="false">W48</f>
        <v>-174440</v>
      </c>
      <c r="X71" s="95"/>
    </row>
    <row r="72" customFormat="false" ht="18.75" hidden="false" customHeight="true" outlineLevel="0" collapsed="false">
      <c r="B72" s="100" t="s">
        <v>141</v>
      </c>
      <c r="C72" s="92" t="s">
        <v>4</v>
      </c>
      <c r="D72" s="102" t="n">
        <f aca="false">D49</f>
        <v>-39249</v>
      </c>
      <c r="E72" s="102" t="n">
        <f aca="false">E49</f>
        <v>-39249</v>
      </c>
      <c r="F72" s="102" t="n">
        <f aca="false">F49</f>
        <v>-39249</v>
      </c>
      <c r="G72" s="102" t="n">
        <f aca="false">G49</f>
        <v>-39249</v>
      </c>
      <c r="H72" s="102" t="n">
        <f aca="false">H49</f>
        <v>-39249</v>
      </c>
      <c r="I72" s="102" t="n">
        <f aca="false">I49</f>
        <v>-39249</v>
      </c>
      <c r="J72" s="102" t="n">
        <f aca="false">J49</f>
        <v>-39249</v>
      </c>
      <c r="K72" s="102" t="n">
        <f aca="false">K49</f>
        <v>-39249</v>
      </c>
      <c r="L72" s="102" t="n">
        <f aca="false">L49</f>
        <v>-39249</v>
      </c>
      <c r="M72" s="102" t="n">
        <f aca="false">M49</f>
        <v>-39249</v>
      </c>
      <c r="N72" s="102" t="n">
        <f aca="false">N49</f>
        <v>-39249</v>
      </c>
      <c r="O72" s="102" t="n">
        <f aca="false">O49</f>
        <v>-39249</v>
      </c>
      <c r="P72" s="102" t="n">
        <f aca="false">P49</f>
        <v>-39249</v>
      </c>
      <c r="Q72" s="102" t="n">
        <f aca="false">Q49</f>
        <v>-39249</v>
      </c>
      <c r="R72" s="102" t="n">
        <f aca="false">R49</f>
        <v>-39249</v>
      </c>
      <c r="S72" s="102" t="n">
        <f aca="false">S49</f>
        <v>-39249</v>
      </c>
      <c r="T72" s="102" t="n">
        <f aca="false">T49</f>
        <v>-39249</v>
      </c>
      <c r="U72" s="102" t="n">
        <f aca="false">U49</f>
        <v>-39249</v>
      </c>
      <c r="V72" s="102" t="n">
        <f aca="false">V49</f>
        <v>-39249</v>
      </c>
      <c r="W72" s="102" t="n">
        <f aca="false">W49</f>
        <v>-39249</v>
      </c>
      <c r="X72" s="95"/>
    </row>
    <row r="73" customFormat="false" ht="18.75" hidden="false" customHeight="true" outlineLevel="0" collapsed="false">
      <c r="B73" s="100" t="s">
        <v>142</v>
      </c>
      <c r="C73" s="92"/>
      <c r="D73" s="102" t="n">
        <f aca="false">D50</f>
        <v>-43610</v>
      </c>
      <c r="E73" s="102" t="n">
        <f aca="false">E50</f>
        <v>-43610</v>
      </c>
      <c r="F73" s="102" t="n">
        <f aca="false">F50</f>
        <v>-43610</v>
      </c>
      <c r="G73" s="102" t="n">
        <f aca="false">G50</f>
        <v>-43610</v>
      </c>
      <c r="H73" s="102" t="n">
        <f aca="false">H50</f>
        <v>-43610</v>
      </c>
      <c r="I73" s="102" t="n">
        <f aca="false">I50</f>
        <v>-43610</v>
      </c>
      <c r="J73" s="102" t="n">
        <f aca="false">J50</f>
        <v>-43610</v>
      </c>
      <c r="K73" s="102" t="n">
        <f aca="false">K50</f>
        <v>-43610</v>
      </c>
      <c r="L73" s="102" t="n">
        <f aca="false">L50</f>
        <v>-43610</v>
      </c>
      <c r="M73" s="102" t="n">
        <f aca="false">M50</f>
        <v>-43610</v>
      </c>
      <c r="N73" s="102" t="n">
        <f aca="false">N50</f>
        <v>0</v>
      </c>
      <c r="O73" s="102" t="n">
        <f aca="false">O50</f>
        <v>0</v>
      </c>
      <c r="P73" s="102" t="n">
        <f aca="false">P50</f>
        <v>0</v>
      </c>
      <c r="Q73" s="102" t="n">
        <f aca="false">Q50</f>
        <v>0</v>
      </c>
      <c r="R73" s="102" t="n">
        <f aca="false">R50</f>
        <v>0</v>
      </c>
      <c r="S73" s="102" t="n">
        <f aca="false">S50</f>
        <v>0</v>
      </c>
      <c r="T73" s="102" t="n">
        <f aca="false">T50</f>
        <v>0</v>
      </c>
      <c r="U73" s="102" t="n">
        <f aca="false">U50</f>
        <v>0</v>
      </c>
      <c r="V73" s="102" t="n">
        <f aca="false">V50</f>
        <v>0</v>
      </c>
      <c r="W73" s="102" t="n">
        <f aca="false">W50</f>
        <v>0</v>
      </c>
      <c r="X73" s="95"/>
    </row>
    <row r="74" customFormat="false" ht="18.75" hidden="false" customHeight="true" outlineLevel="0" collapsed="false">
      <c r="B74" s="100" t="s">
        <v>143</v>
      </c>
      <c r="C74" s="103"/>
      <c r="D74" s="126"/>
      <c r="E74" s="127"/>
      <c r="F74" s="93"/>
      <c r="G74" s="93"/>
      <c r="H74" s="93"/>
      <c r="I74" s="93"/>
      <c r="J74" s="93"/>
      <c r="K74" s="93"/>
      <c r="L74" s="93"/>
      <c r="M74" s="93"/>
      <c r="N74" s="93"/>
      <c r="O74" s="93"/>
      <c r="P74" s="93"/>
      <c r="Q74" s="93"/>
      <c r="R74" s="93"/>
      <c r="S74" s="93"/>
      <c r="T74" s="93"/>
      <c r="U74" s="93"/>
      <c r="V74" s="93"/>
      <c r="W74" s="93"/>
      <c r="X74" s="95"/>
    </row>
    <row r="75" customFormat="false" ht="18.75" hidden="false" customHeight="true" outlineLevel="0" collapsed="false">
      <c r="B75" s="100" t="s">
        <v>144</v>
      </c>
      <c r="C75" s="103"/>
      <c r="D75" s="93"/>
      <c r="E75" s="93"/>
      <c r="F75" s="93"/>
      <c r="G75" s="93"/>
      <c r="H75" s="93"/>
      <c r="I75" s="93"/>
      <c r="J75" s="93"/>
      <c r="K75" s="93"/>
      <c r="L75" s="93"/>
      <c r="M75" s="93"/>
      <c r="N75" s="93"/>
      <c r="O75" s="93"/>
      <c r="P75" s="93"/>
      <c r="Q75" s="93"/>
      <c r="R75" s="93"/>
      <c r="S75" s="93"/>
      <c r="T75" s="93"/>
      <c r="U75" s="93"/>
      <c r="V75" s="93"/>
      <c r="W75" s="93"/>
      <c r="X75" s="95"/>
    </row>
    <row r="76" customFormat="false" ht="18.75" hidden="false" customHeight="true" outlineLevel="0" collapsed="false">
      <c r="B76" s="105" t="s">
        <v>152</v>
      </c>
      <c r="C76" s="128"/>
      <c r="D76" s="107" t="n">
        <f aca="false">SUM(D64:D75)</f>
        <v>679375.8</v>
      </c>
      <c r="E76" s="107" t="n">
        <f aca="false">SUM(E64:E75)</f>
        <v>404239.642666666</v>
      </c>
      <c r="F76" s="107" t="n">
        <f aca="false">SUM(F64:F75)</f>
        <v>419304.485333333</v>
      </c>
      <c r="G76" s="107" t="n">
        <f aca="false">SUM(G64:G75)</f>
        <v>434369.328</v>
      </c>
      <c r="H76" s="107" t="n">
        <f aca="false">SUM(H64:H75)</f>
        <v>449434.170666666</v>
      </c>
      <c r="I76" s="107" t="n">
        <f aca="false">SUM(I64:I75)</f>
        <v>464499.013333333</v>
      </c>
      <c r="J76" s="107" t="n">
        <f aca="false">SUM(J64:J75)</f>
        <v>479563.856</v>
      </c>
      <c r="K76" s="107" t="n">
        <f aca="false">SUM(K64:K75)</f>
        <v>494628.698666667</v>
      </c>
      <c r="L76" s="107" t="n">
        <f aca="false">SUM(L64:L75)</f>
        <v>509693.541333333</v>
      </c>
      <c r="M76" s="107" t="n">
        <f aca="false">SUM(M64:M75)</f>
        <v>524758.384</v>
      </c>
      <c r="N76" s="107" t="n">
        <f aca="false">SUM(N64:N75)</f>
        <v>583433.226666667</v>
      </c>
      <c r="O76" s="107" t="n">
        <f aca="false">SUM(O64:O75)</f>
        <v>598498.069333333</v>
      </c>
      <c r="P76" s="107" t="n">
        <f aca="false">SUM(P64:P75)</f>
        <v>613562.912</v>
      </c>
      <c r="Q76" s="107" t="n">
        <f aca="false">SUM(Q64:Q75)</f>
        <v>628627.754666667</v>
      </c>
      <c r="R76" s="107" t="n">
        <f aca="false">SUM(R64:R75)</f>
        <v>643692.597333333</v>
      </c>
      <c r="S76" s="107" t="n">
        <f aca="false">SUM(S64:S75)</f>
        <v>658757.44</v>
      </c>
      <c r="T76" s="107" t="n">
        <f aca="false">SUM(T64:T75)</f>
        <v>650005.408</v>
      </c>
      <c r="U76" s="107" t="n">
        <f aca="false">SUM(U64:U75)</f>
        <v>641253.376</v>
      </c>
      <c r="V76" s="107" t="n">
        <f aca="false">SUM(V64:V75)</f>
        <v>632501.344</v>
      </c>
      <c r="W76" s="107" t="n">
        <f aca="false">SUM(W64:W75)</f>
        <v>623749.312</v>
      </c>
      <c r="X76" s="107" t="n">
        <f aca="false">SUM(X64:X75)</f>
        <v>0</v>
      </c>
    </row>
    <row r="77" customFormat="false" ht="18.75" hidden="false" customHeight="true" outlineLevel="0" collapsed="false">
      <c r="B77" s="104" t="s">
        <v>146</v>
      </c>
      <c r="C77" s="103"/>
      <c r="D77" s="102" t="n">
        <f aca="false">-D76*0.2</f>
        <v>-135875.16</v>
      </c>
      <c r="E77" s="102" t="n">
        <f aca="false">-E76*0.2</f>
        <v>-80847.9285333333</v>
      </c>
      <c r="F77" s="102" t="n">
        <f aca="false">-F76*0.2</f>
        <v>-83860.8970666667</v>
      </c>
      <c r="G77" s="102" t="n">
        <f aca="false">-G76*0.2</f>
        <v>-86873.8656</v>
      </c>
      <c r="H77" s="102" t="n">
        <f aca="false">-H76*0.2</f>
        <v>-89886.8341333333</v>
      </c>
      <c r="I77" s="102" t="n">
        <f aca="false">-I76*0.2</f>
        <v>-92899.8026666666</v>
      </c>
      <c r="J77" s="102" t="n">
        <f aca="false">-J76*0.2</f>
        <v>-95912.7712</v>
      </c>
      <c r="K77" s="102" t="n">
        <f aca="false">-K76*0.2</f>
        <v>-98925.7397333333</v>
      </c>
      <c r="L77" s="102" t="n">
        <f aca="false">-L76*0.2</f>
        <v>-101938.708266667</v>
      </c>
      <c r="M77" s="102" t="n">
        <f aca="false">-M76*0.2</f>
        <v>-104951.6768</v>
      </c>
      <c r="N77" s="102" t="n">
        <f aca="false">-N76*0.2</f>
        <v>-116686.645333333</v>
      </c>
      <c r="O77" s="102" t="n">
        <f aca="false">-O76*0.2</f>
        <v>-119699.613866667</v>
      </c>
      <c r="P77" s="102" t="n">
        <f aca="false">-P76*0.2</f>
        <v>-122712.5824</v>
      </c>
      <c r="Q77" s="102" t="n">
        <f aca="false">-Q76*0.2</f>
        <v>-125725.550933333</v>
      </c>
      <c r="R77" s="102" t="n">
        <f aca="false">-R76*0.2</f>
        <v>-128738.519466667</v>
      </c>
      <c r="S77" s="102" t="n">
        <f aca="false">-S76*0.2</f>
        <v>-131751.488</v>
      </c>
      <c r="T77" s="102" t="n">
        <f aca="false">-T76*0.2</f>
        <v>-130001.0816</v>
      </c>
      <c r="U77" s="102" t="n">
        <f aca="false">-U76*0.2</f>
        <v>-128250.6752</v>
      </c>
      <c r="V77" s="102" t="n">
        <f aca="false">-V76*0.2</f>
        <v>-126500.2688</v>
      </c>
      <c r="W77" s="102" t="n">
        <f aca="false">-W76*0.2</f>
        <v>-124749.8624</v>
      </c>
      <c r="X77" s="102" t="n">
        <f aca="false">-X76*0.2</f>
        <v>-0</v>
      </c>
    </row>
    <row r="78" customFormat="false" ht="15.75" hidden="false" customHeight="true" outlineLevel="0" collapsed="false">
      <c r="B78" s="129" t="s">
        <v>153</v>
      </c>
      <c r="D78" s="102" t="n">
        <f aca="false">SUM(D76:D77)</f>
        <v>543500.64</v>
      </c>
      <c r="E78" s="102" t="n">
        <f aca="false">SUM(E76:E77)</f>
        <v>323391.714133333</v>
      </c>
      <c r="F78" s="102" t="n">
        <f aca="false">SUM(F76:F77)</f>
        <v>335443.588266667</v>
      </c>
      <c r="G78" s="102" t="n">
        <f aca="false">SUM(G76:G77)</f>
        <v>347495.4624</v>
      </c>
      <c r="H78" s="102" t="n">
        <f aca="false">SUM(H76:H77)</f>
        <v>359547.336533333</v>
      </c>
      <c r="I78" s="102" t="n">
        <f aca="false">SUM(I76:I77)</f>
        <v>371599.210666666</v>
      </c>
      <c r="J78" s="102" t="n">
        <f aca="false">SUM(J76:J77)</f>
        <v>383651.0848</v>
      </c>
      <c r="K78" s="102" t="n">
        <f aca="false">SUM(K76:K77)</f>
        <v>395702.958933333</v>
      </c>
      <c r="L78" s="102" t="n">
        <f aca="false">SUM(L76:L77)</f>
        <v>407754.833066667</v>
      </c>
      <c r="M78" s="102" t="n">
        <f aca="false">SUM(M76:M77)</f>
        <v>419806.7072</v>
      </c>
      <c r="N78" s="102" t="n">
        <f aca="false">SUM(N76:N77)</f>
        <v>466746.581333333</v>
      </c>
      <c r="O78" s="102" t="n">
        <f aca="false">SUM(O76:O77)</f>
        <v>478798.455466667</v>
      </c>
      <c r="P78" s="102" t="n">
        <f aca="false">SUM(P76:P77)</f>
        <v>490850.3296</v>
      </c>
      <c r="Q78" s="102" t="n">
        <f aca="false">SUM(Q76:Q77)</f>
        <v>502902.203733333</v>
      </c>
      <c r="R78" s="102" t="n">
        <f aca="false">SUM(R76:R77)</f>
        <v>514954.077866667</v>
      </c>
      <c r="S78" s="102" t="n">
        <f aca="false">SUM(S76:S77)</f>
        <v>527005.952</v>
      </c>
      <c r="T78" s="102" t="n">
        <f aca="false">SUM(T76:T77)</f>
        <v>520004.3264</v>
      </c>
      <c r="U78" s="102" t="n">
        <f aca="false">SUM(U76:U77)</f>
        <v>513002.7008</v>
      </c>
      <c r="V78" s="102" t="n">
        <f aca="false">SUM(V76:V77)</f>
        <v>506001.0752</v>
      </c>
      <c r="W78" s="102" t="n">
        <f aca="false">SUM(W76:W77)</f>
        <v>498999.4496</v>
      </c>
      <c r="X78" s="102" t="n">
        <f aca="false">SUM(X76:X77)</f>
        <v>0</v>
      </c>
    </row>
    <row r="79" customFormat="false" ht="18.75" hidden="false" customHeight="true" outlineLevel="0" collapsed="false">
      <c r="B79" s="111" t="s">
        <v>148</v>
      </c>
      <c r="C79" s="114"/>
      <c r="D79" s="130"/>
      <c r="E79" s="130"/>
      <c r="F79" s="130"/>
      <c r="G79" s="130"/>
      <c r="H79" s="130"/>
      <c r="I79" s="130"/>
      <c r="J79" s="130"/>
      <c r="K79" s="130"/>
      <c r="L79" s="130"/>
      <c r="M79" s="130"/>
      <c r="N79" s="130"/>
      <c r="O79" s="130"/>
      <c r="P79" s="130"/>
      <c r="Q79" s="130"/>
      <c r="R79" s="130"/>
      <c r="S79" s="130"/>
      <c r="T79" s="130"/>
      <c r="U79" s="130"/>
      <c r="V79" s="130"/>
      <c r="W79" s="130"/>
      <c r="X79" s="131"/>
    </row>
    <row r="80" customFormat="false" ht="18.75" hidden="false" customHeight="true" outlineLevel="0" collapsed="false">
      <c r="B80" s="132" t="s">
        <v>149</v>
      </c>
      <c r="C80" s="133"/>
      <c r="D80" s="134"/>
      <c r="E80" s="134"/>
      <c r="F80" s="134"/>
      <c r="G80" s="134"/>
      <c r="H80" s="134"/>
      <c r="I80" s="134"/>
      <c r="J80" s="134"/>
      <c r="K80" s="134"/>
      <c r="L80" s="134"/>
      <c r="M80" s="134"/>
      <c r="N80" s="134"/>
      <c r="O80" s="134"/>
      <c r="P80" s="134"/>
      <c r="Q80" s="134"/>
      <c r="R80" s="134"/>
      <c r="S80" s="134"/>
      <c r="T80" s="134"/>
      <c r="U80" s="134"/>
      <c r="V80" s="134"/>
      <c r="W80" s="134"/>
      <c r="X80" s="135"/>
    </row>
    <row r="81" customFormat="false" ht="18.75" hidden="false" customHeight="true" outlineLevel="0" collapsed="false">
      <c r="B81" s="120"/>
      <c r="C81" s="119"/>
      <c r="D81" s="119"/>
      <c r="E81" s="119"/>
      <c r="F81" s="120"/>
      <c r="G81" s="120"/>
      <c r="H81" s="120"/>
      <c r="I81" s="120"/>
      <c r="J81" s="120"/>
      <c r="K81" s="120"/>
      <c r="L81" s="120"/>
      <c r="M81" s="119"/>
      <c r="N81" s="120"/>
      <c r="O81" s="120"/>
      <c r="P81" s="120"/>
      <c r="Q81" s="120"/>
      <c r="R81" s="120"/>
      <c r="S81" s="120"/>
      <c r="T81" s="120"/>
      <c r="U81" s="120"/>
      <c r="V81" s="120"/>
      <c r="W81" s="120"/>
      <c r="X81" s="120"/>
    </row>
    <row r="82" customFormat="false" ht="18.75" hidden="false" customHeight="true" outlineLevel="0" collapsed="false">
      <c r="C82" s="136" t="s">
        <v>130</v>
      </c>
      <c r="D82" s="137" t="n">
        <f aca="false">D37</f>
        <v>2020</v>
      </c>
      <c r="E82" s="137" t="n">
        <f aca="false">E37</f>
        <v>2021</v>
      </c>
      <c r="F82" s="137" t="n">
        <f aca="false">F37</f>
        <v>2022</v>
      </c>
      <c r="G82" s="137" t="n">
        <f aca="false">G37</f>
        <v>2023</v>
      </c>
      <c r="H82" s="137" t="n">
        <f aca="false">H37</f>
        <v>2024</v>
      </c>
      <c r="I82" s="137" t="n">
        <f aca="false">I37</f>
        <v>2025</v>
      </c>
      <c r="J82" s="137" t="n">
        <f aca="false">J37</f>
        <v>2026</v>
      </c>
      <c r="K82" s="137" t="n">
        <f aca="false">K37</f>
        <v>2027</v>
      </c>
      <c r="L82" s="137" t="n">
        <f aca="false">L37</f>
        <v>2028</v>
      </c>
      <c r="M82" s="137" t="n">
        <f aca="false">M37</f>
        <v>2029</v>
      </c>
      <c r="N82" s="137" t="n">
        <f aca="false">N37</f>
        <v>2030</v>
      </c>
      <c r="O82" s="137" t="n">
        <f aca="false">O37</f>
        <v>2031</v>
      </c>
      <c r="P82" s="137" t="n">
        <f aca="false">P37</f>
        <v>2032</v>
      </c>
      <c r="Q82" s="137" t="n">
        <f aca="false">Q37</f>
        <v>2033</v>
      </c>
      <c r="R82" s="137" t="n">
        <f aca="false">R37</f>
        <v>2034</v>
      </c>
      <c r="S82" s="137" t="n">
        <f aca="false">S37</f>
        <v>2035</v>
      </c>
      <c r="T82" s="137" t="n">
        <f aca="false">T37</f>
        <v>2036</v>
      </c>
      <c r="U82" s="137" t="n">
        <f aca="false">U37</f>
        <v>2037</v>
      </c>
      <c r="V82" s="137" t="n">
        <f aca="false">V37</f>
        <v>2038</v>
      </c>
      <c r="W82" s="137" t="n">
        <f aca="false">W37</f>
        <v>2039</v>
      </c>
      <c r="X82" s="122"/>
    </row>
    <row r="83" customFormat="false" ht="18.75" hidden="false" customHeight="true" outlineLevel="0" collapsed="false">
      <c r="X83" s="121"/>
    </row>
    <row r="84" customFormat="false" ht="18.75" hidden="false" customHeight="true" outlineLevel="0" collapsed="false">
      <c r="B84" s="138" t="s">
        <v>131</v>
      </c>
      <c r="C84" s="138" t="n">
        <v>0</v>
      </c>
      <c r="D84" s="138" t="n">
        <v>1</v>
      </c>
      <c r="E84" s="138" t="n">
        <v>2</v>
      </c>
      <c r="F84" s="138" t="n">
        <v>3</v>
      </c>
      <c r="G84" s="138" t="n">
        <v>4</v>
      </c>
      <c r="H84" s="138" t="n">
        <v>5</v>
      </c>
      <c r="I84" s="138" t="n">
        <v>6</v>
      </c>
      <c r="J84" s="138" t="n">
        <v>7</v>
      </c>
      <c r="K84" s="138" t="n">
        <v>8</v>
      </c>
      <c r="L84" s="138" t="n">
        <v>9</v>
      </c>
      <c r="M84" s="138" t="n">
        <v>10</v>
      </c>
      <c r="N84" s="138" t="n">
        <v>11</v>
      </c>
      <c r="O84" s="138" t="n">
        <v>12</v>
      </c>
      <c r="P84" s="138" t="n">
        <v>13</v>
      </c>
      <c r="Q84" s="138" t="n">
        <v>14</v>
      </c>
      <c r="R84" s="138" t="n">
        <v>15</v>
      </c>
      <c r="S84" s="138" t="n">
        <v>16</v>
      </c>
      <c r="T84" s="138" t="n">
        <v>17</v>
      </c>
      <c r="U84" s="138" t="n">
        <v>18</v>
      </c>
      <c r="V84" s="138" t="n">
        <v>19</v>
      </c>
      <c r="W84" s="138" t="n">
        <v>20</v>
      </c>
      <c r="X84" s="139"/>
    </row>
    <row r="85" customFormat="false" ht="18.75" hidden="false" customHeight="true" outlineLevel="0" collapsed="false">
      <c r="B85" s="140" t="s">
        <v>153</v>
      </c>
      <c r="C85" s="140"/>
      <c r="D85" s="141" t="n">
        <f aca="false">D78</f>
        <v>543500.64</v>
      </c>
      <c r="E85" s="141" t="n">
        <f aca="false">E78</f>
        <v>323391.714133333</v>
      </c>
      <c r="F85" s="141" t="n">
        <f aca="false">F78</f>
        <v>335443.588266667</v>
      </c>
      <c r="G85" s="141" t="n">
        <f aca="false">G78</f>
        <v>347495.4624</v>
      </c>
      <c r="H85" s="141" t="n">
        <f aca="false">H78</f>
        <v>359547.336533333</v>
      </c>
      <c r="I85" s="141" t="n">
        <f aca="false">I78</f>
        <v>371599.210666666</v>
      </c>
      <c r="J85" s="141" t="n">
        <f aca="false">J78</f>
        <v>383651.0848</v>
      </c>
      <c r="K85" s="141" t="n">
        <f aca="false">K78</f>
        <v>395702.958933333</v>
      </c>
      <c r="L85" s="141" t="n">
        <f aca="false">L78</f>
        <v>407754.833066667</v>
      </c>
      <c r="M85" s="141" t="n">
        <f aca="false">M78</f>
        <v>419806.7072</v>
      </c>
      <c r="N85" s="141" t="n">
        <f aca="false">N78</f>
        <v>466746.581333333</v>
      </c>
      <c r="O85" s="141" t="n">
        <f aca="false">O78</f>
        <v>478798.455466667</v>
      </c>
      <c r="P85" s="141" t="n">
        <f aca="false">P78</f>
        <v>490850.3296</v>
      </c>
      <c r="Q85" s="141" t="n">
        <f aca="false">Q78</f>
        <v>502902.203733333</v>
      </c>
      <c r="R85" s="141" t="n">
        <f aca="false">R78</f>
        <v>514954.077866667</v>
      </c>
      <c r="S85" s="141" t="n">
        <f aca="false">S78</f>
        <v>527005.952</v>
      </c>
      <c r="T85" s="141" t="n">
        <f aca="false">T78</f>
        <v>520004.3264</v>
      </c>
      <c r="U85" s="141" t="n">
        <f aca="false">U78</f>
        <v>513002.7008</v>
      </c>
      <c r="V85" s="141" t="n">
        <f aca="false">V78</f>
        <v>506001.0752</v>
      </c>
      <c r="W85" s="141" t="n">
        <f aca="false">W78</f>
        <v>498999.4496</v>
      </c>
      <c r="X85" s="140"/>
      <c r="Y85" s="140"/>
    </row>
    <row r="86" customFormat="false" ht="15.75" hidden="false" customHeight="true" outlineLevel="0" collapsed="false">
      <c r="B86" s="140" t="s">
        <v>154</v>
      </c>
      <c r="C86" s="140"/>
      <c r="D86" s="142" t="n">
        <f aca="false">-D67</f>
        <v>872200</v>
      </c>
      <c r="E86" s="142" t="n">
        <f aca="false">-E67</f>
        <v>872200</v>
      </c>
      <c r="F86" s="142" t="n">
        <f aca="false">-F67</f>
        <v>872200</v>
      </c>
      <c r="G86" s="142" t="n">
        <f aca="false">-G67</f>
        <v>872200</v>
      </c>
      <c r="H86" s="142" t="n">
        <f aca="false">-H67</f>
        <v>872200</v>
      </c>
      <c r="I86" s="142" t="n">
        <f aca="false">-I67</f>
        <v>872200</v>
      </c>
      <c r="J86" s="142" t="n">
        <f aca="false">-J67</f>
        <v>872200</v>
      </c>
      <c r="K86" s="142" t="n">
        <f aca="false">-K67</f>
        <v>872200</v>
      </c>
      <c r="L86" s="142" t="n">
        <f aca="false">-L67</f>
        <v>872200</v>
      </c>
      <c r="M86" s="142" t="n">
        <f aca="false">-M67</f>
        <v>872200</v>
      </c>
      <c r="N86" s="142" t="n">
        <f aca="false">-N67</f>
        <v>872200</v>
      </c>
      <c r="O86" s="142" t="n">
        <f aca="false">-O67</f>
        <v>872200</v>
      </c>
      <c r="P86" s="142" t="n">
        <f aca="false">-P67</f>
        <v>872200</v>
      </c>
      <c r="Q86" s="142" t="n">
        <f aca="false">-Q67</f>
        <v>872200</v>
      </c>
      <c r="R86" s="142" t="n">
        <f aca="false">-R67</f>
        <v>872200</v>
      </c>
      <c r="S86" s="142" t="n">
        <f aca="false">-S67</f>
        <v>872200</v>
      </c>
      <c r="T86" s="142" t="n">
        <f aca="false">-T67</f>
        <v>872200</v>
      </c>
      <c r="U86" s="142" t="n">
        <f aca="false">-U67</f>
        <v>872200</v>
      </c>
      <c r="V86" s="142" t="n">
        <f aca="false">-V67</f>
        <v>872200</v>
      </c>
      <c r="W86" s="142" t="n">
        <f aca="false">-W67</f>
        <v>872200</v>
      </c>
      <c r="X86" s="143"/>
      <c r="Y86" s="143"/>
    </row>
    <row r="87" customFormat="false" ht="15.75" hidden="false" customHeight="true" outlineLevel="0" collapsed="false">
      <c r="B87" s="140" t="s">
        <v>155</v>
      </c>
      <c r="C87" s="140"/>
      <c r="D87" s="144" t="n">
        <f aca="false">SUM(D85:D86)</f>
        <v>1415700.64</v>
      </c>
      <c r="E87" s="144" t="n">
        <f aca="false">SUM(E85:E86)</f>
        <v>1195591.71413333</v>
      </c>
      <c r="F87" s="144" t="n">
        <f aca="false">SUM(F85:F86)</f>
        <v>1207643.58826667</v>
      </c>
      <c r="G87" s="144" t="n">
        <f aca="false">SUM(G85:G86)</f>
        <v>1219695.4624</v>
      </c>
      <c r="H87" s="144" t="n">
        <f aca="false">SUM(H85:H86)</f>
        <v>1231747.33653333</v>
      </c>
      <c r="I87" s="144" t="n">
        <f aca="false">SUM(I85:I86)</f>
        <v>1243799.21066667</v>
      </c>
      <c r="J87" s="144" t="n">
        <f aca="false">SUM(J85:J86)</f>
        <v>1255851.0848</v>
      </c>
      <c r="K87" s="144" t="n">
        <f aca="false">SUM(K85:K86)</f>
        <v>1267902.95893333</v>
      </c>
      <c r="L87" s="144" t="n">
        <f aca="false">SUM(L85:L86)</f>
        <v>1279954.83306667</v>
      </c>
      <c r="M87" s="144" t="n">
        <f aca="false">SUM(M85:M86)</f>
        <v>1292006.7072</v>
      </c>
      <c r="N87" s="144" t="n">
        <f aca="false">SUM(N85:N86)</f>
        <v>1338946.58133333</v>
      </c>
      <c r="O87" s="144" t="n">
        <f aca="false">SUM(O85:O86)</f>
        <v>1350998.45546667</v>
      </c>
      <c r="P87" s="144" t="n">
        <f aca="false">SUM(P85:P86)</f>
        <v>1363050.3296</v>
      </c>
      <c r="Q87" s="144" t="n">
        <f aca="false">SUM(Q85:Q86)</f>
        <v>1375102.20373333</v>
      </c>
      <c r="R87" s="144" t="n">
        <f aca="false">SUM(R85:R86)</f>
        <v>1387154.07786667</v>
      </c>
      <c r="S87" s="144" t="n">
        <f aca="false">SUM(S85:S86)</f>
        <v>1399205.952</v>
      </c>
      <c r="T87" s="144" t="n">
        <f aca="false">SUM(T85:T86)</f>
        <v>1392204.3264</v>
      </c>
      <c r="U87" s="144" t="n">
        <f aca="false">SUM(U85:U86)</f>
        <v>1385202.7008</v>
      </c>
      <c r="V87" s="144" t="n">
        <f aca="false">SUM(V85:V86)</f>
        <v>1378201.0752</v>
      </c>
      <c r="W87" s="144" t="n">
        <f aca="false">SUM(W85:W86)</f>
        <v>1371199.4496</v>
      </c>
      <c r="X87" s="110"/>
    </row>
    <row r="88" customFormat="false" ht="15.75" hidden="false" customHeight="true" outlineLevel="0" collapsed="false">
      <c r="B88" s="140"/>
      <c r="C88" s="140"/>
      <c r="D88" s="140"/>
      <c r="E88" s="140"/>
      <c r="F88" s="145"/>
      <c r="G88" s="145"/>
      <c r="H88" s="145"/>
      <c r="I88" s="145"/>
      <c r="J88" s="145"/>
      <c r="K88" s="145"/>
      <c r="L88" s="145"/>
      <c r="M88" s="145"/>
      <c r="N88" s="145"/>
      <c r="O88" s="145"/>
      <c r="P88" s="145"/>
      <c r="Q88" s="145"/>
      <c r="R88" s="145"/>
      <c r="S88" s="145"/>
      <c r="T88" s="145"/>
      <c r="U88" s="145"/>
      <c r="V88" s="145"/>
      <c r="W88" s="145"/>
      <c r="X88" s="109"/>
    </row>
    <row r="89" customFormat="false" ht="15.75" hidden="false" customHeight="true" outlineLevel="0" collapsed="false">
      <c r="B89" s="146" t="s">
        <v>156</v>
      </c>
      <c r="C89" s="147"/>
      <c r="D89" s="148" t="n">
        <f aca="false">C44</f>
        <v>-17444000</v>
      </c>
      <c r="E89" s="147"/>
      <c r="F89" s="147"/>
      <c r="G89" s="147"/>
      <c r="H89" s="147"/>
      <c r="I89" s="147"/>
      <c r="J89" s="147"/>
      <c r="K89" s="147"/>
      <c r="L89" s="147"/>
      <c r="M89" s="147"/>
      <c r="N89" s="147"/>
      <c r="O89" s="147"/>
      <c r="P89" s="147"/>
      <c r="Q89" s="147"/>
      <c r="R89" s="147"/>
      <c r="S89" s="147"/>
      <c r="T89" s="147"/>
      <c r="U89" s="147"/>
      <c r="V89" s="147"/>
      <c r="W89" s="147"/>
      <c r="X89" s="149"/>
    </row>
    <row r="90" customFormat="false" ht="15.75" hidden="false" customHeight="true" outlineLevel="0" collapsed="false">
      <c r="B90" s="140"/>
      <c r="C90" s="140"/>
      <c r="D90" s="140"/>
      <c r="E90" s="140"/>
      <c r="F90" s="145"/>
      <c r="G90" s="145"/>
      <c r="H90" s="145"/>
      <c r="I90" s="145"/>
      <c r="J90" s="145"/>
      <c r="K90" s="145"/>
      <c r="L90" s="145"/>
      <c r="M90" s="145"/>
      <c r="N90" s="145"/>
      <c r="O90" s="145"/>
      <c r="P90" s="145"/>
      <c r="Q90" s="145"/>
      <c r="R90" s="145"/>
      <c r="S90" s="145"/>
      <c r="T90" s="145"/>
      <c r="U90" s="145"/>
      <c r="V90" s="145"/>
      <c r="W90" s="145"/>
      <c r="X90" s="109"/>
    </row>
    <row r="91" customFormat="false" ht="15.75" hidden="false" customHeight="true" outlineLevel="0" collapsed="false">
      <c r="B91" s="140"/>
      <c r="C91" s="140"/>
      <c r="D91" s="140"/>
      <c r="E91" s="140"/>
      <c r="F91" s="145"/>
      <c r="G91" s="145"/>
      <c r="H91" s="145"/>
      <c r="I91" s="145"/>
      <c r="J91" s="145"/>
      <c r="K91" s="145"/>
      <c r="L91" s="145"/>
      <c r="M91" s="145"/>
      <c r="N91" s="145"/>
      <c r="O91" s="145"/>
      <c r="P91" s="145"/>
      <c r="Q91" s="145"/>
      <c r="R91" s="145"/>
      <c r="S91" s="145"/>
      <c r="T91" s="145"/>
      <c r="U91" s="145"/>
      <c r="V91" s="145"/>
      <c r="W91" s="145"/>
      <c r="X91" s="109"/>
    </row>
    <row r="92" customFormat="false" ht="15.75" hidden="false" customHeight="true" outlineLevel="0" collapsed="false">
      <c r="B92" s="146" t="s">
        <v>157</v>
      </c>
      <c r="C92" s="147"/>
      <c r="D92" s="148" t="n">
        <f aca="false">-D89*D31</f>
        <v>13955200</v>
      </c>
      <c r="E92" s="147"/>
      <c r="F92" s="147"/>
      <c r="G92" s="147"/>
      <c r="H92" s="147"/>
      <c r="I92" s="147"/>
      <c r="J92" s="147"/>
      <c r="K92" s="147"/>
      <c r="L92" s="147"/>
      <c r="M92" s="147"/>
      <c r="N92" s="147"/>
      <c r="O92" s="147"/>
      <c r="P92" s="147"/>
      <c r="Q92" s="147"/>
      <c r="R92" s="147"/>
      <c r="S92" s="147"/>
      <c r="T92" s="147"/>
      <c r="U92" s="147"/>
      <c r="V92" s="147"/>
      <c r="W92" s="147"/>
      <c r="X92" s="109"/>
    </row>
    <row r="93" customFormat="false" ht="15.75" hidden="false" customHeight="true" outlineLevel="0" collapsed="false">
      <c r="B93" s="140" t="s">
        <v>158</v>
      </c>
      <c r="C93" s="140"/>
      <c r="D93" s="150"/>
      <c r="E93" s="150" t="n">
        <v>-930346.666666667</v>
      </c>
      <c r="F93" s="150" t="n">
        <v>-930346.666666667</v>
      </c>
      <c r="G93" s="150" t="n">
        <v>-930346.666666667</v>
      </c>
      <c r="H93" s="150" t="n">
        <v>-930346.666666667</v>
      </c>
      <c r="I93" s="150" t="n">
        <v>-930346.666666667</v>
      </c>
      <c r="J93" s="150" t="n">
        <v>-930346.666666667</v>
      </c>
      <c r="K93" s="150" t="n">
        <v>-930346.666666667</v>
      </c>
      <c r="L93" s="150" t="n">
        <v>-930346.666666667</v>
      </c>
      <c r="M93" s="150" t="n">
        <v>-930346.666666667</v>
      </c>
      <c r="N93" s="150" t="n">
        <v>-930346.666666667</v>
      </c>
      <c r="O93" s="150" t="n">
        <v>-930346.666666667</v>
      </c>
      <c r="P93" s="150" t="n">
        <v>-930346.666666667</v>
      </c>
      <c r="Q93" s="150" t="n">
        <v>-930346.666666667</v>
      </c>
      <c r="R93" s="150" t="n">
        <v>-930346.666666667</v>
      </c>
      <c r="S93" s="150" t="n">
        <v>-930346.666666667</v>
      </c>
      <c r="T93" s="150" t="n">
        <v>0</v>
      </c>
      <c r="U93" s="150" t="n">
        <v>0</v>
      </c>
      <c r="V93" s="150" t="n">
        <v>0</v>
      </c>
      <c r="W93" s="150" t="n">
        <v>0</v>
      </c>
      <c r="X93" s="149"/>
    </row>
    <row r="94" customFormat="false" ht="15.75" hidden="false" customHeight="true" outlineLevel="0" collapsed="false">
      <c r="B94" s="140" t="s">
        <v>159</v>
      </c>
      <c r="C94" s="145"/>
      <c r="D94" s="141" t="n">
        <f aca="false">-D89*(1-D31)</f>
        <v>3488800</v>
      </c>
      <c r="E94" s="145"/>
      <c r="F94" s="145"/>
      <c r="G94" s="145"/>
      <c r="H94" s="145"/>
      <c r="I94" s="145"/>
      <c r="J94" s="145"/>
      <c r="K94" s="145"/>
      <c r="L94" s="145"/>
      <c r="M94" s="145"/>
      <c r="N94" s="145"/>
      <c r="O94" s="145"/>
      <c r="P94" s="145"/>
      <c r="Q94" s="145"/>
      <c r="R94" s="145"/>
      <c r="S94" s="145"/>
      <c r="T94" s="145"/>
      <c r="U94" s="145"/>
      <c r="V94" s="145"/>
      <c r="W94" s="145"/>
      <c r="X94" s="110"/>
    </row>
    <row r="95" customFormat="false" ht="15.75" hidden="false" customHeight="true" outlineLevel="0" collapsed="false">
      <c r="B95" s="140" t="s">
        <v>67</v>
      </c>
      <c r="C95" s="145"/>
      <c r="D95" s="145"/>
      <c r="E95" s="151" t="n">
        <f aca="false">-D85*$D$33</f>
        <v>-489150.576</v>
      </c>
      <c r="F95" s="151" t="n">
        <f aca="false">-E85*$D$33</f>
        <v>-291052.54272</v>
      </c>
      <c r="G95" s="151" t="n">
        <f aca="false">-F85*$D$33</f>
        <v>-301899.22944</v>
      </c>
      <c r="H95" s="151" t="n">
        <f aca="false">-G85*$D$33</f>
        <v>-312745.91616</v>
      </c>
      <c r="I95" s="151" t="n">
        <f aca="false">-H85*$D$33</f>
        <v>-323592.60288</v>
      </c>
      <c r="J95" s="151" t="n">
        <f aca="false">-I85*$D$33</f>
        <v>-334439.2896</v>
      </c>
      <c r="K95" s="151" t="n">
        <f aca="false">-J85*$D$33</f>
        <v>-345285.97632</v>
      </c>
      <c r="L95" s="151" t="n">
        <f aca="false">-K85*$D$33</f>
        <v>-356132.66304</v>
      </c>
      <c r="M95" s="151" t="n">
        <f aca="false">-L85*$D$33</f>
        <v>-366979.34976</v>
      </c>
      <c r="N95" s="151" t="n">
        <f aca="false">-M85*$D$33</f>
        <v>-377826.03648</v>
      </c>
      <c r="O95" s="151" t="n">
        <f aca="false">-N85*$D$33</f>
        <v>-420071.9232</v>
      </c>
      <c r="P95" s="151" t="n">
        <f aca="false">-O85*$D$33</f>
        <v>-430918.60992</v>
      </c>
      <c r="Q95" s="151" t="n">
        <f aca="false">-P85*$D$33</f>
        <v>-441765.29664</v>
      </c>
      <c r="R95" s="151" t="n">
        <f aca="false">-Q85*$D$33</f>
        <v>-452611.98336</v>
      </c>
      <c r="S95" s="151" t="n">
        <f aca="false">-R85*$D$33</f>
        <v>-463458.67008</v>
      </c>
      <c r="T95" s="151" t="n">
        <f aca="false">-S85*$D$33</f>
        <v>-474305.3568</v>
      </c>
      <c r="U95" s="151" t="n">
        <f aca="false">-T85*$D$33</f>
        <v>-468003.89376</v>
      </c>
      <c r="V95" s="151" t="n">
        <f aca="false">-U85*$D$33</f>
        <v>-461702.43072</v>
      </c>
      <c r="W95" s="151" t="n">
        <f aca="false">-V85*$D$33</f>
        <v>-455400.96768</v>
      </c>
      <c r="X95" s="151" t="n">
        <f aca="false">-W85*$D$33</f>
        <v>-449099.50464</v>
      </c>
    </row>
    <row r="96" customFormat="false" ht="15.75" hidden="false" customHeight="true" outlineLevel="0" collapsed="false">
      <c r="B96" s="152" t="s">
        <v>70</v>
      </c>
      <c r="C96" s="153"/>
      <c r="D96" s="153" t="n">
        <v>0</v>
      </c>
      <c r="E96" s="154" t="n">
        <v>0</v>
      </c>
      <c r="F96" s="154" t="n">
        <v>0</v>
      </c>
      <c r="G96" s="154" t="n">
        <v>0</v>
      </c>
      <c r="H96" s="154" t="n">
        <v>0</v>
      </c>
      <c r="I96" s="154" t="n">
        <v>0</v>
      </c>
      <c r="J96" s="154" t="n">
        <v>0</v>
      </c>
      <c r="K96" s="154" t="n">
        <v>0</v>
      </c>
      <c r="L96" s="154" t="n">
        <v>0</v>
      </c>
      <c r="M96" s="154" t="n">
        <v>0</v>
      </c>
      <c r="N96" s="154" t="n">
        <v>0</v>
      </c>
      <c r="O96" s="154" t="n">
        <v>0</v>
      </c>
      <c r="P96" s="154" t="n">
        <v>0</v>
      </c>
      <c r="Q96" s="154" t="n">
        <v>0</v>
      </c>
      <c r="R96" s="154" t="n">
        <v>0</v>
      </c>
      <c r="S96" s="154" t="n">
        <v>0</v>
      </c>
      <c r="T96" s="154" t="n">
        <v>-872200</v>
      </c>
      <c r="U96" s="154" t="n">
        <v>-872200</v>
      </c>
      <c r="V96" s="154" t="n">
        <v>-872200</v>
      </c>
      <c r="W96" s="154" t="n">
        <v>-872200</v>
      </c>
      <c r="X96" s="155" t="n">
        <f aca="false">-W101-X95</f>
        <v>-890715.868800001</v>
      </c>
    </row>
    <row r="97" customFormat="false" ht="15.75" hidden="false" customHeight="true" outlineLevel="0" collapsed="false">
      <c r="B97" s="145"/>
      <c r="C97" s="145"/>
      <c r="D97" s="145"/>
      <c r="E97" s="145"/>
      <c r="F97" s="145"/>
      <c r="G97" s="145"/>
      <c r="H97" s="145"/>
      <c r="I97" s="145"/>
      <c r="J97" s="145"/>
      <c r="K97" s="145"/>
      <c r="L97" s="145"/>
      <c r="M97" s="145"/>
      <c r="N97" s="145"/>
      <c r="O97" s="145"/>
      <c r="P97" s="145"/>
      <c r="Q97" s="145"/>
      <c r="R97" s="145"/>
      <c r="S97" s="145"/>
      <c r="T97" s="145"/>
      <c r="U97" s="145"/>
      <c r="V97" s="145"/>
      <c r="W97" s="145"/>
      <c r="X97" s="110"/>
    </row>
    <row r="98" customFormat="false" ht="15.75" hidden="false" customHeight="true" outlineLevel="0" collapsed="false">
      <c r="B98" s="145"/>
      <c r="C98" s="145"/>
      <c r="D98" s="145"/>
      <c r="E98" s="145"/>
      <c r="F98" s="145"/>
      <c r="G98" s="145"/>
      <c r="H98" s="145"/>
      <c r="I98" s="145"/>
      <c r="J98" s="145"/>
      <c r="K98" s="145"/>
      <c r="L98" s="145"/>
      <c r="M98" s="145"/>
      <c r="N98" s="145"/>
      <c r="O98" s="145"/>
      <c r="P98" s="145"/>
      <c r="Q98" s="145"/>
      <c r="R98" s="145"/>
      <c r="S98" s="145"/>
      <c r="T98" s="145"/>
      <c r="U98" s="145"/>
      <c r="V98" s="145"/>
      <c r="W98" s="145"/>
      <c r="X98" s="110"/>
    </row>
    <row r="99" customFormat="false" ht="15.75" hidden="false" customHeight="true" outlineLevel="0" collapsed="false">
      <c r="B99" s="140" t="s">
        <v>160</v>
      </c>
      <c r="C99" s="141" t="n">
        <v>0</v>
      </c>
      <c r="D99" s="141" t="n">
        <f aca="false">SUM(D87:D96)</f>
        <v>1415700.64</v>
      </c>
      <c r="E99" s="141" t="n">
        <f aca="false">SUM(E87:E96)</f>
        <v>-223905.528533333</v>
      </c>
      <c r="F99" s="141" t="n">
        <f aca="false">SUM(F87:F96)</f>
        <v>-13755.6211199997</v>
      </c>
      <c r="G99" s="141" t="n">
        <f aca="false">SUM(G87:G96)</f>
        <v>-12550.4337066666</v>
      </c>
      <c r="H99" s="141" t="n">
        <f aca="false">SUM(H87:H96)</f>
        <v>-11345.2462933334</v>
      </c>
      <c r="I99" s="141" t="n">
        <f aca="false">SUM(I87:I96)</f>
        <v>-10140.0588800002</v>
      </c>
      <c r="J99" s="141" t="n">
        <f aca="false">SUM(J87:J96)</f>
        <v>-8934.87146666634</v>
      </c>
      <c r="K99" s="141" t="n">
        <f aca="false">SUM(K87:K96)</f>
        <v>-7729.68405333324</v>
      </c>
      <c r="L99" s="141" t="n">
        <f aca="false">SUM(L87:L96)</f>
        <v>-6524.49664000009</v>
      </c>
      <c r="M99" s="141" t="n">
        <f aca="false">SUM(M87:M96)</f>
        <v>-5319.3092266664</v>
      </c>
      <c r="N99" s="141" t="n">
        <f aca="false">SUM(N87:N96)</f>
        <v>30773.8781866666</v>
      </c>
      <c r="O99" s="141" t="n">
        <f aca="false">SUM(O87:O96)</f>
        <v>579.865600000252</v>
      </c>
      <c r="P99" s="141" t="n">
        <f aca="false">SUM(P87:P96)</f>
        <v>1785.05301333324</v>
      </c>
      <c r="Q99" s="141" t="n">
        <f aca="false">SUM(Q87:Q96)</f>
        <v>2990.24042666692</v>
      </c>
      <c r="R99" s="141" t="n">
        <f aca="false">SUM(R87:R96)</f>
        <v>4195.4278399999</v>
      </c>
      <c r="S99" s="141" t="n">
        <f aca="false">SUM(S87:S96)</f>
        <v>5400.61525333358</v>
      </c>
      <c r="T99" s="141" t="n">
        <f aca="false">SUM(T87:T96)</f>
        <v>45698.9696</v>
      </c>
      <c r="U99" s="141" t="n">
        <f aca="false">SUM(U87:U96)</f>
        <v>44998.8070400001</v>
      </c>
      <c r="V99" s="141" t="n">
        <f aca="false">SUM(V87:V96)</f>
        <v>44298.6444799999</v>
      </c>
      <c r="W99" s="141" t="n">
        <f aca="false">SUM(W87:W96)</f>
        <v>43598.4819200001</v>
      </c>
      <c r="X99" s="110"/>
    </row>
    <row r="100" customFormat="false" ht="15.75" hidden="false" customHeight="true" outlineLevel="0" collapsed="false">
      <c r="B100" s="140" t="s">
        <v>161</v>
      </c>
      <c r="C100" s="141" t="n">
        <v>0</v>
      </c>
      <c r="D100" s="141" t="n">
        <f aca="false">C101</f>
        <v>0</v>
      </c>
      <c r="E100" s="141" t="n">
        <f aca="false">D101</f>
        <v>1415700.64</v>
      </c>
      <c r="F100" s="141" t="n">
        <f aca="false">E101</f>
        <v>1191795.11146667</v>
      </c>
      <c r="G100" s="141" t="n">
        <f aca="false">F101</f>
        <v>1178039.49034667</v>
      </c>
      <c r="H100" s="141" t="n">
        <f aca="false">G101</f>
        <v>1165489.05664</v>
      </c>
      <c r="I100" s="141" t="n">
        <f aca="false">H101</f>
        <v>1154143.81034667</v>
      </c>
      <c r="J100" s="141" t="n">
        <f aca="false">I101</f>
        <v>1144003.75146667</v>
      </c>
      <c r="K100" s="141" t="n">
        <f aca="false">J101</f>
        <v>1135068.88</v>
      </c>
      <c r="L100" s="141" t="n">
        <f aca="false">K101</f>
        <v>1127339.19594667</v>
      </c>
      <c r="M100" s="141" t="n">
        <f aca="false">L101</f>
        <v>1120814.69930667</v>
      </c>
      <c r="N100" s="141" t="n">
        <f aca="false">M101</f>
        <v>1115495.39008</v>
      </c>
      <c r="O100" s="141" t="n">
        <f aca="false">N101</f>
        <v>1146269.26826667</v>
      </c>
      <c r="P100" s="141" t="n">
        <f aca="false">O101</f>
        <v>1146849.13386667</v>
      </c>
      <c r="Q100" s="141" t="n">
        <f aca="false">P101</f>
        <v>1148634.18688</v>
      </c>
      <c r="R100" s="141" t="n">
        <f aca="false">Q101</f>
        <v>1151624.42730667</v>
      </c>
      <c r="S100" s="141" t="n">
        <f aca="false">R101</f>
        <v>1155819.85514667</v>
      </c>
      <c r="T100" s="141" t="n">
        <f aca="false">S101</f>
        <v>1161220.4704</v>
      </c>
      <c r="U100" s="141" t="n">
        <f aca="false">T101</f>
        <v>1206919.44</v>
      </c>
      <c r="V100" s="141" t="n">
        <f aca="false">U101</f>
        <v>1251918.24704</v>
      </c>
      <c r="W100" s="141" t="n">
        <f aca="false">V101</f>
        <v>1296216.89152</v>
      </c>
      <c r="X100" s="109"/>
    </row>
    <row r="101" customFormat="false" ht="15.75" hidden="false" customHeight="true" outlineLevel="0" collapsed="false">
      <c r="B101" s="140" t="s">
        <v>162</v>
      </c>
      <c r="C101" s="141" t="n">
        <v>0</v>
      </c>
      <c r="D101" s="141" t="n">
        <f aca="false">D99+D100</f>
        <v>1415700.64</v>
      </c>
      <c r="E101" s="141" t="n">
        <f aca="false">E99+E100</f>
        <v>1191795.11146667</v>
      </c>
      <c r="F101" s="141" t="n">
        <f aca="false">F99+F100</f>
        <v>1178039.49034667</v>
      </c>
      <c r="G101" s="141" t="n">
        <f aca="false">G99+G100</f>
        <v>1165489.05664</v>
      </c>
      <c r="H101" s="141" t="n">
        <f aca="false">H99+H100</f>
        <v>1154143.81034667</v>
      </c>
      <c r="I101" s="141" t="n">
        <f aca="false">I99+I100</f>
        <v>1144003.75146667</v>
      </c>
      <c r="J101" s="141" t="n">
        <f aca="false">J99+J100</f>
        <v>1135068.88</v>
      </c>
      <c r="K101" s="141" t="n">
        <f aca="false">K99+K100</f>
        <v>1127339.19594667</v>
      </c>
      <c r="L101" s="141" t="n">
        <f aca="false">L99+L100</f>
        <v>1120814.69930667</v>
      </c>
      <c r="M101" s="141" t="n">
        <f aca="false">M99+M100</f>
        <v>1115495.39008</v>
      </c>
      <c r="N101" s="141" t="n">
        <f aca="false">N99+N100</f>
        <v>1146269.26826667</v>
      </c>
      <c r="O101" s="141" t="n">
        <f aca="false">O99+O100</f>
        <v>1146849.13386667</v>
      </c>
      <c r="P101" s="141" t="n">
        <f aca="false">P99+P100</f>
        <v>1148634.18688</v>
      </c>
      <c r="Q101" s="141" t="n">
        <f aca="false">Q99+Q100</f>
        <v>1151624.42730667</v>
      </c>
      <c r="R101" s="141" t="n">
        <f aca="false">R99+R100</f>
        <v>1155819.85514667</v>
      </c>
      <c r="S101" s="141" t="n">
        <f aca="false">S99+S100</f>
        <v>1161220.4704</v>
      </c>
      <c r="T101" s="141" t="n">
        <f aca="false">T99+T100</f>
        <v>1206919.44</v>
      </c>
      <c r="U101" s="141" t="n">
        <f aca="false">U99+U100</f>
        <v>1251918.24704</v>
      </c>
      <c r="V101" s="141" t="n">
        <f aca="false">V99+V100</f>
        <v>1296216.89152</v>
      </c>
      <c r="W101" s="141" t="n">
        <f aca="false">W99+W100</f>
        <v>1339815.37344</v>
      </c>
      <c r="X101" s="109"/>
    </row>
    <row r="102" customFormat="false" ht="15.75" hidden="false" customHeight="true" outlineLevel="0" collapsed="false">
      <c r="B102" s="140"/>
      <c r="C102" s="140"/>
      <c r="D102" s="140"/>
      <c r="E102" s="140"/>
      <c r="F102" s="140"/>
      <c r="G102" s="140"/>
      <c r="H102" s="140"/>
      <c r="I102" s="140"/>
      <c r="J102" s="140"/>
      <c r="K102" s="140"/>
      <c r="L102" s="140"/>
      <c r="M102" s="140"/>
      <c r="N102" s="140"/>
      <c r="O102" s="140"/>
      <c r="P102" s="140"/>
      <c r="Q102" s="140"/>
      <c r="R102" s="140"/>
      <c r="S102" s="140"/>
      <c r="T102" s="140"/>
      <c r="U102" s="140"/>
      <c r="V102" s="140"/>
      <c r="W102" s="140"/>
      <c r="X102" s="140"/>
    </row>
    <row r="103" customFormat="false" ht="15.75" hidden="false" customHeight="true" outlineLevel="0" collapsed="false">
      <c r="B103" s="140"/>
      <c r="C103" s="140"/>
      <c r="D103" s="140"/>
      <c r="E103" s="140"/>
      <c r="F103" s="145"/>
      <c r="G103" s="140"/>
      <c r="H103" s="140"/>
      <c r="I103" s="140"/>
      <c r="J103" s="140"/>
      <c r="K103" s="140"/>
      <c r="L103" s="140"/>
      <c r="M103" s="140"/>
      <c r="N103" s="140"/>
      <c r="O103" s="140"/>
      <c r="P103" s="140"/>
      <c r="Q103" s="140"/>
      <c r="R103" s="140"/>
      <c r="S103" s="140"/>
      <c r="T103" s="140"/>
      <c r="U103" s="140"/>
      <c r="V103" s="140"/>
      <c r="W103" s="140"/>
      <c r="X103" s="140"/>
    </row>
    <row r="104" customFormat="false" ht="15.75" hidden="false" customHeight="true" outlineLevel="0" collapsed="false">
      <c r="B104" s="156" t="s">
        <v>163</v>
      </c>
      <c r="C104" s="157"/>
      <c r="D104" s="158" t="n">
        <f aca="false">-D94</f>
        <v>-3488800</v>
      </c>
      <c r="E104" s="144" t="n">
        <f aca="false">-E95-E96</f>
        <v>489150.576</v>
      </c>
      <c r="F104" s="144" t="n">
        <f aca="false">-F95-F96</f>
        <v>291052.54272</v>
      </c>
      <c r="G104" s="144" t="n">
        <f aca="false">-G95-G96</f>
        <v>301899.22944</v>
      </c>
      <c r="H104" s="144" t="n">
        <f aca="false">-H95-H96</f>
        <v>312745.91616</v>
      </c>
      <c r="I104" s="144" t="n">
        <f aca="false">-I95-I96</f>
        <v>323592.60288</v>
      </c>
      <c r="J104" s="144" t="n">
        <f aca="false">-J95-J96</f>
        <v>334439.2896</v>
      </c>
      <c r="K104" s="144" t="n">
        <f aca="false">-K95-K96</f>
        <v>345285.97632</v>
      </c>
      <c r="L104" s="144" t="n">
        <f aca="false">-L95-L96</f>
        <v>356132.66304</v>
      </c>
      <c r="M104" s="144" t="n">
        <f aca="false">-M95-M96</f>
        <v>366979.34976</v>
      </c>
      <c r="N104" s="144" t="n">
        <f aca="false">-N95-N96</f>
        <v>377826.03648</v>
      </c>
      <c r="O104" s="144" t="n">
        <f aca="false">-O95-O96</f>
        <v>420071.9232</v>
      </c>
      <c r="P104" s="144" t="n">
        <f aca="false">-P95-P96</f>
        <v>430918.60992</v>
      </c>
      <c r="Q104" s="144" t="n">
        <f aca="false">-Q95-Q96</f>
        <v>441765.29664</v>
      </c>
      <c r="R104" s="144" t="n">
        <f aca="false">-R95-R96</f>
        <v>452611.98336</v>
      </c>
      <c r="S104" s="144" t="n">
        <f aca="false">-S95-S96</f>
        <v>463458.67008</v>
      </c>
      <c r="T104" s="144" t="n">
        <f aca="false">-T95-T96</f>
        <v>1346505.3568</v>
      </c>
      <c r="U104" s="144" t="n">
        <f aca="false">-U95-U96</f>
        <v>1340203.89376</v>
      </c>
      <c r="V104" s="144" t="n">
        <f aca="false">-V95-V96</f>
        <v>1333902.43072</v>
      </c>
      <c r="W104" s="144" t="n">
        <f aca="false">-W95-W96</f>
        <v>1327600.96768</v>
      </c>
      <c r="X104" s="144" t="n">
        <f aca="false">-X95-X96</f>
        <v>1339815.37344</v>
      </c>
    </row>
    <row r="105" customFormat="false" ht="15.75" hidden="false" customHeight="true" outlineLevel="0" collapsed="false">
      <c r="B105" s="140" t="s">
        <v>75</v>
      </c>
      <c r="C105" s="159" t="n">
        <f aca="false">IRR(D104:X104)</f>
        <v>0.116205799875032</v>
      </c>
      <c r="D105" s="145"/>
      <c r="E105" s="145"/>
      <c r="F105" s="140"/>
      <c r="G105" s="140"/>
      <c r="H105" s="140"/>
      <c r="I105" s="140"/>
      <c r="J105" s="140"/>
      <c r="K105" s="140"/>
      <c r="L105" s="140"/>
      <c r="M105" s="140"/>
      <c r="N105" s="140"/>
      <c r="O105" s="140"/>
      <c r="P105" s="140"/>
      <c r="Q105" s="140"/>
      <c r="R105" s="140"/>
      <c r="S105" s="140"/>
      <c r="T105" s="140"/>
      <c r="U105" s="140"/>
      <c r="V105" s="140"/>
      <c r="W105" s="140"/>
      <c r="X105" s="140"/>
    </row>
    <row r="106" customFormat="false" ht="15.75" hidden="false" customHeight="true" outlineLevel="0" collapsed="false">
      <c r="B106" s="156" t="s">
        <v>164</v>
      </c>
      <c r="C106" s="157"/>
      <c r="D106" s="158" t="n">
        <f aca="false">D85-D94</f>
        <v>-2945299.36</v>
      </c>
      <c r="E106" s="144" t="n">
        <f aca="false">E85</f>
        <v>323391.714133333</v>
      </c>
      <c r="F106" s="144" t="n">
        <f aca="false">F85-F96</f>
        <v>335443.588266667</v>
      </c>
      <c r="G106" s="144" t="n">
        <f aca="false">G85-G96</f>
        <v>347495.4624</v>
      </c>
      <c r="H106" s="144" t="n">
        <f aca="false">H85-H96</f>
        <v>359547.336533333</v>
      </c>
      <c r="I106" s="144" t="n">
        <f aca="false">I85-I96</f>
        <v>371599.210666666</v>
      </c>
      <c r="J106" s="144" t="n">
        <f aca="false">J85-J96</f>
        <v>383651.0848</v>
      </c>
      <c r="K106" s="144" t="n">
        <f aca="false">K85-K96</f>
        <v>395702.958933333</v>
      </c>
      <c r="L106" s="144" t="n">
        <f aca="false">L85-L96</f>
        <v>407754.833066667</v>
      </c>
      <c r="M106" s="144" t="n">
        <f aca="false">M85-M96</f>
        <v>419806.7072</v>
      </c>
      <c r="N106" s="144" t="n">
        <f aca="false">N85-N96</f>
        <v>466746.581333333</v>
      </c>
      <c r="O106" s="144" t="n">
        <f aca="false">O85-O96</f>
        <v>478798.455466667</v>
      </c>
      <c r="P106" s="144" t="n">
        <f aca="false">P85-P96</f>
        <v>490850.3296</v>
      </c>
      <c r="Q106" s="144" t="n">
        <f aca="false">Q85-Q96</f>
        <v>502902.203733333</v>
      </c>
      <c r="R106" s="144" t="n">
        <f aca="false">R85-R96</f>
        <v>514954.077866667</v>
      </c>
      <c r="S106" s="144" t="n">
        <f aca="false">S85-S96</f>
        <v>527005.952</v>
      </c>
      <c r="T106" s="144" t="n">
        <f aca="false">T85-T96</f>
        <v>1392204.3264</v>
      </c>
      <c r="U106" s="144" t="n">
        <f aca="false">U85-U96</f>
        <v>1385202.7008</v>
      </c>
      <c r="V106" s="144" t="n">
        <f aca="false">V85-V96</f>
        <v>1378201.0752</v>
      </c>
      <c r="W106" s="144" t="n">
        <f aca="false">W85-W96</f>
        <v>1371199.4496</v>
      </c>
      <c r="X106" s="149"/>
    </row>
    <row r="107" customFormat="false" ht="15.75" hidden="false" customHeight="true" outlineLevel="0" collapsed="false">
      <c r="B107" s="156" t="s">
        <v>76</v>
      </c>
      <c r="C107" s="159" t="n">
        <f aca="false">IRR(D106:W106)</f>
        <v>0.139773057900856</v>
      </c>
      <c r="D107" s="145"/>
      <c r="E107" s="145"/>
      <c r="F107" s="140"/>
      <c r="G107" s="140"/>
      <c r="H107" s="140"/>
      <c r="I107" s="140"/>
      <c r="J107" s="140"/>
      <c r="K107" s="140"/>
      <c r="L107" s="140"/>
      <c r="M107" s="140"/>
      <c r="N107" s="140"/>
      <c r="O107" s="140"/>
      <c r="P107" s="140"/>
      <c r="Q107" s="140"/>
      <c r="R107" s="140"/>
      <c r="S107" s="140"/>
      <c r="T107" s="140"/>
      <c r="U107" s="140"/>
      <c r="V107" s="140"/>
      <c r="W107" s="140"/>
      <c r="X107" s="140"/>
    </row>
    <row r="108" customFormat="false" ht="15.75" hidden="false" customHeight="true" outlineLevel="0" collapsed="false">
      <c r="B108" s="140"/>
      <c r="C108" s="140"/>
      <c r="D108" s="140"/>
      <c r="E108" s="140"/>
      <c r="F108" s="140"/>
      <c r="G108" s="140"/>
      <c r="H108" s="140"/>
      <c r="I108" s="140"/>
      <c r="J108" s="140"/>
      <c r="K108" s="140"/>
      <c r="L108" s="140"/>
      <c r="M108" s="140"/>
      <c r="N108" s="140"/>
      <c r="O108" s="140"/>
      <c r="P108" s="140"/>
      <c r="Q108" s="140"/>
      <c r="R108" s="140"/>
      <c r="S108" s="140"/>
      <c r="T108" s="140"/>
      <c r="U108" s="140"/>
      <c r="V108" s="140"/>
      <c r="W108" s="140"/>
      <c r="X108" s="140"/>
    </row>
    <row r="109" customFormat="false" ht="15.75" hidden="false" customHeight="true" outlineLevel="0" collapsed="false">
      <c r="B109" s="140" t="s">
        <v>165</v>
      </c>
      <c r="C109" s="141" t="n">
        <v>0</v>
      </c>
      <c r="D109" s="141" t="n">
        <f aca="false">D92</f>
        <v>13955200</v>
      </c>
      <c r="E109" s="141" t="n">
        <f aca="false">D109+E93</f>
        <v>13024853.3333333</v>
      </c>
      <c r="F109" s="141" t="n">
        <f aca="false">E109+F93</f>
        <v>12094506.6666667</v>
      </c>
      <c r="G109" s="141" t="n">
        <f aca="false">F109+G93</f>
        <v>11164160</v>
      </c>
      <c r="H109" s="141" t="n">
        <f aca="false">G109+H93</f>
        <v>10233813.3333333</v>
      </c>
      <c r="I109" s="141" t="n">
        <f aca="false">H109+I93</f>
        <v>9303466.66666667</v>
      </c>
      <c r="J109" s="141" t="n">
        <f aca="false">I109+J93</f>
        <v>8373120</v>
      </c>
      <c r="K109" s="141" t="n">
        <f aca="false">J109+K93</f>
        <v>7442773.33333334</v>
      </c>
      <c r="L109" s="141" t="n">
        <f aca="false">K109+L93</f>
        <v>6512426.66666667</v>
      </c>
      <c r="M109" s="141" t="n">
        <f aca="false">L109+M93</f>
        <v>5582080</v>
      </c>
      <c r="N109" s="141" t="n">
        <f aca="false">M109+N93</f>
        <v>4651733.33333334</v>
      </c>
      <c r="O109" s="141" t="n">
        <f aca="false">N109+O93</f>
        <v>3721386.66666667</v>
      </c>
      <c r="P109" s="141" t="n">
        <f aca="false">O109+P93</f>
        <v>2791040</v>
      </c>
      <c r="Q109" s="141" t="n">
        <f aca="false">P109+Q93</f>
        <v>1860693.33333334</v>
      </c>
      <c r="R109" s="141" t="n">
        <f aca="false">Q109+R93</f>
        <v>930346.666666669</v>
      </c>
      <c r="S109" s="141" t="n">
        <f aca="false">R109+S93</f>
        <v>0</v>
      </c>
      <c r="T109" s="141" t="n">
        <f aca="false">S109+T93</f>
        <v>0</v>
      </c>
      <c r="U109" s="141" t="n">
        <f aca="false">T109+U93</f>
        <v>0</v>
      </c>
      <c r="V109" s="141" t="n">
        <f aca="false">U109+V93</f>
        <v>0</v>
      </c>
      <c r="W109" s="141" t="n">
        <f aca="false">V109+W93</f>
        <v>0</v>
      </c>
      <c r="X109" s="145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AJ10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304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4"/>
    <col collapsed="false" customWidth="true" hidden="false" outlineLevel="0" max="3" min="3" style="0" width="27"/>
    <col collapsed="false" customWidth="true" hidden="false" outlineLevel="0" max="5" min="4" style="0" width="37"/>
    <col collapsed="false" customWidth="true" hidden="false" outlineLevel="0" max="6" min="6" style="0" width="50"/>
    <col collapsed="false" customWidth="true" hidden="false" outlineLevel="0" max="12" min="7" style="0" width="37"/>
    <col collapsed="false" customWidth="true" hidden="false" outlineLevel="0" max="13" min="13" style="0" width="50"/>
    <col collapsed="false" customWidth="true" hidden="false" outlineLevel="0" max="23" min="14" style="0" width="37"/>
    <col collapsed="false" customWidth="true" hidden="false" outlineLevel="0" max="24" min="24" style="0" width="30"/>
    <col collapsed="false" customWidth="true" hidden="false" outlineLevel="0" max="27" min="25" style="0" width="10"/>
    <col collapsed="false" customWidth="true" hidden="false" outlineLevel="0" max="35" min="28" style="0" width="11"/>
    <col collapsed="false" customWidth="true" hidden="false" outlineLevel="0" max="36" min="36" style="0" width="8"/>
    <col collapsed="false" customWidth="true" hidden="false" outlineLevel="0" max="37" min="37" style="0" width="9.14"/>
  </cols>
  <sheetData>
    <row r="1" customFormat="false" ht="22.5" hidden="false" customHeight="true" outlineLevel="0" collapsed="false">
      <c r="B1" s="1" t="s">
        <v>87</v>
      </c>
      <c r="C1" s="35"/>
      <c r="D1" s="35"/>
      <c r="E1" s="36"/>
      <c r="F1" s="2" t="s">
        <v>1</v>
      </c>
      <c r="P1" s="3" t="n">
        <f aca="false">1-D11</f>
        <v>0.99</v>
      </c>
      <c r="Q1" s="3" t="n">
        <f aca="false">P1-$D12</f>
        <v>0.986</v>
      </c>
      <c r="R1" s="3" t="n">
        <f aca="false">Q1-$D12</f>
        <v>0.982</v>
      </c>
      <c r="S1" s="3" t="n">
        <f aca="false">R1-$D12</f>
        <v>0.978</v>
      </c>
      <c r="T1" s="3" t="n">
        <f aca="false">S1-$D12</f>
        <v>0.974</v>
      </c>
      <c r="U1" s="3" t="n">
        <f aca="false">T1-$D12</f>
        <v>0.97</v>
      </c>
      <c r="V1" s="3" t="n">
        <f aca="false">U1-$D12</f>
        <v>0.966</v>
      </c>
      <c r="W1" s="3" t="n">
        <f aca="false">V1-$D12</f>
        <v>0.962</v>
      </c>
      <c r="X1" s="3" t="n">
        <f aca="false">W1-$D12</f>
        <v>0.958</v>
      </c>
      <c r="Y1" s="3" t="n">
        <f aca="false">X1-$D12</f>
        <v>0.954</v>
      </c>
      <c r="Z1" s="3" t="n">
        <f aca="false">Y1-$D12</f>
        <v>0.95</v>
      </c>
      <c r="AA1" s="3" t="n">
        <f aca="false">Z1-$D12</f>
        <v>0.946</v>
      </c>
      <c r="AB1" s="3" t="n">
        <f aca="false">AA1-$D12</f>
        <v>0.942</v>
      </c>
      <c r="AC1" s="3" t="n">
        <f aca="false">AB1-$D12</f>
        <v>0.938</v>
      </c>
      <c r="AD1" s="3" t="n">
        <f aca="false">AC1-$D12</f>
        <v>0.934</v>
      </c>
      <c r="AE1" s="3" t="n">
        <f aca="false">AD1-$D12</f>
        <v>0.93</v>
      </c>
      <c r="AF1" s="3" t="n">
        <f aca="false">AE1-$D12</f>
        <v>0.926</v>
      </c>
      <c r="AG1" s="3" t="n">
        <f aca="false">AF1-$D12</f>
        <v>0.922</v>
      </c>
      <c r="AH1" s="3" t="n">
        <f aca="false">AG1-$D12</f>
        <v>0.918</v>
      </c>
      <c r="AI1" s="3" t="n">
        <f aca="false">AH1-$D12</f>
        <v>0.914</v>
      </c>
    </row>
    <row r="2" customFormat="false" ht="21.75" hidden="false" customHeight="true" outlineLevel="0" collapsed="false">
      <c r="B2" s="37" t="s">
        <v>2</v>
      </c>
      <c r="C2" s="38" t="s">
        <v>3</v>
      </c>
      <c r="D2" s="6" t="s">
        <v>4</v>
      </c>
      <c r="E2" s="7" t="s">
        <v>4</v>
      </c>
      <c r="F2" s="39" t="s">
        <v>5</v>
      </c>
    </row>
    <row r="3" customFormat="false" ht="21.75" hidden="false" customHeight="true" outlineLevel="0" collapsed="false">
      <c r="B3" s="40" t="s">
        <v>6</v>
      </c>
      <c r="C3" s="41" t="n">
        <v>20</v>
      </c>
      <c r="D3" s="11" t="s">
        <v>4</v>
      </c>
      <c r="E3" s="12" t="s">
        <v>4</v>
      </c>
      <c r="F3" s="8" t="s">
        <v>88</v>
      </c>
    </row>
    <row r="4" customFormat="false" ht="21.75" hidden="false" customHeight="true" outlineLevel="0" collapsed="false">
      <c r="B4" s="40" t="s">
        <v>89</v>
      </c>
      <c r="C4" s="41" t="n">
        <v>436.1</v>
      </c>
      <c r="D4" s="11" t="s">
        <v>4</v>
      </c>
      <c r="E4" s="12" t="s">
        <v>4</v>
      </c>
      <c r="F4" s="8" t="s">
        <v>90</v>
      </c>
      <c r="M4" s="0" t="s">
        <v>166</v>
      </c>
    </row>
    <row r="5" customFormat="false" ht="22.5" hidden="false" customHeight="true" outlineLevel="0" collapsed="false">
      <c r="B5" s="42" t="s">
        <v>10</v>
      </c>
      <c r="C5" s="41" t="n">
        <v>2020</v>
      </c>
      <c r="D5" s="42" t="s">
        <v>11</v>
      </c>
      <c r="E5" s="43" t="n">
        <v>2039</v>
      </c>
      <c r="F5" s="8" t="s">
        <v>92</v>
      </c>
      <c r="M5" s="0" t="s">
        <v>167</v>
      </c>
    </row>
    <row r="6" customFormat="false" ht="20.25" hidden="false" customHeight="true" outlineLevel="0" collapsed="false">
      <c r="B6" s="13"/>
      <c r="C6" s="13"/>
      <c r="D6" s="13"/>
      <c r="E6" s="13"/>
      <c r="M6" s="0" t="s">
        <v>168</v>
      </c>
    </row>
    <row r="7" customFormat="false" ht="22.5" hidden="false" customHeight="true" outlineLevel="0" collapsed="false">
      <c r="B7" s="1" t="s">
        <v>95</v>
      </c>
      <c r="C7" s="35"/>
      <c r="D7" s="35"/>
      <c r="E7" s="36"/>
      <c r="M7" s="0" t="s">
        <v>169</v>
      </c>
    </row>
    <row r="8" customFormat="false" ht="22.5" hidden="false" customHeight="true" outlineLevel="0" collapsed="false">
      <c r="B8" s="15" t="s">
        <v>14</v>
      </c>
      <c r="E8" s="44"/>
      <c r="M8" s="0" t="s">
        <v>170</v>
      </c>
    </row>
    <row r="9" customFormat="false" ht="22.5" hidden="false" customHeight="true" outlineLevel="0" collapsed="false">
      <c r="B9" s="45" t="s">
        <v>15</v>
      </c>
      <c r="C9" s="46" t="s">
        <v>16</v>
      </c>
      <c r="D9" s="46" t="s">
        <v>17</v>
      </c>
      <c r="E9" s="47" t="s">
        <v>18</v>
      </c>
      <c r="F9" s="2" t="s">
        <v>1</v>
      </c>
      <c r="M9" s="0" t="s">
        <v>98</v>
      </c>
    </row>
    <row r="10" customFormat="false" ht="30" hidden="false" customHeight="true" outlineLevel="0" collapsed="false">
      <c r="B10" s="48" t="s">
        <v>19</v>
      </c>
      <c r="C10" s="49" t="s">
        <v>99</v>
      </c>
      <c r="D10" s="50" t="n">
        <v>547002</v>
      </c>
      <c r="E10" s="21" t="n">
        <v>20</v>
      </c>
      <c r="F10" s="8" t="s">
        <v>100</v>
      </c>
      <c r="M10" s="0" t="s">
        <v>82</v>
      </c>
    </row>
    <row r="11" customFormat="false" ht="30" hidden="false" customHeight="true" outlineLevel="0" collapsed="false">
      <c r="B11" s="51"/>
      <c r="C11" s="42" t="s">
        <v>22</v>
      </c>
      <c r="D11" s="52" t="n">
        <v>0.01</v>
      </c>
      <c r="E11" s="53"/>
      <c r="F11" s="8" t="s">
        <v>102</v>
      </c>
    </row>
    <row r="12" customFormat="false" ht="30" hidden="false" customHeight="true" outlineLevel="0" collapsed="false">
      <c r="B12" s="51"/>
      <c r="C12" s="42" t="s">
        <v>24</v>
      </c>
      <c r="D12" s="54" t="n">
        <v>0.004</v>
      </c>
      <c r="E12" s="53"/>
      <c r="F12" s="8" t="s">
        <v>103</v>
      </c>
    </row>
    <row r="13" customFormat="false" ht="22.5" hidden="false" customHeight="true" outlineLevel="0" collapsed="false">
      <c r="B13" s="51"/>
      <c r="C13" s="55" t="s">
        <v>104</v>
      </c>
      <c r="D13" s="56" t="n">
        <v>4</v>
      </c>
      <c r="E13" s="53"/>
      <c r="F13" s="8" t="s">
        <v>105</v>
      </c>
    </row>
    <row r="14" customFormat="false" ht="22.5" hidden="false" customHeight="true" outlineLevel="0" collapsed="false">
      <c r="B14" s="26" t="s">
        <v>106</v>
      </c>
      <c r="C14" s="35"/>
      <c r="D14" s="35"/>
      <c r="E14" s="36"/>
    </row>
    <row r="15" customFormat="false" ht="22.5" hidden="false" customHeight="true" outlineLevel="0" collapsed="false">
      <c r="B15" s="45" t="s">
        <v>15</v>
      </c>
      <c r="C15" s="46" t="s">
        <v>16</v>
      </c>
      <c r="D15" s="46" t="s">
        <v>17</v>
      </c>
      <c r="E15" s="47" t="s">
        <v>29</v>
      </c>
      <c r="F15" s="2" t="s">
        <v>1</v>
      </c>
    </row>
    <row r="16" customFormat="false" ht="21.75" hidden="false" customHeight="true" outlineLevel="0" collapsed="false">
      <c r="B16" s="49" t="s">
        <v>107</v>
      </c>
      <c r="C16" s="49" t="s">
        <v>108</v>
      </c>
      <c r="D16" s="57" t="n">
        <v>28000</v>
      </c>
      <c r="E16" s="7" t="n">
        <v>20</v>
      </c>
      <c r="F16" s="8" t="s">
        <v>109</v>
      </c>
    </row>
    <row r="17" customFormat="false" ht="21.75" hidden="false" customHeight="true" outlineLevel="0" collapsed="false">
      <c r="B17" s="51"/>
      <c r="C17" s="42" t="s">
        <v>110</v>
      </c>
      <c r="D17" s="58" t="n">
        <v>0.2</v>
      </c>
      <c r="E17" s="53"/>
      <c r="F17" s="8" t="s">
        <v>111</v>
      </c>
    </row>
    <row r="18" customFormat="false" ht="21.75" hidden="false" customHeight="true" outlineLevel="0" collapsed="false">
      <c r="B18" s="59"/>
      <c r="C18" s="42" t="s">
        <v>35</v>
      </c>
      <c r="D18" s="60" t="n">
        <v>2500</v>
      </c>
      <c r="E18" s="61"/>
      <c r="F18" s="8" t="s">
        <v>112</v>
      </c>
    </row>
    <row r="19" customFormat="false" ht="54" hidden="false" customHeight="true" outlineLevel="0" collapsed="false">
      <c r="B19" s="42" t="s">
        <v>37</v>
      </c>
      <c r="C19" s="62" t="s">
        <v>38</v>
      </c>
      <c r="D19" s="58" t="n">
        <v>1</v>
      </c>
      <c r="E19" s="7" t="n">
        <v>20</v>
      </c>
      <c r="F19" s="8" t="s">
        <v>113</v>
      </c>
    </row>
    <row r="20" customFormat="false" ht="20.25" hidden="false" customHeight="true" outlineLevel="0" collapsed="false">
      <c r="B20" s="51"/>
      <c r="C20" s="63" t="s">
        <v>114</v>
      </c>
      <c r="D20" s="60" t="n">
        <v>290201</v>
      </c>
      <c r="E20" s="7" t="n">
        <v>20</v>
      </c>
      <c r="F20" s="8" t="s">
        <v>115</v>
      </c>
    </row>
    <row r="21" customFormat="false" ht="30" hidden="false" customHeight="true" outlineLevel="0" collapsed="false">
      <c r="B21" s="59"/>
      <c r="C21" s="42" t="s">
        <v>116</v>
      </c>
      <c r="D21" s="58" t="n">
        <v>0</v>
      </c>
      <c r="E21" s="12" t="n">
        <v>20</v>
      </c>
      <c r="F21" s="8" t="s">
        <v>117</v>
      </c>
    </row>
    <row r="22" customFormat="false" ht="30" hidden="false" customHeight="true" outlineLevel="0" collapsed="false">
      <c r="B22" s="42" t="s">
        <v>44</v>
      </c>
      <c r="C22" s="42" t="s">
        <v>118</v>
      </c>
      <c r="D22" s="64" t="n">
        <v>400</v>
      </c>
      <c r="E22" s="12" t="n">
        <v>20</v>
      </c>
      <c r="F22" s="8" t="s">
        <v>119</v>
      </c>
    </row>
    <row r="23" customFormat="false" ht="30" hidden="false" customHeight="true" outlineLevel="0" collapsed="false">
      <c r="B23" s="42" t="s">
        <v>47</v>
      </c>
      <c r="C23" s="42" t="s">
        <v>48</v>
      </c>
      <c r="D23" s="58" t="n">
        <v>0.003</v>
      </c>
      <c r="E23" s="12" t="n">
        <v>20</v>
      </c>
      <c r="F23" s="8" t="s">
        <v>120</v>
      </c>
    </row>
    <row r="24" customFormat="false" ht="30" hidden="false" customHeight="true" outlineLevel="0" collapsed="false">
      <c r="B24" s="42" t="s">
        <v>50</v>
      </c>
      <c r="C24" s="42" t="s">
        <v>121</v>
      </c>
      <c r="D24" s="64" t="n">
        <v>1000</v>
      </c>
      <c r="E24" s="31" t="n">
        <v>10</v>
      </c>
      <c r="F24" s="8" t="s">
        <v>122</v>
      </c>
    </row>
    <row r="25" customFormat="false" ht="30" hidden="false" customHeight="true" outlineLevel="0" collapsed="false">
      <c r="B25" s="42" t="s">
        <v>53</v>
      </c>
      <c r="C25" s="42" t="s">
        <v>54</v>
      </c>
      <c r="D25" s="65" t="n">
        <v>0.0256</v>
      </c>
      <c r="E25" s="12" t="n">
        <v>20</v>
      </c>
      <c r="F25" s="8" t="s">
        <v>123</v>
      </c>
    </row>
    <row r="26" customFormat="false" ht="30" hidden="false" customHeight="true" outlineLevel="0" collapsed="false">
      <c r="B26" s="42" t="s">
        <v>56</v>
      </c>
      <c r="C26" s="42" t="s">
        <v>57</v>
      </c>
      <c r="D26" s="58" t="n">
        <v>0.2</v>
      </c>
      <c r="E26" s="12" t="n">
        <v>20</v>
      </c>
      <c r="F26" s="8" t="s">
        <v>124</v>
      </c>
    </row>
    <row r="27" customFormat="false" ht="20.25" hidden="false" customHeight="true" outlineLevel="0" collapsed="false">
      <c r="B27" s="13"/>
      <c r="C27" s="13"/>
      <c r="D27" s="13"/>
      <c r="E27" s="13"/>
    </row>
    <row r="28" customFormat="false" ht="20.25" hidden="false" customHeight="true" outlineLevel="0" collapsed="false">
      <c r="B28" s="13"/>
      <c r="C28" s="13"/>
      <c r="D28" s="13"/>
      <c r="E28" s="13"/>
    </row>
    <row r="29" customFormat="false" ht="22.5" hidden="false" customHeight="true" outlineLevel="0" collapsed="false">
      <c r="B29" s="1" t="s">
        <v>125</v>
      </c>
      <c r="C29" s="35"/>
      <c r="D29" s="36"/>
      <c r="E29" s="13"/>
    </row>
    <row r="30" customFormat="false" ht="22.5" hidden="false" customHeight="true" outlineLevel="0" collapsed="false">
      <c r="B30" s="45" t="s">
        <v>60</v>
      </c>
      <c r="C30" s="66" t="s">
        <v>16</v>
      </c>
      <c r="D30" s="67" t="s">
        <v>17</v>
      </c>
      <c r="E30" s="13"/>
      <c r="F30" s="2" t="s">
        <v>1</v>
      </c>
    </row>
    <row r="31" customFormat="false" ht="30" hidden="false" customHeight="true" outlineLevel="0" collapsed="false">
      <c r="B31" s="49" t="s">
        <v>61</v>
      </c>
      <c r="C31" s="37" t="s">
        <v>62</v>
      </c>
      <c r="D31" s="68" t="n">
        <v>0.8</v>
      </c>
      <c r="E31" s="13"/>
      <c r="F31" s="8" t="s">
        <v>126</v>
      </c>
    </row>
    <row r="32" customFormat="false" ht="18.75" hidden="false" customHeight="true" outlineLevel="0" collapsed="false">
      <c r="B32" s="49" t="s">
        <v>64</v>
      </c>
      <c r="C32" s="37" t="s">
        <v>65</v>
      </c>
      <c r="D32" s="68" t="n">
        <v>15</v>
      </c>
      <c r="E32" s="13"/>
      <c r="F32" s="8" t="s">
        <v>127</v>
      </c>
    </row>
    <row r="33" customFormat="false" ht="18.75" hidden="false" customHeight="true" outlineLevel="0" collapsed="false">
      <c r="B33" s="42" t="s">
        <v>67</v>
      </c>
      <c r="C33" s="40" t="s">
        <v>68</v>
      </c>
      <c r="D33" s="58" t="n">
        <v>0.9</v>
      </c>
      <c r="E33" s="13"/>
      <c r="F33" s="8" t="s">
        <v>128</v>
      </c>
    </row>
    <row r="34" customFormat="false" ht="30" hidden="false" customHeight="true" outlineLevel="0" collapsed="false">
      <c r="B34" s="42" t="s">
        <v>70</v>
      </c>
      <c r="C34" s="40" t="s">
        <v>65</v>
      </c>
      <c r="D34" s="58" t="n">
        <v>4</v>
      </c>
      <c r="E34" s="13"/>
      <c r="F34" s="8" t="s">
        <v>129</v>
      </c>
    </row>
    <row r="35" customFormat="false" ht="18.75" hidden="false" customHeight="true" outlineLevel="0" collapsed="false"/>
    <row r="36" customFormat="false" ht="18.75" hidden="false" customHeight="true" outlineLevel="0" collapsed="false"/>
    <row r="37" customFormat="false" ht="18.75" hidden="false" customHeight="true" outlineLevel="0" collapsed="false">
      <c r="B37" s="69"/>
      <c r="C37" s="70" t="s">
        <v>130</v>
      </c>
      <c r="D37" s="70" t="n">
        <v>2020</v>
      </c>
      <c r="E37" s="70" t="n">
        <v>2021</v>
      </c>
      <c r="F37" s="70" t="n">
        <v>2022</v>
      </c>
      <c r="G37" s="70" t="n">
        <v>2023</v>
      </c>
      <c r="H37" s="70" t="n">
        <v>2024</v>
      </c>
      <c r="I37" s="70" t="n">
        <v>2025</v>
      </c>
      <c r="J37" s="70" t="n">
        <v>2026</v>
      </c>
      <c r="K37" s="70" t="n">
        <v>2027</v>
      </c>
      <c r="L37" s="70" t="n">
        <v>2028</v>
      </c>
      <c r="M37" s="70" t="n">
        <v>2029</v>
      </c>
      <c r="N37" s="70" t="n">
        <v>2030</v>
      </c>
      <c r="O37" s="70" t="n">
        <v>2031</v>
      </c>
      <c r="P37" s="70" t="n">
        <v>2032</v>
      </c>
      <c r="Q37" s="70" t="n">
        <v>2033</v>
      </c>
      <c r="R37" s="70" t="n">
        <v>2034</v>
      </c>
      <c r="S37" s="70" t="n">
        <v>2035</v>
      </c>
      <c r="T37" s="70" t="n">
        <v>2036</v>
      </c>
      <c r="U37" s="70" t="n">
        <v>2037</v>
      </c>
      <c r="V37" s="70" t="n">
        <v>2038</v>
      </c>
      <c r="W37" s="70" t="n">
        <v>2039</v>
      </c>
      <c r="X37" s="70"/>
    </row>
    <row r="38" customFormat="false" ht="18.75" hidden="false" customHeight="true" outlineLevel="0" collapsed="false">
      <c r="B38" s="71" t="n">
        <v>0</v>
      </c>
      <c r="C38" s="72"/>
      <c r="D38" s="73"/>
      <c r="E38" s="73"/>
      <c r="F38" s="74"/>
      <c r="G38" s="75"/>
      <c r="H38" s="75"/>
      <c r="I38" s="75"/>
      <c r="J38" s="75"/>
      <c r="K38" s="75"/>
      <c r="L38" s="75"/>
      <c r="M38" s="75"/>
      <c r="N38" s="75"/>
      <c r="O38" s="75"/>
      <c r="P38" s="75"/>
      <c r="Q38" s="75"/>
      <c r="R38" s="75"/>
      <c r="S38" s="75"/>
      <c r="T38" s="76"/>
      <c r="U38" s="75"/>
      <c r="V38" s="75"/>
      <c r="W38" s="75"/>
      <c r="X38" s="77"/>
    </row>
    <row r="39" customFormat="false" ht="18.75" hidden="false" customHeight="true" outlineLevel="0" collapsed="false">
      <c r="B39" s="78" t="s">
        <v>131</v>
      </c>
      <c r="C39" s="79" t="n">
        <v>0</v>
      </c>
      <c r="D39" s="80" t="n">
        <v>1</v>
      </c>
      <c r="E39" s="80" t="n">
        <v>2</v>
      </c>
      <c r="F39" s="80" t="n">
        <v>3</v>
      </c>
      <c r="G39" s="80" t="n">
        <v>4</v>
      </c>
      <c r="H39" s="80" t="n">
        <v>5</v>
      </c>
      <c r="I39" s="80" t="n">
        <v>6</v>
      </c>
      <c r="J39" s="80" t="n">
        <v>7</v>
      </c>
      <c r="K39" s="80" t="n">
        <v>8</v>
      </c>
      <c r="L39" s="80" t="n">
        <v>9</v>
      </c>
      <c r="M39" s="80" t="n">
        <v>10</v>
      </c>
      <c r="N39" s="80" t="n">
        <v>11</v>
      </c>
      <c r="O39" s="80" t="n">
        <v>12</v>
      </c>
      <c r="P39" s="80" t="n">
        <v>13</v>
      </c>
      <c r="Q39" s="80" t="n">
        <v>14</v>
      </c>
      <c r="R39" s="80" t="n">
        <v>15</v>
      </c>
      <c r="S39" s="80" t="n">
        <v>16</v>
      </c>
      <c r="T39" s="81" t="n">
        <v>17</v>
      </c>
      <c r="U39" s="80" t="n">
        <v>18</v>
      </c>
      <c r="V39" s="80" t="n">
        <v>19</v>
      </c>
      <c r="W39" s="80" t="n">
        <v>20</v>
      </c>
      <c r="X39" s="82"/>
    </row>
    <row r="40" customFormat="false" ht="18.75" hidden="false" customHeight="true" outlineLevel="0" collapsed="false">
      <c r="B40" s="83" t="s">
        <v>132</v>
      </c>
      <c r="C40" s="84" t="n">
        <v>0</v>
      </c>
      <c r="D40" s="85" t="n">
        <f aca="false">$D$10*P1</f>
        <v>541531.98</v>
      </c>
      <c r="E40" s="85" t="n">
        <f aca="false">$D$10*Q1</f>
        <v>539343.972</v>
      </c>
      <c r="F40" s="85" t="n">
        <f aca="false">$D$10*R1</f>
        <v>537155.964</v>
      </c>
      <c r="G40" s="85" t="n">
        <f aca="false">$D$10*S1</f>
        <v>534967.956</v>
      </c>
      <c r="H40" s="85" t="n">
        <f aca="false">$D$10*T1</f>
        <v>532779.948</v>
      </c>
      <c r="I40" s="85" t="n">
        <f aca="false">$D$10*U1</f>
        <v>530591.94</v>
      </c>
      <c r="J40" s="85" t="n">
        <f aca="false">$D$10*V1</f>
        <v>528403.932</v>
      </c>
      <c r="K40" s="85" t="n">
        <f aca="false">$D$10*W1</f>
        <v>526215.924</v>
      </c>
      <c r="L40" s="85" t="n">
        <f aca="false">$D$10*X1</f>
        <v>524027.916</v>
      </c>
      <c r="M40" s="85" t="n">
        <f aca="false">$D$10*Y1</f>
        <v>521839.908</v>
      </c>
      <c r="N40" s="85" t="n">
        <f aca="false">$D$10*Z1</f>
        <v>519651.9</v>
      </c>
      <c r="O40" s="85" t="n">
        <f aca="false">$D$10*AA1</f>
        <v>517463.892</v>
      </c>
      <c r="P40" s="85" t="n">
        <f aca="false">$D$10*AB1</f>
        <v>515275.884</v>
      </c>
      <c r="Q40" s="85" t="n">
        <f aca="false">$D$10*AC1</f>
        <v>513087.876</v>
      </c>
      <c r="R40" s="85" t="n">
        <f aca="false">$D$10*AD1</f>
        <v>510899.868</v>
      </c>
      <c r="S40" s="85" t="n">
        <f aca="false">$D$10*AE1</f>
        <v>508711.86</v>
      </c>
      <c r="T40" s="85" t="n">
        <f aca="false">$D$10*AF1</f>
        <v>506523.852</v>
      </c>
      <c r="U40" s="85" t="n">
        <f aca="false">$D$10*AG1</f>
        <v>504335.844</v>
      </c>
      <c r="V40" s="85" t="n">
        <f aca="false">$D$10*AH1</f>
        <v>502147.836</v>
      </c>
      <c r="W40" s="85" t="n">
        <f aca="false">$D$10*AI1</f>
        <v>499959.828</v>
      </c>
      <c r="X40" s="86"/>
    </row>
    <row r="41" customFormat="false" ht="18.75" hidden="false" customHeight="true" outlineLevel="0" collapsed="false">
      <c r="B41" s="87" t="s">
        <v>133</v>
      </c>
      <c r="C41" s="88" t="s">
        <v>4</v>
      </c>
      <c r="D41" s="89" t="n">
        <f aca="false">D40*$D$13</f>
        <v>2166127.92</v>
      </c>
      <c r="E41" s="89" t="n">
        <f aca="false">E40*$D$13</f>
        <v>2157375.888</v>
      </c>
      <c r="F41" s="89" t="n">
        <f aca="false">F40*$D$13</f>
        <v>2148623.856</v>
      </c>
      <c r="G41" s="89" t="n">
        <f aca="false">G40*$D$13</f>
        <v>2139871.824</v>
      </c>
      <c r="H41" s="89" t="n">
        <f aca="false">H40*$D$13</f>
        <v>2131119.792</v>
      </c>
      <c r="I41" s="89" t="n">
        <f aca="false">I40*$D$13</f>
        <v>2122367.76</v>
      </c>
      <c r="J41" s="89" t="n">
        <f aca="false">J40*$D$13</f>
        <v>2113615.728</v>
      </c>
      <c r="K41" s="89" t="n">
        <f aca="false">K40*$D$13</f>
        <v>2104863.696</v>
      </c>
      <c r="L41" s="89" t="n">
        <f aca="false">L40*$D$13</f>
        <v>2096111.664</v>
      </c>
      <c r="M41" s="89" t="n">
        <f aca="false">M40*$D$13</f>
        <v>2087359.632</v>
      </c>
      <c r="N41" s="89" t="n">
        <f aca="false">N40*$D$13</f>
        <v>2078607.6</v>
      </c>
      <c r="O41" s="89" t="n">
        <f aca="false">O40*$D$13</f>
        <v>2069855.568</v>
      </c>
      <c r="P41" s="89" t="n">
        <f aca="false">P40*$D$13</f>
        <v>2061103.536</v>
      </c>
      <c r="Q41" s="89" t="n">
        <f aca="false">Q40*$D$13</f>
        <v>2052351.504</v>
      </c>
      <c r="R41" s="89" t="n">
        <f aca="false">R40*$D$13</f>
        <v>2043599.472</v>
      </c>
      <c r="S41" s="89" t="n">
        <f aca="false">S40*$D$13</f>
        <v>2034847.44</v>
      </c>
      <c r="T41" s="89" t="n">
        <f aca="false">T40*$D$13</f>
        <v>2026095.408</v>
      </c>
      <c r="U41" s="89" t="n">
        <f aca="false">U40*$D$13</f>
        <v>2017343.376</v>
      </c>
      <c r="V41" s="89" t="n">
        <f aca="false">V40*$D$13</f>
        <v>2008591.344</v>
      </c>
      <c r="W41" s="89" t="n">
        <f aca="false">W40*$D$13</f>
        <v>1999839.312</v>
      </c>
      <c r="X41" s="90"/>
    </row>
    <row r="42" customFormat="false" ht="18.75" hidden="false" customHeight="true" outlineLevel="0" collapsed="false">
      <c r="B42" s="91" t="s">
        <v>134</v>
      </c>
      <c r="C42" s="92" t="s">
        <v>4</v>
      </c>
      <c r="D42" s="93"/>
      <c r="E42" s="93"/>
      <c r="F42" s="93"/>
      <c r="G42" s="94" t="s">
        <v>4</v>
      </c>
      <c r="H42" s="94" t="s">
        <v>4</v>
      </c>
      <c r="I42" s="94" t="s">
        <v>4</v>
      </c>
      <c r="J42" s="94" t="s">
        <v>4</v>
      </c>
      <c r="K42" s="94" t="s">
        <v>4</v>
      </c>
      <c r="L42" s="94" t="s">
        <v>4</v>
      </c>
      <c r="M42" s="94" t="s">
        <v>4</v>
      </c>
      <c r="N42" s="94" t="s">
        <v>4</v>
      </c>
      <c r="O42" s="94" t="s">
        <v>4</v>
      </c>
      <c r="P42" s="94" t="s">
        <v>4</v>
      </c>
      <c r="Q42" s="94" t="s">
        <v>4</v>
      </c>
      <c r="R42" s="94" t="s">
        <v>4</v>
      </c>
      <c r="S42" s="94" t="s">
        <v>4</v>
      </c>
      <c r="T42" s="94" t="s">
        <v>4</v>
      </c>
      <c r="U42" s="94" t="s">
        <v>4</v>
      </c>
      <c r="V42" s="94" t="s">
        <v>4</v>
      </c>
      <c r="W42" s="94" t="s">
        <v>4</v>
      </c>
      <c r="X42" s="95"/>
    </row>
    <row r="43" customFormat="false" ht="18.75" hidden="false" customHeight="true" outlineLevel="0" collapsed="false">
      <c r="B43" s="96" t="s">
        <v>135</v>
      </c>
      <c r="C43" s="97"/>
      <c r="D43" s="98"/>
      <c r="E43" s="98"/>
      <c r="F43" s="98"/>
      <c r="G43" s="98"/>
      <c r="H43" s="98"/>
      <c r="I43" s="98"/>
      <c r="J43" s="98"/>
      <c r="K43" s="98"/>
      <c r="L43" s="98"/>
      <c r="M43" s="98"/>
      <c r="N43" s="98"/>
      <c r="O43" s="98"/>
      <c r="P43" s="98"/>
      <c r="Q43" s="98"/>
      <c r="R43" s="98"/>
      <c r="S43" s="98"/>
      <c r="T43" s="98"/>
      <c r="U43" s="98"/>
      <c r="V43" s="98"/>
      <c r="W43" s="98"/>
      <c r="X43" s="99"/>
    </row>
    <row r="44" customFormat="false" ht="18.75" hidden="false" customHeight="true" outlineLevel="0" collapsed="false">
      <c r="B44" s="100" t="s">
        <v>136</v>
      </c>
      <c r="C44" s="101" t="n">
        <f aca="false">-(D16/(1-D17)+D18)*C4</f>
        <v>-16353750</v>
      </c>
      <c r="D44" s="102"/>
      <c r="E44" s="102"/>
      <c r="F44" s="102"/>
      <c r="G44" s="102"/>
      <c r="H44" s="102"/>
      <c r="I44" s="102"/>
      <c r="J44" s="102"/>
      <c r="K44" s="102"/>
      <c r="L44" s="102"/>
      <c r="M44" s="102"/>
      <c r="N44" s="102"/>
      <c r="O44" s="102"/>
      <c r="P44" s="102"/>
      <c r="Q44" s="102"/>
      <c r="R44" s="102"/>
      <c r="S44" s="102"/>
      <c r="T44" s="102"/>
      <c r="U44" s="102"/>
      <c r="V44" s="102"/>
      <c r="W44" s="102"/>
      <c r="X44" s="102"/>
    </row>
    <row r="45" customFormat="false" ht="18.75" hidden="false" customHeight="true" outlineLevel="0" collapsed="false">
      <c r="B45" s="100" t="s">
        <v>137</v>
      </c>
      <c r="C45" s="92" t="s">
        <v>4</v>
      </c>
      <c r="D45" s="102" t="n">
        <v>-290201</v>
      </c>
      <c r="E45" s="102" t="n">
        <v>-290201</v>
      </c>
      <c r="F45" s="102" t="n">
        <v>-290201</v>
      </c>
      <c r="G45" s="102" t="n">
        <v>-290201</v>
      </c>
      <c r="H45" s="102" t="n">
        <v>-290201</v>
      </c>
      <c r="I45" s="102" t="n">
        <v>-290201</v>
      </c>
      <c r="J45" s="102" t="n">
        <v>-290201</v>
      </c>
      <c r="K45" s="102" t="n">
        <v>-290201</v>
      </c>
      <c r="L45" s="102" t="n">
        <v>-290201</v>
      </c>
      <c r="M45" s="102" t="n">
        <v>-290201</v>
      </c>
      <c r="N45" s="102" t="n">
        <v>-290201</v>
      </c>
      <c r="O45" s="102" t="n">
        <v>-290201</v>
      </c>
      <c r="P45" s="102" t="n">
        <v>-290201</v>
      </c>
      <c r="Q45" s="102" t="n">
        <v>-290201</v>
      </c>
      <c r="R45" s="102" t="n">
        <v>-290201</v>
      </c>
      <c r="S45" s="102" t="n">
        <v>-290201</v>
      </c>
      <c r="T45" s="102" t="n">
        <v>-290201</v>
      </c>
      <c r="U45" s="102" t="n">
        <v>-290201</v>
      </c>
      <c r="V45" s="102" t="n">
        <v>-290201</v>
      </c>
      <c r="W45" s="102" t="n">
        <v>-290201</v>
      </c>
      <c r="X45" s="102"/>
    </row>
    <row r="46" customFormat="false" ht="18.75" hidden="false" customHeight="true" outlineLevel="0" collapsed="false">
      <c r="B46" s="100" t="s">
        <v>138</v>
      </c>
      <c r="C46" s="92"/>
      <c r="D46" s="102"/>
      <c r="E46" s="102"/>
      <c r="F46" s="102"/>
      <c r="G46" s="102"/>
      <c r="H46" s="102"/>
      <c r="I46" s="102"/>
      <c r="J46" s="102"/>
      <c r="K46" s="102"/>
      <c r="L46" s="102"/>
      <c r="M46" s="102"/>
      <c r="N46" s="102"/>
      <c r="O46" s="102"/>
      <c r="P46" s="102"/>
      <c r="Q46" s="102"/>
      <c r="R46" s="102"/>
      <c r="S46" s="102"/>
      <c r="T46" s="102"/>
      <c r="U46" s="102"/>
      <c r="V46" s="102"/>
      <c r="W46" s="102"/>
      <c r="X46" s="102"/>
    </row>
    <row r="47" customFormat="false" ht="18.75" hidden="false" customHeight="true" outlineLevel="0" collapsed="false">
      <c r="B47" s="100" t="s">
        <v>139</v>
      </c>
      <c r="C47" s="92" t="s">
        <v>4</v>
      </c>
      <c r="D47" s="102"/>
      <c r="E47" s="102"/>
      <c r="F47" s="102"/>
      <c r="G47" s="102"/>
      <c r="H47" s="102"/>
      <c r="I47" s="102"/>
      <c r="J47" s="102"/>
      <c r="K47" s="102"/>
      <c r="L47" s="102"/>
      <c r="M47" s="102"/>
      <c r="N47" s="102"/>
      <c r="O47" s="102"/>
      <c r="P47" s="102"/>
      <c r="Q47" s="102"/>
      <c r="R47" s="102"/>
      <c r="S47" s="102"/>
      <c r="T47" s="102"/>
      <c r="U47" s="102"/>
      <c r="V47" s="102"/>
      <c r="W47" s="102"/>
      <c r="X47" s="102"/>
    </row>
    <row r="48" customFormat="false" ht="18.75" hidden="false" customHeight="true" outlineLevel="0" collapsed="false">
      <c r="B48" s="100" t="s">
        <v>140</v>
      </c>
      <c r="C48" s="92" t="s">
        <v>4</v>
      </c>
      <c r="D48" s="102" t="n">
        <v>-174440</v>
      </c>
      <c r="E48" s="102" t="n">
        <v>-174440</v>
      </c>
      <c r="F48" s="102" t="n">
        <v>-174440</v>
      </c>
      <c r="G48" s="102" t="n">
        <v>-174440</v>
      </c>
      <c r="H48" s="102" t="n">
        <v>-174440</v>
      </c>
      <c r="I48" s="102" t="n">
        <v>-174440</v>
      </c>
      <c r="J48" s="102" t="n">
        <v>-174440</v>
      </c>
      <c r="K48" s="102" t="n">
        <v>-174440</v>
      </c>
      <c r="L48" s="102" t="n">
        <v>-174440</v>
      </c>
      <c r="M48" s="102" t="n">
        <v>-174440</v>
      </c>
      <c r="N48" s="102" t="n">
        <v>-174440</v>
      </c>
      <c r="O48" s="102" t="n">
        <v>-174440</v>
      </c>
      <c r="P48" s="102" t="n">
        <v>-174440</v>
      </c>
      <c r="Q48" s="102" t="n">
        <v>-174440</v>
      </c>
      <c r="R48" s="102" t="n">
        <v>-174440</v>
      </c>
      <c r="S48" s="102" t="n">
        <v>-174440</v>
      </c>
      <c r="T48" s="102" t="n">
        <v>-174440</v>
      </c>
      <c r="U48" s="102" t="n">
        <v>-174440</v>
      </c>
      <c r="V48" s="102" t="n">
        <v>-174440</v>
      </c>
      <c r="W48" s="102" t="n">
        <v>-174440</v>
      </c>
      <c r="X48" s="102"/>
    </row>
    <row r="49" customFormat="false" ht="18.75" hidden="false" customHeight="true" outlineLevel="0" collapsed="false">
      <c r="B49" s="100" t="s">
        <v>141</v>
      </c>
      <c r="C49" s="92" t="s">
        <v>4</v>
      </c>
      <c r="D49" s="102" t="n">
        <v>-36632.4</v>
      </c>
      <c r="E49" s="102" t="n">
        <v>-36632.4</v>
      </c>
      <c r="F49" s="102" t="n">
        <v>-36632.4</v>
      </c>
      <c r="G49" s="102" t="n">
        <v>-36632.4</v>
      </c>
      <c r="H49" s="102" t="n">
        <v>-36632.4</v>
      </c>
      <c r="I49" s="102" t="n">
        <v>-36632.4</v>
      </c>
      <c r="J49" s="102" t="n">
        <v>-36632.4</v>
      </c>
      <c r="K49" s="102" t="n">
        <v>-36632.4</v>
      </c>
      <c r="L49" s="102" t="n">
        <v>-36632.4</v>
      </c>
      <c r="M49" s="102" t="n">
        <v>-36632.4</v>
      </c>
      <c r="N49" s="102" t="n">
        <v>-36632.4</v>
      </c>
      <c r="O49" s="102" t="n">
        <v>-36632.4</v>
      </c>
      <c r="P49" s="102" t="n">
        <v>-36632.4</v>
      </c>
      <c r="Q49" s="102" t="n">
        <v>-36632.4</v>
      </c>
      <c r="R49" s="102" t="n">
        <v>-36632.4</v>
      </c>
      <c r="S49" s="102" t="n">
        <v>-36632.4</v>
      </c>
      <c r="T49" s="102" t="n">
        <v>-36632.4</v>
      </c>
      <c r="U49" s="102" t="n">
        <v>-36632.4</v>
      </c>
      <c r="V49" s="102" t="n">
        <v>-36632.4</v>
      </c>
      <c r="W49" s="102" t="n">
        <v>-36632.4</v>
      </c>
      <c r="X49" s="102"/>
    </row>
    <row r="50" customFormat="false" ht="18.75" hidden="false" customHeight="true" outlineLevel="0" collapsed="false">
      <c r="B50" s="100" t="s">
        <v>142</v>
      </c>
      <c r="C50" s="92"/>
      <c r="D50" s="102" t="n">
        <v>-43610</v>
      </c>
      <c r="E50" s="102" t="n">
        <v>-43610</v>
      </c>
      <c r="F50" s="102" t="n">
        <v>-43610</v>
      </c>
      <c r="G50" s="102" t="n">
        <v>-43610</v>
      </c>
      <c r="H50" s="102" t="n">
        <v>-43610</v>
      </c>
      <c r="I50" s="102" t="n">
        <v>-43610</v>
      </c>
      <c r="J50" s="102" t="n">
        <v>-43610</v>
      </c>
      <c r="K50" s="102" t="n">
        <v>-43610</v>
      </c>
      <c r="L50" s="102" t="n">
        <v>-43610</v>
      </c>
      <c r="M50" s="102" t="n">
        <v>-43610</v>
      </c>
      <c r="N50" s="102" t="n">
        <v>0</v>
      </c>
      <c r="O50" s="102" t="n">
        <v>0</v>
      </c>
      <c r="P50" s="102" t="n">
        <v>0</v>
      </c>
      <c r="Q50" s="102" t="n">
        <v>0</v>
      </c>
      <c r="R50" s="102" t="n">
        <v>0</v>
      </c>
      <c r="S50" s="102" t="n">
        <v>0</v>
      </c>
      <c r="T50" s="102" t="n">
        <v>0</v>
      </c>
      <c r="U50" s="102" t="n">
        <v>0</v>
      </c>
      <c r="V50" s="102" t="n">
        <v>0</v>
      </c>
      <c r="W50" s="102" t="n">
        <v>0</v>
      </c>
      <c r="X50" s="102"/>
    </row>
    <row r="51" customFormat="false" ht="18.75" hidden="false" customHeight="true" outlineLevel="0" collapsed="false">
      <c r="B51" s="100" t="s">
        <v>143</v>
      </c>
      <c r="C51" s="103"/>
      <c r="D51" s="102"/>
      <c r="E51" s="102"/>
      <c r="F51" s="102"/>
      <c r="G51" s="102"/>
      <c r="H51" s="102"/>
      <c r="I51" s="102"/>
      <c r="J51" s="102"/>
      <c r="K51" s="102"/>
      <c r="L51" s="102"/>
      <c r="M51" s="102"/>
      <c r="N51" s="102"/>
      <c r="O51" s="102"/>
      <c r="P51" s="102"/>
      <c r="Q51" s="102"/>
      <c r="R51" s="102"/>
      <c r="S51" s="102"/>
      <c r="T51" s="102"/>
      <c r="U51" s="102"/>
      <c r="V51" s="102"/>
      <c r="W51" s="102"/>
      <c r="X51" s="102"/>
    </row>
    <row r="52" customFormat="false" ht="18.75" hidden="false" customHeight="true" outlineLevel="0" collapsed="false">
      <c r="B52" s="100" t="s">
        <v>144</v>
      </c>
      <c r="C52" s="103"/>
      <c r="D52" s="102"/>
      <c r="E52" s="102"/>
      <c r="F52" s="102"/>
      <c r="G52" s="102"/>
      <c r="H52" s="102"/>
      <c r="I52" s="102"/>
      <c r="J52" s="102"/>
      <c r="K52" s="102"/>
      <c r="L52" s="102"/>
      <c r="M52" s="102"/>
      <c r="N52" s="102"/>
      <c r="O52" s="102"/>
      <c r="P52" s="102"/>
      <c r="Q52" s="102"/>
      <c r="R52" s="102"/>
      <c r="S52" s="102"/>
      <c r="T52" s="102"/>
      <c r="U52" s="102"/>
      <c r="V52" s="102"/>
      <c r="W52" s="102"/>
      <c r="X52" s="102"/>
    </row>
    <row r="53" customFormat="false" ht="18.75" hidden="false" customHeight="true" outlineLevel="0" collapsed="false">
      <c r="B53" s="104" t="s">
        <v>145</v>
      </c>
      <c r="C53" s="103"/>
      <c r="D53" s="102"/>
      <c r="E53" s="102"/>
      <c r="F53" s="102"/>
      <c r="G53" s="102"/>
      <c r="H53" s="102"/>
      <c r="I53" s="102"/>
      <c r="J53" s="102"/>
      <c r="K53" s="102"/>
      <c r="L53" s="102"/>
      <c r="M53" s="102"/>
      <c r="N53" s="102"/>
      <c r="O53" s="102"/>
      <c r="P53" s="102"/>
      <c r="Q53" s="102"/>
      <c r="R53" s="102"/>
      <c r="S53" s="102"/>
      <c r="T53" s="102"/>
      <c r="U53" s="102"/>
      <c r="V53" s="102"/>
      <c r="W53" s="102"/>
      <c r="X53" s="102"/>
    </row>
    <row r="54" customFormat="false" ht="18.75" hidden="false" customHeight="true" outlineLevel="0" collapsed="false">
      <c r="B54" s="104" t="s">
        <v>146</v>
      </c>
      <c r="C54" s="103"/>
      <c r="D54" s="102" t="n">
        <f aca="false">-(D64+D67+D68+D71+D72+D73+D74)*0.2</f>
        <v>-218751.604</v>
      </c>
      <c r="E54" s="102" t="n">
        <f aca="false">-(E64+E67+E68+E71+E72+E73+E74)*0.2</f>
        <v>-158960.9976</v>
      </c>
      <c r="F54" s="102" t="n">
        <f aca="false">-(F64+F67+F68+F71+F72+F73+F74)*0.2</f>
        <v>-157210.5912</v>
      </c>
      <c r="G54" s="102" t="n">
        <f aca="false">-(G64+G67+G68+G71+G72+G73+G74)*0.2</f>
        <v>-155460.1848</v>
      </c>
      <c r="H54" s="102" t="n">
        <f aca="false">-(H64+H67+H68+H71+H72+H73+H74)*0.2</f>
        <v>-153709.7784</v>
      </c>
      <c r="I54" s="102" t="n">
        <f aca="false">-(I64+I67+I68+I71+I72+I73+I74)*0.2</f>
        <v>-151959.372</v>
      </c>
      <c r="J54" s="102" t="n">
        <f aca="false">-(J64+J67+J68+J71+J72+J73+J74)*0.2</f>
        <v>-150208.9656</v>
      </c>
      <c r="K54" s="102" t="n">
        <f aca="false">-(K64+K67+K68+K71+K72+K73+K74)*0.2</f>
        <v>-148458.5592</v>
      </c>
      <c r="L54" s="102" t="n">
        <f aca="false">-(L64+L67+L68+L71+L72+L73+L74)*0.2</f>
        <v>-146708.1528</v>
      </c>
      <c r="M54" s="102" t="n">
        <f aca="false">-(M64+M67+M68+M71+M72+M73+M74)*0.2</f>
        <v>-144957.7464</v>
      </c>
      <c r="N54" s="102" t="n">
        <f aca="false">-(N64+N67+N68+N71+N72+N73+N74)*0.2</f>
        <v>-151929.34</v>
      </c>
      <c r="O54" s="102" t="n">
        <f aca="false">-(O64+O67+O68+O71+O72+O73+O74)*0.2</f>
        <v>-150178.9336</v>
      </c>
      <c r="P54" s="102" t="n">
        <f aca="false">-(P64+P67+P68+P71+P72+P73+P74)*0.2</f>
        <v>-148428.5272</v>
      </c>
      <c r="Q54" s="102" t="n">
        <f aca="false">-(Q64+Q67+Q68+Q71+Q72+Q73+Q74)*0.2</f>
        <v>-146678.1208</v>
      </c>
      <c r="R54" s="102" t="n">
        <f aca="false">-(R64+R67+R68+R71+R72+R73+R74)*0.2</f>
        <v>-144927.7144</v>
      </c>
      <c r="S54" s="102" t="n">
        <f aca="false">-(S64+S67+S68+S71+S72+S73+S74)*0.2</f>
        <v>-143177.308</v>
      </c>
      <c r="T54" s="102" t="n">
        <f aca="false">-(T64+T67+T68+T71+T72+T73+T74)*0.2</f>
        <v>-141426.9016</v>
      </c>
      <c r="U54" s="102" t="n">
        <f aca="false">-(U64+U67+U68+U71+U72+U73+U74)*0.2</f>
        <v>-139676.4952</v>
      </c>
      <c r="V54" s="102" t="n">
        <f aca="false">-(V64+V67+V68+V71+V72+V73+V74)*0.2</f>
        <v>-137926.0888</v>
      </c>
      <c r="W54" s="102" t="n">
        <f aca="false">-(W64+W67+W68+W71+W72+W73+W74)*0.2</f>
        <v>-136175.6824</v>
      </c>
      <c r="X54" s="93"/>
    </row>
    <row r="55" customFormat="false" ht="18.75" hidden="false" customHeight="true" outlineLevel="0" collapsed="false">
      <c r="B55" s="105" t="s">
        <v>147</v>
      </c>
      <c r="C55" s="106" t="n">
        <f aca="false">C44</f>
        <v>-16353750</v>
      </c>
      <c r="D55" s="107" t="n">
        <f aca="false">SUM(D41:D54)</f>
        <v>1402492.916</v>
      </c>
      <c r="E55" s="107" t="n">
        <f aca="false">SUM(E41:E54)</f>
        <v>1453531.4904</v>
      </c>
      <c r="F55" s="107" t="n">
        <f aca="false">SUM(F41:F54)</f>
        <v>1446529.8648</v>
      </c>
      <c r="G55" s="107" t="n">
        <f aca="false">SUM(G41:G54)</f>
        <v>1439528.2392</v>
      </c>
      <c r="H55" s="107" t="n">
        <f aca="false">SUM(H41:H54)</f>
        <v>1432526.6136</v>
      </c>
      <c r="I55" s="107" t="n">
        <f aca="false">SUM(I41:I54)</f>
        <v>1425524.988</v>
      </c>
      <c r="J55" s="107" t="n">
        <f aca="false">SUM(J41:J54)</f>
        <v>1418523.3624</v>
      </c>
      <c r="K55" s="107" t="n">
        <f aca="false">SUM(K41:K54)</f>
        <v>1411521.7368</v>
      </c>
      <c r="L55" s="107" t="n">
        <f aca="false">SUM(L41:L54)</f>
        <v>1404520.1112</v>
      </c>
      <c r="M55" s="107" t="n">
        <f aca="false">SUM(M41:M54)</f>
        <v>1397518.4856</v>
      </c>
      <c r="N55" s="107" t="n">
        <f aca="false">SUM(N41:N54)</f>
        <v>1425404.86</v>
      </c>
      <c r="O55" s="107" t="n">
        <f aca="false">SUM(O41:O54)</f>
        <v>1418403.2344</v>
      </c>
      <c r="P55" s="107" t="n">
        <f aca="false">SUM(P41:P54)</f>
        <v>1411401.6088</v>
      </c>
      <c r="Q55" s="107" t="n">
        <f aca="false">SUM(Q41:Q54)</f>
        <v>1404399.9832</v>
      </c>
      <c r="R55" s="107" t="n">
        <f aca="false">SUM(R41:R54)</f>
        <v>1397398.3576</v>
      </c>
      <c r="S55" s="107" t="n">
        <f aca="false">SUM(S41:S54)</f>
        <v>1390396.732</v>
      </c>
      <c r="T55" s="107" t="n">
        <f aca="false">SUM(T41:T54)</f>
        <v>1383395.1064</v>
      </c>
      <c r="U55" s="107" t="n">
        <f aca="false">SUM(U41:U54)</f>
        <v>1376393.4808</v>
      </c>
      <c r="V55" s="107" t="n">
        <f aca="false">SUM(V41:V54)</f>
        <v>1369391.8552</v>
      </c>
      <c r="W55" s="107" t="n">
        <f aca="false">SUM(W41:W54)</f>
        <v>1362390.2296</v>
      </c>
      <c r="X55" s="108"/>
      <c r="Y55" s="109"/>
      <c r="Z55" s="110"/>
      <c r="AA55" s="109"/>
      <c r="AB55" s="109"/>
      <c r="AC55" s="109"/>
      <c r="AD55" s="109"/>
      <c r="AE55" s="109"/>
      <c r="AF55" s="109"/>
      <c r="AG55" s="109"/>
      <c r="AH55" s="109"/>
      <c r="AI55" s="109"/>
      <c r="AJ55" s="109"/>
    </row>
    <row r="56" customFormat="false" ht="18.75" hidden="false" customHeight="true" outlineLevel="0" collapsed="false">
      <c r="B56" s="111" t="s">
        <v>148</v>
      </c>
      <c r="D56" s="112" t="n">
        <f aca="false">C55+D55</f>
        <v>-14951257.084</v>
      </c>
      <c r="E56" s="112" t="n">
        <f aca="false">D56+E55</f>
        <v>-13497725.5936</v>
      </c>
      <c r="F56" s="112" t="n">
        <f aca="false">E56+F55</f>
        <v>-12051195.7288</v>
      </c>
      <c r="G56" s="112" t="n">
        <f aca="false">F56+G55</f>
        <v>-10611667.4896</v>
      </c>
      <c r="H56" s="112" t="n">
        <f aca="false">G56+H55</f>
        <v>-9179140.876</v>
      </c>
      <c r="I56" s="112" t="n">
        <f aca="false">H56+I55</f>
        <v>-7753615.888</v>
      </c>
      <c r="J56" s="112" t="n">
        <f aca="false">I56+J55</f>
        <v>-6335092.5256</v>
      </c>
      <c r="K56" s="112" t="n">
        <f aca="false">J56+K55</f>
        <v>-4923570.7888</v>
      </c>
      <c r="L56" s="112" t="n">
        <f aca="false">K56+L55</f>
        <v>-3519050.6776</v>
      </c>
      <c r="M56" s="112" t="n">
        <f aca="false">L56+M55</f>
        <v>-2121532.192</v>
      </c>
      <c r="N56" s="112" t="n">
        <f aca="false">M56+N55</f>
        <v>-696127.332</v>
      </c>
      <c r="O56" s="112" t="n">
        <f aca="false">N56+O55</f>
        <v>722275.9024</v>
      </c>
      <c r="P56" s="112" t="n">
        <f aca="false">O56+P55</f>
        <v>2133677.5112</v>
      </c>
      <c r="Q56" s="112" t="n">
        <f aca="false">P56+Q55</f>
        <v>3538077.4944</v>
      </c>
      <c r="R56" s="112" t="n">
        <f aca="false">Q56+R55</f>
        <v>4935475.852</v>
      </c>
      <c r="S56" s="112" t="n">
        <f aca="false">R56+S55</f>
        <v>6325872.584</v>
      </c>
      <c r="T56" s="112" t="n">
        <f aca="false">S56+T55</f>
        <v>7709267.6904</v>
      </c>
      <c r="U56" s="112" t="n">
        <f aca="false">T56+U55</f>
        <v>9085661.1712</v>
      </c>
      <c r="V56" s="112" t="n">
        <f aca="false">U56+V55</f>
        <v>10455053.0264</v>
      </c>
      <c r="W56" s="112" t="n">
        <f aca="false">V56+W55</f>
        <v>11817443.256</v>
      </c>
      <c r="X56" s="112" t="n">
        <f aca="false">W56+X55</f>
        <v>11817443.256</v>
      </c>
      <c r="Y56" s="109"/>
      <c r="Z56" s="109"/>
      <c r="AA56" s="109"/>
      <c r="AB56" s="109"/>
      <c r="AC56" s="109"/>
      <c r="AD56" s="109"/>
      <c r="AE56" s="109"/>
      <c r="AF56" s="109"/>
      <c r="AG56" s="109"/>
      <c r="AH56" s="109"/>
      <c r="AI56" s="109"/>
      <c r="AJ56" s="109"/>
    </row>
    <row r="57" customFormat="false" ht="18.75" hidden="false" customHeight="true" outlineLevel="0" collapsed="false">
      <c r="B57" s="113" t="s">
        <v>149</v>
      </c>
      <c r="C57" s="114"/>
      <c r="D57" s="115" t="str">
        <f aca="false">IF((D56)&gt;0,"回收","未回收")</f>
        <v>未回收</v>
      </c>
      <c r="E57" s="116" t="str">
        <f aca="false">IF((E56)&gt;0,"回收","未回收")</f>
        <v>未回收</v>
      </c>
      <c r="F57" s="116" t="str">
        <f aca="false">IF((F56)&gt;0,"回收","未回收")</f>
        <v>未回收</v>
      </c>
      <c r="G57" s="116" t="str">
        <f aca="false">IF((G56)&gt;0,"回收","未回收")</f>
        <v>未回收</v>
      </c>
      <c r="H57" s="116" t="str">
        <f aca="false">IF((H56)&gt;0,"回收","未回收")</f>
        <v>未回收</v>
      </c>
      <c r="I57" s="116" t="str">
        <f aca="false">IF((I56)&gt;0,"回收","未回收")</f>
        <v>未回收</v>
      </c>
      <c r="J57" s="116" t="str">
        <f aca="false">IF((J56)&gt;0,"回收","未回收")</f>
        <v>未回收</v>
      </c>
      <c r="K57" s="116" t="str">
        <f aca="false">IF((K56)&gt;0,"回收","未回收")</f>
        <v>未回收</v>
      </c>
      <c r="L57" s="116" t="str">
        <f aca="false">IF((L56)&gt;0,"回收","未回收")</f>
        <v>未回收</v>
      </c>
      <c r="M57" s="116" t="str">
        <f aca="false">IF((M56)&gt;0,"回收","未回收")</f>
        <v>未回收</v>
      </c>
      <c r="N57" s="116" t="str">
        <f aca="false">IF((N56)&gt;0,"回收","未回收")</f>
        <v>未回收</v>
      </c>
      <c r="O57" s="116" t="str">
        <f aca="false">IF((O56)&gt;0,"回收","未回收")</f>
        <v>回收</v>
      </c>
      <c r="P57" s="116" t="str">
        <f aca="false">IF((P56)&gt;0,"回收","未回收")</f>
        <v>回收</v>
      </c>
      <c r="Q57" s="116" t="str">
        <f aca="false">IF((Q56)&gt;0,"回收","未回收")</f>
        <v>回收</v>
      </c>
      <c r="R57" s="116" t="str">
        <f aca="false">IF((R56)&gt;0,"回收","未回收")</f>
        <v>回收</v>
      </c>
      <c r="S57" s="116" t="str">
        <f aca="false">IF((S56)&gt;0,"回收","未回收")</f>
        <v>回收</v>
      </c>
      <c r="T57" s="116" t="str">
        <f aca="false">IF((T56)&gt;0,"回收","未回收")</f>
        <v>回收</v>
      </c>
      <c r="U57" s="116" t="str">
        <f aca="false">IF((U56)&gt;0,"回收","未回收")</f>
        <v>回收</v>
      </c>
      <c r="V57" s="116" t="str">
        <f aca="false">IF((V56)&gt;0,"回收","未回收")</f>
        <v>回收</v>
      </c>
      <c r="W57" s="116" t="str">
        <f aca="false">IF((W56)&gt;0,"回收","未回收")</f>
        <v>回收</v>
      </c>
      <c r="X57" s="116" t="str">
        <f aca="false">IF((X56)&gt;0,"回收","未回收")</f>
        <v>回收</v>
      </c>
      <c r="Y57" s="109"/>
      <c r="Z57" s="109"/>
      <c r="AA57" s="109"/>
      <c r="AB57" s="109"/>
      <c r="AC57" s="109"/>
      <c r="AD57" s="109"/>
      <c r="AE57" s="109"/>
      <c r="AF57" s="109"/>
      <c r="AG57" s="109"/>
      <c r="AH57" s="109"/>
      <c r="AI57" s="109"/>
      <c r="AJ57" s="109"/>
    </row>
    <row r="58" customFormat="false" ht="18.75" hidden="false" customHeight="true" outlineLevel="0" collapsed="false">
      <c r="B58" s="117" t="s">
        <v>74</v>
      </c>
      <c r="C58" s="118" t="n">
        <f aca="false">IRR(C55:W55)</f>
        <v>0.0590589763791403</v>
      </c>
      <c r="D58" s="119"/>
      <c r="E58" s="119"/>
      <c r="F58" s="120"/>
      <c r="G58" s="120"/>
      <c r="H58" s="120"/>
      <c r="I58" s="120"/>
      <c r="J58" s="120"/>
      <c r="K58" s="120"/>
      <c r="L58" s="120"/>
      <c r="M58" s="120"/>
      <c r="N58" s="120"/>
      <c r="O58" s="120"/>
      <c r="P58" s="120"/>
      <c r="Q58" s="120"/>
      <c r="R58" s="120"/>
      <c r="S58" s="120"/>
      <c r="T58" s="120"/>
      <c r="U58" s="120"/>
      <c r="V58" s="120"/>
      <c r="W58" s="120"/>
      <c r="X58" s="120"/>
      <c r="Y58" s="121"/>
      <c r="Z58" s="121"/>
      <c r="AA58" s="121"/>
      <c r="AB58" s="121"/>
      <c r="AC58" s="121"/>
      <c r="AD58" s="121"/>
      <c r="AE58" s="121"/>
      <c r="AF58" s="121"/>
      <c r="AG58" s="121"/>
      <c r="AH58" s="121"/>
      <c r="AI58" s="121"/>
      <c r="AJ58" s="121"/>
    </row>
    <row r="59" customFormat="false" ht="18.75" hidden="false" customHeight="true" outlineLevel="0" collapsed="false">
      <c r="B59" s="120"/>
      <c r="C59" s="119"/>
      <c r="D59" s="119"/>
      <c r="E59" s="119"/>
      <c r="F59" s="120"/>
      <c r="G59" s="120"/>
      <c r="H59" s="120"/>
      <c r="I59" s="120"/>
      <c r="J59" s="120"/>
      <c r="K59" s="120"/>
      <c r="L59" s="120"/>
      <c r="M59" s="119"/>
      <c r="N59" s="120"/>
      <c r="O59" s="120"/>
      <c r="P59" s="120"/>
      <c r="Q59" s="120"/>
      <c r="R59" s="120"/>
      <c r="S59" s="120"/>
      <c r="T59" s="120"/>
      <c r="U59" s="120"/>
      <c r="V59" s="120"/>
      <c r="W59" s="120"/>
      <c r="X59" s="120"/>
      <c r="Y59" s="121"/>
      <c r="Z59" s="121"/>
      <c r="AA59" s="121"/>
      <c r="AB59" s="121"/>
      <c r="AC59" s="121"/>
      <c r="AD59" s="121"/>
      <c r="AE59" s="121"/>
      <c r="AF59" s="121"/>
      <c r="AG59" s="121"/>
      <c r="AH59" s="121"/>
      <c r="AI59" s="121"/>
      <c r="AJ59" s="121"/>
    </row>
    <row r="60" customFormat="false" ht="18.75" hidden="false" customHeight="true" outlineLevel="0" collapsed="false">
      <c r="B60" s="69"/>
      <c r="C60" s="70" t="s">
        <v>130</v>
      </c>
      <c r="D60" s="70" t="n">
        <f aca="false">D37</f>
        <v>2020</v>
      </c>
      <c r="E60" s="70" t="n">
        <f aca="false">E37</f>
        <v>2021</v>
      </c>
      <c r="F60" s="70" t="n">
        <f aca="false">F37</f>
        <v>2022</v>
      </c>
      <c r="G60" s="70" t="n">
        <f aca="false">G37</f>
        <v>2023</v>
      </c>
      <c r="H60" s="70" t="n">
        <f aca="false">H37</f>
        <v>2024</v>
      </c>
      <c r="I60" s="70" t="n">
        <f aca="false">I37</f>
        <v>2025</v>
      </c>
      <c r="J60" s="70" t="n">
        <f aca="false">J37</f>
        <v>2026</v>
      </c>
      <c r="K60" s="70" t="n">
        <f aca="false">K37</f>
        <v>2027</v>
      </c>
      <c r="L60" s="70" t="n">
        <f aca="false">L37</f>
        <v>2028</v>
      </c>
      <c r="M60" s="70" t="n">
        <f aca="false">M37</f>
        <v>2029</v>
      </c>
      <c r="N60" s="70" t="n">
        <f aca="false">N37</f>
        <v>2030</v>
      </c>
      <c r="O60" s="70" t="n">
        <f aca="false">O37</f>
        <v>2031</v>
      </c>
      <c r="P60" s="70" t="n">
        <f aca="false">P37</f>
        <v>2032</v>
      </c>
      <c r="Q60" s="70" t="n">
        <f aca="false">Q37</f>
        <v>2033</v>
      </c>
      <c r="R60" s="70" t="n">
        <f aca="false">R37</f>
        <v>2034</v>
      </c>
      <c r="S60" s="70" t="n">
        <f aca="false">S37</f>
        <v>2035</v>
      </c>
      <c r="T60" s="70" t="n">
        <f aca="false">T37</f>
        <v>2036</v>
      </c>
      <c r="U60" s="70" t="n">
        <f aca="false">U37</f>
        <v>2037</v>
      </c>
      <c r="V60" s="70" t="n">
        <f aca="false">V37</f>
        <v>2038</v>
      </c>
      <c r="W60" s="70" t="n">
        <f aca="false">W37</f>
        <v>2039</v>
      </c>
      <c r="X60" s="70"/>
      <c r="Y60" s="122"/>
      <c r="Z60" s="122"/>
      <c r="AA60" s="122"/>
      <c r="AB60" s="122"/>
      <c r="AC60" s="122"/>
      <c r="AD60" s="122"/>
      <c r="AE60" s="122"/>
      <c r="AF60" s="122"/>
      <c r="AG60" s="122"/>
      <c r="AH60" s="122"/>
      <c r="AI60" s="122"/>
      <c r="AJ60" s="122"/>
    </row>
    <row r="61" customFormat="false" ht="18.75" hidden="false" customHeight="true" outlineLevel="0" collapsed="false">
      <c r="B61" s="71" t="n">
        <v>0</v>
      </c>
      <c r="C61" s="72"/>
      <c r="D61" s="73"/>
      <c r="E61" s="73"/>
      <c r="F61" s="74"/>
      <c r="G61" s="75"/>
      <c r="H61" s="75"/>
      <c r="I61" s="75"/>
      <c r="J61" s="75"/>
      <c r="K61" s="75"/>
      <c r="L61" s="75"/>
      <c r="M61" s="75"/>
      <c r="N61" s="75"/>
      <c r="O61" s="75"/>
      <c r="P61" s="75"/>
      <c r="Q61" s="75"/>
      <c r="R61" s="75"/>
      <c r="S61" s="75"/>
      <c r="T61" s="123" t="s">
        <v>150</v>
      </c>
      <c r="U61" s="75"/>
      <c r="V61" s="75"/>
      <c r="W61" s="75"/>
      <c r="X61" s="77"/>
    </row>
    <row r="62" customFormat="false" ht="18.75" hidden="false" customHeight="true" outlineLevel="0" collapsed="false">
      <c r="B62" s="78" t="s">
        <v>131</v>
      </c>
      <c r="C62" s="79" t="n">
        <v>0</v>
      </c>
      <c r="D62" s="80" t="n">
        <v>1</v>
      </c>
      <c r="E62" s="80" t="n">
        <v>2</v>
      </c>
      <c r="F62" s="80" t="n">
        <v>3</v>
      </c>
      <c r="G62" s="80" t="n">
        <v>4</v>
      </c>
      <c r="H62" s="80" t="n">
        <v>5</v>
      </c>
      <c r="I62" s="80" t="n">
        <v>6</v>
      </c>
      <c r="J62" s="80" t="n">
        <v>7</v>
      </c>
      <c r="K62" s="80" t="n">
        <v>8</v>
      </c>
      <c r="L62" s="80" t="n">
        <v>9</v>
      </c>
      <c r="M62" s="80" t="n">
        <v>10</v>
      </c>
      <c r="N62" s="80" t="n">
        <v>11</v>
      </c>
      <c r="O62" s="80" t="n">
        <v>12</v>
      </c>
      <c r="P62" s="80" t="n">
        <v>13</v>
      </c>
      <c r="Q62" s="80" t="n">
        <v>14</v>
      </c>
      <c r="R62" s="80" t="n">
        <v>15</v>
      </c>
      <c r="S62" s="80" t="n">
        <v>16</v>
      </c>
      <c r="T62" s="124" t="n">
        <v>17</v>
      </c>
      <c r="U62" s="80" t="n">
        <v>18</v>
      </c>
      <c r="V62" s="80" t="n">
        <v>19</v>
      </c>
      <c r="W62" s="80" t="n">
        <v>20</v>
      </c>
      <c r="X62" s="82"/>
    </row>
    <row r="63" customFormat="false" ht="18.75" hidden="false" customHeight="true" outlineLevel="0" collapsed="false">
      <c r="B63" s="83" t="s">
        <v>132</v>
      </c>
      <c r="C63" s="84" t="n">
        <v>0</v>
      </c>
      <c r="D63" s="85" t="n">
        <f aca="false">D40</f>
        <v>541531.98</v>
      </c>
      <c r="E63" s="85" t="n">
        <f aca="false">E40</f>
        <v>539343.972</v>
      </c>
      <c r="F63" s="85" t="n">
        <f aca="false">F40</f>
        <v>537155.964</v>
      </c>
      <c r="G63" s="85" t="n">
        <f aca="false">G40</f>
        <v>534967.956</v>
      </c>
      <c r="H63" s="85" t="n">
        <f aca="false">H40</f>
        <v>532779.948</v>
      </c>
      <c r="I63" s="85" t="n">
        <f aca="false">I40</f>
        <v>530591.94</v>
      </c>
      <c r="J63" s="85" t="n">
        <f aca="false">J40</f>
        <v>528403.932</v>
      </c>
      <c r="K63" s="85" t="n">
        <f aca="false">K40</f>
        <v>526215.924</v>
      </c>
      <c r="L63" s="85" t="n">
        <f aca="false">L40</f>
        <v>524027.916</v>
      </c>
      <c r="M63" s="85" t="n">
        <f aca="false">M40</f>
        <v>521839.908</v>
      </c>
      <c r="N63" s="85" t="n">
        <f aca="false">N40</f>
        <v>519651.9</v>
      </c>
      <c r="O63" s="85" t="n">
        <f aca="false">O40</f>
        <v>517463.892</v>
      </c>
      <c r="P63" s="85" t="n">
        <f aca="false">P40</f>
        <v>515275.884</v>
      </c>
      <c r="Q63" s="85" t="n">
        <f aca="false">Q40</f>
        <v>513087.876</v>
      </c>
      <c r="R63" s="85" t="n">
        <f aca="false">R40</f>
        <v>510899.868</v>
      </c>
      <c r="S63" s="85" t="n">
        <f aca="false">S40</f>
        <v>508711.86</v>
      </c>
      <c r="T63" s="85" t="n">
        <f aca="false">T40</f>
        <v>506523.852</v>
      </c>
      <c r="U63" s="85" t="n">
        <f aca="false">U40</f>
        <v>504335.844</v>
      </c>
      <c r="V63" s="85" t="n">
        <f aca="false">V40</f>
        <v>502147.836</v>
      </c>
      <c r="W63" s="85" t="n">
        <f aca="false">W40</f>
        <v>499959.828</v>
      </c>
      <c r="X63" s="86"/>
    </row>
    <row r="64" customFormat="false" ht="18.75" hidden="false" customHeight="true" outlineLevel="0" collapsed="false">
      <c r="B64" s="87" t="s">
        <v>133</v>
      </c>
      <c r="C64" s="88" t="s">
        <v>4</v>
      </c>
      <c r="D64" s="89" t="n">
        <f aca="false">D41</f>
        <v>2166127.92</v>
      </c>
      <c r="E64" s="89" t="n">
        <f aca="false">E41</f>
        <v>2157375.888</v>
      </c>
      <c r="F64" s="89" t="n">
        <f aca="false">F41</f>
        <v>2148623.856</v>
      </c>
      <c r="G64" s="89" t="n">
        <f aca="false">G41</f>
        <v>2139871.824</v>
      </c>
      <c r="H64" s="89" t="n">
        <f aca="false">H41</f>
        <v>2131119.792</v>
      </c>
      <c r="I64" s="89" t="n">
        <f aca="false">I41</f>
        <v>2122367.76</v>
      </c>
      <c r="J64" s="89" t="n">
        <f aca="false">J41</f>
        <v>2113615.728</v>
      </c>
      <c r="K64" s="89" t="n">
        <f aca="false">K41</f>
        <v>2104863.696</v>
      </c>
      <c r="L64" s="89" t="n">
        <f aca="false">L41</f>
        <v>2096111.664</v>
      </c>
      <c r="M64" s="89" t="n">
        <f aca="false">M41</f>
        <v>2087359.632</v>
      </c>
      <c r="N64" s="89" t="n">
        <f aca="false">N41</f>
        <v>2078607.6</v>
      </c>
      <c r="O64" s="89" t="n">
        <f aca="false">O41</f>
        <v>2069855.568</v>
      </c>
      <c r="P64" s="89" t="n">
        <f aca="false">P41</f>
        <v>2061103.536</v>
      </c>
      <c r="Q64" s="89" t="n">
        <f aca="false">Q41</f>
        <v>2052351.504</v>
      </c>
      <c r="R64" s="89" t="n">
        <f aca="false">R41</f>
        <v>2043599.472</v>
      </c>
      <c r="S64" s="89" t="n">
        <f aca="false">S41</f>
        <v>2034847.44</v>
      </c>
      <c r="T64" s="89" t="n">
        <f aca="false">T41</f>
        <v>2026095.408</v>
      </c>
      <c r="U64" s="89" t="n">
        <f aca="false">U41</f>
        <v>2017343.376</v>
      </c>
      <c r="V64" s="89" t="n">
        <f aca="false">V41</f>
        <v>2008591.344</v>
      </c>
      <c r="W64" s="89" t="n">
        <f aca="false">W41</f>
        <v>1999839.312</v>
      </c>
      <c r="X64" s="90"/>
    </row>
    <row r="65" customFormat="false" ht="18.75" hidden="false" customHeight="true" outlineLevel="0" collapsed="false">
      <c r="B65" s="91" t="s">
        <v>134</v>
      </c>
      <c r="C65" s="92" t="s">
        <v>4</v>
      </c>
      <c r="D65" s="93"/>
      <c r="E65" s="93"/>
      <c r="F65" s="93"/>
      <c r="G65" s="94" t="s">
        <v>4</v>
      </c>
      <c r="H65" s="94" t="s">
        <v>4</v>
      </c>
      <c r="I65" s="94" t="s">
        <v>4</v>
      </c>
      <c r="J65" s="94" t="s">
        <v>4</v>
      </c>
      <c r="K65" s="94" t="s">
        <v>4</v>
      </c>
      <c r="L65" s="94" t="s">
        <v>4</v>
      </c>
      <c r="M65" s="94" t="s">
        <v>4</v>
      </c>
      <c r="N65" s="94" t="s">
        <v>4</v>
      </c>
      <c r="O65" s="94" t="s">
        <v>4</v>
      </c>
      <c r="P65" s="94" t="s">
        <v>4</v>
      </c>
      <c r="Q65" s="94" t="s">
        <v>4</v>
      </c>
      <c r="R65" s="94" t="s">
        <v>4</v>
      </c>
      <c r="S65" s="94" t="s">
        <v>4</v>
      </c>
      <c r="T65" s="94" t="s">
        <v>4</v>
      </c>
      <c r="U65" s="94" t="s">
        <v>4</v>
      </c>
      <c r="V65" s="94" t="s">
        <v>4</v>
      </c>
      <c r="W65" s="94" t="s">
        <v>4</v>
      </c>
      <c r="X65" s="95"/>
    </row>
    <row r="66" customFormat="false" ht="18.75" hidden="false" customHeight="true" outlineLevel="0" collapsed="false">
      <c r="B66" s="96" t="s">
        <v>135</v>
      </c>
      <c r="C66" s="97"/>
      <c r="D66" s="98"/>
      <c r="E66" s="98"/>
      <c r="F66" s="98"/>
      <c r="G66" s="98"/>
      <c r="H66" s="98"/>
      <c r="I66" s="98"/>
      <c r="J66" s="98"/>
      <c r="K66" s="98"/>
      <c r="L66" s="98"/>
      <c r="M66" s="98"/>
      <c r="N66" s="98"/>
      <c r="O66" s="98"/>
      <c r="P66" s="98"/>
      <c r="Q66" s="98"/>
      <c r="R66" s="98"/>
      <c r="S66" s="98"/>
      <c r="T66" s="98"/>
      <c r="U66" s="98"/>
      <c r="V66" s="98"/>
      <c r="W66" s="98"/>
      <c r="X66" s="99"/>
    </row>
    <row r="67" customFormat="false" ht="18.75" hidden="false" customHeight="true" outlineLevel="0" collapsed="false">
      <c r="B67" s="100" t="s">
        <v>151</v>
      </c>
      <c r="C67" s="92"/>
      <c r="D67" s="125" t="n">
        <f aca="false">$C$44/$E$16</f>
        <v>-817687.5</v>
      </c>
      <c r="E67" s="125" t="n">
        <f aca="false">$C$44/$E$16</f>
        <v>-817687.5</v>
      </c>
      <c r="F67" s="125" t="n">
        <f aca="false">$C$44/$E$16</f>
        <v>-817687.5</v>
      </c>
      <c r="G67" s="125" t="n">
        <f aca="false">$C$44/$E$16</f>
        <v>-817687.5</v>
      </c>
      <c r="H67" s="125" t="n">
        <f aca="false">$C$44/$E$16</f>
        <v>-817687.5</v>
      </c>
      <c r="I67" s="125" t="n">
        <f aca="false">$C$44/$E$16</f>
        <v>-817687.5</v>
      </c>
      <c r="J67" s="125" t="n">
        <f aca="false">$C$44/$E$16</f>
        <v>-817687.5</v>
      </c>
      <c r="K67" s="125" t="n">
        <f aca="false">$C$44/$E$16</f>
        <v>-817687.5</v>
      </c>
      <c r="L67" s="125" t="n">
        <f aca="false">$C$44/$E$16</f>
        <v>-817687.5</v>
      </c>
      <c r="M67" s="125" t="n">
        <f aca="false">$C$44/$E$16</f>
        <v>-817687.5</v>
      </c>
      <c r="N67" s="125" t="n">
        <f aca="false">$C$44/$E$16</f>
        <v>-817687.5</v>
      </c>
      <c r="O67" s="125" t="n">
        <f aca="false">$C$44/$E$16</f>
        <v>-817687.5</v>
      </c>
      <c r="P67" s="125" t="n">
        <f aca="false">$C$44/$E$16</f>
        <v>-817687.5</v>
      </c>
      <c r="Q67" s="125" t="n">
        <f aca="false">$C$44/$E$16</f>
        <v>-817687.5</v>
      </c>
      <c r="R67" s="125" t="n">
        <f aca="false">$C$44/$E$16</f>
        <v>-817687.5</v>
      </c>
      <c r="S67" s="125" t="n">
        <f aca="false">$C$44/$E$16</f>
        <v>-817687.5</v>
      </c>
      <c r="T67" s="125" t="n">
        <f aca="false">$C$44/$E$16</f>
        <v>-817687.5</v>
      </c>
      <c r="U67" s="125" t="n">
        <f aca="false">$C$44/$E$16</f>
        <v>-817687.5</v>
      </c>
      <c r="V67" s="125" t="n">
        <f aca="false">$C$44/$E$16</f>
        <v>-817687.5</v>
      </c>
      <c r="W67" s="125" t="n">
        <f aca="false">$C$44/$E$16</f>
        <v>-817687.5</v>
      </c>
      <c r="X67" s="95"/>
    </row>
    <row r="68" customFormat="false" ht="18.75" hidden="false" customHeight="true" outlineLevel="0" collapsed="false">
      <c r="B68" s="100" t="s">
        <v>137</v>
      </c>
      <c r="C68" s="92" t="s">
        <v>4</v>
      </c>
      <c r="D68" s="102" t="n">
        <f aca="false">D44</f>
        <v>0</v>
      </c>
      <c r="E68" s="102" t="n">
        <f aca="false">E45</f>
        <v>-290201</v>
      </c>
      <c r="F68" s="102" t="n">
        <f aca="false">F45</f>
        <v>-290201</v>
      </c>
      <c r="G68" s="102" t="n">
        <f aca="false">G45</f>
        <v>-290201</v>
      </c>
      <c r="H68" s="102" t="n">
        <f aca="false">H45</f>
        <v>-290201</v>
      </c>
      <c r="I68" s="102" t="n">
        <f aca="false">I45</f>
        <v>-290201</v>
      </c>
      <c r="J68" s="102" t="n">
        <f aca="false">J45</f>
        <v>-290201</v>
      </c>
      <c r="K68" s="102" t="n">
        <f aca="false">K45</f>
        <v>-290201</v>
      </c>
      <c r="L68" s="102" t="n">
        <f aca="false">L45</f>
        <v>-290201</v>
      </c>
      <c r="M68" s="102" t="n">
        <f aca="false">M45</f>
        <v>-290201</v>
      </c>
      <c r="N68" s="102" t="n">
        <f aca="false">N45</f>
        <v>-290201</v>
      </c>
      <c r="O68" s="102" t="n">
        <f aca="false">O45</f>
        <v>-290201</v>
      </c>
      <c r="P68" s="102" t="n">
        <f aca="false">P45</f>
        <v>-290201</v>
      </c>
      <c r="Q68" s="102" t="n">
        <f aca="false">Q45</f>
        <v>-290201</v>
      </c>
      <c r="R68" s="102" t="n">
        <f aca="false">R45</f>
        <v>-290201</v>
      </c>
      <c r="S68" s="102" t="n">
        <f aca="false">S45</f>
        <v>-290201</v>
      </c>
      <c r="T68" s="102" t="n">
        <f aca="false">T45</f>
        <v>-290201</v>
      </c>
      <c r="U68" s="102" t="n">
        <f aca="false">U45</f>
        <v>-290201</v>
      </c>
      <c r="V68" s="102" t="n">
        <f aca="false">V45</f>
        <v>-290201</v>
      </c>
      <c r="W68" s="102" t="n">
        <f aca="false">W45</f>
        <v>-290201</v>
      </c>
      <c r="X68" s="95"/>
    </row>
    <row r="69" customFormat="false" ht="18.75" hidden="false" customHeight="true" outlineLevel="0" collapsed="false">
      <c r="B69" s="100" t="s">
        <v>138</v>
      </c>
      <c r="C69" s="92"/>
      <c r="D69" s="93"/>
      <c r="E69" s="93"/>
      <c r="F69" s="93"/>
      <c r="G69" s="93"/>
      <c r="H69" s="93"/>
      <c r="I69" s="93"/>
      <c r="J69" s="93"/>
      <c r="K69" s="93"/>
      <c r="L69" s="93"/>
      <c r="M69" s="93"/>
      <c r="N69" s="93"/>
      <c r="O69" s="93"/>
      <c r="P69" s="93"/>
      <c r="Q69" s="93"/>
      <c r="R69" s="93"/>
      <c r="S69" s="93"/>
      <c r="T69" s="93"/>
      <c r="U69" s="93"/>
      <c r="V69" s="93"/>
      <c r="W69" s="93"/>
      <c r="X69" s="95"/>
    </row>
    <row r="70" customFormat="false" ht="18.75" hidden="false" customHeight="true" outlineLevel="0" collapsed="false">
      <c r="B70" s="100" t="s">
        <v>139</v>
      </c>
      <c r="C70" s="92" t="s">
        <v>4</v>
      </c>
      <c r="D70" s="102" t="n">
        <f aca="false">-D109*$D25</f>
        <v>-334924.8</v>
      </c>
      <c r="E70" s="102" t="n">
        <f aca="false">-E109*$D25</f>
        <v>-312596.48</v>
      </c>
      <c r="F70" s="102" t="n">
        <f aca="false">-F109*$D25</f>
        <v>-290268.16</v>
      </c>
      <c r="G70" s="102" t="n">
        <f aca="false">-G109*$D25</f>
        <v>-267939.84</v>
      </c>
      <c r="H70" s="102" t="n">
        <f aca="false">-H109*$D25</f>
        <v>-245611.52</v>
      </c>
      <c r="I70" s="102" t="n">
        <f aca="false">-I109*$D25</f>
        <v>-223283.2</v>
      </c>
      <c r="J70" s="102" t="n">
        <f aca="false">-J109*$D25</f>
        <v>-200954.88</v>
      </c>
      <c r="K70" s="102" t="n">
        <f aca="false">-K109*$D25</f>
        <v>-178626.56</v>
      </c>
      <c r="L70" s="102" t="n">
        <f aca="false">-L109*$D25</f>
        <v>-156298.24</v>
      </c>
      <c r="M70" s="102" t="n">
        <f aca="false">-M109*$D25</f>
        <v>-133969.92</v>
      </c>
      <c r="N70" s="102" t="n">
        <f aca="false">-N109*$D25</f>
        <v>-111641.6</v>
      </c>
      <c r="O70" s="102" t="n">
        <f aca="false">-O109*$D25</f>
        <v>-89313.28</v>
      </c>
      <c r="P70" s="102" t="n">
        <f aca="false">-P109*$D25</f>
        <v>-66984.96</v>
      </c>
      <c r="Q70" s="102" t="n">
        <f aca="false">-Q109*$D25</f>
        <v>-44656.64</v>
      </c>
      <c r="R70" s="102" t="n">
        <f aca="false">-R109*$D25</f>
        <v>-22328.32</v>
      </c>
      <c r="S70" s="102" t="n">
        <f aca="false">-S109*$D25</f>
        <v>-0</v>
      </c>
      <c r="T70" s="102" t="n">
        <f aca="false">-T109*$D25</f>
        <v>-0</v>
      </c>
      <c r="U70" s="102" t="n">
        <f aca="false">-U109*$D25</f>
        <v>-0</v>
      </c>
      <c r="V70" s="102" t="n">
        <f aca="false">-V109*$D25</f>
        <v>-0</v>
      </c>
      <c r="W70" s="102" t="n">
        <f aca="false">-W109*$D25</f>
        <v>-0</v>
      </c>
      <c r="X70" s="95"/>
    </row>
    <row r="71" customFormat="false" ht="18.75" hidden="false" customHeight="true" outlineLevel="0" collapsed="false">
      <c r="B71" s="100" t="s">
        <v>140</v>
      </c>
      <c r="C71" s="92" t="s">
        <v>4</v>
      </c>
      <c r="D71" s="102" t="n">
        <f aca="false">D48</f>
        <v>-174440</v>
      </c>
      <c r="E71" s="102" t="n">
        <f aca="false">E48</f>
        <v>-174440</v>
      </c>
      <c r="F71" s="102" t="n">
        <f aca="false">F48</f>
        <v>-174440</v>
      </c>
      <c r="G71" s="102" t="n">
        <f aca="false">G48</f>
        <v>-174440</v>
      </c>
      <c r="H71" s="102" t="n">
        <f aca="false">H48</f>
        <v>-174440</v>
      </c>
      <c r="I71" s="102" t="n">
        <f aca="false">I48</f>
        <v>-174440</v>
      </c>
      <c r="J71" s="102" t="n">
        <f aca="false">J48</f>
        <v>-174440</v>
      </c>
      <c r="K71" s="102" t="n">
        <f aca="false">K48</f>
        <v>-174440</v>
      </c>
      <c r="L71" s="102" t="n">
        <f aca="false">L48</f>
        <v>-174440</v>
      </c>
      <c r="M71" s="102" t="n">
        <f aca="false">M48</f>
        <v>-174440</v>
      </c>
      <c r="N71" s="102" t="n">
        <f aca="false">N48</f>
        <v>-174440</v>
      </c>
      <c r="O71" s="102" t="n">
        <f aca="false">O48</f>
        <v>-174440</v>
      </c>
      <c r="P71" s="102" t="n">
        <f aca="false">P48</f>
        <v>-174440</v>
      </c>
      <c r="Q71" s="102" t="n">
        <f aca="false">Q48</f>
        <v>-174440</v>
      </c>
      <c r="R71" s="102" t="n">
        <f aca="false">R48</f>
        <v>-174440</v>
      </c>
      <c r="S71" s="102" t="n">
        <f aca="false">S48</f>
        <v>-174440</v>
      </c>
      <c r="T71" s="102" t="n">
        <f aca="false">T48</f>
        <v>-174440</v>
      </c>
      <c r="U71" s="102" t="n">
        <f aca="false">U48</f>
        <v>-174440</v>
      </c>
      <c r="V71" s="102" t="n">
        <f aca="false">V48</f>
        <v>-174440</v>
      </c>
      <c r="W71" s="102" t="n">
        <f aca="false">W48</f>
        <v>-174440</v>
      </c>
      <c r="X71" s="95"/>
    </row>
    <row r="72" customFormat="false" ht="18.75" hidden="false" customHeight="true" outlineLevel="0" collapsed="false">
      <c r="B72" s="100" t="s">
        <v>141</v>
      </c>
      <c r="C72" s="92" t="s">
        <v>4</v>
      </c>
      <c r="D72" s="102" t="n">
        <f aca="false">D49</f>
        <v>-36632.4</v>
      </c>
      <c r="E72" s="102" t="n">
        <f aca="false">E49</f>
        <v>-36632.4</v>
      </c>
      <c r="F72" s="102" t="n">
        <f aca="false">F49</f>
        <v>-36632.4</v>
      </c>
      <c r="G72" s="102" t="n">
        <f aca="false">G49</f>
        <v>-36632.4</v>
      </c>
      <c r="H72" s="102" t="n">
        <f aca="false">H49</f>
        <v>-36632.4</v>
      </c>
      <c r="I72" s="102" t="n">
        <f aca="false">I49</f>
        <v>-36632.4</v>
      </c>
      <c r="J72" s="102" t="n">
        <f aca="false">J49</f>
        <v>-36632.4</v>
      </c>
      <c r="K72" s="102" t="n">
        <f aca="false">K49</f>
        <v>-36632.4</v>
      </c>
      <c r="L72" s="102" t="n">
        <f aca="false">L49</f>
        <v>-36632.4</v>
      </c>
      <c r="M72" s="102" t="n">
        <f aca="false">M49</f>
        <v>-36632.4</v>
      </c>
      <c r="N72" s="102" t="n">
        <f aca="false">N49</f>
        <v>-36632.4</v>
      </c>
      <c r="O72" s="102" t="n">
        <f aca="false">O49</f>
        <v>-36632.4</v>
      </c>
      <c r="P72" s="102" t="n">
        <f aca="false">P49</f>
        <v>-36632.4</v>
      </c>
      <c r="Q72" s="102" t="n">
        <f aca="false">Q49</f>
        <v>-36632.4</v>
      </c>
      <c r="R72" s="102" t="n">
        <f aca="false">R49</f>
        <v>-36632.4</v>
      </c>
      <c r="S72" s="102" t="n">
        <f aca="false">S49</f>
        <v>-36632.4</v>
      </c>
      <c r="T72" s="102" t="n">
        <f aca="false">T49</f>
        <v>-36632.4</v>
      </c>
      <c r="U72" s="102" t="n">
        <f aca="false">U49</f>
        <v>-36632.4</v>
      </c>
      <c r="V72" s="102" t="n">
        <f aca="false">V49</f>
        <v>-36632.4</v>
      </c>
      <c r="W72" s="102" t="n">
        <f aca="false">W49</f>
        <v>-36632.4</v>
      </c>
      <c r="X72" s="95"/>
    </row>
    <row r="73" customFormat="false" ht="18.75" hidden="false" customHeight="true" outlineLevel="0" collapsed="false">
      <c r="B73" s="100" t="s">
        <v>142</v>
      </c>
      <c r="C73" s="92"/>
      <c r="D73" s="102" t="n">
        <f aca="false">D50</f>
        <v>-43610</v>
      </c>
      <c r="E73" s="102" t="n">
        <f aca="false">E50</f>
        <v>-43610</v>
      </c>
      <c r="F73" s="102" t="n">
        <f aca="false">F50</f>
        <v>-43610</v>
      </c>
      <c r="G73" s="102" t="n">
        <f aca="false">G50</f>
        <v>-43610</v>
      </c>
      <c r="H73" s="102" t="n">
        <f aca="false">H50</f>
        <v>-43610</v>
      </c>
      <c r="I73" s="102" t="n">
        <f aca="false">I50</f>
        <v>-43610</v>
      </c>
      <c r="J73" s="102" t="n">
        <f aca="false">J50</f>
        <v>-43610</v>
      </c>
      <c r="K73" s="102" t="n">
        <f aca="false">K50</f>
        <v>-43610</v>
      </c>
      <c r="L73" s="102" t="n">
        <f aca="false">L50</f>
        <v>-43610</v>
      </c>
      <c r="M73" s="102" t="n">
        <f aca="false">M50</f>
        <v>-43610</v>
      </c>
      <c r="N73" s="102" t="n">
        <f aca="false">N50</f>
        <v>0</v>
      </c>
      <c r="O73" s="102" t="n">
        <f aca="false">O50</f>
        <v>0</v>
      </c>
      <c r="P73" s="102" t="n">
        <f aca="false">P50</f>
        <v>0</v>
      </c>
      <c r="Q73" s="102" t="n">
        <f aca="false">Q50</f>
        <v>0</v>
      </c>
      <c r="R73" s="102" t="n">
        <f aca="false">R50</f>
        <v>0</v>
      </c>
      <c r="S73" s="102" t="n">
        <f aca="false">S50</f>
        <v>0</v>
      </c>
      <c r="T73" s="102" t="n">
        <f aca="false">T50</f>
        <v>0</v>
      </c>
      <c r="U73" s="102" t="n">
        <f aca="false">U50</f>
        <v>0</v>
      </c>
      <c r="V73" s="102" t="n">
        <f aca="false">V50</f>
        <v>0</v>
      </c>
      <c r="W73" s="102" t="n">
        <f aca="false">W50</f>
        <v>0</v>
      </c>
      <c r="X73" s="95"/>
    </row>
    <row r="74" customFormat="false" ht="18.75" hidden="false" customHeight="true" outlineLevel="0" collapsed="false">
      <c r="B74" s="100" t="s">
        <v>143</v>
      </c>
      <c r="C74" s="103"/>
      <c r="D74" s="126"/>
      <c r="E74" s="127"/>
      <c r="F74" s="93"/>
      <c r="G74" s="93"/>
      <c r="H74" s="93"/>
      <c r="I74" s="93"/>
      <c r="J74" s="93"/>
      <c r="K74" s="93"/>
      <c r="L74" s="93"/>
      <c r="M74" s="93"/>
      <c r="N74" s="93"/>
      <c r="O74" s="93"/>
      <c r="P74" s="93"/>
      <c r="Q74" s="93"/>
      <c r="R74" s="93"/>
      <c r="S74" s="93"/>
      <c r="T74" s="93"/>
      <c r="U74" s="93"/>
      <c r="V74" s="93"/>
      <c r="W74" s="93"/>
      <c r="X74" s="95"/>
    </row>
    <row r="75" customFormat="false" ht="18.75" hidden="false" customHeight="true" outlineLevel="0" collapsed="false">
      <c r="B75" s="100" t="s">
        <v>144</v>
      </c>
      <c r="C75" s="103"/>
      <c r="D75" s="93"/>
      <c r="E75" s="93"/>
      <c r="F75" s="93"/>
      <c r="G75" s="93"/>
      <c r="H75" s="93"/>
      <c r="I75" s="93"/>
      <c r="J75" s="93"/>
      <c r="K75" s="93"/>
      <c r="L75" s="93"/>
      <c r="M75" s="93"/>
      <c r="N75" s="93"/>
      <c r="O75" s="93"/>
      <c r="P75" s="93"/>
      <c r="Q75" s="93"/>
      <c r="R75" s="93"/>
      <c r="S75" s="93"/>
      <c r="T75" s="93"/>
      <c r="U75" s="93"/>
      <c r="V75" s="93"/>
      <c r="W75" s="93"/>
      <c r="X75" s="95"/>
    </row>
    <row r="76" customFormat="false" ht="18.75" hidden="false" customHeight="true" outlineLevel="0" collapsed="false">
      <c r="B76" s="105" t="s">
        <v>152</v>
      </c>
      <c r="C76" s="128"/>
      <c r="D76" s="107" t="n">
        <f aca="false">SUM(D64:D75)</f>
        <v>758833.22</v>
      </c>
      <c r="E76" s="107" t="n">
        <f aca="false">SUM(E64:E75)</f>
        <v>482208.508</v>
      </c>
      <c r="F76" s="107" t="n">
        <f aca="false">SUM(F64:F75)</f>
        <v>495784.796</v>
      </c>
      <c r="G76" s="107" t="n">
        <f aca="false">SUM(G64:G75)</f>
        <v>509361.084</v>
      </c>
      <c r="H76" s="107" t="n">
        <f aca="false">SUM(H64:H75)</f>
        <v>522937.372</v>
      </c>
      <c r="I76" s="107" t="n">
        <f aca="false">SUM(I64:I75)</f>
        <v>536513.66</v>
      </c>
      <c r="J76" s="107" t="n">
        <f aca="false">SUM(J64:J75)</f>
        <v>550089.948</v>
      </c>
      <c r="K76" s="107" t="n">
        <f aca="false">SUM(K64:K75)</f>
        <v>563666.236</v>
      </c>
      <c r="L76" s="107" t="n">
        <f aca="false">SUM(L64:L75)</f>
        <v>577242.524</v>
      </c>
      <c r="M76" s="107" t="n">
        <f aca="false">SUM(M64:M75)</f>
        <v>590818.812</v>
      </c>
      <c r="N76" s="107" t="n">
        <f aca="false">SUM(N64:N75)</f>
        <v>648005.1</v>
      </c>
      <c r="O76" s="107" t="n">
        <f aca="false">SUM(O64:O75)</f>
        <v>661581.388</v>
      </c>
      <c r="P76" s="107" t="n">
        <f aca="false">SUM(P64:P75)</f>
        <v>675157.676</v>
      </c>
      <c r="Q76" s="107" t="n">
        <f aca="false">SUM(Q64:Q75)</f>
        <v>688733.964</v>
      </c>
      <c r="R76" s="107" t="n">
        <f aca="false">SUM(R64:R75)</f>
        <v>702310.252</v>
      </c>
      <c r="S76" s="107" t="n">
        <f aca="false">SUM(S64:S75)</f>
        <v>715886.54</v>
      </c>
      <c r="T76" s="107" t="n">
        <f aca="false">SUM(T64:T75)</f>
        <v>707134.508</v>
      </c>
      <c r="U76" s="107" t="n">
        <f aca="false">SUM(U64:U75)</f>
        <v>698382.476</v>
      </c>
      <c r="V76" s="107" t="n">
        <f aca="false">SUM(V64:V75)</f>
        <v>689630.444</v>
      </c>
      <c r="W76" s="107" t="n">
        <f aca="false">SUM(W64:W75)</f>
        <v>680878.412</v>
      </c>
      <c r="X76" s="107" t="n">
        <f aca="false">SUM(X64:X75)</f>
        <v>0</v>
      </c>
    </row>
    <row r="77" customFormat="false" ht="18.75" hidden="false" customHeight="true" outlineLevel="0" collapsed="false">
      <c r="B77" s="104" t="s">
        <v>146</v>
      </c>
      <c r="C77" s="103"/>
      <c r="D77" s="102" t="n">
        <f aca="false">-D76*0.2</f>
        <v>-151766.644</v>
      </c>
      <c r="E77" s="102" t="n">
        <f aca="false">-E76*0.2</f>
        <v>-96441.7016</v>
      </c>
      <c r="F77" s="102" t="n">
        <f aca="false">-F76*0.2</f>
        <v>-99156.9592</v>
      </c>
      <c r="G77" s="102" t="n">
        <f aca="false">-G76*0.2</f>
        <v>-101872.2168</v>
      </c>
      <c r="H77" s="102" t="n">
        <f aca="false">-H76*0.2</f>
        <v>-104587.4744</v>
      </c>
      <c r="I77" s="102" t="n">
        <f aca="false">-I76*0.2</f>
        <v>-107302.732</v>
      </c>
      <c r="J77" s="102" t="n">
        <f aca="false">-J76*0.2</f>
        <v>-110017.9896</v>
      </c>
      <c r="K77" s="102" t="n">
        <f aca="false">-K76*0.2</f>
        <v>-112733.2472</v>
      </c>
      <c r="L77" s="102" t="n">
        <f aca="false">-L76*0.2</f>
        <v>-115448.5048</v>
      </c>
      <c r="M77" s="102" t="n">
        <f aca="false">-M76*0.2</f>
        <v>-118163.7624</v>
      </c>
      <c r="N77" s="102" t="n">
        <f aca="false">-N76*0.2</f>
        <v>-129601.02</v>
      </c>
      <c r="O77" s="102" t="n">
        <f aca="false">-O76*0.2</f>
        <v>-132316.2776</v>
      </c>
      <c r="P77" s="102" t="n">
        <f aca="false">-P76*0.2</f>
        <v>-135031.5352</v>
      </c>
      <c r="Q77" s="102" t="n">
        <f aca="false">-Q76*0.2</f>
        <v>-137746.7928</v>
      </c>
      <c r="R77" s="102" t="n">
        <f aca="false">-R76*0.2</f>
        <v>-140462.0504</v>
      </c>
      <c r="S77" s="102" t="n">
        <f aca="false">-S76*0.2</f>
        <v>-143177.308</v>
      </c>
      <c r="T77" s="102" t="n">
        <f aca="false">-T76*0.2</f>
        <v>-141426.9016</v>
      </c>
      <c r="U77" s="102" t="n">
        <f aca="false">-U76*0.2</f>
        <v>-139676.4952</v>
      </c>
      <c r="V77" s="102" t="n">
        <f aca="false">-V76*0.2</f>
        <v>-137926.0888</v>
      </c>
      <c r="W77" s="102" t="n">
        <f aca="false">-W76*0.2</f>
        <v>-136175.6824</v>
      </c>
      <c r="X77" s="102" t="n">
        <f aca="false">-X76*0.2</f>
        <v>-0</v>
      </c>
    </row>
    <row r="78" customFormat="false" ht="15.75" hidden="false" customHeight="true" outlineLevel="0" collapsed="false">
      <c r="B78" s="129" t="s">
        <v>153</v>
      </c>
      <c r="D78" s="102" t="n">
        <f aca="false">SUM(D76:D77)</f>
        <v>607066.576</v>
      </c>
      <c r="E78" s="102" t="n">
        <f aca="false">SUM(E76:E77)</f>
        <v>385766.8064</v>
      </c>
      <c r="F78" s="102" t="n">
        <f aca="false">SUM(F76:F77)</f>
        <v>396627.8368</v>
      </c>
      <c r="G78" s="102" t="n">
        <f aca="false">SUM(G76:G77)</f>
        <v>407488.8672</v>
      </c>
      <c r="H78" s="102" t="n">
        <f aca="false">SUM(H76:H77)</f>
        <v>418349.8976</v>
      </c>
      <c r="I78" s="102" t="n">
        <f aca="false">SUM(I76:I77)</f>
        <v>429210.928</v>
      </c>
      <c r="J78" s="102" t="n">
        <f aca="false">SUM(J76:J77)</f>
        <v>440071.9584</v>
      </c>
      <c r="K78" s="102" t="n">
        <f aca="false">SUM(K76:K77)</f>
        <v>450932.9888</v>
      </c>
      <c r="L78" s="102" t="n">
        <f aca="false">SUM(L76:L77)</f>
        <v>461794.0192</v>
      </c>
      <c r="M78" s="102" t="n">
        <f aca="false">SUM(M76:M77)</f>
        <v>472655.0496</v>
      </c>
      <c r="N78" s="102" t="n">
        <f aca="false">SUM(N76:N77)</f>
        <v>518404.08</v>
      </c>
      <c r="O78" s="102" t="n">
        <f aca="false">SUM(O76:O77)</f>
        <v>529265.1104</v>
      </c>
      <c r="P78" s="102" t="n">
        <f aca="false">SUM(P76:P77)</f>
        <v>540126.1408</v>
      </c>
      <c r="Q78" s="102" t="n">
        <f aca="false">SUM(Q76:Q77)</f>
        <v>550987.1712</v>
      </c>
      <c r="R78" s="102" t="n">
        <f aca="false">SUM(R76:R77)</f>
        <v>561848.2016</v>
      </c>
      <c r="S78" s="102" t="n">
        <f aca="false">SUM(S76:S77)</f>
        <v>572709.232</v>
      </c>
      <c r="T78" s="102" t="n">
        <f aca="false">SUM(T76:T77)</f>
        <v>565707.6064</v>
      </c>
      <c r="U78" s="102" t="n">
        <f aca="false">SUM(U76:U77)</f>
        <v>558705.9808</v>
      </c>
      <c r="V78" s="102" t="n">
        <f aca="false">SUM(V76:V77)</f>
        <v>551704.3552</v>
      </c>
      <c r="W78" s="102" t="n">
        <f aca="false">SUM(W76:W77)</f>
        <v>544702.7296</v>
      </c>
      <c r="X78" s="102" t="n">
        <f aca="false">SUM(X76:X77)</f>
        <v>0</v>
      </c>
    </row>
    <row r="79" customFormat="false" ht="18.75" hidden="false" customHeight="true" outlineLevel="0" collapsed="false">
      <c r="B79" s="111" t="s">
        <v>148</v>
      </c>
      <c r="C79" s="114"/>
      <c r="D79" s="130"/>
      <c r="E79" s="130"/>
      <c r="F79" s="130"/>
      <c r="G79" s="130"/>
      <c r="H79" s="130"/>
      <c r="I79" s="130"/>
      <c r="J79" s="130"/>
      <c r="K79" s="130"/>
      <c r="L79" s="130"/>
      <c r="M79" s="130"/>
      <c r="N79" s="130"/>
      <c r="O79" s="130"/>
      <c r="P79" s="130"/>
      <c r="Q79" s="130"/>
      <c r="R79" s="130"/>
      <c r="S79" s="130"/>
      <c r="T79" s="130"/>
      <c r="U79" s="130"/>
      <c r="V79" s="130"/>
      <c r="W79" s="130"/>
      <c r="X79" s="131"/>
    </row>
    <row r="80" customFormat="false" ht="18.75" hidden="false" customHeight="true" outlineLevel="0" collapsed="false">
      <c r="B80" s="132" t="s">
        <v>149</v>
      </c>
      <c r="C80" s="133"/>
      <c r="D80" s="134"/>
      <c r="E80" s="134"/>
      <c r="F80" s="134"/>
      <c r="G80" s="134"/>
      <c r="H80" s="134"/>
      <c r="I80" s="134"/>
      <c r="J80" s="134"/>
      <c r="K80" s="134"/>
      <c r="L80" s="134"/>
      <c r="M80" s="134"/>
      <c r="N80" s="134"/>
      <c r="O80" s="134"/>
      <c r="P80" s="134"/>
      <c r="Q80" s="134"/>
      <c r="R80" s="134"/>
      <c r="S80" s="134"/>
      <c r="T80" s="134"/>
      <c r="U80" s="134"/>
      <c r="V80" s="134"/>
      <c r="W80" s="134"/>
      <c r="X80" s="135"/>
    </row>
    <row r="81" customFormat="false" ht="18.75" hidden="false" customHeight="true" outlineLevel="0" collapsed="false">
      <c r="B81" s="120"/>
      <c r="C81" s="119"/>
      <c r="D81" s="119"/>
      <c r="E81" s="119"/>
      <c r="F81" s="120"/>
      <c r="G81" s="120"/>
      <c r="H81" s="120"/>
      <c r="I81" s="120"/>
      <c r="J81" s="120"/>
      <c r="K81" s="120"/>
      <c r="L81" s="120"/>
      <c r="M81" s="119"/>
      <c r="N81" s="120"/>
      <c r="O81" s="120"/>
      <c r="P81" s="120"/>
      <c r="Q81" s="120"/>
      <c r="R81" s="120"/>
      <c r="S81" s="120"/>
      <c r="T81" s="120"/>
      <c r="U81" s="120"/>
      <c r="V81" s="120"/>
      <c r="W81" s="120"/>
      <c r="X81" s="120"/>
    </row>
    <row r="82" customFormat="false" ht="18.75" hidden="false" customHeight="true" outlineLevel="0" collapsed="false">
      <c r="C82" s="136" t="s">
        <v>130</v>
      </c>
      <c r="D82" s="137" t="n">
        <f aca="false">D37</f>
        <v>2020</v>
      </c>
      <c r="E82" s="137" t="n">
        <f aca="false">E37</f>
        <v>2021</v>
      </c>
      <c r="F82" s="137" t="n">
        <f aca="false">F37</f>
        <v>2022</v>
      </c>
      <c r="G82" s="137" t="n">
        <f aca="false">G37</f>
        <v>2023</v>
      </c>
      <c r="H82" s="137" t="n">
        <f aca="false">H37</f>
        <v>2024</v>
      </c>
      <c r="I82" s="137" t="n">
        <f aca="false">I37</f>
        <v>2025</v>
      </c>
      <c r="J82" s="137" t="n">
        <f aca="false">J37</f>
        <v>2026</v>
      </c>
      <c r="K82" s="137" t="n">
        <f aca="false">K37</f>
        <v>2027</v>
      </c>
      <c r="L82" s="137" t="n">
        <f aca="false">L37</f>
        <v>2028</v>
      </c>
      <c r="M82" s="137" t="n">
        <f aca="false">M37</f>
        <v>2029</v>
      </c>
      <c r="N82" s="137" t="n">
        <f aca="false">N37</f>
        <v>2030</v>
      </c>
      <c r="O82" s="137" t="n">
        <f aca="false">O37</f>
        <v>2031</v>
      </c>
      <c r="P82" s="137" t="n">
        <f aca="false">P37</f>
        <v>2032</v>
      </c>
      <c r="Q82" s="137" t="n">
        <f aca="false">Q37</f>
        <v>2033</v>
      </c>
      <c r="R82" s="137" t="n">
        <f aca="false">R37</f>
        <v>2034</v>
      </c>
      <c r="S82" s="137" t="n">
        <f aca="false">S37</f>
        <v>2035</v>
      </c>
      <c r="T82" s="137" t="n">
        <f aca="false">T37</f>
        <v>2036</v>
      </c>
      <c r="U82" s="137" t="n">
        <f aca="false">U37</f>
        <v>2037</v>
      </c>
      <c r="V82" s="137" t="n">
        <f aca="false">V37</f>
        <v>2038</v>
      </c>
      <c r="W82" s="137" t="n">
        <f aca="false">W37</f>
        <v>2039</v>
      </c>
      <c r="X82" s="122"/>
    </row>
    <row r="83" customFormat="false" ht="18.75" hidden="false" customHeight="true" outlineLevel="0" collapsed="false">
      <c r="X83" s="121"/>
    </row>
    <row r="84" customFormat="false" ht="18.75" hidden="false" customHeight="true" outlineLevel="0" collapsed="false">
      <c r="B84" s="138" t="s">
        <v>131</v>
      </c>
      <c r="C84" s="138" t="n">
        <v>0</v>
      </c>
      <c r="D84" s="138" t="n">
        <v>1</v>
      </c>
      <c r="E84" s="138" t="n">
        <v>2</v>
      </c>
      <c r="F84" s="138" t="n">
        <v>3</v>
      </c>
      <c r="G84" s="138" t="n">
        <v>4</v>
      </c>
      <c r="H84" s="138" t="n">
        <v>5</v>
      </c>
      <c r="I84" s="138" t="n">
        <v>6</v>
      </c>
      <c r="J84" s="138" t="n">
        <v>7</v>
      </c>
      <c r="K84" s="138" t="n">
        <v>8</v>
      </c>
      <c r="L84" s="138" t="n">
        <v>9</v>
      </c>
      <c r="M84" s="138" t="n">
        <v>10</v>
      </c>
      <c r="N84" s="138" t="n">
        <v>11</v>
      </c>
      <c r="O84" s="138" t="n">
        <v>12</v>
      </c>
      <c r="P84" s="138" t="n">
        <v>13</v>
      </c>
      <c r="Q84" s="138" t="n">
        <v>14</v>
      </c>
      <c r="R84" s="138" t="n">
        <v>15</v>
      </c>
      <c r="S84" s="138" t="n">
        <v>16</v>
      </c>
      <c r="T84" s="138" t="n">
        <v>17</v>
      </c>
      <c r="U84" s="138" t="n">
        <v>18</v>
      </c>
      <c r="V84" s="138" t="n">
        <v>19</v>
      </c>
      <c r="W84" s="138" t="n">
        <v>20</v>
      </c>
      <c r="X84" s="139"/>
    </row>
    <row r="85" customFormat="false" ht="18.75" hidden="false" customHeight="true" outlineLevel="0" collapsed="false">
      <c r="B85" s="140" t="s">
        <v>153</v>
      </c>
      <c r="C85" s="140"/>
      <c r="D85" s="141" t="n">
        <f aca="false">D78</f>
        <v>607066.576</v>
      </c>
      <c r="E85" s="141" t="n">
        <f aca="false">E78</f>
        <v>385766.8064</v>
      </c>
      <c r="F85" s="141" t="n">
        <f aca="false">F78</f>
        <v>396627.8368</v>
      </c>
      <c r="G85" s="141" t="n">
        <f aca="false">G78</f>
        <v>407488.8672</v>
      </c>
      <c r="H85" s="141" t="n">
        <f aca="false">H78</f>
        <v>418349.8976</v>
      </c>
      <c r="I85" s="141" t="n">
        <f aca="false">I78</f>
        <v>429210.928</v>
      </c>
      <c r="J85" s="141" t="n">
        <f aca="false">J78</f>
        <v>440071.9584</v>
      </c>
      <c r="K85" s="141" t="n">
        <f aca="false">K78</f>
        <v>450932.9888</v>
      </c>
      <c r="L85" s="141" t="n">
        <f aca="false">L78</f>
        <v>461794.0192</v>
      </c>
      <c r="M85" s="141" t="n">
        <f aca="false">M78</f>
        <v>472655.0496</v>
      </c>
      <c r="N85" s="141" t="n">
        <f aca="false">N78</f>
        <v>518404.08</v>
      </c>
      <c r="O85" s="141" t="n">
        <f aca="false">O78</f>
        <v>529265.1104</v>
      </c>
      <c r="P85" s="141" t="n">
        <f aca="false">P78</f>
        <v>540126.1408</v>
      </c>
      <c r="Q85" s="141" t="n">
        <f aca="false">Q78</f>
        <v>550987.1712</v>
      </c>
      <c r="R85" s="141" t="n">
        <f aca="false">R78</f>
        <v>561848.2016</v>
      </c>
      <c r="S85" s="141" t="n">
        <f aca="false">S78</f>
        <v>572709.232</v>
      </c>
      <c r="T85" s="141" t="n">
        <f aca="false">T78</f>
        <v>565707.6064</v>
      </c>
      <c r="U85" s="141" t="n">
        <f aca="false">U78</f>
        <v>558705.9808</v>
      </c>
      <c r="V85" s="141" t="n">
        <f aca="false">V78</f>
        <v>551704.3552</v>
      </c>
      <c r="W85" s="141" t="n">
        <f aca="false">W78</f>
        <v>544702.7296</v>
      </c>
      <c r="X85" s="140"/>
      <c r="Y85" s="140"/>
    </row>
    <row r="86" customFormat="false" ht="15.75" hidden="false" customHeight="true" outlineLevel="0" collapsed="false">
      <c r="B86" s="140" t="s">
        <v>154</v>
      </c>
      <c r="C86" s="140"/>
      <c r="D86" s="142" t="n">
        <f aca="false">-D67</f>
        <v>817687.5</v>
      </c>
      <c r="E86" s="142" t="n">
        <f aca="false">-E67</f>
        <v>817687.5</v>
      </c>
      <c r="F86" s="142" t="n">
        <f aca="false">-F67</f>
        <v>817687.5</v>
      </c>
      <c r="G86" s="142" t="n">
        <f aca="false">-G67</f>
        <v>817687.5</v>
      </c>
      <c r="H86" s="142" t="n">
        <f aca="false">-H67</f>
        <v>817687.5</v>
      </c>
      <c r="I86" s="142" t="n">
        <f aca="false">-I67</f>
        <v>817687.5</v>
      </c>
      <c r="J86" s="142" t="n">
        <f aca="false">-J67</f>
        <v>817687.5</v>
      </c>
      <c r="K86" s="142" t="n">
        <f aca="false">-K67</f>
        <v>817687.5</v>
      </c>
      <c r="L86" s="142" t="n">
        <f aca="false">-L67</f>
        <v>817687.5</v>
      </c>
      <c r="M86" s="142" t="n">
        <f aca="false">-M67</f>
        <v>817687.5</v>
      </c>
      <c r="N86" s="142" t="n">
        <f aca="false">-N67</f>
        <v>817687.5</v>
      </c>
      <c r="O86" s="142" t="n">
        <f aca="false">-O67</f>
        <v>817687.5</v>
      </c>
      <c r="P86" s="142" t="n">
        <f aca="false">-P67</f>
        <v>817687.5</v>
      </c>
      <c r="Q86" s="142" t="n">
        <f aca="false">-Q67</f>
        <v>817687.5</v>
      </c>
      <c r="R86" s="142" t="n">
        <f aca="false">-R67</f>
        <v>817687.5</v>
      </c>
      <c r="S86" s="142" t="n">
        <f aca="false">-S67</f>
        <v>817687.5</v>
      </c>
      <c r="T86" s="142" t="n">
        <f aca="false">-T67</f>
        <v>817687.5</v>
      </c>
      <c r="U86" s="142" t="n">
        <f aca="false">-U67</f>
        <v>817687.5</v>
      </c>
      <c r="V86" s="142" t="n">
        <f aca="false">-V67</f>
        <v>817687.5</v>
      </c>
      <c r="W86" s="142" t="n">
        <f aca="false">-W67</f>
        <v>817687.5</v>
      </c>
      <c r="X86" s="143"/>
      <c r="Y86" s="143"/>
    </row>
    <row r="87" customFormat="false" ht="15.75" hidden="false" customHeight="true" outlineLevel="0" collapsed="false">
      <c r="B87" s="140" t="s">
        <v>155</v>
      </c>
      <c r="C87" s="140"/>
      <c r="D87" s="144" t="n">
        <f aca="false">SUM(D85:D86)</f>
        <v>1424754.076</v>
      </c>
      <c r="E87" s="144" t="n">
        <f aca="false">SUM(E85:E86)</f>
        <v>1203454.3064</v>
      </c>
      <c r="F87" s="144" t="n">
        <f aca="false">SUM(F85:F86)</f>
        <v>1214315.3368</v>
      </c>
      <c r="G87" s="144" t="n">
        <f aca="false">SUM(G85:G86)</f>
        <v>1225176.3672</v>
      </c>
      <c r="H87" s="144" t="n">
        <f aca="false">SUM(H85:H86)</f>
        <v>1236037.3976</v>
      </c>
      <c r="I87" s="144" t="n">
        <f aca="false">SUM(I85:I86)</f>
        <v>1246898.428</v>
      </c>
      <c r="J87" s="144" t="n">
        <f aca="false">SUM(J85:J86)</f>
        <v>1257759.4584</v>
      </c>
      <c r="K87" s="144" t="n">
        <f aca="false">SUM(K85:K86)</f>
        <v>1268620.4888</v>
      </c>
      <c r="L87" s="144" t="n">
        <f aca="false">SUM(L85:L86)</f>
        <v>1279481.5192</v>
      </c>
      <c r="M87" s="144" t="n">
        <f aca="false">SUM(M85:M86)</f>
        <v>1290342.5496</v>
      </c>
      <c r="N87" s="144" t="n">
        <f aca="false">SUM(N85:N86)</f>
        <v>1336091.58</v>
      </c>
      <c r="O87" s="144" t="n">
        <f aca="false">SUM(O85:O86)</f>
        <v>1346952.6104</v>
      </c>
      <c r="P87" s="144" t="n">
        <f aca="false">SUM(P85:P86)</f>
        <v>1357813.6408</v>
      </c>
      <c r="Q87" s="144" t="n">
        <f aca="false">SUM(Q85:Q86)</f>
        <v>1368674.6712</v>
      </c>
      <c r="R87" s="144" t="n">
        <f aca="false">SUM(R85:R86)</f>
        <v>1379535.7016</v>
      </c>
      <c r="S87" s="144" t="n">
        <f aca="false">SUM(S85:S86)</f>
        <v>1390396.732</v>
      </c>
      <c r="T87" s="144" t="n">
        <f aca="false">SUM(T85:T86)</f>
        <v>1383395.1064</v>
      </c>
      <c r="U87" s="144" t="n">
        <f aca="false">SUM(U85:U86)</f>
        <v>1376393.4808</v>
      </c>
      <c r="V87" s="144" t="n">
        <f aca="false">SUM(V85:V86)</f>
        <v>1369391.8552</v>
      </c>
      <c r="W87" s="144" t="n">
        <f aca="false">SUM(W85:W86)</f>
        <v>1362390.2296</v>
      </c>
      <c r="X87" s="110"/>
    </row>
    <row r="88" customFormat="false" ht="15.75" hidden="false" customHeight="true" outlineLevel="0" collapsed="false">
      <c r="B88" s="140"/>
      <c r="C88" s="140"/>
      <c r="D88" s="140"/>
      <c r="E88" s="140"/>
      <c r="F88" s="145"/>
      <c r="G88" s="145"/>
      <c r="H88" s="145"/>
      <c r="I88" s="145"/>
      <c r="J88" s="145"/>
      <c r="K88" s="145"/>
      <c r="L88" s="145"/>
      <c r="M88" s="145"/>
      <c r="N88" s="145"/>
      <c r="O88" s="145"/>
      <c r="P88" s="145"/>
      <c r="Q88" s="145"/>
      <c r="R88" s="145"/>
      <c r="S88" s="145"/>
      <c r="T88" s="145"/>
      <c r="U88" s="145"/>
      <c r="V88" s="145"/>
      <c r="W88" s="145"/>
      <c r="X88" s="109"/>
    </row>
    <row r="89" customFormat="false" ht="15.75" hidden="false" customHeight="true" outlineLevel="0" collapsed="false">
      <c r="B89" s="146" t="s">
        <v>156</v>
      </c>
      <c r="C89" s="147"/>
      <c r="D89" s="148" t="n">
        <f aca="false">C44</f>
        <v>-16353750</v>
      </c>
      <c r="E89" s="147"/>
      <c r="F89" s="147"/>
      <c r="G89" s="147"/>
      <c r="H89" s="147"/>
      <c r="I89" s="147"/>
      <c r="J89" s="147"/>
      <c r="K89" s="147"/>
      <c r="L89" s="147"/>
      <c r="M89" s="147"/>
      <c r="N89" s="147"/>
      <c r="O89" s="147"/>
      <c r="P89" s="147"/>
      <c r="Q89" s="147"/>
      <c r="R89" s="147"/>
      <c r="S89" s="147"/>
      <c r="T89" s="147"/>
      <c r="U89" s="147"/>
      <c r="V89" s="147"/>
      <c r="W89" s="147"/>
      <c r="X89" s="149"/>
    </row>
    <row r="90" customFormat="false" ht="15.75" hidden="false" customHeight="true" outlineLevel="0" collapsed="false">
      <c r="B90" s="140"/>
      <c r="C90" s="140"/>
      <c r="D90" s="140"/>
      <c r="E90" s="140"/>
      <c r="F90" s="145"/>
      <c r="G90" s="145"/>
      <c r="H90" s="145"/>
      <c r="I90" s="145"/>
      <c r="J90" s="145"/>
      <c r="K90" s="145"/>
      <c r="L90" s="145"/>
      <c r="M90" s="145"/>
      <c r="N90" s="145"/>
      <c r="O90" s="145"/>
      <c r="P90" s="145"/>
      <c r="Q90" s="145"/>
      <c r="R90" s="145"/>
      <c r="S90" s="145"/>
      <c r="T90" s="145"/>
      <c r="U90" s="145"/>
      <c r="V90" s="145"/>
      <c r="W90" s="145"/>
      <c r="X90" s="109"/>
    </row>
    <row r="91" customFormat="false" ht="15.75" hidden="false" customHeight="true" outlineLevel="0" collapsed="false">
      <c r="B91" s="140"/>
      <c r="C91" s="140"/>
      <c r="D91" s="140"/>
      <c r="E91" s="140"/>
      <c r="F91" s="145"/>
      <c r="G91" s="145"/>
      <c r="H91" s="145"/>
      <c r="I91" s="145"/>
      <c r="J91" s="145"/>
      <c r="K91" s="145"/>
      <c r="L91" s="145"/>
      <c r="M91" s="145"/>
      <c r="N91" s="145"/>
      <c r="O91" s="145"/>
      <c r="P91" s="145"/>
      <c r="Q91" s="145"/>
      <c r="R91" s="145"/>
      <c r="S91" s="145"/>
      <c r="T91" s="145"/>
      <c r="U91" s="145"/>
      <c r="V91" s="145"/>
      <c r="W91" s="145"/>
      <c r="X91" s="109"/>
    </row>
    <row r="92" customFormat="false" ht="15.75" hidden="false" customHeight="true" outlineLevel="0" collapsed="false">
      <c r="B92" s="146" t="s">
        <v>157</v>
      </c>
      <c r="C92" s="147"/>
      <c r="D92" s="148" t="n">
        <f aca="false">-D89*D31</f>
        <v>13083000</v>
      </c>
      <c r="E92" s="147"/>
      <c r="F92" s="147"/>
      <c r="G92" s="147"/>
      <c r="H92" s="147"/>
      <c r="I92" s="147"/>
      <c r="J92" s="147"/>
      <c r="K92" s="147"/>
      <c r="L92" s="147"/>
      <c r="M92" s="147"/>
      <c r="N92" s="147"/>
      <c r="O92" s="147"/>
      <c r="P92" s="147"/>
      <c r="Q92" s="147"/>
      <c r="R92" s="147"/>
      <c r="S92" s="147"/>
      <c r="T92" s="147"/>
      <c r="U92" s="147"/>
      <c r="V92" s="147"/>
      <c r="W92" s="147"/>
      <c r="X92" s="109"/>
    </row>
    <row r="93" customFormat="false" ht="15.75" hidden="false" customHeight="true" outlineLevel="0" collapsed="false">
      <c r="B93" s="140" t="s">
        <v>158</v>
      </c>
      <c r="C93" s="140"/>
      <c r="D93" s="150"/>
      <c r="E93" s="150" t="n">
        <v>-872200</v>
      </c>
      <c r="F93" s="150" t="n">
        <v>-872200</v>
      </c>
      <c r="G93" s="150" t="n">
        <v>-872200</v>
      </c>
      <c r="H93" s="150" t="n">
        <v>-872200</v>
      </c>
      <c r="I93" s="150" t="n">
        <v>-872200</v>
      </c>
      <c r="J93" s="150" t="n">
        <v>-872200</v>
      </c>
      <c r="K93" s="150" t="n">
        <v>-872200</v>
      </c>
      <c r="L93" s="150" t="n">
        <v>-872200</v>
      </c>
      <c r="M93" s="150" t="n">
        <v>-872200</v>
      </c>
      <c r="N93" s="150" t="n">
        <v>-872200</v>
      </c>
      <c r="O93" s="150" t="n">
        <v>-872200</v>
      </c>
      <c r="P93" s="150" t="n">
        <v>-872200</v>
      </c>
      <c r="Q93" s="150" t="n">
        <v>-872200</v>
      </c>
      <c r="R93" s="150" t="n">
        <v>-872200</v>
      </c>
      <c r="S93" s="150" t="n">
        <v>-872200</v>
      </c>
      <c r="T93" s="150" t="n">
        <v>0</v>
      </c>
      <c r="U93" s="150" t="n">
        <v>0</v>
      </c>
      <c r="V93" s="150" t="n">
        <v>0</v>
      </c>
      <c r="W93" s="150" t="n">
        <v>0</v>
      </c>
      <c r="X93" s="149"/>
    </row>
    <row r="94" customFormat="false" ht="15.75" hidden="false" customHeight="true" outlineLevel="0" collapsed="false">
      <c r="B94" s="140" t="s">
        <v>159</v>
      </c>
      <c r="C94" s="145"/>
      <c r="D94" s="141" t="n">
        <f aca="false">-D89*(1-D31)</f>
        <v>3270750</v>
      </c>
      <c r="E94" s="145"/>
      <c r="F94" s="145"/>
      <c r="G94" s="145"/>
      <c r="H94" s="145"/>
      <c r="I94" s="145"/>
      <c r="J94" s="145"/>
      <c r="K94" s="145"/>
      <c r="L94" s="145"/>
      <c r="M94" s="145"/>
      <c r="N94" s="145"/>
      <c r="O94" s="145"/>
      <c r="P94" s="145"/>
      <c r="Q94" s="145"/>
      <c r="R94" s="145"/>
      <c r="S94" s="145"/>
      <c r="T94" s="145"/>
      <c r="U94" s="145"/>
      <c r="V94" s="145"/>
      <c r="W94" s="145"/>
      <c r="X94" s="110"/>
    </row>
    <row r="95" customFormat="false" ht="15.75" hidden="false" customHeight="true" outlineLevel="0" collapsed="false">
      <c r="B95" s="140" t="s">
        <v>67</v>
      </c>
      <c r="C95" s="145"/>
      <c r="D95" s="145"/>
      <c r="E95" s="151" t="n">
        <f aca="false">-D85*$D$33</f>
        <v>-546359.9184</v>
      </c>
      <c r="F95" s="151" t="n">
        <f aca="false">-E85*$D$33</f>
        <v>-347190.12576</v>
      </c>
      <c r="G95" s="151" t="n">
        <f aca="false">-F85*$D$33</f>
        <v>-356965.05312</v>
      </c>
      <c r="H95" s="151" t="n">
        <f aca="false">-G85*$D$33</f>
        <v>-366739.98048</v>
      </c>
      <c r="I95" s="151" t="n">
        <f aca="false">-H85*$D$33</f>
        <v>-376514.90784</v>
      </c>
      <c r="J95" s="151" t="n">
        <f aca="false">-I85*$D$33</f>
        <v>-386289.8352</v>
      </c>
      <c r="K95" s="151" t="n">
        <f aca="false">-J85*$D$33</f>
        <v>-396064.76256</v>
      </c>
      <c r="L95" s="151" t="n">
        <f aca="false">-K85*$D$33</f>
        <v>-405839.68992</v>
      </c>
      <c r="M95" s="151" t="n">
        <f aca="false">-L85*$D$33</f>
        <v>-415614.61728</v>
      </c>
      <c r="N95" s="151" t="n">
        <f aca="false">-M85*$D$33</f>
        <v>-425389.54464</v>
      </c>
      <c r="O95" s="151" t="n">
        <f aca="false">-N85*$D$33</f>
        <v>-466563.672</v>
      </c>
      <c r="P95" s="151" t="n">
        <f aca="false">-O85*$D$33</f>
        <v>-476338.59936</v>
      </c>
      <c r="Q95" s="151" t="n">
        <f aca="false">-P85*$D$33</f>
        <v>-486113.52672</v>
      </c>
      <c r="R95" s="151" t="n">
        <f aca="false">-Q85*$D$33</f>
        <v>-495888.45408</v>
      </c>
      <c r="S95" s="151" t="n">
        <f aca="false">-R85*$D$33</f>
        <v>-505663.38144</v>
      </c>
      <c r="T95" s="151" t="n">
        <f aca="false">-S85*$D$33</f>
        <v>-515438.3088</v>
      </c>
      <c r="U95" s="151" t="n">
        <f aca="false">-T85*$D$33</f>
        <v>-509136.84576</v>
      </c>
      <c r="V95" s="151" t="n">
        <f aca="false">-U85*$D$33</f>
        <v>-502835.38272</v>
      </c>
      <c r="W95" s="151" t="n">
        <f aca="false">-V85*$D$33</f>
        <v>-496533.91968</v>
      </c>
      <c r="X95" s="151" t="n">
        <f aca="false">-W85*$D$33</f>
        <v>-490232.45664</v>
      </c>
    </row>
    <row r="96" customFormat="false" ht="15.75" hidden="false" customHeight="true" outlineLevel="0" collapsed="false">
      <c r="B96" s="152" t="s">
        <v>70</v>
      </c>
      <c r="C96" s="153"/>
      <c r="D96" s="153" t="n">
        <v>0</v>
      </c>
      <c r="E96" s="154" t="n">
        <v>0</v>
      </c>
      <c r="F96" s="154" t="n">
        <v>0</v>
      </c>
      <c r="G96" s="154" t="n">
        <v>0</v>
      </c>
      <c r="H96" s="154" t="n">
        <v>0</v>
      </c>
      <c r="I96" s="154" t="n">
        <v>0</v>
      </c>
      <c r="J96" s="154" t="n">
        <v>0</v>
      </c>
      <c r="K96" s="154" t="n">
        <v>0</v>
      </c>
      <c r="L96" s="154" t="n">
        <v>0</v>
      </c>
      <c r="M96" s="154" t="n">
        <v>0</v>
      </c>
      <c r="N96" s="154" t="n">
        <v>0</v>
      </c>
      <c r="O96" s="154" t="n">
        <v>0</v>
      </c>
      <c r="P96" s="154" t="n">
        <v>0</v>
      </c>
      <c r="Q96" s="154" t="n">
        <v>0</v>
      </c>
      <c r="R96" s="154" t="n">
        <v>0</v>
      </c>
      <c r="S96" s="154" t="n">
        <v>0</v>
      </c>
      <c r="T96" s="154" t="n">
        <v>-817687.5</v>
      </c>
      <c r="U96" s="154" t="n">
        <v>-817687.5</v>
      </c>
      <c r="V96" s="154" t="n">
        <v>-817687.5</v>
      </c>
      <c r="W96" s="154" t="n">
        <v>-817687.5</v>
      </c>
      <c r="X96" s="155" t="n">
        <f aca="false">-W101-X95</f>
        <v>-996412.553599999</v>
      </c>
    </row>
    <row r="97" customFormat="false" ht="15.75" hidden="false" customHeight="true" outlineLevel="0" collapsed="false">
      <c r="B97" s="145"/>
      <c r="C97" s="145"/>
      <c r="D97" s="145"/>
      <c r="E97" s="145"/>
      <c r="F97" s="145"/>
      <c r="G97" s="145"/>
      <c r="H97" s="145"/>
      <c r="I97" s="145"/>
      <c r="J97" s="145"/>
      <c r="K97" s="145"/>
      <c r="L97" s="145"/>
      <c r="M97" s="145"/>
      <c r="N97" s="145"/>
      <c r="O97" s="145"/>
      <c r="P97" s="145"/>
      <c r="Q97" s="145"/>
      <c r="R97" s="145"/>
      <c r="S97" s="145"/>
      <c r="T97" s="145"/>
      <c r="U97" s="145"/>
      <c r="V97" s="145"/>
      <c r="W97" s="145"/>
      <c r="X97" s="110"/>
    </row>
    <row r="98" customFormat="false" ht="15.75" hidden="false" customHeight="true" outlineLevel="0" collapsed="false">
      <c r="B98" s="145"/>
      <c r="C98" s="145"/>
      <c r="D98" s="145"/>
      <c r="E98" s="145"/>
      <c r="F98" s="145"/>
      <c r="G98" s="145"/>
      <c r="H98" s="145"/>
      <c r="I98" s="145"/>
      <c r="J98" s="145"/>
      <c r="K98" s="145"/>
      <c r="L98" s="145"/>
      <c r="M98" s="145"/>
      <c r="N98" s="145"/>
      <c r="O98" s="145"/>
      <c r="P98" s="145"/>
      <c r="Q98" s="145"/>
      <c r="R98" s="145"/>
      <c r="S98" s="145"/>
      <c r="T98" s="145"/>
      <c r="U98" s="145"/>
      <c r="V98" s="145"/>
      <c r="W98" s="145"/>
      <c r="X98" s="110"/>
    </row>
    <row r="99" customFormat="false" ht="15.75" hidden="false" customHeight="true" outlineLevel="0" collapsed="false">
      <c r="B99" s="140" t="s">
        <v>160</v>
      </c>
      <c r="C99" s="141" t="n">
        <v>0</v>
      </c>
      <c r="D99" s="141" t="n">
        <f aca="false">SUM(D87:D96)</f>
        <v>1424754.076</v>
      </c>
      <c r="E99" s="141" t="n">
        <f aca="false">SUM(E87:E96)</f>
        <v>-215105.612</v>
      </c>
      <c r="F99" s="141" t="n">
        <f aca="false">SUM(F87:F96)</f>
        <v>-5074.78895999969</v>
      </c>
      <c r="G99" s="141" t="n">
        <f aca="false">SUM(G87:G96)</f>
        <v>-3988.68592000008</v>
      </c>
      <c r="H99" s="141" t="n">
        <f aca="false">SUM(H87:H96)</f>
        <v>-2902.58288000023</v>
      </c>
      <c r="I99" s="141" t="n">
        <f aca="false">SUM(I87:I96)</f>
        <v>-1816.4798400001</v>
      </c>
      <c r="J99" s="141" t="n">
        <f aca="false">SUM(J87:J96)</f>
        <v>-730.376799999736</v>
      </c>
      <c r="K99" s="141" t="n">
        <f aca="false">SUM(K87:K96)</f>
        <v>355.726239999873</v>
      </c>
      <c r="L99" s="141" t="n">
        <f aca="false">SUM(L87:L96)</f>
        <v>1441.82927999995</v>
      </c>
      <c r="M99" s="141" t="n">
        <f aca="false">SUM(M87:M96)</f>
        <v>2527.93232000014</v>
      </c>
      <c r="N99" s="141" t="n">
        <f aca="false">SUM(N87:N96)</f>
        <v>38502.0353599999</v>
      </c>
      <c r="O99" s="141" t="n">
        <f aca="false">SUM(O87:O96)</f>
        <v>8188.93839999998</v>
      </c>
      <c r="P99" s="141" t="n">
        <f aca="false">SUM(P87:P96)</f>
        <v>9275.04144</v>
      </c>
      <c r="Q99" s="141" t="n">
        <f aca="false">SUM(Q87:Q96)</f>
        <v>10361.14448</v>
      </c>
      <c r="R99" s="141" t="n">
        <f aca="false">SUM(R87:R96)</f>
        <v>11447.2475199998</v>
      </c>
      <c r="S99" s="141" t="n">
        <f aca="false">SUM(S87:S96)</f>
        <v>12533.3505599999</v>
      </c>
      <c r="T99" s="141" t="n">
        <f aca="false">SUM(T87:T96)</f>
        <v>50269.2975999999</v>
      </c>
      <c r="U99" s="141" t="n">
        <f aca="false">SUM(U87:U96)</f>
        <v>49569.1350400002</v>
      </c>
      <c r="V99" s="141" t="n">
        <f aca="false">SUM(V87:V96)</f>
        <v>48868.97248</v>
      </c>
      <c r="W99" s="141" t="n">
        <f aca="false">SUM(W87:W96)</f>
        <v>48168.8099200001</v>
      </c>
      <c r="X99" s="110"/>
    </row>
    <row r="100" customFormat="false" ht="15.75" hidden="false" customHeight="true" outlineLevel="0" collapsed="false">
      <c r="B100" s="140" t="s">
        <v>161</v>
      </c>
      <c r="C100" s="141" t="n">
        <v>0</v>
      </c>
      <c r="D100" s="141" t="n">
        <f aca="false">C101</f>
        <v>0</v>
      </c>
      <c r="E100" s="141" t="n">
        <f aca="false">D101</f>
        <v>1424754.076</v>
      </c>
      <c r="F100" s="141" t="n">
        <f aca="false">E101</f>
        <v>1209648.464</v>
      </c>
      <c r="G100" s="141" t="n">
        <f aca="false">F101</f>
        <v>1204573.67504</v>
      </c>
      <c r="H100" s="141" t="n">
        <f aca="false">G101</f>
        <v>1200584.98912</v>
      </c>
      <c r="I100" s="141" t="n">
        <f aca="false">H101</f>
        <v>1197682.40624</v>
      </c>
      <c r="J100" s="141" t="n">
        <f aca="false">I101</f>
        <v>1195865.9264</v>
      </c>
      <c r="K100" s="141" t="n">
        <f aca="false">J101</f>
        <v>1195135.5496</v>
      </c>
      <c r="L100" s="141" t="n">
        <f aca="false">K101</f>
        <v>1195491.27584</v>
      </c>
      <c r="M100" s="141" t="n">
        <f aca="false">L101</f>
        <v>1196933.10512</v>
      </c>
      <c r="N100" s="141" t="n">
        <f aca="false">M101</f>
        <v>1199461.03744</v>
      </c>
      <c r="O100" s="141" t="n">
        <f aca="false">N101</f>
        <v>1237963.0728</v>
      </c>
      <c r="P100" s="141" t="n">
        <f aca="false">O101</f>
        <v>1246152.0112</v>
      </c>
      <c r="Q100" s="141" t="n">
        <f aca="false">P101</f>
        <v>1255427.05264</v>
      </c>
      <c r="R100" s="141" t="n">
        <f aca="false">Q101</f>
        <v>1265788.19712</v>
      </c>
      <c r="S100" s="141" t="n">
        <f aca="false">R101</f>
        <v>1277235.44464</v>
      </c>
      <c r="T100" s="141" t="n">
        <f aca="false">S101</f>
        <v>1289768.7952</v>
      </c>
      <c r="U100" s="141" t="n">
        <f aca="false">T101</f>
        <v>1340038.0928</v>
      </c>
      <c r="V100" s="141" t="n">
        <f aca="false">U101</f>
        <v>1389607.22784</v>
      </c>
      <c r="W100" s="141" t="n">
        <f aca="false">V101</f>
        <v>1438476.20032</v>
      </c>
      <c r="X100" s="109"/>
    </row>
    <row r="101" customFormat="false" ht="15.75" hidden="false" customHeight="true" outlineLevel="0" collapsed="false">
      <c r="B101" s="140" t="s">
        <v>162</v>
      </c>
      <c r="C101" s="141" t="n">
        <v>0</v>
      </c>
      <c r="D101" s="141" t="n">
        <f aca="false">D99+D100</f>
        <v>1424754.076</v>
      </c>
      <c r="E101" s="141" t="n">
        <f aca="false">E99+E100</f>
        <v>1209648.464</v>
      </c>
      <c r="F101" s="141" t="n">
        <f aca="false">F99+F100</f>
        <v>1204573.67504</v>
      </c>
      <c r="G101" s="141" t="n">
        <f aca="false">G99+G100</f>
        <v>1200584.98912</v>
      </c>
      <c r="H101" s="141" t="n">
        <f aca="false">H99+H100</f>
        <v>1197682.40624</v>
      </c>
      <c r="I101" s="141" t="n">
        <f aca="false">I99+I100</f>
        <v>1195865.9264</v>
      </c>
      <c r="J101" s="141" t="n">
        <f aca="false">J99+J100</f>
        <v>1195135.5496</v>
      </c>
      <c r="K101" s="141" t="n">
        <f aca="false">K99+K100</f>
        <v>1195491.27584</v>
      </c>
      <c r="L101" s="141" t="n">
        <f aca="false">L99+L100</f>
        <v>1196933.10512</v>
      </c>
      <c r="M101" s="141" t="n">
        <f aca="false">M99+M100</f>
        <v>1199461.03744</v>
      </c>
      <c r="N101" s="141" t="n">
        <f aca="false">N99+N100</f>
        <v>1237963.0728</v>
      </c>
      <c r="O101" s="141" t="n">
        <f aca="false">O99+O100</f>
        <v>1246152.0112</v>
      </c>
      <c r="P101" s="141" t="n">
        <f aca="false">P99+P100</f>
        <v>1255427.05264</v>
      </c>
      <c r="Q101" s="141" t="n">
        <f aca="false">Q99+Q100</f>
        <v>1265788.19712</v>
      </c>
      <c r="R101" s="141" t="n">
        <f aca="false">R99+R100</f>
        <v>1277235.44464</v>
      </c>
      <c r="S101" s="141" t="n">
        <f aca="false">S99+S100</f>
        <v>1289768.7952</v>
      </c>
      <c r="T101" s="141" t="n">
        <f aca="false">T99+T100</f>
        <v>1340038.0928</v>
      </c>
      <c r="U101" s="141" t="n">
        <f aca="false">U99+U100</f>
        <v>1389607.22784</v>
      </c>
      <c r="V101" s="141" t="n">
        <f aca="false">V99+V100</f>
        <v>1438476.20032</v>
      </c>
      <c r="W101" s="141" t="n">
        <f aca="false">W99+W100</f>
        <v>1486645.01024</v>
      </c>
      <c r="X101" s="109"/>
    </row>
    <row r="102" customFormat="false" ht="15.75" hidden="false" customHeight="true" outlineLevel="0" collapsed="false">
      <c r="B102" s="140"/>
      <c r="C102" s="140"/>
      <c r="D102" s="140"/>
      <c r="E102" s="140"/>
      <c r="F102" s="140"/>
      <c r="G102" s="140"/>
      <c r="H102" s="140"/>
      <c r="I102" s="140"/>
      <c r="J102" s="140"/>
      <c r="K102" s="140"/>
      <c r="L102" s="140"/>
      <c r="M102" s="140"/>
      <c r="N102" s="140"/>
      <c r="O102" s="140"/>
      <c r="P102" s="140"/>
      <c r="Q102" s="140"/>
      <c r="R102" s="140"/>
      <c r="S102" s="140"/>
      <c r="T102" s="140"/>
      <c r="U102" s="140"/>
      <c r="V102" s="140"/>
      <c r="W102" s="140"/>
      <c r="X102" s="140"/>
    </row>
    <row r="103" customFormat="false" ht="15.75" hidden="false" customHeight="true" outlineLevel="0" collapsed="false">
      <c r="B103" s="140"/>
      <c r="C103" s="140"/>
      <c r="D103" s="140"/>
      <c r="E103" s="140"/>
      <c r="F103" s="145"/>
      <c r="G103" s="140"/>
      <c r="H103" s="140"/>
      <c r="I103" s="140"/>
      <c r="J103" s="140"/>
      <c r="K103" s="140"/>
      <c r="L103" s="140"/>
      <c r="M103" s="140"/>
      <c r="N103" s="140"/>
      <c r="O103" s="140"/>
      <c r="P103" s="140"/>
      <c r="Q103" s="140"/>
      <c r="R103" s="140"/>
      <c r="S103" s="140"/>
      <c r="T103" s="140"/>
      <c r="U103" s="140"/>
      <c r="V103" s="140"/>
      <c r="W103" s="140"/>
      <c r="X103" s="140"/>
    </row>
    <row r="104" customFormat="false" ht="15.75" hidden="false" customHeight="true" outlineLevel="0" collapsed="false">
      <c r="B104" s="156" t="s">
        <v>163</v>
      </c>
      <c r="C104" s="157"/>
      <c r="D104" s="158" t="n">
        <f aca="false">-D94</f>
        <v>-3270750</v>
      </c>
      <c r="E104" s="144" t="n">
        <f aca="false">-E95-E96</f>
        <v>546359.9184</v>
      </c>
      <c r="F104" s="144" t="n">
        <f aca="false">-F95-F96</f>
        <v>347190.12576</v>
      </c>
      <c r="G104" s="144" t="n">
        <f aca="false">-G95-G96</f>
        <v>356965.05312</v>
      </c>
      <c r="H104" s="144" t="n">
        <f aca="false">-H95-H96</f>
        <v>366739.98048</v>
      </c>
      <c r="I104" s="144" t="n">
        <f aca="false">-I95-I96</f>
        <v>376514.90784</v>
      </c>
      <c r="J104" s="144" t="n">
        <f aca="false">-J95-J96</f>
        <v>386289.8352</v>
      </c>
      <c r="K104" s="144" t="n">
        <f aca="false">-K95-K96</f>
        <v>396064.76256</v>
      </c>
      <c r="L104" s="144" t="n">
        <f aca="false">-L95-L96</f>
        <v>405839.68992</v>
      </c>
      <c r="M104" s="144" t="n">
        <f aca="false">-M95-M96</f>
        <v>415614.61728</v>
      </c>
      <c r="N104" s="144" t="n">
        <f aca="false">-N95-N96</f>
        <v>425389.54464</v>
      </c>
      <c r="O104" s="144" t="n">
        <f aca="false">-O95-O96</f>
        <v>466563.672</v>
      </c>
      <c r="P104" s="144" t="n">
        <f aca="false">-P95-P96</f>
        <v>476338.59936</v>
      </c>
      <c r="Q104" s="144" t="n">
        <f aca="false">-Q95-Q96</f>
        <v>486113.52672</v>
      </c>
      <c r="R104" s="144" t="n">
        <f aca="false">-R95-R96</f>
        <v>495888.45408</v>
      </c>
      <c r="S104" s="144" t="n">
        <f aca="false">-S95-S96</f>
        <v>505663.38144</v>
      </c>
      <c r="T104" s="144" t="n">
        <f aca="false">-T95-T96</f>
        <v>1333125.8088</v>
      </c>
      <c r="U104" s="144" t="n">
        <f aca="false">-U95-U96</f>
        <v>1326824.34576</v>
      </c>
      <c r="V104" s="144" t="n">
        <f aca="false">-V95-V96</f>
        <v>1320522.88272</v>
      </c>
      <c r="W104" s="144" t="n">
        <f aca="false">-W95-W96</f>
        <v>1314221.41968</v>
      </c>
      <c r="X104" s="144" t="n">
        <f aca="false">-X95-X96</f>
        <v>1486645.01024</v>
      </c>
    </row>
    <row r="105" customFormat="false" ht="15.75" hidden="false" customHeight="true" outlineLevel="0" collapsed="false">
      <c r="B105" s="140" t="s">
        <v>75</v>
      </c>
      <c r="C105" s="159" t="n">
        <f aca="false">IRR(D104:X104)</f>
        <v>0.13766681295512</v>
      </c>
      <c r="D105" s="145"/>
      <c r="E105" s="145"/>
      <c r="F105" s="140"/>
      <c r="G105" s="140"/>
      <c r="H105" s="140"/>
      <c r="I105" s="140"/>
      <c r="J105" s="140"/>
      <c r="K105" s="140"/>
      <c r="L105" s="140"/>
      <c r="M105" s="140"/>
      <c r="N105" s="140"/>
      <c r="O105" s="140"/>
      <c r="P105" s="140"/>
      <c r="Q105" s="140"/>
      <c r="R105" s="140"/>
      <c r="S105" s="140"/>
      <c r="T105" s="140"/>
      <c r="U105" s="140"/>
      <c r="V105" s="140"/>
      <c r="W105" s="140"/>
      <c r="X105" s="140"/>
    </row>
    <row r="106" customFormat="false" ht="15.75" hidden="false" customHeight="true" outlineLevel="0" collapsed="false">
      <c r="B106" s="156" t="s">
        <v>164</v>
      </c>
      <c r="C106" s="157"/>
      <c r="D106" s="158" t="n">
        <f aca="false">D85-D94</f>
        <v>-2663683.424</v>
      </c>
      <c r="E106" s="144" t="n">
        <f aca="false">E85</f>
        <v>385766.8064</v>
      </c>
      <c r="F106" s="144" t="n">
        <f aca="false">F85-F96</f>
        <v>396627.8368</v>
      </c>
      <c r="G106" s="144" t="n">
        <f aca="false">G85-G96</f>
        <v>407488.8672</v>
      </c>
      <c r="H106" s="144" t="n">
        <f aca="false">H85-H96</f>
        <v>418349.8976</v>
      </c>
      <c r="I106" s="144" t="n">
        <f aca="false">I85-I96</f>
        <v>429210.928</v>
      </c>
      <c r="J106" s="144" t="n">
        <f aca="false">J85-J96</f>
        <v>440071.9584</v>
      </c>
      <c r="K106" s="144" t="n">
        <f aca="false">K85-K96</f>
        <v>450932.9888</v>
      </c>
      <c r="L106" s="144" t="n">
        <f aca="false">L85-L96</f>
        <v>461794.0192</v>
      </c>
      <c r="M106" s="144" t="n">
        <f aca="false">M85-M96</f>
        <v>472655.0496</v>
      </c>
      <c r="N106" s="144" t="n">
        <f aca="false">N85-N96</f>
        <v>518404.08</v>
      </c>
      <c r="O106" s="144" t="n">
        <f aca="false">O85-O96</f>
        <v>529265.1104</v>
      </c>
      <c r="P106" s="144" t="n">
        <f aca="false">P85-P96</f>
        <v>540126.1408</v>
      </c>
      <c r="Q106" s="144" t="n">
        <f aca="false">Q85-Q96</f>
        <v>550987.1712</v>
      </c>
      <c r="R106" s="144" t="n">
        <f aca="false">R85-R96</f>
        <v>561848.2016</v>
      </c>
      <c r="S106" s="144" t="n">
        <f aca="false">S85-S96</f>
        <v>572709.232</v>
      </c>
      <c r="T106" s="144" t="n">
        <f aca="false">T85-T96</f>
        <v>1383395.1064</v>
      </c>
      <c r="U106" s="144" t="n">
        <f aca="false">U85-U96</f>
        <v>1376393.4808</v>
      </c>
      <c r="V106" s="144" t="n">
        <f aca="false">V85-V96</f>
        <v>1369391.8552</v>
      </c>
      <c r="W106" s="144" t="n">
        <f aca="false">W85-W96</f>
        <v>1362390.2296</v>
      </c>
      <c r="X106" s="149"/>
    </row>
    <row r="107" customFormat="false" ht="15.75" hidden="false" customHeight="true" outlineLevel="0" collapsed="false">
      <c r="B107" s="156" t="s">
        <v>76</v>
      </c>
      <c r="C107" s="159" t="n">
        <f aca="false">IRR(D106:W106)</f>
        <v>0.171662198879619</v>
      </c>
      <c r="D107" s="145"/>
      <c r="E107" s="145"/>
      <c r="F107" s="140"/>
      <c r="G107" s="140"/>
      <c r="H107" s="140"/>
      <c r="I107" s="140"/>
      <c r="J107" s="140"/>
      <c r="K107" s="140"/>
      <c r="L107" s="140"/>
      <c r="M107" s="140"/>
      <c r="N107" s="140"/>
      <c r="O107" s="140"/>
      <c r="P107" s="140"/>
      <c r="Q107" s="140"/>
      <c r="R107" s="140"/>
      <c r="S107" s="140"/>
      <c r="T107" s="140"/>
      <c r="U107" s="140"/>
      <c r="V107" s="140"/>
      <c r="W107" s="140"/>
      <c r="X107" s="140"/>
    </row>
    <row r="108" customFormat="false" ht="15.75" hidden="false" customHeight="true" outlineLevel="0" collapsed="false">
      <c r="B108" s="140"/>
      <c r="C108" s="140"/>
      <c r="D108" s="140"/>
      <c r="E108" s="140"/>
      <c r="F108" s="140"/>
      <c r="G108" s="140"/>
      <c r="H108" s="140"/>
      <c r="I108" s="140"/>
      <c r="J108" s="140"/>
      <c r="K108" s="140"/>
      <c r="L108" s="140"/>
      <c r="M108" s="140"/>
      <c r="N108" s="140"/>
      <c r="O108" s="140"/>
      <c r="P108" s="140"/>
      <c r="Q108" s="140"/>
      <c r="R108" s="140"/>
      <c r="S108" s="140"/>
      <c r="T108" s="140"/>
      <c r="U108" s="140"/>
      <c r="V108" s="140"/>
      <c r="W108" s="140"/>
      <c r="X108" s="140"/>
    </row>
    <row r="109" customFormat="false" ht="15.75" hidden="false" customHeight="true" outlineLevel="0" collapsed="false">
      <c r="B109" s="140" t="s">
        <v>165</v>
      </c>
      <c r="C109" s="141" t="n">
        <v>0</v>
      </c>
      <c r="D109" s="141" t="n">
        <f aca="false">D92</f>
        <v>13083000</v>
      </c>
      <c r="E109" s="141" t="n">
        <f aca="false">D109+E93</f>
        <v>12210800</v>
      </c>
      <c r="F109" s="141" t="n">
        <f aca="false">E109+F93</f>
        <v>11338600</v>
      </c>
      <c r="G109" s="141" t="n">
        <f aca="false">F109+G93</f>
        <v>10466400</v>
      </c>
      <c r="H109" s="141" t="n">
        <f aca="false">G109+H93</f>
        <v>9594200</v>
      </c>
      <c r="I109" s="141" t="n">
        <f aca="false">H109+I93</f>
        <v>8722000</v>
      </c>
      <c r="J109" s="141" t="n">
        <f aca="false">I109+J93</f>
        <v>7849800</v>
      </c>
      <c r="K109" s="141" t="n">
        <f aca="false">J109+K93</f>
        <v>6977600</v>
      </c>
      <c r="L109" s="141" t="n">
        <f aca="false">K109+L93</f>
        <v>6105400</v>
      </c>
      <c r="M109" s="141" t="n">
        <f aca="false">L109+M93</f>
        <v>5233200</v>
      </c>
      <c r="N109" s="141" t="n">
        <f aca="false">M109+N93</f>
        <v>4361000</v>
      </c>
      <c r="O109" s="141" t="n">
        <f aca="false">N109+O93</f>
        <v>3488800</v>
      </c>
      <c r="P109" s="141" t="n">
        <f aca="false">O109+P93</f>
        <v>2616600</v>
      </c>
      <c r="Q109" s="141" t="n">
        <f aca="false">P109+Q93</f>
        <v>1744400</v>
      </c>
      <c r="R109" s="141" t="n">
        <f aca="false">Q109+R93</f>
        <v>872200</v>
      </c>
      <c r="S109" s="141" t="n">
        <f aca="false">R109+S93</f>
        <v>0</v>
      </c>
      <c r="T109" s="141" t="n">
        <f aca="false">S109+T93</f>
        <v>0</v>
      </c>
      <c r="U109" s="141" t="n">
        <f aca="false">T109+U93</f>
        <v>0</v>
      </c>
      <c r="V109" s="141" t="n">
        <f aca="false">U109+V93</f>
        <v>0</v>
      </c>
      <c r="W109" s="141" t="n">
        <f aca="false">V109+W93</f>
        <v>0</v>
      </c>
      <c r="X109" s="145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AJ10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304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4"/>
    <col collapsed="false" customWidth="true" hidden="false" outlineLevel="0" max="3" min="3" style="0" width="27"/>
    <col collapsed="false" customWidth="true" hidden="false" outlineLevel="0" max="5" min="4" style="0" width="37"/>
    <col collapsed="false" customWidth="true" hidden="false" outlineLevel="0" max="6" min="6" style="0" width="50"/>
    <col collapsed="false" customWidth="true" hidden="false" outlineLevel="0" max="12" min="7" style="0" width="37"/>
    <col collapsed="false" customWidth="true" hidden="false" outlineLevel="0" max="13" min="13" style="0" width="50"/>
    <col collapsed="false" customWidth="true" hidden="false" outlineLevel="0" max="23" min="14" style="0" width="37"/>
    <col collapsed="false" customWidth="true" hidden="false" outlineLevel="0" max="24" min="24" style="0" width="30"/>
    <col collapsed="false" customWidth="true" hidden="false" outlineLevel="0" max="27" min="25" style="0" width="10"/>
    <col collapsed="false" customWidth="true" hidden="false" outlineLevel="0" max="35" min="28" style="0" width="11"/>
    <col collapsed="false" customWidth="true" hidden="false" outlineLevel="0" max="36" min="36" style="0" width="8"/>
    <col collapsed="false" customWidth="true" hidden="false" outlineLevel="0" max="37" min="37" style="0" width="9.14"/>
  </cols>
  <sheetData>
    <row r="1" customFormat="false" ht="22.5" hidden="false" customHeight="true" outlineLevel="0" collapsed="false">
      <c r="B1" s="1" t="s">
        <v>87</v>
      </c>
      <c r="C1" s="35"/>
      <c r="D1" s="35"/>
      <c r="E1" s="36"/>
      <c r="F1" s="2" t="s">
        <v>1</v>
      </c>
      <c r="P1" s="3" t="n">
        <f aca="false">1-D11</f>
        <v>0.99</v>
      </c>
      <c r="Q1" s="3" t="n">
        <f aca="false">P1-$D12</f>
        <v>0.986</v>
      </c>
      <c r="R1" s="3" t="n">
        <f aca="false">Q1-$D12</f>
        <v>0.982</v>
      </c>
      <c r="S1" s="3" t="n">
        <f aca="false">R1-$D12</f>
        <v>0.978</v>
      </c>
      <c r="T1" s="3" t="n">
        <f aca="false">S1-$D12</f>
        <v>0.974</v>
      </c>
      <c r="U1" s="3" t="n">
        <f aca="false">T1-$D12</f>
        <v>0.97</v>
      </c>
      <c r="V1" s="3" t="n">
        <f aca="false">U1-$D12</f>
        <v>0.966</v>
      </c>
      <c r="W1" s="3" t="n">
        <f aca="false">V1-$D12</f>
        <v>0.962</v>
      </c>
      <c r="X1" s="3" t="n">
        <f aca="false">W1-$D12</f>
        <v>0.958</v>
      </c>
      <c r="Y1" s="3" t="n">
        <f aca="false">X1-$D12</f>
        <v>0.954</v>
      </c>
      <c r="Z1" s="3" t="n">
        <f aca="false">Y1-$D12</f>
        <v>0.95</v>
      </c>
      <c r="AA1" s="3" t="n">
        <f aca="false">Z1-$D12</f>
        <v>0.946</v>
      </c>
      <c r="AB1" s="3" t="n">
        <f aca="false">AA1-$D12</f>
        <v>0.942</v>
      </c>
      <c r="AC1" s="3" t="n">
        <f aca="false">AB1-$D12</f>
        <v>0.938</v>
      </c>
      <c r="AD1" s="3" t="n">
        <f aca="false">AC1-$D12</f>
        <v>0.934</v>
      </c>
      <c r="AE1" s="3" t="n">
        <f aca="false">AD1-$D12</f>
        <v>0.93</v>
      </c>
      <c r="AF1" s="3" t="n">
        <f aca="false">AE1-$D12</f>
        <v>0.926</v>
      </c>
      <c r="AG1" s="3" t="n">
        <f aca="false">AF1-$D12</f>
        <v>0.922</v>
      </c>
      <c r="AH1" s="3" t="n">
        <f aca="false">AG1-$D12</f>
        <v>0.918</v>
      </c>
      <c r="AI1" s="3" t="n">
        <f aca="false">AH1-$D12</f>
        <v>0.914</v>
      </c>
    </row>
    <row r="2" customFormat="false" ht="21.75" hidden="false" customHeight="true" outlineLevel="0" collapsed="false">
      <c r="B2" s="37" t="s">
        <v>2</v>
      </c>
      <c r="C2" s="38" t="s">
        <v>3</v>
      </c>
      <c r="D2" s="6" t="s">
        <v>4</v>
      </c>
      <c r="E2" s="7" t="s">
        <v>4</v>
      </c>
      <c r="F2" s="39" t="s">
        <v>5</v>
      </c>
    </row>
    <row r="3" customFormat="false" ht="21.75" hidden="false" customHeight="true" outlineLevel="0" collapsed="false">
      <c r="B3" s="40" t="s">
        <v>6</v>
      </c>
      <c r="C3" s="41" t="n">
        <v>20</v>
      </c>
      <c r="D3" s="11" t="s">
        <v>4</v>
      </c>
      <c r="E3" s="12" t="s">
        <v>4</v>
      </c>
      <c r="F3" s="8" t="s">
        <v>88</v>
      </c>
    </row>
    <row r="4" customFormat="false" ht="21.75" hidden="false" customHeight="true" outlineLevel="0" collapsed="false">
      <c r="B4" s="40" t="s">
        <v>89</v>
      </c>
      <c r="C4" s="41" t="n">
        <v>436.1</v>
      </c>
      <c r="D4" s="11" t="s">
        <v>4</v>
      </c>
      <c r="E4" s="12" t="s">
        <v>4</v>
      </c>
      <c r="F4" s="8" t="s">
        <v>90</v>
      </c>
      <c r="M4" s="0" t="s">
        <v>171</v>
      </c>
    </row>
    <row r="5" customFormat="false" ht="22.5" hidden="false" customHeight="true" outlineLevel="0" collapsed="false">
      <c r="B5" s="42" t="s">
        <v>10</v>
      </c>
      <c r="C5" s="41" t="n">
        <v>2020</v>
      </c>
      <c r="D5" s="42" t="s">
        <v>11</v>
      </c>
      <c r="E5" s="43" t="n">
        <v>2039</v>
      </c>
      <c r="F5" s="8" t="s">
        <v>92</v>
      </c>
      <c r="M5" s="0" t="s">
        <v>172</v>
      </c>
    </row>
    <row r="6" customFormat="false" ht="20.25" hidden="false" customHeight="true" outlineLevel="0" collapsed="false">
      <c r="B6" s="13"/>
      <c r="C6" s="13"/>
      <c r="D6" s="13"/>
      <c r="E6" s="13"/>
      <c r="M6" s="0" t="s">
        <v>173</v>
      </c>
    </row>
    <row r="7" customFormat="false" ht="22.5" hidden="false" customHeight="true" outlineLevel="0" collapsed="false">
      <c r="B7" s="1" t="s">
        <v>95</v>
      </c>
      <c r="C7" s="35"/>
      <c r="D7" s="35"/>
      <c r="E7" s="36"/>
      <c r="M7" s="0" t="s">
        <v>174</v>
      </c>
    </row>
    <row r="8" customFormat="false" ht="22.5" hidden="false" customHeight="true" outlineLevel="0" collapsed="false">
      <c r="B8" s="15" t="s">
        <v>14</v>
      </c>
      <c r="E8" s="44"/>
      <c r="M8" s="0" t="s">
        <v>175</v>
      </c>
    </row>
    <row r="9" customFormat="false" ht="22.5" hidden="false" customHeight="true" outlineLevel="0" collapsed="false">
      <c r="B9" s="45" t="s">
        <v>15</v>
      </c>
      <c r="C9" s="46" t="s">
        <v>16</v>
      </c>
      <c r="D9" s="46" t="s">
        <v>17</v>
      </c>
      <c r="E9" s="47" t="s">
        <v>18</v>
      </c>
      <c r="F9" s="2" t="s">
        <v>1</v>
      </c>
      <c r="M9" s="0" t="s">
        <v>98</v>
      </c>
    </row>
    <row r="10" customFormat="false" ht="30" hidden="false" customHeight="true" outlineLevel="0" collapsed="false">
      <c r="B10" s="48" t="s">
        <v>19</v>
      </c>
      <c r="C10" s="49" t="s">
        <v>99</v>
      </c>
      <c r="D10" s="50" t="n">
        <v>547002</v>
      </c>
      <c r="E10" s="21" t="n">
        <v>20</v>
      </c>
      <c r="F10" s="8" t="s">
        <v>100</v>
      </c>
      <c r="M10" s="0" t="s">
        <v>83</v>
      </c>
    </row>
    <row r="11" customFormat="false" ht="30" hidden="false" customHeight="true" outlineLevel="0" collapsed="false">
      <c r="B11" s="51"/>
      <c r="C11" s="42" t="s">
        <v>22</v>
      </c>
      <c r="D11" s="52" t="n">
        <v>0.01</v>
      </c>
      <c r="E11" s="53"/>
      <c r="F11" s="8" t="s">
        <v>102</v>
      </c>
    </row>
    <row r="12" customFormat="false" ht="30" hidden="false" customHeight="true" outlineLevel="0" collapsed="false">
      <c r="B12" s="51"/>
      <c r="C12" s="42" t="s">
        <v>24</v>
      </c>
      <c r="D12" s="54" t="n">
        <v>0.004</v>
      </c>
      <c r="E12" s="53"/>
      <c r="F12" s="8" t="s">
        <v>103</v>
      </c>
    </row>
    <row r="13" customFormat="false" ht="22.5" hidden="false" customHeight="true" outlineLevel="0" collapsed="false">
      <c r="B13" s="51"/>
      <c r="C13" s="55" t="s">
        <v>104</v>
      </c>
      <c r="D13" s="56" t="n">
        <v>4</v>
      </c>
      <c r="E13" s="53"/>
      <c r="F13" s="8" t="s">
        <v>105</v>
      </c>
    </row>
    <row r="14" customFormat="false" ht="22.5" hidden="false" customHeight="true" outlineLevel="0" collapsed="false">
      <c r="B14" s="26" t="s">
        <v>106</v>
      </c>
      <c r="C14" s="35"/>
      <c r="D14" s="35"/>
      <c r="E14" s="36"/>
    </row>
    <row r="15" customFormat="false" ht="22.5" hidden="false" customHeight="true" outlineLevel="0" collapsed="false">
      <c r="B15" s="45" t="s">
        <v>15</v>
      </c>
      <c r="C15" s="46" t="s">
        <v>16</v>
      </c>
      <c r="D15" s="46" t="s">
        <v>17</v>
      </c>
      <c r="E15" s="47" t="s">
        <v>29</v>
      </c>
      <c r="F15" s="2" t="s">
        <v>1</v>
      </c>
    </row>
    <row r="16" customFormat="false" ht="21.75" hidden="false" customHeight="true" outlineLevel="0" collapsed="false">
      <c r="B16" s="49" t="s">
        <v>107</v>
      </c>
      <c r="C16" s="49" t="s">
        <v>108</v>
      </c>
      <c r="D16" s="57" t="n">
        <v>26000</v>
      </c>
      <c r="E16" s="7" t="n">
        <v>20</v>
      </c>
      <c r="F16" s="8" t="s">
        <v>109</v>
      </c>
    </row>
    <row r="17" customFormat="false" ht="21.75" hidden="false" customHeight="true" outlineLevel="0" collapsed="false">
      <c r="B17" s="51"/>
      <c r="C17" s="42" t="s">
        <v>110</v>
      </c>
      <c r="D17" s="58" t="n">
        <v>0.2</v>
      </c>
      <c r="E17" s="53"/>
      <c r="F17" s="8" t="s">
        <v>111</v>
      </c>
    </row>
    <row r="18" customFormat="false" ht="21.75" hidden="false" customHeight="true" outlineLevel="0" collapsed="false">
      <c r="B18" s="59"/>
      <c r="C18" s="42" t="s">
        <v>35</v>
      </c>
      <c r="D18" s="60" t="n">
        <v>2500</v>
      </c>
      <c r="E18" s="61"/>
      <c r="F18" s="8" t="s">
        <v>112</v>
      </c>
    </row>
    <row r="19" customFormat="false" ht="54" hidden="false" customHeight="true" outlineLevel="0" collapsed="false">
      <c r="B19" s="42" t="s">
        <v>37</v>
      </c>
      <c r="C19" s="62" t="s">
        <v>38</v>
      </c>
      <c r="D19" s="58" t="n">
        <v>1</v>
      </c>
      <c r="E19" s="7" t="n">
        <v>20</v>
      </c>
      <c r="F19" s="8" t="s">
        <v>113</v>
      </c>
    </row>
    <row r="20" customFormat="false" ht="20.25" hidden="false" customHeight="true" outlineLevel="0" collapsed="false">
      <c r="B20" s="51"/>
      <c r="C20" s="63" t="s">
        <v>114</v>
      </c>
      <c r="D20" s="60" t="n">
        <v>290201</v>
      </c>
      <c r="E20" s="7" t="n">
        <v>20</v>
      </c>
      <c r="F20" s="8" t="s">
        <v>115</v>
      </c>
    </row>
    <row r="21" customFormat="false" ht="30" hidden="false" customHeight="true" outlineLevel="0" collapsed="false">
      <c r="B21" s="59"/>
      <c r="C21" s="42" t="s">
        <v>116</v>
      </c>
      <c r="D21" s="58" t="n">
        <v>0</v>
      </c>
      <c r="E21" s="12" t="n">
        <v>20</v>
      </c>
      <c r="F21" s="8" t="s">
        <v>117</v>
      </c>
    </row>
    <row r="22" customFormat="false" ht="30" hidden="false" customHeight="true" outlineLevel="0" collapsed="false">
      <c r="B22" s="42" t="s">
        <v>44</v>
      </c>
      <c r="C22" s="42" t="s">
        <v>118</v>
      </c>
      <c r="D22" s="64" t="n">
        <v>400</v>
      </c>
      <c r="E22" s="12" t="n">
        <v>20</v>
      </c>
      <c r="F22" s="8" t="s">
        <v>119</v>
      </c>
    </row>
    <row r="23" customFormat="false" ht="30" hidden="false" customHeight="true" outlineLevel="0" collapsed="false">
      <c r="B23" s="42" t="s">
        <v>47</v>
      </c>
      <c r="C23" s="42" t="s">
        <v>48</v>
      </c>
      <c r="D23" s="58" t="n">
        <v>0.003</v>
      </c>
      <c r="E23" s="12" t="n">
        <v>20</v>
      </c>
      <c r="F23" s="8" t="s">
        <v>120</v>
      </c>
    </row>
    <row r="24" customFormat="false" ht="30" hidden="false" customHeight="true" outlineLevel="0" collapsed="false">
      <c r="B24" s="42" t="s">
        <v>50</v>
      </c>
      <c r="C24" s="42" t="s">
        <v>121</v>
      </c>
      <c r="D24" s="64" t="n">
        <v>1000</v>
      </c>
      <c r="E24" s="31" t="n">
        <v>10</v>
      </c>
      <c r="F24" s="8" t="s">
        <v>122</v>
      </c>
    </row>
    <row r="25" customFormat="false" ht="30" hidden="false" customHeight="true" outlineLevel="0" collapsed="false">
      <c r="B25" s="42" t="s">
        <v>53</v>
      </c>
      <c r="C25" s="42" t="s">
        <v>54</v>
      </c>
      <c r="D25" s="65" t="n">
        <v>0.0256</v>
      </c>
      <c r="E25" s="12" t="n">
        <v>20</v>
      </c>
      <c r="F25" s="8" t="s">
        <v>123</v>
      </c>
    </row>
    <row r="26" customFormat="false" ht="30" hidden="false" customHeight="true" outlineLevel="0" collapsed="false">
      <c r="B26" s="42" t="s">
        <v>56</v>
      </c>
      <c r="C26" s="42" t="s">
        <v>57</v>
      </c>
      <c r="D26" s="58" t="n">
        <v>0.2</v>
      </c>
      <c r="E26" s="12" t="n">
        <v>20</v>
      </c>
      <c r="F26" s="8" t="s">
        <v>124</v>
      </c>
    </row>
    <row r="27" customFormat="false" ht="20.25" hidden="false" customHeight="true" outlineLevel="0" collapsed="false">
      <c r="B27" s="13"/>
      <c r="C27" s="13"/>
      <c r="D27" s="13"/>
      <c r="E27" s="13"/>
    </row>
    <row r="28" customFormat="false" ht="20.25" hidden="false" customHeight="true" outlineLevel="0" collapsed="false">
      <c r="B28" s="13"/>
      <c r="C28" s="13"/>
      <c r="D28" s="13"/>
      <c r="E28" s="13"/>
    </row>
    <row r="29" customFormat="false" ht="22.5" hidden="false" customHeight="true" outlineLevel="0" collapsed="false">
      <c r="B29" s="1" t="s">
        <v>125</v>
      </c>
      <c r="C29" s="35"/>
      <c r="D29" s="36"/>
      <c r="E29" s="13"/>
    </row>
    <row r="30" customFormat="false" ht="22.5" hidden="false" customHeight="true" outlineLevel="0" collapsed="false">
      <c r="B30" s="45" t="s">
        <v>60</v>
      </c>
      <c r="C30" s="66" t="s">
        <v>16</v>
      </c>
      <c r="D30" s="67" t="s">
        <v>17</v>
      </c>
      <c r="E30" s="13"/>
      <c r="F30" s="2" t="s">
        <v>1</v>
      </c>
    </row>
    <row r="31" customFormat="false" ht="30" hidden="false" customHeight="true" outlineLevel="0" collapsed="false">
      <c r="B31" s="49" t="s">
        <v>61</v>
      </c>
      <c r="C31" s="37" t="s">
        <v>62</v>
      </c>
      <c r="D31" s="68" t="n">
        <v>0.8</v>
      </c>
      <c r="E31" s="13"/>
      <c r="F31" s="8" t="s">
        <v>126</v>
      </c>
    </row>
    <row r="32" customFormat="false" ht="18.75" hidden="false" customHeight="true" outlineLevel="0" collapsed="false">
      <c r="B32" s="49" t="s">
        <v>64</v>
      </c>
      <c r="C32" s="37" t="s">
        <v>65</v>
      </c>
      <c r="D32" s="68" t="n">
        <v>15</v>
      </c>
      <c r="E32" s="13"/>
      <c r="F32" s="8" t="s">
        <v>127</v>
      </c>
    </row>
    <row r="33" customFormat="false" ht="18.75" hidden="false" customHeight="true" outlineLevel="0" collapsed="false">
      <c r="B33" s="42" t="s">
        <v>67</v>
      </c>
      <c r="C33" s="40" t="s">
        <v>68</v>
      </c>
      <c r="D33" s="58" t="n">
        <v>0.9</v>
      </c>
      <c r="E33" s="13"/>
      <c r="F33" s="8" t="s">
        <v>128</v>
      </c>
    </row>
    <row r="34" customFormat="false" ht="30" hidden="false" customHeight="true" outlineLevel="0" collapsed="false">
      <c r="B34" s="42" t="s">
        <v>70</v>
      </c>
      <c r="C34" s="40" t="s">
        <v>65</v>
      </c>
      <c r="D34" s="58" t="n">
        <v>4</v>
      </c>
      <c r="E34" s="13"/>
      <c r="F34" s="8" t="s">
        <v>129</v>
      </c>
    </row>
    <row r="35" customFormat="false" ht="18.75" hidden="false" customHeight="true" outlineLevel="0" collapsed="false"/>
    <row r="36" customFormat="false" ht="18.75" hidden="false" customHeight="true" outlineLevel="0" collapsed="false"/>
    <row r="37" customFormat="false" ht="18.75" hidden="false" customHeight="true" outlineLevel="0" collapsed="false">
      <c r="B37" s="69"/>
      <c r="C37" s="70" t="s">
        <v>130</v>
      </c>
      <c r="D37" s="70" t="n">
        <v>2020</v>
      </c>
      <c r="E37" s="70" t="n">
        <v>2021</v>
      </c>
      <c r="F37" s="70" t="n">
        <v>2022</v>
      </c>
      <c r="G37" s="70" t="n">
        <v>2023</v>
      </c>
      <c r="H37" s="70" t="n">
        <v>2024</v>
      </c>
      <c r="I37" s="70" t="n">
        <v>2025</v>
      </c>
      <c r="J37" s="70" t="n">
        <v>2026</v>
      </c>
      <c r="K37" s="70" t="n">
        <v>2027</v>
      </c>
      <c r="L37" s="70" t="n">
        <v>2028</v>
      </c>
      <c r="M37" s="70" t="n">
        <v>2029</v>
      </c>
      <c r="N37" s="70" t="n">
        <v>2030</v>
      </c>
      <c r="O37" s="70" t="n">
        <v>2031</v>
      </c>
      <c r="P37" s="70" t="n">
        <v>2032</v>
      </c>
      <c r="Q37" s="70" t="n">
        <v>2033</v>
      </c>
      <c r="R37" s="70" t="n">
        <v>2034</v>
      </c>
      <c r="S37" s="70" t="n">
        <v>2035</v>
      </c>
      <c r="T37" s="70" t="n">
        <v>2036</v>
      </c>
      <c r="U37" s="70" t="n">
        <v>2037</v>
      </c>
      <c r="V37" s="70" t="n">
        <v>2038</v>
      </c>
      <c r="W37" s="70" t="n">
        <v>2039</v>
      </c>
      <c r="X37" s="70"/>
    </row>
    <row r="38" customFormat="false" ht="18.75" hidden="false" customHeight="true" outlineLevel="0" collapsed="false">
      <c r="B38" s="71" t="n">
        <v>0</v>
      </c>
      <c r="C38" s="72"/>
      <c r="D38" s="73"/>
      <c r="E38" s="73"/>
      <c r="F38" s="74"/>
      <c r="G38" s="75"/>
      <c r="H38" s="75"/>
      <c r="I38" s="75"/>
      <c r="J38" s="75"/>
      <c r="K38" s="75"/>
      <c r="L38" s="75"/>
      <c r="M38" s="75"/>
      <c r="N38" s="75"/>
      <c r="O38" s="75"/>
      <c r="P38" s="75"/>
      <c r="Q38" s="75"/>
      <c r="R38" s="75"/>
      <c r="S38" s="75"/>
      <c r="T38" s="76"/>
      <c r="U38" s="75"/>
      <c r="V38" s="75"/>
      <c r="W38" s="75"/>
      <c r="X38" s="77"/>
    </row>
    <row r="39" customFormat="false" ht="18.75" hidden="false" customHeight="true" outlineLevel="0" collapsed="false">
      <c r="B39" s="78" t="s">
        <v>131</v>
      </c>
      <c r="C39" s="79" t="n">
        <v>0</v>
      </c>
      <c r="D39" s="80" t="n">
        <v>1</v>
      </c>
      <c r="E39" s="80" t="n">
        <v>2</v>
      </c>
      <c r="F39" s="80" t="n">
        <v>3</v>
      </c>
      <c r="G39" s="80" t="n">
        <v>4</v>
      </c>
      <c r="H39" s="80" t="n">
        <v>5</v>
      </c>
      <c r="I39" s="80" t="n">
        <v>6</v>
      </c>
      <c r="J39" s="80" t="n">
        <v>7</v>
      </c>
      <c r="K39" s="80" t="n">
        <v>8</v>
      </c>
      <c r="L39" s="80" t="n">
        <v>9</v>
      </c>
      <c r="M39" s="80" t="n">
        <v>10</v>
      </c>
      <c r="N39" s="80" t="n">
        <v>11</v>
      </c>
      <c r="O39" s="80" t="n">
        <v>12</v>
      </c>
      <c r="P39" s="80" t="n">
        <v>13</v>
      </c>
      <c r="Q39" s="80" t="n">
        <v>14</v>
      </c>
      <c r="R39" s="80" t="n">
        <v>15</v>
      </c>
      <c r="S39" s="80" t="n">
        <v>16</v>
      </c>
      <c r="T39" s="81" t="n">
        <v>17</v>
      </c>
      <c r="U39" s="80" t="n">
        <v>18</v>
      </c>
      <c r="V39" s="80" t="n">
        <v>19</v>
      </c>
      <c r="W39" s="80" t="n">
        <v>20</v>
      </c>
      <c r="X39" s="82"/>
    </row>
    <row r="40" customFormat="false" ht="18.75" hidden="false" customHeight="true" outlineLevel="0" collapsed="false">
      <c r="B40" s="83" t="s">
        <v>132</v>
      </c>
      <c r="C40" s="84" t="n">
        <v>0</v>
      </c>
      <c r="D40" s="85" t="n">
        <f aca="false">$D$10*P1</f>
        <v>541531.98</v>
      </c>
      <c r="E40" s="85" t="n">
        <f aca="false">$D$10*Q1</f>
        <v>539343.972</v>
      </c>
      <c r="F40" s="85" t="n">
        <f aca="false">$D$10*R1</f>
        <v>537155.964</v>
      </c>
      <c r="G40" s="85" t="n">
        <f aca="false">$D$10*S1</f>
        <v>534967.956</v>
      </c>
      <c r="H40" s="85" t="n">
        <f aca="false">$D$10*T1</f>
        <v>532779.948</v>
      </c>
      <c r="I40" s="85" t="n">
        <f aca="false">$D$10*U1</f>
        <v>530591.94</v>
      </c>
      <c r="J40" s="85" t="n">
        <f aca="false">$D$10*V1</f>
        <v>528403.932</v>
      </c>
      <c r="K40" s="85" t="n">
        <f aca="false">$D$10*W1</f>
        <v>526215.924</v>
      </c>
      <c r="L40" s="85" t="n">
        <f aca="false">$D$10*X1</f>
        <v>524027.916</v>
      </c>
      <c r="M40" s="85" t="n">
        <f aca="false">$D$10*Y1</f>
        <v>521839.908</v>
      </c>
      <c r="N40" s="85" t="n">
        <f aca="false">$D$10*Z1</f>
        <v>519651.9</v>
      </c>
      <c r="O40" s="85" t="n">
        <f aca="false">$D$10*AA1</f>
        <v>517463.892</v>
      </c>
      <c r="P40" s="85" t="n">
        <f aca="false">$D$10*AB1</f>
        <v>515275.884</v>
      </c>
      <c r="Q40" s="85" t="n">
        <f aca="false">$D$10*AC1</f>
        <v>513087.876</v>
      </c>
      <c r="R40" s="85" t="n">
        <f aca="false">$D$10*AD1</f>
        <v>510899.868</v>
      </c>
      <c r="S40" s="85" t="n">
        <f aca="false">$D$10*AE1</f>
        <v>508711.86</v>
      </c>
      <c r="T40" s="85" t="n">
        <f aca="false">$D$10*AF1</f>
        <v>506523.852</v>
      </c>
      <c r="U40" s="85" t="n">
        <f aca="false">$D$10*AG1</f>
        <v>504335.844</v>
      </c>
      <c r="V40" s="85" t="n">
        <f aca="false">$D$10*AH1</f>
        <v>502147.836</v>
      </c>
      <c r="W40" s="85" t="n">
        <f aca="false">$D$10*AI1</f>
        <v>499959.828</v>
      </c>
      <c r="X40" s="86"/>
    </row>
    <row r="41" customFormat="false" ht="18.75" hidden="false" customHeight="true" outlineLevel="0" collapsed="false">
      <c r="B41" s="87" t="s">
        <v>133</v>
      </c>
      <c r="C41" s="88" t="s">
        <v>4</v>
      </c>
      <c r="D41" s="89" t="n">
        <f aca="false">D40*$D$13</f>
        <v>2166127.92</v>
      </c>
      <c r="E41" s="89" t="n">
        <f aca="false">E40*$D$13</f>
        <v>2157375.888</v>
      </c>
      <c r="F41" s="89" t="n">
        <f aca="false">F40*$D$13</f>
        <v>2148623.856</v>
      </c>
      <c r="G41" s="89" t="n">
        <f aca="false">G40*$D$13</f>
        <v>2139871.824</v>
      </c>
      <c r="H41" s="89" t="n">
        <f aca="false">H40*$D$13</f>
        <v>2131119.792</v>
      </c>
      <c r="I41" s="89" t="n">
        <f aca="false">I40*$D$13</f>
        <v>2122367.76</v>
      </c>
      <c r="J41" s="89" t="n">
        <f aca="false">J40*$D$13</f>
        <v>2113615.728</v>
      </c>
      <c r="K41" s="89" t="n">
        <f aca="false">K40*$D$13</f>
        <v>2104863.696</v>
      </c>
      <c r="L41" s="89" t="n">
        <f aca="false">L40*$D$13</f>
        <v>2096111.664</v>
      </c>
      <c r="M41" s="89" t="n">
        <f aca="false">M40*$D$13</f>
        <v>2087359.632</v>
      </c>
      <c r="N41" s="89" t="n">
        <f aca="false">N40*$D$13</f>
        <v>2078607.6</v>
      </c>
      <c r="O41" s="89" t="n">
        <f aca="false">O40*$D$13</f>
        <v>2069855.568</v>
      </c>
      <c r="P41" s="89" t="n">
        <f aca="false">P40*$D$13</f>
        <v>2061103.536</v>
      </c>
      <c r="Q41" s="89" t="n">
        <f aca="false">Q40*$D$13</f>
        <v>2052351.504</v>
      </c>
      <c r="R41" s="89" t="n">
        <f aca="false">R40*$D$13</f>
        <v>2043599.472</v>
      </c>
      <c r="S41" s="89" t="n">
        <f aca="false">S40*$D$13</f>
        <v>2034847.44</v>
      </c>
      <c r="T41" s="89" t="n">
        <f aca="false">T40*$D$13</f>
        <v>2026095.408</v>
      </c>
      <c r="U41" s="89" t="n">
        <f aca="false">U40*$D$13</f>
        <v>2017343.376</v>
      </c>
      <c r="V41" s="89" t="n">
        <f aca="false">V40*$D$13</f>
        <v>2008591.344</v>
      </c>
      <c r="W41" s="89" t="n">
        <f aca="false">W40*$D$13</f>
        <v>1999839.312</v>
      </c>
      <c r="X41" s="90"/>
    </row>
    <row r="42" customFormat="false" ht="18.75" hidden="false" customHeight="true" outlineLevel="0" collapsed="false">
      <c r="B42" s="91" t="s">
        <v>134</v>
      </c>
      <c r="C42" s="92" t="s">
        <v>4</v>
      </c>
      <c r="D42" s="93"/>
      <c r="E42" s="93"/>
      <c r="F42" s="93"/>
      <c r="G42" s="94" t="s">
        <v>4</v>
      </c>
      <c r="H42" s="94" t="s">
        <v>4</v>
      </c>
      <c r="I42" s="94" t="s">
        <v>4</v>
      </c>
      <c r="J42" s="94" t="s">
        <v>4</v>
      </c>
      <c r="K42" s="94" t="s">
        <v>4</v>
      </c>
      <c r="L42" s="94" t="s">
        <v>4</v>
      </c>
      <c r="M42" s="94" t="s">
        <v>4</v>
      </c>
      <c r="N42" s="94" t="s">
        <v>4</v>
      </c>
      <c r="O42" s="94" t="s">
        <v>4</v>
      </c>
      <c r="P42" s="94" t="s">
        <v>4</v>
      </c>
      <c r="Q42" s="94" t="s">
        <v>4</v>
      </c>
      <c r="R42" s="94" t="s">
        <v>4</v>
      </c>
      <c r="S42" s="94" t="s">
        <v>4</v>
      </c>
      <c r="T42" s="94" t="s">
        <v>4</v>
      </c>
      <c r="U42" s="94" t="s">
        <v>4</v>
      </c>
      <c r="V42" s="94" t="s">
        <v>4</v>
      </c>
      <c r="W42" s="94" t="s">
        <v>4</v>
      </c>
      <c r="X42" s="95"/>
    </row>
    <row r="43" customFormat="false" ht="18.75" hidden="false" customHeight="true" outlineLevel="0" collapsed="false">
      <c r="B43" s="96" t="s">
        <v>135</v>
      </c>
      <c r="C43" s="97"/>
      <c r="D43" s="98"/>
      <c r="E43" s="98"/>
      <c r="F43" s="98"/>
      <c r="G43" s="98"/>
      <c r="H43" s="98"/>
      <c r="I43" s="98"/>
      <c r="J43" s="98"/>
      <c r="K43" s="98"/>
      <c r="L43" s="98"/>
      <c r="M43" s="98"/>
      <c r="N43" s="98"/>
      <c r="O43" s="98"/>
      <c r="P43" s="98"/>
      <c r="Q43" s="98"/>
      <c r="R43" s="98"/>
      <c r="S43" s="98"/>
      <c r="T43" s="98"/>
      <c r="U43" s="98"/>
      <c r="V43" s="98"/>
      <c r="W43" s="98"/>
      <c r="X43" s="99"/>
    </row>
    <row r="44" customFormat="false" ht="18.75" hidden="false" customHeight="true" outlineLevel="0" collapsed="false">
      <c r="B44" s="100" t="s">
        <v>136</v>
      </c>
      <c r="C44" s="101" t="n">
        <f aca="false">-(D16/(1-D17)+D18)*C4</f>
        <v>-15263500</v>
      </c>
      <c r="D44" s="102"/>
      <c r="E44" s="102"/>
      <c r="F44" s="102"/>
      <c r="G44" s="102"/>
      <c r="H44" s="102"/>
      <c r="I44" s="102"/>
      <c r="J44" s="102"/>
      <c r="K44" s="102"/>
      <c r="L44" s="102"/>
      <c r="M44" s="102"/>
      <c r="N44" s="102"/>
      <c r="O44" s="102"/>
      <c r="P44" s="102"/>
      <c r="Q44" s="102"/>
      <c r="R44" s="102"/>
      <c r="S44" s="102"/>
      <c r="T44" s="102"/>
      <c r="U44" s="102"/>
      <c r="V44" s="102"/>
      <c r="W44" s="102"/>
      <c r="X44" s="102"/>
    </row>
    <row r="45" customFormat="false" ht="18.75" hidden="false" customHeight="true" outlineLevel="0" collapsed="false">
      <c r="B45" s="100" t="s">
        <v>137</v>
      </c>
      <c r="C45" s="92" t="s">
        <v>4</v>
      </c>
      <c r="D45" s="102" t="n">
        <v>-290201</v>
      </c>
      <c r="E45" s="102" t="n">
        <v>-290201</v>
      </c>
      <c r="F45" s="102" t="n">
        <v>-290201</v>
      </c>
      <c r="G45" s="102" t="n">
        <v>-290201</v>
      </c>
      <c r="H45" s="102" t="n">
        <v>-290201</v>
      </c>
      <c r="I45" s="102" t="n">
        <v>-290201</v>
      </c>
      <c r="J45" s="102" t="n">
        <v>-290201</v>
      </c>
      <c r="K45" s="102" t="n">
        <v>-290201</v>
      </c>
      <c r="L45" s="102" t="n">
        <v>-290201</v>
      </c>
      <c r="M45" s="102" t="n">
        <v>-290201</v>
      </c>
      <c r="N45" s="102" t="n">
        <v>-290201</v>
      </c>
      <c r="O45" s="102" t="n">
        <v>-290201</v>
      </c>
      <c r="P45" s="102" t="n">
        <v>-290201</v>
      </c>
      <c r="Q45" s="102" t="n">
        <v>-290201</v>
      </c>
      <c r="R45" s="102" t="n">
        <v>-290201</v>
      </c>
      <c r="S45" s="102" t="n">
        <v>-290201</v>
      </c>
      <c r="T45" s="102" t="n">
        <v>-290201</v>
      </c>
      <c r="U45" s="102" t="n">
        <v>-290201</v>
      </c>
      <c r="V45" s="102" t="n">
        <v>-290201</v>
      </c>
      <c r="W45" s="102" t="n">
        <v>-290201</v>
      </c>
      <c r="X45" s="102"/>
    </row>
    <row r="46" customFormat="false" ht="18.75" hidden="false" customHeight="true" outlineLevel="0" collapsed="false">
      <c r="B46" s="100" t="s">
        <v>138</v>
      </c>
      <c r="C46" s="92"/>
      <c r="D46" s="102"/>
      <c r="E46" s="102"/>
      <c r="F46" s="102"/>
      <c r="G46" s="102"/>
      <c r="H46" s="102"/>
      <c r="I46" s="102"/>
      <c r="J46" s="102"/>
      <c r="K46" s="102"/>
      <c r="L46" s="102"/>
      <c r="M46" s="102"/>
      <c r="N46" s="102"/>
      <c r="O46" s="102"/>
      <c r="P46" s="102"/>
      <c r="Q46" s="102"/>
      <c r="R46" s="102"/>
      <c r="S46" s="102"/>
      <c r="T46" s="102"/>
      <c r="U46" s="102"/>
      <c r="V46" s="102"/>
      <c r="W46" s="102"/>
      <c r="X46" s="102"/>
    </row>
    <row r="47" customFormat="false" ht="18.75" hidden="false" customHeight="true" outlineLevel="0" collapsed="false">
      <c r="B47" s="100" t="s">
        <v>139</v>
      </c>
      <c r="C47" s="92" t="s">
        <v>4</v>
      </c>
      <c r="D47" s="102"/>
      <c r="E47" s="102"/>
      <c r="F47" s="102"/>
      <c r="G47" s="102"/>
      <c r="H47" s="102"/>
      <c r="I47" s="102"/>
      <c r="J47" s="102"/>
      <c r="K47" s="102"/>
      <c r="L47" s="102"/>
      <c r="M47" s="102"/>
      <c r="N47" s="102"/>
      <c r="O47" s="102"/>
      <c r="P47" s="102"/>
      <c r="Q47" s="102"/>
      <c r="R47" s="102"/>
      <c r="S47" s="102"/>
      <c r="T47" s="102"/>
      <c r="U47" s="102"/>
      <c r="V47" s="102"/>
      <c r="W47" s="102"/>
      <c r="X47" s="102"/>
    </row>
    <row r="48" customFormat="false" ht="18.75" hidden="false" customHeight="true" outlineLevel="0" collapsed="false">
      <c r="B48" s="100" t="s">
        <v>140</v>
      </c>
      <c r="C48" s="92" t="s">
        <v>4</v>
      </c>
      <c r="D48" s="102" t="n">
        <v>-174440</v>
      </c>
      <c r="E48" s="102" t="n">
        <v>-174440</v>
      </c>
      <c r="F48" s="102" t="n">
        <v>-174440</v>
      </c>
      <c r="G48" s="102" t="n">
        <v>-174440</v>
      </c>
      <c r="H48" s="102" t="n">
        <v>-174440</v>
      </c>
      <c r="I48" s="102" t="n">
        <v>-174440</v>
      </c>
      <c r="J48" s="102" t="n">
        <v>-174440</v>
      </c>
      <c r="K48" s="102" t="n">
        <v>-174440</v>
      </c>
      <c r="L48" s="102" t="n">
        <v>-174440</v>
      </c>
      <c r="M48" s="102" t="n">
        <v>-174440</v>
      </c>
      <c r="N48" s="102" t="n">
        <v>-174440</v>
      </c>
      <c r="O48" s="102" t="n">
        <v>-174440</v>
      </c>
      <c r="P48" s="102" t="n">
        <v>-174440</v>
      </c>
      <c r="Q48" s="102" t="n">
        <v>-174440</v>
      </c>
      <c r="R48" s="102" t="n">
        <v>-174440</v>
      </c>
      <c r="S48" s="102" t="n">
        <v>-174440</v>
      </c>
      <c r="T48" s="102" t="n">
        <v>-174440</v>
      </c>
      <c r="U48" s="102" t="n">
        <v>-174440</v>
      </c>
      <c r="V48" s="102" t="n">
        <v>-174440</v>
      </c>
      <c r="W48" s="102" t="n">
        <v>-174440</v>
      </c>
      <c r="X48" s="102"/>
    </row>
    <row r="49" customFormat="false" ht="18.75" hidden="false" customHeight="true" outlineLevel="0" collapsed="false">
      <c r="B49" s="100" t="s">
        <v>141</v>
      </c>
      <c r="C49" s="92" t="s">
        <v>4</v>
      </c>
      <c r="D49" s="102" t="n">
        <v>-34015.8</v>
      </c>
      <c r="E49" s="102" t="n">
        <v>-34015.8</v>
      </c>
      <c r="F49" s="102" t="n">
        <v>-34015.8</v>
      </c>
      <c r="G49" s="102" t="n">
        <v>-34015.8</v>
      </c>
      <c r="H49" s="102" t="n">
        <v>-34015.8</v>
      </c>
      <c r="I49" s="102" t="n">
        <v>-34015.8</v>
      </c>
      <c r="J49" s="102" t="n">
        <v>-34015.8</v>
      </c>
      <c r="K49" s="102" t="n">
        <v>-34015.8</v>
      </c>
      <c r="L49" s="102" t="n">
        <v>-34015.8</v>
      </c>
      <c r="M49" s="102" t="n">
        <v>-34015.8</v>
      </c>
      <c r="N49" s="102" t="n">
        <v>-34015.8</v>
      </c>
      <c r="O49" s="102" t="n">
        <v>-34015.8</v>
      </c>
      <c r="P49" s="102" t="n">
        <v>-34015.8</v>
      </c>
      <c r="Q49" s="102" t="n">
        <v>-34015.8</v>
      </c>
      <c r="R49" s="102" t="n">
        <v>-34015.8</v>
      </c>
      <c r="S49" s="102" t="n">
        <v>-34015.8</v>
      </c>
      <c r="T49" s="102" t="n">
        <v>-34015.8</v>
      </c>
      <c r="U49" s="102" t="n">
        <v>-34015.8</v>
      </c>
      <c r="V49" s="102" t="n">
        <v>-34015.8</v>
      </c>
      <c r="W49" s="102" t="n">
        <v>-34015.8</v>
      </c>
      <c r="X49" s="102"/>
    </row>
    <row r="50" customFormat="false" ht="18.75" hidden="false" customHeight="true" outlineLevel="0" collapsed="false">
      <c r="B50" s="100" t="s">
        <v>142</v>
      </c>
      <c r="C50" s="92"/>
      <c r="D50" s="102" t="n">
        <v>-43610</v>
      </c>
      <c r="E50" s="102" t="n">
        <v>-43610</v>
      </c>
      <c r="F50" s="102" t="n">
        <v>-43610</v>
      </c>
      <c r="G50" s="102" t="n">
        <v>-43610</v>
      </c>
      <c r="H50" s="102" t="n">
        <v>-43610</v>
      </c>
      <c r="I50" s="102" t="n">
        <v>-43610</v>
      </c>
      <c r="J50" s="102" t="n">
        <v>-43610</v>
      </c>
      <c r="K50" s="102" t="n">
        <v>-43610</v>
      </c>
      <c r="L50" s="102" t="n">
        <v>-43610</v>
      </c>
      <c r="M50" s="102" t="n">
        <v>-43610</v>
      </c>
      <c r="N50" s="102" t="n">
        <v>0</v>
      </c>
      <c r="O50" s="102" t="n">
        <v>0</v>
      </c>
      <c r="P50" s="102" t="n">
        <v>0</v>
      </c>
      <c r="Q50" s="102" t="n">
        <v>0</v>
      </c>
      <c r="R50" s="102" t="n">
        <v>0</v>
      </c>
      <c r="S50" s="102" t="n">
        <v>0</v>
      </c>
      <c r="T50" s="102" t="n">
        <v>0</v>
      </c>
      <c r="U50" s="102" t="n">
        <v>0</v>
      </c>
      <c r="V50" s="102" t="n">
        <v>0</v>
      </c>
      <c r="W50" s="102" t="n">
        <v>0</v>
      </c>
      <c r="X50" s="102"/>
    </row>
    <row r="51" customFormat="false" ht="18.75" hidden="false" customHeight="true" outlineLevel="0" collapsed="false">
      <c r="B51" s="100" t="s">
        <v>143</v>
      </c>
      <c r="C51" s="103"/>
      <c r="D51" s="102"/>
      <c r="E51" s="102"/>
      <c r="F51" s="102"/>
      <c r="G51" s="102"/>
      <c r="H51" s="102"/>
      <c r="I51" s="102"/>
      <c r="J51" s="102"/>
      <c r="K51" s="102"/>
      <c r="L51" s="102"/>
      <c r="M51" s="102"/>
      <c r="N51" s="102"/>
      <c r="O51" s="102"/>
      <c r="P51" s="102"/>
      <c r="Q51" s="102"/>
      <c r="R51" s="102"/>
      <c r="S51" s="102"/>
      <c r="T51" s="102"/>
      <c r="U51" s="102"/>
      <c r="V51" s="102"/>
      <c r="W51" s="102"/>
      <c r="X51" s="102"/>
    </row>
    <row r="52" customFormat="false" ht="18.75" hidden="false" customHeight="true" outlineLevel="0" collapsed="false">
      <c r="B52" s="100" t="s">
        <v>144</v>
      </c>
      <c r="C52" s="103"/>
      <c r="D52" s="102"/>
      <c r="E52" s="102"/>
      <c r="F52" s="102"/>
      <c r="G52" s="102"/>
      <c r="H52" s="102"/>
      <c r="I52" s="102"/>
      <c r="J52" s="102"/>
      <c r="K52" s="102"/>
      <c r="L52" s="102"/>
      <c r="M52" s="102"/>
      <c r="N52" s="102"/>
      <c r="O52" s="102"/>
      <c r="P52" s="102"/>
      <c r="Q52" s="102"/>
      <c r="R52" s="102"/>
      <c r="S52" s="102"/>
      <c r="T52" s="102"/>
      <c r="U52" s="102"/>
      <c r="V52" s="102"/>
      <c r="W52" s="102"/>
      <c r="X52" s="102"/>
    </row>
    <row r="53" customFormat="false" ht="18.75" hidden="false" customHeight="true" outlineLevel="0" collapsed="false">
      <c r="B53" s="104" t="s">
        <v>145</v>
      </c>
      <c r="C53" s="103"/>
      <c r="D53" s="102"/>
      <c r="E53" s="102"/>
      <c r="F53" s="102"/>
      <c r="G53" s="102"/>
      <c r="H53" s="102"/>
      <c r="I53" s="102"/>
      <c r="J53" s="102"/>
      <c r="K53" s="102"/>
      <c r="L53" s="102"/>
      <c r="M53" s="102"/>
      <c r="N53" s="102"/>
      <c r="O53" s="102"/>
      <c r="P53" s="102"/>
      <c r="Q53" s="102"/>
      <c r="R53" s="102"/>
      <c r="S53" s="102"/>
      <c r="T53" s="102"/>
      <c r="U53" s="102"/>
      <c r="V53" s="102"/>
      <c r="W53" s="102"/>
      <c r="X53" s="102"/>
    </row>
    <row r="54" customFormat="false" ht="18.75" hidden="false" customHeight="true" outlineLevel="0" collapsed="false">
      <c r="B54" s="104" t="s">
        <v>146</v>
      </c>
      <c r="C54" s="103"/>
      <c r="D54" s="102" t="n">
        <f aca="false">-(D64+D67+D68+D71+D72+D73+D74)*0.2</f>
        <v>-230177.424</v>
      </c>
      <c r="E54" s="102" t="n">
        <f aca="false">-(E64+E67+E68+E71+E72+E73+E74)*0.2</f>
        <v>-170386.8176</v>
      </c>
      <c r="F54" s="102" t="n">
        <f aca="false">-(F64+F67+F68+F71+F72+F73+F74)*0.2</f>
        <v>-168636.4112</v>
      </c>
      <c r="G54" s="102" t="n">
        <f aca="false">-(G64+G67+G68+G71+G72+G73+G74)*0.2</f>
        <v>-166886.0048</v>
      </c>
      <c r="H54" s="102" t="n">
        <f aca="false">-(H64+H67+H68+H71+H72+H73+H74)*0.2</f>
        <v>-165135.5984</v>
      </c>
      <c r="I54" s="102" t="n">
        <f aca="false">-(I64+I67+I68+I71+I72+I73+I74)*0.2</f>
        <v>-163385.192</v>
      </c>
      <c r="J54" s="102" t="n">
        <f aca="false">-(J64+J67+J68+J71+J72+J73+J74)*0.2</f>
        <v>-161634.7856</v>
      </c>
      <c r="K54" s="102" t="n">
        <f aca="false">-(K64+K67+K68+K71+K72+K73+K74)*0.2</f>
        <v>-159884.3792</v>
      </c>
      <c r="L54" s="102" t="n">
        <f aca="false">-(L64+L67+L68+L71+L72+L73+L74)*0.2</f>
        <v>-158133.9728</v>
      </c>
      <c r="M54" s="102" t="n">
        <f aca="false">-(M64+M67+M68+M71+M72+M73+M74)*0.2</f>
        <v>-156383.5664</v>
      </c>
      <c r="N54" s="102" t="n">
        <f aca="false">-(N64+N67+N68+N71+N72+N73+N74)*0.2</f>
        <v>-163355.16</v>
      </c>
      <c r="O54" s="102" t="n">
        <f aca="false">-(O64+O67+O68+O71+O72+O73+O74)*0.2</f>
        <v>-161604.7536</v>
      </c>
      <c r="P54" s="102" t="n">
        <f aca="false">-(P64+P67+P68+P71+P72+P73+P74)*0.2</f>
        <v>-159854.3472</v>
      </c>
      <c r="Q54" s="102" t="n">
        <f aca="false">-(Q64+Q67+Q68+Q71+Q72+Q73+Q74)*0.2</f>
        <v>-158103.9408</v>
      </c>
      <c r="R54" s="102" t="n">
        <f aca="false">-(R64+R67+R68+R71+R72+R73+R74)*0.2</f>
        <v>-156353.5344</v>
      </c>
      <c r="S54" s="102" t="n">
        <f aca="false">-(S64+S67+S68+S71+S72+S73+S74)*0.2</f>
        <v>-154603.128</v>
      </c>
      <c r="T54" s="102" t="n">
        <f aca="false">-(T64+T67+T68+T71+T72+T73+T74)*0.2</f>
        <v>-152852.7216</v>
      </c>
      <c r="U54" s="102" t="n">
        <f aca="false">-(U64+U67+U68+U71+U72+U73+U74)*0.2</f>
        <v>-151102.3152</v>
      </c>
      <c r="V54" s="102" t="n">
        <f aca="false">-(V64+V67+V68+V71+V72+V73+V74)*0.2</f>
        <v>-149351.9088</v>
      </c>
      <c r="W54" s="102" t="n">
        <f aca="false">-(W64+W67+W68+W71+W72+W73+W74)*0.2</f>
        <v>-147601.5024</v>
      </c>
      <c r="X54" s="93"/>
    </row>
    <row r="55" customFormat="false" ht="18.75" hidden="false" customHeight="true" outlineLevel="0" collapsed="false">
      <c r="B55" s="105" t="s">
        <v>147</v>
      </c>
      <c r="C55" s="106" t="n">
        <f aca="false">C44</f>
        <v>-15263500</v>
      </c>
      <c r="D55" s="107" t="n">
        <f aca="false">SUM(D41:D54)</f>
        <v>1393683.696</v>
      </c>
      <c r="E55" s="107" t="n">
        <f aca="false">SUM(E41:E54)</f>
        <v>1444722.2704</v>
      </c>
      <c r="F55" s="107" t="n">
        <f aca="false">SUM(F41:F54)</f>
        <v>1437720.6448</v>
      </c>
      <c r="G55" s="107" t="n">
        <f aca="false">SUM(G41:G54)</f>
        <v>1430719.0192</v>
      </c>
      <c r="H55" s="107" t="n">
        <f aca="false">SUM(H41:H54)</f>
        <v>1423717.3936</v>
      </c>
      <c r="I55" s="107" t="n">
        <f aca="false">SUM(I41:I54)</f>
        <v>1416715.768</v>
      </c>
      <c r="J55" s="107" t="n">
        <f aca="false">SUM(J41:J54)</f>
        <v>1409714.1424</v>
      </c>
      <c r="K55" s="107" t="n">
        <f aca="false">SUM(K41:K54)</f>
        <v>1402712.5168</v>
      </c>
      <c r="L55" s="107" t="n">
        <f aca="false">SUM(L41:L54)</f>
        <v>1395710.8912</v>
      </c>
      <c r="M55" s="107" t="n">
        <f aca="false">SUM(M41:M54)</f>
        <v>1388709.2656</v>
      </c>
      <c r="N55" s="107" t="n">
        <f aca="false">SUM(N41:N54)</f>
        <v>1416595.64</v>
      </c>
      <c r="O55" s="107" t="n">
        <f aca="false">SUM(O41:O54)</f>
        <v>1409594.0144</v>
      </c>
      <c r="P55" s="107" t="n">
        <f aca="false">SUM(P41:P54)</f>
        <v>1402592.3888</v>
      </c>
      <c r="Q55" s="107" t="n">
        <f aca="false">SUM(Q41:Q54)</f>
        <v>1395590.7632</v>
      </c>
      <c r="R55" s="107" t="n">
        <f aca="false">SUM(R41:R54)</f>
        <v>1388589.1376</v>
      </c>
      <c r="S55" s="107" t="n">
        <f aca="false">SUM(S41:S54)</f>
        <v>1381587.512</v>
      </c>
      <c r="T55" s="107" t="n">
        <f aca="false">SUM(T41:T54)</f>
        <v>1374585.8864</v>
      </c>
      <c r="U55" s="107" t="n">
        <f aca="false">SUM(U41:U54)</f>
        <v>1367584.2608</v>
      </c>
      <c r="V55" s="107" t="n">
        <f aca="false">SUM(V41:V54)</f>
        <v>1360582.6352</v>
      </c>
      <c r="W55" s="107" t="n">
        <f aca="false">SUM(W41:W54)</f>
        <v>1353581.0096</v>
      </c>
      <c r="X55" s="108"/>
      <c r="Y55" s="109"/>
      <c r="Z55" s="110"/>
      <c r="AA55" s="109"/>
      <c r="AB55" s="109"/>
      <c r="AC55" s="109"/>
      <c r="AD55" s="109"/>
      <c r="AE55" s="109"/>
      <c r="AF55" s="109"/>
      <c r="AG55" s="109"/>
      <c r="AH55" s="109"/>
      <c r="AI55" s="109"/>
      <c r="AJ55" s="109"/>
    </row>
    <row r="56" customFormat="false" ht="18.75" hidden="false" customHeight="true" outlineLevel="0" collapsed="false">
      <c r="B56" s="111" t="s">
        <v>148</v>
      </c>
      <c r="D56" s="112" t="n">
        <f aca="false">C55+D55</f>
        <v>-13869816.304</v>
      </c>
      <c r="E56" s="112" t="n">
        <f aca="false">D56+E55</f>
        <v>-12425094.0336</v>
      </c>
      <c r="F56" s="112" t="n">
        <f aca="false">E56+F55</f>
        <v>-10987373.3888</v>
      </c>
      <c r="G56" s="112" t="n">
        <f aca="false">F56+G55</f>
        <v>-9556654.3696</v>
      </c>
      <c r="H56" s="112" t="n">
        <f aca="false">G56+H55</f>
        <v>-8132936.976</v>
      </c>
      <c r="I56" s="112" t="n">
        <f aca="false">H56+I55</f>
        <v>-6716221.208</v>
      </c>
      <c r="J56" s="112" t="n">
        <f aca="false">I56+J55</f>
        <v>-5306507.0656</v>
      </c>
      <c r="K56" s="112" t="n">
        <f aca="false">J56+K55</f>
        <v>-3903794.5488</v>
      </c>
      <c r="L56" s="112" t="n">
        <f aca="false">K56+L55</f>
        <v>-2508083.6576</v>
      </c>
      <c r="M56" s="112" t="n">
        <f aca="false">L56+M55</f>
        <v>-1119374.392</v>
      </c>
      <c r="N56" s="112" t="n">
        <f aca="false">M56+N55</f>
        <v>297221.248000001</v>
      </c>
      <c r="O56" s="112" t="n">
        <f aca="false">N56+O55</f>
        <v>1706815.2624</v>
      </c>
      <c r="P56" s="112" t="n">
        <f aca="false">O56+P55</f>
        <v>3109407.6512</v>
      </c>
      <c r="Q56" s="112" t="n">
        <f aca="false">P56+Q55</f>
        <v>4504998.4144</v>
      </c>
      <c r="R56" s="112" t="n">
        <f aca="false">Q56+R55</f>
        <v>5893587.552</v>
      </c>
      <c r="S56" s="112" t="n">
        <f aca="false">R56+S55</f>
        <v>7275175.064</v>
      </c>
      <c r="T56" s="112" t="n">
        <f aca="false">S56+T55</f>
        <v>8649760.9504</v>
      </c>
      <c r="U56" s="112" t="n">
        <f aca="false">T56+U55</f>
        <v>10017345.2112</v>
      </c>
      <c r="V56" s="112" t="n">
        <f aca="false">U56+V55</f>
        <v>11377927.8464</v>
      </c>
      <c r="W56" s="112" t="n">
        <f aca="false">V56+W55</f>
        <v>12731508.856</v>
      </c>
      <c r="X56" s="112" t="n">
        <f aca="false">W56+X55</f>
        <v>12731508.856</v>
      </c>
      <c r="Y56" s="109"/>
      <c r="Z56" s="109"/>
      <c r="AA56" s="109"/>
      <c r="AB56" s="109"/>
      <c r="AC56" s="109"/>
      <c r="AD56" s="109"/>
      <c r="AE56" s="109"/>
      <c r="AF56" s="109"/>
      <c r="AG56" s="109"/>
      <c r="AH56" s="109"/>
      <c r="AI56" s="109"/>
      <c r="AJ56" s="109"/>
    </row>
    <row r="57" customFormat="false" ht="18.75" hidden="false" customHeight="true" outlineLevel="0" collapsed="false">
      <c r="B57" s="113" t="s">
        <v>149</v>
      </c>
      <c r="C57" s="114"/>
      <c r="D57" s="115" t="str">
        <f aca="false">IF((D56)&gt;0,"回收","未回收")</f>
        <v>未回收</v>
      </c>
      <c r="E57" s="116" t="str">
        <f aca="false">IF((E56)&gt;0,"回收","未回收")</f>
        <v>未回收</v>
      </c>
      <c r="F57" s="116" t="str">
        <f aca="false">IF((F56)&gt;0,"回收","未回收")</f>
        <v>未回收</v>
      </c>
      <c r="G57" s="116" t="str">
        <f aca="false">IF((G56)&gt;0,"回收","未回收")</f>
        <v>未回收</v>
      </c>
      <c r="H57" s="116" t="str">
        <f aca="false">IF((H56)&gt;0,"回收","未回收")</f>
        <v>未回收</v>
      </c>
      <c r="I57" s="116" t="str">
        <f aca="false">IF((I56)&gt;0,"回收","未回收")</f>
        <v>未回收</v>
      </c>
      <c r="J57" s="116" t="str">
        <f aca="false">IF((J56)&gt;0,"回收","未回收")</f>
        <v>未回收</v>
      </c>
      <c r="K57" s="116" t="str">
        <f aca="false">IF((K56)&gt;0,"回收","未回收")</f>
        <v>未回收</v>
      </c>
      <c r="L57" s="116" t="str">
        <f aca="false">IF((L56)&gt;0,"回收","未回收")</f>
        <v>未回收</v>
      </c>
      <c r="M57" s="116" t="str">
        <f aca="false">IF((M56)&gt;0,"回收","未回收")</f>
        <v>未回收</v>
      </c>
      <c r="N57" s="116" t="str">
        <f aca="false">IF((N56)&gt;0,"回收","未回收")</f>
        <v>回收</v>
      </c>
      <c r="O57" s="116" t="str">
        <f aca="false">IF((O56)&gt;0,"回收","未回收")</f>
        <v>回收</v>
      </c>
      <c r="P57" s="116" t="str">
        <f aca="false">IF((P56)&gt;0,"回收","未回收")</f>
        <v>回收</v>
      </c>
      <c r="Q57" s="116" t="str">
        <f aca="false">IF((Q56)&gt;0,"回收","未回收")</f>
        <v>回收</v>
      </c>
      <c r="R57" s="116" t="str">
        <f aca="false">IF((R56)&gt;0,"回收","未回收")</f>
        <v>回收</v>
      </c>
      <c r="S57" s="116" t="str">
        <f aca="false">IF((S56)&gt;0,"回收","未回收")</f>
        <v>回收</v>
      </c>
      <c r="T57" s="116" t="str">
        <f aca="false">IF((T56)&gt;0,"回收","未回收")</f>
        <v>回收</v>
      </c>
      <c r="U57" s="116" t="str">
        <f aca="false">IF((U56)&gt;0,"回收","未回收")</f>
        <v>回收</v>
      </c>
      <c r="V57" s="116" t="str">
        <f aca="false">IF((V56)&gt;0,"回收","未回收")</f>
        <v>回收</v>
      </c>
      <c r="W57" s="116" t="str">
        <f aca="false">IF((W56)&gt;0,"回收","未回收")</f>
        <v>回收</v>
      </c>
      <c r="X57" s="116" t="str">
        <f aca="false">IF((X56)&gt;0,"回收","未回收")</f>
        <v>回收</v>
      </c>
      <c r="Y57" s="109"/>
      <c r="Z57" s="109"/>
      <c r="AA57" s="109"/>
      <c r="AB57" s="109"/>
      <c r="AC57" s="109"/>
      <c r="AD57" s="109"/>
      <c r="AE57" s="109"/>
      <c r="AF57" s="109"/>
      <c r="AG57" s="109"/>
      <c r="AH57" s="109"/>
      <c r="AI57" s="109"/>
      <c r="AJ57" s="109"/>
    </row>
    <row r="58" customFormat="false" ht="18.75" hidden="false" customHeight="true" outlineLevel="0" collapsed="false">
      <c r="B58" s="117" t="s">
        <v>74</v>
      </c>
      <c r="C58" s="118" t="n">
        <f aca="false">IRR(C55:W55)</f>
        <v>0.0669558241222971</v>
      </c>
      <c r="D58" s="119"/>
      <c r="E58" s="119"/>
      <c r="F58" s="120"/>
      <c r="G58" s="120"/>
      <c r="H58" s="120"/>
      <c r="I58" s="120"/>
      <c r="J58" s="120"/>
      <c r="K58" s="120"/>
      <c r="L58" s="120"/>
      <c r="M58" s="120"/>
      <c r="N58" s="120"/>
      <c r="O58" s="120"/>
      <c r="P58" s="120"/>
      <c r="Q58" s="120"/>
      <c r="R58" s="120"/>
      <c r="S58" s="120"/>
      <c r="T58" s="120"/>
      <c r="U58" s="120"/>
      <c r="V58" s="120"/>
      <c r="W58" s="120"/>
      <c r="X58" s="120"/>
      <c r="Y58" s="121"/>
      <c r="Z58" s="121"/>
      <c r="AA58" s="121"/>
      <c r="AB58" s="121"/>
      <c r="AC58" s="121"/>
      <c r="AD58" s="121"/>
      <c r="AE58" s="121"/>
      <c r="AF58" s="121"/>
      <c r="AG58" s="121"/>
      <c r="AH58" s="121"/>
      <c r="AI58" s="121"/>
      <c r="AJ58" s="121"/>
    </row>
    <row r="59" customFormat="false" ht="18.75" hidden="false" customHeight="true" outlineLevel="0" collapsed="false">
      <c r="B59" s="120"/>
      <c r="C59" s="119"/>
      <c r="D59" s="119"/>
      <c r="E59" s="119"/>
      <c r="F59" s="120"/>
      <c r="G59" s="120"/>
      <c r="H59" s="120"/>
      <c r="I59" s="120"/>
      <c r="J59" s="120"/>
      <c r="K59" s="120"/>
      <c r="L59" s="120"/>
      <c r="M59" s="119"/>
      <c r="N59" s="120"/>
      <c r="O59" s="120"/>
      <c r="P59" s="120"/>
      <c r="Q59" s="120"/>
      <c r="R59" s="120"/>
      <c r="S59" s="120"/>
      <c r="T59" s="120"/>
      <c r="U59" s="120"/>
      <c r="V59" s="120"/>
      <c r="W59" s="120"/>
      <c r="X59" s="120"/>
      <c r="Y59" s="121"/>
      <c r="Z59" s="121"/>
      <c r="AA59" s="121"/>
      <c r="AB59" s="121"/>
      <c r="AC59" s="121"/>
      <c r="AD59" s="121"/>
      <c r="AE59" s="121"/>
      <c r="AF59" s="121"/>
      <c r="AG59" s="121"/>
      <c r="AH59" s="121"/>
      <c r="AI59" s="121"/>
      <c r="AJ59" s="121"/>
    </row>
    <row r="60" customFormat="false" ht="18.75" hidden="false" customHeight="true" outlineLevel="0" collapsed="false">
      <c r="B60" s="69"/>
      <c r="C60" s="70" t="s">
        <v>130</v>
      </c>
      <c r="D60" s="70" t="n">
        <f aca="false">D37</f>
        <v>2020</v>
      </c>
      <c r="E60" s="70" t="n">
        <f aca="false">E37</f>
        <v>2021</v>
      </c>
      <c r="F60" s="70" t="n">
        <f aca="false">F37</f>
        <v>2022</v>
      </c>
      <c r="G60" s="70" t="n">
        <f aca="false">G37</f>
        <v>2023</v>
      </c>
      <c r="H60" s="70" t="n">
        <f aca="false">H37</f>
        <v>2024</v>
      </c>
      <c r="I60" s="70" t="n">
        <f aca="false">I37</f>
        <v>2025</v>
      </c>
      <c r="J60" s="70" t="n">
        <f aca="false">J37</f>
        <v>2026</v>
      </c>
      <c r="K60" s="70" t="n">
        <f aca="false">K37</f>
        <v>2027</v>
      </c>
      <c r="L60" s="70" t="n">
        <f aca="false">L37</f>
        <v>2028</v>
      </c>
      <c r="M60" s="70" t="n">
        <f aca="false">M37</f>
        <v>2029</v>
      </c>
      <c r="N60" s="70" t="n">
        <f aca="false">N37</f>
        <v>2030</v>
      </c>
      <c r="O60" s="70" t="n">
        <f aca="false">O37</f>
        <v>2031</v>
      </c>
      <c r="P60" s="70" t="n">
        <f aca="false">P37</f>
        <v>2032</v>
      </c>
      <c r="Q60" s="70" t="n">
        <f aca="false">Q37</f>
        <v>2033</v>
      </c>
      <c r="R60" s="70" t="n">
        <f aca="false">R37</f>
        <v>2034</v>
      </c>
      <c r="S60" s="70" t="n">
        <f aca="false">S37</f>
        <v>2035</v>
      </c>
      <c r="T60" s="70" t="n">
        <f aca="false">T37</f>
        <v>2036</v>
      </c>
      <c r="U60" s="70" t="n">
        <f aca="false">U37</f>
        <v>2037</v>
      </c>
      <c r="V60" s="70" t="n">
        <f aca="false">V37</f>
        <v>2038</v>
      </c>
      <c r="W60" s="70" t="n">
        <f aca="false">W37</f>
        <v>2039</v>
      </c>
      <c r="X60" s="70"/>
      <c r="Y60" s="122"/>
      <c r="Z60" s="122"/>
      <c r="AA60" s="122"/>
      <c r="AB60" s="122"/>
      <c r="AC60" s="122"/>
      <c r="AD60" s="122"/>
      <c r="AE60" s="122"/>
      <c r="AF60" s="122"/>
      <c r="AG60" s="122"/>
      <c r="AH60" s="122"/>
      <c r="AI60" s="122"/>
      <c r="AJ60" s="122"/>
    </row>
    <row r="61" customFormat="false" ht="18.75" hidden="false" customHeight="true" outlineLevel="0" collapsed="false">
      <c r="B61" s="71" t="n">
        <v>0</v>
      </c>
      <c r="C61" s="72"/>
      <c r="D61" s="73"/>
      <c r="E61" s="73"/>
      <c r="F61" s="74"/>
      <c r="G61" s="75"/>
      <c r="H61" s="75"/>
      <c r="I61" s="75"/>
      <c r="J61" s="75"/>
      <c r="K61" s="75"/>
      <c r="L61" s="75"/>
      <c r="M61" s="75"/>
      <c r="N61" s="75"/>
      <c r="O61" s="75"/>
      <c r="P61" s="75"/>
      <c r="Q61" s="75"/>
      <c r="R61" s="75"/>
      <c r="S61" s="75"/>
      <c r="T61" s="123" t="s">
        <v>150</v>
      </c>
      <c r="U61" s="75"/>
      <c r="V61" s="75"/>
      <c r="W61" s="75"/>
      <c r="X61" s="77"/>
    </row>
    <row r="62" customFormat="false" ht="18.75" hidden="false" customHeight="true" outlineLevel="0" collapsed="false">
      <c r="B62" s="78" t="s">
        <v>131</v>
      </c>
      <c r="C62" s="79" t="n">
        <v>0</v>
      </c>
      <c r="D62" s="80" t="n">
        <v>1</v>
      </c>
      <c r="E62" s="80" t="n">
        <v>2</v>
      </c>
      <c r="F62" s="80" t="n">
        <v>3</v>
      </c>
      <c r="G62" s="80" t="n">
        <v>4</v>
      </c>
      <c r="H62" s="80" t="n">
        <v>5</v>
      </c>
      <c r="I62" s="80" t="n">
        <v>6</v>
      </c>
      <c r="J62" s="80" t="n">
        <v>7</v>
      </c>
      <c r="K62" s="80" t="n">
        <v>8</v>
      </c>
      <c r="L62" s="80" t="n">
        <v>9</v>
      </c>
      <c r="M62" s="80" t="n">
        <v>10</v>
      </c>
      <c r="N62" s="80" t="n">
        <v>11</v>
      </c>
      <c r="O62" s="80" t="n">
        <v>12</v>
      </c>
      <c r="P62" s="80" t="n">
        <v>13</v>
      </c>
      <c r="Q62" s="80" t="n">
        <v>14</v>
      </c>
      <c r="R62" s="80" t="n">
        <v>15</v>
      </c>
      <c r="S62" s="80" t="n">
        <v>16</v>
      </c>
      <c r="T62" s="124" t="n">
        <v>17</v>
      </c>
      <c r="U62" s="80" t="n">
        <v>18</v>
      </c>
      <c r="V62" s="80" t="n">
        <v>19</v>
      </c>
      <c r="W62" s="80" t="n">
        <v>20</v>
      </c>
      <c r="X62" s="82"/>
    </row>
    <row r="63" customFormat="false" ht="18.75" hidden="false" customHeight="true" outlineLevel="0" collapsed="false">
      <c r="B63" s="83" t="s">
        <v>132</v>
      </c>
      <c r="C63" s="84" t="n">
        <v>0</v>
      </c>
      <c r="D63" s="85" t="n">
        <f aca="false">D40</f>
        <v>541531.98</v>
      </c>
      <c r="E63" s="85" t="n">
        <f aca="false">E40</f>
        <v>539343.972</v>
      </c>
      <c r="F63" s="85" t="n">
        <f aca="false">F40</f>
        <v>537155.964</v>
      </c>
      <c r="G63" s="85" t="n">
        <f aca="false">G40</f>
        <v>534967.956</v>
      </c>
      <c r="H63" s="85" t="n">
        <f aca="false">H40</f>
        <v>532779.948</v>
      </c>
      <c r="I63" s="85" t="n">
        <f aca="false">I40</f>
        <v>530591.94</v>
      </c>
      <c r="J63" s="85" t="n">
        <f aca="false">J40</f>
        <v>528403.932</v>
      </c>
      <c r="K63" s="85" t="n">
        <f aca="false">K40</f>
        <v>526215.924</v>
      </c>
      <c r="L63" s="85" t="n">
        <f aca="false">L40</f>
        <v>524027.916</v>
      </c>
      <c r="M63" s="85" t="n">
        <f aca="false">M40</f>
        <v>521839.908</v>
      </c>
      <c r="N63" s="85" t="n">
        <f aca="false">N40</f>
        <v>519651.9</v>
      </c>
      <c r="O63" s="85" t="n">
        <f aca="false">O40</f>
        <v>517463.892</v>
      </c>
      <c r="P63" s="85" t="n">
        <f aca="false">P40</f>
        <v>515275.884</v>
      </c>
      <c r="Q63" s="85" t="n">
        <f aca="false">Q40</f>
        <v>513087.876</v>
      </c>
      <c r="R63" s="85" t="n">
        <f aca="false">R40</f>
        <v>510899.868</v>
      </c>
      <c r="S63" s="85" t="n">
        <f aca="false">S40</f>
        <v>508711.86</v>
      </c>
      <c r="T63" s="85" t="n">
        <f aca="false">T40</f>
        <v>506523.852</v>
      </c>
      <c r="U63" s="85" t="n">
        <f aca="false">U40</f>
        <v>504335.844</v>
      </c>
      <c r="V63" s="85" t="n">
        <f aca="false">V40</f>
        <v>502147.836</v>
      </c>
      <c r="W63" s="85" t="n">
        <f aca="false">W40</f>
        <v>499959.828</v>
      </c>
      <c r="X63" s="86"/>
    </row>
    <row r="64" customFormat="false" ht="18.75" hidden="false" customHeight="true" outlineLevel="0" collapsed="false">
      <c r="B64" s="87" t="s">
        <v>133</v>
      </c>
      <c r="C64" s="88" t="s">
        <v>4</v>
      </c>
      <c r="D64" s="89" t="n">
        <f aca="false">D41</f>
        <v>2166127.92</v>
      </c>
      <c r="E64" s="89" t="n">
        <f aca="false">E41</f>
        <v>2157375.888</v>
      </c>
      <c r="F64" s="89" t="n">
        <f aca="false">F41</f>
        <v>2148623.856</v>
      </c>
      <c r="G64" s="89" t="n">
        <f aca="false">G41</f>
        <v>2139871.824</v>
      </c>
      <c r="H64" s="89" t="n">
        <f aca="false">H41</f>
        <v>2131119.792</v>
      </c>
      <c r="I64" s="89" t="n">
        <f aca="false">I41</f>
        <v>2122367.76</v>
      </c>
      <c r="J64" s="89" t="n">
        <f aca="false">J41</f>
        <v>2113615.728</v>
      </c>
      <c r="K64" s="89" t="n">
        <f aca="false">K41</f>
        <v>2104863.696</v>
      </c>
      <c r="L64" s="89" t="n">
        <f aca="false">L41</f>
        <v>2096111.664</v>
      </c>
      <c r="M64" s="89" t="n">
        <f aca="false">M41</f>
        <v>2087359.632</v>
      </c>
      <c r="N64" s="89" t="n">
        <f aca="false">N41</f>
        <v>2078607.6</v>
      </c>
      <c r="O64" s="89" t="n">
        <f aca="false">O41</f>
        <v>2069855.568</v>
      </c>
      <c r="P64" s="89" t="n">
        <f aca="false">P41</f>
        <v>2061103.536</v>
      </c>
      <c r="Q64" s="89" t="n">
        <f aca="false">Q41</f>
        <v>2052351.504</v>
      </c>
      <c r="R64" s="89" t="n">
        <f aca="false">R41</f>
        <v>2043599.472</v>
      </c>
      <c r="S64" s="89" t="n">
        <f aca="false">S41</f>
        <v>2034847.44</v>
      </c>
      <c r="T64" s="89" t="n">
        <f aca="false">T41</f>
        <v>2026095.408</v>
      </c>
      <c r="U64" s="89" t="n">
        <f aca="false">U41</f>
        <v>2017343.376</v>
      </c>
      <c r="V64" s="89" t="n">
        <f aca="false">V41</f>
        <v>2008591.344</v>
      </c>
      <c r="W64" s="89" t="n">
        <f aca="false">W41</f>
        <v>1999839.312</v>
      </c>
      <c r="X64" s="90"/>
    </row>
    <row r="65" customFormat="false" ht="18.75" hidden="false" customHeight="true" outlineLevel="0" collapsed="false">
      <c r="B65" s="91" t="s">
        <v>134</v>
      </c>
      <c r="C65" s="92" t="s">
        <v>4</v>
      </c>
      <c r="D65" s="93"/>
      <c r="E65" s="93"/>
      <c r="F65" s="93"/>
      <c r="G65" s="94" t="s">
        <v>4</v>
      </c>
      <c r="H65" s="94" t="s">
        <v>4</v>
      </c>
      <c r="I65" s="94" t="s">
        <v>4</v>
      </c>
      <c r="J65" s="94" t="s">
        <v>4</v>
      </c>
      <c r="K65" s="94" t="s">
        <v>4</v>
      </c>
      <c r="L65" s="94" t="s">
        <v>4</v>
      </c>
      <c r="M65" s="94" t="s">
        <v>4</v>
      </c>
      <c r="N65" s="94" t="s">
        <v>4</v>
      </c>
      <c r="O65" s="94" t="s">
        <v>4</v>
      </c>
      <c r="P65" s="94" t="s">
        <v>4</v>
      </c>
      <c r="Q65" s="94" t="s">
        <v>4</v>
      </c>
      <c r="R65" s="94" t="s">
        <v>4</v>
      </c>
      <c r="S65" s="94" t="s">
        <v>4</v>
      </c>
      <c r="T65" s="94" t="s">
        <v>4</v>
      </c>
      <c r="U65" s="94" t="s">
        <v>4</v>
      </c>
      <c r="V65" s="94" t="s">
        <v>4</v>
      </c>
      <c r="W65" s="94" t="s">
        <v>4</v>
      </c>
      <c r="X65" s="95"/>
    </row>
    <row r="66" customFormat="false" ht="18.75" hidden="false" customHeight="true" outlineLevel="0" collapsed="false">
      <c r="B66" s="96" t="s">
        <v>135</v>
      </c>
      <c r="C66" s="97"/>
      <c r="D66" s="98"/>
      <c r="E66" s="98"/>
      <c r="F66" s="98"/>
      <c r="G66" s="98"/>
      <c r="H66" s="98"/>
      <c r="I66" s="98"/>
      <c r="J66" s="98"/>
      <c r="K66" s="98"/>
      <c r="L66" s="98"/>
      <c r="M66" s="98"/>
      <c r="N66" s="98"/>
      <c r="O66" s="98"/>
      <c r="P66" s="98"/>
      <c r="Q66" s="98"/>
      <c r="R66" s="98"/>
      <c r="S66" s="98"/>
      <c r="T66" s="98"/>
      <c r="U66" s="98"/>
      <c r="V66" s="98"/>
      <c r="W66" s="98"/>
      <c r="X66" s="99"/>
    </row>
    <row r="67" customFormat="false" ht="18.75" hidden="false" customHeight="true" outlineLevel="0" collapsed="false">
      <c r="B67" s="100" t="s">
        <v>151</v>
      </c>
      <c r="C67" s="92"/>
      <c r="D67" s="125" t="n">
        <f aca="false">$C$44/$E$16</f>
        <v>-763175</v>
      </c>
      <c r="E67" s="125" t="n">
        <f aca="false">$C$44/$E$16</f>
        <v>-763175</v>
      </c>
      <c r="F67" s="125" t="n">
        <f aca="false">$C$44/$E$16</f>
        <v>-763175</v>
      </c>
      <c r="G67" s="125" t="n">
        <f aca="false">$C$44/$E$16</f>
        <v>-763175</v>
      </c>
      <c r="H67" s="125" t="n">
        <f aca="false">$C$44/$E$16</f>
        <v>-763175</v>
      </c>
      <c r="I67" s="125" t="n">
        <f aca="false">$C$44/$E$16</f>
        <v>-763175</v>
      </c>
      <c r="J67" s="125" t="n">
        <f aca="false">$C$44/$E$16</f>
        <v>-763175</v>
      </c>
      <c r="K67" s="125" t="n">
        <f aca="false">$C$44/$E$16</f>
        <v>-763175</v>
      </c>
      <c r="L67" s="125" t="n">
        <f aca="false">$C$44/$E$16</f>
        <v>-763175</v>
      </c>
      <c r="M67" s="125" t="n">
        <f aca="false">$C$44/$E$16</f>
        <v>-763175</v>
      </c>
      <c r="N67" s="125" t="n">
        <f aca="false">$C$44/$E$16</f>
        <v>-763175</v>
      </c>
      <c r="O67" s="125" t="n">
        <f aca="false">$C$44/$E$16</f>
        <v>-763175</v>
      </c>
      <c r="P67" s="125" t="n">
        <f aca="false">$C$44/$E$16</f>
        <v>-763175</v>
      </c>
      <c r="Q67" s="125" t="n">
        <f aca="false">$C$44/$E$16</f>
        <v>-763175</v>
      </c>
      <c r="R67" s="125" t="n">
        <f aca="false">$C$44/$E$16</f>
        <v>-763175</v>
      </c>
      <c r="S67" s="125" t="n">
        <f aca="false">$C$44/$E$16</f>
        <v>-763175</v>
      </c>
      <c r="T67" s="125" t="n">
        <f aca="false">$C$44/$E$16</f>
        <v>-763175</v>
      </c>
      <c r="U67" s="125" t="n">
        <f aca="false">$C$44/$E$16</f>
        <v>-763175</v>
      </c>
      <c r="V67" s="125" t="n">
        <f aca="false">$C$44/$E$16</f>
        <v>-763175</v>
      </c>
      <c r="W67" s="125" t="n">
        <f aca="false">$C$44/$E$16</f>
        <v>-763175</v>
      </c>
      <c r="X67" s="95"/>
    </row>
    <row r="68" customFormat="false" ht="18.75" hidden="false" customHeight="true" outlineLevel="0" collapsed="false">
      <c r="B68" s="100" t="s">
        <v>137</v>
      </c>
      <c r="C68" s="92" t="s">
        <v>4</v>
      </c>
      <c r="D68" s="102" t="n">
        <f aca="false">D44</f>
        <v>0</v>
      </c>
      <c r="E68" s="102" t="n">
        <f aca="false">E45</f>
        <v>-290201</v>
      </c>
      <c r="F68" s="102" t="n">
        <f aca="false">F45</f>
        <v>-290201</v>
      </c>
      <c r="G68" s="102" t="n">
        <f aca="false">G45</f>
        <v>-290201</v>
      </c>
      <c r="H68" s="102" t="n">
        <f aca="false">H45</f>
        <v>-290201</v>
      </c>
      <c r="I68" s="102" t="n">
        <f aca="false">I45</f>
        <v>-290201</v>
      </c>
      <c r="J68" s="102" t="n">
        <f aca="false">J45</f>
        <v>-290201</v>
      </c>
      <c r="K68" s="102" t="n">
        <f aca="false">K45</f>
        <v>-290201</v>
      </c>
      <c r="L68" s="102" t="n">
        <f aca="false">L45</f>
        <v>-290201</v>
      </c>
      <c r="M68" s="102" t="n">
        <f aca="false">M45</f>
        <v>-290201</v>
      </c>
      <c r="N68" s="102" t="n">
        <f aca="false">N45</f>
        <v>-290201</v>
      </c>
      <c r="O68" s="102" t="n">
        <f aca="false">O45</f>
        <v>-290201</v>
      </c>
      <c r="P68" s="102" t="n">
        <f aca="false">P45</f>
        <v>-290201</v>
      </c>
      <c r="Q68" s="102" t="n">
        <f aca="false">Q45</f>
        <v>-290201</v>
      </c>
      <c r="R68" s="102" t="n">
        <f aca="false">R45</f>
        <v>-290201</v>
      </c>
      <c r="S68" s="102" t="n">
        <f aca="false">S45</f>
        <v>-290201</v>
      </c>
      <c r="T68" s="102" t="n">
        <f aca="false">T45</f>
        <v>-290201</v>
      </c>
      <c r="U68" s="102" t="n">
        <f aca="false">U45</f>
        <v>-290201</v>
      </c>
      <c r="V68" s="102" t="n">
        <f aca="false">V45</f>
        <v>-290201</v>
      </c>
      <c r="W68" s="102" t="n">
        <f aca="false">W45</f>
        <v>-290201</v>
      </c>
      <c r="X68" s="95"/>
    </row>
    <row r="69" customFormat="false" ht="18.75" hidden="false" customHeight="true" outlineLevel="0" collapsed="false">
      <c r="B69" s="100" t="s">
        <v>138</v>
      </c>
      <c r="C69" s="92"/>
      <c r="D69" s="93"/>
      <c r="E69" s="93"/>
      <c r="F69" s="93"/>
      <c r="G69" s="93"/>
      <c r="H69" s="93"/>
      <c r="I69" s="93"/>
      <c r="J69" s="93"/>
      <c r="K69" s="93"/>
      <c r="L69" s="93"/>
      <c r="M69" s="93"/>
      <c r="N69" s="93"/>
      <c r="O69" s="93"/>
      <c r="P69" s="93"/>
      <c r="Q69" s="93"/>
      <c r="R69" s="93"/>
      <c r="S69" s="93"/>
      <c r="T69" s="93"/>
      <c r="U69" s="93"/>
      <c r="V69" s="93"/>
      <c r="W69" s="93"/>
      <c r="X69" s="95"/>
    </row>
    <row r="70" customFormat="false" ht="18.75" hidden="false" customHeight="true" outlineLevel="0" collapsed="false">
      <c r="B70" s="100" t="s">
        <v>139</v>
      </c>
      <c r="C70" s="92" t="s">
        <v>4</v>
      </c>
      <c r="D70" s="102" t="n">
        <f aca="false">-D109*$D25</f>
        <v>-312596.48</v>
      </c>
      <c r="E70" s="102" t="n">
        <f aca="false">-E109*$D25</f>
        <v>-291756.714666667</v>
      </c>
      <c r="F70" s="102" t="n">
        <f aca="false">-F109*$D25</f>
        <v>-270916.949333333</v>
      </c>
      <c r="G70" s="102" t="n">
        <f aca="false">-G109*$D25</f>
        <v>-250077.184</v>
      </c>
      <c r="H70" s="102" t="n">
        <f aca="false">-H109*$D25</f>
        <v>-229237.418666667</v>
      </c>
      <c r="I70" s="102" t="n">
        <f aca="false">-I109*$D25</f>
        <v>-208397.653333333</v>
      </c>
      <c r="J70" s="102" t="n">
        <f aca="false">-J109*$D25</f>
        <v>-187557.888</v>
      </c>
      <c r="K70" s="102" t="n">
        <f aca="false">-K109*$D25</f>
        <v>-166718.122666667</v>
      </c>
      <c r="L70" s="102" t="n">
        <f aca="false">-L109*$D25</f>
        <v>-145878.357333333</v>
      </c>
      <c r="M70" s="102" t="n">
        <f aca="false">-M109*$D25</f>
        <v>-125038.592</v>
      </c>
      <c r="N70" s="102" t="n">
        <f aca="false">-N109*$D25</f>
        <v>-104198.826666667</v>
      </c>
      <c r="O70" s="102" t="n">
        <f aca="false">-O109*$D25</f>
        <v>-83359.0613333333</v>
      </c>
      <c r="P70" s="102" t="n">
        <f aca="false">-P109*$D25</f>
        <v>-62519.296</v>
      </c>
      <c r="Q70" s="102" t="n">
        <f aca="false">-Q109*$D25</f>
        <v>-41679.5306666666</v>
      </c>
      <c r="R70" s="102" t="n">
        <f aca="false">-R109*$D25</f>
        <v>-20839.7653333333</v>
      </c>
      <c r="S70" s="102" t="n">
        <f aca="false">-S109*$D25</f>
        <v>-0</v>
      </c>
      <c r="T70" s="102" t="n">
        <f aca="false">-T109*$D25</f>
        <v>-0</v>
      </c>
      <c r="U70" s="102" t="n">
        <f aca="false">-U109*$D25</f>
        <v>-0</v>
      </c>
      <c r="V70" s="102" t="n">
        <f aca="false">-V109*$D25</f>
        <v>-0</v>
      </c>
      <c r="W70" s="102" t="n">
        <f aca="false">-W109*$D25</f>
        <v>-0</v>
      </c>
      <c r="X70" s="95"/>
    </row>
    <row r="71" customFormat="false" ht="18.75" hidden="false" customHeight="true" outlineLevel="0" collapsed="false">
      <c r="B71" s="100" t="s">
        <v>140</v>
      </c>
      <c r="C71" s="92" t="s">
        <v>4</v>
      </c>
      <c r="D71" s="102" t="n">
        <f aca="false">D48</f>
        <v>-174440</v>
      </c>
      <c r="E71" s="102" t="n">
        <f aca="false">E48</f>
        <v>-174440</v>
      </c>
      <c r="F71" s="102" t="n">
        <f aca="false">F48</f>
        <v>-174440</v>
      </c>
      <c r="G71" s="102" t="n">
        <f aca="false">G48</f>
        <v>-174440</v>
      </c>
      <c r="H71" s="102" t="n">
        <f aca="false">H48</f>
        <v>-174440</v>
      </c>
      <c r="I71" s="102" t="n">
        <f aca="false">I48</f>
        <v>-174440</v>
      </c>
      <c r="J71" s="102" t="n">
        <f aca="false">J48</f>
        <v>-174440</v>
      </c>
      <c r="K71" s="102" t="n">
        <f aca="false">K48</f>
        <v>-174440</v>
      </c>
      <c r="L71" s="102" t="n">
        <f aca="false">L48</f>
        <v>-174440</v>
      </c>
      <c r="M71" s="102" t="n">
        <f aca="false">M48</f>
        <v>-174440</v>
      </c>
      <c r="N71" s="102" t="n">
        <f aca="false">N48</f>
        <v>-174440</v>
      </c>
      <c r="O71" s="102" t="n">
        <f aca="false">O48</f>
        <v>-174440</v>
      </c>
      <c r="P71" s="102" t="n">
        <f aca="false">P48</f>
        <v>-174440</v>
      </c>
      <c r="Q71" s="102" t="n">
        <f aca="false">Q48</f>
        <v>-174440</v>
      </c>
      <c r="R71" s="102" t="n">
        <f aca="false">R48</f>
        <v>-174440</v>
      </c>
      <c r="S71" s="102" t="n">
        <f aca="false">S48</f>
        <v>-174440</v>
      </c>
      <c r="T71" s="102" t="n">
        <f aca="false">T48</f>
        <v>-174440</v>
      </c>
      <c r="U71" s="102" t="n">
        <f aca="false">U48</f>
        <v>-174440</v>
      </c>
      <c r="V71" s="102" t="n">
        <f aca="false">V48</f>
        <v>-174440</v>
      </c>
      <c r="W71" s="102" t="n">
        <f aca="false">W48</f>
        <v>-174440</v>
      </c>
      <c r="X71" s="95"/>
    </row>
    <row r="72" customFormat="false" ht="18.75" hidden="false" customHeight="true" outlineLevel="0" collapsed="false">
      <c r="B72" s="100" t="s">
        <v>141</v>
      </c>
      <c r="C72" s="92" t="s">
        <v>4</v>
      </c>
      <c r="D72" s="102" t="n">
        <f aca="false">D49</f>
        <v>-34015.8</v>
      </c>
      <c r="E72" s="102" t="n">
        <f aca="false">E49</f>
        <v>-34015.8</v>
      </c>
      <c r="F72" s="102" t="n">
        <f aca="false">F49</f>
        <v>-34015.8</v>
      </c>
      <c r="G72" s="102" t="n">
        <f aca="false">G49</f>
        <v>-34015.8</v>
      </c>
      <c r="H72" s="102" t="n">
        <f aca="false">H49</f>
        <v>-34015.8</v>
      </c>
      <c r="I72" s="102" t="n">
        <f aca="false">I49</f>
        <v>-34015.8</v>
      </c>
      <c r="J72" s="102" t="n">
        <f aca="false">J49</f>
        <v>-34015.8</v>
      </c>
      <c r="K72" s="102" t="n">
        <f aca="false">K49</f>
        <v>-34015.8</v>
      </c>
      <c r="L72" s="102" t="n">
        <f aca="false">L49</f>
        <v>-34015.8</v>
      </c>
      <c r="M72" s="102" t="n">
        <f aca="false">M49</f>
        <v>-34015.8</v>
      </c>
      <c r="N72" s="102" t="n">
        <f aca="false">N49</f>
        <v>-34015.8</v>
      </c>
      <c r="O72" s="102" t="n">
        <f aca="false">O49</f>
        <v>-34015.8</v>
      </c>
      <c r="P72" s="102" t="n">
        <f aca="false">P49</f>
        <v>-34015.8</v>
      </c>
      <c r="Q72" s="102" t="n">
        <f aca="false">Q49</f>
        <v>-34015.8</v>
      </c>
      <c r="R72" s="102" t="n">
        <f aca="false">R49</f>
        <v>-34015.8</v>
      </c>
      <c r="S72" s="102" t="n">
        <f aca="false">S49</f>
        <v>-34015.8</v>
      </c>
      <c r="T72" s="102" t="n">
        <f aca="false">T49</f>
        <v>-34015.8</v>
      </c>
      <c r="U72" s="102" t="n">
        <f aca="false">U49</f>
        <v>-34015.8</v>
      </c>
      <c r="V72" s="102" t="n">
        <f aca="false">V49</f>
        <v>-34015.8</v>
      </c>
      <c r="W72" s="102" t="n">
        <f aca="false">W49</f>
        <v>-34015.8</v>
      </c>
      <c r="X72" s="95"/>
    </row>
    <row r="73" customFormat="false" ht="18.75" hidden="false" customHeight="true" outlineLevel="0" collapsed="false">
      <c r="B73" s="100" t="s">
        <v>142</v>
      </c>
      <c r="C73" s="92"/>
      <c r="D73" s="102" t="n">
        <f aca="false">D50</f>
        <v>-43610</v>
      </c>
      <c r="E73" s="102" t="n">
        <f aca="false">E50</f>
        <v>-43610</v>
      </c>
      <c r="F73" s="102" t="n">
        <f aca="false">F50</f>
        <v>-43610</v>
      </c>
      <c r="G73" s="102" t="n">
        <f aca="false">G50</f>
        <v>-43610</v>
      </c>
      <c r="H73" s="102" t="n">
        <f aca="false">H50</f>
        <v>-43610</v>
      </c>
      <c r="I73" s="102" t="n">
        <f aca="false">I50</f>
        <v>-43610</v>
      </c>
      <c r="J73" s="102" t="n">
        <f aca="false">J50</f>
        <v>-43610</v>
      </c>
      <c r="K73" s="102" t="n">
        <f aca="false">K50</f>
        <v>-43610</v>
      </c>
      <c r="L73" s="102" t="n">
        <f aca="false">L50</f>
        <v>-43610</v>
      </c>
      <c r="M73" s="102" t="n">
        <f aca="false">M50</f>
        <v>-43610</v>
      </c>
      <c r="N73" s="102" t="n">
        <f aca="false">N50</f>
        <v>0</v>
      </c>
      <c r="O73" s="102" t="n">
        <f aca="false">O50</f>
        <v>0</v>
      </c>
      <c r="P73" s="102" t="n">
        <f aca="false">P50</f>
        <v>0</v>
      </c>
      <c r="Q73" s="102" t="n">
        <f aca="false">Q50</f>
        <v>0</v>
      </c>
      <c r="R73" s="102" t="n">
        <f aca="false">R50</f>
        <v>0</v>
      </c>
      <c r="S73" s="102" t="n">
        <f aca="false">S50</f>
        <v>0</v>
      </c>
      <c r="T73" s="102" t="n">
        <f aca="false">T50</f>
        <v>0</v>
      </c>
      <c r="U73" s="102" t="n">
        <f aca="false">U50</f>
        <v>0</v>
      </c>
      <c r="V73" s="102" t="n">
        <f aca="false">V50</f>
        <v>0</v>
      </c>
      <c r="W73" s="102" t="n">
        <f aca="false">W50</f>
        <v>0</v>
      </c>
      <c r="X73" s="95"/>
    </row>
    <row r="74" customFormat="false" ht="18.75" hidden="false" customHeight="true" outlineLevel="0" collapsed="false">
      <c r="B74" s="100" t="s">
        <v>143</v>
      </c>
      <c r="C74" s="103"/>
      <c r="D74" s="126"/>
      <c r="E74" s="127"/>
      <c r="F74" s="93"/>
      <c r="G74" s="93"/>
      <c r="H74" s="93"/>
      <c r="I74" s="93"/>
      <c r="J74" s="93"/>
      <c r="K74" s="93"/>
      <c r="L74" s="93"/>
      <c r="M74" s="93"/>
      <c r="N74" s="93"/>
      <c r="O74" s="93"/>
      <c r="P74" s="93"/>
      <c r="Q74" s="93"/>
      <c r="R74" s="93"/>
      <c r="S74" s="93"/>
      <c r="T74" s="93"/>
      <c r="U74" s="93"/>
      <c r="V74" s="93"/>
      <c r="W74" s="93"/>
      <c r="X74" s="95"/>
    </row>
    <row r="75" customFormat="false" ht="18.75" hidden="false" customHeight="true" outlineLevel="0" collapsed="false">
      <c r="B75" s="100" t="s">
        <v>144</v>
      </c>
      <c r="C75" s="103"/>
      <c r="D75" s="93"/>
      <c r="E75" s="93"/>
      <c r="F75" s="93"/>
      <c r="G75" s="93"/>
      <c r="H75" s="93"/>
      <c r="I75" s="93"/>
      <c r="J75" s="93"/>
      <c r="K75" s="93"/>
      <c r="L75" s="93"/>
      <c r="M75" s="93"/>
      <c r="N75" s="93"/>
      <c r="O75" s="93"/>
      <c r="P75" s="93"/>
      <c r="Q75" s="93"/>
      <c r="R75" s="93"/>
      <c r="S75" s="93"/>
      <c r="T75" s="93"/>
      <c r="U75" s="93"/>
      <c r="V75" s="93"/>
      <c r="W75" s="93"/>
      <c r="X75" s="95"/>
    </row>
    <row r="76" customFormat="false" ht="18.75" hidden="false" customHeight="true" outlineLevel="0" collapsed="false">
      <c r="B76" s="105" t="s">
        <v>152</v>
      </c>
      <c r="C76" s="128"/>
      <c r="D76" s="107" t="n">
        <f aca="false">SUM(D64:D75)</f>
        <v>838290.64</v>
      </c>
      <c r="E76" s="107" t="n">
        <f aca="false">SUM(E64:E75)</f>
        <v>560177.373333333</v>
      </c>
      <c r="F76" s="107" t="n">
        <f aca="false">SUM(F64:F75)</f>
        <v>572265.106666667</v>
      </c>
      <c r="G76" s="107" t="n">
        <f aca="false">SUM(G64:G75)</f>
        <v>584352.84</v>
      </c>
      <c r="H76" s="107" t="n">
        <f aca="false">SUM(H64:H75)</f>
        <v>596440.573333333</v>
      </c>
      <c r="I76" s="107" t="n">
        <f aca="false">SUM(I64:I75)</f>
        <v>608528.306666667</v>
      </c>
      <c r="J76" s="107" t="n">
        <f aca="false">SUM(J64:J75)</f>
        <v>620616.04</v>
      </c>
      <c r="K76" s="107" t="n">
        <f aca="false">SUM(K64:K75)</f>
        <v>632703.773333333</v>
      </c>
      <c r="L76" s="107" t="n">
        <f aca="false">SUM(L64:L75)</f>
        <v>644791.506666667</v>
      </c>
      <c r="M76" s="107" t="n">
        <f aca="false">SUM(M64:M75)</f>
        <v>656879.24</v>
      </c>
      <c r="N76" s="107" t="n">
        <f aca="false">SUM(N64:N75)</f>
        <v>712576.973333333</v>
      </c>
      <c r="O76" s="107" t="n">
        <f aca="false">SUM(O64:O75)</f>
        <v>724664.706666667</v>
      </c>
      <c r="P76" s="107" t="n">
        <f aca="false">SUM(P64:P75)</f>
        <v>736752.44</v>
      </c>
      <c r="Q76" s="107" t="n">
        <f aca="false">SUM(Q64:Q75)</f>
        <v>748840.173333333</v>
      </c>
      <c r="R76" s="107" t="n">
        <f aca="false">SUM(R64:R75)</f>
        <v>760927.906666667</v>
      </c>
      <c r="S76" s="107" t="n">
        <f aca="false">SUM(S64:S75)</f>
        <v>773015.64</v>
      </c>
      <c r="T76" s="107" t="n">
        <f aca="false">SUM(T64:T75)</f>
        <v>764263.608</v>
      </c>
      <c r="U76" s="107" t="n">
        <f aca="false">SUM(U64:U75)</f>
        <v>755511.576</v>
      </c>
      <c r="V76" s="107" t="n">
        <f aca="false">SUM(V64:V75)</f>
        <v>746759.544</v>
      </c>
      <c r="W76" s="107" t="n">
        <f aca="false">SUM(W64:W75)</f>
        <v>738007.512</v>
      </c>
      <c r="X76" s="107" t="n">
        <f aca="false">SUM(X64:X75)</f>
        <v>0</v>
      </c>
    </row>
    <row r="77" customFormat="false" ht="18.75" hidden="false" customHeight="true" outlineLevel="0" collapsed="false">
      <c r="B77" s="104" t="s">
        <v>146</v>
      </c>
      <c r="C77" s="103"/>
      <c r="D77" s="102" t="n">
        <f aca="false">-D76*0.2</f>
        <v>-167658.128</v>
      </c>
      <c r="E77" s="102" t="n">
        <f aca="false">-E76*0.2</f>
        <v>-112035.474666667</v>
      </c>
      <c r="F77" s="102" t="n">
        <f aca="false">-F76*0.2</f>
        <v>-114453.021333333</v>
      </c>
      <c r="G77" s="102" t="n">
        <f aca="false">-G76*0.2</f>
        <v>-116870.568</v>
      </c>
      <c r="H77" s="102" t="n">
        <f aca="false">-H76*0.2</f>
        <v>-119288.114666667</v>
      </c>
      <c r="I77" s="102" t="n">
        <f aca="false">-I76*0.2</f>
        <v>-121705.661333333</v>
      </c>
      <c r="J77" s="102" t="n">
        <f aca="false">-J76*0.2</f>
        <v>-124123.208</v>
      </c>
      <c r="K77" s="102" t="n">
        <f aca="false">-K76*0.2</f>
        <v>-126540.754666667</v>
      </c>
      <c r="L77" s="102" t="n">
        <f aca="false">-L76*0.2</f>
        <v>-128958.301333333</v>
      </c>
      <c r="M77" s="102" t="n">
        <f aca="false">-M76*0.2</f>
        <v>-131375.848</v>
      </c>
      <c r="N77" s="102" t="n">
        <f aca="false">-N76*0.2</f>
        <v>-142515.394666667</v>
      </c>
      <c r="O77" s="102" t="n">
        <f aca="false">-O76*0.2</f>
        <v>-144932.941333333</v>
      </c>
      <c r="P77" s="102" t="n">
        <f aca="false">-P76*0.2</f>
        <v>-147350.488</v>
      </c>
      <c r="Q77" s="102" t="n">
        <f aca="false">-Q76*0.2</f>
        <v>-149768.034666667</v>
      </c>
      <c r="R77" s="102" t="n">
        <f aca="false">-R76*0.2</f>
        <v>-152185.581333333</v>
      </c>
      <c r="S77" s="102" t="n">
        <f aca="false">-S76*0.2</f>
        <v>-154603.128</v>
      </c>
      <c r="T77" s="102" t="n">
        <f aca="false">-T76*0.2</f>
        <v>-152852.7216</v>
      </c>
      <c r="U77" s="102" t="n">
        <f aca="false">-U76*0.2</f>
        <v>-151102.3152</v>
      </c>
      <c r="V77" s="102" t="n">
        <f aca="false">-V76*0.2</f>
        <v>-149351.9088</v>
      </c>
      <c r="W77" s="102" t="n">
        <f aca="false">-W76*0.2</f>
        <v>-147601.5024</v>
      </c>
      <c r="X77" s="102" t="n">
        <f aca="false">-X76*0.2</f>
        <v>-0</v>
      </c>
    </row>
    <row r="78" customFormat="false" ht="15.75" hidden="false" customHeight="true" outlineLevel="0" collapsed="false">
      <c r="B78" s="129" t="s">
        <v>153</v>
      </c>
      <c r="D78" s="102" t="n">
        <f aca="false">SUM(D76:D77)</f>
        <v>670632.512</v>
      </c>
      <c r="E78" s="102" t="n">
        <f aca="false">SUM(E76:E77)</f>
        <v>448141.898666667</v>
      </c>
      <c r="F78" s="102" t="n">
        <f aca="false">SUM(F76:F77)</f>
        <v>457812.085333333</v>
      </c>
      <c r="G78" s="102" t="n">
        <f aca="false">SUM(G76:G77)</f>
        <v>467482.272</v>
      </c>
      <c r="H78" s="102" t="n">
        <f aca="false">SUM(H76:H77)</f>
        <v>477152.458666667</v>
      </c>
      <c r="I78" s="102" t="n">
        <f aca="false">SUM(I76:I77)</f>
        <v>486822.645333333</v>
      </c>
      <c r="J78" s="102" t="n">
        <f aca="false">SUM(J76:J77)</f>
        <v>496492.832</v>
      </c>
      <c r="K78" s="102" t="n">
        <f aca="false">SUM(K76:K77)</f>
        <v>506163.018666667</v>
      </c>
      <c r="L78" s="102" t="n">
        <f aca="false">SUM(L76:L77)</f>
        <v>515833.205333333</v>
      </c>
      <c r="M78" s="102" t="n">
        <f aca="false">SUM(M76:M77)</f>
        <v>525503.392</v>
      </c>
      <c r="N78" s="102" t="n">
        <f aca="false">SUM(N76:N77)</f>
        <v>570061.578666667</v>
      </c>
      <c r="O78" s="102" t="n">
        <f aca="false">SUM(O76:O77)</f>
        <v>579731.765333333</v>
      </c>
      <c r="P78" s="102" t="n">
        <f aca="false">SUM(P76:P77)</f>
        <v>589401.952</v>
      </c>
      <c r="Q78" s="102" t="n">
        <f aca="false">SUM(Q76:Q77)</f>
        <v>599072.138666667</v>
      </c>
      <c r="R78" s="102" t="n">
        <f aca="false">SUM(R76:R77)</f>
        <v>608742.325333333</v>
      </c>
      <c r="S78" s="102" t="n">
        <f aca="false">SUM(S76:S77)</f>
        <v>618412.512</v>
      </c>
      <c r="T78" s="102" t="n">
        <f aca="false">SUM(T76:T77)</f>
        <v>611410.8864</v>
      </c>
      <c r="U78" s="102" t="n">
        <f aca="false">SUM(U76:U77)</f>
        <v>604409.2608</v>
      </c>
      <c r="V78" s="102" t="n">
        <f aca="false">SUM(V76:V77)</f>
        <v>597407.6352</v>
      </c>
      <c r="W78" s="102" t="n">
        <f aca="false">SUM(W76:W77)</f>
        <v>590406.0096</v>
      </c>
      <c r="X78" s="102" t="n">
        <f aca="false">SUM(X76:X77)</f>
        <v>0</v>
      </c>
    </row>
    <row r="79" customFormat="false" ht="18.75" hidden="false" customHeight="true" outlineLevel="0" collapsed="false">
      <c r="B79" s="111" t="s">
        <v>148</v>
      </c>
      <c r="C79" s="114"/>
      <c r="D79" s="130"/>
      <c r="E79" s="130"/>
      <c r="F79" s="130"/>
      <c r="G79" s="130"/>
      <c r="H79" s="130"/>
      <c r="I79" s="130"/>
      <c r="J79" s="130"/>
      <c r="K79" s="130"/>
      <c r="L79" s="130"/>
      <c r="M79" s="130"/>
      <c r="N79" s="130"/>
      <c r="O79" s="130"/>
      <c r="P79" s="130"/>
      <c r="Q79" s="130"/>
      <c r="R79" s="130"/>
      <c r="S79" s="130"/>
      <c r="T79" s="130"/>
      <c r="U79" s="130"/>
      <c r="V79" s="130"/>
      <c r="W79" s="130"/>
      <c r="X79" s="131"/>
    </row>
    <row r="80" customFormat="false" ht="18.75" hidden="false" customHeight="true" outlineLevel="0" collapsed="false">
      <c r="B80" s="132" t="s">
        <v>149</v>
      </c>
      <c r="C80" s="133"/>
      <c r="D80" s="134"/>
      <c r="E80" s="134"/>
      <c r="F80" s="134"/>
      <c r="G80" s="134"/>
      <c r="H80" s="134"/>
      <c r="I80" s="134"/>
      <c r="J80" s="134"/>
      <c r="K80" s="134"/>
      <c r="L80" s="134"/>
      <c r="M80" s="134"/>
      <c r="N80" s="134"/>
      <c r="O80" s="134"/>
      <c r="P80" s="134"/>
      <c r="Q80" s="134"/>
      <c r="R80" s="134"/>
      <c r="S80" s="134"/>
      <c r="T80" s="134"/>
      <c r="U80" s="134"/>
      <c r="V80" s="134"/>
      <c r="W80" s="134"/>
      <c r="X80" s="135"/>
    </row>
    <row r="81" customFormat="false" ht="18.75" hidden="false" customHeight="true" outlineLevel="0" collapsed="false">
      <c r="B81" s="120"/>
      <c r="C81" s="119"/>
      <c r="D81" s="119"/>
      <c r="E81" s="119"/>
      <c r="F81" s="120"/>
      <c r="G81" s="120"/>
      <c r="H81" s="120"/>
      <c r="I81" s="120"/>
      <c r="J81" s="120"/>
      <c r="K81" s="120"/>
      <c r="L81" s="120"/>
      <c r="M81" s="119"/>
      <c r="N81" s="120"/>
      <c r="O81" s="120"/>
      <c r="P81" s="120"/>
      <c r="Q81" s="120"/>
      <c r="R81" s="120"/>
      <c r="S81" s="120"/>
      <c r="T81" s="120"/>
      <c r="U81" s="120"/>
      <c r="V81" s="120"/>
      <c r="W81" s="120"/>
      <c r="X81" s="120"/>
    </row>
    <row r="82" customFormat="false" ht="18.75" hidden="false" customHeight="true" outlineLevel="0" collapsed="false">
      <c r="C82" s="136" t="s">
        <v>130</v>
      </c>
      <c r="D82" s="137" t="n">
        <f aca="false">D37</f>
        <v>2020</v>
      </c>
      <c r="E82" s="137" t="n">
        <f aca="false">E37</f>
        <v>2021</v>
      </c>
      <c r="F82" s="137" t="n">
        <f aca="false">F37</f>
        <v>2022</v>
      </c>
      <c r="G82" s="137" t="n">
        <f aca="false">G37</f>
        <v>2023</v>
      </c>
      <c r="H82" s="137" t="n">
        <f aca="false">H37</f>
        <v>2024</v>
      </c>
      <c r="I82" s="137" t="n">
        <f aca="false">I37</f>
        <v>2025</v>
      </c>
      <c r="J82" s="137" t="n">
        <f aca="false">J37</f>
        <v>2026</v>
      </c>
      <c r="K82" s="137" t="n">
        <f aca="false">K37</f>
        <v>2027</v>
      </c>
      <c r="L82" s="137" t="n">
        <f aca="false">L37</f>
        <v>2028</v>
      </c>
      <c r="M82" s="137" t="n">
        <f aca="false">M37</f>
        <v>2029</v>
      </c>
      <c r="N82" s="137" t="n">
        <f aca="false">N37</f>
        <v>2030</v>
      </c>
      <c r="O82" s="137" t="n">
        <f aca="false">O37</f>
        <v>2031</v>
      </c>
      <c r="P82" s="137" t="n">
        <f aca="false">P37</f>
        <v>2032</v>
      </c>
      <c r="Q82" s="137" t="n">
        <f aca="false">Q37</f>
        <v>2033</v>
      </c>
      <c r="R82" s="137" t="n">
        <f aca="false">R37</f>
        <v>2034</v>
      </c>
      <c r="S82" s="137" t="n">
        <f aca="false">S37</f>
        <v>2035</v>
      </c>
      <c r="T82" s="137" t="n">
        <f aca="false">T37</f>
        <v>2036</v>
      </c>
      <c r="U82" s="137" t="n">
        <f aca="false">U37</f>
        <v>2037</v>
      </c>
      <c r="V82" s="137" t="n">
        <f aca="false">V37</f>
        <v>2038</v>
      </c>
      <c r="W82" s="137" t="n">
        <f aca="false">W37</f>
        <v>2039</v>
      </c>
      <c r="X82" s="122"/>
    </row>
    <row r="83" customFormat="false" ht="18.75" hidden="false" customHeight="true" outlineLevel="0" collapsed="false">
      <c r="X83" s="121"/>
    </row>
    <row r="84" customFormat="false" ht="18.75" hidden="false" customHeight="true" outlineLevel="0" collapsed="false">
      <c r="B84" s="138" t="s">
        <v>131</v>
      </c>
      <c r="C84" s="138" t="n">
        <v>0</v>
      </c>
      <c r="D84" s="138" t="n">
        <v>1</v>
      </c>
      <c r="E84" s="138" t="n">
        <v>2</v>
      </c>
      <c r="F84" s="138" t="n">
        <v>3</v>
      </c>
      <c r="G84" s="138" t="n">
        <v>4</v>
      </c>
      <c r="H84" s="138" t="n">
        <v>5</v>
      </c>
      <c r="I84" s="138" t="n">
        <v>6</v>
      </c>
      <c r="J84" s="138" t="n">
        <v>7</v>
      </c>
      <c r="K84" s="138" t="n">
        <v>8</v>
      </c>
      <c r="L84" s="138" t="n">
        <v>9</v>
      </c>
      <c r="M84" s="138" t="n">
        <v>10</v>
      </c>
      <c r="N84" s="138" t="n">
        <v>11</v>
      </c>
      <c r="O84" s="138" t="n">
        <v>12</v>
      </c>
      <c r="P84" s="138" t="n">
        <v>13</v>
      </c>
      <c r="Q84" s="138" t="n">
        <v>14</v>
      </c>
      <c r="R84" s="138" t="n">
        <v>15</v>
      </c>
      <c r="S84" s="138" t="n">
        <v>16</v>
      </c>
      <c r="T84" s="138" t="n">
        <v>17</v>
      </c>
      <c r="U84" s="138" t="n">
        <v>18</v>
      </c>
      <c r="V84" s="138" t="n">
        <v>19</v>
      </c>
      <c r="W84" s="138" t="n">
        <v>20</v>
      </c>
      <c r="X84" s="139"/>
    </row>
    <row r="85" customFormat="false" ht="18.75" hidden="false" customHeight="true" outlineLevel="0" collapsed="false">
      <c r="B85" s="140" t="s">
        <v>153</v>
      </c>
      <c r="C85" s="140"/>
      <c r="D85" s="141" t="n">
        <f aca="false">D78</f>
        <v>670632.512</v>
      </c>
      <c r="E85" s="141" t="n">
        <f aca="false">E78</f>
        <v>448141.898666667</v>
      </c>
      <c r="F85" s="141" t="n">
        <f aca="false">F78</f>
        <v>457812.085333333</v>
      </c>
      <c r="G85" s="141" t="n">
        <f aca="false">G78</f>
        <v>467482.272</v>
      </c>
      <c r="H85" s="141" t="n">
        <f aca="false">H78</f>
        <v>477152.458666667</v>
      </c>
      <c r="I85" s="141" t="n">
        <f aca="false">I78</f>
        <v>486822.645333333</v>
      </c>
      <c r="J85" s="141" t="n">
        <f aca="false">J78</f>
        <v>496492.832</v>
      </c>
      <c r="K85" s="141" t="n">
        <f aca="false">K78</f>
        <v>506163.018666667</v>
      </c>
      <c r="L85" s="141" t="n">
        <f aca="false">L78</f>
        <v>515833.205333333</v>
      </c>
      <c r="M85" s="141" t="n">
        <f aca="false">M78</f>
        <v>525503.392</v>
      </c>
      <c r="N85" s="141" t="n">
        <f aca="false">N78</f>
        <v>570061.578666667</v>
      </c>
      <c r="O85" s="141" t="n">
        <f aca="false">O78</f>
        <v>579731.765333333</v>
      </c>
      <c r="P85" s="141" t="n">
        <f aca="false">P78</f>
        <v>589401.952</v>
      </c>
      <c r="Q85" s="141" t="n">
        <f aca="false">Q78</f>
        <v>599072.138666667</v>
      </c>
      <c r="R85" s="141" t="n">
        <f aca="false">R78</f>
        <v>608742.325333333</v>
      </c>
      <c r="S85" s="141" t="n">
        <f aca="false">S78</f>
        <v>618412.512</v>
      </c>
      <c r="T85" s="141" t="n">
        <f aca="false">T78</f>
        <v>611410.8864</v>
      </c>
      <c r="U85" s="141" t="n">
        <f aca="false">U78</f>
        <v>604409.2608</v>
      </c>
      <c r="V85" s="141" t="n">
        <f aca="false">V78</f>
        <v>597407.6352</v>
      </c>
      <c r="W85" s="141" t="n">
        <f aca="false">W78</f>
        <v>590406.0096</v>
      </c>
      <c r="X85" s="140"/>
      <c r="Y85" s="140"/>
    </row>
    <row r="86" customFormat="false" ht="15.75" hidden="false" customHeight="true" outlineLevel="0" collapsed="false">
      <c r="B86" s="140" t="s">
        <v>154</v>
      </c>
      <c r="C86" s="140"/>
      <c r="D86" s="142" t="n">
        <f aca="false">-D67</f>
        <v>763175</v>
      </c>
      <c r="E86" s="142" t="n">
        <f aca="false">-E67</f>
        <v>763175</v>
      </c>
      <c r="F86" s="142" t="n">
        <f aca="false">-F67</f>
        <v>763175</v>
      </c>
      <c r="G86" s="142" t="n">
        <f aca="false">-G67</f>
        <v>763175</v>
      </c>
      <c r="H86" s="142" t="n">
        <f aca="false">-H67</f>
        <v>763175</v>
      </c>
      <c r="I86" s="142" t="n">
        <f aca="false">-I67</f>
        <v>763175</v>
      </c>
      <c r="J86" s="142" t="n">
        <f aca="false">-J67</f>
        <v>763175</v>
      </c>
      <c r="K86" s="142" t="n">
        <f aca="false">-K67</f>
        <v>763175</v>
      </c>
      <c r="L86" s="142" t="n">
        <f aca="false">-L67</f>
        <v>763175</v>
      </c>
      <c r="M86" s="142" t="n">
        <f aca="false">-M67</f>
        <v>763175</v>
      </c>
      <c r="N86" s="142" t="n">
        <f aca="false">-N67</f>
        <v>763175</v>
      </c>
      <c r="O86" s="142" t="n">
        <f aca="false">-O67</f>
        <v>763175</v>
      </c>
      <c r="P86" s="142" t="n">
        <f aca="false">-P67</f>
        <v>763175</v>
      </c>
      <c r="Q86" s="142" t="n">
        <f aca="false">-Q67</f>
        <v>763175</v>
      </c>
      <c r="R86" s="142" t="n">
        <f aca="false">-R67</f>
        <v>763175</v>
      </c>
      <c r="S86" s="142" t="n">
        <f aca="false">-S67</f>
        <v>763175</v>
      </c>
      <c r="T86" s="142" t="n">
        <f aca="false">-T67</f>
        <v>763175</v>
      </c>
      <c r="U86" s="142" t="n">
        <f aca="false">-U67</f>
        <v>763175</v>
      </c>
      <c r="V86" s="142" t="n">
        <f aca="false">-V67</f>
        <v>763175</v>
      </c>
      <c r="W86" s="142" t="n">
        <f aca="false">-W67</f>
        <v>763175</v>
      </c>
      <c r="X86" s="143"/>
      <c r="Y86" s="143"/>
    </row>
    <row r="87" customFormat="false" ht="15.75" hidden="false" customHeight="true" outlineLevel="0" collapsed="false">
      <c r="B87" s="140" t="s">
        <v>155</v>
      </c>
      <c r="C87" s="140"/>
      <c r="D87" s="144" t="n">
        <f aca="false">SUM(D85:D86)</f>
        <v>1433807.512</v>
      </c>
      <c r="E87" s="144" t="n">
        <f aca="false">SUM(E85:E86)</f>
        <v>1211316.89866667</v>
      </c>
      <c r="F87" s="144" t="n">
        <f aca="false">SUM(F85:F86)</f>
        <v>1220987.08533333</v>
      </c>
      <c r="G87" s="144" t="n">
        <f aca="false">SUM(G85:G86)</f>
        <v>1230657.272</v>
      </c>
      <c r="H87" s="144" t="n">
        <f aca="false">SUM(H85:H86)</f>
        <v>1240327.45866667</v>
      </c>
      <c r="I87" s="144" t="n">
        <f aca="false">SUM(I85:I86)</f>
        <v>1249997.64533333</v>
      </c>
      <c r="J87" s="144" t="n">
        <f aca="false">SUM(J85:J86)</f>
        <v>1259667.832</v>
      </c>
      <c r="K87" s="144" t="n">
        <f aca="false">SUM(K85:K86)</f>
        <v>1269338.01866667</v>
      </c>
      <c r="L87" s="144" t="n">
        <f aca="false">SUM(L85:L86)</f>
        <v>1279008.20533333</v>
      </c>
      <c r="M87" s="144" t="n">
        <f aca="false">SUM(M85:M86)</f>
        <v>1288678.392</v>
      </c>
      <c r="N87" s="144" t="n">
        <f aca="false">SUM(N85:N86)</f>
        <v>1333236.57866667</v>
      </c>
      <c r="O87" s="144" t="n">
        <f aca="false">SUM(O85:O86)</f>
        <v>1342906.76533333</v>
      </c>
      <c r="P87" s="144" t="n">
        <f aca="false">SUM(P85:P86)</f>
        <v>1352576.952</v>
      </c>
      <c r="Q87" s="144" t="n">
        <f aca="false">SUM(Q85:Q86)</f>
        <v>1362247.13866667</v>
      </c>
      <c r="R87" s="144" t="n">
        <f aca="false">SUM(R85:R86)</f>
        <v>1371917.32533333</v>
      </c>
      <c r="S87" s="144" t="n">
        <f aca="false">SUM(S85:S86)</f>
        <v>1381587.512</v>
      </c>
      <c r="T87" s="144" t="n">
        <f aca="false">SUM(T85:T86)</f>
        <v>1374585.8864</v>
      </c>
      <c r="U87" s="144" t="n">
        <f aca="false">SUM(U85:U86)</f>
        <v>1367584.2608</v>
      </c>
      <c r="V87" s="144" t="n">
        <f aca="false">SUM(V85:V86)</f>
        <v>1360582.6352</v>
      </c>
      <c r="W87" s="144" t="n">
        <f aca="false">SUM(W85:W86)</f>
        <v>1353581.0096</v>
      </c>
      <c r="X87" s="110"/>
    </row>
    <row r="88" customFormat="false" ht="15.75" hidden="false" customHeight="true" outlineLevel="0" collapsed="false">
      <c r="B88" s="140"/>
      <c r="C88" s="140"/>
      <c r="D88" s="140"/>
      <c r="E88" s="140"/>
      <c r="F88" s="145"/>
      <c r="G88" s="145"/>
      <c r="H88" s="145"/>
      <c r="I88" s="145"/>
      <c r="J88" s="145"/>
      <c r="K88" s="145"/>
      <c r="L88" s="145"/>
      <c r="M88" s="145"/>
      <c r="N88" s="145"/>
      <c r="O88" s="145"/>
      <c r="P88" s="145"/>
      <c r="Q88" s="145"/>
      <c r="R88" s="145"/>
      <c r="S88" s="145"/>
      <c r="T88" s="145"/>
      <c r="U88" s="145"/>
      <c r="V88" s="145"/>
      <c r="W88" s="145"/>
      <c r="X88" s="109"/>
    </row>
    <row r="89" customFormat="false" ht="15.75" hidden="false" customHeight="true" outlineLevel="0" collapsed="false">
      <c r="B89" s="146" t="s">
        <v>156</v>
      </c>
      <c r="C89" s="147"/>
      <c r="D89" s="148" t="n">
        <f aca="false">C44</f>
        <v>-15263500</v>
      </c>
      <c r="E89" s="147"/>
      <c r="F89" s="147"/>
      <c r="G89" s="147"/>
      <c r="H89" s="147"/>
      <c r="I89" s="147"/>
      <c r="J89" s="147"/>
      <c r="K89" s="147"/>
      <c r="L89" s="147"/>
      <c r="M89" s="147"/>
      <c r="N89" s="147"/>
      <c r="O89" s="147"/>
      <c r="P89" s="147"/>
      <c r="Q89" s="147"/>
      <c r="R89" s="147"/>
      <c r="S89" s="147"/>
      <c r="T89" s="147"/>
      <c r="U89" s="147"/>
      <c r="V89" s="147"/>
      <c r="W89" s="147"/>
      <c r="X89" s="149"/>
    </row>
    <row r="90" customFormat="false" ht="15.75" hidden="false" customHeight="true" outlineLevel="0" collapsed="false">
      <c r="B90" s="140"/>
      <c r="C90" s="140"/>
      <c r="D90" s="140"/>
      <c r="E90" s="140"/>
      <c r="F90" s="145"/>
      <c r="G90" s="145"/>
      <c r="H90" s="145"/>
      <c r="I90" s="145"/>
      <c r="J90" s="145"/>
      <c r="K90" s="145"/>
      <c r="L90" s="145"/>
      <c r="M90" s="145"/>
      <c r="N90" s="145"/>
      <c r="O90" s="145"/>
      <c r="P90" s="145"/>
      <c r="Q90" s="145"/>
      <c r="R90" s="145"/>
      <c r="S90" s="145"/>
      <c r="T90" s="145"/>
      <c r="U90" s="145"/>
      <c r="V90" s="145"/>
      <c r="W90" s="145"/>
      <c r="X90" s="109"/>
    </row>
    <row r="91" customFormat="false" ht="15.75" hidden="false" customHeight="true" outlineLevel="0" collapsed="false">
      <c r="B91" s="140"/>
      <c r="C91" s="140"/>
      <c r="D91" s="140"/>
      <c r="E91" s="140"/>
      <c r="F91" s="145"/>
      <c r="G91" s="145"/>
      <c r="H91" s="145"/>
      <c r="I91" s="145"/>
      <c r="J91" s="145"/>
      <c r="K91" s="145"/>
      <c r="L91" s="145"/>
      <c r="M91" s="145"/>
      <c r="N91" s="145"/>
      <c r="O91" s="145"/>
      <c r="P91" s="145"/>
      <c r="Q91" s="145"/>
      <c r="R91" s="145"/>
      <c r="S91" s="145"/>
      <c r="T91" s="145"/>
      <c r="U91" s="145"/>
      <c r="V91" s="145"/>
      <c r="W91" s="145"/>
      <c r="X91" s="109"/>
    </row>
    <row r="92" customFormat="false" ht="15.75" hidden="false" customHeight="true" outlineLevel="0" collapsed="false">
      <c r="B92" s="146" t="s">
        <v>157</v>
      </c>
      <c r="C92" s="147"/>
      <c r="D92" s="148" t="n">
        <f aca="false">-D89*D31</f>
        <v>12210800</v>
      </c>
      <c r="E92" s="147"/>
      <c r="F92" s="147"/>
      <c r="G92" s="147"/>
      <c r="H92" s="147"/>
      <c r="I92" s="147"/>
      <c r="J92" s="147"/>
      <c r="K92" s="147"/>
      <c r="L92" s="147"/>
      <c r="M92" s="147"/>
      <c r="N92" s="147"/>
      <c r="O92" s="147"/>
      <c r="P92" s="147"/>
      <c r="Q92" s="147"/>
      <c r="R92" s="147"/>
      <c r="S92" s="147"/>
      <c r="T92" s="147"/>
      <c r="U92" s="147"/>
      <c r="V92" s="147"/>
      <c r="W92" s="147"/>
      <c r="X92" s="109"/>
    </row>
    <row r="93" customFormat="false" ht="15.75" hidden="false" customHeight="true" outlineLevel="0" collapsed="false">
      <c r="B93" s="140" t="s">
        <v>158</v>
      </c>
      <c r="C93" s="140"/>
      <c r="D93" s="150"/>
      <c r="E93" s="150" t="n">
        <v>-814053.333333333</v>
      </c>
      <c r="F93" s="150" t="n">
        <v>-814053.333333333</v>
      </c>
      <c r="G93" s="150" t="n">
        <v>-814053.333333333</v>
      </c>
      <c r="H93" s="150" t="n">
        <v>-814053.333333333</v>
      </c>
      <c r="I93" s="150" t="n">
        <v>-814053.333333333</v>
      </c>
      <c r="J93" s="150" t="n">
        <v>-814053.333333333</v>
      </c>
      <c r="K93" s="150" t="n">
        <v>-814053.333333333</v>
      </c>
      <c r="L93" s="150" t="n">
        <v>-814053.333333333</v>
      </c>
      <c r="M93" s="150" t="n">
        <v>-814053.333333333</v>
      </c>
      <c r="N93" s="150" t="n">
        <v>-814053.333333333</v>
      </c>
      <c r="O93" s="150" t="n">
        <v>-814053.333333333</v>
      </c>
      <c r="P93" s="150" t="n">
        <v>-814053.333333333</v>
      </c>
      <c r="Q93" s="150" t="n">
        <v>-814053.333333333</v>
      </c>
      <c r="R93" s="150" t="n">
        <v>-814053.333333333</v>
      </c>
      <c r="S93" s="150" t="n">
        <v>-814053.333333333</v>
      </c>
      <c r="T93" s="150" t="n">
        <v>0</v>
      </c>
      <c r="U93" s="150" t="n">
        <v>0</v>
      </c>
      <c r="V93" s="150" t="n">
        <v>0</v>
      </c>
      <c r="W93" s="150" t="n">
        <v>0</v>
      </c>
      <c r="X93" s="149"/>
    </row>
    <row r="94" customFormat="false" ht="15.75" hidden="false" customHeight="true" outlineLevel="0" collapsed="false">
      <c r="B94" s="140" t="s">
        <v>159</v>
      </c>
      <c r="C94" s="145"/>
      <c r="D94" s="141" t="n">
        <f aca="false">-D89*(1-D31)</f>
        <v>3052700</v>
      </c>
      <c r="E94" s="145"/>
      <c r="F94" s="145"/>
      <c r="G94" s="145"/>
      <c r="H94" s="145"/>
      <c r="I94" s="145"/>
      <c r="J94" s="145"/>
      <c r="K94" s="145"/>
      <c r="L94" s="145"/>
      <c r="M94" s="145"/>
      <c r="N94" s="145"/>
      <c r="O94" s="145"/>
      <c r="P94" s="145"/>
      <c r="Q94" s="145"/>
      <c r="R94" s="145"/>
      <c r="S94" s="145"/>
      <c r="T94" s="145"/>
      <c r="U94" s="145"/>
      <c r="V94" s="145"/>
      <c r="W94" s="145"/>
      <c r="X94" s="110"/>
    </row>
    <row r="95" customFormat="false" ht="15.75" hidden="false" customHeight="true" outlineLevel="0" collapsed="false">
      <c r="B95" s="140" t="s">
        <v>67</v>
      </c>
      <c r="C95" s="145"/>
      <c r="D95" s="145"/>
      <c r="E95" s="151" t="n">
        <f aca="false">-D85*$D$33</f>
        <v>-603569.2608</v>
      </c>
      <c r="F95" s="151" t="n">
        <f aca="false">-E85*$D$33</f>
        <v>-403327.7088</v>
      </c>
      <c r="G95" s="151" t="n">
        <f aca="false">-F85*$D$33</f>
        <v>-412030.8768</v>
      </c>
      <c r="H95" s="151" t="n">
        <f aca="false">-G85*$D$33</f>
        <v>-420734.0448</v>
      </c>
      <c r="I95" s="151" t="n">
        <f aca="false">-H85*$D$33</f>
        <v>-429437.2128</v>
      </c>
      <c r="J95" s="151" t="n">
        <f aca="false">-I85*$D$33</f>
        <v>-438140.3808</v>
      </c>
      <c r="K95" s="151" t="n">
        <f aca="false">-J85*$D$33</f>
        <v>-446843.5488</v>
      </c>
      <c r="L95" s="151" t="n">
        <f aca="false">-K85*$D$33</f>
        <v>-455546.7168</v>
      </c>
      <c r="M95" s="151" t="n">
        <f aca="false">-L85*$D$33</f>
        <v>-464249.8848</v>
      </c>
      <c r="N95" s="151" t="n">
        <f aca="false">-M85*$D$33</f>
        <v>-472953.0528</v>
      </c>
      <c r="O95" s="151" t="n">
        <f aca="false">-N85*$D$33</f>
        <v>-513055.4208</v>
      </c>
      <c r="P95" s="151" t="n">
        <f aca="false">-O85*$D$33</f>
        <v>-521758.5888</v>
      </c>
      <c r="Q95" s="151" t="n">
        <f aca="false">-P85*$D$33</f>
        <v>-530461.7568</v>
      </c>
      <c r="R95" s="151" t="n">
        <f aca="false">-Q85*$D$33</f>
        <v>-539164.9248</v>
      </c>
      <c r="S95" s="151" t="n">
        <f aca="false">-R85*$D$33</f>
        <v>-547868.0928</v>
      </c>
      <c r="T95" s="151" t="n">
        <f aca="false">-S85*$D$33</f>
        <v>-556571.2608</v>
      </c>
      <c r="U95" s="151" t="n">
        <f aca="false">-T85*$D$33</f>
        <v>-550269.79776</v>
      </c>
      <c r="V95" s="151" t="n">
        <f aca="false">-U85*$D$33</f>
        <v>-543968.33472</v>
      </c>
      <c r="W95" s="151" t="n">
        <f aca="false">-V85*$D$33</f>
        <v>-537666.87168</v>
      </c>
      <c r="X95" s="151" t="n">
        <f aca="false">-W85*$D$33</f>
        <v>-531365.40864</v>
      </c>
    </row>
    <row r="96" customFormat="false" ht="15.75" hidden="false" customHeight="true" outlineLevel="0" collapsed="false">
      <c r="B96" s="152" t="s">
        <v>70</v>
      </c>
      <c r="C96" s="153"/>
      <c r="D96" s="153" t="n">
        <v>0</v>
      </c>
      <c r="E96" s="154" t="n">
        <v>0</v>
      </c>
      <c r="F96" s="154" t="n">
        <v>0</v>
      </c>
      <c r="G96" s="154" t="n">
        <v>0</v>
      </c>
      <c r="H96" s="154" t="n">
        <v>0</v>
      </c>
      <c r="I96" s="154" t="n">
        <v>0</v>
      </c>
      <c r="J96" s="154" t="n">
        <v>0</v>
      </c>
      <c r="K96" s="154" t="n">
        <v>0</v>
      </c>
      <c r="L96" s="154" t="n">
        <v>0</v>
      </c>
      <c r="M96" s="154" t="n">
        <v>0</v>
      </c>
      <c r="N96" s="154" t="n">
        <v>0</v>
      </c>
      <c r="O96" s="154" t="n">
        <v>0</v>
      </c>
      <c r="P96" s="154" t="n">
        <v>0</v>
      </c>
      <c r="Q96" s="154" t="n">
        <v>0</v>
      </c>
      <c r="R96" s="154" t="n">
        <v>0</v>
      </c>
      <c r="S96" s="154" t="n">
        <v>0</v>
      </c>
      <c r="T96" s="154" t="n">
        <v>-763175</v>
      </c>
      <c r="U96" s="154" t="n">
        <v>-763175</v>
      </c>
      <c r="V96" s="154" t="n">
        <v>-763175</v>
      </c>
      <c r="W96" s="154" t="n">
        <v>-763175</v>
      </c>
      <c r="X96" s="155" t="n">
        <f aca="false">-W101-X95</f>
        <v>-1102109.2384</v>
      </c>
    </row>
    <row r="97" customFormat="false" ht="15.75" hidden="false" customHeight="true" outlineLevel="0" collapsed="false">
      <c r="B97" s="145"/>
      <c r="C97" s="145"/>
      <c r="D97" s="145"/>
      <c r="E97" s="145"/>
      <c r="F97" s="145"/>
      <c r="G97" s="145"/>
      <c r="H97" s="145"/>
      <c r="I97" s="145"/>
      <c r="J97" s="145"/>
      <c r="K97" s="145"/>
      <c r="L97" s="145"/>
      <c r="M97" s="145"/>
      <c r="N97" s="145"/>
      <c r="O97" s="145"/>
      <c r="P97" s="145"/>
      <c r="Q97" s="145"/>
      <c r="R97" s="145"/>
      <c r="S97" s="145"/>
      <c r="T97" s="145"/>
      <c r="U97" s="145"/>
      <c r="V97" s="145"/>
      <c r="W97" s="145"/>
      <c r="X97" s="110"/>
    </row>
    <row r="98" customFormat="false" ht="15.75" hidden="false" customHeight="true" outlineLevel="0" collapsed="false">
      <c r="B98" s="145"/>
      <c r="C98" s="145"/>
      <c r="D98" s="145"/>
      <c r="E98" s="145"/>
      <c r="F98" s="145"/>
      <c r="G98" s="145"/>
      <c r="H98" s="145"/>
      <c r="I98" s="145"/>
      <c r="J98" s="145"/>
      <c r="K98" s="145"/>
      <c r="L98" s="145"/>
      <c r="M98" s="145"/>
      <c r="N98" s="145"/>
      <c r="O98" s="145"/>
      <c r="P98" s="145"/>
      <c r="Q98" s="145"/>
      <c r="R98" s="145"/>
      <c r="S98" s="145"/>
      <c r="T98" s="145"/>
      <c r="U98" s="145"/>
      <c r="V98" s="145"/>
      <c r="W98" s="145"/>
      <c r="X98" s="110"/>
    </row>
    <row r="99" customFormat="false" ht="15.75" hidden="false" customHeight="true" outlineLevel="0" collapsed="false">
      <c r="B99" s="140" t="s">
        <v>160</v>
      </c>
      <c r="C99" s="141" t="n">
        <v>0</v>
      </c>
      <c r="D99" s="141" t="n">
        <f aca="false">SUM(D87:D96)</f>
        <v>1433807.512</v>
      </c>
      <c r="E99" s="141" t="n">
        <f aca="false">SUM(E87:E96)</f>
        <v>-206305.695466667</v>
      </c>
      <c r="F99" s="141" t="n">
        <f aca="false">SUM(F87:F96)</f>
        <v>3606.04320000007</v>
      </c>
      <c r="G99" s="141" t="n">
        <f aca="false">SUM(G87:G96)</f>
        <v>4573.0618666666</v>
      </c>
      <c r="H99" s="141" t="n">
        <f aca="false">SUM(H87:H96)</f>
        <v>5540.08053333324</v>
      </c>
      <c r="I99" s="141" t="n">
        <f aca="false">SUM(I87:I96)</f>
        <v>6507.09919999988</v>
      </c>
      <c r="J99" s="141" t="n">
        <f aca="false">SUM(J87:J96)</f>
        <v>7474.11786666687</v>
      </c>
      <c r="K99" s="141" t="n">
        <f aca="false">SUM(K87:K96)</f>
        <v>8441.13653333322</v>
      </c>
      <c r="L99" s="141" t="n">
        <f aca="false">SUM(L87:L96)</f>
        <v>9408.15519999986</v>
      </c>
      <c r="M99" s="141" t="n">
        <f aca="false">SUM(M87:M96)</f>
        <v>10375.1738666667</v>
      </c>
      <c r="N99" s="141" t="n">
        <f aca="false">SUM(N87:N96)</f>
        <v>46230.1925333331</v>
      </c>
      <c r="O99" s="141" t="n">
        <f aca="false">SUM(O87:O96)</f>
        <v>15798.0112</v>
      </c>
      <c r="P99" s="141" t="n">
        <f aca="false">SUM(P87:P96)</f>
        <v>16765.0298666665</v>
      </c>
      <c r="Q99" s="141" t="n">
        <f aca="false">SUM(Q87:Q96)</f>
        <v>17732.0485333334</v>
      </c>
      <c r="R99" s="141" t="n">
        <f aca="false">SUM(R87:R96)</f>
        <v>18699.0671999997</v>
      </c>
      <c r="S99" s="141" t="n">
        <f aca="false">SUM(S87:S96)</f>
        <v>19666.0858666666</v>
      </c>
      <c r="T99" s="141" t="n">
        <f aca="false">SUM(T87:T96)</f>
        <v>54839.6255999998</v>
      </c>
      <c r="U99" s="141" t="n">
        <f aca="false">SUM(U87:U96)</f>
        <v>54139.4630399999</v>
      </c>
      <c r="V99" s="141" t="n">
        <f aca="false">SUM(V87:V96)</f>
        <v>53439.30048</v>
      </c>
      <c r="W99" s="141" t="n">
        <f aca="false">SUM(W87:W96)</f>
        <v>52739.1379200001</v>
      </c>
      <c r="X99" s="110"/>
    </row>
    <row r="100" customFormat="false" ht="15.75" hidden="false" customHeight="true" outlineLevel="0" collapsed="false">
      <c r="B100" s="140" t="s">
        <v>161</v>
      </c>
      <c r="C100" s="141" t="n">
        <v>0</v>
      </c>
      <c r="D100" s="141" t="n">
        <f aca="false">C101</f>
        <v>0</v>
      </c>
      <c r="E100" s="141" t="n">
        <f aca="false">D101</f>
        <v>1433807.512</v>
      </c>
      <c r="F100" s="141" t="n">
        <f aca="false">E101</f>
        <v>1227501.81653333</v>
      </c>
      <c r="G100" s="141" t="n">
        <f aca="false">F101</f>
        <v>1231107.85973333</v>
      </c>
      <c r="H100" s="141" t="n">
        <f aca="false">G101</f>
        <v>1235680.9216</v>
      </c>
      <c r="I100" s="141" t="n">
        <f aca="false">H101</f>
        <v>1241221.00213333</v>
      </c>
      <c r="J100" s="141" t="n">
        <f aca="false">I101</f>
        <v>1247728.10133333</v>
      </c>
      <c r="K100" s="141" t="n">
        <f aca="false">J101</f>
        <v>1255202.2192</v>
      </c>
      <c r="L100" s="141" t="n">
        <f aca="false">K101</f>
        <v>1263643.35573333</v>
      </c>
      <c r="M100" s="141" t="n">
        <f aca="false">L101</f>
        <v>1273051.51093333</v>
      </c>
      <c r="N100" s="141" t="n">
        <f aca="false">M101</f>
        <v>1283426.6848</v>
      </c>
      <c r="O100" s="141" t="n">
        <f aca="false">N101</f>
        <v>1329656.87733333</v>
      </c>
      <c r="P100" s="141" t="n">
        <f aca="false">O101</f>
        <v>1345454.88853333</v>
      </c>
      <c r="Q100" s="141" t="n">
        <f aca="false">P101</f>
        <v>1362219.9184</v>
      </c>
      <c r="R100" s="141" t="n">
        <f aca="false">Q101</f>
        <v>1379951.96693333</v>
      </c>
      <c r="S100" s="141" t="n">
        <f aca="false">R101</f>
        <v>1398651.03413333</v>
      </c>
      <c r="T100" s="141" t="n">
        <f aca="false">S101</f>
        <v>1418317.12</v>
      </c>
      <c r="U100" s="141" t="n">
        <f aca="false">T101</f>
        <v>1473156.7456</v>
      </c>
      <c r="V100" s="141" t="n">
        <f aca="false">U101</f>
        <v>1527296.20864</v>
      </c>
      <c r="W100" s="141" t="n">
        <f aca="false">V101</f>
        <v>1580735.50912</v>
      </c>
      <c r="X100" s="109"/>
    </row>
    <row r="101" customFormat="false" ht="15.75" hidden="false" customHeight="true" outlineLevel="0" collapsed="false">
      <c r="B101" s="140" t="s">
        <v>162</v>
      </c>
      <c r="C101" s="141" t="n">
        <v>0</v>
      </c>
      <c r="D101" s="141" t="n">
        <f aca="false">D99+D100</f>
        <v>1433807.512</v>
      </c>
      <c r="E101" s="141" t="n">
        <f aca="false">E99+E100</f>
        <v>1227501.81653333</v>
      </c>
      <c r="F101" s="141" t="n">
        <f aca="false">F99+F100</f>
        <v>1231107.85973333</v>
      </c>
      <c r="G101" s="141" t="n">
        <f aca="false">G99+G100</f>
        <v>1235680.9216</v>
      </c>
      <c r="H101" s="141" t="n">
        <f aca="false">H99+H100</f>
        <v>1241221.00213333</v>
      </c>
      <c r="I101" s="141" t="n">
        <f aca="false">I99+I100</f>
        <v>1247728.10133333</v>
      </c>
      <c r="J101" s="141" t="n">
        <f aca="false">J99+J100</f>
        <v>1255202.2192</v>
      </c>
      <c r="K101" s="141" t="n">
        <f aca="false">K99+K100</f>
        <v>1263643.35573333</v>
      </c>
      <c r="L101" s="141" t="n">
        <f aca="false">L99+L100</f>
        <v>1273051.51093333</v>
      </c>
      <c r="M101" s="141" t="n">
        <f aca="false">M99+M100</f>
        <v>1283426.6848</v>
      </c>
      <c r="N101" s="141" t="n">
        <f aca="false">N99+N100</f>
        <v>1329656.87733333</v>
      </c>
      <c r="O101" s="141" t="n">
        <f aca="false">O99+O100</f>
        <v>1345454.88853333</v>
      </c>
      <c r="P101" s="141" t="n">
        <f aca="false">P99+P100</f>
        <v>1362219.9184</v>
      </c>
      <c r="Q101" s="141" t="n">
        <f aca="false">Q99+Q100</f>
        <v>1379951.96693333</v>
      </c>
      <c r="R101" s="141" t="n">
        <f aca="false">R99+R100</f>
        <v>1398651.03413333</v>
      </c>
      <c r="S101" s="141" t="n">
        <f aca="false">S99+S100</f>
        <v>1418317.12</v>
      </c>
      <c r="T101" s="141" t="n">
        <f aca="false">T99+T100</f>
        <v>1473156.7456</v>
      </c>
      <c r="U101" s="141" t="n">
        <f aca="false">U99+U100</f>
        <v>1527296.20864</v>
      </c>
      <c r="V101" s="141" t="n">
        <f aca="false">V99+V100</f>
        <v>1580735.50912</v>
      </c>
      <c r="W101" s="141" t="n">
        <f aca="false">W99+W100</f>
        <v>1633474.64704</v>
      </c>
      <c r="X101" s="109"/>
    </row>
    <row r="102" customFormat="false" ht="15.75" hidden="false" customHeight="true" outlineLevel="0" collapsed="false">
      <c r="B102" s="140"/>
      <c r="C102" s="140"/>
      <c r="D102" s="140"/>
      <c r="E102" s="140"/>
      <c r="F102" s="140"/>
      <c r="G102" s="140"/>
      <c r="H102" s="140"/>
      <c r="I102" s="140"/>
      <c r="J102" s="140"/>
      <c r="K102" s="140"/>
      <c r="L102" s="140"/>
      <c r="M102" s="140"/>
      <c r="N102" s="140"/>
      <c r="O102" s="140"/>
      <c r="P102" s="140"/>
      <c r="Q102" s="140"/>
      <c r="R102" s="140"/>
      <c r="S102" s="140"/>
      <c r="T102" s="140"/>
      <c r="U102" s="140"/>
      <c r="V102" s="140"/>
      <c r="W102" s="140"/>
      <c r="X102" s="140"/>
    </row>
    <row r="103" customFormat="false" ht="15.75" hidden="false" customHeight="true" outlineLevel="0" collapsed="false">
      <c r="B103" s="140"/>
      <c r="C103" s="140"/>
      <c r="D103" s="140"/>
      <c r="E103" s="140"/>
      <c r="F103" s="145"/>
      <c r="G103" s="140"/>
      <c r="H103" s="140"/>
      <c r="I103" s="140"/>
      <c r="J103" s="140"/>
      <c r="K103" s="140"/>
      <c r="L103" s="140"/>
      <c r="M103" s="140"/>
      <c r="N103" s="140"/>
      <c r="O103" s="140"/>
      <c r="P103" s="140"/>
      <c r="Q103" s="140"/>
      <c r="R103" s="140"/>
      <c r="S103" s="140"/>
      <c r="T103" s="140"/>
      <c r="U103" s="140"/>
      <c r="V103" s="140"/>
      <c r="W103" s="140"/>
      <c r="X103" s="140"/>
    </row>
    <row r="104" customFormat="false" ht="15.75" hidden="false" customHeight="true" outlineLevel="0" collapsed="false">
      <c r="B104" s="156" t="s">
        <v>163</v>
      </c>
      <c r="C104" s="157"/>
      <c r="D104" s="158" t="n">
        <f aca="false">-D94</f>
        <v>-3052700</v>
      </c>
      <c r="E104" s="144" t="n">
        <f aca="false">-E95-E96</f>
        <v>603569.2608</v>
      </c>
      <c r="F104" s="144" t="n">
        <f aca="false">-F95-F96</f>
        <v>403327.7088</v>
      </c>
      <c r="G104" s="144" t="n">
        <f aca="false">-G95-G96</f>
        <v>412030.8768</v>
      </c>
      <c r="H104" s="144" t="n">
        <f aca="false">-H95-H96</f>
        <v>420734.0448</v>
      </c>
      <c r="I104" s="144" t="n">
        <f aca="false">-I95-I96</f>
        <v>429437.2128</v>
      </c>
      <c r="J104" s="144" t="n">
        <f aca="false">-J95-J96</f>
        <v>438140.3808</v>
      </c>
      <c r="K104" s="144" t="n">
        <f aca="false">-K95-K96</f>
        <v>446843.5488</v>
      </c>
      <c r="L104" s="144" t="n">
        <f aca="false">-L95-L96</f>
        <v>455546.7168</v>
      </c>
      <c r="M104" s="144" t="n">
        <f aca="false">-M95-M96</f>
        <v>464249.8848</v>
      </c>
      <c r="N104" s="144" t="n">
        <f aca="false">-N95-N96</f>
        <v>472953.0528</v>
      </c>
      <c r="O104" s="144" t="n">
        <f aca="false">-O95-O96</f>
        <v>513055.4208</v>
      </c>
      <c r="P104" s="144" t="n">
        <f aca="false">-P95-P96</f>
        <v>521758.5888</v>
      </c>
      <c r="Q104" s="144" t="n">
        <f aca="false">-Q95-Q96</f>
        <v>530461.7568</v>
      </c>
      <c r="R104" s="144" t="n">
        <f aca="false">-R95-R96</f>
        <v>539164.9248</v>
      </c>
      <c r="S104" s="144" t="n">
        <f aca="false">-S95-S96</f>
        <v>547868.0928</v>
      </c>
      <c r="T104" s="144" t="n">
        <f aca="false">-T95-T96</f>
        <v>1319746.2608</v>
      </c>
      <c r="U104" s="144" t="n">
        <f aca="false">-U95-U96</f>
        <v>1313444.79776</v>
      </c>
      <c r="V104" s="144" t="n">
        <f aca="false">-V95-V96</f>
        <v>1307143.33472</v>
      </c>
      <c r="W104" s="144" t="n">
        <f aca="false">-W95-W96</f>
        <v>1300841.87168</v>
      </c>
      <c r="X104" s="144" t="n">
        <f aca="false">-X95-X96</f>
        <v>1633474.64704</v>
      </c>
    </row>
    <row r="105" customFormat="false" ht="15.75" hidden="false" customHeight="true" outlineLevel="0" collapsed="false">
      <c r="B105" s="140" t="s">
        <v>75</v>
      </c>
      <c r="C105" s="159" t="n">
        <f aca="false">IRR(D104:X104)</f>
        <v>0.162373443255528</v>
      </c>
      <c r="D105" s="145"/>
      <c r="E105" s="145"/>
      <c r="F105" s="140"/>
      <c r="G105" s="140"/>
      <c r="H105" s="140"/>
      <c r="I105" s="140"/>
      <c r="J105" s="140"/>
      <c r="K105" s="140"/>
      <c r="L105" s="140"/>
      <c r="M105" s="140"/>
      <c r="N105" s="140"/>
      <c r="O105" s="140"/>
      <c r="P105" s="140"/>
      <c r="Q105" s="140"/>
      <c r="R105" s="140"/>
      <c r="S105" s="140"/>
      <c r="T105" s="140"/>
      <c r="U105" s="140"/>
      <c r="V105" s="140"/>
      <c r="W105" s="140"/>
      <c r="X105" s="140"/>
    </row>
    <row r="106" customFormat="false" ht="15.75" hidden="false" customHeight="true" outlineLevel="0" collapsed="false">
      <c r="B106" s="156" t="s">
        <v>164</v>
      </c>
      <c r="C106" s="157"/>
      <c r="D106" s="158" t="n">
        <f aca="false">D85-D94</f>
        <v>-2382067.488</v>
      </c>
      <c r="E106" s="144" t="n">
        <f aca="false">E85</f>
        <v>448141.898666667</v>
      </c>
      <c r="F106" s="144" t="n">
        <f aca="false">F85-F96</f>
        <v>457812.085333333</v>
      </c>
      <c r="G106" s="144" t="n">
        <f aca="false">G85-G96</f>
        <v>467482.272</v>
      </c>
      <c r="H106" s="144" t="n">
        <f aca="false">H85-H96</f>
        <v>477152.458666667</v>
      </c>
      <c r="I106" s="144" t="n">
        <f aca="false">I85-I96</f>
        <v>486822.645333333</v>
      </c>
      <c r="J106" s="144" t="n">
        <f aca="false">J85-J96</f>
        <v>496492.832</v>
      </c>
      <c r="K106" s="144" t="n">
        <f aca="false">K85-K96</f>
        <v>506163.018666667</v>
      </c>
      <c r="L106" s="144" t="n">
        <f aca="false">L85-L96</f>
        <v>515833.205333333</v>
      </c>
      <c r="M106" s="144" t="n">
        <f aca="false">M85-M96</f>
        <v>525503.392</v>
      </c>
      <c r="N106" s="144" t="n">
        <f aca="false">N85-N96</f>
        <v>570061.578666667</v>
      </c>
      <c r="O106" s="144" t="n">
        <f aca="false">O85-O96</f>
        <v>579731.765333333</v>
      </c>
      <c r="P106" s="144" t="n">
        <f aca="false">P85-P96</f>
        <v>589401.952</v>
      </c>
      <c r="Q106" s="144" t="n">
        <f aca="false">Q85-Q96</f>
        <v>599072.138666667</v>
      </c>
      <c r="R106" s="144" t="n">
        <f aca="false">R85-R96</f>
        <v>608742.325333333</v>
      </c>
      <c r="S106" s="144" t="n">
        <f aca="false">S85-S96</f>
        <v>618412.512</v>
      </c>
      <c r="T106" s="144" t="n">
        <f aca="false">T85-T96</f>
        <v>1374585.8864</v>
      </c>
      <c r="U106" s="144" t="n">
        <f aca="false">U85-U96</f>
        <v>1367584.2608</v>
      </c>
      <c r="V106" s="144" t="n">
        <f aca="false">V85-V96</f>
        <v>1360582.6352</v>
      </c>
      <c r="W106" s="144" t="n">
        <f aca="false">W85-W96</f>
        <v>1353581.0096</v>
      </c>
      <c r="X106" s="149"/>
    </row>
    <row r="107" customFormat="false" ht="15.75" hidden="false" customHeight="true" outlineLevel="0" collapsed="false">
      <c r="B107" s="156" t="s">
        <v>76</v>
      </c>
      <c r="C107" s="159" t="n">
        <f aca="false">IRR(D106:W106)</f>
        <v>0.211313009216213</v>
      </c>
      <c r="D107" s="145"/>
      <c r="E107" s="145"/>
      <c r="F107" s="140"/>
      <c r="G107" s="140"/>
      <c r="H107" s="140"/>
      <c r="I107" s="140"/>
      <c r="J107" s="140"/>
      <c r="K107" s="140"/>
      <c r="L107" s="140"/>
      <c r="M107" s="140"/>
      <c r="N107" s="140"/>
      <c r="O107" s="140"/>
      <c r="P107" s="140"/>
      <c r="Q107" s="140"/>
      <c r="R107" s="140"/>
      <c r="S107" s="140"/>
      <c r="T107" s="140"/>
      <c r="U107" s="140"/>
      <c r="V107" s="140"/>
      <c r="W107" s="140"/>
      <c r="X107" s="140"/>
    </row>
    <row r="108" customFormat="false" ht="15.75" hidden="false" customHeight="true" outlineLevel="0" collapsed="false">
      <c r="B108" s="140"/>
      <c r="C108" s="140"/>
      <c r="D108" s="140"/>
      <c r="E108" s="140"/>
      <c r="F108" s="140"/>
      <c r="G108" s="140"/>
      <c r="H108" s="140"/>
      <c r="I108" s="140"/>
      <c r="J108" s="140"/>
      <c r="K108" s="140"/>
      <c r="L108" s="140"/>
      <c r="M108" s="140"/>
      <c r="N108" s="140"/>
      <c r="O108" s="140"/>
      <c r="P108" s="140"/>
      <c r="Q108" s="140"/>
      <c r="R108" s="140"/>
      <c r="S108" s="140"/>
      <c r="T108" s="140"/>
      <c r="U108" s="140"/>
      <c r="V108" s="140"/>
      <c r="W108" s="140"/>
      <c r="X108" s="140"/>
    </row>
    <row r="109" customFormat="false" ht="15.75" hidden="false" customHeight="true" outlineLevel="0" collapsed="false">
      <c r="B109" s="140" t="s">
        <v>165</v>
      </c>
      <c r="C109" s="141" t="n">
        <v>0</v>
      </c>
      <c r="D109" s="141" t="n">
        <f aca="false">D92</f>
        <v>12210800</v>
      </c>
      <c r="E109" s="141" t="n">
        <f aca="false">D109+E93</f>
        <v>11396746.6666667</v>
      </c>
      <c r="F109" s="141" t="n">
        <f aca="false">E109+F93</f>
        <v>10582693.3333333</v>
      </c>
      <c r="G109" s="141" t="n">
        <f aca="false">F109+G93</f>
        <v>9768640</v>
      </c>
      <c r="H109" s="141" t="n">
        <f aca="false">G109+H93</f>
        <v>8954586.66666666</v>
      </c>
      <c r="I109" s="141" t="n">
        <f aca="false">H109+I93</f>
        <v>8140533.33333333</v>
      </c>
      <c r="J109" s="141" t="n">
        <f aca="false">I109+J93</f>
        <v>7326480</v>
      </c>
      <c r="K109" s="141" t="n">
        <f aca="false">J109+K93</f>
        <v>6512426.66666667</v>
      </c>
      <c r="L109" s="141" t="n">
        <f aca="false">K109+L93</f>
        <v>5698373.33333333</v>
      </c>
      <c r="M109" s="141" t="n">
        <f aca="false">L109+M93</f>
        <v>4884320</v>
      </c>
      <c r="N109" s="141" t="n">
        <f aca="false">M109+N93</f>
        <v>4070266.66666667</v>
      </c>
      <c r="O109" s="141" t="n">
        <f aca="false">N109+O93</f>
        <v>3256213.33333333</v>
      </c>
      <c r="P109" s="141" t="n">
        <f aca="false">O109+P93</f>
        <v>2442160</v>
      </c>
      <c r="Q109" s="141" t="n">
        <f aca="false">P109+Q93</f>
        <v>1628106.66666667</v>
      </c>
      <c r="R109" s="141" t="n">
        <f aca="false">Q109+R93</f>
        <v>814053.333333332</v>
      </c>
      <c r="S109" s="141" t="n">
        <f aca="false">R109+S93</f>
        <v>0</v>
      </c>
      <c r="T109" s="141" t="n">
        <f aca="false">S109+T93</f>
        <v>0</v>
      </c>
      <c r="U109" s="141" t="n">
        <f aca="false">T109+U93</f>
        <v>0</v>
      </c>
      <c r="V109" s="141" t="n">
        <f aca="false">U109+V93</f>
        <v>0</v>
      </c>
      <c r="W109" s="141" t="n">
        <f aca="false">V109+W93</f>
        <v>0</v>
      </c>
      <c r="X109" s="145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AJ10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304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4"/>
    <col collapsed="false" customWidth="true" hidden="false" outlineLevel="0" max="3" min="3" style="0" width="27"/>
    <col collapsed="false" customWidth="true" hidden="false" outlineLevel="0" max="5" min="4" style="0" width="37"/>
    <col collapsed="false" customWidth="true" hidden="false" outlineLevel="0" max="6" min="6" style="0" width="50"/>
    <col collapsed="false" customWidth="true" hidden="false" outlineLevel="0" max="12" min="7" style="0" width="37"/>
    <col collapsed="false" customWidth="true" hidden="false" outlineLevel="0" max="13" min="13" style="0" width="50"/>
    <col collapsed="false" customWidth="true" hidden="false" outlineLevel="0" max="23" min="14" style="0" width="37"/>
    <col collapsed="false" customWidth="true" hidden="false" outlineLevel="0" max="24" min="24" style="0" width="30"/>
    <col collapsed="false" customWidth="true" hidden="false" outlineLevel="0" max="27" min="25" style="0" width="10"/>
    <col collapsed="false" customWidth="true" hidden="false" outlineLevel="0" max="35" min="28" style="0" width="11"/>
    <col collapsed="false" customWidth="true" hidden="false" outlineLevel="0" max="36" min="36" style="0" width="8"/>
    <col collapsed="false" customWidth="true" hidden="false" outlineLevel="0" max="37" min="37" style="0" width="9.14"/>
  </cols>
  <sheetData>
    <row r="1" customFormat="false" ht="22.5" hidden="false" customHeight="true" outlineLevel="0" collapsed="false">
      <c r="B1" s="1" t="s">
        <v>87</v>
      </c>
      <c r="C1" s="35"/>
      <c r="D1" s="35"/>
      <c r="E1" s="36"/>
      <c r="F1" s="2" t="s">
        <v>1</v>
      </c>
      <c r="P1" s="3" t="n">
        <f aca="false">1-D11</f>
        <v>0.99</v>
      </c>
      <c r="Q1" s="3" t="n">
        <f aca="false">P1-$D12</f>
        <v>0.986</v>
      </c>
      <c r="R1" s="3" t="n">
        <f aca="false">Q1-$D12</f>
        <v>0.982</v>
      </c>
      <c r="S1" s="3" t="n">
        <f aca="false">R1-$D12</f>
        <v>0.978</v>
      </c>
      <c r="T1" s="3" t="n">
        <f aca="false">S1-$D12</f>
        <v>0.974</v>
      </c>
      <c r="U1" s="3" t="n">
        <f aca="false">T1-$D12</f>
        <v>0.97</v>
      </c>
      <c r="V1" s="3" t="n">
        <f aca="false">U1-$D12</f>
        <v>0.966</v>
      </c>
      <c r="W1" s="3" t="n">
        <f aca="false">V1-$D12</f>
        <v>0.962</v>
      </c>
      <c r="X1" s="3" t="n">
        <f aca="false">W1-$D12</f>
        <v>0.958</v>
      </c>
      <c r="Y1" s="3" t="n">
        <f aca="false">X1-$D12</f>
        <v>0.954</v>
      </c>
      <c r="Z1" s="3" t="n">
        <f aca="false">Y1-$D12</f>
        <v>0.95</v>
      </c>
      <c r="AA1" s="3" t="n">
        <f aca="false">Z1-$D12</f>
        <v>0.946</v>
      </c>
      <c r="AB1" s="3" t="n">
        <f aca="false">AA1-$D12</f>
        <v>0.942</v>
      </c>
      <c r="AC1" s="3" t="n">
        <f aca="false">AB1-$D12</f>
        <v>0.938</v>
      </c>
      <c r="AD1" s="3" t="n">
        <f aca="false">AC1-$D12</f>
        <v>0.934</v>
      </c>
      <c r="AE1" s="3" t="n">
        <f aca="false">AD1-$D12</f>
        <v>0.93</v>
      </c>
      <c r="AF1" s="3" t="n">
        <f aca="false">AE1-$D12</f>
        <v>0.926</v>
      </c>
      <c r="AG1" s="3" t="n">
        <f aca="false">AF1-$D12</f>
        <v>0.922</v>
      </c>
      <c r="AH1" s="3" t="n">
        <f aca="false">AG1-$D12</f>
        <v>0.918</v>
      </c>
      <c r="AI1" s="3" t="n">
        <f aca="false">AH1-$D12</f>
        <v>0.914</v>
      </c>
    </row>
    <row r="2" customFormat="false" ht="21.75" hidden="false" customHeight="true" outlineLevel="0" collapsed="false">
      <c r="B2" s="37" t="s">
        <v>2</v>
      </c>
      <c r="C2" s="38" t="s">
        <v>3</v>
      </c>
      <c r="D2" s="6" t="s">
        <v>4</v>
      </c>
      <c r="E2" s="7" t="s">
        <v>4</v>
      </c>
      <c r="F2" s="39" t="s">
        <v>5</v>
      </c>
    </row>
    <row r="3" customFormat="false" ht="21.75" hidden="false" customHeight="true" outlineLevel="0" collapsed="false">
      <c r="B3" s="40" t="s">
        <v>6</v>
      </c>
      <c r="C3" s="41" t="n">
        <v>20</v>
      </c>
      <c r="D3" s="11" t="s">
        <v>4</v>
      </c>
      <c r="E3" s="12" t="s">
        <v>4</v>
      </c>
      <c r="F3" s="8" t="s">
        <v>88</v>
      </c>
    </row>
    <row r="4" customFormat="false" ht="21.75" hidden="false" customHeight="true" outlineLevel="0" collapsed="false">
      <c r="B4" s="40" t="s">
        <v>89</v>
      </c>
      <c r="C4" s="41" t="n">
        <v>436.1</v>
      </c>
      <c r="D4" s="11" t="s">
        <v>4</v>
      </c>
      <c r="E4" s="12" t="s">
        <v>4</v>
      </c>
      <c r="F4" s="8" t="s">
        <v>90</v>
      </c>
      <c r="M4" s="0" t="s">
        <v>176</v>
      </c>
    </row>
    <row r="5" customFormat="false" ht="22.5" hidden="false" customHeight="true" outlineLevel="0" collapsed="false">
      <c r="B5" s="42" t="s">
        <v>10</v>
      </c>
      <c r="C5" s="41" t="n">
        <v>2020</v>
      </c>
      <c r="D5" s="42" t="s">
        <v>11</v>
      </c>
      <c r="E5" s="43" t="n">
        <v>2039</v>
      </c>
      <c r="F5" s="8" t="s">
        <v>92</v>
      </c>
      <c r="M5" s="0" t="s">
        <v>177</v>
      </c>
    </row>
    <row r="6" customFormat="false" ht="20.25" hidden="false" customHeight="true" outlineLevel="0" collapsed="false">
      <c r="B6" s="13"/>
      <c r="C6" s="13"/>
      <c r="D6" s="13"/>
      <c r="E6" s="13"/>
      <c r="M6" s="0" t="s">
        <v>178</v>
      </c>
    </row>
    <row r="7" customFormat="false" ht="22.5" hidden="false" customHeight="true" outlineLevel="0" collapsed="false">
      <c r="B7" s="1" t="s">
        <v>95</v>
      </c>
      <c r="C7" s="35"/>
      <c r="D7" s="35"/>
      <c r="E7" s="36"/>
      <c r="M7" s="0" t="s">
        <v>179</v>
      </c>
    </row>
    <row r="8" customFormat="false" ht="22.5" hidden="false" customHeight="true" outlineLevel="0" collapsed="false">
      <c r="B8" s="15" t="s">
        <v>14</v>
      </c>
      <c r="E8" s="44"/>
      <c r="M8" s="0" t="s">
        <v>180</v>
      </c>
    </row>
    <row r="9" customFormat="false" ht="22.5" hidden="false" customHeight="true" outlineLevel="0" collapsed="false">
      <c r="B9" s="45" t="s">
        <v>15</v>
      </c>
      <c r="C9" s="46" t="s">
        <v>16</v>
      </c>
      <c r="D9" s="46" t="s">
        <v>17</v>
      </c>
      <c r="E9" s="47" t="s">
        <v>18</v>
      </c>
      <c r="F9" s="2" t="s">
        <v>1</v>
      </c>
      <c r="M9" s="0" t="s">
        <v>98</v>
      </c>
    </row>
    <row r="10" customFormat="false" ht="30" hidden="false" customHeight="true" outlineLevel="0" collapsed="false">
      <c r="B10" s="48" t="s">
        <v>19</v>
      </c>
      <c r="C10" s="49" t="s">
        <v>99</v>
      </c>
      <c r="D10" s="50" t="n">
        <v>547002</v>
      </c>
      <c r="E10" s="21" t="n">
        <v>20</v>
      </c>
      <c r="F10" s="8" t="s">
        <v>100</v>
      </c>
      <c r="M10" s="0" t="s">
        <v>84</v>
      </c>
    </row>
    <row r="11" customFormat="false" ht="30" hidden="false" customHeight="true" outlineLevel="0" collapsed="false">
      <c r="B11" s="51"/>
      <c r="C11" s="42" t="s">
        <v>22</v>
      </c>
      <c r="D11" s="52" t="n">
        <v>0.01</v>
      </c>
      <c r="E11" s="53"/>
      <c r="F11" s="8" t="s">
        <v>102</v>
      </c>
    </row>
    <row r="12" customFormat="false" ht="30" hidden="false" customHeight="true" outlineLevel="0" collapsed="false">
      <c r="B12" s="51"/>
      <c r="C12" s="42" t="s">
        <v>24</v>
      </c>
      <c r="D12" s="54" t="n">
        <v>0.004</v>
      </c>
      <c r="E12" s="53"/>
      <c r="F12" s="8" t="s">
        <v>103</v>
      </c>
    </row>
    <row r="13" customFormat="false" ht="22.5" hidden="false" customHeight="true" outlineLevel="0" collapsed="false">
      <c r="B13" s="51"/>
      <c r="C13" s="55" t="s">
        <v>104</v>
      </c>
      <c r="D13" s="56" t="n">
        <v>4</v>
      </c>
      <c r="E13" s="53"/>
      <c r="F13" s="8" t="s">
        <v>105</v>
      </c>
    </row>
    <row r="14" customFormat="false" ht="22.5" hidden="false" customHeight="true" outlineLevel="0" collapsed="false">
      <c r="B14" s="26" t="s">
        <v>106</v>
      </c>
      <c r="C14" s="35"/>
      <c r="D14" s="35"/>
      <c r="E14" s="36"/>
    </row>
    <row r="15" customFormat="false" ht="22.5" hidden="false" customHeight="true" outlineLevel="0" collapsed="false">
      <c r="B15" s="45" t="s">
        <v>15</v>
      </c>
      <c r="C15" s="46" t="s">
        <v>16</v>
      </c>
      <c r="D15" s="46" t="s">
        <v>17</v>
      </c>
      <c r="E15" s="47" t="s">
        <v>29</v>
      </c>
      <c r="F15" s="2" t="s">
        <v>1</v>
      </c>
    </row>
    <row r="16" customFormat="false" ht="21.75" hidden="false" customHeight="true" outlineLevel="0" collapsed="false">
      <c r="B16" s="49" t="s">
        <v>107</v>
      </c>
      <c r="C16" s="49" t="s">
        <v>108</v>
      </c>
      <c r="D16" s="57" t="n">
        <v>24000</v>
      </c>
      <c r="E16" s="7" t="n">
        <v>20</v>
      </c>
      <c r="F16" s="8" t="s">
        <v>109</v>
      </c>
    </row>
    <row r="17" customFormat="false" ht="21.75" hidden="false" customHeight="true" outlineLevel="0" collapsed="false">
      <c r="B17" s="51"/>
      <c r="C17" s="42" t="s">
        <v>110</v>
      </c>
      <c r="D17" s="58" t="n">
        <v>0.2</v>
      </c>
      <c r="E17" s="53"/>
      <c r="F17" s="8" t="s">
        <v>111</v>
      </c>
    </row>
    <row r="18" customFormat="false" ht="21.75" hidden="false" customHeight="true" outlineLevel="0" collapsed="false">
      <c r="B18" s="59"/>
      <c r="C18" s="42" t="s">
        <v>35</v>
      </c>
      <c r="D18" s="60" t="n">
        <v>2500</v>
      </c>
      <c r="E18" s="61"/>
      <c r="F18" s="8" t="s">
        <v>112</v>
      </c>
    </row>
    <row r="19" customFormat="false" ht="54" hidden="false" customHeight="true" outlineLevel="0" collapsed="false">
      <c r="B19" s="42" t="s">
        <v>37</v>
      </c>
      <c r="C19" s="62" t="s">
        <v>38</v>
      </c>
      <c r="D19" s="58" t="n">
        <v>1</v>
      </c>
      <c r="E19" s="7" t="n">
        <v>20</v>
      </c>
      <c r="F19" s="8" t="s">
        <v>113</v>
      </c>
    </row>
    <row r="20" customFormat="false" ht="20.25" hidden="false" customHeight="true" outlineLevel="0" collapsed="false">
      <c r="B20" s="51"/>
      <c r="C20" s="63" t="s">
        <v>114</v>
      </c>
      <c r="D20" s="60" t="n">
        <v>290201</v>
      </c>
      <c r="E20" s="7" t="n">
        <v>20</v>
      </c>
      <c r="F20" s="8" t="s">
        <v>115</v>
      </c>
    </row>
    <row r="21" customFormat="false" ht="30" hidden="false" customHeight="true" outlineLevel="0" collapsed="false">
      <c r="B21" s="59"/>
      <c r="C21" s="42" t="s">
        <v>116</v>
      </c>
      <c r="D21" s="58" t="n">
        <v>0</v>
      </c>
      <c r="E21" s="12" t="n">
        <v>20</v>
      </c>
      <c r="F21" s="8" t="s">
        <v>117</v>
      </c>
    </row>
    <row r="22" customFormat="false" ht="30" hidden="false" customHeight="true" outlineLevel="0" collapsed="false">
      <c r="B22" s="42" t="s">
        <v>44</v>
      </c>
      <c r="C22" s="42" t="s">
        <v>118</v>
      </c>
      <c r="D22" s="64" t="n">
        <v>400</v>
      </c>
      <c r="E22" s="12" t="n">
        <v>20</v>
      </c>
      <c r="F22" s="8" t="s">
        <v>119</v>
      </c>
    </row>
    <row r="23" customFormat="false" ht="30" hidden="false" customHeight="true" outlineLevel="0" collapsed="false">
      <c r="B23" s="42" t="s">
        <v>47</v>
      </c>
      <c r="C23" s="42" t="s">
        <v>48</v>
      </c>
      <c r="D23" s="58" t="n">
        <v>0.003</v>
      </c>
      <c r="E23" s="12" t="n">
        <v>20</v>
      </c>
      <c r="F23" s="8" t="s">
        <v>120</v>
      </c>
    </row>
    <row r="24" customFormat="false" ht="30" hidden="false" customHeight="true" outlineLevel="0" collapsed="false">
      <c r="B24" s="42" t="s">
        <v>50</v>
      </c>
      <c r="C24" s="42" t="s">
        <v>121</v>
      </c>
      <c r="D24" s="64" t="n">
        <v>1000</v>
      </c>
      <c r="E24" s="31" t="n">
        <v>10</v>
      </c>
      <c r="F24" s="8" t="s">
        <v>122</v>
      </c>
    </row>
    <row r="25" customFormat="false" ht="30" hidden="false" customHeight="true" outlineLevel="0" collapsed="false">
      <c r="B25" s="42" t="s">
        <v>53</v>
      </c>
      <c r="C25" s="42" t="s">
        <v>54</v>
      </c>
      <c r="D25" s="65" t="n">
        <v>0.0256</v>
      </c>
      <c r="E25" s="12" t="n">
        <v>20</v>
      </c>
      <c r="F25" s="8" t="s">
        <v>123</v>
      </c>
    </row>
    <row r="26" customFormat="false" ht="30" hidden="false" customHeight="true" outlineLevel="0" collapsed="false">
      <c r="B26" s="42" t="s">
        <v>56</v>
      </c>
      <c r="C26" s="42" t="s">
        <v>57</v>
      </c>
      <c r="D26" s="58" t="n">
        <v>0.2</v>
      </c>
      <c r="E26" s="12" t="n">
        <v>20</v>
      </c>
      <c r="F26" s="8" t="s">
        <v>124</v>
      </c>
    </row>
    <row r="27" customFormat="false" ht="20.25" hidden="false" customHeight="true" outlineLevel="0" collapsed="false">
      <c r="B27" s="13"/>
      <c r="C27" s="13"/>
      <c r="D27" s="13"/>
      <c r="E27" s="13"/>
    </row>
    <row r="28" customFormat="false" ht="20.25" hidden="false" customHeight="true" outlineLevel="0" collapsed="false">
      <c r="B28" s="13"/>
      <c r="C28" s="13"/>
      <c r="D28" s="13"/>
      <c r="E28" s="13"/>
    </row>
    <row r="29" customFormat="false" ht="22.5" hidden="false" customHeight="true" outlineLevel="0" collapsed="false">
      <c r="B29" s="1" t="s">
        <v>125</v>
      </c>
      <c r="C29" s="35"/>
      <c r="D29" s="36"/>
      <c r="E29" s="13"/>
    </row>
    <row r="30" customFormat="false" ht="22.5" hidden="false" customHeight="true" outlineLevel="0" collapsed="false">
      <c r="B30" s="45" t="s">
        <v>60</v>
      </c>
      <c r="C30" s="66" t="s">
        <v>16</v>
      </c>
      <c r="D30" s="67" t="s">
        <v>17</v>
      </c>
      <c r="E30" s="13"/>
      <c r="F30" s="2" t="s">
        <v>1</v>
      </c>
    </row>
    <row r="31" customFormat="false" ht="30" hidden="false" customHeight="true" outlineLevel="0" collapsed="false">
      <c r="B31" s="49" t="s">
        <v>61</v>
      </c>
      <c r="C31" s="37" t="s">
        <v>62</v>
      </c>
      <c r="D31" s="68" t="n">
        <v>0.8</v>
      </c>
      <c r="E31" s="13"/>
      <c r="F31" s="8" t="s">
        <v>126</v>
      </c>
    </row>
    <row r="32" customFormat="false" ht="18.75" hidden="false" customHeight="true" outlineLevel="0" collapsed="false">
      <c r="B32" s="49" t="s">
        <v>64</v>
      </c>
      <c r="C32" s="37" t="s">
        <v>65</v>
      </c>
      <c r="D32" s="68" t="n">
        <v>15</v>
      </c>
      <c r="E32" s="13"/>
      <c r="F32" s="8" t="s">
        <v>127</v>
      </c>
    </row>
    <row r="33" customFormat="false" ht="18.75" hidden="false" customHeight="true" outlineLevel="0" collapsed="false">
      <c r="B33" s="42" t="s">
        <v>67</v>
      </c>
      <c r="C33" s="40" t="s">
        <v>68</v>
      </c>
      <c r="D33" s="58" t="n">
        <v>0.9</v>
      </c>
      <c r="E33" s="13"/>
      <c r="F33" s="8" t="s">
        <v>128</v>
      </c>
    </row>
    <row r="34" customFormat="false" ht="30" hidden="false" customHeight="true" outlineLevel="0" collapsed="false">
      <c r="B34" s="42" t="s">
        <v>70</v>
      </c>
      <c r="C34" s="40" t="s">
        <v>65</v>
      </c>
      <c r="D34" s="58" t="n">
        <v>4</v>
      </c>
      <c r="E34" s="13"/>
      <c r="F34" s="8" t="s">
        <v>129</v>
      </c>
    </row>
    <row r="35" customFormat="false" ht="18.75" hidden="false" customHeight="true" outlineLevel="0" collapsed="false"/>
    <row r="36" customFormat="false" ht="18.75" hidden="false" customHeight="true" outlineLevel="0" collapsed="false"/>
    <row r="37" customFormat="false" ht="18.75" hidden="false" customHeight="true" outlineLevel="0" collapsed="false">
      <c r="B37" s="69"/>
      <c r="C37" s="70" t="s">
        <v>130</v>
      </c>
      <c r="D37" s="70" t="n">
        <v>2020</v>
      </c>
      <c r="E37" s="70" t="n">
        <v>2021</v>
      </c>
      <c r="F37" s="70" t="n">
        <v>2022</v>
      </c>
      <c r="G37" s="70" t="n">
        <v>2023</v>
      </c>
      <c r="H37" s="70" t="n">
        <v>2024</v>
      </c>
      <c r="I37" s="70" t="n">
        <v>2025</v>
      </c>
      <c r="J37" s="70" t="n">
        <v>2026</v>
      </c>
      <c r="K37" s="70" t="n">
        <v>2027</v>
      </c>
      <c r="L37" s="70" t="n">
        <v>2028</v>
      </c>
      <c r="M37" s="70" t="n">
        <v>2029</v>
      </c>
      <c r="N37" s="70" t="n">
        <v>2030</v>
      </c>
      <c r="O37" s="70" t="n">
        <v>2031</v>
      </c>
      <c r="P37" s="70" t="n">
        <v>2032</v>
      </c>
      <c r="Q37" s="70" t="n">
        <v>2033</v>
      </c>
      <c r="R37" s="70" t="n">
        <v>2034</v>
      </c>
      <c r="S37" s="70" t="n">
        <v>2035</v>
      </c>
      <c r="T37" s="70" t="n">
        <v>2036</v>
      </c>
      <c r="U37" s="70" t="n">
        <v>2037</v>
      </c>
      <c r="V37" s="70" t="n">
        <v>2038</v>
      </c>
      <c r="W37" s="70" t="n">
        <v>2039</v>
      </c>
      <c r="X37" s="70"/>
    </row>
    <row r="38" customFormat="false" ht="18.75" hidden="false" customHeight="true" outlineLevel="0" collapsed="false">
      <c r="B38" s="71" t="n">
        <v>0</v>
      </c>
      <c r="C38" s="72"/>
      <c r="D38" s="73"/>
      <c r="E38" s="73"/>
      <c r="F38" s="74"/>
      <c r="G38" s="75"/>
      <c r="H38" s="75"/>
      <c r="I38" s="75"/>
      <c r="J38" s="75"/>
      <c r="K38" s="75"/>
      <c r="L38" s="75"/>
      <c r="M38" s="75"/>
      <c r="N38" s="75"/>
      <c r="O38" s="75"/>
      <c r="P38" s="75"/>
      <c r="Q38" s="75"/>
      <c r="R38" s="75"/>
      <c r="S38" s="75"/>
      <c r="T38" s="76"/>
      <c r="U38" s="75"/>
      <c r="V38" s="75"/>
      <c r="W38" s="75"/>
      <c r="X38" s="77"/>
    </row>
    <row r="39" customFormat="false" ht="18.75" hidden="false" customHeight="true" outlineLevel="0" collapsed="false">
      <c r="B39" s="78" t="s">
        <v>131</v>
      </c>
      <c r="C39" s="79" t="n">
        <v>0</v>
      </c>
      <c r="D39" s="80" t="n">
        <v>1</v>
      </c>
      <c r="E39" s="80" t="n">
        <v>2</v>
      </c>
      <c r="F39" s="80" t="n">
        <v>3</v>
      </c>
      <c r="G39" s="80" t="n">
        <v>4</v>
      </c>
      <c r="H39" s="80" t="n">
        <v>5</v>
      </c>
      <c r="I39" s="80" t="n">
        <v>6</v>
      </c>
      <c r="J39" s="80" t="n">
        <v>7</v>
      </c>
      <c r="K39" s="80" t="n">
        <v>8</v>
      </c>
      <c r="L39" s="80" t="n">
        <v>9</v>
      </c>
      <c r="M39" s="80" t="n">
        <v>10</v>
      </c>
      <c r="N39" s="80" t="n">
        <v>11</v>
      </c>
      <c r="O39" s="80" t="n">
        <v>12</v>
      </c>
      <c r="P39" s="80" t="n">
        <v>13</v>
      </c>
      <c r="Q39" s="80" t="n">
        <v>14</v>
      </c>
      <c r="R39" s="80" t="n">
        <v>15</v>
      </c>
      <c r="S39" s="80" t="n">
        <v>16</v>
      </c>
      <c r="T39" s="81" t="n">
        <v>17</v>
      </c>
      <c r="U39" s="80" t="n">
        <v>18</v>
      </c>
      <c r="V39" s="80" t="n">
        <v>19</v>
      </c>
      <c r="W39" s="80" t="n">
        <v>20</v>
      </c>
      <c r="X39" s="82"/>
    </row>
    <row r="40" customFormat="false" ht="18.75" hidden="false" customHeight="true" outlineLevel="0" collapsed="false">
      <c r="B40" s="83" t="s">
        <v>132</v>
      </c>
      <c r="C40" s="84" t="n">
        <v>0</v>
      </c>
      <c r="D40" s="85" t="n">
        <f aca="false">$D$10*P1</f>
        <v>541531.98</v>
      </c>
      <c r="E40" s="85" t="n">
        <f aca="false">$D$10*Q1</f>
        <v>539343.972</v>
      </c>
      <c r="F40" s="85" t="n">
        <f aca="false">$D$10*R1</f>
        <v>537155.964</v>
      </c>
      <c r="G40" s="85" t="n">
        <f aca="false">$D$10*S1</f>
        <v>534967.956</v>
      </c>
      <c r="H40" s="85" t="n">
        <f aca="false">$D$10*T1</f>
        <v>532779.948</v>
      </c>
      <c r="I40" s="85" t="n">
        <f aca="false">$D$10*U1</f>
        <v>530591.94</v>
      </c>
      <c r="J40" s="85" t="n">
        <f aca="false">$D$10*V1</f>
        <v>528403.932</v>
      </c>
      <c r="K40" s="85" t="n">
        <f aca="false">$D$10*W1</f>
        <v>526215.924</v>
      </c>
      <c r="L40" s="85" t="n">
        <f aca="false">$D$10*X1</f>
        <v>524027.916</v>
      </c>
      <c r="M40" s="85" t="n">
        <f aca="false">$D$10*Y1</f>
        <v>521839.908</v>
      </c>
      <c r="N40" s="85" t="n">
        <f aca="false">$D$10*Z1</f>
        <v>519651.9</v>
      </c>
      <c r="O40" s="85" t="n">
        <f aca="false">$D$10*AA1</f>
        <v>517463.892</v>
      </c>
      <c r="P40" s="85" t="n">
        <f aca="false">$D$10*AB1</f>
        <v>515275.884</v>
      </c>
      <c r="Q40" s="85" t="n">
        <f aca="false">$D$10*AC1</f>
        <v>513087.876</v>
      </c>
      <c r="R40" s="85" t="n">
        <f aca="false">$D$10*AD1</f>
        <v>510899.868</v>
      </c>
      <c r="S40" s="85" t="n">
        <f aca="false">$D$10*AE1</f>
        <v>508711.86</v>
      </c>
      <c r="T40" s="85" t="n">
        <f aca="false">$D$10*AF1</f>
        <v>506523.852</v>
      </c>
      <c r="U40" s="85" t="n">
        <f aca="false">$D$10*AG1</f>
        <v>504335.844</v>
      </c>
      <c r="V40" s="85" t="n">
        <f aca="false">$D$10*AH1</f>
        <v>502147.836</v>
      </c>
      <c r="W40" s="85" t="n">
        <f aca="false">$D$10*AI1</f>
        <v>499959.828</v>
      </c>
      <c r="X40" s="86"/>
    </row>
    <row r="41" customFormat="false" ht="18.75" hidden="false" customHeight="true" outlineLevel="0" collapsed="false">
      <c r="B41" s="87" t="s">
        <v>133</v>
      </c>
      <c r="C41" s="88" t="s">
        <v>4</v>
      </c>
      <c r="D41" s="89" t="n">
        <f aca="false">D40*$D$13</f>
        <v>2166127.92</v>
      </c>
      <c r="E41" s="89" t="n">
        <f aca="false">E40*$D$13</f>
        <v>2157375.888</v>
      </c>
      <c r="F41" s="89" t="n">
        <f aca="false">F40*$D$13</f>
        <v>2148623.856</v>
      </c>
      <c r="G41" s="89" t="n">
        <f aca="false">G40*$D$13</f>
        <v>2139871.824</v>
      </c>
      <c r="H41" s="89" t="n">
        <f aca="false">H40*$D$13</f>
        <v>2131119.792</v>
      </c>
      <c r="I41" s="89" t="n">
        <f aca="false">I40*$D$13</f>
        <v>2122367.76</v>
      </c>
      <c r="J41" s="89" t="n">
        <f aca="false">J40*$D$13</f>
        <v>2113615.728</v>
      </c>
      <c r="K41" s="89" t="n">
        <f aca="false">K40*$D$13</f>
        <v>2104863.696</v>
      </c>
      <c r="L41" s="89" t="n">
        <f aca="false">L40*$D$13</f>
        <v>2096111.664</v>
      </c>
      <c r="M41" s="89" t="n">
        <f aca="false">M40*$D$13</f>
        <v>2087359.632</v>
      </c>
      <c r="N41" s="89" t="n">
        <f aca="false">N40*$D$13</f>
        <v>2078607.6</v>
      </c>
      <c r="O41" s="89" t="n">
        <f aca="false">O40*$D$13</f>
        <v>2069855.568</v>
      </c>
      <c r="P41" s="89" t="n">
        <f aca="false">P40*$D$13</f>
        <v>2061103.536</v>
      </c>
      <c r="Q41" s="89" t="n">
        <f aca="false">Q40*$D$13</f>
        <v>2052351.504</v>
      </c>
      <c r="R41" s="89" t="n">
        <f aca="false">R40*$D$13</f>
        <v>2043599.472</v>
      </c>
      <c r="S41" s="89" t="n">
        <f aca="false">S40*$D$13</f>
        <v>2034847.44</v>
      </c>
      <c r="T41" s="89" t="n">
        <f aca="false">T40*$D$13</f>
        <v>2026095.408</v>
      </c>
      <c r="U41" s="89" t="n">
        <f aca="false">U40*$D$13</f>
        <v>2017343.376</v>
      </c>
      <c r="V41" s="89" t="n">
        <f aca="false">V40*$D$13</f>
        <v>2008591.344</v>
      </c>
      <c r="W41" s="89" t="n">
        <f aca="false">W40*$D$13</f>
        <v>1999839.312</v>
      </c>
      <c r="X41" s="90"/>
    </row>
    <row r="42" customFormat="false" ht="18.75" hidden="false" customHeight="true" outlineLevel="0" collapsed="false">
      <c r="B42" s="91" t="s">
        <v>134</v>
      </c>
      <c r="C42" s="92" t="s">
        <v>4</v>
      </c>
      <c r="D42" s="93"/>
      <c r="E42" s="93"/>
      <c r="F42" s="93"/>
      <c r="G42" s="94" t="s">
        <v>4</v>
      </c>
      <c r="H42" s="94" t="s">
        <v>4</v>
      </c>
      <c r="I42" s="94" t="s">
        <v>4</v>
      </c>
      <c r="J42" s="94" t="s">
        <v>4</v>
      </c>
      <c r="K42" s="94" t="s">
        <v>4</v>
      </c>
      <c r="L42" s="94" t="s">
        <v>4</v>
      </c>
      <c r="M42" s="94" t="s">
        <v>4</v>
      </c>
      <c r="N42" s="94" t="s">
        <v>4</v>
      </c>
      <c r="O42" s="94" t="s">
        <v>4</v>
      </c>
      <c r="P42" s="94" t="s">
        <v>4</v>
      </c>
      <c r="Q42" s="94" t="s">
        <v>4</v>
      </c>
      <c r="R42" s="94" t="s">
        <v>4</v>
      </c>
      <c r="S42" s="94" t="s">
        <v>4</v>
      </c>
      <c r="T42" s="94" t="s">
        <v>4</v>
      </c>
      <c r="U42" s="94" t="s">
        <v>4</v>
      </c>
      <c r="V42" s="94" t="s">
        <v>4</v>
      </c>
      <c r="W42" s="94" t="s">
        <v>4</v>
      </c>
      <c r="X42" s="95"/>
    </row>
    <row r="43" customFormat="false" ht="18.75" hidden="false" customHeight="true" outlineLevel="0" collapsed="false">
      <c r="B43" s="96" t="s">
        <v>135</v>
      </c>
      <c r="C43" s="97"/>
      <c r="D43" s="98"/>
      <c r="E43" s="98"/>
      <c r="F43" s="98"/>
      <c r="G43" s="98"/>
      <c r="H43" s="98"/>
      <c r="I43" s="98"/>
      <c r="J43" s="98"/>
      <c r="K43" s="98"/>
      <c r="L43" s="98"/>
      <c r="M43" s="98"/>
      <c r="N43" s="98"/>
      <c r="O43" s="98"/>
      <c r="P43" s="98"/>
      <c r="Q43" s="98"/>
      <c r="R43" s="98"/>
      <c r="S43" s="98"/>
      <c r="T43" s="98"/>
      <c r="U43" s="98"/>
      <c r="V43" s="98"/>
      <c r="W43" s="98"/>
      <c r="X43" s="99"/>
    </row>
    <row r="44" customFormat="false" ht="18.75" hidden="false" customHeight="true" outlineLevel="0" collapsed="false">
      <c r="B44" s="100" t="s">
        <v>136</v>
      </c>
      <c r="C44" s="101" t="n">
        <f aca="false">-(D16/(1-D17)+D18)*C4</f>
        <v>-14173250</v>
      </c>
      <c r="D44" s="102"/>
      <c r="E44" s="102"/>
      <c r="F44" s="102"/>
      <c r="G44" s="102"/>
      <c r="H44" s="102"/>
      <c r="I44" s="102"/>
      <c r="J44" s="102"/>
      <c r="K44" s="102"/>
      <c r="L44" s="102"/>
      <c r="M44" s="102"/>
      <c r="N44" s="102"/>
      <c r="O44" s="102"/>
      <c r="P44" s="102"/>
      <c r="Q44" s="102"/>
      <c r="R44" s="102"/>
      <c r="S44" s="102"/>
      <c r="T44" s="102"/>
      <c r="U44" s="102"/>
      <c r="V44" s="102"/>
      <c r="W44" s="102"/>
      <c r="X44" s="102"/>
    </row>
    <row r="45" customFormat="false" ht="18.75" hidden="false" customHeight="true" outlineLevel="0" collapsed="false">
      <c r="B45" s="100" t="s">
        <v>137</v>
      </c>
      <c r="C45" s="92" t="s">
        <v>4</v>
      </c>
      <c r="D45" s="102" t="n">
        <v>-290201</v>
      </c>
      <c r="E45" s="102" t="n">
        <v>-290201</v>
      </c>
      <c r="F45" s="102" t="n">
        <v>-290201</v>
      </c>
      <c r="G45" s="102" t="n">
        <v>-290201</v>
      </c>
      <c r="H45" s="102" t="n">
        <v>-290201</v>
      </c>
      <c r="I45" s="102" t="n">
        <v>-290201</v>
      </c>
      <c r="J45" s="102" t="n">
        <v>-290201</v>
      </c>
      <c r="K45" s="102" t="n">
        <v>-290201</v>
      </c>
      <c r="L45" s="102" t="n">
        <v>-290201</v>
      </c>
      <c r="M45" s="102" t="n">
        <v>-290201</v>
      </c>
      <c r="N45" s="102" t="n">
        <v>-290201</v>
      </c>
      <c r="O45" s="102" t="n">
        <v>-290201</v>
      </c>
      <c r="P45" s="102" t="n">
        <v>-290201</v>
      </c>
      <c r="Q45" s="102" t="n">
        <v>-290201</v>
      </c>
      <c r="R45" s="102" t="n">
        <v>-290201</v>
      </c>
      <c r="S45" s="102" t="n">
        <v>-290201</v>
      </c>
      <c r="T45" s="102" t="n">
        <v>-290201</v>
      </c>
      <c r="U45" s="102" t="n">
        <v>-290201</v>
      </c>
      <c r="V45" s="102" t="n">
        <v>-290201</v>
      </c>
      <c r="W45" s="102" t="n">
        <v>-290201</v>
      </c>
      <c r="X45" s="102"/>
    </row>
    <row r="46" customFormat="false" ht="18.75" hidden="false" customHeight="true" outlineLevel="0" collapsed="false">
      <c r="B46" s="100" t="s">
        <v>138</v>
      </c>
      <c r="C46" s="92"/>
      <c r="D46" s="102"/>
      <c r="E46" s="102"/>
      <c r="F46" s="102"/>
      <c r="G46" s="102"/>
      <c r="H46" s="102"/>
      <c r="I46" s="102"/>
      <c r="J46" s="102"/>
      <c r="K46" s="102"/>
      <c r="L46" s="102"/>
      <c r="M46" s="102"/>
      <c r="N46" s="102"/>
      <c r="O46" s="102"/>
      <c r="P46" s="102"/>
      <c r="Q46" s="102"/>
      <c r="R46" s="102"/>
      <c r="S46" s="102"/>
      <c r="T46" s="102"/>
      <c r="U46" s="102"/>
      <c r="V46" s="102"/>
      <c r="W46" s="102"/>
      <c r="X46" s="102"/>
    </row>
    <row r="47" customFormat="false" ht="18.75" hidden="false" customHeight="true" outlineLevel="0" collapsed="false">
      <c r="B47" s="100" t="s">
        <v>139</v>
      </c>
      <c r="C47" s="92" t="s">
        <v>4</v>
      </c>
      <c r="D47" s="102"/>
      <c r="E47" s="102"/>
      <c r="F47" s="102"/>
      <c r="G47" s="102"/>
      <c r="H47" s="102"/>
      <c r="I47" s="102"/>
      <c r="J47" s="102"/>
      <c r="K47" s="102"/>
      <c r="L47" s="102"/>
      <c r="M47" s="102"/>
      <c r="N47" s="102"/>
      <c r="O47" s="102"/>
      <c r="P47" s="102"/>
      <c r="Q47" s="102"/>
      <c r="R47" s="102"/>
      <c r="S47" s="102"/>
      <c r="T47" s="102"/>
      <c r="U47" s="102"/>
      <c r="V47" s="102"/>
      <c r="W47" s="102"/>
      <c r="X47" s="102"/>
    </row>
    <row r="48" customFormat="false" ht="18.75" hidden="false" customHeight="true" outlineLevel="0" collapsed="false">
      <c r="B48" s="100" t="s">
        <v>140</v>
      </c>
      <c r="C48" s="92" t="s">
        <v>4</v>
      </c>
      <c r="D48" s="102" t="n">
        <v>-174440</v>
      </c>
      <c r="E48" s="102" t="n">
        <v>-174440</v>
      </c>
      <c r="F48" s="102" t="n">
        <v>-174440</v>
      </c>
      <c r="G48" s="102" t="n">
        <v>-174440</v>
      </c>
      <c r="H48" s="102" t="n">
        <v>-174440</v>
      </c>
      <c r="I48" s="102" t="n">
        <v>-174440</v>
      </c>
      <c r="J48" s="102" t="n">
        <v>-174440</v>
      </c>
      <c r="K48" s="102" t="n">
        <v>-174440</v>
      </c>
      <c r="L48" s="102" t="n">
        <v>-174440</v>
      </c>
      <c r="M48" s="102" t="n">
        <v>-174440</v>
      </c>
      <c r="N48" s="102" t="n">
        <v>-174440</v>
      </c>
      <c r="O48" s="102" t="n">
        <v>-174440</v>
      </c>
      <c r="P48" s="102" t="n">
        <v>-174440</v>
      </c>
      <c r="Q48" s="102" t="n">
        <v>-174440</v>
      </c>
      <c r="R48" s="102" t="n">
        <v>-174440</v>
      </c>
      <c r="S48" s="102" t="n">
        <v>-174440</v>
      </c>
      <c r="T48" s="102" t="n">
        <v>-174440</v>
      </c>
      <c r="U48" s="102" t="n">
        <v>-174440</v>
      </c>
      <c r="V48" s="102" t="n">
        <v>-174440</v>
      </c>
      <c r="W48" s="102" t="n">
        <v>-174440</v>
      </c>
      <c r="X48" s="102"/>
    </row>
    <row r="49" customFormat="false" ht="18.75" hidden="false" customHeight="true" outlineLevel="0" collapsed="false">
      <c r="B49" s="100" t="s">
        <v>141</v>
      </c>
      <c r="C49" s="92" t="s">
        <v>4</v>
      </c>
      <c r="D49" s="102" t="n">
        <v>-31399.2</v>
      </c>
      <c r="E49" s="102" t="n">
        <v>-31399.2</v>
      </c>
      <c r="F49" s="102" t="n">
        <v>-31399.2</v>
      </c>
      <c r="G49" s="102" t="n">
        <v>-31399.2</v>
      </c>
      <c r="H49" s="102" t="n">
        <v>-31399.2</v>
      </c>
      <c r="I49" s="102" t="n">
        <v>-31399.2</v>
      </c>
      <c r="J49" s="102" t="n">
        <v>-31399.2</v>
      </c>
      <c r="K49" s="102" t="n">
        <v>-31399.2</v>
      </c>
      <c r="L49" s="102" t="n">
        <v>-31399.2</v>
      </c>
      <c r="M49" s="102" t="n">
        <v>-31399.2</v>
      </c>
      <c r="N49" s="102" t="n">
        <v>-31399.2</v>
      </c>
      <c r="O49" s="102" t="n">
        <v>-31399.2</v>
      </c>
      <c r="P49" s="102" t="n">
        <v>-31399.2</v>
      </c>
      <c r="Q49" s="102" t="n">
        <v>-31399.2</v>
      </c>
      <c r="R49" s="102" t="n">
        <v>-31399.2</v>
      </c>
      <c r="S49" s="102" t="n">
        <v>-31399.2</v>
      </c>
      <c r="T49" s="102" t="n">
        <v>-31399.2</v>
      </c>
      <c r="U49" s="102" t="n">
        <v>-31399.2</v>
      </c>
      <c r="V49" s="102" t="n">
        <v>-31399.2</v>
      </c>
      <c r="W49" s="102" t="n">
        <v>-31399.2</v>
      </c>
      <c r="X49" s="102"/>
    </row>
    <row r="50" customFormat="false" ht="18.75" hidden="false" customHeight="true" outlineLevel="0" collapsed="false">
      <c r="B50" s="100" t="s">
        <v>142</v>
      </c>
      <c r="C50" s="92"/>
      <c r="D50" s="102" t="n">
        <v>-43610</v>
      </c>
      <c r="E50" s="102" t="n">
        <v>-43610</v>
      </c>
      <c r="F50" s="102" t="n">
        <v>-43610</v>
      </c>
      <c r="G50" s="102" t="n">
        <v>-43610</v>
      </c>
      <c r="H50" s="102" t="n">
        <v>-43610</v>
      </c>
      <c r="I50" s="102" t="n">
        <v>-43610</v>
      </c>
      <c r="J50" s="102" t="n">
        <v>-43610</v>
      </c>
      <c r="K50" s="102" t="n">
        <v>-43610</v>
      </c>
      <c r="L50" s="102" t="n">
        <v>-43610</v>
      </c>
      <c r="M50" s="102" t="n">
        <v>-43610</v>
      </c>
      <c r="N50" s="102" t="n">
        <v>0</v>
      </c>
      <c r="O50" s="102" t="n">
        <v>0</v>
      </c>
      <c r="P50" s="102" t="n">
        <v>0</v>
      </c>
      <c r="Q50" s="102" t="n">
        <v>0</v>
      </c>
      <c r="R50" s="102" t="n">
        <v>0</v>
      </c>
      <c r="S50" s="102" t="n">
        <v>0</v>
      </c>
      <c r="T50" s="102" t="n">
        <v>0</v>
      </c>
      <c r="U50" s="102" t="n">
        <v>0</v>
      </c>
      <c r="V50" s="102" t="n">
        <v>0</v>
      </c>
      <c r="W50" s="102" t="n">
        <v>0</v>
      </c>
      <c r="X50" s="102"/>
    </row>
    <row r="51" customFormat="false" ht="18.75" hidden="false" customHeight="true" outlineLevel="0" collapsed="false">
      <c r="B51" s="100" t="s">
        <v>143</v>
      </c>
      <c r="C51" s="103"/>
      <c r="D51" s="102"/>
      <c r="E51" s="102"/>
      <c r="F51" s="102"/>
      <c r="G51" s="102"/>
      <c r="H51" s="102"/>
      <c r="I51" s="102"/>
      <c r="J51" s="102"/>
      <c r="K51" s="102"/>
      <c r="L51" s="102"/>
      <c r="M51" s="102"/>
      <c r="N51" s="102"/>
      <c r="O51" s="102"/>
      <c r="P51" s="102"/>
      <c r="Q51" s="102"/>
      <c r="R51" s="102"/>
      <c r="S51" s="102"/>
      <c r="T51" s="102"/>
      <c r="U51" s="102"/>
      <c r="V51" s="102"/>
      <c r="W51" s="102"/>
      <c r="X51" s="102"/>
    </row>
    <row r="52" customFormat="false" ht="18.75" hidden="false" customHeight="true" outlineLevel="0" collapsed="false">
      <c r="B52" s="100" t="s">
        <v>144</v>
      </c>
      <c r="C52" s="103"/>
      <c r="D52" s="102"/>
      <c r="E52" s="102"/>
      <c r="F52" s="102"/>
      <c r="G52" s="102"/>
      <c r="H52" s="102"/>
      <c r="I52" s="102"/>
      <c r="J52" s="102"/>
      <c r="K52" s="102"/>
      <c r="L52" s="102"/>
      <c r="M52" s="102"/>
      <c r="N52" s="102"/>
      <c r="O52" s="102"/>
      <c r="P52" s="102"/>
      <c r="Q52" s="102"/>
      <c r="R52" s="102"/>
      <c r="S52" s="102"/>
      <c r="T52" s="102"/>
      <c r="U52" s="102"/>
      <c r="V52" s="102"/>
      <c r="W52" s="102"/>
      <c r="X52" s="102"/>
    </row>
    <row r="53" customFormat="false" ht="18.75" hidden="false" customHeight="true" outlineLevel="0" collapsed="false">
      <c r="B53" s="104" t="s">
        <v>145</v>
      </c>
      <c r="C53" s="103"/>
      <c r="D53" s="102"/>
      <c r="E53" s="102"/>
      <c r="F53" s="102"/>
      <c r="G53" s="102"/>
      <c r="H53" s="102"/>
      <c r="I53" s="102"/>
      <c r="J53" s="102"/>
      <c r="K53" s="102"/>
      <c r="L53" s="102"/>
      <c r="M53" s="102"/>
      <c r="N53" s="102"/>
      <c r="O53" s="102"/>
      <c r="P53" s="102"/>
      <c r="Q53" s="102"/>
      <c r="R53" s="102"/>
      <c r="S53" s="102"/>
      <c r="T53" s="102"/>
      <c r="U53" s="102"/>
      <c r="V53" s="102"/>
      <c r="W53" s="102"/>
      <c r="X53" s="102"/>
    </row>
    <row r="54" customFormat="false" ht="18.75" hidden="false" customHeight="true" outlineLevel="0" collapsed="false">
      <c r="B54" s="104" t="s">
        <v>146</v>
      </c>
      <c r="C54" s="103"/>
      <c r="D54" s="102" t="n">
        <f aca="false">-(D64+D67+D68+D71+D72+D73+D74)*0.2</f>
        <v>-241603.244</v>
      </c>
      <c r="E54" s="102" t="n">
        <f aca="false">-(E64+E67+E68+E71+E72+E73+E74)*0.2</f>
        <v>-181812.6376</v>
      </c>
      <c r="F54" s="102" t="n">
        <f aca="false">-(F64+F67+F68+F71+F72+F73+F74)*0.2</f>
        <v>-180062.2312</v>
      </c>
      <c r="G54" s="102" t="n">
        <f aca="false">-(G64+G67+G68+G71+G72+G73+G74)*0.2</f>
        <v>-178311.8248</v>
      </c>
      <c r="H54" s="102" t="n">
        <f aca="false">-(H64+H67+H68+H71+H72+H73+H74)*0.2</f>
        <v>-176561.4184</v>
      </c>
      <c r="I54" s="102" t="n">
        <f aca="false">-(I64+I67+I68+I71+I72+I73+I74)*0.2</f>
        <v>-174811.012</v>
      </c>
      <c r="J54" s="102" t="n">
        <f aca="false">-(J64+J67+J68+J71+J72+J73+J74)*0.2</f>
        <v>-173060.6056</v>
      </c>
      <c r="K54" s="102" t="n">
        <f aca="false">-(K64+K67+K68+K71+K72+K73+K74)*0.2</f>
        <v>-171310.1992</v>
      </c>
      <c r="L54" s="102" t="n">
        <f aca="false">-(L64+L67+L68+L71+L72+L73+L74)*0.2</f>
        <v>-169559.7928</v>
      </c>
      <c r="M54" s="102" t="n">
        <f aca="false">-(M64+M67+M68+M71+M72+M73+M74)*0.2</f>
        <v>-167809.3864</v>
      </c>
      <c r="N54" s="102" t="n">
        <f aca="false">-(N64+N67+N68+N71+N72+N73+N74)*0.2</f>
        <v>-174780.98</v>
      </c>
      <c r="O54" s="102" t="n">
        <f aca="false">-(O64+O67+O68+O71+O72+O73+O74)*0.2</f>
        <v>-173030.5736</v>
      </c>
      <c r="P54" s="102" t="n">
        <f aca="false">-(P64+P67+P68+P71+P72+P73+P74)*0.2</f>
        <v>-171280.1672</v>
      </c>
      <c r="Q54" s="102" t="n">
        <f aca="false">-(Q64+Q67+Q68+Q71+Q72+Q73+Q74)*0.2</f>
        <v>-169529.7608</v>
      </c>
      <c r="R54" s="102" t="n">
        <f aca="false">-(R64+R67+R68+R71+R72+R73+R74)*0.2</f>
        <v>-167779.3544</v>
      </c>
      <c r="S54" s="102" t="n">
        <f aca="false">-(S64+S67+S68+S71+S72+S73+S74)*0.2</f>
        <v>-166028.948</v>
      </c>
      <c r="T54" s="102" t="n">
        <f aca="false">-(T64+T67+T68+T71+T72+T73+T74)*0.2</f>
        <v>-164278.5416</v>
      </c>
      <c r="U54" s="102" t="n">
        <f aca="false">-(U64+U67+U68+U71+U72+U73+U74)*0.2</f>
        <v>-162528.1352</v>
      </c>
      <c r="V54" s="102" t="n">
        <f aca="false">-(V64+V67+V68+V71+V72+V73+V74)*0.2</f>
        <v>-160777.7288</v>
      </c>
      <c r="W54" s="102" t="n">
        <f aca="false">-(W64+W67+W68+W71+W72+W73+W74)*0.2</f>
        <v>-159027.3224</v>
      </c>
      <c r="X54" s="93"/>
    </row>
    <row r="55" customFormat="false" ht="18.75" hidden="false" customHeight="true" outlineLevel="0" collapsed="false">
      <c r="B55" s="105" t="s">
        <v>147</v>
      </c>
      <c r="C55" s="106" t="n">
        <f aca="false">C44</f>
        <v>-14173250</v>
      </c>
      <c r="D55" s="107" t="n">
        <f aca="false">SUM(D41:D54)</f>
        <v>1384874.476</v>
      </c>
      <c r="E55" s="107" t="n">
        <f aca="false">SUM(E41:E54)</f>
        <v>1435913.0504</v>
      </c>
      <c r="F55" s="107" t="n">
        <f aca="false">SUM(F41:F54)</f>
        <v>1428911.4248</v>
      </c>
      <c r="G55" s="107" t="n">
        <f aca="false">SUM(G41:G54)</f>
        <v>1421909.7992</v>
      </c>
      <c r="H55" s="107" t="n">
        <f aca="false">SUM(H41:H54)</f>
        <v>1414908.1736</v>
      </c>
      <c r="I55" s="107" t="n">
        <f aca="false">SUM(I41:I54)</f>
        <v>1407906.548</v>
      </c>
      <c r="J55" s="107" t="n">
        <f aca="false">SUM(J41:J54)</f>
        <v>1400904.9224</v>
      </c>
      <c r="K55" s="107" t="n">
        <f aca="false">SUM(K41:K54)</f>
        <v>1393903.2968</v>
      </c>
      <c r="L55" s="107" t="n">
        <f aca="false">SUM(L41:L54)</f>
        <v>1386901.6712</v>
      </c>
      <c r="M55" s="107" t="n">
        <f aca="false">SUM(M41:M54)</f>
        <v>1379900.0456</v>
      </c>
      <c r="N55" s="107" t="n">
        <f aca="false">SUM(N41:N54)</f>
        <v>1407786.42</v>
      </c>
      <c r="O55" s="107" t="n">
        <f aca="false">SUM(O41:O54)</f>
        <v>1400784.7944</v>
      </c>
      <c r="P55" s="107" t="n">
        <f aca="false">SUM(P41:P54)</f>
        <v>1393783.1688</v>
      </c>
      <c r="Q55" s="107" t="n">
        <f aca="false">SUM(Q41:Q54)</f>
        <v>1386781.5432</v>
      </c>
      <c r="R55" s="107" t="n">
        <f aca="false">SUM(R41:R54)</f>
        <v>1379779.9176</v>
      </c>
      <c r="S55" s="107" t="n">
        <f aca="false">SUM(S41:S54)</f>
        <v>1372778.292</v>
      </c>
      <c r="T55" s="107" t="n">
        <f aca="false">SUM(T41:T54)</f>
        <v>1365776.6664</v>
      </c>
      <c r="U55" s="107" t="n">
        <f aca="false">SUM(U41:U54)</f>
        <v>1358775.0408</v>
      </c>
      <c r="V55" s="107" t="n">
        <f aca="false">SUM(V41:V54)</f>
        <v>1351773.4152</v>
      </c>
      <c r="W55" s="107" t="n">
        <f aca="false">SUM(W41:W54)</f>
        <v>1344771.7896</v>
      </c>
      <c r="X55" s="108"/>
      <c r="Y55" s="109"/>
      <c r="Z55" s="110"/>
      <c r="AA55" s="109"/>
      <c r="AB55" s="109"/>
      <c r="AC55" s="109"/>
      <c r="AD55" s="109"/>
      <c r="AE55" s="109"/>
      <c r="AF55" s="109"/>
      <c r="AG55" s="109"/>
      <c r="AH55" s="109"/>
      <c r="AI55" s="109"/>
      <c r="AJ55" s="109"/>
    </row>
    <row r="56" customFormat="false" ht="18.75" hidden="false" customHeight="true" outlineLevel="0" collapsed="false">
      <c r="B56" s="111" t="s">
        <v>148</v>
      </c>
      <c r="D56" s="112" t="n">
        <f aca="false">C55+D55</f>
        <v>-12788375.524</v>
      </c>
      <c r="E56" s="112" t="n">
        <f aca="false">D56+E55</f>
        <v>-11352462.4736</v>
      </c>
      <c r="F56" s="112" t="n">
        <f aca="false">E56+F55</f>
        <v>-9923551.0488</v>
      </c>
      <c r="G56" s="112" t="n">
        <f aca="false">F56+G55</f>
        <v>-8501641.2496</v>
      </c>
      <c r="H56" s="112" t="n">
        <f aca="false">G56+H55</f>
        <v>-7086733.076</v>
      </c>
      <c r="I56" s="112" t="n">
        <f aca="false">H56+I55</f>
        <v>-5678826.528</v>
      </c>
      <c r="J56" s="112" t="n">
        <f aca="false">I56+J55</f>
        <v>-4277921.6056</v>
      </c>
      <c r="K56" s="112" t="n">
        <f aca="false">J56+K55</f>
        <v>-2884018.3088</v>
      </c>
      <c r="L56" s="112" t="n">
        <f aca="false">K56+L55</f>
        <v>-1497116.6376</v>
      </c>
      <c r="M56" s="112" t="n">
        <f aca="false">L56+M55</f>
        <v>-117216.591999999</v>
      </c>
      <c r="N56" s="112" t="n">
        <f aca="false">M56+N55</f>
        <v>1290569.828</v>
      </c>
      <c r="O56" s="112" t="n">
        <f aca="false">N56+O55</f>
        <v>2691354.6224</v>
      </c>
      <c r="P56" s="112" t="n">
        <f aca="false">O56+P55</f>
        <v>4085137.7912</v>
      </c>
      <c r="Q56" s="112" t="n">
        <f aca="false">P56+Q55</f>
        <v>5471919.3344</v>
      </c>
      <c r="R56" s="112" t="n">
        <f aca="false">Q56+R55</f>
        <v>6851699.252</v>
      </c>
      <c r="S56" s="112" t="n">
        <f aca="false">R56+S55</f>
        <v>8224477.544</v>
      </c>
      <c r="T56" s="112" t="n">
        <f aca="false">S56+T55</f>
        <v>9590254.2104</v>
      </c>
      <c r="U56" s="112" t="n">
        <f aca="false">T56+U55</f>
        <v>10949029.2512</v>
      </c>
      <c r="V56" s="112" t="n">
        <f aca="false">U56+V55</f>
        <v>12300802.6664</v>
      </c>
      <c r="W56" s="112" t="n">
        <f aca="false">V56+W55</f>
        <v>13645574.456</v>
      </c>
      <c r="X56" s="112" t="n">
        <f aca="false">W56+X55</f>
        <v>13645574.456</v>
      </c>
      <c r="Y56" s="109"/>
      <c r="Z56" s="109"/>
      <c r="AA56" s="109"/>
      <c r="AB56" s="109"/>
      <c r="AC56" s="109"/>
      <c r="AD56" s="109"/>
      <c r="AE56" s="109"/>
      <c r="AF56" s="109"/>
      <c r="AG56" s="109"/>
      <c r="AH56" s="109"/>
      <c r="AI56" s="109"/>
      <c r="AJ56" s="109"/>
    </row>
    <row r="57" customFormat="false" ht="18.75" hidden="false" customHeight="true" outlineLevel="0" collapsed="false">
      <c r="B57" s="113" t="s">
        <v>149</v>
      </c>
      <c r="C57" s="114"/>
      <c r="D57" s="115" t="str">
        <f aca="false">IF((D56)&gt;0,"回收","未回收")</f>
        <v>未回收</v>
      </c>
      <c r="E57" s="116" t="str">
        <f aca="false">IF((E56)&gt;0,"回收","未回收")</f>
        <v>未回收</v>
      </c>
      <c r="F57" s="116" t="str">
        <f aca="false">IF((F56)&gt;0,"回收","未回收")</f>
        <v>未回收</v>
      </c>
      <c r="G57" s="116" t="str">
        <f aca="false">IF((G56)&gt;0,"回收","未回收")</f>
        <v>未回收</v>
      </c>
      <c r="H57" s="116" t="str">
        <f aca="false">IF((H56)&gt;0,"回收","未回收")</f>
        <v>未回收</v>
      </c>
      <c r="I57" s="116" t="str">
        <f aca="false">IF((I56)&gt;0,"回收","未回收")</f>
        <v>未回收</v>
      </c>
      <c r="J57" s="116" t="str">
        <f aca="false">IF((J56)&gt;0,"回收","未回收")</f>
        <v>未回收</v>
      </c>
      <c r="K57" s="116" t="str">
        <f aca="false">IF((K56)&gt;0,"回收","未回收")</f>
        <v>未回收</v>
      </c>
      <c r="L57" s="116" t="str">
        <f aca="false">IF((L56)&gt;0,"回收","未回收")</f>
        <v>未回收</v>
      </c>
      <c r="M57" s="116" t="str">
        <f aca="false">IF((M56)&gt;0,"回收","未回收")</f>
        <v>未回收</v>
      </c>
      <c r="N57" s="116" t="str">
        <f aca="false">IF((N56)&gt;0,"回收","未回收")</f>
        <v>回收</v>
      </c>
      <c r="O57" s="116" t="str">
        <f aca="false">IF((O56)&gt;0,"回收","未回收")</f>
        <v>回收</v>
      </c>
      <c r="P57" s="116" t="str">
        <f aca="false">IF((P56)&gt;0,"回收","未回收")</f>
        <v>回收</v>
      </c>
      <c r="Q57" s="116" t="str">
        <f aca="false">IF((Q56)&gt;0,"回收","未回收")</f>
        <v>回收</v>
      </c>
      <c r="R57" s="116" t="str">
        <f aca="false">IF((R56)&gt;0,"回收","未回收")</f>
        <v>回收</v>
      </c>
      <c r="S57" s="116" t="str">
        <f aca="false">IF((S56)&gt;0,"回收","未回收")</f>
        <v>回收</v>
      </c>
      <c r="T57" s="116" t="str">
        <f aca="false">IF((T56)&gt;0,"回收","未回收")</f>
        <v>回收</v>
      </c>
      <c r="U57" s="116" t="str">
        <f aca="false">IF((U56)&gt;0,"回收","未回收")</f>
        <v>回收</v>
      </c>
      <c r="V57" s="116" t="str">
        <f aca="false">IF((V56)&gt;0,"回收","未回收")</f>
        <v>回收</v>
      </c>
      <c r="W57" s="116" t="str">
        <f aca="false">IF((W56)&gt;0,"回收","未回收")</f>
        <v>回收</v>
      </c>
      <c r="X57" s="116" t="str">
        <f aca="false">IF((X56)&gt;0,"回收","未回收")</f>
        <v>回收</v>
      </c>
      <c r="Y57" s="109"/>
      <c r="Z57" s="109"/>
      <c r="AA57" s="109"/>
      <c r="AB57" s="109"/>
      <c r="AC57" s="109"/>
      <c r="AD57" s="109"/>
      <c r="AE57" s="109"/>
      <c r="AF57" s="109"/>
      <c r="AG57" s="109"/>
      <c r="AH57" s="109"/>
      <c r="AI57" s="109"/>
      <c r="AJ57" s="109"/>
    </row>
    <row r="58" customFormat="false" ht="18.75" hidden="false" customHeight="true" outlineLevel="0" collapsed="false">
      <c r="B58" s="117" t="s">
        <v>74</v>
      </c>
      <c r="C58" s="118" t="n">
        <f aca="false">IRR(C55:W55)</f>
        <v>0.075808822313838</v>
      </c>
      <c r="D58" s="119"/>
      <c r="E58" s="119"/>
      <c r="F58" s="120"/>
      <c r="G58" s="120"/>
      <c r="H58" s="120"/>
      <c r="I58" s="120"/>
      <c r="J58" s="120"/>
      <c r="K58" s="120"/>
      <c r="L58" s="120"/>
      <c r="M58" s="120"/>
      <c r="N58" s="120"/>
      <c r="O58" s="120"/>
      <c r="P58" s="120"/>
      <c r="Q58" s="120"/>
      <c r="R58" s="120"/>
      <c r="S58" s="120"/>
      <c r="T58" s="120"/>
      <c r="U58" s="120"/>
      <c r="V58" s="120"/>
      <c r="W58" s="120"/>
      <c r="X58" s="120"/>
      <c r="Y58" s="121"/>
      <c r="Z58" s="121"/>
      <c r="AA58" s="121"/>
      <c r="AB58" s="121"/>
      <c r="AC58" s="121"/>
      <c r="AD58" s="121"/>
      <c r="AE58" s="121"/>
      <c r="AF58" s="121"/>
      <c r="AG58" s="121"/>
      <c r="AH58" s="121"/>
      <c r="AI58" s="121"/>
      <c r="AJ58" s="121"/>
    </row>
    <row r="59" customFormat="false" ht="18.75" hidden="false" customHeight="true" outlineLevel="0" collapsed="false">
      <c r="B59" s="120"/>
      <c r="C59" s="119"/>
      <c r="D59" s="119"/>
      <c r="E59" s="119"/>
      <c r="F59" s="120"/>
      <c r="G59" s="120"/>
      <c r="H59" s="120"/>
      <c r="I59" s="120"/>
      <c r="J59" s="120"/>
      <c r="K59" s="120"/>
      <c r="L59" s="120"/>
      <c r="M59" s="119"/>
      <c r="N59" s="120"/>
      <c r="O59" s="120"/>
      <c r="P59" s="120"/>
      <c r="Q59" s="120"/>
      <c r="R59" s="120"/>
      <c r="S59" s="120"/>
      <c r="T59" s="120"/>
      <c r="U59" s="120"/>
      <c r="V59" s="120"/>
      <c r="W59" s="120"/>
      <c r="X59" s="120"/>
      <c r="Y59" s="121"/>
      <c r="Z59" s="121"/>
      <c r="AA59" s="121"/>
      <c r="AB59" s="121"/>
      <c r="AC59" s="121"/>
      <c r="AD59" s="121"/>
      <c r="AE59" s="121"/>
      <c r="AF59" s="121"/>
      <c r="AG59" s="121"/>
      <c r="AH59" s="121"/>
      <c r="AI59" s="121"/>
      <c r="AJ59" s="121"/>
    </row>
    <row r="60" customFormat="false" ht="18.75" hidden="false" customHeight="true" outlineLevel="0" collapsed="false">
      <c r="B60" s="69"/>
      <c r="C60" s="70" t="s">
        <v>130</v>
      </c>
      <c r="D60" s="70" t="n">
        <f aca="false">D37</f>
        <v>2020</v>
      </c>
      <c r="E60" s="70" t="n">
        <f aca="false">E37</f>
        <v>2021</v>
      </c>
      <c r="F60" s="70" t="n">
        <f aca="false">F37</f>
        <v>2022</v>
      </c>
      <c r="G60" s="70" t="n">
        <f aca="false">G37</f>
        <v>2023</v>
      </c>
      <c r="H60" s="70" t="n">
        <f aca="false">H37</f>
        <v>2024</v>
      </c>
      <c r="I60" s="70" t="n">
        <f aca="false">I37</f>
        <v>2025</v>
      </c>
      <c r="J60" s="70" t="n">
        <f aca="false">J37</f>
        <v>2026</v>
      </c>
      <c r="K60" s="70" t="n">
        <f aca="false">K37</f>
        <v>2027</v>
      </c>
      <c r="L60" s="70" t="n">
        <f aca="false">L37</f>
        <v>2028</v>
      </c>
      <c r="M60" s="70" t="n">
        <f aca="false">M37</f>
        <v>2029</v>
      </c>
      <c r="N60" s="70" t="n">
        <f aca="false">N37</f>
        <v>2030</v>
      </c>
      <c r="O60" s="70" t="n">
        <f aca="false">O37</f>
        <v>2031</v>
      </c>
      <c r="P60" s="70" t="n">
        <f aca="false">P37</f>
        <v>2032</v>
      </c>
      <c r="Q60" s="70" t="n">
        <f aca="false">Q37</f>
        <v>2033</v>
      </c>
      <c r="R60" s="70" t="n">
        <f aca="false">R37</f>
        <v>2034</v>
      </c>
      <c r="S60" s="70" t="n">
        <f aca="false">S37</f>
        <v>2035</v>
      </c>
      <c r="T60" s="70" t="n">
        <f aca="false">T37</f>
        <v>2036</v>
      </c>
      <c r="U60" s="70" t="n">
        <f aca="false">U37</f>
        <v>2037</v>
      </c>
      <c r="V60" s="70" t="n">
        <f aca="false">V37</f>
        <v>2038</v>
      </c>
      <c r="W60" s="70" t="n">
        <f aca="false">W37</f>
        <v>2039</v>
      </c>
      <c r="X60" s="70"/>
      <c r="Y60" s="122"/>
      <c r="Z60" s="122"/>
      <c r="AA60" s="122"/>
      <c r="AB60" s="122"/>
      <c r="AC60" s="122"/>
      <c r="AD60" s="122"/>
      <c r="AE60" s="122"/>
      <c r="AF60" s="122"/>
      <c r="AG60" s="122"/>
      <c r="AH60" s="122"/>
      <c r="AI60" s="122"/>
      <c r="AJ60" s="122"/>
    </row>
    <row r="61" customFormat="false" ht="18.75" hidden="false" customHeight="true" outlineLevel="0" collapsed="false">
      <c r="B61" s="71" t="n">
        <v>0</v>
      </c>
      <c r="C61" s="72"/>
      <c r="D61" s="73"/>
      <c r="E61" s="73"/>
      <c r="F61" s="74"/>
      <c r="G61" s="75"/>
      <c r="H61" s="75"/>
      <c r="I61" s="75"/>
      <c r="J61" s="75"/>
      <c r="K61" s="75"/>
      <c r="L61" s="75"/>
      <c r="M61" s="75"/>
      <c r="N61" s="75"/>
      <c r="O61" s="75"/>
      <c r="P61" s="75"/>
      <c r="Q61" s="75"/>
      <c r="R61" s="75"/>
      <c r="S61" s="75"/>
      <c r="T61" s="123" t="s">
        <v>150</v>
      </c>
      <c r="U61" s="75"/>
      <c r="V61" s="75"/>
      <c r="W61" s="75"/>
      <c r="X61" s="77"/>
    </row>
    <row r="62" customFormat="false" ht="18.75" hidden="false" customHeight="true" outlineLevel="0" collapsed="false">
      <c r="B62" s="78" t="s">
        <v>131</v>
      </c>
      <c r="C62" s="79" t="n">
        <v>0</v>
      </c>
      <c r="D62" s="80" t="n">
        <v>1</v>
      </c>
      <c r="E62" s="80" t="n">
        <v>2</v>
      </c>
      <c r="F62" s="80" t="n">
        <v>3</v>
      </c>
      <c r="G62" s="80" t="n">
        <v>4</v>
      </c>
      <c r="H62" s="80" t="n">
        <v>5</v>
      </c>
      <c r="I62" s="80" t="n">
        <v>6</v>
      </c>
      <c r="J62" s="80" t="n">
        <v>7</v>
      </c>
      <c r="K62" s="80" t="n">
        <v>8</v>
      </c>
      <c r="L62" s="80" t="n">
        <v>9</v>
      </c>
      <c r="M62" s="80" t="n">
        <v>10</v>
      </c>
      <c r="N62" s="80" t="n">
        <v>11</v>
      </c>
      <c r="O62" s="80" t="n">
        <v>12</v>
      </c>
      <c r="P62" s="80" t="n">
        <v>13</v>
      </c>
      <c r="Q62" s="80" t="n">
        <v>14</v>
      </c>
      <c r="R62" s="80" t="n">
        <v>15</v>
      </c>
      <c r="S62" s="80" t="n">
        <v>16</v>
      </c>
      <c r="T62" s="124" t="n">
        <v>17</v>
      </c>
      <c r="U62" s="80" t="n">
        <v>18</v>
      </c>
      <c r="V62" s="80" t="n">
        <v>19</v>
      </c>
      <c r="W62" s="80" t="n">
        <v>20</v>
      </c>
      <c r="X62" s="82"/>
    </row>
    <row r="63" customFormat="false" ht="18.75" hidden="false" customHeight="true" outlineLevel="0" collapsed="false">
      <c r="B63" s="83" t="s">
        <v>132</v>
      </c>
      <c r="C63" s="84" t="n">
        <v>0</v>
      </c>
      <c r="D63" s="85" t="n">
        <f aca="false">D40</f>
        <v>541531.98</v>
      </c>
      <c r="E63" s="85" t="n">
        <f aca="false">E40</f>
        <v>539343.972</v>
      </c>
      <c r="F63" s="85" t="n">
        <f aca="false">F40</f>
        <v>537155.964</v>
      </c>
      <c r="G63" s="85" t="n">
        <f aca="false">G40</f>
        <v>534967.956</v>
      </c>
      <c r="H63" s="85" t="n">
        <f aca="false">H40</f>
        <v>532779.948</v>
      </c>
      <c r="I63" s="85" t="n">
        <f aca="false">I40</f>
        <v>530591.94</v>
      </c>
      <c r="J63" s="85" t="n">
        <f aca="false">J40</f>
        <v>528403.932</v>
      </c>
      <c r="K63" s="85" t="n">
        <f aca="false">K40</f>
        <v>526215.924</v>
      </c>
      <c r="L63" s="85" t="n">
        <f aca="false">L40</f>
        <v>524027.916</v>
      </c>
      <c r="M63" s="85" t="n">
        <f aca="false">M40</f>
        <v>521839.908</v>
      </c>
      <c r="N63" s="85" t="n">
        <f aca="false">N40</f>
        <v>519651.9</v>
      </c>
      <c r="O63" s="85" t="n">
        <f aca="false">O40</f>
        <v>517463.892</v>
      </c>
      <c r="P63" s="85" t="n">
        <f aca="false">P40</f>
        <v>515275.884</v>
      </c>
      <c r="Q63" s="85" t="n">
        <f aca="false">Q40</f>
        <v>513087.876</v>
      </c>
      <c r="R63" s="85" t="n">
        <f aca="false">R40</f>
        <v>510899.868</v>
      </c>
      <c r="S63" s="85" t="n">
        <f aca="false">S40</f>
        <v>508711.86</v>
      </c>
      <c r="T63" s="85" t="n">
        <f aca="false">T40</f>
        <v>506523.852</v>
      </c>
      <c r="U63" s="85" t="n">
        <f aca="false">U40</f>
        <v>504335.844</v>
      </c>
      <c r="V63" s="85" t="n">
        <f aca="false">V40</f>
        <v>502147.836</v>
      </c>
      <c r="W63" s="85" t="n">
        <f aca="false">W40</f>
        <v>499959.828</v>
      </c>
      <c r="X63" s="86"/>
    </row>
    <row r="64" customFormat="false" ht="18.75" hidden="false" customHeight="true" outlineLevel="0" collapsed="false">
      <c r="B64" s="87" t="s">
        <v>133</v>
      </c>
      <c r="C64" s="88" t="s">
        <v>4</v>
      </c>
      <c r="D64" s="89" t="n">
        <f aca="false">D41</f>
        <v>2166127.92</v>
      </c>
      <c r="E64" s="89" t="n">
        <f aca="false">E41</f>
        <v>2157375.888</v>
      </c>
      <c r="F64" s="89" t="n">
        <f aca="false">F41</f>
        <v>2148623.856</v>
      </c>
      <c r="G64" s="89" t="n">
        <f aca="false">G41</f>
        <v>2139871.824</v>
      </c>
      <c r="H64" s="89" t="n">
        <f aca="false">H41</f>
        <v>2131119.792</v>
      </c>
      <c r="I64" s="89" t="n">
        <f aca="false">I41</f>
        <v>2122367.76</v>
      </c>
      <c r="J64" s="89" t="n">
        <f aca="false">J41</f>
        <v>2113615.728</v>
      </c>
      <c r="K64" s="89" t="n">
        <f aca="false">K41</f>
        <v>2104863.696</v>
      </c>
      <c r="L64" s="89" t="n">
        <f aca="false">L41</f>
        <v>2096111.664</v>
      </c>
      <c r="M64" s="89" t="n">
        <f aca="false">M41</f>
        <v>2087359.632</v>
      </c>
      <c r="N64" s="89" t="n">
        <f aca="false">N41</f>
        <v>2078607.6</v>
      </c>
      <c r="O64" s="89" t="n">
        <f aca="false">O41</f>
        <v>2069855.568</v>
      </c>
      <c r="P64" s="89" t="n">
        <f aca="false">P41</f>
        <v>2061103.536</v>
      </c>
      <c r="Q64" s="89" t="n">
        <f aca="false">Q41</f>
        <v>2052351.504</v>
      </c>
      <c r="R64" s="89" t="n">
        <f aca="false">R41</f>
        <v>2043599.472</v>
      </c>
      <c r="S64" s="89" t="n">
        <f aca="false">S41</f>
        <v>2034847.44</v>
      </c>
      <c r="T64" s="89" t="n">
        <f aca="false">T41</f>
        <v>2026095.408</v>
      </c>
      <c r="U64" s="89" t="n">
        <f aca="false">U41</f>
        <v>2017343.376</v>
      </c>
      <c r="V64" s="89" t="n">
        <f aca="false">V41</f>
        <v>2008591.344</v>
      </c>
      <c r="W64" s="89" t="n">
        <f aca="false">W41</f>
        <v>1999839.312</v>
      </c>
      <c r="X64" s="90"/>
    </row>
    <row r="65" customFormat="false" ht="18.75" hidden="false" customHeight="true" outlineLevel="0" collapsed="false">
      <c r="B65" s="91" t="s">
        <v>134</v>
      </c>
      <c r="C65" s="92" t="s">
        <v>4</v>
      </c>
      <c r="D65" s="93"/>
      <c r="E65" s="93"/>
      <c r="F65" s="93"/>
      <c r="G65" s="94" t="s">
        <v>4</v>
      </c>
      <c r="H65" s="94" t="s">
        <v>4</v>
      </c>
      <c r="I65" s="94" t="s">
        <v>4</v>
      </c>
      <c r="J65" s="94" t="s">
        <v>4</v>
      </c>
      <c r="K65" s="94" t="s">
        <v>4</v>
      </c>
      <c r="L65" s="94" t="s">
        <v>4</v>
      </c>
      <c r="M65" s="94" t="s">
        <v>4</v>
      </c>
      <c r="N65" s="94" t="s">
        <v>4</v>
      </c>
      <c r="O65" s="94" t="s">
        <v>4</v>
      </c>
      <c r="P65" s="94" t="s">
        <v>4</v>
      </c>
      <c r="Q65" s="94" t="s">
        <v>4</v>
      </c>
      <c r="R65" s="94" t="s">
        <v>4</v>
      </c>
      <c r="S65" s="94" t="s">
        <v>4</v>
      </c>
      <c r="T65" s="94" t="s">
        <v>4</v>
      </c>
      <c r="U65" s="94" t="s">
        <v>4</v>
      </c>
      <c r="V65" s="94" t="s">
        <v>4</v>
      </c>
      <c r="W65" s="94" t="s">
        <v>4</v>
      </c>
      <c r="X65" s="95"/>
    </row>
    <row r="66" customFormat="false" ht="18.75" hidden="false" customHeight="true" outlineLevel="0" collapsed="false">
      <c r="B66" s="96" t="s">
        <v>135</v>
      </c>
      <c r="C66" s="97"/>
      <c r="D66" s="98"/>
      <c r="E66" s="98"/>
      <c r="F66" s="98"/>
      <c r="G66" s="98"/>
      <c r="H66" s="98"/>
      <c r="I66" s="98"/>
      <c r="J66" s="98"/>
      <c r="K66" s="98"/>
      <c r="L66" s="98"/>
      <c r="M66" s="98"/>
      <c r="N66" s="98"/>
      <c r="O66" s="98"/>
      <c r="P66" s="98"/>
      <c r="Q66" s="98"/>
      <c r="R66" s="98"/>
      <c r="S66" s="98"/>
      <c r="T66" s="98"/>
      <c r="U66" s="98"/>
      <c r="V66" s="98"/>
      <c r="W66" s="98"/>
      <c r="X66" s="99"/>
    </row>
    <row r="67" customFormat="false" ht="18.75" hidden="false" customHeight="true" outlineLevel="0" collapsed="false">
      <c r="B67" s="100" t="s">
        <v>151</v>
      </c>
      <c r="C67" s="92"/>
      <c r="D67" s="125" t="n">
        <f aca="false">$C$44/$E$16</f>
        <v>-708662.5</v>
      </c>
      <c r="E67" s="125" t="n">
        <f aca="false">$C$44/$E$16</f>
        <v>-708662.5</v>
      </c>
      <c r="F67" s="125" t="n">
        <f aca="false">$C$44/$E$16</f>
        <v>-708662.5</v>
      </c>
      <c r="G67" s="125" t="n">
        <f aca="false">$C$44/$E$16</f>
        <v>-708662.5</v>
      </c>
      <c r="H67" s="125" t="n">
        <f aca="false">$C$44/$E$16</f>
        <v>-708662.5</v>
      </c>
      <c r="I67" s="125" t="n">
        <f aca="false">$C$44/$E$16</f>
        <v>-708662.5</v>
      </c>
      <c r="J67" s="125" t="n">
        <f aca="false">$C$44/$E$16</f>
        <v>-708662.5</v>
      </c>
      <c r="K67" s="125" t="n">
        <f aca="false">$C$44/$E$16</f>
        <v>-708662.5</v>
      </c>
      <c r="L67" s="125" t="n">
        <f aca="false">$C$44/$E$16</f>
        <v>-708662.5</v>
      </c>
      <c r="M67" s="125" t="n">
        <f aca="false">$C$44/$E$16</f>
        <v>-708662.5</v>
      </c>
      <c r="N67" s="125" t="n">
        <f aca="false">$C$44/$E$16</f>
        <v>-708662.5</v>
      </c>
      <c r="O67" s="125" t="n">
        <f aca="false">$C$44/$E$16</f>
        <v>-708662.5</v>
      </c>
      <c r="P67" s="125" t="n">
        <f aca="false">$C$44/$E$16</f>
        <v>-708662.5</v>
      </c>
      <c r="Q67" s="125" t="n">
        <f aca="false">$C$44/$E$16</f>
        <v>-708662.5</v>
      </c>
      <c r="R67" s="125" t="n">
        <f aca="false">$C$44/$E$16</f>
        <v>-708662.5</v>
      </c>
      <c r="S67" s="125" t="n">
        <f aca="false">$C$44/$E$16</f>
        <v>-708662.5</v>
      </c>
      <c r="T67" s="125" t="n">
        <f aca="false">$C$44/$E$16</f>
        <v>-708662.5</v>
      </c>
      <c r="U67" s="125" t="n">
        <f aca="false">$C$44/$E$16</f>
        <v>-708662.5</v>
      </c>
      <c r="V67" s="125" t="n">
        <f aca="false">$C$44/$E$16</f>
        <v>-708662.5</v>
      </c>
      <c r="W67" s="125" t="n">
        <f aca="false">$C$44/$E$16</f>
        <v>-708662.5</v>
      </c>
      <c r="X67" s="95"/>
    </row>
    <row r="68" customFormat="false" ht="18.75" hidden="false" customHeight="true" outlineLevel="0" collapsed="false">
      <c r="B68" s="100" t="s">
        <v>137</v>
      </c>
      <c r="C68" s="92" t="s">
        <v>4</v>
      </c>
      <c r="D68" s="102" t="n">
        <f aca="false">D44</f>
        <v>0</v>
      </c>
      <c r="E68" s="102" t="n">
        <f aca="false">E45</f>
        <v>-290201</v>
      </c>
      <c r="F68" s="102" t="n">
        <f aca="false">F45</f>
        <v>-290201</v>
      </c>
      <c r="G68" s="102" t="n">
        <f aca="false">G45</f>
        <v>-290201</v>
      </c>
      <c r="H68" s="102" t="n">
        <f aca="false">H45</f>
        <v>-290201</v>
      </c>
      <c r="I68" s="102" t="n">
        <f aca="false">I45</f>
        <v>-290201</v>
      </c>
      <c r="J68" s="102" t="n">
        <f aca="false">J45</f>
        <v>-290201</v>
      </c>
      <c r="K68" s="102" t="n">
        <f aca="false">K45</f>
        <v>-290201</v>
      </c>
      <c r="L68" s="102" t="n">
        <f aca="false">L45</f>
        <v>-290201</v>
      </c>
      <c r="M68" s="102" t="n">
        <f aca="false">M45</f>
        <v>-290201</v>
      </c>
      <c r="N68" s="102" t="n">
        <f aca="false">N45</f>
        <v>-290201</v>
      </c>
      <c r="O68" s="102" t="n">
        <f aca="false">O45</f>
        <v>-290201</v>
      </c>
      <c r="P68" s="102" t="n">
        <f aca="false">P45</f>
        <v>-290201</v>
      </c>
      <c r="Q68" s="102" t="n">
        <f aca="false">Q45</f>
        <v>-290201</v>
      </c>
      <c r="R68" s="102" t="n">
        <f aca="false">R45</f>
        <v>-290201</v>
      </c>
      <c r="S68" s="102" t="n">
        <f aca="false">S45</f>
        <v>-290201</v>
      </c>
      <c r="T68" s="102" t="n">
        <f aca="false">T45</f>
        <v>-290201</v>
      </c>
      <c r="U68" s="102" t="n">
        <f aca="false">U45</f>
        <v>-290201</v>
      </c>
      <c r="V68" s="102" t="n">
        <f aca="false">V45</f>
        <v>-290201</v>
      </c>
      <c r="W68" s="102" t="n">
        <f aca="false">W45</f>
        <v>-290201</v>
      </c>
      <c r="X68" s="95"/>
    </row>
    <row r="69" customFormat="false" ht="18.75" hidden="false" customHeight="true" outlineLevel="0" collapsed="false">
      <c r="B69" s="100" t="s">
        <v>138</v>
      </c>
      <c r="C69" s="92"/>
      <c r="D69" s="93"/>
      <c r="E69" s="93"/>
      <c r="F69" s="93"/>
      <c r="G69" s="93"/>
      <c r="H69" s="93"/>
      <c r="I69" s="93"/>
      <c r="J69" s="93"/>
      <c r="K69" s="93"/>
      <c r="L69" s="93"/>
      <c r="M69" s="93"/>
      <c r="N69" s="93"/>
      <c r="O69" s="93"/>
      <c r="P69" s="93"/>
      <c r="Q69" s="93"/>
      <c r="R69" s="93"/>
      <c r="S69" s="93"/>
      <c r="T69" s="93"/>
      <c r="U69" s="93"/>
      <c r="V69" s="93"/>
      <c r="W69" s="93"/>
      <c r="X69" s="95"/>
    </row>
    <row r="70" customFormat="false" ht="18.75" hidden="false" customHeight="true" outlineLevel="0" collapsed="false">
      <c r="B70" s="100" t="s">
        <v>139</v>
      </c>
      <c r="C70" s="92" t="s">
        <v>4</v>
      </c>
      <c r="D70" s="102" t="n">
        <f aca="false">-D109*$D25</f>
        <v>-290268.16</v>
      </c>
      <c r="E70" s="102" t="n">
        <f aca="false">-E109*$D25</f>
        <v>-270916.949333333</v>
      </c>
      <c r="F70" s="102" t="n">
        <f aca="false">-F109*$D25</f>
        <v>-251565.738666667</v>
      </c>
      <c r="G70" s="102" t="n">
        <f aca="false">-G109*$D25</f>
        <v>-232214.528</v>
      </c>
      <c r="H70" s="102" t="n">
        <f aca="false">-H109*$D25</f>
        <v>-212863.317333333</v>
      </c>
      <c r="I70" s="102" t="n">
        <f aca="false">-I109*$D25</f>
        <v>-193512.106666667</v>
      </c>
      <c r="J70" s="102" t="n">
        <f aca="false">-J109*$D25</f>
        <v>-174160.896</v>
      </c>
      <c r="K70" s="102" t="n">
        <f aca="false">-K109*$D25</f>
        <v>-154809.685333333</v>
      </c>
      <c r="L70" s="102" t="n">
        <f aca="false">-L109*$D25</f>
        <v>-135458.474666667</v>
      </c>
      <c r="M70" s="102" t="n">
        <f aca="false">-M109*$D25</f>
        <v>-116107.264</v>
      </c>
      <c r="N70" s="102" t="n">
        <f aca="false">-N109*$D25</f>
        <v>-96756.0533333333</v>
      </c>
      <c r="O70" s="102" t="n">
        <f aca="false">-O109*$D25</f>
        <v>-77404.8426666667</v>
      </c>
      <c r="P70" s="102" t="n">
        <f aca="false">-P109*$D25</f>
        <v>-58053.632</v>
      </c>
      <c r="Q70" s="102" t="n">
        <f aca="false">-Q109*$D25</f>
        <v>-38702.4213333334</v>
      </c>
      <c r="R70" s="102" t="n">
        <f aca="false">-R109*$D25</f>
        <v>-19351.2106666667</v>
      </c>
      <c r="S70" s="102" t="n">
        <f aca="false">-S109*$D25</f>
        <v>-0</v>
      </c>
      <c r="T70" s="102" t="n">
        <f aca="false">-T109*$D25</f>
        <v>-0</v>
      </c>
      <c r="U70" s="102" t="n">
        <f aca="false">-U109*$D25</f>
        <v>-0</v>
      </c>
      <c r="V70" s="102" t="n">
        <f aca="false">-V109*$D25</f>
        <v>-0</v>
      </c>
      <c r="W70" s="102" t="n">
        <f aca="false">-W109*$D25</f>
        <v>-0</v>
      </c>
      <c r="X70" s="95"/>
    </row>
    <row r="71" customFormat="false" ht="18.75" hidden="false" customHeight="true" outlineLevel="0" collapsed="false">
      <c r="B71" s="100" t="s">
        <v>140</v>
      </c>
      <c r="C71" s="92" t="s">
        <v>4</v>
      </c>
      <c r="D71" s="102" t="n">
        <f aca="false">D48</f>
        <v>-174440</v>
      </c>
      <c r="E71" s="102" t="n">
        <f aca="false">E48</f>
        <v>-174440</v>
      </c>
      <c r="F71" s="102" t="n">
        <f aca="false">F48</f>
        <v>-174440</v>
      </c>
      <c r="G71" s="102" t="n">
        <f aca="false">G48</f>
        <v>-174440</v>
      </c>
      <c r="H71" s="102" t="n">
        <f aca="false">H48</f>
        <v>-174440</v>
      </c>
      <c r="I71" s="102" t="n">
        <f aca="false">I48</f>
        <v>-174440</v>
      </c>
      <c r="J71" s="102" t="n">
        <f aca="false">J48</f>
        <v>-174440</v>
      </c>
      <c r="K71" s="102" t="n">
        <f aca="false">K48</f>
        <v>-174440</v>
      </c>
      <c r="L71" s="102" t="n">
        <f aca="false">L48</f>
        <v>-174440</v>
      </c>
      <c r="M71" s="102" t="n">
        <f aca="false">M48</f>
        <v>-174440</v>
      </c>
      <c r="N71" s="102" t="n">
        <f aca="false">N48</f>
        <v>-174440</v>
      </c>
      <c r="O71" s="102" t="n">
        <f aca="false">O48</f>
        <v>-174440</v>
      </c>
      <c r="P71" s="102" t="n">
        <f aca="false">P48</f>
        <v>-174440</v>
      </c>
      <c r="Q71" s="102" t="n">
        <f aca="false">Q48</f>
        <v>-174440</v>
      </c>
      <c r="R71" s="102" t="n">
        <f aca="false">R48</f>
        <v>-174440</v>
      </c>
      <c r="S71" s="102" t="n">
        <f aca="false">S48</f>
        <v>-174440</v>
      </c>
      <c r="T71" s="102" t="n">
        <f aca="false">T48</f>
        <v>-174440</v>
      </c>
      <c r="U71" s="102" t="n">
        <f aca="false">U48</f>
        <v>-174440</v>
      </c>
      <c r="V71" s="102" t="n">
        <f aca="false">V48</f>
        <v>-174440</v>
      </c>
      <c r="W71" s="102" t="n">
        <f aca="false">W48</f>
        <v>-174440</v>
      </c>
      <c r="X71" s="95"/>
    </row>
    <row r="72" customFormat="false" ht="18.75" hidden="false" customHeight="true" outlineLevel="0" collapsed="false">
      <c r="B72" s="100" t="s">
        <v>141</v>
      </c>
      <c r="C72" s="92" t="s">
        <v>4</v>
      </c>
      <c r="D72" s="102" t="n">
        <f aca="false">D49</f>
        <v>-31399.2</v>
      </c>
      <c r="E72" s="102" t="n">
        <f aca="false">E49</f>
        <v>-31399.2</v>
      </c>
      <c r="F72" s="102" t="n">
        <f aca="false">F49</f>
        <v>-31399.2</v>
      </c>
      <c r="G72" s="102" t="n">
        <f aca="false">G49</f>
        <v>-31399.2</v>
      </c>
      <c r="H72" s="102" t="n">
        <f aca="false">H49</f>
        <v>-31399.2</v>
      </c>
      <c r="I72" s="102" t="n">
        <f aca="false">I49</f>
        <v>-31399.2</v>
      </c>
      <c r="J72" s="102" t="n">
        <f aca="false">J49</f>
        <v>-31399.2</v>
      </c>
      <c r="K72" s="102" t="n">
        <f aca="false">K49</f>
        <v>-31399.2</v>
      </c>
      <c r="L72" s="102" t="n">
        <f aca="false">L49</f>
        <v>-31399.2</v>
      </c>
      <c r="M72" s="102" t="n">
        <f aca="false">M49</f>
        <v>-31399.2</v>
      </c>
      <c r="N72" s="102" t="n">
        <f aca="false">N49</f>
        <v>-31399.2</v>
      </c>
      <c r="O72" s="102" t="n">
        <f aca="false">O49</f>
        <v>-31399.2</v>
      </c>
      <c r="P72" s="102" t="n">
        <f aca="false">P49</f>
        <v>-31399.2</v>
      </c>
      <c r="Q72" s="102" t="n">
        <f aca="false">Q49</f>
        <v>-31399.2</v>
      </c>
      <c r="R72" s="102" t="n">
        <f aca="false">R49</f>
        <v>-31399.2</v>
      </c>
      <c r="S72" s="102" t="n">
        <f aca="false">S49</f>
        <v>-31399.2</v>
      </c>
      <c r="T72" s="102" t="n">
        <f aca="false">T49</f>
        <v>-31399.2</v>
      </c>
      <c r="U72" s="102" t="n">
        <f aca="false">U49</f>
        <v>-31399.2</v>
      </c>
      <c r="V72" s="102" t="n">
        <f aca="false">V49</f>
        <v>-31399.2</v>
      </c>
      <c r="W72" s="102" t="n">
        <f aca="false">W49</f>
        <v>-31399.2</v>
      </c>
      <c r="X72" s="95"/>
    </row>
    <row r="73" customFormat="false" ht="18.75" hidden="false" customHeight="true" outlineLevel="0" collapsed="false">
      <c r="B73" s="100" t="s">
        <v>142</v>
      </c>
      <c r="C73" s="92"/>
      <c r="D73" s="102" t="n">
        <f aca="false">D50</f>
        <v>-43610</v>
      </c>
      <c r="E73" s="102" t="n">
        <f aca="false">E50</f>
        <v>-43610</v>
      </c>
      <c r="F73" s="102" t="n">
        <f aca="false">F50</f>
        <v>-43610</v>
      </c>
      <c r="G73" s="102" t="n">
        <f aca="false">G50</f>
        <v>-43610</v>
      </c>
      <c r="H73" s="102" t="n">
        <f aca="false">H50</f>
        <v>-43610</v>
      </c>
      <c r="I73" s="102" t="n">
        <f aca="false">I50</f>
        <v>-43610</v>
      </c>
      <c r="J73" s="102" t="n">
        <f aca="false">J50</f>
        <v>-43610</v>
      </c>
      <c r="K73" s="102" t="n">
        <f aca="false">K50</f>
        <v>-43610</v>
      </c>
      <c r="L73" s="102" t="n">
        <f aca="false">L50</f>
        <v>-43610</v>
      </c>
      <c r="M73" s="102" t="n">
        <f aca="false">M50</f>
        <v>-43610</v>
      </c>
      <c r="N73" s="102" t="n">
        <f aca="false">N50</f>
        <v>0</v>
      </c>
      <c r="O73" s="102" t="n">
        <f aca="false">O50</f>
        <v>0</v>
      </c>
      <c r="P73" s="102" t="n">
        <f aca="false">P50</f>
        <v>0</v>
      </c>
      <c r="Q73" s="102" t="n">
        <f aca="false">Q50</f>
        <v>0</v>
      </c>
      <c r="R73" s="102" t="n">
        <f aca="false">R50</f>
        <v>0</v>
      </c>
      <c r="S73" s="102" t="n">
        <f aca="false">S50</f>
        <v>0</v>
      </c>
      <c r="T73" s="102" t="n">
        <f aca="false">T50</f>
        <v>0</v>
      </c>
      <c r="U73" s="102" t="n">
        <f aca="false">U50</f>
        <v>0</v>
      </c>
      <c r="V73" s="102" t="n">
        <f aca="false">V50</f>
        <v>0</v>
      </c>
      <c r="W73" s="102" t="n">
        <f aca="false">W50</f>
        <v>0</v>
      </c>
      <c r="X73" s="95"/>
    </row>
    <row r="74" customFormat="false" ht="18.75" hidden="false" customHeight="true" outlineLevel="0" collapsed="false">
      <c r="B74" s="100" t="s">
        <v>143</v>
      </c>
      <c r="C74" s="103"/>
      <c r="D74" s="126"/>
      <c r="E74" s="127"/>
      <c r="F74" s="93"/>
      <c r="G74" s="93"/>
      <c r="H74" s="93"/>
      <c r="I74" s="93"/>
      <c r="J74" s="93"/>
      <c r="K74" s="93"/>
      <c r="L74" s="93"/>
      <c r="M74" s="93"/>
      <c r="N74" s="93"/>
      <c r="O74" s="93"/>
      <c r="P74" s="93"/>
      <c r="Q74" s="93"/>
      <c r="R74" s="93"/>
      <c r="S74" s="93"/>
      <c r="T74" s="93"/>
      <c r="U74" s="93"/>
      <c r="V74" s="93"/>
      <c r="W74" s="93"/>
      <c r="X74" s="95"/>
    </row>
    <row r="75" customFormat="false" ht="18.75" hidden="false" customHeight="true" outlineLevel="0" collapsed="false">
      <c r="B75" s="100" t="s">
        <v>144</v>
      </c>
      <c r="C75" s="103"/>
      <c r="D75" s="93"/>
      <c r="E75" s="93"/>
      <c r="F75" s="93"/>
      <c r="G75" s="93"/>
      <c r="H75" s="93"/>
      <c r="I75" s="93"/>
      <c r="J75" s="93"/>
      <c r="K75" s="93"/>
      <c r="L75" s="93"/>
      <c r="M75" s="93"/>
      <c r="N75" s="93"/>
      <c r="O75" s="93"/>
      <c r="P75" s="93"/>
      <c r="Q75" s="93"/>
      <c r="R75" s="93"/>
      <c r="S75" s="93"/>
      <c r="T75" s="93"/>
      <c r="U75" s="93"/>
      <c r="V75" s="93"/>
      <c r="W75" s="93"/>
      <c r="X75" s="95"/>
    </row>
    <row r="76" customFormat="false" ht="18.75" hidden="false" customHeight="true" outlineLevel="0" collapsed="false">
      <c r="B76" s="105" t="s">
        <v>152</v>
      </c>
      <c r="C76" s="128"/>
      <c r="D76" s="107" t="n">
        <f aca="false">SUM(D64:D75)</f>
        <v>917748.06</v>
      </c>
      <c r="E76" s="107" t="n">
        <f aca="false">SUM(E64:E75)</f>
        <v>638146.238666666</v>
      </c>
      <c r="F76" s="107" t="n">
        <f aca="false">SUM(F64:F75)</f>
        <v>648745.417333333</v>
      </c>
      <c r="G76" s="107" t="n">
        <f aca="false">SUM(G64:G75)</f>
        <v>659344.596</v>
      </c>
      <c r="H76" s="107" t="n">
        <f aca="false">SUM(H64:H75)</f>
        <v>669943.774666667</v>
      </c>
      <c r="I76" s="107" t="n">
        <f aca="false">SUM(I64:I75)</f>
        <v>680542.953333333</v>
      </c>
      <c r="J76" s="107" t="n">
        <f aca="false">SUM(J64:J75)</f>
        <v>691142.132</v>
      </c>
      <c r="K76" s="107" t="n">
        <f aca="false">SUM(K64:K75)</f>
        <v>701741.310666667</v>
      </c>
      <c r="L76" s="107" t="n">
        <f aca="false">SUM(L64:L75)</f>
        <v>712340.489333333</v>
      </c>
      <c r="M76" s="107" t="n">
        <f aca="false">SUM(M64:M75)</f>
        <v>722939.668</v>
      </c>
      <c r="N76" s="107" t="n">
        <f aca="false">SUM(N64:N75)</f>
        <v>777148.846666667</v>
      </c>
      <c r="O76" s="107" t="n">
        <f aca="false">SUM(O64:O75)</f>
        <v>787748.025333333</v>
      </c>
      <c r="P76" s="107" t="n">
        <f aca="false">SUM(P64:P75)</f>
        <v>798347.204</v>
      </c>
      <c r="Q76" s="107" t="n">
        <f aca="false">SUM(Q64:Q75)</f>
        <v>808946.382666667</v>
      </c>
      <c r="R76" s="107" t="n">
        <f aca="false">SUM(R64:R75)</f>
        <v>819545.561333333</v>
      </c>
      <c r="S76" s="107" t="n">
        <f aca="false">SUM(S64:S75)</f>
        <v>830144.74</v>
      </c>
      <c r="T76" s="107" t="n">
        <f aca="false">SUM(T64:T75)</f>
        <v>821392.708</v>
      </c>
      <c r="U76" s="107" t="n">
        <f aca="false">SUM(U64:U75)</f>
        <v>812640.676</v>
      </c>
      <c r="V76" s="107" t="n">
        <f aca="false">SUM(V64:V75)</f>
        <v>803888.644</v>
      </c>
      <c r="W76" s="107" t="n">
        <f aca="false">SUM(W64:W75)</f>
        <v>795136.612</v>
      </c>
      <c r="X76" s="107" t="n">
        <f aca="false">SUM(X64:X75)</f>
        <v>0</v>
      </c>
    </row>
    <row r="77" customFormat="false" ht="18.75" hidden="false" customHeight="true" outlineLevel="0" collapsed="false">
      <c r="B77" s="104" t="s">
        <v>146</v>
      </c>
      <c r="C77" s="103"/>
      <c r="D77" s="102" t="n">
        <f aca="false">-D76*0.2</f>
        <v>-183549.612</v>
      </c>
      <c r="E77" s="102" t="n">
        <f aca="false">-E76*0.2</f>
        <v>-127629.247733333</v>
      </c>
      <c r="F77" s="102" t="n">
        <f aca="false">-F76*0.2</f>
        <v>-129749.083466667</v>
      </c>
      <c r="G77" s="102" t="n">
        <f aca="false">-G76*0.2</f>
        <v>-131868.9192</v>
      </c>
      <c r="H77" s="102" t="n">
        <f aca="false">-H76*0.2</f>
        <v>-133988.754933333</v>
      </c>
      <c r="I77" s="102" t="n">
        <f aca="false">-I76*0.2</f>
        <v>-136108.590666667</v>
      </c>
      <c r="J77" s="102" t="n">
        <f aca="false">-J76*0.2</f>
        <v>-138228.4264</v>
      </c>
      <c r="K77" s="102" t="n">
        <f aca="false">-K76*0.2</f>
        <v>-140348.262133333</v>
      </c>
      <c r="L77" s="102" t="n">
        <f aca="false">-L76*0.2</f>
        <v>-142468.097866667</v>
      </c>
      <c r="M77" s="102" t="n">
        <f aca="false">-M76*0.2</f>
        <v>-144587.9336</v>
      </c>
      <c r="N77" s="102" t="n">
        <f aca="false">-N76*0.2</f>
        <v>-155429.769333333</v>
      </c>
      <c r="O77" s="102" t="n">
        <f aca="false">-O76*0.2</f>
        <v>-157549.605066667</v>
      </c>
      <c r="P77" s="102" t="n">
        <f aca="false">-P76*0.2</f>
        <v>-159669.4408</v>
      </c>
      <c r="Q77" s="102" t="n">
        <f aca="false">-Q76*0.2</f>
        <v>-161789.276533333</v>
      </c>
      <c r="R77" s="102" t="n">
        <f aca="false">-R76*0.2</f>
        <v>-163909.112266667</v>
      </c>
      <c r="S77" s="102" t="n">
        <f aca="false">-S76*0.2</f>
        <v>-166028.948</v>
      </c>
      <c r="T77" s="102" t="n">
        <f aca="false">-T76*0.2</f>
        <v>-164278.5416</v>
      </c>
      <c r="U77" s="102" t="n">
        <f aca="false">-U76*0.2</f>
        <v>-162528.1352</v>
      </c>
      <c r="V77" s="102" t="n">
        <f aca="false">-V76*0.2</f>
        <v>-160777.7288</v>
      </c>
      <c r="W77" s="102" t="n">
        <f aca="false">-W76*0.2</f>
        <v>-159027.3224</v>
      </c>
      <c r="X77" s="102" t="n">
        <f aca="false">-X76*0.2</f>
        <v>-0</v>
      </c>
    </row>
    <row r="78" customFormat="false" ht="15.75" hidden="false" customHeight="true" outlineLevel="0" collapsed="false">
      <c r="B78" s="129" t="s">
        <v>153</v>
      </c>
      <c r="D78" s="102" t="n">
        <f aca="false">SUM(D76:D77)</f>
        <v>734198.448</v>
      </c>
      <c r="E78" s="102" t="n">
        <f aca="false">SUM(E76:E77)</f>
        <v>510516.990933333</v>
      </c>
      <c r="F78" s="102" t="n">
        <f aca="false">SUM(F76:F77)</f>
        <v>518996.333866667</v>
      </c>
      <c r="G78" s="102" t="n">
        <f aca="false">SUM(G76:G77)</f>
        <v>527475.6768</v>
      </c>
      <c r="H78" s="102" t="n">
        <f aca="false">SUM(H76:H77)</f>
        <v>535955.019733333</v>
      </c>
      <c r="I78" s="102" t="n">
        <f aca="false">SUM(I76:I77)</f>
        <v>544434.362666666</v>
      </c>
      <c r="J78" s="102" t="n">
        <f aca="false">SUM(J76:J77)</f>
        <v>552913.7056</v>
      </c>
      <c r="K78" s="102" t="n">
        <f aca="false">SUM(K76:K77)</f>
        <v>561393.048533333</v>
      </c>
      <c r="L78" s="102" t="n">
        <f aca="false">SUM(L76:L77)</f>
        <v>569872.391466667</v>
      </c>
      <c r="M78" s="102" t="n">
        <f aca="false">SUM(M76:M77)</f>
        <v>578351.7344</v>
      </c>
      <c r="N78" s="102" t="n">
        <f aca="false">SUM(N76:N77)</f>
        <v>621719.077333333</v>
      </c>
      <c r="O78" s="102" t="n">
        <f aca="false">SUM(O76:O77)</f>
        <v>630198.420266667</v>
      </c>
      <c r="P78" s="102" t="n">
        <f aca="false">SUM(P76:P77)</f>
        <v>638677.7632</v>
      </c>
      <c r="Q78" s="102" t="n">
        <f aca="false">SUM(Q76:Q77)</f>
        <v>647157.106133333</v>
      </c>
      <c r="R78" s="102" t="n">
        <f aca="false">SUM(R76:R77)</f>
        <v>655636.449066667</v>
      </c>
      <c r="S78" s="102" t="n">
        <f aca="false">SUM(S76:S77)</f>
        <v>664115.792</v>
      </c>
      <c r="T78" s="102" t="n">
        <f aca="false">SUM(T76:T77)</f>
        <v>657114.1664</v>
      </c>
      <c r="U78" s="102" t="n">
        <f aca="false">SUM(U76:U77)</f>
        <v>650112.5408</v>
      </c>
      <c r="V78" s="102" t="n">
        <f aca="false">SUM(V76:V77)</f>
        <v>643110.9152</v>
      </c>
      <c r="W78" s="102" t="n">
        <f aca="false">SUM(W76:W77)</f>
        <v>636109.2896</v>
      </c>
      <c r="X78" s="102" t="n">
        <f aca="false">SUM(X76:X77)</f>
        <v>0</v>
      </c>
    </row>
    <row r="79" customFormat="false" ht="18.75" hidden="false" customHeight="true" outlineLevel="0" collapsed="false">
      <c r="B79" s="111" t="s">
        <v>148</v>
      </c>
      <c r="C79" s="114"/>
      <c r="D79" s="130"/>
      <c r="E79" s="130"/>
      <c r="F79" s="130"/>
      <c r="G79" s="130"/>
      <c r="H79" s="130"/>
      <c r="I79" s="130"/>
      <c r="J79" s="130"/>
      <c r="K79" s="130"/>
      <c r="L79" s="130"/>
      <c r="M79" s="130"/>
      <c r="N79" s="130"/>
      <c r="O79" s="130"/>
      <c r="P79" s="130"/>
      <c r="Q79" s="130"/>
      <c r="R79" s="130"/>
      <c r="S79" s="130"/>
      <c r="T79" s="130"/>
      <c r="U79" s="130"/>
      <c r="V79" s="130"/>
      <c r="W79" s="130"/>
      <c r="X79" s="131"/>
    </row>
    <row r="80" customFormat="false" ht="18.75" hidden="false" customHeight="true" outlineLevel="0" collapsed="false">
      <c r="B80" s="132" t="s">
        <v>149</v>
      </c>
      <c r="C80" s="133"/>
      <c r="D80" s="134"/>
      <c r="E80" s="134"/>
      <c r="F80" s="134"/>
      <c r="G80" s="134"/>
      <c r="H80" s="134"/>
      <c r="I80" s="134"/>
      <c r="J80" s="134"/>
      <c r="K80" s="134"/>
      <c r="L80" s="134"/>
      <c r="M80" s="134"/>
      <c r="N80" s="134"/>
      <c r="O80" s="134"/>
      <c r="P80" s="134"/>
      <c r="Q80" s="134"/>
      <c r="R80" s="134"/>
      <c r="S80" s="134"/>
      <c r="T80" s="134"/>
      <c r="U80" s="134"/>
      <c r="V80" s="134"/>
      <c r="W80" s="134"/>
      <c r="X80" s="135"/>
    </row>
    <row r="81" customFormat="false" ht="18.75" hidden="false" customHeight="true" outlineLevel="0" collapsed="false">
      <c r="B81" s="120"/>
      <c r="C81" s="119"/>
      <c r="D81" s="119"/>
      <c r="E81" s="119"/>
      <c r="F81" s="120"/>
      <c r="G81" s="120"/>
      <c r="H81" s="120"/>
      <c r="I81" s="120"/>
      <c r="J81" s="120"/>
      <c r="K81" s="120"/>
      <c r="L81" s="120"/>
      <c r="M81" s="119"/>
      <c r="N81" s="120"/>
      <c r="O81" s="120"/>
      <c r="P81" s="120"/>
      <c r="Q81" s="120"/>
      <c r="R81" s="120"/>
      <c r="S81" s="120"/>
      <c r="T81" s="120"/>
      <c r="U81" s="120"/>
      <c r="V81" s="120"/>
      <c r="W81" s="120"/>
      <c r="X81" s="120"/>
    </row>
    <row r="82" customFormat="false" ht="18.75" hidden="false" customHeight="true" outlineLevel="0" collapsed="false">
      <c r="C82" s="136" t="s">
        <v>130</v>
      </c>
      <c r="D82" s="137" t="n">
        <f aca="false">D37</f>
        <v>2020</v>
      </c>
      <c r="E82" s="137" t="n">
        <f aca="false">E37</f>
        <v>2021</v>
      </c>
      <c r="F82" s="137" t="n">
        <f aca="false">F37</f>
        <v>2022</v>
      </c>
      <c r="G82" s="137" t="n">
        <f aca="false">G37</f>
        <v>2023</v>
      </c>
      <c r="H82" s="137" t="n">
        <f aca="false">H37</f>
        <v>2024</v>
      </c>
      <c r="I82" s="137" t="n">
        <f aca="false">I37</f>
        <v>2025</v>
      </c>
      <c r="J82" s="137" t="n">
        <f aca="false">J37</f>
        <v>2026</v>
      </c>
      <c r="K82" s="137" t="n">
        <f aca="false">K37</f>
        <v>2027</v>
      </c>
      <c r="L82" s="137" t="n">
        <f aca="false">L37</f>
        <v>2028</v>
      </c>
      <c r="M82" s="137" t="n">
        <f aca="false">M37</f>
        <v>2029</v>
      </c>
      <c r="N82" s="137" t="n">
        <f aca="false">N37</f>
        <v>2030</v>
      </c>
      <c r="O82" s="137" t="n">
        <f aca="false">O37</f>
        <v>2031</v>
      </c>
      <c r="P82" s="137" t="n">
        <f aca="false">P37</f>
        <v>2032</v>
      </c>
      <c r="Q82" s="137" t="n">
        <f aca="false">Q37</f>
        <v>2033</v>
      </c>
      <c r="R82" s="137" t="n">
        <f aca="false">R37</f>
        <v>2034</v>
      </c>
      <c r="S82" s="137" t="n">
        <f aca="false">S37</f>
        <v>2035</v>
      </c>
      <c r="T82" s="137" t="n">
        <f aca="false">T37</f>
        <v>2036</v>
      </c>
      <c r="U82" s="137" t="n">
        <f aca="false">U37</f>
        <v>2037</v>
      </c>
      <c r="V82" s="137" t="n">
        <f aca="false">V37</f>
        <v>2038</v>
      </c>
      <c r="W82" s="137" t="n">
        <f aca="false">W37</f>
        <v>2039</v>
      </c>
      <c r="X82" s="122"/>
    </row>
    <row r="83" customFormat="false" ht="18.75" hidden="false" customHeight="true" outlineLevel="0" collapsed="false">
      <c r="X83" s="121"/>
    </row>
    <row r="84" customFormat="false" ht="18.75" hidden="false" customHeight="true" outlineLevel="0" collapsed="false">
      <c r="B84" s="138" t="s">
        <v>131</v>
      </c>
      <c r="C84" s="138" t="n">
        <v>0</v>
      </c>
      <c r="D84" s="138" t="n">
        <v>1</v>
      </c>
      <c r="E84" s="138" t="n">
        <v>2</v>
      </c>
      <c r="F84" s="138" t="n">
        <v>3</v>
      </c>
      <c r="G84" s="138" t="n">
        <v>4</v>
      </c>
      <c r="H84" s="138" t="n">
        <v>5</v>
      </c>
      <c r="I84" s="138" t="n">
        <v>6</v>
      </c>
      <c r="J84" s="138" t="n">
        <v>7</v>
      </c>
      <c r="K84" s="138" t="n">
        <v>8</v>
      </c>
      <c r="L84" s="138" t="n">
        <v>9</v>
      </c>
      <c r="M84" s="138" t="n">
        <v>10</v>
      </c>
      <c r="N84" s="138" t="n">
        <v>11</v>
      </c>
      <c r="O84" s="138" t="n">
        <v>12</v>
      </c>
      <c r="P84" s="138" t="n">
        <v>13</v>
      </c>
      <c r="Q84" s="138" t="n">
        <v>14</v>
      </c>
      <c r="R84" s="138" t="n">
        <v>15</v>
      </c>
      <c r="S84" s="138" t="n">
        <v>16</v>
      </c>
      <c r="T84" s="138" t="n">
        <v>17</v>
      </c>
      <c r="U84" s="138" t="n">
        <v>18</v>
      </c>
      <c r="V84" s="138" t="n">
        <v>19</v>
      </c>
      <c r="W84" s="138" t="n">
        <v>20</v>
      </c>
      <c r="X84" s="139"/>
    </row>
    <row r="85" customFormat="false" ht="18.75" hidden="false" customHeight="true" outlineLevel="0" collapsed="false">
      <c r="B85" s="140" t="s">
        <v>153</v>
      </c>
      <c r="C85" s="140"/>
      <c r="D85" s="141" t="n">
        <f aca="false">D78</f>
        <v>734198.448</v>
      </c>
      <c r="E85" s="141" t="n">
        <f aca="false">E78</f>
        <v>510516.990933333</v>
      </c>
      <c r="F85" s="141" t="n">
        <f aca="false">F78</f>
        <v>518996.333866667</v>
      </c>
      <c r="G85" s="141" t="n">
        <f aca="false">G78</f>
        <v>527475.6768</v>
      </c>
      <c r="H85" s="141" t="n">
        <f aca="false">H78</f>
        <v>535955.019733333</v>
      </c>
      <c r="I85" s="141" t="n">
        <f aca="false">I78</f>
        <v>544434.362666666</v>
      </c>
      <c r="J85" s="141" t="n">
        <f aca="false">J78</f>
        <v>552913.7056</v>
      </c>
      <c r="K85" s="141" t="n">
        <f aca="false">K78</f>
        <v>561393.048533333</v>
      </c>
      <c r="L85" s="141" t="n">
        <f aca="false">L78</f>
        <v>569872.391466667</v>
      </c>
      <c r="M85" s="141" t="n">
        <f aca="false">M78</f>
        <v>578351.7344</v>
      </c>
      <c r="N85" s="141" t="n">
        <f aca="false">N78</f>
        <v>621719.077333333</v>
      </c>
      <c r="O85" s="141" t="n">
        <f aca="false">O78</f>
        <v>630198.420266667</v>
      </c>
      <c r="P85" s="141" t="n">
        <f aca="false">P78</f>
        <v>638677.7632</v>
      </c>
      <c r="Q85" s="141" t="n">
        <f aca="false">Q78</f>
        <v>647157.106133333</v>
      </c>
      <c r="R85" s="141" t="n">
        <f aca="false">R78</f>
        <v>655636.449066667</v>
      </c>
      <c r="S85" s="141" t="n">
        <f aca="false">S78</f>
        <v>664115.792</v>
      </c>
      <c r="T85" s="141" t="n">
        <f aca="false">T78</f>
        <v>657114.1664</v>
      </c>
      <c r="U85" s="141" t="n">
        <f aca="false">U78</f>
        <v>650112.5408</v>
      </c>
      <c r="V85" s="141" t="n">
        <f aca="false">V78</f>
        <v>643110.9152</v>
      </c>
      <c r="W85" s="141" t="n">
        <f aca="false">W78</f>
        <v>636109.2896</v>
      </c>
      <c r="X85" s="140"/>
      <c r="Y85" s="140"/>
    </row>
    <row r="86" customFormat="false" ht="15.75" hidden="false" customHeight="true" outlineLevel="0" collapsed="false">
      <c r="B86" s="140" t="s">
        <v>154</v>
      </c>
      <c r="C86" s="140"/>
      <c r="D86" s="142" t="n">
        <f aca="false">-D67</f>
        <v>708662.5</v>
      </c>
      <c r="E86" s="142" t="n">
        <f aca="false">-E67</f>
        <v>708662.5</v>
      </c>
      <c r="F86" s="142" t="n">
        <f aca="false">-F67</f>
        <v>708662.5</v>
      </c>
      <c r="G86" s="142" t="n">
        <f aca="false">-G67</f>
        <v>708662.5</v>
      </c>
      <c r="H86" s="142" t="n">
        <f aca="false">-H67</f>
        <v>708662.5</v>
      </c>
      <c r="I86" s="142" t="n">
        <f aca="false">-I67</f>
        <v>708662.5</v>
      </c>
      <c r="J86" s="142" t="n">
        <f aca="false">-J67</f>
        <v>708662.5</v>
      </c>
      <c r="K86" s="142" t="n">
        <f aca="false">-K67</f>
        <v>708662.5</v>
      </c>
      <c r="L86" s="142" t="n">
        <f aca="false">-L67</f>
        <v>708662.5</v>
      </c>
      <c r="M86" s="142" t="n">
        <f aca="false">-M67</f>
        <v>708662.5</v>
      </c>
      <c r="N86" s="142" t="n">
        <f aca="false">-N67</f>
        <v>708662.5</v>
      </c>
      <c r="O86" s="142" t="n">
        <f aca="false">-O67</f>
        <v>708662.5</v>
      </c>
      <c r="P86" s="142" t="n">
        <f aca="false">-P67</f>
        <v>708662.5</v>
      </c>
      <c r="Q86" s="142" t="n">
        <f aca="false">-Q67</f>
        <v>708662.5</v>
      </c>
      <c r="R86" s="142" t="n">
        <f aca="false">-R67</f>
        <v>708662.5</v>
      </c>
      <c r="S86" s="142" t="n">
        <f aca="false">-S67</f>
        <v>708662.5</v>
      </c>
      <c r="T86" s="142" t="n">
        <f aca="false">-T67</f>
        <v>708662.5</v>
      </c>
      <c r="U86" s="142" t="n">
        <f aca="false">-U67</f>
        <v>708662.5</v>
      </c>
      <c r="V86" s="142" t="n">
        <f aca="false">-V67</f>
        <v>708662.5</v>
      </c>
      <c r="W86" s="142" t="n">
        <f aca="false">-W67</f>
        <v>708662.5</v>
      </c>
      <c r="X86" s="143"/>
      <c r="Y86" s="143"/>
    </row>
    <row r="87" customFormat="false" ht="15.75" hidden="false" customHeight="true" outlineLevel="0" collapsed="false">
      <c r="B87" s="140" t="s">
        <v>155</v>
      </c>
      <c r="C87" s="140"/>
      <c r="D87" s="144" t="n">
        <f aca="false">SUM(D85:D86)</f>
        <v>1442860.948</v>
      </c>
      <c r="E87" s="144" t="n">
        <f aca="false">SUM(E85:E86)</f>
        <v>1219179.49093333</v>
      </c>
      <c r="F87" s="144" t="n">
        <f aca="false">SUM(F85:F86)</f>
        <v>1227658.83386667</v>
      </c>
      <c r="G87" s="144" t="n">
        <f aca="false">SUM(G85:G86)</f>
        <v>1236138.1768</v>
      </c>
      <c r="H87" s="144" t="n">
        <f aca="false">SUM(H85:H86)</f>
        <v>1244617.51973333</v>
      </c>
      <c r="I87" s="144" t="n">
        <f aca="false">SUM(I85:I86)</f>
        <v>1253096.86266667</v>
      </c>
      <c r="J87" s="144" t="n">
        <f aca="false">SUM(J85:J86)</f>
        <v>1261576.2056</v>
      </c>
      <c r="K87" s="144" t="n">
        <f aca="false">SUM(K85:K86)</f>
        <v>1270055.54853333</v>
      </c>
      <c r="L87" s="144" t="n">
        <f aca="false">SUM(L85:L86)</f>
        <v>1278534.89146667</v>
      </c>
      <c r="M87" s="144" t="n">
        <f aca="false">SUM(M85:M86)</f>
        <v>1287014.2344</v>
      </c>
      <c r="N87" s="144" t="n">
        <f aca="false">SUM(N85:N86)</f>
        <v>1330381.57733333</v>
      </c>
      <c r="O87" s="144" t="n">
        <f aca="false">SUM(O85:O86)</f>
        <v>1338860.92026667</v>
      </c>
      <c r="P87" s="144" t="n">
        <f aca="false">SUM(P85:P86)</f>
        <v>1347340.2632</v>
      </c>
      <c r="Q87" s="144" t="n">
        <f aca="false">SUM(Q85:Q86)</f>
        <v>1355819.60613333</v>
      </c>
      <c r="R87" s="144" t="n">
        <f aca="false">SUM(R85:R86)</f>
        <v>1364298.94906667</v>
      </c>
      <c r="S87" s="144" t="n">
        <f aca="false">SUM(S85:S86)</f>
        <v>1372778.292</v>
      </c>
      <c r="T87" s="144" t="n">
        <f aca="false">SUM(T85:T86)</f>
        <v>1365776.6664</v>
      </c>
      <c r="U87" s="144" t="n">
        <f aca="false">SUM(U85:U86)</f>
        <v>1358775.0408</v>
      </c>
      <c r="V87" s="144" t="n">
        <f aca="false">SUM(V85:V86)</f>
        <v>1351773.4152</v>
      </c>
      <c r="W87" s="144" t="n">
        <f aca="false">SUM(W85:W86)</f>
        <v>1344771.7896</v>
      </c>
      <c r="X87" s="110"/>
    </row>
    <row r="88" customFormat="false" ht="15.75" hidden="false" customHeight="true" outlineLevel="0" collapsed="false">
      <c r="B88" s="140"/>
      <c r="C88" s="140"/>
      <c r="D88" s="140"/>
      <c r="E88" s="140"/>
      <c r="F88" s="145"/>
      <c r="G88" s="145"/>
      <c r="H88" s="145"/>
      <c r="I88" s="145"/>
      <c r="J88" s="145"/>
      <c r="K88" s="145"/>
      <c r="L88" s="145"/>
      <c r="M88" s="145"/>
      <c r="N88" s="145"/>
      <c r="O88" s="145"/>
      <c r="P88" s="145"/>
      <c r="Q88" s="145"/>
      <c r="R88" s="145"/>
      <c r="S88" s="145"/>
      <c r="T88" s="145"/>
      <c r="U88" s="145"/>
      <c r="V88" s="145"/>
      <c r="W88" s="145"/>
      <c r="X88" s="109"/>
    </row>
    <row r="89" customFormat="false" ht="15.75" hidden="false" customHeight="true" outlineLevel="0" collapsed="false">
      <c r="B89" s="146" t="s">
        <v>156</v>
      </c>
      <c r="C89" s="147"/>
      <c r="D89" s="148" t="n">
        <f aca="false">C44</f>
        <v>-14173250</v>
      </c>
      <c r="E89" s="147"/>
      <c r="F89" s="147"/>
      <c r="G89" s="147"/>
      <c r="H89" s="147"/>
      <c r="I89" s="147"/>
      <c r="J89" s="147"/>
      <c r="K89" s="147"/>
      <c r="L89" s="147"/>
      <c r="M89" s="147"/>
      <c r="N89" s="147"/>
      <c r="O89" s="147"/>
      <c r="P89" s="147"/>
      <c r="Q89" s="147"/>
      <c r="R89" s="147"/>
      <c r="S89" s="147"/>
      <c r="T89" s="147"/>
      <c r="U89" s="147"/>
      <c r="V89" s="147"/>
      <c r="W89" s="147"/>
      <c r="X89" s="149"/>
    </row>
    <row r="90" customFormat="false" ht="15.75" hidden="false" customHeight="true" outlineLevel="0" collapsed="false">
      <c r="B90" s="140"/>
      <c r="C90" s="140"/>
      <c r="D90" s="140"/>
      <c r="E90" s="140"/>
      <c r="F90" s="145"/>
      <c r="G90" s="145"/>
      <c r="H90" s="145"/>
      <c r="I90" s="145"/>
      <c r="J90" s="145"/>
      <c r="K90" s="145"/>
      <c r="L90" s="145"/>
      <c r="M90" s="145"/>
      <c r="N90" s="145"/>
      <c r="O90" s="145"/>
      <c r="P90" s="145"/>
      <c r="Q90" s="145"/>
      <c r="R90" s="145"/>
      <c r="S90" s="145"/>
      <c r="T90" s="145"/>
      <c r="U90" s="145"/>
      <c r="V90" s="145"/>
      <c r="W90" s="145"/>
      <c r="X90" s="109"/>
    </row>
    <row r="91" customFormat="false" ht="15.75" hidden="false" customHeight="true" outlineLevel="0" collapsed="false">
      <c r="B91" s="140"/>
      <c r="C91" s="140"/>
      <c r="D91" s="140"/>
      <c r="E91" s="140"/>
      <c r="F91" s="145"/>
      <c r="G91" s="145"/>
      <c r="H91" s="145"/>
      <c r="I91" s="145"/>
      <c r="J91" s="145"/>
      <c r="K91" s="145"/>
      <c r="L91" s="145"/>
      <c r="M91" s="145"/>
      <c r="N91" s="145"/>
      <c r="O91" s="145"/>
      <c r="P91" s="145"/>
      <c r="Q91" s="145"/>
      <c r="R91" s="145"/>
      <c r="S91" s="145"/>
      <c r="T91" s="145"/>
      <c r="U91" s="145"/>
      <c r="V91" s="145"/>
      <c r="W91" s="145"/>
      <c r="X91" s="109"/>
    </row>
    <row r="92" customFormat="false" ht="15.75" hidden="false" customHeight="true" outlineLevel="0" collapsed="false">
      <c r="B92" s="146" t="s">
        <v>157</v>
      </c>
      <c r="C92" s="147"/>
      <c r="D92" s="148" t="n">
        <f aca="false">-D89*D31</f>
        <v>11338600</v>
      </c>
      <c r="E92" s="147"/>
      <c r="F92" s="147"/>
      <c r="G92" s="147"/>
      <c r="H92" s="147"/>
      <c r="I92" s="147"/>
      <c r="J92" s="147"/>
      <c r="K92" s="147"/>
      <c r="L92" s="147"/>
      <c r="M92" s="147"/>
      <c r="N92" s="147"/>
      <c r="O92" s="147"/>
      <c r="P92" s="147"/>
      <c r="Q92" s="147"/>
      <c r="R92" s="147"/>
      <c r="S92" s="147"/>
      <c r="T92" s="147"/>
      <c r="U92" s="147"/>
      <c r="V92" s="147"/>
      <c r="W92" s="147"/>
      <c r="X92" s="109"/>
    </row>
    <row r="93" customFormat="false" ht="15.75" hidden="false" customHeight="true" outlineLevel="0" collapsed="false">
      <c r="B93" s="140" t="s">
        <v>158</v>
      </c>
      <c r="C93" s="140"/>
      <c r="D93" s="150"/>
      <c r="E93" s="150" t="n">
        <v>-755906.666666667</v>
      </c>
      <c r="F93" s="150" t="n">
        <v>-755906.666666667</v>
      </c>
      <c r="G93" s="150" t="n">
        <v>-755906.666666667</v>
      </c>
      <c r="H93" s="150" t="n">
        <v>-755906.666666667</v>
      </c>
      <c r="I93" s="150" t="n">
        <v>-755906.666666667</v>
      </c>
      <c r="J93" s="150" t="n">
        <v>-755906.666666667</v>
      </c>
      <c r="K93" s="150" t="n">
        <v>-755906.666666667</v>
      </c>
      <c r="L93" s="150" t="n">
        <v>-755906.666666667</v>
      </c>
      <c r="M93" s="150" t="n">
        <v>-755906.666666667</v>
      </c>
      <c r="N93" s="150" t="n">
        <v>-755906.666666667</v>
      </c>
      <c r="O93" s="150" t="n">
        <v>-755906.666666667</v>
      </c>
      <c r="P93" s="150" t="n">
        <v>-755906.666666667</v>
      </c>
      <c r="Q93" s="150" t="n">
        <v>-755906.666666667</v>
      </c>
      <c r="R93" s="150" t="n">
        <v>-755906.666666667</v>
      </c>
      <c r="S93" s="150" t="n">
        <v>-755906.666666667</v>
      </c>
      <c r="T93" s="150" t="n">
        <v>0</v>
      </c>
      <c r="U93" s="150" t="n">
        <v>0</v>
      </c>
      <c r="V93" s="150" t="n">
        <v>0</v>
      </c>
      <c r="W93" s="150" t="n">
        <v>0</v>
      </c>
      <c r="X93" s="149"/>
    </row>
    <row r="94" customFormat="false" ht="15.75" hidden="false" customHeight="true" outlineLevel="0" collapsed="false">
      <c r="B94" s="140" t="s">
        <v>159</v>
      </c>
      <c r="C94" s="145"/>
      <c r="D94" s="141" t="n">
        <f aca="false">-D89*(1-D31)</f>
        <v>2834650</v>
      </c>
      <c r="E94" s="145"/>
      <c r="F94" s="145"/>
      <c r="G94" s="145"/>
      <c r="H94" s="145"/>
      <c r="I94" s="145"/>
      <c r="J94" s="145"/>
      <c r="K94" s="145"/>
      <c r="L94" s="145"/>
      <c r="M94" s="145"/>
      <c r="N94" s="145"/>
      <c r="O94" s="145"/>
      <c r="P94" s="145"/>
      <c r="Q94" s="145"/>
      <c r="R94" s="145"/>
      <c r="S94" s="145"/>
      <c r="T94" s="145"/>
      <c r="U94" s="145"/>
      <c r="V94" s="145"/>
      <c r="W94" s="145"/>
      <c r="X94" s="110"/>
    </row>
    <row r="95" customFormat="false" ht="15.75" hidden="false" customHeight="true" outlineLevel="0" collapsed="false">
      <c r="B95" s="140" t="s">
        <v>67</v>
      </c>
      <c r="C95" s="145"/>
      <c r="D95" s="145"/>
      <c r="E95" s="151" t="n">
        <f aca="false">-D85*$D$33</f>
        <v>-660778.6032</v>
      </c>
      <c r="F95" s="151" t="n">
        <f aca="false">-E85*$D$33</f>
        <v>-459465.29184</v>
      </c>
      <c r="G95" s="151" t="n">
        <f aca="false">-F85*$D$33</f>
        <v>-467096.70048</v>
      </c>
      <c r="H95" s="151" t="n">
        <f aca="false">-G85*$D$33</f>
        <v>-474728.10912</v>
      </c>
      <c r="I95" s="151" t="n">
        <f aca="false">-H85*$D$33</f>
        <v>-482359.51776</v>
      </c>
      <c r="J95" s="151" t="n">
        <f aca="false">-I85*$D$33</f>
        <v>-489990.9264</v>
      </c>
      <c r="K95" s="151" t="n">
        <f aca="false">-J85*$D$33</f>
        <v>-497622.33504</v>
      </c>
      <c r="L95" s="151" t="n">
        <f aca="false">-K85*$D$33</f>
        <v>-505253.74368</v>
      </c>
      <c r="M95" s="151" t="n">
        <f aca="false">-L85*$D$33</f>
        <v>-512885.15232</v>
      </c>
      <c r="N95" s="151" t="n">
        <f aca="false">-M85*$D$33</f>
        <v>-520516.56096</v>
      </c>
      <c r="O95" s="151" t="n">
        <f aca="false">-N85*$D$33</f>
        <v>-559547.1696</v>
      </c>
      <c r="P95" s="151" t="n">
        <f aca="false">-O85*$D$33</f>
        <v>-567178.57824</v>
      </c>
      <c r="Q95" s="151" t="n">
        <f aca="false">-P85*$D$33</f>
        <v>-574809.98688</v>
      </c>
      <c r="R95" s="151" t="n">
        <f aca="false">-Q85*$D$33</f>
        <v>-582441.39552</v>
      </c>
      <c r="S95" s="151" t="n">
        <f aca="false">-R85*$D$33</f>
        <v>-590072.80416</v>
      </c>
      <c r="T95" s="151" t="n">
        <f aca="false">-S85*$D$33</f>
        <v>-597704.2128</v>
      </c>
      <c r="U95" s="151" t="n">
        <f aca="false">-T85*$D$33</f>
        <v>-591402.74976</v>
      </c>
      <c r="V95" s="151" t="n">
        <f aca="false">-U85*$D$33</f>
        <v>-585101.28672</v>
      </c>
      <c r="W95" s="151" t="n">
        <f aca="false">-V85*$D$33</f>
        <v>-578799.82368</v>
      </c>
      <c r="X95" s="151" t="n">
        <f aca="false">-W85*$D$33</f>
        <v>-572498.36064</v>
      </c>
    </row>
    <row r="96" customFormat="false" ht="15.75" hidden="false" customHeight="true" outlineLevel="0" collapsed="false">
      <c r="B96" s="152" t="s">
        <v>70</v>
      </c>
      <c r="C96" s="153"/>
      <c r="D96" s="153" t="n">
        <v>0</v>
      </c>
      <c r="E96" s="154" t="n">
        <v>0</v>
      </c>
      <c r="F96" s="154" t="n">
        <v>0</v>
      </c>
      <c r="G96" s="154" t="n">
        <v>0</v>
      </c>
      <c r="H96" s="154" t="n">
        <v>0</v>
      </c>
      <c r="I96" s="154" t="n">
        <v>0</v>
      </c>
      <c r="J96" s="154" t="n">
        <v>0</v>
      </c>
      <c r="K96" s="154" t="n">
        <v>0</v>
      </c>
      <c r="L96" s="154" t="n">
        <v>0</v>
      </c>
      <c r="M96" s="154" t="n">
        <v>0</v>
      </c>
      <c r="N96" s="154" t="n">
        <v>0</v>
      </c>
      <c r="O96" s="154" t="n">
        <v>0</v>
      </c>
      <c r="P96" s="154" t="n">
        <v>0</v>
      </c>
      <c r="Q96" s="154" t="n">
        <v>0</v>
      </c>
      <c r="R96" s="154" t="n">
        <v>0</v>
      </c>
      <c r="S96" s="154" t="n">
        <v>0</v>
      </c>
      <c r="T96" s="154" t="n">
        <v>-708662.5</v>
      </c>
      <c r="U96" s="154" t="n">
        <v>-708662.5</v>
      </c>
      <c r="V96" s="154" t="n">
        <v>-708662.5</v>
      </c>
      <c r="W96" s="154" t="n">
        <v>-708662.5</v>
      </c>
      <c r="X96" s="155" t="n">
        <f aca="false">-W101-X95</f>
        <v>-1207805.9232</v>
      </c>
    </row>
    <row r="97" customFormat="false" ht="15.75" hidden="false" customHeight="true" outlineLevel="0" collapsed="false">
      <c r="B97" s="145"/>
      <c r="C97" s="145"/>
      <c r="D97" s="145"/>
      <c r="E97" s="145"/>
      <c r="F97" s="145"/>
      <c r="G97" s="145"/>
      <c r="H97" s="145"/>
      <c r="I97" s="145"/>
      <c r="J97" s="145"/>
      <c r="K97" s="145"/>
      <c r="L97" s="145"/>
      <c r="M97" s="145"/>
      <c r="N97" s="145"/>
      <c r="O97" s="145"/>
      <c r="P97" s="145"/>
      <c r="Q97" s="145"/>
      <c r="R97" s="145"/>
      <c r="S97" s="145"/>
      <c r="T97" s="145"/>
      <c r="U97" s="145"/>
      <c r="V97" s="145"/>
      <c r="W97" s="145"/>
      <c r="X97" s="110"/>
    </row>
    <row r="98" customFormat="false" ht="15.75" hidden="false" customHeight="true" outlineLevel="0" collapsed="false">
      <c r="B98" s="145"/>
      <c r="C98" s="145"/>
      <c r="D98" s="145"/>
      <c r="E98" s="145"/>
      <c r="F98" s="145"/>
      <c r="G98" s="145"/>
      <c r="H98" s="145"/>
      <c r="I98" s="145"/>
      <c r="J98" s="145"/>
      <c r="K98" s="145"/>
      <c r="L98" s="145"/>
      <c r="M98" s="145"/>
      <c r="N98" s="145"/>
      <c r="O98" s="145"/>
      <c r="P98" s="145"/>
      <c r="Q98" s="145"/>
      <c r="R98" s="145"/>
      <c r="S98" s="145"/>
      <c r="T98" s="145"/>
      <c r="U98" s="145"/>
      <c r="V98" s="145"/>
      <c r="W98" s="145"/>
      <c r="X98" s="110"/>
    </row>
    <row r="99" customFormat="false" ht="15.75" hidden="false" customHeight="true" outlineLevel="0" collapsed="false">
      <c r="B99" s="140" t="s">
        <v>160</v>
      </c>
      <c r="C99" s="141" t="n">
        <v>0</v>
      </c>
      <c r="D99" s="141" t="n">
        <f aca="false">SUM(D87:D96)</f>
        <v>1442860.948</v>
      </c>
      <c r="E99" s="141" t="n">
        <f aca="false">SUM(E87:E96)</f>
        <v>-197505.778933334</v>
      </c>
      <c r="F99" s="141" t="n">
        <f aca="false">SUM(F87:F96)</f>
        <v>12286.8753600003</v>
      </c>
      <c r="G99" s="141" t="n">
        <f aca="false">SUM(G87:G96)</f>
        <v>13134.8096533333</v>
      </c>
      <c r="H99" s="141" t="n">
        <f aca="false">SUM(H87:H96)</f>
        <v>13982.7439466666</v>
      </c>
      <c r="I99" s="141" t="n">
        <f aca="false">SUM(I87:I96)</f>
        <v>14830.6782399999</v>
      </c>
      <c r="J99" s="141" t="n">
        <f aca="false">SUM(J87:J96)</f>
        <v>15678.6125333336</v>
      </c>
      <c r="K99" s="141" t="n">
        <f aca="false">SUM(K87:K96)</f>
        <v>16526.5468266665</v>
      </c>
      <c r="L99" s="141" t="n">
        <f aca="false">SUM(L87:L96)</f>
        <v>17374.48112</v>
      </c>
      <c r="M99" s="141" t="n">
        <f aca="false">SUM(M87:M96)</f>
        <v>18222.4154133334</v>
      </c>
      <c r="N99" s="141" t="n">
        <f aca="false">SUM(N87:N96)</f>
        <v>53958.3497066666</v>
      </c>
      <c r="O99" s="141" t="n">
        <f aca="false">SUM(O87:O96)</f>
        <v>23407.0840000001</v>
      </c>
      <c r="P99" s="141" t="n">
        <f aca="false">SUM(P87:P96)</f>
        <v>24255.0182933332</v>
      </c>
      <c r="Q99" s="141" t="n">
        <f aca="false">SUM(Q87:Q96)</f>
        <v>25102.9525866668</v>
      </c>
      <c r="R99" s="141" t="n">
        <f aca="false">SUM(R87:R96)</f>
        <v>25950.8868799998</v>
      </c>
      <c r="S99" s="141" t="n">
        <f aca="false">SUM(S87:S96)</f>
        <v>26798.8211733333</v>
      </c>
      <c r="T99" s="141" t="n">
        <f aca="false">SUM(T87:T96)</f>
        <v>59409.9536</v>
      </c>
      <c r="U99" s="141" t="n">
        <f aca="false">SUM(U87:U96)</f>
        <v>58709.7910400002</v>
      </c>
      <c r="V99" s="141" t="n">
        <f aca="false">SUM(V87:V96)</f>
        <v>58009.62848</v>
      </c>
      <c r="W99" s="141" t="n">
        <f aca="false">SUM(W87:W96)</f>
        <v>57309.4659200001</v>
      </c>
      <c r="X99" s="110"/>
    </row>
    <row r="100" customFormat="false" ht="15.75" hidden="false" customHeight="true" outlineLevel="0" collapsed="false">
      <c r="B100" s="140" t="s">
        <v>161</v>
      </c>
      <c r="C100" s="141" t="n">
        <v>0</v>
      </c>
      <c r="D100" s="141" t="n">
        <f aca="false">C101</f>
        <v>0</v>
      </c>
      <c r="E100" s="141" t="n">
        <f aca="false">D101</f>
        <v>1442860.948</v>
      </c>
      <c r="F100" s="141" t="n">
        <f aca="false">E101</f>
        <v>1245355.16906667</v>
      </c>
      <c r="G100" s="141" t="n">
        <f aca="false">F101</f>
        <v>1257642.04442667</v>
      </c>
      <c r="H100" s="141" t="n">
        <f aca="false">G101</f>
        <v>1270776.85408</v>
      </c>
      <c r="I100" s="141" t="n">
        <f aca="false">H101</f>
        <v>1284759.59802667</v>
      </c>
      <c r="J100" s="141" t="n">
        <f aca="false">I101</f>
        <v>1299590.27626667</v>
      </c>
      <c r="K100" s="141" t="n">
        <f aca="false">J101</f>
        <v>1315268.8888</v>
      </c>
      <c r="L100" s="141" t="n">
        <f aca="false">K101</f>
        <v>1331795.43562667</v>
      </c>
      <c r="M100" s="141" t="n">
        <f aca="false">L101</f>
        <v>1349169.91674667</v>
      </c>
      <c r="N100" s="141" t="n">
        <f aca="false">M101</f>
        <v>1367392.33216</v>
      </c>
      <c r="O100" s="141" t="n">
        <f aca="false">N101</f>
        <v>1421350.68186667</v>
      </c>
      <c r="P100" s="141" t="n">
        <f aca="false">O101</f>
        <v>1444757.76586667</v>
      </c>
      <c r="Q100" s="141" t="n">
        <f aca="false">P101</f>
        <v>1469012.78416</v>
      </c>
      <c r="R100" s="141" t="n">
        <f aca="false">Q101</f>
        <v>1494115.73674667</v>
      </c>
      <c r="S100" s="141" t="n">
        <f aca="false">R101</f>
        <v>1520066.62362667</v>
      </c>
      <c r="T100" s="141" t="n">
        <f aca="false">S101</f>
        <v>1546865.4448</v>
      </c>
      <c r="U100" s="141" t="n">
        <f aca="false">T101</f>
        <v>1606275.3984</v>
      </c>
      <c r="V100" s="141" t="n">
        <f aca="false">U101</f>
        <v>1664985.18944</v>
      </c>
      <c r="W100" s="141" t="n">
        <f aca="false">V101</f>
        <v>1722994.81792</v>
      </c>
      <c r="X100" s="109"/>
    </row>
    <row r="101" customFormat="false" ht="15.75" hidden="false" customHeight="true" outlineLevel="0" collapsed="false">
      <c r="B101" s="140" t="s">
        <v>162</v>
      </c>
      <c r="C101" s="141" t="n">
        <v>0</v>
      </c>
      <c r="D101" s="141" t="n">
        <f aca="false">D99+D100</f>
        <v>1442860.948</v>
      </c>
      <c r="E101" s="141" t="n">
        <f aca="false">E99+E100</f>
        <v>1245355.16906667</v>
      </c>
      <c r="F101" s="141" t="n">
        <f aca="false">F99+F100</f>
        <v>1257642.04442667</v>
      </c>
      <c r="G101" s="141" t="n">
        <f aca="false">G99+G100</f>
        <v>1270776.85408</v>
      </c>
      <c r="H101" s="141" t="n">
        <f aca="false">H99+H100</f>
        <v>1284759.59802667</v>
      </c>
      <c r="I101" s="141" t="n">
        <f aca="false">I99+I100</f>
        <v>1299590.27626667</v>
      </c>
      <c r="J101" s="141" t="n">
        <f aca="false">J99+J100</f>
        <v>1315268.8888</v>
      </c>
      <c r="K101" s="141" t="n">
        <f aca="false">K99+K100</f>
        <v>1331795.43562667</v>
      </c>
      <c r="L101" s="141" t="n">
        <f aca="false">L99+L100</f>
        <v>1349169.91674667</v>
      </c>
      <c r="M101" s="141" t="n">
        <f aca="false">M99+M100</f>
        <v>1367392.33216</v>
      </c>
      <c r="N101" s="141" t="n">
        <f aca="false">N99+N100</f>
        <v>1421350.68186667</v>
      </c>
      <c r="O101" s="141" t="n">
        <f aca="false">O99+O100</f>
        <v>1444757.76586667</v>
      </c>
      <c r="P101" s="141" t="n">
        <f aca="false">P99+P100</f>
        <v>1469012.78416</v>
      </c>
      <c r="Q101" s="141" t="n">
        <f aca="false">Q99+Q100</f>
        <v>1494115.73674667</v>
      </c>
      <c r="R101" s="141" t="n">
        <f aca="false">R99+R100</f>
        <v>1520066.62362667</v>
      </c>
      <c r="S101" s="141" t="n">
        <f aca="false">S99+S100</f>
        <v>1546865.4448</v>
      </c>
      <c r="T101" s="141" t="n">
        <f aca="false">T99+T100</f>
        <v>1606275.3984</v>
      </c>
      <c r="U101" s="141" t="n">
        <f aca="false">U99+U100</f>
        <v>1664985.18944</v>
      </c>
      <c r="V101" s="141" t="n">
        <f aca="false">V99+V100</f>
        <v>1722994.81792</v>
      </c>
      <c r="W101" s="141" t="n">
        <f aca="false">W99+W100</f>
        <v>1780304.28384</v>
      </c>
      <c r="X101" s="109"/>
    </row>
    <row r="102" customFormat="false" ht="15.75" hidden="false" customHeight="true" outlineLevel="0" collapsed="false">
      <c r="B102" s="140"/>
      <c r="C102" s="140"/>
      <c r="D102" s="140"/>
      <c r="E102" s="140"/>
      <c r="F102" s="140"/>
      <c r="G102" s="140"/>
      <c r="H102" s="140"/>
      <c r="I102" s="140"/>
      <c r="J102" s="140"/>
      <c r="K102" s="140"/>
      <c r="L102" s="140"/>
      <c r="M102" s="140"/>
      <c r="N102" s="140"/>
      <c r="O102" s="140"/>
      <c r="P102" s="140"/>
      <c r="Q102" s="140"/>
      <c r="R102" s="140"/>
      <c r="S102" s="140"/>
      <c r="T102" s="140"/>
      <c r="U102" s="140"/>
      <c r="V102" s="140"/>
      <c r="W102" s="140"/>
      <c r="X102" s="140"/>
    </row>
    <row r="103" customFormat="false" ht="15.75" hidden="false" customHeight="true" outlineLevel="0" collapsed="false">
      <c r="B103" s="140"/>
      <c r="C103" s="140"/>
      <c r="D103" s="140"/>
      <c r="E103" s="140"/>
      <c r="F103" s="145"/>
      <c r="G103" s="140"/>
      <c r="H103" s="140"/>
      <c r="I103" s="140"/>
      <c r="J103" s="140"/>
      <c r="K103" s="140"/>
      <c r="L103" s="140"/>
      <c r="M103" s="140"/>
      <c r="N103" s="140"/>
      <c r="O103" s="140"/>
      <c r="P103" s="140"/>
      <c r="Q103" s="140"/>
      <c r="R103" s="140"/>
      <c r="S103" s="140"/>
      <c r="T103" s="140"/>
      <c r="U103" s="140"/>
      <c r="V103" s="140"/>
      <c r="W103" s="140"/>
      <c r="X103" s="140"/>
    </row>
    <row r="104" customFormat="false" ht="15.75" hidden="false" customHeight="true" outlineLevel="0" collapsed="false">
      <c r="B104" s="156" t="s">
        <v>163</v>
      </c>
      <c r="C104" s="157"/>
      <c r="D104" s="158" t="n">
        <f aca="false">-D94</f>
        <v>-2834650</v>
      </c>
      <c r="E104" s="144" t="n">
        <f aca="false">-E95-E96</f>
        <v>660778.6032</v>
      </c>
      <c r="F104" s="144" t="n">
        <f aca="false">-F95-F96</f>
        <v>459465.29184</v>
      </c>
      <c r="G104" s="144" t="n">
        <f aca="false">-G95-G96</f>
        <v>467096.70048</v>
      </c>
      <c r="H104" s="144" t="n">
        <f aca="false">-H95-H96</f>
        <v>474728.10912</v>
      </c>
      <c r="I104" s="144" t="n">
        <f aca="false">-I95-I96</f>
        <v>482359.51776</v>
      </c>
      <c r="J104" s="144" t="n">
        <f aca="false">-J95-J96</f>
        <v>489990.9264</v>
      </c>
      <c r="K104" s="144" t="n">
        <f aca="false">-K95-K96</f>
        <v>497622.33504</v>
      </c>
      <c r="L104" s="144" t="n">
        <f aca="false">-L95-L96</f>
        <v>505253.74368</v>
      </c>
      <c r="M104" s="144" t="n">
        <f aca="false">-M95-M96</f>
        <v>512885.15232</v>
      </c>
      <c r="N104" s="144" t="n">
        <f aca="false">-N95-N96</f>
        <v>520516.56096</v>
      </c>
      <c r="O104" s="144" t="n">
        <f aca="false">-O95-O96</f>
        <v>559547.1696</v>
      </c>
      <c r="P104" s="144" t="n">
        <f aca="false">-P95-P96</f>
        <v>567178.57824</v>
      </c>
      <c r="Q104" s="144" t="n">
        <f aca="false">-Q95-Q96</f>
        <v>574809.98688</v>
      </c>
      <c r="R104" s="144" t="n">
        <f aca="false">-R95-R96</f>
        <v>582441.39552</v>
      </c>
      <c r="S104" s="144" t="n">
        <f aca="false">-S95-S96</f>
        <v>590072.80416</v>
      </c>
      <c r="T104" s="144" t="n">
        <f aca="false">-T95-T96</f>
        <v>1306366.7128</v>
      </c>
      <c r="U104" s="144" t="n">
        <f aca="false">-U95-U96</f>
        <v>1300065.24976</v>
      </c>
      <c r="V104" s="144" t="n">
        <f aca="false">-V95-V96</f>
        <v>1293763.78672</v>
      </c>
      <c r="W104" s="144" t="n">
        <f aca="false">-W95-W96</f>
        <v>1287462.32368</v>
      </c>
      <c r="X104" s="144" t="n">
        <f aca="false">-X95-X96</f>
        <v>1780304.28384</v>
      </c>
    </row>
    <row r="105" customFormat="false" ht="15.75" hidden="false" customHeight="true" outlineLevel="0" collapsed="false">
      <c r="B105" s="140" t="s">
        <v>75</v>
      </c>
      <c r="C105" s="159" t="n">
        <f aca="false">IRR(D104:X104)</f>
        <v>0.191267027915702</v>
      </c>
      <c r="D105" s="145"/>
      <c r="E105" s="145"/>
      <c r="F105" s="140"/>
      <c r="G105" s="140"/>
      <c r="H105" s="140"/>
      <c r="I105" s="140"/>
      <c r="J105" s="140"/>
      <c r="K105" s="140"/>
      <c r="L105" s="140"/>
      <c r="M105" s="140"/>
      <c r="N105" s="140"/>
      <c r="O105" s="140"/>
      <c r="P105" s="140"/>
      <c r="Q105" s="140"/>
      <c r="R105" s="140"/>
      <c r="S105" s="140"/>
      <c r="T105" s="140"/>
      <c r="U105" s="140"/>
      <c r="V105" s="140"/>
      <c r="W105" s="140"/>
      <c r="X105" s="140"/>
    </row>
    <row r="106" customFormat="false" ht="15.75" hidden="false" customHeight="true" outlineLevel="0" collapsed="false">
      <c r="B106" s="156" t="s">
        <v>164</v>
      </c>
      <c r="C106" s="157"/>
      <c r="D106" s="158" t="n">
        <f aca="false">D85-D94</f>
        <v>-2100451.552</v>
      </c>
      <c r="E106" s="144" t="n">
        <f aca="false">E85</f>
        <v>510516.990933333</v>
      </c>
      <c r="F106" s="144" t="n">
        <f aca="false">F85-F96</f>
        <v>518996.333866667</v>
      </c>
      <c r="G106" s="144" t="n">
        <f aca="false">G85-G96</f>
        <v>527475.6768</v>
      </c>
      <c r="H106" s="144" t="n">
        <f aca="false">H85-H96</f>
        <v>535955.019733333</v>
      </c>
      <c r="I106" s="144" t="n">
        <f aca="false">I85-I96</f>
        <v>544434.362666666</v>
      </c>
      <c r="J106" s="144" t="n">
        <f aca="false">J85-J96</f>
        <v>552913.7056</v>
      </c>
      <c r="K106" s="144" t="n">
        <f aca="false">K85-K96</f>
        <v>561393.048533333</v>
      </c>
      <c r="L106" s="144" t="n">
        <f aca="false">L85-L96</f>
        <v>569872.391466667</v>
      </c>
      <c r="M106" s="144" t="n">
        <f aca="false">M85-M96</f>
        <v>578351.7344</v>
      </c>
      <c r="N106" s="144" t="n">
        <f aca="false">N85-N96</f>
        <v>621719.077333333</v>
      </c>
      <c r="O106" s="144" t="n">
        <f aca="false">O85-O96</f>
        <v>630198.420266667</v>
      </c>
      <c r="P106" s="144" t="n">
        <f aca="false">P85-P96</f>
        <v>638677.7632</v>
      </c>
      <c r="Q106" s="144" t="n">
        <f aca="false">Q85-Q96</f>
        <v>647157.106133333</v>
      </c>
      <c r="R106" s="144" t="n">
        <f aca="false">R85-R96</f>
        <v>655636.449066667</v>
      </c>
      <c r="S106" s="144" t="n">
        <f aca="false">S85-S96</f>
        <v>664115.792</v>
      </c>
      <c r="T106" s="144" t="n">
        <f aca="false">T85-T96</f>
        <v>1365776.6664</v>
      </c>
      <c r="U106" s="144" t="n">
        <f aca="false">U85-U96</f>
        <v>1358775.0408</v>
      </c>
      <c r="V106" s="144" t="n">
        <f aca="false">V85-V96</f>
        <v>1351773.4152</v>
      </c>
      <c r="W106" s="144" t="n">
        <f aca="false">W85-W96</f>
        <v>1344771.7896</v>
      </c>
      <c r="X106" s="149"/>
    </row>
    <row r="107" customFormat="false" ht="15.75" hidden="false" customHeight="true" outlineLevel="0" collapsed="false">
      <c r="B107" s="156" t="s">
        <v>76</v>
      </c>
      <c r="C107" s="159" t="n">
        <f aca="false">IRR(D106:W106)</f>
        <v>0.262193239495808</v>
      </c>
      <c r="D107" s="145"/>
      <c r="E107" s="145"/>
      <c r="F107" s="140"/>
      <c r="G107" s="140"/>
      <c r="H107" s="140"/>
      <c r="I107" s="140"/>
      <c r="J107" s="140"/>
      <c r="K107" s="140"/>
      <c r="L107" s="140"/>
      <c r="M107" s="140"/>
      <c r="N107" s="140"/>
      <c r="O107" s="140"/>
      <c r="P107" s="140"/>
      <c r="Q107" s="140"/>
      <c r="R107" s="140"/>
      <c r="S107" s="140"/>
      <c r="T107" s="140"/>
      <c r="U107" s="140"/>
      <c r="V107" s="140"/>
      <c r="W107" s="140"/>
      <c r="X107" s="140"/>
    </row>
    <row r="108" customFormat="false" ht="15.75" hidden="false" customHeight="true" outlineLevel="0" collapsed="false">
      <c r="B108" s="140"/>
      <c r="C108" s="140"/>
      <c r="D108" s="140"/>
      <c r="E108" s="140"/>
      <c r="F108" s="140"/>
      <c r="G108" s="140"/>
      <c r="H108" s="140"/>
      <c r="I108" s="140"/>
      <c r="J108" s="140"/>
      <c r="K108" s="140"/>
      <c r="L108" s="140"/>
      <c r="M108" s="140"/>
      <c r="N108" s="140"/>
      <c r="O108" s="140"/>
      <c r="P108" s="140"/>
      <c r="Q108" s="140"/>
      <c r="R108" s="140"/>
      <c r="S108" s="140"/>
      <c r="T108" s="140"/>
      <c r="U108" s="140"/>
      <c r="V108" s="140"/>
      <c r="W108" s="140"/>
      <c r="X108" s="140"/>
    </row>
    <row r="109" customFormat="false" ht="15.75" hidden="false" customHeight="true" outlineLevel="0" collapsed="false">
      <c r="B109" s="140" t="s">
        <v>165</v>
      </c>
      <c r="C109" s="141" t="n">
        <v>0</v>
      </c>
      <c r="D109" s="141" t="n">
        <f aca="false">D92</f>
        <v>11338600</v>
      </c>
      <c r="E109" s="141" t="n">
        <f aca="false">D109+E93</f>
        <v>10582693.3333333</v>
      </c>
      <c r="F109" s="141" t="n">
        <f aca="false">E109+F93</f>
        <v>9826786.66666667</v>
      </c>
      <c r="G109" s="141" t="n">
        <f aca="false">F109+G93</f>
        <v>9070880</v>
      </c>
      <c r="H109" s="141" t="n">
        <f aca="false">G109+H93</f>
        <v>8314973.33333334</v>
      </c>
      <c r="I109" s="141" t="n">
        <f aca="false">H109+I93</f>
        <v>7559066.66666667</v>
      </c>
      <c r="J109" s="141" t="n">
        <f aca="false">I109+J93</f>
        <v>6803160</v>
      </c>
      <c r="K109" s="141" t="n">
        <f aca="false">J109+K93</f>
        <v>6047253.33333333</v>
      </c>
      <c r="L109" s="141" t="n">
        <f aca="false">K109+L93</f>
        <v>5291346.66666667</v>
      </c>
      <c r="M109" s="141" t="n">
        <f aca="false">L109+M93</f>
        <v>4535440</v>
      </c>
      <c r="N109" s="141" t="n">
        <f aca="false">M109+N93</f>
        <v>3779533.33333333</v>
      </c>
      <c r="O109" s="141" t="n">
        <f aca="false">N109+O93</f>
        <v>3023626.66666667</v>
      </c>
      <c r="P109" s="141" t="n">
        <f aca="false">O109+P93</f>
        <v>2267720</v>
      </c>
      <c r="Q109" s="141" t="n">
        <f aca="false">P109+Q93</f>
        <v>1511813.33333333</v>
      </c>
      <c r="R109" s="141" t="n">
        <f aca="false">Q109+R93</f>
        <v>755906.666666667</v>
      </c>
      <c r="S109" s="141" t="n">
        <f aca="false">R109+S93</f>
        <v>0</v>
      </c>
      <c r="T109" s="141" t="n">
        <f aca="false">S109+T93</f>
        <v>0</v>
      </c>
      <c r="U109" s="141" t="n">
        <f aca="false">T109+U93</f>
        <v>0</v>
      </c>
      <c r="V109" s="141" t="n">
        <f aca="false">U109+V93</f>
        <v>0</v>
      </c>
      <c r="W109" s="141" t="n">
        <f aca="false">V109+W93</f>
        <v>0</v>
      </c>
      <c r="X109" s="145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AJ10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304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4"/>
    <col collapsed="false" customWidth="true" hidden="false" outlineLevel="0" max="3" min="3" style="0" width="27"/>
    <col collapsed="false" customWidth="true" hidden="false" outlineLevel="0" max="5" min="4" style="0" width="37"/>
    <col collapsed="false" customWidth="true" hidden="false" outlineLevel="0" max="6" min="6" style="0" width="50"/>
    <col collapsed="false" customWidth="true" hidden="false" outlineLevel="0" max="12" min="7" style="0" width="37"/>
    <col collapsed="false" customWidth="true" hidden="false" outlineLevel="0" max="13" min="13" style="0" width="50"/>
    <col collapsed="false" customWidth="true" hidden="false" outlineLevel="0" max="23" min="14" style="0" width="37"/>
    <col collapsed="false" customWidth="true" hidden="false" outlineLevel="0" max="24" min="24" style="0" width="30"/>
    <col collapsed="false" customWidth="true" hidden="false" outlineLevel="0" max="27" min="25" style="0" width="10"/>
    <col collapsed="false" customWidth="true" hidden="false" outlineLevel="0" max="35" min="28" style="0" width="11"/>
    <col collapsed="false" customWidth="true" hidden="false" outlineLevel="0" max="36" min="36" style="0" width="8"/>
    <col collapsed="false" customWidth="true" hidden="false" outlineLevel="0" max="37" min="37" style="0" width="9.14"/>
  </cols>
  <sheetData>
    <row r="1" customFormat="false" ht="22.5" hidden="false" customHeight="true" outlineLevel="0" collapsed="false">
      <c r="B1" s="1" t="s">
        <v>87</v>
      </c>
      <c r="C1" s="35"/>
      <c r="D1" s="35"/>
      <c r="E1" s="36"/>
      <c r="F1" s="2" t="s">
        <v>1</v>
      </c>
      <c r="P1" s="3" t="n">
        <f aca="false">1-D11</f>
        <v>0.99</v>
      </c>
      <c r="Q1" s="3" t="n">
        <f aca="false">P1-$D12</f>
        <v>0.986</v>
      </c>
      <c r="R1" s="3" t="n">
        <f aca="false">Q1-$D12</f>
        <v>0.982</v>
      </c>
      <c r="S1" s="3" t="n">
        <f aca="false">R1-$D12</f>
        <v>0.978</v>
      </c>
      <c r="T1" s="3" t="n">
        <f aca="false">S1-$D12</f>
        <v>0.974</v>
      </c>
      <c r="U1" s="3" t="n">
        <f aca="false">T1-$D12</f>
        <v>0.97</v>
      </c>
      <c r="V1" s="3" t="n">
        <f aca="false">U1-$D12</f>
        <v>0.966</v>
      </c>
      <c r="W1" s="3" t="n">
        <f aca="false">V1-$D12</f>
        <v>0.962</v>
      </c>
      <c r="X1" s="3" t="n">
        <f aca="false">W1-$D12</f>
        <v>0.958</v>
      </c>
      <c r="Y1" s="3" t="n">
        <f aca="false">X1-$D12</f>
        <v>0.954</v>
      </c>
      <c r="Z1" s="3" t="n">
        <f aca="false">Y1-$D12</f>
        <v>0.95</v>
      </c>
      <c r="AA1" s="3" t="n">
        <f aca="false">Z1-$D12</f>
        <v>0.946</v>
      </c>
      <c r="AB1" s="3" t="n">
        <f aca="false">AA1-$D12</f>
        <v>0.942</v>
      </c>
      <c r="AC1" s="3" t="n">
        <f aca="false">AB1-$D12</f>
        <v>0.938</v>
      </c>
      <c r="AD1" s="3" t="n">
        <f aca="false">AC1-$D12</f>
        <v>0.934</v>
      </c>
      <c r="AE1" s="3" t="n">
        <f aca="false">AD1-$D12</f>
        <v>0.93</v>
      </c>
      <c r="AF1" s="3" t="n">
        <f aca="false">AE1-$D12</f>
        <v>0.926</v>
      </c>
      <c r="AG1" s="3" t="n">
        <f aca="false">AF1-$D12</f>
        <v>0.922</v>
      </c>
      <c r="AH1" s="3" t="n">
        <f aca="false">AG1-$D12</f>
        <v>0.918</v>
      </c>
      <c r="AI1" s="3" t="n">
        <f aca="false">AH1-$D12</f>
        <v>0.914</v>
      </c>
    </row>
    <row r="2" customFormat="false" ht="21.75" hidden="false" customHeight="true" outlineLevel="0" collapsed="false">
      <c r="B2" s="37" t="s">
        <v>2</v>
      </c>
      <c r="C2" s="38" t="s">
        <v>3</v>
      </c>
      <c r="D2" s="6" t="s">
        <v>4</v>
      </c>
      <c r="E2" s="7" t="s">
        <v>4</v>
      </c>
      <c r="F2" s="39" t="s">
        <v>5</v>
      </c>
    </row>
    <row r="3" customFormat="false" ht="21.75" hidden="false" customHeight="true" outlineLevel="0" collapsed="false">
      <c r="B3" s="40" t="s">
        <v>6</v>
      </c>
      <c r="C3" s="41" t="n">
        <v>20</v>
      </c>
      <c r="D3" s="11" t="s">
        <v>4</v>
      </c>
      <c r="E3" s="12" t="s">
        <v>4</v>
      </c>
      <c r="F3" s="8" t="s">
        <v>88</v>
      </c>
    </row>
    <row r="4" customFormat="false" ht="21.75" hidden="false" customHeight="true" outlineLevel="0" collapsed="false">
      <c r="B4" s="40" t="s">
        <v>89</v>
      </c>
      <c r="C4" s="41" t="n">
        <v>436.1</v>
      </c>
      <c r="D4" s="11" t="s">
        <v>4</v>
      </c>
      <c r="E4" s="12" t="s">
        <v>4</v>
      </c>
      <c r="F4" s="8" t="s">
        <v>90</v>
      </c>
      <c r="M4" s="0" t="s">
        <v>181</v>
      </c>
    </row>
    <row r="5" customFormat="false" ht="22.5" hidden="false" customHeight="true" outlineLevel="0" collapsed="false">
      <c r="B5" s="42" t="s">
        <v>10</v>
      </c>
      <c r="C5" s="41" t="n">
        <v>2020</v>
      </c>
      <c r="D5" s="42" t="s">
        <v>11</v>
      </c>
      <c r="E5" s="43" t="n">
        <v>2039</v>
      </c>
      <c r="F5" s="8" t="s">
        <v>92</v>
      </c>
      <c r="M5" s="0" t="s">
        <v>182</v>
      </c>
    </row>
    <row r="6" customFormat="false" ht="20.25" hidden="false" customHeight="true" outlineLevel="0" collapsed="false">
      <c r="B6" s="13"/>
      <c r="C6" s="13"/>
      <c r="D6" s="13"/>
      <c r="E6" s="13"/>
      <c r="M6" s="0" t="s">
        <v>183</v>
      </c>
    </row>
    <row r="7" customFormat="false" ht="22.5" hidden="false" customHeight="true" outlineLevel="0" collapsed="false">
      <c r="B7" s="1" t="s">
        <v>95</v>
      </c>
      <c r="C7" s="35"/>
      <c r="D7" s="35"/>
      <c r="E7" s="36"/>
      <c r="M7" s="0" t="s">
        <v>184</v>
      </c>
    </row>
    <row r="8" customFormat="false" ht="22.5" hidden="false" customHeight="true" outlineLevel="0" collapsed="false">
      <c r="B8" s="15" t="s">
        <v>14</v>
      </c>
      <c r="E8" s="44"/>
      <c r="M8" s="0" t="s">
        <v>185</v>
      </c>
    </row>
    <row r="9" customFormat="false" ht="22.5" hidden="false" customHeight="true" outlineLevel="0" collapsed="false">
      <c r="B9" s="45" t="s">
        <v>15</v>
      </c>
      <c r="C9" s="46" t="s">
        <v>16</v>
      </c>
      <c r="D9" s="46" t="s">
        <v>17</v>
      </c>
      <c r="E9" s="47" t="s">
        <v>18</v>
      </c>
      <c r="F9" s="2" t="s">
        <v>1</v>
      </c>
      <c r="M9" s="0" t="s">
        <v>98</v>
      </c>
    </row>
    <row r="10" customFormat="false" ht="30" hidden="false" customHeight="true" outlineLevel="0" collapsed="false">
      <c r="B10" s="48" t="s">
        <v>19</v>
      </c>
      <c r="C10" s="49" t="s">
        <v>99</v>
      </c>
      <c r="D10" s="50" t="n">
        <v>547002</v>
      </c>
      <c r="E10" s="21" t="n">
        <v>20</v>
      </c>
      <c r="F10" s="8" t="s">
        <v>100</v>
      </c>
      <c r="M10" s="0" t="s">
        <v>85</v>
      </c>
    </row>
    <row r="11" customFormat="false" ht="30" hidden="false" customHeight="true" outlineLevel="0" collapsed="false">
      <c r="B11" s="51"/>
      <c r="C11" s="42" t="s">
        <v>22</v>
      </c>
      <c r="D11" s="52" t="n">
        <v>0.01</v>
      </c>
      <c r="E11" s="53"/>
      <c r="F11" s="8" t="s">
        <v>102</v>
      </c>
    </row>
    <row r="12" customFormat="false" ht="30" hidden="false" customHeight="true" outlineLevel="0" collapsed="false">
      <c r="B12" s="51"/>
      <c r="C12" s="42" t="s">
        <v>24</v>
      </c>
      <c r="D12" s="54" t="n">
        <v>0.004</v>
      </c>
      <c r="E12" s="53"/>
      <c r="F12" s="8" t="s">
        <v>103</v>
      </c>
    </row>
    <row r="13" customFormat="false" ht="22.5" hidden="false" customHeight="true" outlineLevel="0" collapsed="false">
      <c r="B13" s="51"/>
      <c r="C13" s="55" t="s">
        <v>104</v>
      </c>
      <c r="D13" s="56" t="n">
        <v>4</v>
      </c>
      <c r="E13" s="53"/>
      <c r="F13" s="8" t="s">
        <v>105</v>
      </c>
    </row>
    <row r="14" customFormat="false" ht="22.5" hidden="false" customHeight="true" outlineLevel="0" collapsed="false">
      <c r="B14" s="26" t="s">
        <v>106</v>
      </c>
      <c r="C14" s="35"/>
      <c r="D14" s="35"/>
      <c r="E14" s="36"/>
    </row>
    <row r="15" customFormat="false" ht="22.5" hidden="false" customHeight="true" outlineLevel="0" collapsed="false">
      <c r="B15" s="45" t="s">
        <v>15</v>
      </c>
      <c r="C15" s="46" t="s">
        <v>16</v>
      </c>
      <c r="D15" s="46" t="s">
        <v>17</v>
      </c>
      <c r="E15" s="47" t="s">
        <v>29</v>
      </c>
      <c r="F15" s="2" t="s">
        <v>1</v>
      </c>
    </row>
    <row r="16" customFormat="false" ht="21.75" hidden="false" customHeight="true" outlineLevel="0" collapsed="false">
      <c r="B16" s="49" t="s">
        <v>107</v>
      </c>
      <c r="C16" s="49" t="s">
        <v>108</v>
      </c>
      <c r="D16" s="57" t="n">
        <v>22000</v>
      </c>
      <c r="E16" s="7" t="n">
        <v>20</v>
      </c>
      <c r="F16" s="8" t="s">
        <v>109</v>
      </c>
    </row>
    <row r="17" customFormat="false" ht="21.75" hidden="false" customHeight="true" outlineLevel="0" collapsed="false">
      <c r="B17" s="51"/>
      <c r="C17" s="42" t="s">
        <v>110</v>
      </c>
      <c r="D17" s="58" t="n">
        <v>0.2</v>
      </c>
      <c r="E17" s="53"/>
      <c r="F17" s="8" t="s">
        <v>111</v>
      </c>
    </row>
    <row r="18" customFormat="false" ht="21.75" hidden="false" customHeight="true" outlineLevel="0" collapsed="false">
      <c r="B18" s="59"/>
      <c r="C18" s="42" t="s">
        <v>35</v>
      </c>
      <c r="D18" s="60" t="n">
        <v>2500</v>
      </c>
      <c r="E18" s="61"/>
      <c r="F18" s="8" t="s">
        <v>112</v>
      </c>
    </row>
    <row r="19" customFormat="false" ht="54" hidden="false" customHeight="true" outlineLevel="0" collapsed="false">
      <c r="B19" s="42" t="s">
        <v>37</v>
      </c>
      <c r="C19" s="62" t="s">
        <v>38</v>
      </c>
      <c r="D19" s="58" t="n">
        <v>1</v>
      </c>
      <c r="E19" s="7" t="n">
        <v>20</v>
      </c>
      <c r="F19" s="8" t="s">
        <v>113</v>
      </c>
    </row>
    <row r="20" customFormat="false" ht="20.25" hidden="false" customHeight="true" outlineLevel="0" collapsed="false">
      <c r="B20" s="51"/>
      <c r="C20" s="63" t="s">
        <v>114</v>
      </c>
      <c r="D20" s="60" t="n">
        <v>290201</v>
      </c>
      <c r="E20" s="7" t="n">
        <v>20</v>
      </c>
      <c r="F20" s="8" t="s">
        <v>115</v>
      </c>
    </row>
    <row r="21" customFormat="false" ht="30" hidden="false" customHeight="true" outlineLevel="0" collapsed="false">
      <c r="B21" s="59"/>
      <c r="C21" s="42" t="s">
        <v>116</v>
      </c>
      <c r="D21" s="58" t="n">
        <v>0</v>
      </c>
      <c r="E21" s="12" t="n">
        <v>20</v>
      </c>
      <c r="F21" s="8" t="s">
        <v>117</v>
      </c>
    </row>
    <row r="22" customFormat="false" ht="30" hidden="false" customHeight="true" outlineLevel="0" collapsed="false">
      <c r="B22" s="42" t="s">
        <v>44</v>
      </c>
      <c r="C22" s="42" t="s">
        <v>118</v>
      </c>
      <c r="D22" s="64" t="n">
        <v>400</v>
      </c>
      <c r="E22" s="12" t="n">
        <v>20</v>
      </c>
      <c r="F22" s="8" t="s">
        <v>119</v>
      </c>
    </row>
    <row r="23" customFormat="false" ht="30" hidden="false" customHeight="true" outlineLevel="0" collapsed="false">
      <c r="B23" s="42" t="s">
        <v>47</v>
      </c>
      <c r="C23" s="42" t="s">
        <v>48</v>
      </c>
      <c r="D23" s="58" t="n">
        <v>0.003</v>
      </c>
      <c r="E23" s="12" t="n">
        <v>20</v>
      </c>
      <c r="F23" s="8" t="s">
        <v>120</v>
      </c>
    </row>
    <row r="24" customFormat="false" ht="30" hidden="false" customHeight="true" outlineLevel="0" collapsed="false">
      <c r="B24" s="42" t="s">
        <v>50</v>
      </c>
      <c r="C24" s="42" t="s">
        <v>121</v>
      </c>
      <c r="D24" s="64" t="n">
        <v>1000</v>
      </c>
      <c r="E24" s="31" t="n">
        <v>10</v>
      </c>
      <c r="F24" s="8" t="s">
        <v>122</v>
      </c>
    </row>
    <row r="25" customFormat="false" ht="30" hidden="false" customHeight="true" outlineLevel="0" collapsed="false">
      <c r="B25" s="42" t="s">
        <v>53</v>
      </c>
      <c r="C25" s="42" t="s">
        <v>54</v>
      </c>
      <c r="D25" s="65" t="n">
        <v>0.0256</v>
      </c>
      <c r="E25" s="12" t="n">
        <v>20</v>
      </c>
      <c r="F25" s="8" t="s">
        <v>123</v>
      </c>
    </row>
    <row r="26" customFormat="false" ht="30" hidden="false" customHeight="true" outlineLevel="0" collapsed="false">
      <c r="B26" s="42" t="s">
        <v>56</v>
      </c>
      <c r="C26" s="42" t="s">
        <v>57</v>
      </c>
      <c r="D26" s="58" t="n">
        <v>0.2</v>
      </c>
      <c r="E26" s="12" t="n">
        <v>20</v>
      </c>
      <c r="F26" s="8" t="s">
        <v>124</v>
      </c>
    </row>
    <row r="27" customFormat="false" ht="20.25" hidden="false" customHeight="true" outlineLevel="0" collapsed="false">
      <c r="B27" s="13"/>
      <c r="C27" s="13"/>
      <c r="D27" s="13"/>
      <c r="E27" s="13"/>
    </row>
    <row r="28" customFormat="false" ht="20.25" hidden="false" customHeight="true" outlineLevel="0" collapsed="false">
      <c r="B28" s="13"/>
      <c r="C28" s="13"/>
      <c r="D28" s="13"/>
      <c r="E28" s="13"/>
    </row>
    <row r="29" customFormat="false" ht="22.5" hidden="false" customHeight="true" outlineLevel="0" collapsed="false">
      <c r="B29" s="1" t="s">
        <v>125</v>
      </c>
      <c r="C29" s="35"/>
      <c r="D29" s="36"/>
      <c r="E29" s="13"/>
    </row>
    <row r="30" customFormat="false" ht="22.5" hidden="false" customHeight="true" outlineLevel="0" collapsed="false">
      <c r="B30" s="45" t="s">
        <v>60</v>
      </c>
      <c r="C30" s="66" t="s">
        <v>16</v>
      </c>
      <c r="D30" s="67" t="s">
        <v>17</v>
      </c>
      <c r="E30" s="13"/>
      <c r="F30" s="2" t="s">
        <v>1</v>
      </c>
    </row>
    <row r="31" customFormat="false" ht="30" hidden="false" customHeight="true" outlineLevel="0" collapsed="false">
      <c r="B31" s="49" t="s">
        <v>61</v>
      </c>
      <c r="C31" s="37" t="s">
        <v>62</v>
      </c>
      <c r="D31" s="68" t="n">
        <v>0.8</v>
      </c>
      <c r="E31" s="13"/>
      <c r="F31" s="8" t="s">
        <v>126</v>
      </c>
    </row>
    <row r="32" customFormat="false" ht="18.75" hidden="false" customHeight="true" outlineLevel="0" collapsed="false">
      <c r="B32" s="49" t="s">
        <v>64</v>
      </c>
      <c r="C32" s="37" t="s">
        <v>65</v>
      </c>
      <c r="D32" s="68" t="n">
        <v>15</v>
      </c>
      <c r="E32" s="13"/>
      <c r="F32" s="8" t="s">
        <v>127</v>
      </c>
    </row>
    <row r="33" customFormat="false" ht="18.75" hidden="false" customHeight="true" outlineLevel="0" collapsed="false">
      <c r="B33" s="42" t="s">
        <v>67</v>
      </c>
      <c r="C33" s="40" t="s">
        <v>68</v>
      </c>
      <c r="D33" s="58" t="n">
        <v>0.9</v>
      </c>
      <c r="E33" s="13"/>
      <c r="F33" s="8" t="s">
        <v>128</v>
      </c>
    </row>
    <row r="34" customFormat="false" ht="30" hidden="false" customHeight="true" outlineLevel="0" collapsed="false">
      <c r="B34" s="42" t="s">
        <v>70</v>
      </c>
      <c r="C34" s="40" t="s">
        <v>65</v>
      </c>
      <c r="D34" s="58" t="n">
        <v>4</v>
      </c>
      <c r="E34" s="13"/>
      <c r="F34" s="8" t="s">
        <v>129</v>
      </c>
    </row>
    <row r="35" customFormat="false" ht="18.75" hidden="false" customHeight="true" outlineLevel="0" collapsed="false"/>
    <row r="36" customFormat="false" ht="18.75" hidden="false" customHeight="true" outlineLevel="0" collapsed="false"/>
    <row r="37" customFormat="false" ht="18.75" hidden="false" customHeight="true" outlineLevel="0" collapsed="false">
      <c r="B37" s="69"/>
      <c r="C37" s="70" t="s">
        <v>130</v>
      </c>
      <c r="D37" s="70" t="n">
        <v>2020</v>
      </c>
      <c r="E37" s="70" t="n">
        <v>2021</v>
      </c>
      <c r="F37" s="70" t="n">
        <v>2022</v>
      </c>
      <c r="G37" s="70" t="n">
        <v>2023</v>
      </c>
      <c r="H37" s="70" t="n">
        <v>2024</v>
      </c>
      <c r="I37" s="70" t="n">
        <v>2025</v>
      </c>
      <c r="J37" s="70" t="n">
        <v>2026</v>
      </c>
      <c r="K37" s="70" t="n">
        <v>2027</v>
      </c>
      <c r="L37" s="70" t="n">
        <v>2028</v>
      </c>
      <c r="M37" s="70" t="n">
        <v>2029</v>
      </c>
      <c r="N37" s="70" t="n">
        <v>2030</v>
      </c>
      <c r="O37" s="70" t="n">
        <v>2031</v>
      </c>
      <c r="P37" s="70" t="n">
        <v>2032</v>
      </c>
      <c r="Q37" s="70" t="n">
        <v>2033</v>
      </c>
      <c r="R37" s="70" t="n">
        <v>2034</v>
      </c>
      <c r="S37" s="70" t="n">
        <v>2035</v>
      </c>
      <c r="T37" s="70" t="n">
        <v>2036</v>
      </c>
      <c r="U37" s="70" t="n">
        <v>2037</v>
      </c>
      <c r="V37" s="70" t="n">
        <v>2038</v>
      </c>
      <c r="W37" s="70" t="n">
        <v>2039</v>
      </c>
      <c r="X37" s="70"/>
    </row>
    <row r="38" customFormat="false" ht="18.75" hidden="false" customHeight="true" outlineLevel="0" collapsed="false">
      <c r="B38" s="71" t="n">
        <v>0</v>
      </c>
      <c r="C38" s="72"/>
      <c r="D38" s="73"/>
      <c r="E38" s="73"/>
      <c r="F38" s="74"/>
      <c r="G38" s="75"/>
      <c r="H38" s="75"/>
      <c r="I38" s="75"/>
      <c r="J38" s="75"/>
      <c r="K38" s="75"/>
      <c r="L38" s="75"/>
      <c r="M38" s="75"/>
      <c r="N38" s="75"/>
      <c r="O38" s="75"/>
      <c r="P38" s="75"/>
      <c r="Q38" s="75"/>
      <c r="R38" s="75"/>
      <c r="S38" s="75"/>
      <c r="T38" s="76"/>
      <c r="U38" s="75"/>
      <c r="V38" s="75"/>
      <c r="W38" s="75"/>
      <c r="X38" s="77"/>
    </row>
    <row r="39" customFormat="false" ht="18.75" hidden="false" customHeight="true" outlineLevel="0" collapsed="false">
      <c r="B39" s="78" t="s">
        <v>131</v>
      </c>
      <c r="C39" s="79" t="n">
        <v>0</v>
      </c>
      <c r="D39" s="80" t="n">
        <v>1</v>
      </c>
      <c r="E39" s="80" t="n">
        <v>2</v>
      </c>
      <c r="F39" s="80" t="n">
        <v>3</v>
      </c>
      <c r="G39" s="80" t="n">
        <v>4</v>
      </c>
      <c r="H39" s="80" t="n">
        <v>5</v>
      </c>
      <c r="I39" s="80" t="n">
        <v>6</v>
      </c>
      <c r="J39" s="80" t="n">
        <v>7</v>
      </c>
      <c r="K39" s="80" t="n">
        <v>8</v>
      </c>
      <c r="L39" s="80" t="n">
        <v>9</v>
      </c>
      <c r="M39" s="80" t="n">
        <v>10</v>
      </c>
      <c r="N39" s="80" t="n">
        <v>11</v>
      </c>
      <c r="O39" s="80" t="n">
        <v>12</v>
      </c>
      <c r="P39" s="80" t="n">
        <v>13</v>
      </c>
      <c r="Q39" s="80" t="n">
        <v>14</v>
      </c>
      <c r="R39" s="80" t="n">
        <v>15</v>
      </c>
      <c r="S39" s="80" t="n">
        <v>16</v>
      </c>
      <c r="T39" s="81" t="n">
        <v>17</v>
      </c>
      <c r="U39" s="80" t="n">
        <v>18</v>
      </c>
      <c r="V39" s="80" t="n">
        <v>19</v>
      </c>
      <c r="W39" s="80" t="n">
        <v>20</v>
      </c>
      <c r="X39" s="82"/>
    </row>
    <row r="40" customFormat="false" ht="18.75" hidden="false" customHeight="true" outlineLevel="0" collapsed="false">
      <c r="B40" s="83" t="s">
        <v>132</v>
      </c>
      <c r="C40" s="84" t="n">
        <v>0</v>
      </c>
      <c r="D40" s="85" t="n">
        <f aca="false">$D$10*P1</f>
        <v>541531.98</v>
      </c>
      <c r="E40" s="85" t="n">
        <f aca="false">$D$10*Q1</f>
        <v>539343.972</v>
      </c>
      <c r="F40" s="85" t="n">
        <f aca="false">$D$10*R1</f>
        <v>537155.964</v>
      </c>
      <c r="G40" s="85" t="n">
        <f aca="false">$D$10*S1</f>
        <v>534967.956</v>
      </c>
      <c r="H40" s="85" t="n">
        <f aca="false">$D$10*T1</f>
        <v>532779.948</v>
      </c>
      <c r="I40" s="85" t="n">
        <f aca="false">$D$10*U1</f>
        <v>530591.94</v>
      </c>
      <c r="J40" s="85" t="n">
        <f aca="false">$D$10*V1</f>
        <v>528403.932</v>
      </c>
      <c r="K40" s="85" t="n">
        <f aca="false">$D$10*W1</f>
        <v>526215.924</v>
      </c>
      <c r="L40" s="85" t="n">
        <f aca="false">$D$10*X1</f>
        <v>524027.916</v>
      </c>
      <c r="M40" s="85" t="n">
        <f aca="false">$D$10*Y1</f>
        <v>521839.908</v>
      </c>
      <c r="N40" s="85" t="n">
        <f aca="false">$D$10*Z1</f>
        <v>519651.9</v>
      </c>
      <c r="O40" s="85" t="n">
        <f aca="false">$D$10*AA1</f>
        <v>517463.892</v>
      </c>
      <c r="P40" s="85" t="n">
        <f aca="false">$D$10*AB1</f>
        <v>515275.884</v>
      </c>
      <c r="Q40" s="85" t="n">
        <f aca="false">$D$10*AC1</f>
        <v>513087.876</v>
      </c>
      <c r="R40" s="85" t="n">
        <f aca="false">$D$10*AD1</f>
        <v>510899.868</v>
      </c>
      <c r="S40" s="85" t="n">
        <f aca="false">$D$10*AE1</f>
        <v>508711.86</v>
      </c>
      <c r="T40" s="85" t="n">
        <f aca="false">$D$10*AF1</f>
        <v>506523.852</v>
      </c>
      <c r="U40" s="85" t="n">
        <f aca="false">$D$10*AG1</f>
        <v>504335.844</v>
      </c>
      <c r="V40" s="85" t="n">
        <f aca="false">$D$10*AH1</f>
        <v>502147.836</v>
      </c>
      <c r="W40" s="85" t="n">
        <f aca="false">$D$10*AI1</f>
        <v>499959.828</v>
      </c>
      <c r="X40" s="86"/>
    </row>
    <row r="41" customFormat="false" ht="18.75" hidden="false" customHeight="true" outlineLevel="0" collapsed="false">
      <c r="B41" s="87" t="s">
        <v>133</v>
      </c>
      <c r="C41" s="88" t="s">
        <v>4</v>
      </c>
      <c r="D41" s="89" t="n">
        <f aca="false">D40*$D$13</f>
        <v>2166127.92</v>
      </c>
      <c r="E41" s="89" t="n">
        <f aca="false">E40*$D$13</f>
        <v>2157375.888</v>
      </c>
      <c r="F41" s="89" t="n">
        <f aca="false">F40*$D$13</f>
        <v>2148623.856</v>
      </c>
      <c r="G41" s="89" t="n">
        <f aca="false">G40*$D$13</f>
        <v>2139871.824</v>
      </c>
      <c r="H41" s="89" t="n">
        <f aca="false">H40*$D$13</f>
        <v>2131119.792</v>
      </c>
      <c r="I41" s="89" t="n">
        <f aca="false">I40*$D$13</f>
        <v>2122367.76</v>
      </c>
      <c r="J41" s="89" t="n">
        <f aca="false">J40*$D$13</f>
        <v>2113615.728</v>
      </c>
      <c r="K41" s="89" t="n">
        <f aca="false">K40*$D$13</f>
        <v>2104863.696</v>
      </c>
      <c r="L41" s="89" t="n">
        <f aca="false">L40*$D$13</f>
        <v>2096111.664</v>
      </c>
      <c r="M41" s="89" t="n">
        <f aca="false">M40*$D$13</f>
        <v>2087359.632</v>
      </c>
      <c r="N41" s="89" t="n">
        <f aca="false">N40*$D$13</f>
        <v>2078607.6</v>
      </c>
      <c r="O41" s="89" t="n">
        <f aca="false">O40*$D$13</f>
        <v>2069855.568</v>
      </c>
      <c r="P41" s="89" t="n">
        <f aca="false">P40*$D$13</f>
        <v>2061103.536</v>
      </c>
      <c r="Q41" s="89" t="n">
        <f aca="false">Q40*$D$13</f>
        <v>2052351.504</v>
      </c>
      <c r="R41" s="89" t="n">
        <f aca="false">R40*$D$13</f>
        <v>2043599.472</v>
      </c>
      <c r="S41" s="89" t="n">
        <f aca="false">S40*$D$13</f>
        <v>2034847.44</v>
      </c>
      <c r="T41" s="89" t="n">
        <f aca="false">T40*$D$13</f>
        <v>2026095.408</v>
      </c>
      <c r="U41" s="89" t="n">
        <f aca="false">U40*$D$13</f>
        <v>2017343.376</v>
      </c>
      <c r="V41" s="89" t="n">
        <f aca="false">V40*$D$13</f>
        <v>2008591.344</v>
      </c>
      <c r="W41" s="89" t="n">
        <f aca="false">W40*$D$13</f>
        <v>1999839.312</v>
      </c>
      <c r="X41" s="90"/>
    </row>
    <row r="42" customFormat="false" ht="18.75" hidden="false" customHeight="true" outlineLevel="0" collapsed="false">
      <c r="B42" s="91" t="s">
        <v>134</v>
      </c>
      <c r="C42" s="92" t="s">
        <v>4</v>
      </c>
      <c r="D42" s="93"/>
      <c r="E42" s="93"/>
      <c r="F42" s="93"/>
      <c r="G42" s="94" t="s">
        <v>4</v>
      </c>
      <c r="H42" s="94" t="s">
        <v>4</v>
      </c>
      <c r="I42" s="94" t="s">
        <v>4</v>
      </c>
      <c r="J42" s="94" t="s">
        <v>4</v>
      </c>
      <c r="K42" s="94" t="s">
        <v>4</v>
      </c>
      <c r="L42" s="94" t="s">
        <v>4</v>
      </c>
      <c r="M42" s="94" t="s">
        <v>4</v>
      </c>
      <c r="N42" s="94" t="s">
        <v>4</v>
      </c>
      <c r="O42" s="94" t="s">
        <v>4</v>
      </c>
      <c r="P42" s="94" t="s">
        <v>4</v>
      </c>
      <c r="Q42" s="94" t="s">
        <v>4</v>
      </c>
      <c r="R42" s="94" t="s">
        <v>4</v>
      </c>
      <c r="S42" s="94" t="s">
        <v>4</v>
      </c>
      <c r="T42" s="94" t="s">
        <v>4</v>
      </c>
      <c r="U42" s="94" t="s">
        <v>4</v>
      </c>
      <c r="V42" s="94" t="s">
        <v>4</v>
      </c>
      <c r="W42" s="94" t="s">
        <v>4</v>
      </c>
      <c r="X42" s="95"/>
    </row>
    <row r="43" customFormat="false" ht="18.75" hidden="false" customHeight="true" outlineLevel="0" collapsed="false">
      <c r="B43" s="96" t="s">
        <v>135</v>
      </c>
      <c r="C43" s="97"/>
      <c r="D43" s="98"/>
      <c r="E43" s="98"/>
      <c r="F43" s="98"/>
      <c r="G43" s="98"/>
      <c r="H43" s="98"/>
      <c r="I43" s="98"/>
      <c r="J43" s="98"/>
      <c r="K43" s="98"/>
      <c r="L43" s="98"/>
      <c r="M43" s="98"/>
      <c r="N43" s="98"/>
      <c r="O43" s="98"/>
      <c r="P43" s="98"/>
      <c r="Q43" s="98"/>
      <c r="R43" s="98"/>
      <c r="S43" s="98"/>
      <c r="T43" s="98"/>
      <c r="U43" s="98"/>
      <c r="V43" s="98"/>
      <c r="W43" s="98"/>
      <c r="X43" s="99"/>
    </row>
    <row r="44" customFormat="false" ht="18.75" hidden="false" customHeight="true" outlineLevel="0" collapsed="false">
      <c r="B44" s="100" t="s">
        <v>136</v>
      </c>
      <c r="C44" s="101" t="n">
        <f aca="false">-(D16/(1-D17)+D18)*C4</f>
        <v>-13083000</v>
      </c>
      <c r="D44" s="102"/>
      <c r="E44" s="102"/>
      <c r="F44" s="102"/>
      <c r="G44" s="102"/>
      <c r="H44" s="102"/>
      <c r="I44" s="102"/>
      <c r="J44" s="102"/>
      <c r="K44" s="102"/>
      <c r="L44" s="102"/>
      <c r="M44" s="102"/>
      <c r="N44" s="102"/>
      <c r="O44" s="102"/>
      <c r="P44" s="102"/>
      <c r="Q44" s="102"/>
      <c r="R44" s="102"/>
      <c r="S44" s="102"/>
      <c r="T44" s="102"/>
      <c r="U44" s="102"/>
      <c r="V44" s="102"/>
      <c r="W44" s="102"/>
      <c r="X44" s="102"/>
    </row>
    <row r="45" customFormat="false" ht="18.75" hidden="false" customHeight="true" outlineLevel="0" collapsed="false">
      <c r="B45" s="100" t="s">
        <v>137</v>
      </c>
      <c r="C45" s="92" t="s">
        <v>4</v>
      </c>
      <c r="D45" s="102" t="n">
        <v>-290201</v>
      </c>
      <c r="E45" s="102" t="n">
        <v>-290201</v>
      </c>
      <c r="F45" s="102" t="n">
        <v>-290201</v>
      </c>
      <c r="G45" s="102" t="n">
        <v>-290201</v>
      </c>
      <c r="H45" s="102" t="n">
        <v>-290201</v>
      </c>
      <c r="I45" s="102" t="n">
        <v>-290201</v>
      </c>
      <c r="J45" s="102" t="n">
        <v>-290201</v>
      </c>
      <c r="K45" s="102" t="n">
        <v>-290201</v>
      </c>
      <c r="L45" s="102" t="n">
        <v>-290201</v>
      </c>
      <c r="M45" s="102" t="n">
        <v>-290201</v>
      </c>
      <c r="N45" s="102" t="n">
        <v>-290201</v>
      </c>
      <c r="O45" s="102" t="n">
        <v>-290201</v>
      </c>
      <c r="P45" s="102" t="n">
        <v>-290201</v>
      </c>
      <c r="Q45" s="102" t="n">
        <v>-290201</v>
      </c>
      <c r="R45" s="102" t="n">
        <v>-290201</v>
      </c>
      <c r="S45" s="102" t="n">
        <v>-290201</v>
      </c>
      <c r="T45" s="102" t="n">
        <v>-290201</v>
      </c>
      <c r="U45" s="102" t="n">
        <v>-290201</v>
      </c>
      <c r="V45" s="102" t="n">
        <v>-290201</v>
      </c>
      <c r="W45" s="102" t="n">
        <v>-290201</v>
      </c>
      <c r="X45" s="102"/>
    </row>
    <row r="46" customFormat="false" ht="18.75" hidden="false" customHeight="true" outlineLevel="0" collapsed="false">
      <c r="B46" s="100" t="s">
        <v>138</v>
      </c>
      <c r="C46" s="92"/>
      <c r="D46" s="102"/>
      <c r="E46" s="102"/>
      <c r="F46" s="102"/>
      <c r="G46" s="102"/>
      <c r="H46" s="102"/>
      <c r="I46" s="102"/>
      <c r="J46" s="102"/>
      <c r="K46" s="102"/>
      <c r="L46" s="102"/>
      <c r="M46" s="102"/>
      <c r="N46" s="102"/>
      <c r="O46" s="102"/>
      <c r="P46" s="102"/>
      <c r="Q46" s="102"/>
      <c r="R46" s="102"/>
      <c r="S46" s="102"/>
      <c r="T46" s="102"/>
      <c r="U46" s="102"/>
      <c r="V46" s="102"/>
      <c r="W46" s="102"/>
      <c r="X46" s="102"/>
    </row>
    <row r="47" customFormat="false" ht="18.75" hidden="false" customHeight="true" outlineLevel="0" collapsed="false">
      <c r="B47" s="100" t="s">
        <v>139</v>
      </c>
      <c r="C47" s="92" t="s">
        <v>4</v>
      </c>
      <c r="D47" s="102"/>
      <c r="E47" s="102"/>
      <c r="F47" s="102"/>
      <c r="G47" s="102"/>
      <c r="H47" s="102"/>
      <c r="I47" s="102"/>
      <c r="J47" s="102"/>
      <c r="K47" s="102"/>
      <c r="L47" s="102"/>
      <c r="M47" s="102"/>
      <c r="N47" s="102"/>
      <c r="O47" s="102"/>
      <c r="P47" s="102"/>
      <c r="Q47" s="102"/>
      <c r="R47" s="102"/>
      <c r="S47" s="102"/>
      <c r="T47" s="102"/>
      <c r="U47" s="102"/>
      <c r="V47" s="102"/>
      <c r="W47" s="102"/>
      <c r="X47" s="102"/>
    </row>
    <row r="48" customFormat="false" ht="18.75" hidden="false" customHeight="true" outlineLevel="0" collapsed="false">
      <c r="B48" s="100" t="s">
        <v>140</v>
      </c>
      <c r="C48" s="92" t="s">
        <v>4</v>
      </c>
      <c r="D48" s="102" t="n">
        <v>-174440</v>
      </c>
      <c r="E48" s="102" t="n">
        <v>-174440</v>
      </c>
      <c r="F48" s="102" t="n">
        <v>-174440</v>
      </c>
      <c r="G48" s="102" t="n">
        <v>-174440</v>
      </c>
      <c r="H48" s="102" t="n">
        <v>-174440</v>
      </c>
      <c r="I48" s="102" t="n">
        <v>-174440</v>
      </c>
      <c r="J48" s="102" t="n">
        <v>-174440</v>
      </c>
      <c r="K48" s="102" t="n">
        <v>-174440</v>
      </c>
      <c r="L48" s="102" t="n">
        <v>-174440</v>
      </c>
      <c r="M48" s="102" t="n">
        <v>-174440</v>
      </c>
      <c r="N48" s="102" t="n">
        <v>-174440</v>
      </c>
      <c r="O48" s="102" t="n">
        <v>-174440</v>
      </c>
      <c r="P48" s="102" t="n">
        <v>-174440</v>
      </c>
      <c r="Q48" s="102" t="n">
        <v>-174440</v>
      </c>
      <c r="R48" s="102" t="n">
        <v>-174440</v>
      </c>
      <c r="S48" s="102" t="n">
        <v>-174440</v>
      </c>
      <c r="T48" s="102" t="n">
        <v>-174440</v>
      </c>
      <c r="U48" s="102" t="n">
        <v>-174440</v>
      </c>
      <c r="V48" s="102" t="n">
        <v>-174440</v>
      </c>
      <c r="W48" s="102" t="n">
        <v>-174440</v>
      </c>
      <c r="X48" s="102"/>
    </row>
    <row r="49" customFormat="false" ht="18.75" hidden="false" customHeight="true" outlineLevel="0" collapsed="false">
      <c r="B49" s="100" t="s">
        <v>141</v>
      </c>
      <c r="C49" s="92" t="s">
        <v>4</v>
      </c>
      <c r="D49" s="102" t="n">
        <v>-28782.6</v>
      </c>
      <c r="E49" s="102" t="n">
        <v>-28782.6</v>
      </c>
      <c r="F49" s="102" t="n">
        <v>-28782.6</v>
      </c>
      <c r="G49" s="102" t="n">
        <v>-28782.6</v>
      </c>
      <c r="H49" s="102" t="n">
        <v>-28782.6</v>
      </c>
      <c r="I49" s="102" t="n">
        <v>-28782.6</v>
      </c>
      <c r="J49" s="102" t="n">
        <v>-28782.6</v>
      </c>
      <c r="K49" s="102" t="n">
        <v>-28782.6</v>
      </c>
      <c r="L49" s="102" t="n">
        <v>-28782.6</v>
      </c>
      <c r="M49" s="102" t="n">
        <v>-28782.6</v>
      </c>
      <c r="N49" s="102" t="n">
        <v>-28782.6</v>
      </c>
      <c r="O49" s="102" t="n">
        <v>-28782.6</v>
      </c>
      <c r="P49" s="102" t="n">
        <v>-28782.6</v>
      </c>
      <c r="Q49" s="102" t="n">
        <v>-28782.6</v>
      </c>
      <c r="R49" s="102" t="n">
        <v>-28782.6</v>
      </c>
      <c r="S49" s="102" t="n">
        <v>-28782.6</v>
      </c>
      <c r="T49" s="102" t="n">
        <v>-28782.6</v>
      </c>
      <c r="U49" s="102" t="n">
        <v>-28782.6</v>
      </c>
      <c r="V49" s="102" t="n">
        <v>-28782.6</v>
      </c>
      <c r="W49" s="102" t="n">
        <v>-28782.6</v>
      </c>
      <c r="X49" s="102"/>
    </row>
    <row r="50" customFormat="false" ht="18.75" hidden="false" customHeight="true" outlineLevel="0" collapsed="false">
      <c r="B50" s="100" t="s">
        <v>142</v>
      </c>
      <c r="C50" s="92"/>
      <c r="D50" s="102" t="n">
        <v>-43610</v>
      </c>
      <c r="E50" s="102" t="n">
        <v>-43610</v>
      </c>
      <c r="F50" s="102" t="n">
        <v>-43610</v>
      </c>
      <c r="G50" s="102" t="n">
        <v>-43610</v>
      </c>
      <c r="H50" s="102" t="n">
        <v>-43610</v>
      </c>
      <c r="I50" s="102" t="n">
        <v>-43610</v>
      </c>
      <c r="J50" s="102" t="n">
        <v>-43610</v>
      </c>
      <c r="K50" s="102" t="n">
        <v>-43610</v>
      </c>
      <c r="L50" s="102" t="n">
        <v>-43610</v>
      </c>
      <c r="M50" s="102" t="n">
        <v>-43610</v>
      </c>
      <c r="N50" s="102" t="n">
        <v>0</v>
      </c>
      <c r="O50" s="102" t="n">
        <v>0</v>
      </c>
      <c r="P50" s="102" t="n">
        <v>0</v>
      </c>
      <c r="Q50" s="102" t="n">
        <v>0</v>
      </c>
      <c r="R50" s="102" t="n">
        <v>0</v>
      </c>
      <c r="S50" s="102" t="n">
        <v>0</v>
      </c>
      <c r="T50" s="102" t="n">
        <v>0</v>
      </c>
      <c r="U50" s="102" t="n">
        <v>0</v>
      </c>
      <c r="V50" s="102" t="n">
        <v>0</v>
      </c>
      <c r="W50" s="102" t="n">
        <v>0</v>
      </c>
      <c r="X50" s="102"/>
    </row>
    <row r="51" customFormat="false" ht="18.75" hidden="false" customHeight="true" outlineLevel="0" collapsed="false">
      <c r="B51" s="100" t="s">
        <v>143</v>
      </c>
      <c r="C51" s="103"/>
      <c r="D51" s="102"/>
      <c r="E51" s="102"/>
      <c r="F51" s="102"/>
      <c r="G51" s="102"/>
      <c r="H51" s="102"/>
      <c r="I51" s="102"/>
      <c r="J51" s="102"/>
      <c r="K51" s="102"/>
      <c r="L51" s="102"/>
      <c r="M51" s="102"/>
      <c r="N51" s="102"/>
      <c r="O51" s="102"/>
      <c r="P51" s="102"/>
      <c r="Q51" s="102"/>
      <c r="R51" s="102"/>
      <c r="S51" s="102"/>
      <c r="T51" s="102"/>
      <c r="U51" s="102"/>
      <c r="V51" s="102"/>
      <c r="W51" s="102"/>
      <c r="X51" s="102"/>
    </row>
    <row r="52" customFormat="false" ht="18.75" hidden="false" customHeight="true" outlineLevel="0" collapsed="false">
      <c r="B52" s="100" t="s">
        <v>144</v>
      </c>
      <c r="C52" s="103"/>
      <c r="D52" s="102"/>
      <c r="E52" s="102"/>
      <c r="F52" s="102"/>
      <c r="G52" s="102"/>
      <c r="H52" s="102"/>
      <c r="I52" s="102"/>
      <c r="J52" s="102"/>
      <c r="K52" s="102"/>
      <c r="L52" s="102"/>
      <c r="M52" s="102"/>
      <c r="N52" s="102"/>
      <c r="O52" s="102"/>
      <c r="P52" s="102"/>
      <c r="Q52" s="102"/>
      <c r="R52" s="102"/>
      <c r="S52" s="102"/>
      <c r="T52" s="102"/>
      <c r="U52" s="102"/>
      <c r="V52" s="102"/>
      <c r="W52" s="102"/>
      <c r="X52" s="102"/>
    </row>
    <row r="53" customFormat="false" ht="18.75" hidden="false" customHeight="true" outlineLevel="0" collapsed="false">
      <c r="B53" s="104" t="s">
        <v>145</v>
      </c>
      <c r="C53" s="103"/>
      <c r="D53" s="102"/>
      <c r="E53" s="102"/>
      <c r="F53" s="102"/>
      <c r="G53" s="102"/>
      <c r="H53" s="102"/>
      <c r="I53" s="102"/>
      <c r="J53" s="102"/>
      <c r="K53" s="102"/>
      <c r="L53" s="102"/>
      <c r="M53" s="102"/>
      <c r="N53" s="102"/>
      <c r="O53" s="102"/>
      <c r="P53" s="102"/>
      <c r="Q53" s="102"/>
      <c r="R53" s="102"/>
      <c r="S53" s="102"/>
      <c r="T53" s="102"/>
      <c r="U53" s="102"/>
      <c r="V53" s="102"/>
      <c r="W53" s="102"/>
      <c r="X53" s="102"/>
    </row>
    <row r="54" customFormat="false" ht="18.75" hidden="false" customHeight="true" outlineLevel="0" collapsed="false">
      <c r="B54" s="104" t="s">
        <v>146</v>
      </c>
      <c r="C54" s="103"/>
      <c r="D54" s="102" t="n">
        <f aca="false">-(D64+D67+D68+D71+D72+D73+D74)*0.2</f>
        <v>-253029.064</v>
      </c>
      <c r="E54" s="102" t="n">
        <f aca="false">-(E64+E67+E68+E71+E72+E73+E74)*0.2</f>
        <v>-193238.4576</v>
      </c>
      <c r="F54" s="102" t="n">
        <f aca="false">-(F64+F67+F68+F71+F72+F73+F74)*0.2</f>
        <v>-191488.0512</v>
      </c>
      <c r="G54" s="102" t="n">
        <f aca="false">-(G64+G67+G68+G71+G72+G73+G74)*0.2</f>
        <v>-189737.6448</v>
      </c>
      <c r="H54" s="102" t="n">
        <f aca="false">-(H64+H67+H68+H71+H72+H73+H74)*0.2</f>
        <v>-187987.2384</v>
      </c>
      <c r="I54" s="102" t="n">
        <f aca="false">-(I64+I67+I68+I71+I72+I73+I74)*0.2</f>
        <v>-186236.832</v>
      </c>
      <c r="J54" s="102" t="n">
        <f aca="false">-(J64+J67+J68+J71+J72+J73+J74)*0.2</f>
        <v>-184486.4256</v>
      </c>
      <c r="K54" s="102" t="n">
        <f aca="false">-(K64+K67+K68+K71+K72+K73+K74)*0.2</f>
        <v>-182736.0192</v>
      </c>
      <c r="L54" s="102" t="n">
        <f aca="false">-(L64+L67+L68+L71+L72+L73+L74)*0.2</f>
        <v>-180985.6128</v>
      </c>
      <c r="M54" s="102" t="n">
        <f aca="false">-(M64+M67+M68+M71+M72+M73+M74)*0.2</f>
        <v>-179235.2064</v>
      </c>
      <c r="N54" s="102" t="n">
        <f aca="false">-(N64+N67+N68+N71+N72+N73+N74)*0.2</f>
        <v>-186206.8</v>
      </c>
      <c r="O54" s="102" t="n">
        <f aca="false">-(O64+O67+O68+O71+O72+O73+O74)*0.2</f>
        <v>-184456.3936</v>
      </c>
      <c r="P54" s="102" t="n">
        <f aca="false">-(P64+P67+P68+P71+P72+P73+P74)*0.2</f>
        <v>-182705.9872</v>
      </c>
      <c r="Q54" s="102" t="n">
        <f aca="false">-(Q64+Q67+Q68+Q71+Q72+Q73+Q74)*0.2</f>
        <v>-180955.5808</v>
      </c>
      <c r="R54" s="102" t="n">
        <f aca="false">-(R64+R67+R68+R71+R72+R73+R74)*0.2</f>
        <v>-179205.1744</v>
      </c>
      <c r="S54" s="102" t="n">
        <f aca="false">-(S64+S67+S68+S71+S72+S73+S74)*0.2</f>
        <v>-177454.768</v>
      </c>
      <c r="T54" s="102" t="n">
        <f aca="false">-(T64+T67+T68+T71+T72+T73+T74)*0.2</f>
        <v>-175704.3616</v>
      </c>
      <c r="U54" s="102" t="n">
        <f aca="false">-(U64+U67+U68+U71+U72+U73+U74)*0.2</f>
        <v>-173953.9552</v>
      </c>
      <c r="V54" s="102" t="n">
        <f aca="false">-(V64+V67+V68+V71+V72+V73+V74)*0.2</f>
        <v>-172203.5488</v>
      </c>
      <c r="W54" s="102" t="n">
        <f aca="false">-(W64+W67+W68+W71+W72+W73+W74)*0.2</f>
        <v>-170453.1424</v>
      </c>
      <c r="X54" s="93"/>
    </row>
    <row r="55" customFormat="false" ht="18.75" hidden="false" customHeight="true" outlineLevel="0" collapsed="false">
      <c r="B55" s="105" t="s">
        <v>147</v>
      </c>
      <c r="C55" s="106" t="n">
        <f aca="false">C44</f>
        <v>-13083000</v>
      </c>
      <c r="D55" s="107" t="n">
        <f aca="false">SUM(D41:D54)</f>
        <v>1376065.256</v>
      </c>
      <c r="E55" s="107" t="n">
        <f aca="false">SUM(E41:E54)</f>
        <v>1427103.8304</v>
      </c>
      <c r="F55" s="107" t="n">
        <f aca="false">SUM(F41:F54)</f>
        <v>1420102.2048</v>
      </c>
      <c r="G55" s="107" t="n">
        <f aca="false">SUM(G41:G54)</f>
        <v>1413100.5792</v>
      </c>
      <c r="H55" s="107" t="n">
        <f aca="false">SUM(H41:H54)</f>
        <v>1406098.9536</v>
      </c>
      <c r="I55" s="107" t="n">
        <f aca="false">SUM(I41:I54)</f>
        <v>1399097.328</v>
      </c>
      <c r="J55" s="107" t="n">
        <f aca="false">SUM(J41:J54)</f>
        <v>1392095.7024</v>
      </c>
      <c r="K55" s="107" t="n">
        <f aca="false">SUM(K41:K54)</f>
        <v>1385094.0768</v>
      </c>
      <c r="L55" s="107" t="n">
        <f aca="false">SUM(L41:L54)</f>
        <v>1378092.4512</v>
      </c>
      <c r="M55" s="107" t="n">
        <f aca="false">SUM(M41:M54)</f>
        <v>1371090.8256</v>
      </c>
      <c r="N55" s="107" t="n">
        <f aca="false">SUM(N41:N54)</f>
        <v>1398977.2</v>
      </c>
      <c r="O55" s="107" t="n">
        <f aca="false">SUM(O41:O54)</f>
        <v>1391975.5744</v>
      </c>
      <c r="P55" s="107" t="n">
        <f aca="false">SUM(P41:P54)</f>
        <v>1384973.9488</v>
      </c>
      <c r="Q55" s="107" t="n">
        <f aca="false">SUM(Q41:Q54)</f>
        <v>1377972.3232</v>
      </c>
      <c r="R55" s="107" t="n">
        <f aca="false">SUM(R41:R54)</f>
        <v>1370970.6976</v>
      </c>
      <c r="S55" s="107" t="n">
        <f aca="false">SUM(S41:S54)</f>
        <v>1363969.072</v>
      </c>
      <c r="T55" s="107" t="n">
        <f aca="false">SUM(T41:T54)</f>
        <v>1356967.4464</v>
      </c>
      <c r="U55" s="107" t="n">
        <f aca="false">SUM(U41:U54)</f>
        <v>1349965.8208</v>
      </c>
      <c r="V55" s="107" t="n">
        <f aca="false">SUM(V41:V54)</f>
        <v>1342964.1952</v>
      </c>
      <c r="W55" s="107" t="n">
        <f aca="false">SUM(W41:W54)</f>
        <v>1335962.5696</v>
      </c>
      <c r="X55" s="108"/>
      <c r="Y55" s="109"/>
      <c r="Z55" s="110"/>
      <c r="AA55" s="109"/>
      <c r="AB55" s="109"/>
      <c r="AC55" s="109"/>
      <c r="AD55" s="109"/>
      <c r="AE55" s="109"/>
      <c r="AF55" s="109"/>
      <c r="AG55" s="109"/>
      <c r="AH55" s="109"/>
      <c r="AI55" s="109"/>
      <c r="AJ55" s="109"/>
    </row>
    <row r="56" customFormat="false" ht="18.75" hidden="false" customHeight="true" outlineLevel="0" collapsed="false">
      <c r="B56" s="111" t="s">
        <v>148</v>
      </c>
      <c r="D56" s="112" t="n">
        <f aca="false">C55+D55</f>
        <v>-11706934.744</v>
      </c>
      <c r="E56" s="112" t="n">
        <f aca="false">D56+E55</f>
        <v>-10279830.9136</v>
      </c>
      <c r="F56" s="112" t="n">
        <f aca="false">E56+F55</f>
        <v>-8859728.7088</v>
      </c>
      <c r="G56" s="112" t="n">
        <f aca="false">F56+G55</f>
        <v>-7446628.1296</v>
      </c>
      <c r="H56" s="112" t="n">
        <f aca="false">G56+H55</f>
        <v>-6040529.176</v>
      </c>
      <c r="I56" s="112" t="n">
        <f aca="false">H56+I55</f>
        <v>-4641431.848</v>
      </c>
      <c r="J56" s="112" t="n">
        <f aca="false">I56+J55</f>
        <v>-3249336.1456</v>
      </c>
      <c r="K56" s="112" t="n">
        <f aca="false">J56+K55</f>
        <v>-1864242.0688</v>
      </c>
      <c r="L56" s="112" t="n">
        <f aca="false">K56+L55</f>
        <v>-486149.617600003</v>
      </c>
      <c r="M56" s="112" t="n">
        <f aca="false">L56+M55</f>
        <v>884941.207999997</v>
      </c>
      <c r="N56" s="112" t="n">
        <f aca="false">M56+N55</f>
        <v>2283918.408</v>
      </c>
      <c r="O56" s="112" t="n">
        <f aca="false">N56+O55</f>
        <v>3675893.9824</v>
      </c>
      <c r="P56" s="112" t="n">
        <f aca="false">O56+P55</f>
        <v>5060867.9312</v>
      </c>
      <c r="Q56" s="112" t="n">
        <f aca="false">P56+Q55</f>
        <v>6438840.2544</v>
      </c>
      <c r="R56" s="112" t="n">
        <f aca="false">Q56+R55</f>
        <v>7809810.952</v>
      </c>
      <c r="S56" s="112" t="n">
        <f aca="false">R56+S55</f>
        <v>9173780.024</v>
      </c>
      <c r="T56" s="112" t="n">
        <f aca="false">S56+T55</f>
        <v>10530747.4704</v>
      </c>
      <c r="U56" s="112" t="n">
        <f aca="false">T56+U55</f>
        <v>11880713.2912</v>
      </c>
      <c r="V56" s="112" t="n">
        <f aca="false">U56+V55</f>
        <v>13223677.4864</v>
      </c>
      <c r="W56" s="112" t="n">
        <f aca="false">V56+W55</f>
        <v>14559640.056</v>
      </c>
      <c r="X56" s="112" t="n">
        <f aca="false">W56+X55</f>
        <v>14559640.056</v>
      </c>
      <c r="Y56" s="109"/>
      <c r="Z56" s="109"/>
      <c r="AA56" s="109"/>
      <c r="AB56" s="109"/>
      <c r="AC56" s="109"/>
      <c r="AD56" s="109"/>
      <c r="AE56" s="109"/>
      <c r="AF56" s="109"/>
      <c r="AG56" s="109"/>
      <c r="AH56" s="109"/>
      <c r="AI56" s="109"/>
      <c r="AJ56" s="109"/>
    </row>
    <row r="57" customFormat="false" ht="18.75" hidden="false" customHeight="true" outlineLevel="0" collapsed="false">
      <c r="B57" s="113" t="s">
        <v>149</v>
      </c>
      <c r="C57" s="114"/>
      <c r="D57" s="115" t="str">
        <f aca="false">IF((D56)&gt;0,"回收","未回收")</f>
        <v>未回收</v>
      </c>
      <c r="E57" s="116" t="str">
        <f aca="false">IF((E56)&gt;0,"回收","未回收")</f>
        <v>未回收</v>
      </c>
      <c r="F57" s="116" t="str">
        <f aca="false">IF((F56)&gt;0,"回收","未回收")</f>
        <v>未回收</v>
      </c>
      <c r="G57" s="116" t="str">
        <f aca="false">IF((G56)&gt;0,"回收","未回收")</f>
        <v>未回收</v>
      </c>
      <c r="H57" s="116" t="str">
        <f aca="false">IF((H56)&gt;0,"回收","未回收")</f>
        <v>未回收</v>
      </c>
      <c r="I57" s="116" t="str">
        <f aca="false">IF((I56)&gt;0,"回收","未回收")</f>
        <v>未回收</v>
      </c>
      <c r="J57" s="116" t="str">
        <f aca="false">IF((J56)&gt;0,"回收","未回收")</f>
        <v>未回收</v>
      </c>
      <c r="K57" s="116" t="str">
        <f aca="false">IF((K56)&gt;0,"回收","未回收")</f>
        <v>未回收</v>
      </c>
      <c r="L57" s="116" t="str">
        <f aca="false">IF((L56)&gt;0,"回收","未回收")</f>
        <v>未回收</v>
      </c>
      <c r="M57" s="116" t="str">
        <f aca="false">IF((M56)&gt;0,"回收","未回收")</f>
        <v>回收</v>
      </c>
      <c r="N57" s="116" t="str">
        <f aca="false">IF((N56)&gt;0,"回收","未回收")</f>
        <v>回收</v>
      </c>
      <c r="O57" s="116" t="str">
        <f aca="false">IF((O56)&gt;0,"回收","未回收")</f>
        <v>回收</v>
      </c>
      <c r="P57" s="116" t="str">
        <f aca="false">IF((P56)&gt;0,"回收","未回收")</f>
        <v>回收</v>
      </c>
      <c r="Q57" s="116" t="str">
        <f aca="false">IF((Q56)&gt;0,"回收","未回收")</f>
        <v>回收</v>
      </c>
      <c r="R57" s="116" t="str">
        <f aca="false">IF((R56)&gt;0,"回收","未回收")</f>
        <v>回收</v>
      </c>
      <c r="S57" s="116" t="str">
        <f aca="false">IF((S56)&gt;0,"回收","未回收")</f>
        <v>回收</v>
      </c>
      <c r="T57" s="116" t="str">
        <f aca="false">IF((T56)&gt;0,"回收","未回收")</f>
        <v>回收</v>
      </c>
      <c r="U57" s="116" t="str">
        <f aca="false">IF((U56)&gt;0,"回收","未回收")</f>
        <v>回收</v>
      </c>
      <c r="V57" s="116" t="str">
        <f aca="false">IF((V56)&gt;0,"回收","未回收")</f>
        <v>回收</v>
      </c>
      <c r="W57" s="116" t="str">
        <f aca="false">IF((W56)&gt;0,"回收","未回收")</f>
        <v>回收</v>
      </c>
      <c r="X57" s="116" t="str">
        <f aca="false">IF((X56)&gt;0,"回收","未回收")</f>
        <v>回收</v>
      </c>
      <c r="Y57" s="109"/>
      <c r="Z57" s="109"/>
      <c r="AA57" s="109"/>
      <c r="AB57" s="109"/>
      <c r="AC57" s="109"/>
      <c r="AD57" s="109"/>
      <c r="AE57" s="109"/>
      <c r="AF57" s="109"/>
      <c r="AG57" s="109"/>
      <c r="AH57" s="109"/>
      <c r="AI57" s="109"/>
      <c r="AJ57" s="109"/>
    </row>
    <row r="58" customFormat="false" ht="18.75" hidden="false" customHeight="true" outlineLevel="0" collapsed="false">
      <c r="B58" s="117" t="s">
        <v>74</v>
      </c>
      <c r="C58" s="118" t="n">
        <f aca="false">IRR(C55:W55)</f>
        <v>0.0858343966815478</v>
      </c>
      <c r="D58" s="119"/>
      <c r="E58" s="119"/>
      <c r="F58" s="120"/>
      <c r="G58" s="120"/>
      <c r="H58" s="120"/>
      <c r="I58" s="120"/>
      <c r="J58" s="120"/>
      <c r="K58" s="120"/>
      <c r="L58" s="120"/>
      <c r="M58" s="120"/>
      <c r="N58" s="120"/>
      <c r="O58" s="120"/>
      <c r="P58" s="120"/>
      <c r="Q58" s="120"/>
      <c r="R58" s="120"/>
      <c r="S58" s="120"/>
      <c r="T58" s="120"/>
      <c r="U58" s="120"/>
      <c r="V58" s="120"/>
      <c r="W58" s="120"/>
      <c r="X58" s="120"/>
      <c r="Y58" s="121"/>
      <c r="Z58" s="121"/>
      <c r="AA58" s="121"/>
      <c r="AB58" s="121"/>
      <c r="AC58" s="121"/>
      <c r="AD58" s="121"/>
      <c r="AE58" s="121"/>
      <c r="AF58" s="121"/>
      <c r="AG58" s="121"/>
      <c r="AH58" s="121"/>
      <c r="AI58" s="121"/>
      <c r="AJ58" s="121"/>
    </row>
    <row r="59" customFormat="false" ht="18.75" hidden="false" customHeight="true" outlineLevel="0" collapsed="false">
      <c r="B59" s="120"/>
      <c r="C59" s="119"/>
      <c r="D59" s="119"/>
      <c r="E59" s="119"/>
      <c r="F59" s="120"/>
      <c r="G59" s="120"/>
      <c r="H59" s="120"/>
      <c r="I59" s="120"/>
      <c r="J59" s="120"/>
      <c r="K59" s="120"/>
      <c r="L59" s="120"/>
      <c r="M59" s="119"/>
      <c r="N59" s="120"/>
      <c r="O59" s="120"/>
      <c r="P59" s="120"/>
      <c r="Q59" s="120"/>
      <c r="R59" s="120"/>
      <c r="S59" s="120"/>
      <c r="T59" s="120"/>
      <c r="U59" s="120"/>
      <c r="V59" s="120"/>
      <c r="W59" s="120"/>
      <c r="X59" s="120"/>
      <c r="Y59" s="121"/>
      <c r="Z59" s="121"/>
      <c r="AA59" s="121"/>
      <c r="AB59" s="121"/>
      <c r="AC59" s="121"/>
      <c r="AD59" s="121"/>
      <c r="AE59" s="121"/>
      <c r="AF59" s="121"/>
      <c r="AG59" s="121"/>
      <c r="AH59" s="121"/>
      <c r="AI59" s="121"/>
      <c r="AJ59" s="121"/>
    </row>
    <row r="60" customFormat="false" ht="18.75" hidden="false" customHeight="true" outlineLevel="0" collapsed="false">
      <c r="B60" s="69"/>
      <c r="C60" s="70" t="s">
        <v>130</v>
      </c>
      <c r="D60" s="70" t="n">
        <f aca="false">D37</f>
        <v>2020</v>
      </c>
      <c r="E60" s="70" t="n">
        <f aca="false">E37</f>
        <v>2021</v>
      </c>
      <c r="F60" s="70" t="n">
        <f aca="false">F37</f>
        <v>2022</v>
      </c>
      <c r="G60" s="70" t="n">
        <f aca="false">G37</f>
        <v>2023</v>
      </c>
      <c r="H60" s="70" t="n">
        <f aca="false">H37</f>
        <v>2024</v>
      </c>
      <c r="I60" s="70" t="n">
        <f aca="false">I37</f>
        <v>2025</v>
      </c>
      <c r="J60" s="70" t="n">
        <f aca="false">J37</f>
        <v>2026</v>
      </c>
      <c r="K60" s="70" t="n">
        <f aca="false">K37</f>
        <v>2027</v>
      </c>
      <c r="L60" s="70" t="n">
        <f aca="false">L37</f>
        <v>2028</v>
      </c>
      <c r="M60" s="70" t="n">
        <f aca="false">M37</f>
        <v>2029</v>
      </c>
      <c r="N60" s="70" t="n">
        <f aca="false">N37</f>
        <v>2030</v>
      </c>
      <c r="O60" s="70" t="n">
        <f aca="false">O37</f>
        <v>2031</v>
      </c>
      <c r="P60" s="70" t="n">
        <f aca="false">P37</f>
        <v>2032</v>
      </c>
      <c r="Q60" s="70" t="n">
        <f aca="false">Q37</f>
        <v>2033</v>
      </c>
      <c r="R60" s="70" t="n">
        <f aca="false">R37</f>
        <v>2034</v>
      </c>
      <c r="S60" s="70" t="n">
        <f aca="false">S37</f>
        <v>2035</v>
      </c>
      <c r="T60" s="70" t="n">
        <f aca="false">T37</f>
        <v>2036</v>
      </c>
      <c r="U60" s="70" t="n">
        <f aca="false">U37</f>
        <v>2037</v>
      </c>
      <c r="V60" s="70" t="n">
        <f aca="false">V37</f>
        <v>2038</v>
      </c>
      <c r="W60" s="70" t="n">
        <f aca="false">W37</f>
        <v>2039</v>
      </c>
      <c r="X60" s="70"/>
      <c r="Y60" s="122"/>
      <c r="Z60" s="122"/>
      <c r="AA60" s="122"/>
      <c r="AB60" s="122"/>
      <c r="AC60" s="122"/>
      <c r="AD60" s="122"/>
      <c r="AE60" s="122"/>
      <c r="AF60" s="122"/>
      <c r="AG60" s="122"/>
      <c r="AH60" s="122"/>
      <c r="AI60" s="122"/>
      <c r="AJ60" s="122"/>
    </row>
    <row r="61" customFormat="false" ht="18.75" hidden="false" customHeight="true" outlineLevel="0" collapsed="false">
      <c r="B61" s="71" t="n">
        <v>0</v>
      </c>
      <c r="C61" s="72"/>
      <c r="D61" s="73"/>
      <c r="E61" s="73"/>
      <c r="F61" s="74"/>
      <c r="G61" s="75"/>
      <c r="H61" s="75"/>
      <c r="I61" s="75"/>
      <c r="J61" s="75"/>
      <c r="K61" s="75"/>
      <c r="L61" s="75"/>
      <c r="M61" s="75"/>
      <c r="N61" s="75"/>
      <c r="O61" s="75"/>
      <c r="P61" s="75"/>
      <c r="Q61" s="75"/>
      <c r="R61" s="75"/>
      <c r="S61" s="75"/>
      <c r="T61" s="123" t="s">
        <v>150</v>
      </c>
      <c r="U61" s="75"/>
      <c r="V61" s="75"/>
      <c r="W61" s="75"/>
      <c r="X61" s="77"/>
    </row>
    <row r="62" customFormat="false" ht="18.75" hidden="false" customHeight="true" outlineLevel="0" collapsed="false">
      <c r="B62" s="78" t="s">
        <v>131</v>
      </c>
      <c r="C62" s="79" t="n">
        <v>0</v>
      </c>
      <c r="D62" s="80" t="n">
        <v>1</v>
      </c>
      <c r="E62" s="80" t="n">
        <v>2</v>
      </c>
      <c r="F62" s="80" t="n">
        <v>3</v>
      </c>
      <c r="G62" s="80" t="n">
        <v>4</v>
      </c>
      <c r="H62" s="80" t="n">
        <v>5</v>
      </c>
      <c r="I62" s="80" t="n">
        <v>6</v>
      </c>
      <c r="J62" s="80" t="n">
        <v>7</v>
      </c>
      <c r="K62" s="80" t="n">
        <v>8</v>
      </c>
      <c r="L62" s="80" t="n">
        <v>9</v>
      </c>
      <c r="M62" s="80" t="n">
        <v>10</v>
      </c>
      <c r="N62" s="80" t="n">
        <v>11</v>
      </c>
      <c r="O62" s="80" t="n">
        <v>12</v>
      </c>
      <c r="P62" s="80" t="n">
        <v>13</v>
      </c>
      <c r="Q62" s="80" t="n">
        <v>14</v>
      </c>
      <c r="R62" s="80" t="n">
        <v>15</v>
      </c>
      <c r="S62" s="80" t="n">
        <v>16</v>
      </c>
      <c r="T62" s="124" t="n">
        <v>17</v>
      </c>
      <c r="U62" s="80" t="n">
        <v>18</v>
      </c>
      <c r="V62" s="80" t="n">
        <v>19</v>
      </c>
      <c r="W62" s="80" t="n">
        <v>20</v>
      </c>
      <c r="X62" s="82"/>
    </row>
    <row r="63" customFormat="false" ht="18.75" hidden="false" customHeight="true" outlineLevel="0" collapsed="false">
      <c r="B63" s="83" t="s">
        <v>132</v>
      </c>
      <c r="C63" s="84" t="n">
        <v>0</v>
      </c>
      <c r="D63" s="85" t="n">
        <f aca="false">D40</f>
        <v>541531.98</v>
      </c>
      <c r="E63" s="85" t="n">
        <f aca="false">E40</f>
        <v>539343.972</v>
      </c>
      <c r="F63" s="85" t="n">
        <f aca="false">F40</f>
        <v>537155.964</v>
      </c>
      <c r="G63" s="85" t="n">
        <f aca="false">G40</f>
        <v>534967.956</v>
      </c>
      <c r="H63" s="85" t="n">
        <f aca="false">H40</f>
        <v>532779.948</v>
      </c>
      <c r="I63" s="85" t="n">
        <f aca="false">I40</f>
        <v>530591.94</v>
      </c>
      <c r="J63" s="85" t="n">
        <f aca="false">J40</f>
        <v>528403.932</v>
      </c>
      <c r="K63" s="85" t="n">
        <f aca="false">K40</f>
        <v>526215.924</v>
      </c>
      <c r="L63" s="85" t="n">
        <f aca="false">L40</f>
        <v>524027.916</v>
      </c>
      <c r="M63" s="85" t="n">
        <f aca="false">M40</f>
        <v>521839.908</v>
      </c>
      <c r="N63" s="85" t="n">
        <f aca="false">N40</f>
        <v>519651.9</v>
      </c>
      <c r="O63" s="85" t="n">
        <f aca="false">O40</f>
        <v>517463.892</v>
      </c>
      <c r="P63" s="85" t="n">
        <f aca="false">P40</f>
        <v>515275.884</v>
      </c>
      <c r="Q63" s="85" t="n">
        <f aca="false">Q40</f>
        <v>513087.876</v>
      </c>
      <c r="R63" s="85" t="n">
        <f aca="false">R40</f>
        <v>510899.868</v>
      </c>
      <c r="S63" s="85" t="n">
        <f aca="false">S40</f>
        <v>508711.86</v>
      </c>
      <c r="T63" s="85" t="n">
        <f aca="false">T40</f>
        <v>506523.852</v>
      </c>
      <c r="U63" s="85" t="n">
        <f aca="false">U40</f>
        <v>504335.844</v>
      </c>
      <c r="V63" s="85" t="n">
        <f aca="false">V40</f>
        <v>502147.836</v>
      </c>
      <c r="W63" s="85" t="n">
        <f aca="false">W40</f>
        <v>499959.828</v>
      </c>
      <c r="X63" s="86"/>
    </row>
    <row r="64" customFormat="false" ht="18.75" hidden="false" customHeight="true" outlineLevel="0" collapsed="false">
      <c r="B64" s="87" t="s">
        <v>133</v>
      </c>
      <c r="C64" s="88" t="s">
        <v>4</v>
      </c>
      <c r="D64" s="89" t="n">
        <f aca="false">D41</f>
        <v>2166127.92</v>
      </c>
      <c r="E64" s="89" t="n">
        <f aca="false">E41</f>
        <v>2157375.888</v>
      </c>
      <c r="F64" s="89" t="n">
        <f aca="false">F41</f>
        <v>2148623.856</v>
      </c>
      <c r="G64" s="89" t="n">
        <f aca="false">G41</f>
        <v>2139871.824</v>
      </c>
      <c r="H64" s="89" t="n">
        <f aca="false">H41</f>
        <v>2131119.792</v>
      </c>
      <c r="I64" s="89" t="n">
        <f aca="false">I41</f>
        <v>2122367.76</v>
      </c>
      <c r="J64" s="89" t="n">
        <f aca="false">J41</f>
        <v>2113615.728</v>
      </c>
      <c r="K64" s="89" t="n">
        <f aca="false">K41</f>
        <v>2104863.696</v>
      </c>
      <c r="L64" s="89" t="n">
        <f aca="false">L41</f>
        <v>2096111.664</v>
      </c>
      <c r="M64" s="89" t="n">
        <f aca="false">M41</f>
        <v>2087359.632</v>
      </c>
      <c r="N64" s="89" t="n">
        <f aca="false">N41</f>
        <v>2078607.6</v>
      </c>
      <c r="O64" s="89" t="n">
        <f aca="false">O41</f>
        <v>2069855.568</v>
      </c>
      <c r="P64" s="89" t="n">
        <f aca="false">P41</f>
        <v>2061103.536</v>
      </c>
      <c r="Q64" s="89" t="n">
        <f aca="false">Q41</f>
        <v>2052351.504</v>
      </c>
      <c r="R64" s="89" t="n">
        <f aca="false">R41</f>
        <v>2043599.472</v>
      </c>
      <c r="S64" s="89" t="n">
        <f aca="false">S41</f>
        <v>2034847.44</v>
      </c>
      <c r="T64" s="89" t="n">
        <f aca="false">T41</f>
        <v>2026095.408</v>
      </c>
      <c r="U64" s="89" t="n">
        <f aca="false">U41</f>
        <v>2017343.376</v>
      </c>
      <c r="V64" s="89" t="n">
        <f aca="false">V41</f>
        <v>2008591.344</v>
      </c>
      <c r="W64" s="89" t="n">
        <f aca="false">W41</f>
        <v>1999839.312</v>
      </c>
      <c r="X64" s="90"/>
    </row>
    <row r="65" customFormat="false" ht="18.75" hidden="false" customHeight="true" outlineLevel="0" collapsed="false">
      <c r="B65" s="91" t="s">
        <v>134</v>
      </c>
      <c r="C65" s="92" t="s">
        <v>4</v>
      </c>
      <c r="D65" s="93"/>
      <c r="E65" s="93"/>
      <c r="F65" s="93"/>
      <c r="G65" s="94" t="s">
        <v>4</v>
      </c>
      <c r="H65" s="94" t="s">
        <v>4</v>
      </c>
      <c r="I65" s="94" t="s">
        <v>4</v>
      </c>
      <c r="J65" s="94" t="s">
        <v>4</v>
      </c>
      <c r="K65" s="94" t="s">
        <v>4</v>
      </c>
      <c r="L65" s="94" t="s">
        <v>4</v>
      </c>
      <c r="M65" s="94" t="s">
        <v>4</v>
      </c>
      <c r="N65" s="94" t="s">
        <v>4</v>
      </c>
      <c r="O65" s="94" t="s">
        <v>4</v>
      </c>
      <c r="P65" s="94" t="s">
        <v>4</v>
      </c>
      <c r="Q65" s="94" t="s">
        <v>4</v>
      </c>
      <c r="R65" s="94" t="s">
        <v>4</v>
      </c>
      <c r="S65" s="94" t="s">
        <v>4</v>
      </c>
      <c r="T65" s="94" t="s">
        <v>4</v>
      </c>
      <c r="U65" s="94" t="s">
        <v>4</v>
      </c>
      <c r="V65" s="94" t="s">
        <v>4</v>
      </c>
      <c r="W65" s="94" t="s">
        <v>4</v>
      </c>
      <c r="X65" s="95"/>
    </row>
    <row r="66" customFormat="false" ht="18.75" hidden="false" customHeight="true" outlineLevel="0" collapsed="false">
      <c r="B66" s="96" t="s">
        <v>135</v>
      </c>
      <c r="C66" s="97"/>
      <c r="D66" s="98"/>
      <c r="E66" s="98"/>
      <c r="F66" s="98"/>
      <c r="G66" s="98"/>
      <c r="H66" s="98"/>
      <c r="I66" s="98"/>
      <c r="J66" s="98"/>
      <c r="K66" s="98"/>
      <c r="L66" s="98"/>
      <c r="M66" s="98"/>
      <c r="N66" s="98"/>
      <c r="O66" s="98"/>
      <c r="P66" s="98"/>
      <c r="Q66" s="98"/>
      <c r="R66" s="98"/>
      <c r="S66" s="98"/>
      <c r="T66" s="98"/>
      <c r="U66" s="98"/>
      <c r="V66" s="98"/>
      <c r="W66" s="98"/>
      <c r="X66" s="99"/>
    </row>
    <row r="67" customFormat="false" ht="18.75" hidden="false" customHeight="true" outlineLevel="0" collapsed="false">
      <c r="B67" s="100" t="s">
        <v>151</v>
      </c>
      <c r="C67" s="92"/>
      <c r="D67" s="125" t="n">
        <f aca="false">$C$44/$E$16</f>
        <v>-654150</v>
      </c>
      <c r="E67" s="125" t="n">
        <f aca="false">$C$44/$E$16</f>
        <v>-654150</v>
      </c>
      <c r="F67" s="125" t="n">
        <f aca="false">$C$44/$E$16</f>
        <v>-654150</v>
      </c>
      <c r="G67" s="125" t="n">
        <f aca="false">$C$44/$E$16</f>
        <v>-654150</v>
      </c>
      <c r="H67" s="125" t="n">
        <f aca="false">$C$44/$E$16</f>
        <v>-654150</v>
      </c>
      <c r="I67" s="125" t="n">
        <f aca="false">$C$44/$E$16</f>
        <v>-654150</v>
      </c>
      <c r="J67" s="125" t="n">
        <f aca="false">$C$44/$E$16</f>
        <v>-654150</v>
      </c>
      <c r="K67" s="125" t="n">
        <f aca="false">$C$44/$E$16</f>
        <v>-654150</v>
      </c>
      <c r="L67" s="125" t="n">
        <f aca="false">$C$44/$E$16</f>
        <v>-654150</v>
      </c>
      <c r="M67" s="125" t="n">
        <f aca="false">$C$44/$E$16</f>
        <v>-654150</v>
      </c>
      <c r="N67" s="125" t="n">
        <f aca="false">$C$44/$E$16</f>
        <v>-654150</v>
      </c>
      <c r="O67" s="125" t="n">
        <f aca="false">$C$44/$E$16</f>
        <v>-654150</v>
      </c>
      <c r="P67" s="125" t="n">
        <f aca="false">$C$44/$E$16</f>
        <v>-654150</v>
      </c>
      <c r="Q67" s="125" t="n">
        <f aca="false">$C$44/$E$16</f>
        <v>-654150</v>
      </c>
      <c r="R67" s="125" t="n">
        <f aca="false">$C$44/$E$16</f>
        <v>-654150</v>
      </c>
      <c r="S67" s="125" t="n">
        <f aca="false">$C$44/$E$16</f>
        <v>-654150</v>
      </c>
      <c r="T67" s="125" t="n">
        <f aca="false">$C$44/$E$16</f>
        <v>-654150</v>
      </c>
      <c r="U67" s="125" t="n">
        <f aca="false">$C$44/$E$16</f>
        <v>-654150</v>
      </c>
      <c r="V67" s="125" t="n">
        <f aca="false">$C$44/$E$16</f>
        <v>-654150</v>
      </c>
      <c r="W67" s="125" t="n">
        <f aca="false">$C$44/$E$16</f>
        <v>-654150</v>
      </c>
      <c r="X67" s="95"/>
    </row>
    <row r="68" customFormat="false" ht="18.75" hidden="false" customHeight="true" outlineLevel="0" collapsed="false">
      <c r="B68" s="100" t="s">
        <v>137</v>
      </c>
      <c r="C68" s="92" t="s">
        <v>4</v>
      </c>
      <c r="D68" s="102" t="n">
        <f aca="false">D44</f>
        <v>0</v>
      </c>
      <c r="E68" s="102" t="n">
        <f aca="false">E45</f>
        <v>-290201</v>
      </c>
      <c r="F68" s="102" t="n">
        <f aca="false">F45</f>
        <v>-290201</v>
      </c>
      <c r="G68" s="102" t="n">
        <f aca="false">G45</f>
        <v>-290201</v>
      </c>
      <c r="H68" s="102" t="n">
        <f aca="false">H45</f>
        <v>-290201</v>
      </c>
      <c r="I68" s="102" t="n">
        <f aca="false">I45</f>
        <v>-290201</v>
      </c>
      <c r="J68" s="102" t="n">
        <f aca="false">J45</f>
        <v>-290201</v>
      </c>
      <c r="K68" s="102" t="n">
        <f aca="false">K45</f>
        <v>-290201</v>
      </c>
      <c r="L68" s="102" t="n">
        <f aca="false">L45</f>
        <v>-290201</v>
      </c>
      <c r="M68" s="102" t="n">
        <f aca="false">M45</f>
        <v>-290201</v>
      </c>
      <c r="N68" s="102" t="n">
        <f aca="false">N45</f>
        <v>-290201</v>
      </c>
      <c r="O68" s="102" t="n">
        <f aca="false">O45</f>
        <v>-290201</v>
      </c>
      <c r="P68" s="102" t="n">
        <f aca="false">P45</f>
        <v>-290201</v>
      </c>
      <c r="Q68" s="102" t="n">
        <f aca="false">Q45</f>
        <v>-290201</v>
      </c>
      <c r="R68" s="102" t="n">
        <f aca="false">R45</f>
        <v>-290201</v>
      </c>
      <c r="S68" s="102" t="n">
        <f aca="false">S45</f>
        <v>-290201</v>
      </c>
      <c r="T68" s="102" t="n">
        <f aca="false">T45</f>
        <v>-290201</v>
      </c>
      <c r="U68" s="102" t="n">
        <f aca="false">U45</f>
        <v>-290201</v>
      </c>
      <c r="V68" s="102" t="n">
        <f aca="false">V45</f>
        <v>-290201</v>
      </c>
      <c r="W68" s="102" t="n">
        <f aca="false">W45</f>
        <v>-290201</v>
      </c>
      <c r="X68" s="95"/>
    </row>
    <row r="69" customFormat="false" ht="18.75" hidden="false" customHeight="true" outlineLevel="0" collapsed="false">
      <c r="B69" s="100" t="s">
        <v>138</v>
      </c>
      <c r="C69" s="92"/>
      <c r="D69" s="93"/>
      <c r="E69" s="93"/>
      <c r="F69" s="93"/>
      <c r="G69" s="93"/>
      <c r="H69" s="93"/>
      <c r="I69" s="93"/>
      <c r="J69" s="93"/>
      <c r="K69" s="93"/>
      <c r="L69" s="93"/>
      <c r="M69" s="93"/>
      <c r="N69" s="93"/>
      <c r="O69" s="93"/>
      <c r="P69" s="93"/>
      <c r="Q69" s="93"/>
      <c r="R69" s="93"/>
      <c r="S69" s="93"/>
      <c r="T69" s="93"/>
      <c r="U69" s="93"/>
      <c r="V69" s="93"/>
      <c r="W69" s="93"/>
      <c r="X69" s="95"/>
    </row>
    <row r="70" customFormat="false" ht="18.75" hidden="false" customHeight="true" outlineLevel="0" collapsed="false">
      <c r="B70" s="100" t="s">
        <v>139</v>
      </c>
      <c r="C70" s="92" t="s">
        <v>4</v>
      </c>
      <c r="D70" s="102" t="n">
        <f aca="false">-D109*$D25</f>
        <v>-267939.84</v>
      </c>
      <c r="E70" s="102" t="n">
        <f aca="false">-E109*$D25</f>
        <v>-250077.184</v>
      </c>
      <c r="F70" s="102" t="n">
        <f aca="false">-F109*$D25</f>
        <v>-232214.528</v>
      </c>
      <c r="G70" s="102" t="n">
        <f aca="false">-G109*$D25</f>
        <v>-214351.872</v>
      </c>
      <c r="H70" s="102" t="n">
        <f aca="false">-H109*$D25</f>
        <v>-196489.216</v>
      </c>
      <c r="I70" s="102" t="n">
        <f aca="false">-I109*$D25</f>
        <v>-178626.56</v>
      </c>
      <c r="J70" s="102" t="n">
        <f aca="false">-J109*$D25</f>
        <v>-160763.904</v>
      </c>
      <c r="K70" s="102" t="n">
        <f aca="false">-K109*$D25</f>
        <v>-142901.248</v>
      </c>
      <c r="L70" s="102" t="n">
        <f aca="false">-L109*$D25</f>
        <v>-125038.592</v>
      </c>
      <c r="M70" s="102" t="n">
        <f aca="false">-M109*$D25</f>
        <v>-107175.936</v>
      </c>
      <c r="N70" s="102" t="n">
        <f aca="false">-N109*$D25</f>
        <v>-89313.28</v>
      </c>
      <c r="O70" s="102" t="n">
        <f aca="false">-O109*$D25</f>
        <v>-71450.624</v>
      </c>
      <c r="P70" s="102" t="n">
        <f aca="false">-P109*$D25</f>
        <v>-53587.968</v>
      </c>
      <c r="Q70" s="102" t="n">
        <f aca="false">-Q109*$D25</f>
        <v>-35725.312</v>
      </c>
      <c r="R70" s="102" t="n">
        <f aca="false">-R109*$D25</f>
        <v>-17862.656</v>
      </c>
      <c r="S70" s="102" t="n">
        <f aca="false">-S109*$D25</f>
        <v>-0</v>
      </c>
      <c r="T70" s="102" t="n">
        <f aca="false">-T109*$D25</f>
        <v>-0</v>
      </c>
      <c r="U70" s="102" t="n">
        <f aca="false">-U109*$D25</f>
        <v>-0</v>
      </c>
      <c r="V70" s="102" t="n">
        <f aca="false">-V109*$D25</f>
        <v>-0</v>
      </c>
      <c r="W70" s="102" t="n">
        <f aca="false">-W109*$D25</f>
        <v>-0</v>
      </c>
      <c r="X70" s="95"/>
    </row>
    <row r="71" customFormat="false" ht="18.75" hidden="false" customHeight="true" outlineLevel="0" collapsed="false">
      <c r="B71" s="100" t="s">
        <v>140</v>
      </c>
      <c r="C71" s="92" t="s">
        <v>4</v>
      </c>
      <c r="D71" s="102" t="n">
        <f aca="false">D48</f>
        <v>-174440</v>
      </c>
      <c r="E71" s="102" t="n">
        <f aca="false">E48</f>
        <v>-174440</v>
      </c>
      <c r="F71" s="102" t="n">
        <f aca="false">F48</f>
        <v>-174440</v>
      </c>
      <c r="G71" s="102" t="n">
        <f aca="false">G48</f>
        <v>-174440</v>
      </c>
      <c r="H71" s="102" t="n">
        <f aca="false">H48</f>
        <v>-174440</v>
      </c>
      <c r="I71" s="102" t="n">
        <f aca="false">I48</f>
        <v>-174440</v>
      </c>
      <c r="J71" s="102" t="n">
        <f aca="false">J48</f>
        <v>-174440</v>
      </c>
      <c r="K71" s="102" t="n">
        <f aca="false">K48</f>
        <v>-174440</v>
      </c>
      <c r="L71" s="102" t="n">
        <f aca="false">L48</f>
        <v>-174440</v>
      </c>
      <c r="M71" s="102" t="n">
        <f aca="false">M48</f>
        <v>-174440</v>
      </c>
      <c r="N71" s="102" t="n">
        <f aca="false">N48</f>
        <v>-174440</v>
      </c>
      <c r="O71" s="102" t="n">
        <f aca="false">O48</f>
        <v>-174440</v>
      </c>
      <c r="P71" s="102" t="n">
        <f aca="false">P48</f>
        <v>-174440</v>
      </c>
      <c r="Q71" s="102" t="n">
        <f aca="false">Q48</f>
        <v>-174440</v>
      </c>
      <c r="R71" s="102" t="n">
        <f aca="false">R48</f>
        <v>-174440</v>
      </c>
      <c r="S71" s="102" t="n">
        <f aca="false">S48</f>
        <v>-174440</v>
      </c>
      <c r="T71" s="102" t="n">
        <f aca="false">T48</f>
        <v>-174440</v>
      </c>
      <c r="U71" s="102" t="n">
        <f aca="false">U48</f>
        <v>-174440</v>
      </c>
      <c r="V71" s="102" t="n">
        <f aca="false">V48</f>
        <v>-174440</v>
      </c>
      <c r="W71" s="102" t="n">
        <f aca="false">W48</f>
        <v>-174440</v>
      </c>
      <c r="X71" s="95"/>
    </row>
    <row r="72" customFormat="false" ht="18.75" hidden="false" customHeight="true" outlineLevel="0" collapsed="false">
      <c r="B72" s="100" t="s">
        <v>141</v>
      </c>
      <c r="C72" s="92" t="s">
        <v>4</v>
      </c>
      <c r="D72" s="102" t="n">
        <f aca="false">D49</f>
        <v>-28782.6</v>
      </c>
      <c r="E72" s="102" t="n">
        <f aca="false">E49</f>
        <v>-28782.6</v>
      </c>
      <c r="F72" s="102" t="n">
        <f aca="false">F49</f>
        <v>-28782.6</v>
      </c>
      <c r="G72" s="102" t="n">
        <f aca="false">G49</f>
        <v>-28782.6</v>
      </c>
      <c r="H72" s="102" t="n">
        <f aca="false">H49</f>
        <v>-28782.6</v>
      </c>
      <c r="I72" s="102" t="n">
        <f aca="false">I49</f>
        <v>-28782.6</v>
      </c>
      <c r="J72" s="102" t="n">
        <f aca="false">J49</f>
        <v>-28782.6</v>
      </c>
      <c r="K72" s="102" t="n">
        <f aca="false">K49</f>
        <v>-28782.6</v>
      </c>
      <c r="L72" s="102" t="n">
        <f aca="false">L49</f>
        <v>-28782.6</v>
      </c>
      <c r="M72" s="102" t="n">
        <f aca="false">M49</f>
        <v>-28782.6</v>
      </c>
      <c r="N72" s="102" t="n">
        <f aca="false">N49</f>
        <v>-28782.6</v>
      </c>
      <c r="O72" s="102" t="n">
        <f aca="false">O49</f>
        <v>-28782.6</v>
      </c>
      <c r="P72" s="102" t="n">
        <f aca="false">P49</f>
        <v>-28782.6</v>
      </c>
      <c r="Q72" s="102" t="n">
        <f aca="false">Q49</f>
        <v>-28782.6</v>
      </c>
      <c r="R72" s="102" t="n">
        <f aca="false">R49</f>
        <v>-28782.6</v>
      </c>
      <c r="S72" s="102" t="n">
        <f aca="false">S49</f>
        <v>-28782.6</v>
      </c>
      <c r="T72" s="102" t="n">
        <f aca="false">T49</f>
        <v>-28782.6</v>
      </c>
      <c r="U72" s="102" t="n">
        <f aca="false">U49</f>
        <v>-28782.6</v>
      </c>
      <c r="V72" s="102" t="n">
        <f aca="false">V49</f>
        <v>-28782.6</v>
      </c>
      <c r="W72" s="102" t="n">
        <f aca="false">W49</f>
        <v>-28782.6</v>
      </c>
      <c r="X72" s="95"/>
    </row>
    <row r="73" customFormat="false" ht="18.75" hidden="false" customHeight="true" outlineLevel="0" collapsed="false">
      <c r="B73" s="100" t="s">
        <v>142</v>
      </c>
      <c r="C73" s="92"/>
      <c r="D73" s="102" t="n">
        <f aca="false">D50</f>
        <v>-43610</v>
      </c>
      <c r="E73" s="102" t="n">
        <f aca="false">E50</f>
        <v>-43610</v>
      </c>
      <c r="F73" s="102" t="n">
        <f aca="false">F50</f>
        <v>-43610</v>
      </c>
      <c r="G73" s="102" t="n">
        <f aca="false">G50</f>
        <v>-43610</v>
      </c>
      <c r="H73" s="102" t="n">
        <f aca="false">H50</f>
        <v>-43610</v>
      </c>
      <c r="I73" s="102" t="n">
        <f aca="false">I50</f>
        <v>-43610</v>
      </c>
      <c r="J73" s="102" t="n">
        <f aca="false">J50</f>
        <v>-43610</v>
      </c>
      <c r="K73" s="102" t="n">
        <f aca="false">K50</f>
        <v>-43610</v>
      </c>
      <c r="L73" s="102" t="n">
        <f aca="false">L50</f>
        <v>-43610</v>
      </c>
      <c r="M73" s="102" t="n">
        <f aca="false">M50</f>
        <v>-43610</v>
      </c>
      <c r="N73" s="102" t="n">
        <f aca="false">N50</f>
        <v>0</v>
      </c>
      <c r="O73" s="102" t="n">
        <f aca="false">O50</f>
        <v>0</v>
      </c>
      <c r="P73" s="102" t="n">
        <f aca="false">P50</f>
        <v>0</v>
      </c>
      <c r="Q73" s="102" t="n">
        <f aca="false">Q50</f>
        <v>0</v>
      </c>
      <c r="R73" s="102" t="n">
        <f aca="false">R50</f>
        <v>0</v>
      </c>
      <c r="S73" s="102" t="n">
        <f aca="false">S50</f>
        <v>0</v>
      </c>
      <c r="T73" s="102" t="n">
        <f aca="false">T50</f>
        <v>0</v>
      </c>
      <c r="U73" s="102" t="n">
        <f aca="false">U50</f>
        <v>0</v>
      </c>
      <c r="V73" s="102" t="n">
        <f aca="false">V50</f>
        <v>0</v>
      </c>
      <c r="W73" s="102" t="n">
        <f aca="false">W50</f>
        <v>0</v>
      </c>
      <c r="X73" s="95"/>
    </row>
    <row r="74" customFormat="false" ht="18.75" hidden="false" customHeight="true" outlineLevel="0" collapsed="false">
      <c r="B74" s="100" t="s">
        <v>143</v>
      </c>
      <c r="C74" s="103"/>
      <c r="D74" s="126"/>
      <c r="E74" s="127"/>
      <c r="F74" s="93"/>
      <c r="G74" s="93"/>
      <c r="H74" s="93"/>
      <c r="I74" s="93"/>
      <c r="J74" s="93"/>
      <c r="K74" s="93"/>
      <c r="L74" s="93"/>
      <c r="M74" s="93"/>
      <c r="N74" s="93"/>
      <c r="O74" s="93"/>
      <c r="P74" s="93"/>
      <c r="Q74" s="93"/>
      <c r="R74" s="93"/>
      <c r="S74" s="93"/>
      <c r="T74" s="93"/>
      <c r="U74" s="93"/>
      <c r="V74" s="93"/>
      <c r="W74" s="93"/>
      <c r="X74" s="95"/>
    </row>
    <row r="75" customFormat="false" ht="18.75" hidden="false" customHeight="true" outlineLevel="0" collapsed="false">
      <c r="B75" s="100" t="s">
        <v>144</v>
      </c>
      <c r="C75" s="103"/>
      <c r="D75" s="93"/>
      <c r="E75" s="93"/>
      <c r="F75" s="93"/>
      <c r="G75" s="93"/>
      <c r="H75" s="93"/>
      <c r="I75" s="93"/>
      <c r="J75" s="93"/>
      <c r="K75" s="93"/>
      <c r="L75" s="93"/>
      <c r="M75" s="93"/>
      <c r="N75" s="93"/>
      <c r="O75" s="93"/>
      <c r="P75" s="93"/>
      <c r="Q75" s="93"/>
      <c r="R75" s="93"/>
      <c r="S75" s="93"/>
      <c r="T75" s="93"/>
      <c r="U75" s="93"/>
      <c r="V75" s="93"/>
      <c r="W75" s="93"/>
      <c r="X75" s="95"/>
    </row>
    <row r="76" customFormat="false" ht="18.75" hidden="false" customHeight="true" outlineLevel="0" collapsed="false">
      <c r="B76" s="105" t="s">
        <v>152</v>
      </c>
      <c r="C76" s="128"/>
      <c r="D76" s="107" t="n">
        <f aca="false">SUM(D64:D75)</f>
        <v>997205.48</v>
      </c>
      <c r="E76" s="107" t="n">
        <f aca="false">SUM(E64:E75)</f>
        <v>716115.104</v>
      </c>
      <c r="F76" s="107" t="n">
        <f aca="false">SUM(F64:F75)</f>
        <v>725225.728</v>
      </c>
      <c r="G76" s="107" t="n">
        <f aca="false">SUM(G64:G75)</f>
        <v>734336.352</v>
      </c>
      <c r="H76" s="107" t="n">
        <f aca="false">SUM(H64:H75)</f>
        <v>743446.976</v>
      </c>
      <c r="I76" s="107" t="n">
        <f aca="false">SUM(I64:I75)</f>
        <v>752557.6</v>
      </c>
      <c r="J76" s="107" t="n">
        <f aca="false">SUM(J64:J75)</f>
        <v>761668.224</v>
      </c>
      <c r="K76" s="107" t="n">
        <f aca="false">SUM(K64:K75)</f>
        <v>770778.848</v>
      </c>
      <c r="L76" s="107" t="n">
        <f aca="false">SUM(L64:L75)</f>
        <v>779889.472</v>
      </c>
      <c r="M76" s="107" t="n">
        <f aca="false">SUM(M64:M75)</f>
        <v>789000.096</v>
      </c>
      <c r="N76" s="107" t="n">
        <f aca="false">SUM(N64:N75)</f>
        <v>841720.72</v>
      </c>
      <c r="O76" s="107" t="n">
        <f aca="false">SUM(O64:O75)</f>
        <v>850831.344</v>
      </c>
      <c r="P76" s="107" t="n">
        <f aca="false">SUM(P64:P75)</f>
        <v>859941.968</v>
      </c>
      <c r="Q76" s="107" t="n">
        <f aca="false">SUM(Q64:Q75)</f>
        <v>869052.592</v>
      </c>
      <c r="R76" s="107" t="n">
        <f aca="false">SUM(R64:R75)</f>
        <v>878163.216</v>
      </c>
      <c r="S76" s="107" t="n">
        <f aca="false">SUM(S64:S75)</f>
        <v>887273.84</v>
      </c>
      <c r="T76" s="107" t="n">
        <f aca="false">SUM(T64:T75)</f>
        <v>878521.808</v>
      </c>
      <c r="U76" s="107" t="n">
        <f aca="false">SUM(U64:U75)</f>
        <v>869769.776</v>
      </c>
      <c r="V76" s="107" t="n">
        <f aca="false">SUM(V64:V75)</f>
        <v>861017.744</v>
      </c>
      <c r="W76" s="107" t="n">
        <f aca="false">SUM(W64:W75)</f>
        <v>852265.712</v>
      </c>
      <c r="X76" s="107" t="n">
        <f aca="false">SUM(X64:X75)</f>
        <v>0</v>
      </c>
    </row>
    <row r="77" customFormat="false" ht="18.75" hidden="false" customHeight="true" outlineLevel="0" collapsed="false">
      <c r="B77" s="104" t="s">
        <v>146</v>
      </c>
      <c r="C77" s="103"/>
      <c r="D77" s="102" t="n">
        <f aca="false">-D76*0.2</f>
        <v>-199441.096</v>
      </c>
      <c r="E77" s="102" t="n">
        <f aca="false">-E76*0.2</f>
        <v>-143223.0208</v>
      </c>
      <c r="F77" s="102" t="n">
        <f aca="false">-F76*0.2</f>
        <v>-145045.1456</v>
      </c>
      <c r="G77" s="102" t="n">
        <f aca="false">-G76*0.2</f>
        <v>-146867.2704</v>
      </c>
      <c r="H77" s="102" t="n">
        <f aca="false">-H76*0.2</f>
        <v>-148689.3952</v>
      </c>
      <c r="I77" s="102" t="n">
        <f aca="false">-I76*0.2</f>
        <v>-150511.52</v>
      </c>
      <c r="J77" s="102" t="n">
        <f aca="false">-J76*0.2</f>
        <v>-152333.6448</v>
      </c>
      <c r="K77" s="102" t="n">
        <f aca="false">-K76*0.2</f>
        <v>-154155.7696</v>
      </c>
      <c r="L77" s="102" t="n">
        <f aca="false">-L76*0.2</f>
        <v>-155977.8944</v>
      </c>
      <c r="M77" s="102" t="n">
        <f aca="false">-M76*0.2</f>
        <v>-157800.0192</v>
      </c>
      <c r="N77" s="102" t="n">
        <f aca="false">-N76*0.2</f>
        <v>-168344.144</v>
      </c>
      <c r="O77" s="102" t="n">
        <f aca="false">-O76*0.2</f>
        <v>-170166.2688</v>
      </c>
      <c r="P77" s="102" t="n">
        <f aca="false">-P76*0.2</f>
        <v>-171988.3936</v>
      </c>
      <c r="Q77" s="102" t="n">
        <f aca="false">-Q76*0.2</f>
        <v>-173810.5184</v>
      </c>
      <c r="R77" s="102" t="n">
        <f aca="false">-R76*0.2</f>
        <v>-175632.6432</v>
      </c>
      <c r="S77" s="102" t="n">
        <f aca="false">-S76*0.2</f>
        <v>-177454.768</v>
      </c>
      <c r="T77" s="102" t="n">
        <f aca="false">-T76*0.2</f>
        <v>-175704.3616</v>
      </c>
      <c r="U77" s="102" t="n">
        <f aca="false">-U76*0.2</f>
        <v>-173953.9552</v>
      </c>
      <c r="V77" s="102" t="n">
        <f aca="false">-V76*0.2</f>
        <v>-172203.5488</v>
      </c>
      <c r="W77" s="102" t="n">
        <f aca="false">-W76*0.2</f>
        <v>-170453.1424</v>
      </c>
      <c r="X77" s="102" t="n">
        <f aca="false">-X76*0.2</f>
        <v>-0</v>
      </c>
    </row>
    <row r="78" customFormat="false" ht="15.75" hidden="false" customHeight="true" outlineLevel="0" collapsed="false">
      <c r="B78" s="129" t="s">
        <v>153</v>
      </c>
      <c r="D78" s="102" t="n">
        <f aca="false">SUM(D76:D77)</f>
        <v>797764.384</v>
      </c>
      <c r="E78" s="102" t="n">
        <f aca="false">SUM(E76:E77)</f>
        <v>572892.0832</v>
      </c>
      <c r="F78" s="102" t="n">
        <f aca="false">SUM(F76:F77)</f>
        <v>580180.5824</v>
      </c>
      <c r="G78" s="102" t="n">
        <f aca="false">SUM(G76:G77)</f>
        <v>587469.0816</v>
      </c>
      <c r="H78" s="102" t="n">
        <f aca="false">SUM(H76:H77)</f>
        <v>594757.5808</v>
      </c>
      <c r="I78" s="102" t="n">
        <f aca="false">SUM(I76:I77)</f>
        <v>602046.08</v>
      </c>
      <c r="J78" s="102" t="n">
        <f aca="false">SUM(J76:J77)</f>
        <v>609334.5792</v>
      </c>
      <c r="K78" s="102" t="n">
        <f aca="false">SUM(K76:K77)</f>
        <v>616623.0784</v>
      </c>
      <c r="L78" s="102" t="n">
        <f aca="false">SUM(L76:L77)</f>
        <v>623911.5776</v>
      </c>
      <c r="M78" s="102" t="n">
        <f aca="false">SUM(M76:M77)</f>
        <v>631200.0768</v>
      </c>
      <c r="N78" s="102" t="n">
        <f aca="false">SUM(N76:N77)</f>
        <v>673376.576</v>
      </c>
      <c r="O78" s="102" t="n">
        <f aca="false">SUM(O76:O77)</f>
        <v>680665.0752</v>
      </c>
      <c r="P78" s="102" t="n">
        <f aca="false">SUM(P76:P77)</f>
        <v>687953.5744</v>
      </c>
      <c r="Q78" s="102" t="n">
        <f aca="false">SUM(Q76:Q77)</f>
        <v>695242.0736</v>
      </c>
      <c r="R78" s="102" t="n">
        <f aca="false">SUM(R76:R77)</f>
        <v>702530.5728</v>
      </c>
      <c r="S78" s="102" t="n">
        <f aca="false">SUM(S76:S77)</f>
        <v>709819.072</v>
      </c>
      <c r="T78" s="102" t="n">
        <f aca="false">SUM(T76:T77)</f>
        <v>702817.4464</v>
      </c>
      <c r="U78" s="102" t="n">
        <f aca="false">SUM(U76:U77)</f>
        <v>695815.8208</v>
      </c>
      <c r="V78" s="102" t="n">
        <f aca="false">SUM(V76:V77)</f>
        <v>688814.1952</v>
      </c>
      <c r="W78" s="102" t="n">
        <f aca="false">SUM(W76:W77)</f>
        <v>681812.5696</v>
      </c>
      <c r="X78" s="102" t="n">
        <f aca="false">SUM(X76:X77)</f>
        <v>0</v>
      </c>
    </row>
    <row r="79" customFormat="false" ht="18.75" hidden="false" customHeight="true" outlineLevel="0" collapsed="false">
      <c r="B79" s="111" t="s">
        <v>148</v>
      </c>
      <c r="C79" s="114"/>
      <c r="D79" s="130"/>
      <c r="E79" s="130"/>
      <c r="F79" s="130"/>
      <c r="G79" s="130"/>
      <c r="H79" s="130"/>
      <c r="I79" s="130"/>
      <c r="J79" s="130"/>
      <c r="K79" s="130"/>
      <c r="L79" s="130"/>
      <c r="M79" s="130"/>
      <c r="N79" s="130"/>
      <c r="O79" s="130"/>
      <c r="P79" s="130"/>
      <c r="Q79" s="130"/>
      <c r="R79" s="130"/>
      <c r="S79" s="130"/>
      <c r="T79" s="130"/>
      <c r="U79" s="130"/>
      <c r="V79" s="130"/>
      <c r="W79" s="130"/>
      <c r="X79" s="131"/>
    </row>
    <row r="80" customFormat="false" ht="18.75" hidden="false" customHeight="true" outlineLevel="0" collapsed="false">
      <c r="B80" s="132" t="s">
        <v>149</v>
      </c>
      <c r="C80" s="133"/>
      <c r="D80" s="134"/>
      <c r="E80" s="134"/>
      <c r="F80" s="134"/>
      <c r="G80" s="134"/>
      <c r="H80" s="134"/>
      <c r="I80" s="134"/>
      <c r="J80" s="134"/>
      <c r="K80" s="134"/>
      <c r="L80" s="134"/>
      <c r="M80" s="134"/>
      <c r="N80" s="134"/>
      <c r="O80" s="134"/>
      <c r="P80" s="134"/>
      <c r="Q80" s="134"/>
      <c r="R80" s="134"/>
      <c r="S80" s="134"/>
      <c r="T80" s="134"/>
      <c r="U80" s="134"/>
      <c r="V80" s="134"/>
      <c r="W80" s="134"/>
      <c r="X80" s="135"/>
    </row>
    <row r="81" customFormat="false" ht="18.75" hidden="false" customHeight="true" outlineLevel="0" collapsed="false">
      <c r="B81" s="120"/>
      <c r="C81" s="119"/>
      <c r="D81" s="119"/>
      <c r="E81" s="119"/>
      <c r="F81" s="120"/>
      <c r="G81" s="120"/>
      <c r="H81" s="120"/>
      <c r="I81" s="120"/>
      <c r="J81" s="120"/>
      <c r="K81" s="120"/>
      <c r="L81" s="120"/>
      <c r="M81" s="119"/>
      <c r="N81" s="120"/>
      <c r="O81" s="120"/>
      <c r="P81" s="120"/>
      <c r="Q81" s="120"/>
      <c r="R81" s="120"/>
      <c r="S81" s="120"/>
      <c r="T81" s="120"/>
      <c r="U81" s="120"/>
      <c r="V81" s="120"/>
      <c r="W81" s="120"/>
      <c r="X81" s="120"/>
    </row>
    <row r="82" customFormat="false" ht="18.75" hidden="false" customHeight="true" outlineLevel="0" collapsed="false">
      <c r="C82" s="136" t="s">
        <v>130</v>
      </c>
      <c r="D82" s="137" t="n">
        <f aca="false">D37</f>
        <v>2020</v>
      </c>
      <c r="E82" s="137" t="n">
        <f aca="false">E37</f>
        <v>2021</v>
      </c>
      <c r="F82" s="137" t="n">
        <f aca="false">F37</f>
        <v>2022</v>
      </c>
      <c r="G82" s="137" t="n">
        <f aca="false">G37</f>
        <v>2023</v>
      </c>
      <c r="H82" s="137" t="n">
        <f aca="false">H37</f>
        <v>2024</v>
      </c>
      <c r="I82" s="137" t="n">
        <f aca="false">I37</f>
        <v>2025</v>
      </c>
      <c r="J82" s="137" t="n">
        <f aca="false">J37</f>
        <v>2026</v>
      </c>
      <c r="K82" s="137" t="n">
        <f aca="false">K37</f>
        <v>2027</v>
      </c>
      <c r="L82" s="137" t="n">
        <f aca="false">L37</f>
        <v>2028</v>
      </c>
      <c r="M82" s="137" t="n">
        <f aca="false">M37</f>
        <v>2029</v>
      </c>
      <c r="N82" s="137" t="n">
        <f aca="false">N37</f>
        <v>2030</v>
      </c>
      <c r="O82" s="137" t="n">
        <f aca="false">O37</f>
        <v>2031</v>
      </c>
      <c r="P82" s="137" t="n">
        <f aca="false">P37</f>
        <v>2032</v>
      </c>
      <c r="Q82" s="137" t="n">
        <f aca="false">Q37</f>
        <v>2033</v>
      </c>
      <c r="R82" s="137" t="n">
        <f aca="false">R37</f>
        <v>2034</v>
      </c>
      <c r="S82" s="137" t="n">
        <f aca="false">S37</f>
        <v>2035</v>
      </c>
      <c r="T82" s="137" t="n">
        <f aca="false">T37</f>
        <v>2036</v>
      </c>
      <c r="U82" s="137" t="n">
        <f aca="false">U37</f>
        <v>2037</v>
      </c>
      <c r="V82" s="137" t="n">
        <f aca="false">V37</f>
        <v>2038</v>
      </c>
      <c r="W82" s="137" t="n">
        <f aca="false">W37</f>
        <v>2039</v>
      </c>
      <c r="X82" s="122"/>
    </row>
    <row r="83" customFormat="false" ht="18.75" hidden="false" customHeight="true" outlineLevel="0" collapsed="false">
      <c r="X83" s="121"/>
    </row>
    <row r="84" customFormat="false" ht="18.75" hidden="false" customHeight="true" outlineLevel="0" collapsed="false">
      <c r="B84" s="138" t="s">
        <v>131</v>
      </c>
      <c r="C84" s="138" t="n">
        <v>0</v>
      </c>
      <c r="D84" s="138" t="n">
        <v>1</v>
      </c>
      <c r="E84" s="138" t="n">
        <v>2</v>
      </c>
      <c r="F84" s="138" t="n">
        <v>3</v>
      </c>
      <c r="G84" s="138" t="n">
        <v>4</v>
      </c>
      <c r="H84" s="138" t="n">
        <v>5</v>
      </c>
      <c r="I84" s="138" t="n">
        <v>6</v>
      </c>
      <c r="J84" s="138" t="n">
        <v>7</v>
      </c>
      <c r="K84" s="138" t="n">
        <v>8</v>
      </c>
      <c r="L84" s="138" t="n">
        <v>9</v>
      </c>
      <c r="M84" s="138" t="n">
        <v>10</v>
      </c>
      <c r="N84" s="138" t="n">
        <v>11</v>
      </c>
      <c r="O84" s="138" t="n">
        <v>12</v>
      </c>
      <c r="P84" s="138" t="n">
        <v>13</v>
      </c>
      <c r="Q84" s="138" t="n">
        <v>14</v>
      </c>
      <c r="R84" s="138" t="n">
        <v>15</v>
      </c>
      <c r="S84" s="138" t="n">
        <v>16</v>
      </c>
      <c r="T84" s="138" t="n">
        <v>17</v>
      </c>
      <c r="U84" s="138" t="n">
        <v>18</v>
      </c>
      <c r="V84" s="138" t="n">
        <v>19</v>
      </c>
      <c r="W84" s="138" t="n">
        <v>20</v>
      </c>
      <c r="X84" s="139"/>
    </row>
    <row r="85" customFormat="false" ht="18.75" hidden="false" customHeight="true" outlineLevel="0" collapsed="false">
      <c r="B85" s="140" t="s">
        <v>153</v>
      </c>
      <c r="C85" s="140"/>
      <c r="D85" s="141" t="n">
        <f aca="false">D78</f>
        <v>797764.384</v>
      </c>
      <c r="E85" s="141" t="n">
        <f aca="false">E78</f>
        <v>572892.0832</v>
      </c>
      <c r="F85" s="141" t="n">
        <f aca="false">F78</f>
        <v>580180.5824</v>
      </c>
      <c r="G85" s="141" t="n">
        <f aca="false">G78</f>
        <v>587469.0816</v>
      </c>
      <c r="H85" s="141" t="n">
        <f aca="false">H78</f>
        <v>594757.5808</v>
      </c>
      <c r="I85" s="141" t="n">
        <f aca="false">I78</f>
        <v>602046.08</v>
      </c>
      <c r="J85" s="141" t="n">
        <f aca="false">J78</f>
        <v>609334.5792</v>
      </c>
      <c r="K85" s="141" t="n">
        <f aca="false">K78</f>
        <v>616623.0784</v>
      </c>
      <c r="L85" s="141" t="n">
        <f aca="false">L78</f>
        <v>623911.5776</v>
      </c>
      <c r="M85" s="141" t="n">
        <f aca="false">M78</f>
        <v>631200.0768</v>
      </c>
      <c r="N85" s="141" t="n">
        <f aca="false">N78</f>
        <v>673376.576</v>
      </c>
      <c r="O85" s="141" t="n">
        <f aca="false">O78</f>
        <v>680665.0752</v>
      </c>
      <c r="P85" s="141" t="n">
        <f aca="false">P78</f>
        <v>687953.5744</v>
      </c>
      <c r="Q85" s="141" t="n">
        <f aca="false">Q78</f>
        <v>695242.0736</v>
      </c>
      <c r="R85" s="141" t="n">
        <f aca="false">R78</f>
        <v>702530.5728</v>
      </c>
      <c r="S85" s="141" t="n">
        <f aca="false">S78</f>
        <v>709819.072</v>
      </c>
      <c r="T85" s="141" t="n">
        <f aca="false">T78</f>
        <v>702817.4464</v>
      </c>
      <c r="U85" s="141" t="n">
        <f aca="false">U78</f>
        <v>695815.8208</v>
      </c>
      <c r="V85" s="141" t="n">
        <f aca="false">V78</f>
        <v>688814.1952</v>
      </c>
      <c r="W85" s="141" t="n">
        <f aca="false">W78</f>
        <v>681812.5696</v>
      </c>
      <c r="X85" s="140"/>
      <c r="Y85" s="140"/>
    </row>
    <row r="86" customFormat="false" ht="15.75" hidden="false" customHeight="true" outlineLevel="0" collapsed="false">
      <c r="B86" s="140" t="s">
        <v>154</v>
      </c>
      <c r="C86" s="140"/>
      <c r="D86" s="142" t="n">
        <f aca="false">-D67</f>
        <v>654150</v>
      </c>
      <c r="E86" s="142" t="n">
        <f aca="false">-E67</f>
        <v>654150</v>
      </c>
      <c r="F86" s="142" t="n">
        <f aca="false">-F67</f>
        <v>654150</v>
      </c>
      <c r="G86" s="142" t="n">
        <f aca="false">-G67</f>
        <v>654150</v>
      </c>
      <c r="H86" s="142" t="n">
        <f aca="false">-H67</f>
        <v>654150</v>
      </c>
      <c r="I86" s="142" t="n">
        <f aca="false">-I67</f>
        <v>654150</v>
      </c>
      <c r="J86" s="142" t="n">
        <f aca="false">-J67</f>
        <v>654150</v>
      </c>
      <c r="K86" s="142" t="n">
        <f aca="false">-K67</f>
        <v>654150</v>
      </c>
      <c r="L86" s="142" t="n">
        <f aca="false">-L67</f>
        <v>654150</v>
      </c>
      <c r="M86" s="142" t="n">
        <f aca="false">-M67</f>
        <v>654150</v>
      </c>
      <c r="N86" s="142" t="n">
        <f aca="false">-N67</f>
        <v>654150</v>
      </c>
      <c r="O86" s="142" t="n">
        <f aca="false">-O67</f>
        <v>654150</v>
      </c>
      <c r="P86" s="142" t="n">
        <f aca="false">-P67</f>
        <v>654150</v>
      </c>
      <c r="Q86" s="142" t="n">
        <f aca="false">-Q67</f>
        <v>654150</v>
      </c>
      <c r="R86" s="142" t="n">
        <f aca="false">-R67</f>
        <v>654150</v>
      </c>
      <c r="S86" s="142" t="n">
        <f aca="false">-S67</f>
        <v>654150</v>
      </c>
      <c r="T86" s="142" t="n">
        <f aca="false">-T67</f>
        <v>654150</v>
      </c>
      <c r="U86" s="142" t="n">
        <f aca="false">-U67</f>
        <v>654150</v>
      </c>
      <c r="V86" s="142" t="n">
        <f aca="false">-V67</f>
        <v>654150</v>
      </c>
      <c r="W86" s="142" t="n">
        <f aca="false">-W67</f>
        <v>654150</v>
      </c>
      <c r="X86" s="143"/>
      <c r="Y86" s="143"/>
    </row>
    <row r="87" customFormat="false" ht="15.75" hidden="false" customHeight="true" outlineLevel="0" collapsed="false">
      <c r="B87" s="140" t="s">
        <v>155</v>
      </c>
      <c r="C87" s="140"/>
      <c r="D87" s="144" t="n">
        <f aca="false">SUM(D85:D86)</f>
        <v>1451914.384</v>
      </c>
      <c r="E87" s="144" t="n">
        <f aca="false">SUM(E85:E86)</f>
        <v>1227042.0832</v>
      </c>
      <c r="F87" s="144" t="n">
        <f aca="false">SUM(F85:F86)</f>
        <v>1234330.5824</v>
      </c>
      <c r="G87" s="144" t="n">
        <f aca="false">SUM(G85:G86)</f>
        <v>1241619.0816</v>
      </c>
      <c r="H87" s="144" t="n">
        <f aca="false">SUM(H85:H86)</f>
        <v>1248907.5808</v>
      </c>
      <c r="I87" s="144" t="n">
        <f aca="false">SUM(I85:I86)</f>
        <v>1256196.08</v>
      </c>
      <c r="J87" s="144" t="n">
        <f aca="false">SUM(J85:J86)</f>
        <v>1263484.5792</v>
      </c>
      <c r="K87" s="144" t="n">
        <f aca="false">SUM(K85:K86)</f>
        <v>1270773.0784</v>
      </c>
      <c r="L87" s="144" t="n">
        <f aca="false">SUM(L85:L86)</f>
        <v>1278061.5776</v>
      </c>
      <c r="M87" s="144" t="n">
        <f aca="false">SUM(M85:M86)</f>
        <v>1285350.0768</v>
      </c>
      <c r="N87" s="144" t="n">
        <f aca="false">SUM(N85:N86)</f>
        <v>1327526.576</v>
      </c>
      <c r="O87" s="144" t="n">
        <f aca="false">SUM(O85:O86)</f>
        <v>1334815.0752</v>
      </c>
      <c r="P87" s="144" t="n">
        <f aca="false">SUM(P85:P86)</f>
        <v>1342103.5744</v>
      </c>
      <c r="Q87" s="144" t="n">
        <f aca="false">SUM(Q85:Q86)</f>
        <v>1349392.0736</v>
      </c>
      <c r="R87" s="144" t="n">
        <f aca="false">SUM(R85:R86)</f>
        <v>1356680.5728</v>
      </c>
      <c r="S87" s="144" t="n">
        <f aca="false">SUM(S85:S86)</f>
        <v>1363969.072</v>
      </c>
      <c r="T87" s="144" t="n">
        <f aca="false">SUM(T85:T86)</f>
        <v>1356967.4464</v>
      </c>
      <c r="U87" s="144" t="n">
        <f aca="false">SUM(U85:U86)</f>
        <v>1349965.8208</v>
      </c>
      <c r="V87" s="144" t="n">
        <f aca="false">SUM(V85:V86)</f>
        <v>1342964.1952</v>
      </c>
      <c r="W87" s="144" t="n">
        <f aca="false">SUM(W85:W86)</f>
        <v>1335962.5696</v>
      </c>
      <c r="X87" s="110"/>
    </row>
    <row r="88" customFormat="false" ht="15.75" hidden="false" customHeight="true" outlineLevel="0" collapsed="false">
      <c r="B88" s="140"/>
      <c r="C88" s="140"/>
      <c r="D88" s="140"/>
      <c r="E88" s="140"/>
      <c r="F88" s="145"/>
      <c r="G88" s="145"/>
      <c r="H88" s="145"/>
      <c r="I88" s="145"/>
      <c r="J88" s="145"/>
      <c r="K88" s="145"/>
      <c r="L88" s="145"/>
      <c r="M88" s="145"/>
      <c r="N88" s="145"/>
      <c r="O88" s="145"/>
      <c r="P88" s="145"/>
      <c r="Q88" s="145"/>
      <c r="R88" s="145"/>
      <c r="S88" s="145"/>
      <c r="T88" s="145"/>
      <c r="U88" s="145"/>
      <c r="V88" s="145"/>
      <c r="W88" s="145"/>
      <c r="X88" s="109"/>
    </row>
    <row r="89" customFormat="false" ht="15.75" hidden="false" customHeight="true" outlineLevel="0" collapsed="false">
      <c r="B89" s="146" t="s">
        <v>156</v>
      </c>
      <c r="C89" s="147"/>
      <c r="D89" s="148" t="n">
        <f aca="false">C44</f>
        <v>-13083000</v>
      </c>
      <c r="E89" s="147"/>
      <c r="F89" s="147"/>
      <c r="G89" s="147"/>
      <c r="H89" s="147"/>
      <c r="I89" s="147"/>
      <c r="J89" s="147"/>
      <c r="K89" s="147"/>
      <c r="L89" s="147"/>
      <c r="M89" s="147"/>
      <c r="N89" s="147"/>
      <c r="O89" s="147"/>
      <c r="P89" s="147"/>
      <c r="Q89" s="147"/>
      <c r="R89" s="147"/>
      <c r="S89" s="147"/>
      <c r="T89" s="147"/>
      <c r="U89" s="147"/>
      <c r="V89" s="147"/>
      <c r="W89" s="147"/>
      <c r="X89" s="149"/>
    </row>
    <row r="90" customFormat="false" ht="15.75" hidden="false" customHeight="true" outlineLevel="0" collapsed="false">
      <c r="B90" s="140"/>
      <c r="C90" s="140"/>
      <c r="D90" s="140"/>
      <c r="E90" s="140"/>
      <c r="F90" s="145"/>
      <c r="G90" s="145"/>
      <c r="H90" s="145"/>
      <c r="I90" s="145"/>
      <c r="J90" s="145"/>
      <c r="K90" s="145"/>
      <c r="L90" s="145"/>
      <c r="M90" s="145"/>
      <c r="N90" s="145"/>
      <c r="O90" s="145"/>
      <c r="P90" s="145"/>
      <c r="Q90" s="145"/>
      <c r="R90" s="145"/>
      <c r="S90" s="145"/>
      <c r="T90" s="145"/>
      <c r="U90" s="145"/>
      <c r="V90" s="145"/>
      <c r="W90" s="145"/>
      <c r="X90" s="109"/>
    </row>
    <row r="91" customFormat="false" ht="15.75" hidden="false" customHeight="true" outlineLevel="0" collapsed="false">
      <c r="B91" s="140"/>
      <c r="C91" s="140"/>
      <c r="D91" s="140"/>
      <c r="E91" s="140"/>
      <c r="F91" s="145"/>
      <c r="G91" s="145"/>
      <c r="H91" s="145"/>
      <c r="I91" s="145"/>
      <c r="J91" s="145"/>
      <c r="K91" s="145"/>
      <c r="L91" s="145"/>
      <c r="M91" s="145"/>
      <c r="N91" s="145"/>
      <c r="O91" s="145"/>
      <c r="P91" s="145"/>
      <c r="Q91" s="145"/>
      <c r="R91" s="145"/>
      <c r="S91" s="145"/>
      <c r="T91" s="145"/>
      <c r="U91" s="145"/>
      <c r="V91" s="145"/>
      <c r="W91" s="145"/>
      <c r="X91" s="109"/>
    </row>
    <row r="92" customFormat="false" ht="15.75" hidden="false" customHeight="true" outlineLevel="0" collapsed="false">
      <c r="B92" s="146" t="s">
        <v>157</v>
      </c>
      <c r="C92" s="147"/>
      <c r="D92" s="148" t="n">
        <f aca="false">-D89*D31</f>
        <v>10466400</v>
      </c>
      <c r="E92" s="147"/>
      <c r="F92" s="147"/>
      <c r="G92" s="147"/>
      <c r="H92" s="147"/>
      <c r="I92" s="147"/>
      <c r="J92" s="147"/>
      <c r="K92" s="147"/>
      <c r="L92" s="147"/>
      <c r="M92" s="147"/>
      <c r="N92" s="147"/>
      <c r="O92" s="147"/>
      <c r="P92" s="147"/>
      <c r="Q92" s="147"/>
      <c r="R92" s="147"/>
      <c r="S92" s="147"/>
      <c r="T92" s="147"/>
      <c r="U92" s="147"/>
      <c r="V92" s="147"/>
      <c r="W92" s="147"/>
      <c r="X92" s="109"/>
    </row>
    <row r="93" customFormat="false" ht="15.75" hidden="false" customHeight="true" outlineLevel="0" collapsed="false">
      <c r="B93" s="140" t="s">
        <v>158</v>
      </c>
      <c r="C93" s="140"/>
      <c r="D93" s="150"/>
      <c r="E93" s="150" t="n">
        <v>-697760</v>
      </c>
      <c r="F93" s="150" t="n">
        <v>-697760</v>
      </c>
      <c r="G93" s="150" t="n">
        <v>-697760</v>
      </c>
      <c r="H93" s="150" t="n">
        <v>-697760</v>
      </c>
      <c r="I93" s="150" t="n">
        <v>-697760</v>
      </c>
      <c r="J93" s="150" t="n">
        <v>-697760</v>
      </c>
      <c r="K93" s="150" t="n">
        <v>-697760</v>
      </c>
      <c r="L93" s="150" t="n">
        <v>-697760</v>
      </c>
      <c r="M93" s="150" t="n">
        <v>-697760</v>
      </c>
      <c r="N93" s="150" t="n">
        <v>-697760</v>
      </c>
      <c r="O93" s="150" t="n">
        <v>-697760</v>
      </c>
      <c r="P93" s="150" t="n">
        <v>-697760</v>
      </c>
      <c r="Q93" s="150" t="n">
        <v>-697760</v>
      </c>
      <c r="R93" s="150" t="n">
        <v>-697760</v>
      </c>
      <c r="S93" s="150" t="n">
        <v>-697760</v>
      </c>
      <c r="T93" s="150" t="n">
        <v>0</v>
      </c>
      <c r="U93" s="150" t="n">
        <v>0</v>
      </c>
      <c r="V93" s="150" t="n">
        <v>0</v>
      </c>
      <c r="W93" s="150" t="n">
        <v>0</v>
      </c>
      <c r="X93" s="149"/>
    </row>
    <row r="94" customFormat="false" ht="15.75" hidden="false" customHeight="true" outlineLevel="0" collapsed="false">
      <c r="B94" s="140" t="s">
        <v>159</v>
      </c>
      <c r="C94" s="145"/>
      <c r="D94" s="141" t="n">
        <f aca="false">-D89*(1-D31)</f>
        <v>2616600</v>
      </c>
      <c r="E94" s="145"/>
      <c r="F94" s="145"/>
      <c r="G94" s="145"/>
      <c r="H94" s="145"/>
      <c r="I94" s="145"/>
      <c r="J94" s="145"/>
      <c r="K94" s="145"/>
      <c r="L94" s="145"/>
      <c r="M94" s="145"/>
      <c r="N94" s="145"/>
      <c r="O94" s="145"/>
      <c r="P94" s="145"/>
      <c r="Q94" s="145"/>
      <c r="R94" s="145"/>
      <c r="S94" s="145"/>
      <c r="T94" s="145"/>
      <c r="U94" s="145"/>
      <c r="V94" s="145"/>
      <c r="W94" s="145"/>
      <c r="X94" s="110"/>
    </row>
    <row r="95" customFormat="false" ht="15.75" hidden="false" customHeight="true" outlineLevel="0" collapsed="false">
      <c r="B95" s="140" t="s">
        <v>67</v>
      </c>
      <c r="C95" s="145"/>
      <c r="D95" s="145"/>
      <c r="E95" s="151" t="n">
        <f aca="false">-D85*$D$33</f>
        <v>-717987.9456</v>
      </c>
      <c r="F95" s="151" t="n">
        <f aca="false">-E85*$D$33</f>
        <v>-515602.87488</v>
      </c>
      <c r="G95" s="151" t="n">
        <f aca="false">-F85*$D$33</f>
        <v>-522162.52416</v>
      </c>
      <c r="H95" s="151" t="n">
        <f aca="false">-G85*$D$33</f>
        <v>-528722.17344</v>
      </c>
      <c r="I95" s="151" t="n">
        <f aca="false">-H85*$D$33</f>
        <v>-535281.82272</v>
      </c>
      <c r="J95" s="151" t="n">
        <f aca="false">-I85*$D$33</f>
        <v>-541841.472</v>
      </c>
      <c r="K95" s="151" t="n">
        <f aca="false">-J85*$D$33</f>
        <v>-548401.12128</v>
      </c>
      <c r="L95" s="151" t="n">
        <f aca="false">-K85*$D$33</f>
        <v>-554960.77056</v>
      </c>
      <c r="M95" s="151" t="n">
        <f aca="false">-L85*$D$33</f>
        <v>-561520.41984</v>
      </c>
      <c r="N95" s="151" t="n">
        <f aca="false">-M85*$D$33</f>
        <v>-568080.06912</v>
      </c>
      <c r="O95" s="151" t="n">
        <f aca="false">-N85*$D$33</f>
        <v>-606038.9184</v>
      </c>
      <c r="P95" s="151" t="n">
        <f aca="false">-O85*$D$33</f>
        <v>-612598.56768</v>
      </c>
      <c r="Q95" s="151" t="n">
        <f aca="false">-P85*$D$33</f>
        <v>-619158.21696</v>
      </c>
      <c r="R95" s="151" t="n">
        <f aca="false">-Q85*$D$33</f>
        <v>-625717.86624</v>
      </c>
      <c r="S95" s="151" t="n">
        <f aca="false">-R85*$D$33</f>
        <v>-632277.51552</v>
      </c>
      <c r="T95" s="151" t="n">
        <f aca="false">-S85*$D$33</f>
        <v>-638837.1648</v>
      </c>
      <c r="U95" s="151" t="n">
        <f aca="false">-T85*$D$33</f>
        <v>-632535.70176</v>
      </c>
      <c r="V95" s="151" t="n">
        <f aca="false">-U85*$D$33</f>
        <v>-626234.23872</v>
      </c>
      <c r="W95" s="151" t="n">
        <f aca="false">-V85*$D$33</f>
        <v>-619932.77568</v>
      </c>
      <c r="X95" s="151" t="n">
        <f aca="false">-W85*$D$33</f>
        <v>-613631.31264</v>
      </c>
    </row>
    <row r="96" customFormat="false" ht="15.75" hidden="false" customHeight="true" outlineLevel="0" collapsed="false">
      <c r="B96" s="152" t="s">
        <v>70</v>
      </c>
      <c r="C96" s="153"/>
      <c r="D96" s="153" t="n">
        <v>0</v>
      </c>
      <c r="E96" s="154" t="n">
        <v>0</v>
      </c>
      <c r="F96" s="154" t="n">
        <v>0</v>
      </c>
      <c r="G96" s="154" t="n">
        <v>0</v>
      </c>
      <c r="H96" s="154" t="n">
        <v>0</v>
      </c>
      <c r="I96" s="154" t="n">
        <v>0</v>
      </c>
      <c r="J96" s="154" t="n">
        <v>0</v>
      </c>
      <c r="K96" s="154" t="n">
        <v>0</v>
      </c>
      <c r="L96" s="154" t="n">
        <v>0</v>
      </c>
      <c r="M96" s="154" t="n">
        <v>0</v>
      </c>
      <c r="N96" s="154" t="n">
        <v>0</v>
      </c>
      <c r="O96" s="154" t="n">
        <v>0</v>
      </c>
      <c r="P96" s="154" t="n">
        <v>0</v>
      </c>
      <c r="Q96" s="154" t="n">
        <v>0</v>
      </c>
      <c r="R96" s="154" t="n">
        <v>0</v>
      </c>
      <c r="S96" s="154" t="n">
        <v>0</v>
      </c>
      <c r="T96" s="154" t="n">
        <v>-654150</v>
      </c>
      <c r="U96" s="154" t="n">
        <v>-654150</v>
      </c>
      <c r="V96" s="154" t="n">
        <v>-654150</v>
      </c>
      <c r="W96" s="154" t="n">
        <v>-654150</v>
      </c>
      <c r="X96" s="155" t="n">
        <f aca="false">-W101-X95</f>
        <v>-1313502.608</v>
      </c>
    </row>
    <row r="97" customFormat="false" ht="15.75" hidden="false" customHeight="true" outlineLevel="0" collapsed="false">
      <c r="B97" s="145"/>
      <c r="C97" s="145"/>
      <c r="D97" s="145"/>
      <c r="E97" s="145"/>
      <c r="F97" s="145"/>
      <c r="G97" s="145"/>
      <c r="H97" s="145"/>
      <c r="I97" s="145"/>
      <c r="J97" s="145"/>
      <c r="K97" s="145"/>
      <c r="L97" s="145"/>
      <c r="M97" s="145"/>
      <c r="N97" s="145"/>
      <c r="O97" s="145"/>
      <c r="P97" s="145"/>
      <c r="Q97" s="145"/>
      <c r="R97" s="145"/>
      <c r="S97" s="145"/>
      <c r="T97" s="145"/>
      <c r="U97" s="145"/>
      <c r="V97" s="145"/>
      <c r="W97" s="145"/>
      <c r="X97" s="110"/>
    </row>
    <row r="98" customFormat="false" ht="15.75" hidden="false" customHeight="true" outlineLevel="0" collapsed="false">
      <c r="B98" s="145"/>
      <c r="C98" s="145"/>
      <c r="D98" s="145"/>
      <c r="E98" s="145"/>
      <c r="F98" s="145"/>
      <c r="G98" s="145"/>
      <c r="H98" s="145"/>
      <c r="I98" s="145"/>
      <c r="J98" s="145"/>
      <c r="K98" s="145"/>
      <c r="L98" s="145"/>
      <c r="M98" s="145"/>
      <c r="N98" s="145"/>
      <c r="O98" s="145"/>
      <c r="P98" s="145"/>
      <c r="Q98" s="145"/>
      <c r="R98" s="145"/>
      <c r="S98" s="145"/>
      <c r="T98" s="145"/>
      <c r="U98" s="145"/>
      <c r="V98" s="145"/>
      <c r="W98" s="145"/>
      <c r="X98" s="110"/>
    </row>
    <row r="99" customFormat="false" ht="15.75" hidden="false" customHeight="true" outlineLevel="0" collapsed="false">
      <c r="B99" s="140" t="s">
        <v>160</v>
      </c>
      <c r="C99" s="141" t="n">
        <v>0</v>
      </c>
      <c r="D99" s="141" t="n">
        <f aca="false">SUM(D87:D96)</f>
        <v>1451914.384</v>
      </c>
      <c r="E99" s="141" t="n">
        <f aca="false">SUM(E87:E96)</f>
        <v>-188705.8624</v>
      </c>
      <c r="F99" s="141" t="n">
        <f aca="false">SUM(F87:F96)</f>
        <v>20967.7075200003</v>
      </c>
      <c r="G99" s="141" t="n">
        <f aca="false">SUM(G87:G96)</f>
        <v>21696.5574400001</v>
      </c>
      <c r="H99" s="141" t="n">
        <f aca="false">SUM(H87:H96)</f>
        <v>22425.4073599998</v>
      </c>
      <c r="I99" s="141" t="n">
        <f aca="false">SUM(I87:I96)</f>
        <v>23154.2572799999</v>
      </c>
      <c r="J99" s="141" t="n">
        <f aca="false">SUM(J87:J96)</f>
        <v>23883.1072000002</v>
      </c>
      <c r="K99" s="141" t="n">
        <f aca="false">SUM(K87:K96)</f>
        <v>24611.9571199998</v>
      </c>
      <c r="L99" s="141" t="n">
        <f aca="false">SUM(L87:L96)</f>
        <v>25340.80704</v>
      </c>
      <c r="M99" s="141" t="n">
        <f aca="false">SUM(M87:M96)</f>
        <v>26069.6569600001</v>
      </c>
      <c r="N99" s="141" t="n">
        <f aca="false">SUM(N87:N96)</f>
        <v>61686.5068799999</v>
      </c>
      <c r="O99" s="141" t="n">
        <f aca="false">SUM(O87:O96)</f>
        <v>31016.1568000001</v>
      </c>
      <c r="P99" s="141" t="n">
        <f aca="false">SUM(P87:P96)</f>
        <v>31745.0067199997</v>
      </c>
      <c r="Q99" s="141" t="n">
        <f aca="false">SUM(Q87:Q96)</f>
        <v>32473.85664</v>
      </c>
      <c r="R99" s="141" t="n">
        <f aca="false">SUM(R87:R96)</f>
        <v>33202.70656</v>
      </c>
      <c r="S99" s="141" t="n">
        <f aca="false">SUM(S87:S96)</f>
        <v>33931.5564799999</v>
      </c>
      <c r="T99" s="141" t="n">
        <f aca="false">SUM(T87:T96)</f>
        <v>63980.2815999999</v>
      </c>
      <c r="U99" s="141" t="n">
        <f aca="false">SUM(U87:U96)</f>
        <v>63280.1190399999</v>
      </c>
      <c r="V99" s="141" t="n">
        <f aca="false">SUM(V87:V96)</f>
        <v>62579.9564799999</v>
      </c>
      <c r="W99" s="141" t="n">
        <f aca="false">SUM(W87:W96)</f>
        <v>61879.7939200002</v>
      </c>
      <c r="X99" s="110"/>
    </row>
    <row r="100" customFormat="false" ht="15.75" hidden="false" customHeight="true" outlineLevel="0" collapsed="false">
      <c r="B100" s="140" t="s">
        <v>161</v>
      </c>
      <c r="C100" s="141" t="n">
        <v>0</v>
      </c>
      <c r="D100" s="141" t="n">
        <f aca="false">C101</f>
        <v>0</v>
      </c>
      <c r="E100" s="141" t="n">
        <f aca="false">D101</f>
        <v>1451914.384</v>
      </c>
      <c r="F100" s="141" t="n">
        <f aca="false">E101</f>
        <v>1263208.5216</v>
      </c>
      <c r="G100" s="141" t="n">
        <f aca="false">F101</f>
        <v>1284176.22912</v>
      </c>
      <c r="H100" s="141" t="n">
        <f aca="false">G101</f>
        <v>1305872.78656</v>
      </c>
      <c r="I100" s="141" t="n">
        <f aca="false">H101</f>
        <v>1328298.19392</v>
      </c>
      <c r="J100" s="141" t="n">
        <f aca="false">I101</f>
        <v>1351452.4512</v>
      </c>
      <c r="K100" s="141" t="n">
        <f aca="false">J101</f>
        <v>1375335.5584</v>
      </c>
      <c r="L100" s="141" t="n">
        <f aca="false">K101</f>
        <v>1399947.51552</v>
      </c>
      <c r="M100" s="141" t="n">
        <f aca="false">L101</f>
        <v>1425288.32256</v>
      </c>
      <c r="N100" s="141" t="n">
        <f aca="false">M101</f>
        <v>1451357.97952</v>
      </c>
      <c r="O100" s="141" t="n">
        <f aca="false">N101</f>
        <v>1513044.4864</v>
      </c>
      <c r="P100" s="141" t="n">
        <f aca="false">O101</f>
        <v>1544060.6432</v>
      </c>
      <c r="Q100" s="141" t="n">
        <f aca="false">P101</f>
        <v>1575805.64992</v>
      </c>
      <c r="R100" s="141" t="n">
        <f aca="false">Q101</f>
        <v>1608279.50656</v>
      </c>
      <c r="S100" s="141" t="n">
        <f aca="false">R101</f>
        <v>1641482.21312</v>
      </c>
      <c r="T100" s="141" t="n">
        <f aca="false">S101</f>
        <v>1675413.7696</v>
      </c>
      <c r="U100" s="141" t="n">
        <f aca="false">T101</f>
        <v>1739394.0512</v>
      </c>
      <c r="V100" s="141" t="n">
        <f aca="false">U101</f>
        <v>1802674.17024</v>
      </c>
      <c r="W100" s="141" t="n">
        <f aca="false">V101</f>
        <v>1865254.12672</v>
      </c>
      <c r="X100" s="109"/>
    </row>
    <row r="101" customFormat="false" ht="15.75" hidden="false" customHeight="true" outlineLevel="0" collapsed="false">
      <c r="B101" s="140" t="s">
        <v>162</v>
      </c>
      <c r="C101" s="141" t="n">
        <v>0</v>
      </c>
      <c r="D101" s="141" t="n">
        <f aca="false">D99+D100</f>
        <v>1451914.384</v>
      </c>
      <c r="E101" s="141" t="n">
        <f aca="false">E99+E100</f>
        <v>1263208.5216</v>
      </c>
      <c r="F101" s="141" t="n">
        <f aca="false">F99+F100</f>
        <v>1284176.22912</v>
      </c>
      <c r="G101" s="141" t="n">
        <f aca="false">G99+G100</f>
        <v>1305872.78656</v>
      </c>
      <c r="H101" s="141" t="n">
        <f aca="false">H99+H100</f>
        <v>1328298.19392</v>
      </c>
      <c r="I101" s="141" t="n">
        <f aca="false">I99+I100</f>
        <v>1351452.4512</v>
      </c>
      <c r="J101" s="141" t="n">
        <f aca="false">J99+J100</f>
        <v>1375335.5584</v>
      </c>
      <c r="K101" s="141" t="n">
        <f aca="false">K99+K100</f>
        <v>1399947.51552</v>
      </c>
      <c r="L101" s="141" t="n">
        <f aca="false">L99+L100</f>
        <v>1425288.32256</v>
      </c>
      <c r="M101" s="141" t="n">
        <f aca="false">M99+M100</f>
        <v>1451357.97952</v>
      </c>
      <c r="N101" s="141" t="n">
        <f aca="false">N99+N100</f>
        <v>1513044.4864</v>
      </c>
      <c r="O101" s="141" t="n">
        <f aca="false">O99+O100</f>
        <v>1544060.6432</v>
      </c>
      <c r="P101" s="141" t="n">
        <f aca="false">P99+P100</f>
        <v>1575805.64992</v>
      </c>
      <c r="Q101" s="141" t="n">
        <f aca="false">Q99+Q100</f>
        <v>1608279.50656</v>
      </c>
      <c r="R101" s="141" t="n">
        <f aca="false">R99+R100</f>
        <v>1641482.21312</v>
      </c>
      <c r="S101" s="141" t="n">
        <f aca="false">S99+S100</f>
        <v>1675413.7696</v>
      </c>
      <c r="T101" s="141" t="n">
        <f aca="false">T99+T100</f>
        <v>1739394.0512</v>
      </c>
      <c r="U101" s="141" t="n">
        <f aca="false">U99+U100</f>
        <v>1802674.17024</v>
      </c>
      <c r="V101" s="141" t="n">
        <f aca="false">V99+V100</f>
        <v>1865254.12672</v>
      </c>
      <c r="W101" s="141" t="n">
        <f aca="false">W99+W100</f>
        <v>1927133.92064</v>
      </c>
      <c r="X101" s="109"/>
    </row>
    <row r="102" customFormat="false" ht="15.75" hidden="false" customHeight="true" outlineLevel="0" collapsed="false">
      <c r="B102" s="140"/>
      <c r="C102" s="140"/>
      <c r="D102" s="140"/>
      <c r="E102" s="140"/>
      <c r="F102" s="140"/>
      <c r="G102" s="140"/>
      <c r="H102" s="140"/>
      <c r="I102" s="140"/>
      <c r="J102" s="140"/>
      <c r="K102" s="140"/>
      <c r="L102" s="140"/>
      <c r="M102" s="140"/>
      <c r="N102" s="140"/>
      <c r="O102" s="140"/>
      <c r="P102" s="140"/>
      <c r="Q102" s="140"/>
      <c r="R102" s="140"/>
      <c r="S102" s="140"/>
      <c r="T102" s="140"/>
      <c r="U102" s="140"/>
      <c r="V102" s="140"/>
      <c r="W102" s="140"/>
      <c r="X102" s="140"/>
    </row>
    <row r="103" customFormat="false" ht="15.75" hidden="false" customHeight="true" outlineLevel="0" collapsed="false">
      <c r="B103" s="140"/>
      <c r="C103" s="140"/>
      <c r="D103" s="140"/>
      <c r="E103" s="140"/>
      <c r="F103" s="145"/>
      <c r="G103" s="140"/>
      <c r="H103" s="140"/>
      <c r="I103" s="140"/>
      <c r="J103" s="140"/>
      <c r="K103" s="140"/>
      <c r="L103" s="140"/>
      <c r="M103" s="140"/>
      <c r="N103" s="140"/>
      <c r="O103" s="140"/>
      <c r="P103" s="140"/>
      <c r="Q103" s="140"/>
      <c r="R103" s="140"/>
      <c r="S103" s="140"/>
      <c r="T103" s="140"/>
      <c r="U103" s="140"/>
      <c r="V103" s="140"/>
      <c r="W103" s="140"/>
      <c r="X103" s="140"/>
    </row>
    <row r="104" customFormat="false" ht="15.75" hidden="false" customHeight="true" outlineLevel="0" collapsed="false">
      <c r="B104" s="156" t="s">
        <v>163</v>
      </c>
      <c r="C104" s="157"/>
      <c r="D104" s="158" t="n">
        <f aca="false">-D94</f>
        <v>-2616600</v>
      </c>
      <c r="E104" s="144" t="n">
        <f aca="false">-E95-E96</f>
        <v>717987.9456</v>
      </c>
      <c r="F104" s="144" t="n">
        <f aca="false">-F95-F96</f>
        <v>515602.87488</v>
      </c>
      <c r="G104" s="144" t="n">
        <f aca="false">-G95-G96</f>
        <v>522162.52416</v>
      </c>
      <c r="H104" s="144" t="n">
        <f aca="false">-H95-H96</f>
        <v>528722.17344</v>
      </c>
      <c r="I104" s="144" t="n">
        <f aca="false">-I95-I96</f>
        <v>535281.82272</v>
      </c>
      <c r="J104" s="144" t="n">
        <f aca="false">-J95-J96</f>
        <v>541841.472</v>
      </c>
      <c r="K104" s="144" t="n">
        <f aca="false">-K95-K96</f>
        <v>548401.12128</v>
      </c>
      <c r="L104" s="144" t="n">
        <f aca="false">-L95-L96</f>
        <v>554960.77056</v>
      </c>
      <c r="M104" s="144" t="n">
        <f aca="false">-M95-M96</f>
        <v>561520.41984</v>
      </c>
      <c r="N104" s="144" t="n">
        <f aca="false">-N95-N96</f>
        <v>568080.06912</v>
      </c>
      <c r="O104" s="144" t="n">
        <f aca="false">-O95-O96</f>
        <v>606038.9184</v>
      </c>
      <c r="P104" s="144" t="n">
        <f aca="false">-P95-P96</f>
        <v>612598.56768</v>
      </c>
      <c r="Q104" s="144" t="n">
        <f aca="false">-Q95-Q96</f>
        <v>619158.21696</v>
      </c>
      <c r="R104" s="144" t="n">
        <f aca="false">-R95-R96</f>
        <v>625717.86624</v>
      </c>
      <c r="S104" s="144" t="n">
        <f aca="false">-S95-S96</f>
        <v>632277.51552</v>
      </c>
      <c r="T104" s="144" t="n">
        <f aca="false">-T95-T96</f>
        <v>1292987.1648</v>
      </c>
      <c r="U104" s="144" t="n">
        <f aca="false">-U95-U96</f>
        <v>1286685.70176</v>
      </c>
      <c r="V104" s="144" t="n">
        <f aca="false">-V95-V96</f>
        <v>1280384.23872</v>
      </c>
      <c r="W104" s="144" t="n">
        <f aca="false">-W95-W96</f>
        <v>1274082.77568</v>
      </c>
      <c r="X104" s="144" t="n">
        <f aca="false">-X95-X96</f>
        <v>1927133.92064</v>
      </c>
    </row>
    <row r="105" customFormat="false" ht="15.75" hidden="false" customHeight="true" outlineLevel="0" collapsed="false">
      <c r="B105" s="140" t="s">
        <v>75</v>
      </c>
      <c r="C105" s="159" t="n">
        <f aca="false">IRR(D104:X104)</f>
        <v>0.225626093252175</v>
      </c>
      <c r="D105" s="145"/>
      <c r="E105" s="145"/>
      <c r="F105" s="140"/>
      <c r="G105" s="140"/>
      <c r="H105" s="140"/>
      <c r="I105" s="140"/>
      <c r="J105" s="140"/>
      <c r="K105" s="140"/>
      <c r="L105" s="140"/>
      <c r="M105" s="140"/>
      <c r="N105" s="140"/>
      <c r="O105" s="140"/>
      <c r="P105" s="140"/>
      <c r="Q105" s="140"/>
      <c r="R105" s="140"/>
      <c r="S105" s="140"/>
      <c r="T105" s="140"/>
      <c r="U105" s="140"/>
      <c r="V105" s="140"/>
      <c r="W105" s="140"/>
      <c r="X105" s="140"/>
    </row>
    <row r="106" customFormat="false" ht="15.75" hidden="false" customHeight="true" outlineLevel="0" collapsed="false">
      <c r="B106" s="156" t="s">
        <v>164</v>
      </c>
      <c r="C106" s="157"/>
      <c r="D106" s="158" t="n">
        <f aca="false">D85-D94</f>
        <v>-1818835.616</v>
      </c>
      <c r="E106" s="144" t="n">
        <f aca="false">E85</f>
        <v>572892.0832</v>
      </c>
      <c r="F106" s="144" t="n">
        <f aca="false">F85-F96</f>
        <v>580180.5824</v>
      </c>
      <c r="G106" s="144" t="n">
        <f aca="false">G85-G96</f>
        <v>587469.0816</v>
      </c>
      <c r="H106" s="144" t="n">
        <f aca="false">H85-H96</f>
        <v>594757.5808</v>
      </c>
      <c r="I106" s="144" t="n">
        <f aca="false">I85-I96</f>
        <v>602046.08</v>
      </c>
      <c r="J106" s="144" t="n">
        <f aca="false">J85-J96</f>
        <v>609334.5792</v>
      </c>
      <c r="K106" s="144" t="n">
        <f aca="false">K85-K96</f>
        <v>616623.0784</v>
      </c>
      <c r="L106" s="144" t="n">
        <f aca="false">L85-L96</f>
        <v>623911.5776</v>
      </c>
      <c r="M106" s="144" t="n">
        <f aca="false">M85-M96</f>
        <v>631200.0768</v>
      </c>
      <c r="N106" s="144" t="n">
        <f aca="false">N85-N96</f>
        <v>673376.576</v>
      </c>
      <c r="O106" s="144" t="n">
        <f aca="false">O85-O96</f>
        <v>680665.0752</v>
      </c>
      <c r="P106" s="144" t="n">
        <f aca="false">P85-P96</f>
        <v>687953.5744</v>
      </c>
      <c r="Q106" s="144" t="n">
        <f aca="false">Q85-Q96</f>
        <v>695242.0736</v>
      </c>
      <c r="R106" s="144" t="n">
        <f aca="false">R85-R96</f>
        <v>702530.5728</v>
      </c>
      <c r="S106" s="144" t="n">
        <f aca="false">S85-S96</f>
        <v>709819.072</v>
      </c>
      <c r="T106" s="144" t="n">
        <f aca="false">T85-T96</f>
        <v>1356967.4464</v>
      </c>
      <c r="U106" s="144" t="n">
        <f aca="false">U85-U96</f>
        <v>1349965.8208</v>
      </c>
      <c r="V106" s="144" t="n">
        <f aca="false">V85-V96</f>
        <v>1342964.1952</v>
      </c>
      <c r="W106" s="144" t="n">
        <f aca="false">W85-W96</f>
        <v>1335962.5696</v>
      </c>
      <c r="X106" s="149"/>
    </row>
    <row r="107" customFormat="false" ht="15.75" hidden="false" customHeight="true" outlineLevel="0" collapsed="false">
      <c r="B107" s="156" t="s">
        <v>76</v>
      </c>
      <c r="C107" s="159" t="n">
        <f aca="false">IRR(D106:W106)</f>
        <v>0.329958261754097</v>
      </c>
      <c r="D107" s="145"/>
      <c r="E107" s="145"/>
      <c r="F107" s="140"/>
      <c r="G107" s="140"/>
      <c r="H107" s="140"/>
      <c r="I107" s="140"/>
      <c r="J107" s="140"/>
      <c r="K107" s="140"/>
      <c r="L107" s="140"/>
      <c r="M107" s="140"/>
      <c r="N107" s="140"/>
      <c r="O107" s="140"/>
      <c r="P107" s="140"/>
      <c r="Q107" s="140"/>
      <c r="R107" s="140"/>
      <c r="S107" s="140"/>
      <c r="T107" s="140"/>
      <c r="U107" s="140"/>
      <c r="V107" s="140"/>
      <c r="W107" s="140"/>
      <c r="X107" s="140"/>
    </row>
    <row r="108" customFormat="false" ht="15.75" hidden="false" customHeight="true" outlineLevel="0" collapsed="false">
      <c r="B108" s="140"/>
      <c r="C108" s="140"/>
      <c r="D108" s="140"/>
      <c r="E108" s="140"/>
      <c r="F108" s="140"/>
      <c r="G108" s="140"/>
      <c r="H108" s="140"/>
      <c r="I108" s="140"/>
      <c r="J108" s="140"/>
      <c r="K108" s="140"/>
      <c r="L108" s="140"/>
      <c r="M108" s="140"/>
      <c r="N108" s="140"/>
      <c r="O108" s="140"/>
      <c r="P108" s="140"/>
      <c r="Q108" s="140"/>
      <c r="R108" s="140"/>
      <c r="S108" s="140"/>
      <c r="T108" s="140"/>
      <c r="U108" s="140"/>
      <c r="V108" s="140"/>
      <c r="W108" s="140"/>
      <c r="X108" s="140"/>
    </row>
    <row r="109" customFormat="false" ht="15.75" hidden="false" customHeight="true" outlineLevel="0" collapsed="false">
      <c r="B109" s="140" t="s">
        <v>165</v>
      </c>
      <c r="C109" s="141" t="n">
        <v>0</v>
      </c>
      <c r="D109" s="141" t="n">
        <f aca="false">D92</f>
        <v>10466400</v>
      </c>
      <c r="E109" s="141" t="n">
        <f aca="false">D109+E93</f>
        <v>9768640</v>
      </c>
      <c r="F109" s="141" t="n">
        <f aca="false">E109+F93</f>
        <v>9070880</v>
      </c>
      <c r="G109" s="141" t="n">
        <f aca="false">F109+G93</f>
        <v>8373120</v>
      </c>
      <c r="H109" s="141" t="n">
        <f aca="false">G109+H93</f>
        <v>7675360</v>
      </c>
      <c r="I109" s="141" t="n">
        <f aca="false">H109+I93</f>
        <v>6977600</v>
      </c>
      <c r="J109" s="141" t="n">
        <f aca="false">I109+J93</f>
        <v>6279840</v>
      </c>
      <c r="K109" s="141" t="n">
        <f aca="false">J109+K93</f>
        <v>5582080</v>
      </c>
      <c r="L109" s="141" t="n">
        <f aca="false">K109+L93</f>
        <v>4884320</v>
      </c>
      <c r="M109" s="141" t="n">
        <f aca="false">L109+M93</f>
        <v>4186560</v>
      </c>
      <c r="N109" s="141" t="n">
        <f aca="false">M109+N93</f>
        <v>3488800</v>
      </c>
      <c r="O109" s="141" t="n">
        <f aca="false">N109+O93</f>
        <v>2791040</v>
      </c>
      <c r="P109" s="141" t="n">
        <f aca="false">O109+P93</f>
        <v>2093280</v>
      </c>
      <c r="Q109" s="141" t="n">
        <f aca="false">P109+Q93</f>
        <v>1395520</v>
      </c>
      <c r="R109" s="141" t="n">
        <f aca="false">Q109+R93</f>
        <v>697760</v>
      </c>
      <c r="S109" s="141" t="n">
        <f aca="false">R109+S93</f>
        <v>0</v>
      </c>
      <c r="T109" s="141" t="n">
        <f aca="false">S109+T93</f>
        <v>0</v>
      </c>
      <c r="U109" s="141" t="n">
        <f aca="false">T109+U93</f>
        <v>0</v>
      </c>
      <c r="V109" s="141" t="n">
        <f aca="false">U109+V93</f>
        <v>0</v>
      </c>
      <c r="W109" s="141" t="n">
        <f aca="false">V109+W93</f>
        <v>0</v>
      </c>
      <c r="X109" s="145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AJ10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304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4"/>
    <col collapsed="false" customWidth="true" hidden="false" outlineLevel="0" max="3" min="3" style="0" width="27"/>
    <col collapsed="false" customWidth="true" hidden="false" outlineLevel="0" max="5" min="4" style="0" width="37"/>
    <col collapsed="false" customWidth="true" hidden="false" outlineLevel="0" max="6" min="6" style="0" width="50"/>
    <col collapsed="false" customWidth="true" hidden="false" outlineLevel="0" max="12" min="7" style="0" width="37"/>
    <col collapsed="false" customWidth="true" hidden="false" outlineLevel="0" max="13" min="13" style="0" width="50"/>
    <col collapsed="false" customWidth="true" hidden="false" outlineLevel="0" max="23" min="14" style="0" width="37"/>
    <col collapsed="false" customWidth="true" hidden="false" outlineLevel="0" max="24" min="24" style="0" width="30"/>
    <col collapsed="false" customWidth="true" hidden="false" outlineLevel="0" max="27" min="25" style="0" width="10"/>
    <col collapsed="false" customWidth="true" hidden="false" outlineLevel="0" max="35" min="28" style="0" width="11"/>
    <col collapsed="false" customWidth="true" hidden="false" outlineLevel="0" max="36" min="36" style="0" width="8"/>
    <col collapsed="false" customWidth="true" hidden="false" outlineLevel="0" max="37" min="37" style="0" width="9.14"/>
  </cols>
  <sheetData>
    <row r="1" customFormat="false" ht="22.5" hidden="false" customHeight="true" outlineLevel="0" collapsed="false">
      <c r="B1" s="1" t="s">
        <v>87</v>
      </c>
      <c r="C1" s="35"/>
      <c r="D1" s="35"/>
      <c r="E1" s="36"/>
      <c r="F1" s="2" t="s">
        <v>1</v>
      </c>
      <c r="P1" s="3" t="n">
        <f aca="false">1-D11</f>
        <v>0.99</v>
      </c>
      <c r="Q1" s="3" t="n">
        <f aca="false">P1-$D12</f>
        <v>0.986</v>
      </c>
      <c r="R1" s="3" t="n">
        <f aca="false">Q1-$D12</f>
        <v>0.982</v>
      </c>
      <c r="S1" s="3" t="n">
        <f aca="false">R1-$D12</f>
        <v>0.978</v>
      </c>
      <c r="T1" s="3" t="n">
        <f aca="false">S1-$D12</f>
        <v>0.974</v>
      </c>
      <c r="U1" s="3" t="n">
        <f aca="false">T1-$D12</f>
        <v>0.97</v>
      </c>
      <c r="V1" s="3" t="n">
        <f aca="false">U1-$D12</f>
        <v>0.966</v>
      </c>
      <c r="W1" s="3" t="n">
        <f aca="false">V1-$D12</f>
        <v>0.962</v>
      </c>
      <c r="X1" s="3" t="n">
        <f aca="false">W1-$D12</f>
        <v>0.958</v>
      </c>
      <c r="Y1" s="3" t="n">
        <f aca="false">X1-$D12</f>
        <v>0.954</v>
      </c>
      <c r="Z1" s="3" t="n">
        <f aca="false">Y1-$D12</f>
        <v>0.95</v>
      </c>
      <c r="AA1" s="3" t="n">
        <f aca="false">Z1-$D12</f>
        <v>0.946</v>
      </c>
      <c r="AB1" s="3" t="n">
        <f aca="false">AA1-$D12</f>
        <v>0.942</v>
      </c>
      <c r="AC1" s="3" t="n">
        <f aca="false">AB1-$D12</f>
        <v>0.938</v>
      </c>
      <c r="AD1" s="3" t="n">
        <f aca="false">AC1-$D12</f>
        <v>0.934</v>
      </c>
      <c r="AE1" s="3" t="n">
        <f aca="false">AD1-$D12</f>
        <v>0.93</v>
      </c>
      <c r="AF1" s="3" t="n">
        <f aca="false">AE1-$D12</f>
        <v>0.926</v>
      </c>
      <c r="AG1" s="3" t="n">
        <f aca="false">AF1-$D12</f>
        <v>0.922</v>
      </c>
      <c r="AH1" s="3" t="n">
        <f aca="false">AG1-$D12</f>
        <v>0.918</v>
      </c>
      <c r="AI1" s="3" t="n">
        <f aca="false">AH1-$D12</f>
        <v>0.914</v>
      </c>
    </row>
    <row r="2" customFormat="false" ht="21.75" hidden="false" customHeight="true" outlineLevel="0" collapsed="false">
      <c r="B2" s="37" t="s">
        <v>2</v>
      </c>
      <c r="C2" s="38" t="s">
        <v>3</v>
      </c>
      <c r="D2" s="6" t="s">
        <v>4</v>
      </c>
      <c r="E2" s="7" t="s">
        <v>4</v>
      </c>
      <c r="F2" s="39" t="s">
        <v>5</v>
      </c>
    </row>
    <row r="3" customFormat="false" ht="21.75" hidden="false" customHeight="true" outlineLevel="0" collapsed="false">
      <c r="B3" s="40" t="s">
        <v>6</v>
      </c>
      <c r="C3" s="41" t="n">
        <v>20</v>
      </c>
      <c r="D3" s="11" t="s">
        <v>4</v>
      </c>
      <c r="E3" s="12" t="s">
        <v>4</v>
      </c>
      <c r="F3" s="8" t="s">
        <v>88</v>
      </c>
    </row>
    <row r="4" customFormat="false" ht="21.75" hidden="false" customHeight="true" outlineLevel="0" collapsed="false">
      <c r="B4" s="40" t="s">
        <v>89</v>
      </c>
      <c r="C4" s="41" t="n">
        <v>436.1</v>
      </c>
      <c r="D4" s="11" t="s">
        <v>4</v>
      </c>
      <c r="E4" s="12" t="s">
        <v>4</v>
      </c>
      <c r="F4" s="8" t="s">
        <v>90</v>
      </c>
      <c r="M4" s="0" t="s">
        <v>186</v>
      </c>
    </row>
    <row r="5" customFormat="false" ht="22.5" hidden="false" customHeight="true" outlineLevel="0" collapsed="false">
      <c r="B5" s="42" t="s">
        <v>10</v>
      </c>
      <c r="C5" s="41" t="n">
        <v>2020</v>
      </c>
      <c r="D5" s="42" t="s">
        <v>11</v>
      </c>
      <c r="E5" s="43" t="n">
        <v>2039</v>
      </c>
      <c r="F5" s="8" t="s">
        <v>92</v>
      </c>
      <c r="M5" s="0" t="s">
        <v>187</v>
      </c>
    </row>
    <row r="6" customFormat="false" ht="20.25" hidden="false" customHeight="true" outlineLevel="0" collapsed="false">
      <c r="B6" s="13"/>
      <c r="C6" s="13"/>
      <c r="D6" s="13"/>
      <c r="E6" s="13"/>
      <c r="M6" s="0" t="s">
        <v>188</v>
      </c>
    </row>
    <row r="7" customFormat="false" ht="22.5" hidden="false" customHeight="true" outlineLevel="0" collapsed="false">
      <c r="B7" s="1" t="s">
        <v>95</v>
      </c>
      <c r="C7" s="35"/>
      <c r="D7" s="35"/>
      <c r="E7" s="36"/>
      <c r="M7" s="0" t="s">
        <v>189</v>
      </c>
    </row>
    <row r="8" customFormat="false" ht="22.5" hidden="false" customHeight="true" outlineLevel="0" collapsed="false">
      <c r="B8" s="15" t="s">
        <v>14</v>
      </c>
      <c r="E8" s="44"/>
      <c r="M8" s="0" t="s">
        <v>190</v>
      </c>
    </row>
    <row r="9" customFormat="false" ht="22.5" hidden="false" customHeight="true" outlineLevel="0" collapsed="false">
      <c r="B9" s="45" t="s">
        <v>15</v>
      </c>
      <c r="C9" s="46" t="s">
        <v>16</v>
      </c>
      <c r="D9" s="46" t="s">
        <v>17</v>
      </c>
      <c r="E9" s="47" t="s">
        <v>18</v>
      </c>
      <c r="F9" s="2" t="s">
        <v>1</v>
      </c>
      <c r="M9" s="0" t="s">
        <v>98</v>
      </c>
    </row>
    <row r="10" customFormat="false" ht="30" hidden="false" customHeight="true" outlineLevel="0" collapsed="false">
      <c r="B10" s="48" t="s">
        <v>19</v>
      </c>
      <c r="C10" s="49" t="s">
        <v>99</v>
      </c>
      <c r="D10" s="50" t="n">
        <v>547002</v>
      </c>
      <c r="E10" s="21" t="n">
        <v>20</v>
      </c>
      <c r="F10" s="8" t="s">
        <v>100</v>
      </c>
      <c r="M10" s="0" t="s">
        <v>86</v>
      </c>
    </row>
    <row r="11" customFormat="false" ht="30" hidden="false" customHeight="true" outlineLevel="0" collapsed="false">
      <c r="B11" s="51"/>
      <c r="C11" s="42" t="s">
        <v>22</v>
      </c>
      <c r="D11" s="52" t="n">
        <v>0.01</v>
      </c>
      <c r="E11" s="53"/>
      <c r="F11" s="8" t="s">
        <v>102</v>
      </c>
    </row>
    <row r="12" customFormat="false" ht="30" hidden="false" customHeight="true" outlineLevel="0" collapsed="false">
      <c r="B12" s="51"/>
      <c r="C12" s="42" t="s">
        <v>24</v>
      </c>
      <c r="D12" s="54" t="n">
        <v>0.004</v>
      </c>
      <c r="E12" s="53"/>
      <c r="F12" s="8" t="s">
        <v>103</v>
      </c>
    </row>
    <row r="13" customFormat="false" ht="22.5" hidden="false" customHeight="true" outlineLevel="0" collapsed="false">
      <c r="B13" s="51"/>
      <c r="C13" s="55" t="s">
        <v>104</v>
      </c>
      <c r="D13" s="56" t="n">
        <v>4</v>
      </c>
      <c r="E13" s="53"/>
      <c r="F13" s="8" t="s">
        <v>105</v>
      </c>
    </row>
    <row r="14" customFormat="false" ht="22.5" hidden="false" customHeight="true" outlineLevel="0" collapsed="false">
      <c r="B14" s="26" t="s">
        <v>106</v>
      </c>
      <c r="C14" s="35"/>
      <c r="D14" s="35"/>
      <c r="E14" s="36"/>
    </row>
    <row r="15" customFormat="false" ht="22.5" hidden="false" customHeight="true" outlineLevel="0" collapsed="false">
      <c r="B15" s="45" t="s">
        <v>15</v>
      </c>
      <c r="C15" s="46" t="s">
        <v>16</v>
      </c>
      <c r="D15" s="46" t="s">
        <v>17</v>
      </c>
      <c r="E15" s="47" t="s">
        <v>29</v>
      </c>
      <c r="F15" s="2" t="s">
        <v>1</v>
      </c>
    </row>
    <row r="16" customFormat="false" ht="21.75" hidden="false" customHeight="true" outlineLevel="0" collapsed="false">
      <c r="B16" s="49" t="s">
        <v>107</v>
      </c>
      <c r="C16" s="49" t="s">
        <v>108</v>
      </c>
      <c r="D16" s="57" t="n">
        <v>20000</v>
      </c>
      <c r="E16" s="7" t="n">
        <v>20</v>
      </c>
      <c r="F16" s="8" t="s">
        <v>109</v>
      </c>
    </row>
    <row r="17" customFormat="false" ht="21.75" hidden="false" customHeight="true" outlineLevel="0" collapsed="false">
      <c r="B17" s="51"/>
      <c r="C17" s="42" t="s">
        <v>110</v>
      </c>
      <c r="D17" s="58" t="n">
        <v>0.2</v>
      </c>
      <c r="E17" s="53"/>
      <c r="F17" s="8" t="s">
        <v>111</v>
      </c>
    </row>
    <row r="18" customFormat="false" ht="21.75" hidden="false" customHeight="true" outlineLevel="0" collapsed="false">
      <c r="B18" s="59"/>
      <c r="C18" s="42" t="s">
        <v>35</v>
      </c>
      <c r="D18" s="60" t="n">
        <v>2500</v>
      </c>
      <c r="E18" s="61"/>
      <c r="F18" s="8" t="s">
        <v>112</v>
      </c>
    </row>
    <row r="19" customFormat="false" ht="54" hidden="false" customHeight="true" outlineLevel="0" collapsed="false">
      <c r="B19" s="42" t="s">
        <v>37</v>
      </c>
      <c r="C19" s="62" t="s">
        <v>38</v>
      </c>
      <c r="D19" s="58" t="n">
        <v>1</v>
      </c>
      <c r="E19" s="7" t="n">
        <v>20</v>
      </c>
      <c r="F19" s="8" t="s">
        <v>113</v>
      </c>
    </row>
    <row r="20" customFormat="false" ht="20.25" hidden="false" customHeight="true" outlineLevel="0" collapsed="false">
      <c r="B20" s="51"/>
      <c r="C20" s="63" t="s">
        <v>114</v>
      </c>
      <c r="D20" s="60" t="n">
        <v>290201</v>
      </c>
      <c r="E20" s="7" t="n">
        <v>20</v>
      </c>
      <c r="F20" s="8" t="s">
        <v>115</v>
      </c>
    </row>
    <row r="21" customFormat="false" ht="30" hidden="false" customHeight="true" outlineLevel="0" collapsed="false">
      <c r="B21" s="59"/>
      <c r="C21" s="42" t="s">
        <v>116</v>
      </c>
      <c r="D21" s="58" t="n">
        <v>0</v>
      </c>
      <c r="E21" s="12" t="n">
        <v>20</v>
      </c>
      <c r="F21" s="8" t="s">
        <v>117</v>
      </c>
    </row>
    <row r="22" customFormat="false" ht="30" hidden="false" customHeight="true" outlineLevel="0" collapsed="false">
      <c r="B22" s="42" t="s">
        <v>44</v>
      </c>
      <c r="C22" s="42" t="s">
        <v>118</v>
      </c>
      <c r="D22" s="64" t="n">
        <v>400</v>
      </c>
      <c r="E22" s="12" t="n">
        <v>20</v>
      </c>
      <c r="F22" s="8" t="s">
        <v>119</v>
      </c>
    </row>
    <row r="23" customFormat="false" ht="30" hidden="false" customHeight="true" outlineLevel="0" collapsed="false">
      <c r="B23" s="42" t="s">
        <v>47</v>
      </c>
      <c r="C23" s="42" t="s">
        <v>48</v>
      </c>
      <c r="D23" s="58" t="n">
        <v>0.003</v>
      </c>
      <c r="E23" s="12" t="n">
        <v>20</v>
      </c>
      <c r="F23" s="8" t="s">
        <v>120</v>
      </c>
    </row>
    <row r="24" customFormat="false" ht="30" hidden="false" customHeight="true" outlineLevel="0" collapsed="false">
      <c r="B24" s="42" t="s">
        <v>50</v>
      </c>
      <c r="C24" s="42" t="s">
        <v>121</v>
      </c>
      <c r="D24" s="64" t="n">
        <v>1000</v>
      </c>
      <c r="E24" s="31" t="n">
        <v>10</v>
      </c>
      <c r="F24" s="8" t="s">
        <v>122</v>
      </c>
    </row>
    <row r="25" customFormat="false" ht="30" hidden="false" customHeight="true" outlineLevel="0" collapsed="false">
      <c r="B25" s="42" t="s">
        <v>53</v>
      </c>
      <c r="C25" s="42" t="s">
        <v>54</v>
      </c>
      <c r="D25" s="65" t="n">
        <v>0.0256</v>
      </c>
      <c r="E25" s="12" t="n">
        <v>20</v>
      </c>
      <c r="F25" s="8" t="s">
        <v>123</v>
      </c>
    </row>
    <row r="26" customFormat="false" ht="30" hidden="false" customHeight="true" outlineLevel="0" collapsed="false">
      <c r="B26" s="42" t="s">
        <v>56</v>
      </c>
      <c r="C26" s="42" t="s">
        <v>57</v>
      </c>
      <c r="D26" s="58" t="n">
        <v>0.2</v>
      </c>
      <c r="E26" s="12" t="n">
        <v>20</v>
      </c>
      <c r="F26" s="8" t="s">
        <v>124</v>
      </c>
    </row>
    <row r="27" customFormat="false" ht="20.25" hidden="false" customHeight="true" outlineLevel="0" collapsed="false">
      <c r="B27" s="13"/>
      <c r="C27" s="13"/>
      <c r="D27" s="13"/>
      <c r="E27" s="13"/>
    </row>
    <row r="28" customFormat="false" ht="20.25" hidden="false" customHeight="true" outlineLevel="0" collapsed="false">
      <c r="B28" s="13"/>
      <c r="C28" s="13"/>
      <c r="D28" s="13"/>
      <c r="E28" s="13"/>
    </row>
    <row r="29" customFormat="false" ht="22.5" hidden="false" customHeight="true" outlineLevel="0" collapsed="false">
      <c r="B29" s="1" t="s">
        <v>125</v>
      </c>
      <c r="C29" s="35"/>
      <c r="D29" s="36"/>
      <c r="E29" s="13"/>
    </row>
    <row r="30" customFormat="false" ht="22.5" hidden="false" customHeight="true" outlineLevel="0" collapsed="false">
      <c r="B30" s="45" t="s">
        <v>60</v>
      </c>
      <c r="C30" s="66" t="s">
        <v>16</v>
      </c>
      <c r="D30" s="67" t="s">
        <v>17</v>
      </c>
      <c r="E30" s="13"/>
      <c r="F30" s="2" t="s">
        <v>1</v>
      </c>
    </row>
    <row r="31" customFormat="false" ht="30" hidden="false" customHeight="true" outlineLevel="0" collapsed="false">
      <c r="B31" s="49" t="s">
        <v>61</v>
      </c>
      <c r="C31" s="37" t="s">
        <v>62</v>
      </c>
      <c r="D31" s="68" t="n">
        <v>0.8</v>
      </c>
      <c r="E31" s="13"/>
      <c r="F31" s="8" t="s">
        <v>126</v>
      </c>
    </row>
    <row r="32" customFormat="false" ht="18.75" hidden="false" customHeight="true" outlineLevel="0" collapsed="false">
      <c r="B32" s="49" t="s">
        <v>64</v>
      </c>
      <c r="C32" s="37" t="s">
        <v>65</v>
      </c>
      <c r="D32" s="68" t="n">
        <v>15</v>
      </c>
      <c r="E32" s="13"/>
      <c r="F32" s="8" t="s">
        <v>127</v>
      </c>
    </row>
    <row r="33" customFormat="false" ht="18.75" hidden="false" customHeight="true" outlineLevel="0" collapsed="false">
      <c r="B33" s="42" t="s">
        <v>67</v>
      </c>
      <c r="C33" s="40" t="s">
        <v>68</v>
      </c>
      <c r="D33" s="58" t="n">
        <v>0.9</v>
      </c>
      <c r="E33" s="13"/>
      <c r="F33" s="8" t="s">
        <v>128</v>
      </c>
    </row>
    <row r="34" customFormat="false" ht="30" hidden="false" customHeight="true" outlineLevel="0" collapsed="false">
      <c r="B34" s="42" t="s">
        <v>70</v>
      </c>
      <c r="C34" s="40" t="s">
        <v>65</v>
      </c>
      <c r="D34" s="58" t="n">
        <v>4</v>
      </c>
      <c r="E34" s="13"/>
      <c r="F34" s="8" t="s">
        <v>129</v>
      </c>
    </row>
    <row r="35" customFormat="false" ht="18.75" hidden="false" customHeight="true" outlineLevel="0" collapsed="false"/>
    <row r="36" customFormat="false" ht="18.75" hidden="false" customHeight="true" outlineLevel="0" collapsed="false"/>
    <row r="37" customFormat="false" ht="18.75" hidden="false" customHeight="true" outlineLevel="0" collapsed="false">
      <c r="B37" s="69"/>
      <c r="C37" s="70" t="s">
        <v>130</v>
      </c>
      <c r="D37" s="70" t="n">
        <v>2020</v>
      </c>
      <c r="E37" s="70" t="n">
        <v>2021</v>
      </c>
      <c r="F37" s="70" t="n">
        <v>2022</v>
      </c>
      <c r="G37" s="70" t="n">
        <v>2023</v>
      </c>
      <c r="H37" s="70" t="n">
        <v>2024</v>
      </c>
      <c r="I37" s="70" t="n">
        <v>2025</v>
      </c>
      <c r="J37" s="70" t="n">
        <v>2026</v>
      </c>
      <c r="K37" s="70" t="n">
        <v>2027</v>
      </c>
      <c r="L37" s="70" t="n">
        <v>2028</v>
      </c>
      <c r="M37" s="70" t="n">
        <v>2029</v>
      </c>
      <c r="N37" s="70" t="n">
        <v>2030</v>
      </c>
      <c r="O37" s="70" t="n">
        <v>2031</v>
      </c>
      <c r="P37" s="70" t="n">
        <v>2032</v>
      </c>
      <c r="Q37" s="70" t="n">
        <v>2033</v>
      </c>
      <c r="R37" s="70" t="n">
        <v>2034</v>
      </c>
      <c r="S37" s="70" t="n">
        <v>2035</v>
      </c>
      <c r="T37" s="70" t="n">
        <v>2036</v>
      </c>
      <c r="U37" s="70" t="n">
        <v>2037</v>
      </c>
      <c r="V37" s="70" t="n">
        <v>2038</v>
      </c>
      <c r="W37" s="70" t="n">
        <v>2039</v>
      </c>
      <c r="X37" s="70"/>
    </row>
    <row r="38" customFormat="false" ht="18.75" hidden="false" customHeight="true" outlineLevel="0" collapsed="false">
      <c r="B38" s="71" t="n">
        <v>0</v>
      </c>
      <c r="C38" s="72"/>
      <c r="D38" s="73"/>
      <c r="E38" s="73"/>
      <c r="F38" s="74"/>
      <c r="G38" s="75"/>
      <c r="H38" s="75"/>
      <c r="I38" s="75"/>
      <c r="J38" s="75"/>
      <c r="K38" s="75"/>
      <c r="L38" s="75"/>
      <c r="M38" s="75"/>
      <c r="N38" s="75"/>
      <c r="O38" s="75"/>
      <c r="P38" s="75"/>
      <c r="Q38" s="75"/>
      <c r="R38" s="75"/>
      <c r="S38" s="75"/>
      <c r="T38" s="76"/>
      <c r="U38" s="75"/>
      <c r="V38" s="75"/>
      <c r="W38" s="75"/>
      <c r="X38" s="77"/>
    </row>
    <row r="39" customFormat="false" ht="18.75" hidden="false" customHeight="true" outlineLevel="0" collapsed="false">
      <c r="B39" s="78" t="s">
        <v>131</v>
      </c>
      <c r="C39" s="79" t="n">
        <v>0</v>
      </c>
      <c r="D39" s="80" t="n">
        <v>1</v>
      </c>
      <c r="E39" s="80" t="n">
        <v>2</v>
      </c>
      <c r="F39" s="80" t="n">
        <v>3</v>
      </c>
      <c r="G39" s="80" t="n">
        <v>4</v>
      </c>
      <c r="H39" s="80" t="n">
        <v>5</v>
      </c>
      <c r="I39" s="80" t="n">
        <v>6</v>
      </c>
      <c r="J39" s="80" t="n">
        <v>7</v>
      </c>
      <c r="K39" s="80" t="n">
        <v>8</v>
      </c>
      <c r="L39" s="80" t="n">
        <v>9</v>
      </c>
      <c r="M39" s="80" t="n">
        <v>10</v>
      </c>
      <c r="N39" s="80" t="n">
        <v>11</v>
      </c>
      <c r="O39" s="80" t="n">
        <v>12</v>
      </c>
      <c r="P39" s="80" t="n">
        <v>13</v>
      </c>
      <c r="Q39" s="80" t="n">
        <v>14</v>
      </c>
      <c r="R39" s="80" t="n">
        <v>15</v>
      </c>
      <c r="S39" s="80" t="n">
        <v>16</v>
      </c>
      <c r="T39" s="81" t="n">
        <v>17</v>
      </c>
      <c r="U39" s="80" t="n">
        <v>18</v>
      </c>
      <c r="V39" s="80" t="n">
        <v>19</v>
      </c>
      <c r="W39" s="80" t="n">
        <v>20</v>
      </c>
      <c r="X39" s="82"/>
    </row>
    <row r="40" customFormat="false" ht="18.75" hidden="false" customHeight="true" outlineLevel="0" collapsed="false">
      <c r="B40" s="83" t="s">
        <v>132</v>
      </c>
      <c r="C40" s="84" t="n">
        <v>0</v>
      </c>
      <c r="D40" s="85" t="n">
        <f aca="false">$D$10*P1</f>
        <v>541531.98</v>
      </c>
      <c r="E40" s="85" t="n">
        <f aca="false">$D$10*Q1</f>
        <v>539343.972</v>
      </c>
      <c r="F40" s="85" t="n">
        <f aca="false">$D$10*R1</f>
        <v>537155.964</v>
      </c>
      <c r="G40" s="85" t="n">
        <f aca="false">$D$10*S1</f>
        <v>534967.956</v>
      </c>
      <c r="H40" s="85" t="n">
        <f aca="false">$D$10*T1</f>
        <v>532779.948</v>
      </c>
      <c r="I40" s="85" t="n">
        <f aca="false">$D$10*U1</f>
        <v>530591.94</v>
      </c>
      <c r="J40" s="85" t="n">
        <f aca="false">$D$10*V1</f>
        <v>528403.932</v>
      </c>
      <c r="K40" s="85" t="n">
        <f aca="false">$D$10*W1</f>
        <v>526215.924</v>
      </c>
      <c r="L40" s="85" t="n">
        <f aca="false">$D$10*X1</f>
        <v>524027.916</v>
      </c>
      <c r="M40" s="85" t="n">
        <f aca="false">$D$10*Y1</f>
        <v>521839.908</v>
      </c>
      <c r="N40" s="85" t="n">
        <f aca="false">$D$10*Z1</f>
        <v>519651.9</v>
      </c>
      <c r="O40" s="85" t="n">
        <f aca="false">$D$10*AA1</f>
        <v>517463.892</v>
      </c>
      <c r="P40" s="85" t="n">
        <f aca="false">$D$10*AB1</f>
        <v>515275.884</v>
      </c>
      <c r="Q40" s="85" t="n">
        <f aca="false">$D$10*AC1</f>
        <v>513087.876</v>
      </c>
      <c r="R40" s="85" t="n">
        <f aca="false">$D$10*AD1</f>
        <v>510899.868</v>
      </c>
      <c r="S40" s="85" t="n">
        <f aca="false">$D$10*AE1</f>
        <v>508711.86</v>
      </c>
      <c r="T40" s="85" t="n">
        <f aca="false">$D$10*AF1</f>
        <v>506523.852</v>
      </c>
      <c r="U40" s="85" t="n">
        <f aca="false">$D$10*AG1</f>
        <v>504335.844</v>
      </c>
      <c r="V40" s="85" t="n">
        <f aca="false">$D$10*AH1</f>
        <v>502147.836</v>
      </c>
      <c r="W40" s="85" t="n">
        <f aca="false">$D$10*AI1</f>
        <v>499959.828</v>
      </c>
      <c r="X40" s="86"/>
    </row>
    <row r="41" customFormat="false" ht="18.75" hidden="false" customHeight="true" outlineLevel="0" collapsed="false">
      <c r="B41" s="87" t="s">
        <v>133</v>
      </c>
      <c r="C41" s="88" t="s">
        <v>4</v>
      </c>
      <c r="D41" s="89" t="n">
        <f aca="false">D40*$D$13</f>
        <v>2166127.92</v>
      </c>
      <c r="E41" s="89" t="n">
        <f aca="false">E40*$D$13</f>
        <v>2157375.888</v>
      </c>
      <c r="F41" s="89" t="n">
        <f aca="false">F40*$D$13</f>
        <v>2148623.856</v>
      </c>
      <c r="G41" s="89" t="n">
        <f aca="false">G40*$D$13</f>
        <v>2139871.824</v>
      </c>
      <c r="H41" s="89" t="n">
        <f aca="false">H40*$D$13</f>
        <v>2131119.792</v>
      </c>
      <c r="I41" s="89" t="n">
        <f aca="false">I40*$D$13</f>
        <v>2122367.76</v>
      </c>
      <c r="J41" s="89" t="n">
        <f aca="false">J40*$D$13</f>
        <v>2113615.728</v>
      </c>
      <c r="K41" s="89" t="n">
        <f aca="false">K40*$D$13</f>
        <v>2104863.696</v>
      </c>
      <c r="L41" s="89" t="n">
        <f aca="false">L40*$D$13</f>
        <v>2096111.664</v>
      </c>
      <c r="M41" s="89" t="n">
        <f aca="false">M40*$D$13</f>
        <v>2087359.632</v>
      </c>
      <c r="N41" s="89" t="n">
        <f aca="false">N40*$D$13</f>
        <v>2078607.6</v>
      </c>
      <c r="O41" s="89" t="n">
        <f aca="false">O40*$D$13</f>
        <v>2069855.568</v>
      </c>
      <c r="P41" s="89" t="n">
        <f aca="false">P40*$D$13</f>
        <v>2061103.536</v>
      </c>
      <c r="Q41" s="89" t="n">
        <f aca="false">Q40*$D$13</f>
        <v>2052351.504</v>
      </c>
      <c r="R41" s="89" t="n">
        <f aca="false">R40*$D$13</f>
        <v>2043599.472</v>
      </c>
      <c r="S41" s="89" t="n">
        <f aca="false">S40*$D$13</f>
        <v>2034847.44</v>
      </c>
      <c r="T41" s="89" t="n">
        <f aca="false">T40*$D$13</f>
        <v>2026095.408</v>
      </c>
      <c r="U41" s="89" t="n">
        <f aca="false">U40*$D$13</f>
        <v>2017343.376</v>
      </c>
      <c r="V41" s="89" t="n">
        <f aca="false">V40*$D$13</f>
        <v>2008591.344</v>
      </c>
      <c r="W41" s="89" t="n">
        <f aca="false">W40*$D$13</f>
        <v>1999839.312</v>
      </c>
      <c r="X41" s="90"/>
    </row>
    <row r="42" customFormat="false" ht="18.75" hidden="false" customHeight="true" outlineLevel="0" collapsed="false">
      <c r="B42" s="91" t="s">
        <v>134</v>
      </c>
      <c r="C42" s="92" t="s">
        <v>4</v>
      </c>
      <c r="D42" s="93"/>
      <c r="E42" s="93"/>
      <c r="F42" s="93"/>
      <c r="G42" s="94" t="s">
        <v>4</v>
      </c>
      <c r="H42" s="94" t="s">
        <v>4</v>
      </c>
      <c r="I42" s="94" t="s">
        <v>4</v>
      </c>
      <c r="J42" s="94" t="s">
        <v>4</v>
      </c>
      <c r="K42" s="94" t="s">
        <v>4</v>
      </c>
      <c r="L42" s="94" t="s">
        <v>4</v>
      </c>
      <c r="M42" s="94" t="s">
        <v>4</v>
      </c>
      <c r="N42" s="94" t="s">
        <v>4</v>
      </c>
      <c r="O42" s="94" t="s">
        <v>4</v>
      </c>
      <c r="P42" s="94" t="s">
        <v>4</v>
      </c>
      <c r="Q42" s="94" t="s">
        <v>4</v>
      </c>
      <c r="R42" s="94" t="s">
        <v>4</v>
      </c>
      <c r="S42" s="94" t="s">
        <v>4</v>
      </c>
      <c r="T42" s="94" t="s">
        <v>4</v>
      </c>
      <c r="U42" s="94" t="s">
        <v>4</v>
      </c>
      <c r="V42" s="94" t="s">
        <v>4</v>
      </c>
      <c r="W42" s="94" t="s">
        <v>4</v>
      </c>
      <c r="X42" s="95"/>
    </row>
    <row r="43" customFormat="false" ht="18.75" hidden="false" customHeight="true" outlineLevel="0" collapsed="false">
      <c r="B43" s="96" t="s">
        <v>135</v>
      </c>
      <c r="C43" s="97"/>
      <c r="D43" s="98"/>
      <c r="E43" s="98"/>
      <c r="F43" s="98"/>
      <c r="G43" s="98"/>
      <c r="H43" s="98"/>
      <c r="I43" s="98"/>
      <c r="J43" s="98"/>
      <c r="K43" s="98"/>
      <c r="L43" s="98"/>
      <c r="M43" s="98"/>
      <c r="N43" s="98"/>
      <c r="O43" s="98"/>
      <c r="P43" s="98"/>
      <c r="Q43" s="98"/>
      <c r="R43" s="98"/>
      <c r="S43" s="98"/>
      <c r="T43" s="98"/>
      <c r="U43" s="98"/>
      <c r="V43" s="98"/>
      <c r="W43" s="98"/>
      <c r="X43" s="99"/>
    </row>
    <row r="44" customFormat="false" ht="18.75" hidden="false" customHeight="true" outlineLevel="0" collapsed="false">
      <c r="B44" s="100" t="s">
        <v>136</v>
      </c>
      <c r="C44" s="101" t="n">
        <f aca="false">-(D16/(1-D17)+D18)*C4</f>
        <v>-11992750</v>
      </c>
      <c r="D44" s="102"/>
      <c r="E44" s="102"/>
      <c r="F44" s="102"/>
      <c r="G44" s="102"/>
      <c r="H44" s="102"/>
      <c r="I44" s="102"/>
      <c r="J44" s="102"/>
      <c r="K44" s="102"/>
      <c r="L44" s="102"/>
      <c r="M44" s="102"/>
      <c r="N44" s="102"/>
      <c r="O44" s="102"/>
      <c r="P44" s="102"/>
      <c r="Q44" s="102"/>
      <c r="R44" s="102"/>
      <c r="S44" s="102"/>
      <c r="T44" s="102"/>
      <c r="U44" s="102"/>
      <c r="V44" s="102"/>
      <c r="W44" s="102"/>
      <c r="X44" s="102"/>
    </row>
    <row r="45" customFormat="false" ht="18.75" hidden="false" customHeight="true" outlineLevel="0" collapsed="false">
      <c r="B45" s="100" t="s">
        <v>137</v>
      </c>
      <c r="C45" s="92" t="s">
        <v>4</v>
      </c>
      <c r="D45" s="102" t="n">
        <v>-290201</v>
      </c>
      <c r="E45" s="102" t="n">
        <v>-290201</v>
      </c>
      <c r="F45" s="102" t="n">
        <v>-290201</v>
      </c>
      <c r="G45" s="102" t="n">
        <v>-290201</v>
      </c>
      <c r="H45" s="102" t="n">
        <v>-290201</v>
      </c>
      <c r="I45" s="102" t="n">
        <v>-290201</v>
      </c>
      <c r="J45" s="102" t="n">
        <v>-290201</v>
      </c>
      <c r="K45" s="102" t="n">
        <v>-290201</v>
      </c>
      <c r="L45" s="102" t="n">
        <v>-290201</v>
      </c>
      <c r="M45" s="102" t="n">
        <v>-290201</v>
      </c>
      <c r="N45" s="102" t="n">
        <v>-290201</v>
      </c>
      <c r="O45" s="102" t="n">
        <v>-290201</v>
      </c>
      <c r="P45" s="102" t="n">
        <v>-290201</v>
      </c>
      <c r="Q45" s="102" t="n">
        <v>-290201</v>
      </c>
      <c r="R45" s="102" t="n">
        <v>-290201</v>
      </c>
      <c r="S45" s="102" t="n">
        <v>-290201</v>
      </c>
      <c r="T45" s="102" t="n">
        <v>-290201</v>
      </c>
      <c r="U45" s="102" t="n">
        <v>-290201</v>
      </c>
      <c r="V45" s="102" t="n">
        <v>-290201</v>
      </c>
      <c r="W45" s="102" t="n">
        <v>-290201</v>
      </c>
      <c r="X45" s="102"/>
    </row>
    <row r="46" customFormat="false" ht="18.75" hidden="false" customHeight="true" outlineLevel="0" collapsed="false">
      <c r="B46" s="100" t="s">
        <v>138</v>
      </c>
      <c r="C46" s="92"/>
      <c r="D46" s="102"/>
      <c r="E46" s="102"/>
      <c r="F46" s="102"/>
      <c r="G46" s="102"/>
      <c r="H46" s="102"/>
      <c r="I46" s="102"/>
      <c r="J46" s="102"/>
      <c r="K46" s="102"/>
      <c r="L46" s="102"/>
      <c r="M46" s="102"/>
      <c r="N46" s="102"/>
      <c r="O46" s="102"/>
      <c r="P46" s="102"/>
      <c r="Q46" s="102"/>
      <c r="R46" s="102"/>
      <c r="S46" s="102"/>
      <c r="T46" s="102"/>
      <c r="U46" s="102"/>
      <c r="V46" s="102"/>
      <c r="W46" s="102"/>
      <c r="X46" s="102"/>
    </row>
    <row r="47" customFormat="false" ht="18.75" hidden="false" customHeight="true" outlineLevel="0" collapsed="false">
      <c r="B47" s="100" t="s">
        <v>139</v>
      </c>
      <c r="C47" s="92" t="s">
        <v>4</v>
      </c>
      <c r="D47" s="102"/>
      <c r="E47" s="102"/>
      <c r="F47" s="102"/>
      <c r="G47" s="102"/>
      <c r="H47" s="102"/>
      <c r="I47" s="102"/>
      <c r="J47" s="102"/>
      <c r="K47" s="102"/>
      <c r="L47" s="102"/>
      <c r="M47" s="102"/>
      <c r="N47" s="102"/>
      <c r="O47" s="102"/>
      <c r="P47" s="102"/>
      <c r="Q47" s="102"/>
      <c r="R47" s="102"/>
      <c r="S47" s="102"/>
      <c r="T47" s="102"/>
      <c r="U47" s="102"/>
      <c r="V47" s="102"/>
      <c r="W47" s="102"/>
      <c r="X47" s="102"/>
    </row>
    <row r="48" customFormat="false" ht="18.75" hidden="false" customHeight="true" outlineLevel="0" collapsed="false">
      <c r="B48" s="100" t="s">
        <v>140</v>
      </c>
      <c r="C48" s="92" t="s">
        <v>4</v>
      </c>
      <c r="D48" s="102" t="n">
        <v>-174440</v>
      </c>
      <c r="E48" s="102" t="n">
        <v>-174440</v>
      </c>
      <c r="F48" s="102" t="n">
        <v>-174440</v>
      </c>
      <c r="G48" s="102" t="n">
        <v>-174440</v>
      </c>
      <c r="H48" s="102" t="n">
        <v>-174440</v>
      </c>
      <c r="I48" s="102" t="n">
        <v>-174440</v>
      </c>
      <c r="J48" s="102" t="n">
        <v>-174440</v>
      </c>
      <c r="K48" s="102" t="n">
        <v>-174440</v>
      </c>
      <c r="L48" s="102" t="n">
        <v>-174440</v>
      </c>
      <c r="M48" s="102" t="n">
        <v>-174440</v>
      </c>
      <c r="N48" s="102" t="n">
        <v>-174440</v>
      </c>
      <c r="O48" s="102" t="n">
        <v>-174440</v>
      </c>
      <c r="P48" s="102" t="n">
        <v>-174440</v>
      </c>
      <c r="Q48" s="102" t="n">
        <v>-174440</v>
      </c>
      <c r="R48" s="102" t="n">
        <v>-174440</v>
      </c>
      <c r="S48" s="102" t="n">
        <v>-174440</v>
      </c>
      <c r="T48" s="102" t="n">
        <v>-174440</v>
      </c>
      <c r="U48" s="102" t="n">
        <v>-174440</v>
      </c>
      <c r="V48" s="102" t="n">
        <v>-174440</v>
      </c>
      <c r="W48" s="102" t="n">
        <v>-174440</v>
      </c>
      <c r="X48" s="102"/>
    </row>
    <row r="49" customFormat="false" ht="18.75" hidden="false" customHeight="true" outlineLevel="0" collapsed="false">
      <c r="B49" s="100" t="s">
        <v>141</v>
      </c>
      <c r="C49" s="92" t="s">
        <v>4</v>
      </c>
      <c r="D49" s="102" t="n">
        <v>-26166</v>
      </c>
      <c r="E49" s="102" t="n">
        <v>-26166</v>
      </c>
      <c r="F49" s="102" t="n">
        <v>-26166</v>
      </c>
      <c r="G49" s="102" t="n">
        <v>-26166</v>
      </c>
      <c r="H49" s="102" t="n">
        <v>-26166</v>
      </c>
      <c r="I49" s="102" t="n">
        <v>-26166</v>
      </c>
      <c r="J49" s="102" t="n">
        <v>-26166</v>
      </c>
      <c r="K49" s="102" t="n">
        <v>-26166</v>
      </c>
      <c r="L49" s="102" t="n">
        <v>-26166</v>
      </c>
      <c r="M49" s="102" t="n">
        <v>-26166</v>
      </c>
      <c r="N49" s="102" t="n">
        <v>-26166</v>
      </c>
      <c r="O49" s="102" t="n">
        <v>-26166</v>
      </c>
      <c r="P49" s="102" t="n">
        <v>-26166</v>
      </c>
      <c r="Q49" s="102" t="n">
        <v>-26166</v>
      </c>
      <c r="R49" s="102" t="n">
        <v>-26166</v>
      </c>
      <c r="S49" s="102" t="n">
        <v>-26166</v>
      </c>
      <c r="T49" s="102" t="n">
        <v>-26166</v>
      </c>
      <c r="U49" s="102" t="n">
        <v>-26166</v>
      </c>
      <c r="V49" s="102" t="n">
        <v>-26166</v>
      </c>
      <c r="W49" s="102" t="n">
        <v>-26166</v>
      </c>
      <c r="X49" s="102"/>
    </row>
    <row r="50" customFormat="false" ht="18.75" hidden="false" customHeight="true" outlineLevel="0" collapsed="false">
      <c r="B50" s="100" t="s">
        <v>142</v>
      </c>
      <c r="C50" s="92"/>
      <c r="D50" s="102" t="n">
        <v>-43610</v>
      </c>
      <c r="E50" s="102" t="n">
        <v>-43610</v>
      </c>
      <c r="F50" s="102" t="n">
        <v>-43610</v>
      </c>
      <c r="G50" s="102" t="n">
        <v>-43610</v>
      </c>
      <c r="H50" s="102" t="n">
        <v>-43610</v>
      </c>
      <c r="I50" s="102" t="n">
        <v>-43610</v>
      </c>
      <c r="J50" s="102" t="n">
        <v>-43610</v>
      </c>
      <c r="K50" s="102" t="n">
        <v>-43610</v>
      </c>
      <c r="L50" s="102" t="n">
        <v>-43610</v>
      </c>
      <c r="M50" s="102" t="n">
        <v>-43610</v>
      </c>
      <c r="N50" s="102" t="n">
        <v>0</v>
      </c>
      <c r="O50" s="102" t="n">
        <v>0</v>
      </c>
      <c r="P50" s="102" t="n">
        <v>0</v>
      </c>
      <c r="Q50" s="102" t="n">
        <v>0</v>
      </c>
      <c r="R50" s="102" t="n">
        <v>0</v>
      </c>
      <c r="S50" s="102" t="n">
        <v>0</v>
      </c>
      <c r="T50" s="102" t="n">
        <v>0</v>
      </c>
      <c r="U50" s="102" t="n">
        <v>0</v>
      </c>
      <c r="V50" s="102" t="n">
        <v>0</v>
      </c>
      <c r="W50" s="102" t="n">
        <v>0</v>
      </c>
      <c r="X50" s="102"/>
    </row>
    <row r="51" customFormat="false" ht="18.75" hidden="false" customHeight="true" outlineLevel="0" collapsed="false">
      <c r="B51" s="100" t="s">
        <v>143</v>
      </c>
      <c r="C51" s="103"/>
      <c r="D51" s="102"/>
      <c r="E51" s="102"/>
      <c r="F51" s="102"/>
      <c r="G51" s="102"/>
      <c r="H51" s="102"/>
      <c r="I51" s="102"/>
      <c r="J51" s="102"/>
      <c r="K51" s="102"/>
      <c r="L51" s="102"/>
      <c r="M51" s="102"/>
      <c r="N51" s="102"/>
      <c r="O51" s="102"/>
      <c r="P51" s="102"/>
      <c r="Q51" s="102"/>
      <c r="R51" s="102"/>
      <c r="S51" s="102"/>
      <c r="T51" s="102"/>
      <c r="U51" s="102"/>
      <c r="V51" s="102"/>
      <c r="W51" s="102"/>
      <c r="X51" s="102"/>
    </row>
    <row r="52" customFormat="false" ht="18.75" hidden="false" customHeight="true" outlineLevel="0" collapsed="false">
      <c r="B52" s="100" t="s">
        <v>144</v>
      </c>
      <c r="C52" s="103"/>
      <c r="D52" s="102"/>
      <c r="E52" s="102"/>
      <c r="F52" s="102"/>
      <c r="G52" s="102"/>
      <c r="H52" s="102"/>
      <c r="I52" s="102"/>
      <c r="J52" s="102"/>
      <c r="K52" s="102"/>
      <c r="L52" s="102"/>
      <c r="M52" s="102"/>
      <c r="N52" s="102"/>
      <c r="O52" s="102"/>
      <c r="P52" s="102"/>
      <c r="Q52" s="102"/>
      <c r="R52" s="102"/>
      <c r="S52" s="102"/>
      <c r="T52" s="102"/>
      <c r="U52" s="102"/>
      <c r="V52" s="102"/>
      <c r="W52" s="102"/>
      <c r="X52" s="102"/>
    </row>
    <row r="53" customFormat="false" ht="18.75" hidden="false" customHeight="true" outlineLevel="0" collapsed="false">
      <c r="B53" s="104" t="s">
        <v>145</v>
      </c>
      <c r="C53" s="103"/>
      <c r="D53" s="102"/>
      <c r="E53" s="102"/>
      <c r="F53" s="102"/>
      <c r="G53" s="102"/>
      <c r="H53" s="102"/>
      <c r="I53" s="102"/>
      <c r="J53" s="102"/>
      <c r="K53" s="102"/>
      <c r="L53" s="102"/>
      <c r="M53" s="102"/>
      <c r="N53" s="102"/>
      <c r="O53" s="102"/>
      <c r="P53" s="102"/>
      <c r="Q53" s="102"/>
      <c r="R53" s="102"/>
      <c r="S53" s="102"/>
      <c r="T53" s="102"/>
      <c r="U53" s="102"/>
      <c r="V53" s="102"/>
      <c r="W53" s="102"/>
      <c r="X53" s="102"/>
    </row>
    <row r="54" customFormat="false" ht="18.75" hidden="false" customHeight="true" outlineLevel="0" collapsed="false">
      <c r="B54" s="104" t="s">
        <v>146</v>
      </c>
      <c r="C54" s="103"/>
      <c r="D54" s="102" t="n">
        <f aca="false">-(D64+D67+D68+D71+D72+D73+D74)*0.2</f>
        <v>-264454.884</v>
      </c>
      <c r="E54" s="102" t="n">
        <f aca="false">-(E64+E67+E68+E71+E72+E73+E74)*0.2</f>
        <v>-204664.2776</v>
      </c>
      <c r="F54" s="102" t="n">
        <f aca="false">-(F64+F67+F68+F71+F72+F73+F74)*0.2</f>
        <v>-202913.8712</v>
      </c>
      <c r="G54" s="102" t="n">
        <f aca="false">-(G64+G67+G68+G71+G72+G73+G74)*0.2</f>
        <v>-201163.4648</v>
      </c>
      <c r="H54" s="102" t="n">
        <f aca="false">-(H64+H67+H68+H71+H72+H73+H74)*0.2</f>
        <v>-199413.0584</v>
      </c>
      <c r="I54" s="102" t="n">
        <f aca="false">-(I64+I67+I68+I71+I72+I73+I74)*0.2</f>
        <v>-197662.652</v>
      </c>
      <c r="J54" s="102" t="n">
        <f aca="false">-(J64+J67+J68+J71+J72+J73+J74)*0.2</f>
        <v>-195912.2456</v>
      </c>
      <c r="K54" s="102" t="n">
        <f aca="false">-(K64+K67+K68+K71+K72+K73+K74)*0.2</f>
        <v>-194161.8392</v>
      </c>
      <c r="L54" s="102" t="n">
        <f aca="false">-(L64+L67+L68+L71+L72+L73+L74)*0.2</f>
        <v>-192411.4328</v>
      </c>
      <c r="M54" s="102" t="n">
        <f aca="false">-(M64+M67+M68+M71+M72+M73+M74)*0.2</f>
        <v>-190661.0264</v>
      </c>
      <c r="N54" s="102" t="n">
        <f aca="false">-(N64+N67+N68+N71+N72+N73+N74)*0.2</f>
        <v>-197632.62</v>
      </c>
      <c r="O54" s="102" t="n">
        <f aca="false">-(O64+O67+O68+O71+O72+O73+O74)*0.2</f>
        <v>-195882.2136</v>
      </c>
      <c r="P54" s="102" t="n">
        <f aca="false">-(P64+P67+P68+P71+P72+P73+P74)*0.2</f>
        <v>-194131.8072</v>
      </c>
      <c r="Q54" s="102" t="n">
        <f aca="false">-(Q64+Q67+Q68+Q71+Q72+Q73+Q74)*0.2</f>
        <v>-192381.4008</v>
      </c>
      <c r="R54" s="102" t="n">
        <f aca="false">-(R64+R67+R68+R71+R72+R73+R74)*0.2</f>
        <v>-190630.9944</v>
      </c>
      <c r="S54" s="102" t="n">
        <f aca="false">-(S64+S67+S68+S71+S72+S73+S74)*0.2</f>
        <v>-188880.588</v>
      </c>
      <c r="T54" s="102" t="n">
        <f aca="false">-(T64+T67+T68+T71+T72+T73+T74)*0.2</f>
        <v>-187130.1816</v>
      </c>
      <c r="U54" s="102" t="n">
        <f aca="false">-(U64+U67+U68+U71+U72+U73+U74)*0.2</f>
        <v>-185379.7752</v>
      </c>
      <c r="V54" s="102" t="n">
        <f aca="false">-(V64+V67+V68+V71+V72+V73+V74)*0.2</f>
        <v>-183629.3688</v>
      </c>
      <c r="W54" s="102" t="n">
        <f aca="false">-(W64+W67+W68+W71+W72+W73+W74)*0.2</f>
        <v>-181878.9624</v>
      </c>
      <c r="X54" s="93"/>
    </row>
    <row r="55" customFormat="false" ht="18.75" hidden="false" customHeight="true" outlineLevel="0" collapsed="false">
      <c r="B55" s="105" t="s">
        <v>147</v>
      </c>
      <c r="C55" s="106" t="n">
        <f aca="false">C44</f>
        <v>-11992750</v>
      </c>
      <c r="D55" s="107" t="n">
        <f aca="false">SUM(D41:D54)</f>
        <v>1367256.036</v>
      </c>
      <c r="E55" s="107" t="n">
        <f aca="false">SUM(E41:E54)</f>
        <v>1418294.6104</v>
      </c>
      <c r="F55" s="107" t="n">
        <f aca="false">SUM(F41:F54)</f>
        <v>1411292.9848</v>
      </c>
      <c r="G55" s="107" t="n">
        <f aca="false">SUM(G41:G54)</f>
        <v>1404291.3592</v>
      </c>
      <c r="H55" s="107" t="n">
        <f aca="false">SUM(H41:H54)</f>
        <v>1397289.7336</v>
      </c>
      <c r="I55" s="107" t="n">
        <f aca="false">SUM(I41:I54)</f>
        <v>1390288.108</v>
      </c>
      <c r="J55" s="107" t="n">
        <f aca="false">SUM(J41:J54)</f>
        <v>1383286.4824</v>
      </c>
      <c r="K55" s="107" t="n">
        <f aca="false">SUM(K41:K54)</f>
        <v>1376284.8568</v>
      </c>
      <c r="L55" s="107" t="n">
        <f aca="false">SUM(L41:L54)</f>
        <v>1369283.2312</v>
      </c>
      <c r="M55" s="107" t="n">
        <f aca="false">SUM(M41:M54)</f>
        <v>1362281.6056</v>
      </c>
      <c r="N55" s="107" t="n">
        <f aca="false">SUM(N41:N54)</f>
        <v>1390167.98</v>
      </c>
      <c r="O55" s="107" t="n">
        <f aca="false">SUM(O41:O54)</f>
        <v>1383166.3544</v>
      </c>
      <c r="P55" s="107" t="n">
        <f aca="false">SUM(P41:P54)</f>
        <v>1376164.7288</v>
      </c>
      <c r="Q55" s="107" t="n">
        <f aca="false">SUM(Q41:Q54)</f>
        <v>1369163.1032</v>
      </c>
      <c r="R55" s="107" t="n">
        <f aca="false">SUM(R41:R54)</f>
        <v>1362161.4776</v>
      </c>
      <c r="S55" s="107" t="n">
        <f aca="false">SUM(S41:S54)</f>
        <v>1355159.852</v>
      </c>
      <c r="T55" s="107" t="n">
        <f aca="false">SUM(T41:T54)</f>
        <v>1348158.2264</v>
      </c>
      <c r="U55" s="107" t="n">
        <f aca="false">SUM(U41:U54)</f>
        <v>1341156.6008</v>
      </c>
      <c r="V55" s="107" t="n">
        <f aca="false">SUM(V41:V54)</f>
        <v>1334154.9752</v>
      </c>
      <c r="W55" s="107" t="n">
        <f aca="false">SUM(W41:W54)</f>
        <v>1327153.3496</v>
      </c>
      <c r="X55" s="108"/>
      <c r="Y55" s="109"/>
      <c r="Z55" s="110"/>
      <c r="AA55" s="109"/>
      <c r="AB55" s="109"/>
      <c r="AC55" s="109"/>
      <c r="AD55" s="109"/>
      <c r="AE55" s="109"/>
      <c r="AF55" s="109"/>
      <c r="AG55" s="109"/>
      <c r="AH55" s="109"/>
      <c r="AI55" s="109"/>
      <c r="AJ55" s="109"/>
    </row>
    <row r="56" customFormat="false" ht="18.75" hidden="false" customHeight="true" outlineLevel="0" collapsed="false">
      <c r="B56" s="111" t="s">
        <v>148</v>
      </c>
      <c r="D56" s="112" t="n">
        <f aca="false">C55+D55</f>
        <v>-10625493.964</v>
      </c>
      <c r="E56" s="112" t="n">
        <f aca="false">D56+E55</f>
        <v>-9207199.3536</v>
      </c>
      <c r="F56" s="112" t="n">
        <f aca="false">E56+F55</f>
        <v>-7795906.3688</v>
      </c>
      <c r="G56" s="112" t="n">
        <f aca="false">F56+G55</f>
        <v>-6391615.0096</v>
      </c>
      <c r="H56" s="112" t="n">
        <f aca="false">G56+H55</f>
        <v>-4994325.276</v>
      </c>
      <c r="I56" s="112" t="n">
        <f aca="false">H56+I55</f>
        <v>-3604037.168</v>
      </c>
      <c r="J56" s="112" t="n">
        <f aca="false">I56+J55</f>
        <v>-2220750.6856</v>
      </c>
      <c r="K56" s="112" t="n">
        <f aca="false">J56+K55</f>
        <v>-844465.8288</v>
      </c>
      <c r="L56" s="112" t="n">
        <f aca="false">K56+L55</f>
        <v>524817.4024</v>
      </c>
      <c r="M56" s="112" t="n">
        <f aca="false">L56+M55</f>
        <v>1887099.008</v>
      </c>
      <c r="N56" s="112" t="n">
        <f aca="false">M56+N55</f>
        <v>3277266.988</v>
      </c>
      <c r="O56" s="112" t="n">
        <f aca="false">N56+O55</f>
        <v>4660433.3424</v>
      </c>
      <c r="P56" s="112" t="n">
        <f aca="false">O56+P55</f>
        <v>6036598.0712</v>
      </c>
      <c r="Q56" s="112" t="n">
        <f aca="false">P56+Q55</f>
        <v>7405761.1744</v>
      </c>
      <c r="R56" s="112" t="n">
        <f aca="false">Q56+R55</f>
        <v>8767922.652</v>
      </c>
      <c r="S56" s="112" t="n">
        <f aca="false">R56+S55</f>
        <v>10123082.504</v>
      </c>
      <c r="T56" s="112" t="n">
        <f aca="false">S56+T55</f>
        <v>11471240.7304</v>
      </c>
      <c r="U56" s="112" t="n">
        <f aca="false">T56+U55</f>
        <v>12812397.3312</v>
      </c>
      <c r="V56" s="112" t="n">
        <f aca="false">U56+V55</f>
        <v>14146552.3064</v>
      </c>
      <c r="W56" s="112" t="n">
        <f aca="false">V56+W55</f>
        <v>15473705.656</v>
      </c>
      <c r="X56" s="112" t="n">
        <f aca="false">W56+X55</f>
        <v>15473705.656</v>
      </c>
      <c r="Y56" s="109"/>
      <c r="Z56" s="109"/>
      <c r="AA56" s="109"/>
      <c r="AB56" s="109"/>
      <c r="AC56" s="109"/>
      <c r="AD56" s="109"/>
      <c r="AE56" s="109"/>
      <c r="AF56" s="109"/>
      <c r="AG56" s="109"/>
      <c r="AH56" s="109"/>
      <c r="AI56" s="109"/>
      <c r="AJ56" s="109"/>
    </row>
    <row r="57" customFormat="false" ht="18.75" hidden="false" customHeight="true" outlineLevel="0" collapsed="false">
      <c r="B57" s="113" t="s">
        <v>149</v>
      </c>
      <c r="C57" s="114"/>
      <c r="D57" s="115" t="str">
        <f aca="false">IF((D56)&gt;0,"回收","未回收")</f>
        <v>未回收</v>
      </c>
      <c r="E57" s="116" t="str">
        <f aca="false">IF((E56)&gt;0,"回收","未回收")</f>
        <v>未回收</v>
      </c>
      <c r="F57" s="116" t="str">
        <f aca="false">IF((F56)&gt;0,"回收","未回收")</f>
        <v>未回收</v>
      </c>
      <c r="G57" s="116" t="str">
        <f aca="false">IF((G56)&gt;0,"回收","未回收")</f>
        <v>未回收</v>
      </c>
      <c r="H57" s="116" t="str">
        <f aca="false">IF((H56)&gt;0,"回收","未回收")</f>
        <v>未回收</v>
      </c>
      <c r="I57" s="116" t="str">
        <f aca="false">IF((I56)&gt;0,"回收","未回收")</f>
        <v>未回收</v>
      </c>
      <c r="J57" s="116" t="str">
        <f aca="false">IF((J56)&gt;0,"回收","未回收")</f>
        <v>未回收</v>
      </c>
      <c r="K57" s="116" t="str">
        <f aca="false">IF((K56)&gt;0,"回收","未回收")</f>
        <v>未回收</v>
      </c>
      <c r="L57" s="116" t="str">
        <f aca="false">IF((L56)&gt;0,"回收","未回收")</f>
        <v>回收</v>
      </c>
      <c r="M57" s="116" t="str">
        <f aca="false">IF((M56)&gt;0,"回收","未回收")</f>
        <v>回收</v>
      </c>
      <c r="N57" s="116" t="str">
        <f aca="false">IF((N56)&gt;0,"回收","未回收")</f>
        <v>回收</v>
      </c>
      <c r="O57" s="116" t="str">
        <f aca="false">IF((O56)&gt;0,"回收","未回收")</f>
        <v>回收</v>
      </c>
      <c r="P57" s="116" t="str">
        <f aca="false">IF((P56)&gt;0,"回收","未回收")</f>
        <v>回收</v>
      </c>
      <c r="Q57" s="116" t="str">
        <f aca="false">IF((Q56)&gt;0,"回收","未回收")</f>
        <v>回收</v>
      </c>
      <c r="R57" s="116" t="str">
        <f aca="false">IF((R56)&gt;0,"回收","未回收")</f>
        <v>回收</v>
      </c>
      <c r="S57" s="116" t="str">
        <f aca="false">IF((S56)&gt;0,"回收","未回收")</f>
        <v>回收</v>
      </c>
      <c r="T57" s="116" t="str">
        <f aca="false">IF((T56)&gt;0,"回收","未回收")</f>
        <v>回收</v>
      </c>
      <c r="U57" s="116" t="str">
        <f aca="false">IF((U56)&gt;0,"回收","未回收")</f>
        <v>回收</v>
      </c>
      <c r="V57" s="116" t="str">
        <f aca="false">IF((V56)&gt;0,"回收","未回收")</f>
        <v>回收</v>
      </c>
      <c r="W57" s="116" t="str">
        <f aca="false">IF((W56)&gt;0,"回收","未回收")</f>
        <v>回收</v>
      </c>
      <c r="X57" s="116" t="str">
        <f aca="false">IF((X56)&gt;0,"回收","未回收")</f>
        <v>回收</v>
      </c>
      <c r="Y57" s="109"/>
      <c r="Z57" s="109"/>
      <c r="AA57" s="109"/>
      <c r="AB57" s="109"/>
      <c r="AC57" s="109"/>
      <c r="AD57" s="109"/>
      <c r="AE57" s="109"/>
      <c r="AF57" s="109"/>
      <c r="AG57" s="109"/>
      <c r="AH57" s="109"/>
      <c r="AI57" s="109"/>
      <c r="AJ57" s="109"/>
    </row>
    <row r="58" customFormat="false" ht="18.75" hidden="false" customHeight="true" outlineLevel="0" collapsed="false">
      <c r="B58" s="117" t="s">
        <v>74</v>
      </c>
      <c r="C58" s="118" t="n">
        <f aca="false">IRR(C55:W55)</f>
        <v>0.0973248298144906</v>
      </c>
      <c r="D58" s="119"/>
      <c r="E58" s="119"/>
      <c r="F58" s="120"/>
      <c r="G58" s="120"/>
      <c r="H58" s="120"/>
      <c r="I58" s="120"/>
      <c r="J58" s="120"/>
      <c r="K58" s="120"/>
      <c r="L58" s="120"/>
      <c r="M58" s="120"/>
      <c r="N58" s="120"/>
      <c r="O58" s="120"/>
      <c r="P58" s="120"/>
      <c r="Q58" s="120"/>
      <c r="R58" s="120"/>
      <c r="S58" s="120"/>
      <c r="T58" s="120"/>
      <c r="U58" s="120"/>
      <c r="V58" s="120"/>
      <c r="W58" s="120"/>
      <c r="X58" s="120"/>
      <c r="Y58" s="121"/>
      <c r="Z58" s="121"/>
      <c r="AA58" s="121"/>
      <c r="AB58" s="121"/>
      <c r="AC58" s="121"/>
      <c r="AD58" s="121"/>
      <c r="AE58" s="121"/>
      <c r="AF58" s="121"/>
      <c r="AG58" s="121"/>
      <c r="AH58" s="121"/>
      <c r="AI58" s="121"/>
      <c r="AJ58" s="121"/>
    </row>
    <row r="59" customFormat="false" ht="18.75" hidden="false" customHeight="true" outlineLevel="0" collapsed="false">
      <c r="B59" s="120"/>
      <c r="C59" s="119"/>
      <c r="D59" s="119"/>
      <c r="E59" s="119"/>
      <c r="F59" s="120"/>
      <c r="G59" s="120"/>
      <c r="H59" s="120"/>
      <c r="I59" s="120"/>
      <c r="J59" s="120"/>
      <c r="K59" s="120"/>
      <c r="L59" s="120"/>
      <c r="M59" s="119"/>
      <c r="N59" s="120"/>
      <c r="O59" s="120"/>
      <c r="P59" s="120"/>
      <c r="Q59" s="120"/>
      <c r="R59" s="120"/>
      <c r="S59" s="120"/>
      <c r="T59" s="120"/>
      <c r="U59" s="120"/>
      <c r="V59" s="120"/>
      <c r="W59" s="120"/>
      <c r="X59" s="120"/>
      <c r="Y59" s="121"/>
      <c r="Z59" s="121"/>
      <c r="AA59" s="121"/>
      <c r="AB59" s="121"/>
      <c r="AC59" s="121"/>
      <c r="AD59" s="121"/>
      <c r="AE59" s="121"/>
      <c r="AF59" s="121"/>
      <c r="AG59" s="121"/>
      <c r="AH59" s="121"/>
      <c r="AI59" s="121"/>
      <c r="AJ59" s="121"/>
    </row>
    <row r="60" customFormat="false" ht="18.75" hidden="false" customHeight="true" outlineLevel="0" collapsed="false">
      <c r="B60" s="69"/>
      <c r="C60" s="70" t="s">
        <v>130</v>
      </c>
      <c r="D60" s="70" t="n">
        <f aca="false">D37</f>
        <v>2020</v>
      </c>
      <c r="E60" s="70" t="n">
        <f aca="false">E37</f>
        <v>2021</v>
      </c>
      <c r="F60" s="70" t="n">
        <f aca="false">F37</f>
        <v>2022</v>
      </c>
      <c r="G60" s="70" t="n">
        <f aca="false">G37</f>
        <v>2023</v>
      </c>
      <c r="H60" s="70" t="n">
        <f aca="false">H37</f>
        <v>2024</v>
      </c>
      <c r="I60" s="70" t="n">
        <f aca="false">I37</f>
        <v>2025</v>
      </c>
      <c r="J60" s="70" t="n">
        <f aca="false">J37</f>
        <v>2026</v>
      </c>
      <c r="K60" s="70" t="n">
        <f aca="false">K37</f>
        <v>2027</v>
      </c>
      <c r="L60" s="70" t="n">
        <f aca="false">L37</f>
        <v>2028</v>
      </c>
      <c r="M60" s="70" t="n">
        <f aca="false">M37</f>
        <v>2029</v>
      </c>
      <c r="N60" s="70" t="n">
        <f aca="false">N37</f>
        <v>2030</v>
      </c>
      <c r="O60" s="70" t="n">
        <f aca="false">O37</f>
        <v>2031</v>
      </c>
      <c r="P60" s="70" t="n">
        <f aca="false">P37</f>
        <v>2032</v>
      </c>
      <c r="Q60" s="70" t="n">
        <f aca="false">Q37</f>
        <v>2033</v>
      </c>
      <c r="R60" s="70" t="n">
        <f aca="false">R37</f>
        <v>2034</v>
      </c>
      <c r="S60" s="70" t="n">
        <f aca="false">S37</f>
        <v>2035</v>
      </c>
      <c r="T60" s="70" t="n">
        <f aca="false">T37</f>
        <v>2036</v>
      </c>
      <c r="U60" s="70" t="n">
        <f aca="false">U37</f>
        <v>2037</v>
      </c>
      <c r="V60" s="70" t="n">
        <f aca="false">V37</f>
        <v>2038</v>
      </c>
      <c r="W60" s="70" t="n">
        <f aca="false">W37</f>
        <v>2039</v>
      </c>
      <c r="X60" s="70"/>
      <c r="Y60" s="122"/>
      <c r="Z60" s="122"/>
      <c r="AA60" s="122"/>
      <c r="AB60" s="122"/>
      <c r="AC60" s="122"/>
      <c r="AD60" s="122"/>
      <c r="AE60" s="122"/>
      <c r="AF60" s="122"/>
      <c r="AG60" s="122"/>
      <c r="AH60" s="122"/>
      <c r="AI60" s="122"/>
      <c r="AJ60" s="122"/>
    </row>
    <row r="61" customFormat="false" ht="18.75" hidden="false" customHeight="true" outlineLevel="0" collapsed="false">
      <c r="B61" s="71" t="n">
        <v>0</v>
      </c>
      <c r="C61" s="72"/>
      <c r="D61" s="73"/>
      <c r="E61" s="73"/>
      <c r="F61" s="74"/>
      <c r="G61" s="75"/>
      <c r="H61" s="75"/>
      <c r="I61" s="75"/>
      <c r="J61" s="75"/>
      <c r="K61" s="75"/>
      <c r="L61" s="75"/>
      <c r="M61" s="75"/>
      <c r="N61" s="75"/>
      <c r="O61" s="75"/>
      <c r="P61" s="75"/>
      <c r="Q61" s="75"/>
      <c r="R61" s="75"/>
      <c r="S61" s="75"/>
      <c r="T61" s="123" t="s">
        <v>150</v>
      </c>
      <c r="U61" s="75"/>
      <c r="V61" s="75"/>
      <c r="W61" s="75"/>
      <c r="X61" s="77"/>
    </row>
    <row r="62" customFormat="false" ht="18.75" hidden="false" customHeight="true" outlineLevel="0" collapsed="false">
      <c r="B62" s="78" t="s">
        <v>131</v>
      </c>
      <c r="C62" s="79" t="n">
        <v>0</v>
      </c>
      <c r="D62" s="80" t="n">
        <v>1</v>
      </c>
      <c r="E62" s="80" t="n">
        <v>2</v>
      </c>
      <c r="F62" s="80" t="n">
        <v>3</v>
      </c>
      <c r="G62" s="80" t="n">
        <v>4</v>
      </c>
      <c r="H62" s="80" t="n">
        <v>5</v>
      </c>
      <c r="I62" s="80" t="n">
        <v>6</v>
      </c>
      <c r="J62" s="80" t="n">
        <v>7</v>
      </c>
      <c r="K62" s="80" t="n">
        <v>8</v>
      </c>
      <c r="L62" s="80" t="n">
        <v>9</v>
      </c>
      <c r="M62" s="80" t="n">
        <v>10</v>
      </c>
      <c r="N62" s="80" t="n">
        <v>11</v>
      </c>
      <c r="O62" s="80" t="n">
        <v>12</v>
      </c>
      <c r="P62" s="80" t="n">
        <v>13</v>
      </c>
      <c r="Q62" s="80" t="n">
        <v>14</v>
      </c>
      <c r="R62" s="80" t="n">
        <v>15</v>
      </c>
      <c r="S62" s="80" t="n">
        <v>16</v>
      </c>
      <c r="T62" s="124" t="n">
        <v>17</v>
      </c>
      <c r="U62" s="80" t="n">
        <v>18</v>
      </c>
      <c r="V62" s="80" t="n">
        <v>19</v>
      </c>
      <c r="W62" s="80" t="n">
        <v>20</v>
      </c>
      <c r="X62" s="82"/>
    </row>
    <row r="63" customFormat="false" ht="18.75" hidden="false" customHeight="true" outlineLevel="0" collapsed="false">
      <c r="B63" s="83" t="s">
        <v>132</v>
      </c>
      <c r="C63" s="84" t="n">
        <v>0</v>
      </c>
      <c r="D63" s="85" t="n">
        <f aca="false">D40</f>
        <v>541531.98</v>
      </c>
      <c r="E63" s="85" t="n">
        <f aca="false">E40</f>
        <v>539343.972</v>
      </c>
      <c r="F63" s="85" t="n">
        <f aca="false">F40</f>
        <v>537155.964</v>
      </c>
      <c r="G63" s="85" t="n">
        <f aca="false">G40</f>
        <v>534967.956</v>
      </c>
      <c r="H63" s="85" t="n">
        <f aca="false">H40</f>
        <v>532779.948</v>
      </c>
      <c r="I63" s="85" t="n">
        <f aca="false">I40</f>
        <v>530591.94</v>
      </c>
      <c r="J63" s="85" t="n">
        <f aca="false">J40</f>
        <v>528403.932</v>
      </c>
      <c r="K63" s="85" t="n">
        <f aca="false">K40</f>
        <v>526215.924</v>
      </c>
      <c r="L63" s="85" t="n">
        <f aca="false">L40</f>
        <v>524027.916</v>
      </c>
      <c r="M63" s="85" t="n">
        <f aca="false">M40</f>
        <v>521839.908</v>
      </c>
      <c r="N63" s="85" t="n">
        <f aca="false">N40</f>
        <v>519651.9</v>
      </c>
      <c r="O63" s="85" t="n">
        <f aca="false">O40</f>
        <v>517463.892</v>
      </c>
      <c r="P63" s="85" t="n">
        <f aca="false">P40</f>
        <v>515275.884</v>
      </c>
      <c r="Q63" s="85" t="n">
        <f aca="false">Q40</f>
        <v>513087.876</v>
      </c>
      <c r="R63" s="85" t="n">
        <f aca="false">R40</f>
        <v>510899.868</v>
      </c>
      <c r="S63" s="85" t="n">
        <f aca="false">S40</f>
        <v>508711.86</v>
      </c>
      <c r="T63" s="85" t="n">
        <f aca="false">T40</f>
        <v>506523.852</v>
      </c>
      <c r="U63" s="85" t="n">
        <f aca="false">U40</f>
        <v>504335.844</v>
      </c>
      <c r="V63" s="85" t="n">
        <f aca="false">V40</f>
        <v>502147.836</v>
      </c>
      <c r="W63" s="85" t="n">
        <f aca="false">W40</f>
        <v>499959.828</v>
      </c>
      <c r="X63" s="86"/>
    </row>
    <row r="64" customFormat="false" ht="18.75" hidden="false" customHeight="true" outlineLevel="0" collapsed="false">
      <c r="B64" s="87" t="s">
        <v>133</v>
      </c>
      <c r="C64" s="88" t="s">
        <v>4</v>
      </c>
      <c r="D64" s="89" t="n">
        <f aca="false">D41</f>
        <v>2166127.92</v>
      </c>
      <c r="E64" s="89" t="n">
        <f aca="false">E41</f>
        <v>2157375.888</v>
      </c>
      <c r="F64" s="89" t="n">
        <f aca="false">F41</f>
        <v>2148623.856</v>
      </c>
      <c r="G64" s="89" t="n">
        <f aca="false">G41</f>
        <v>2139871.824</v>
      </c>
      <c r="H64" s="89" t="n">
        <f aca="false">H41</f>
        <v>2131119.792</v>
      </c>
      <c r="I64" s="89" t="n">
        <f aca="false">I41</f>
        <v>2122367.76</v>
      </c>
      <c r="J64" s="89" t="n">
        <f aca="false">J41</f>
        <v>2113615.728</v>
      </c>
      <c r="K64" s="89" t="n">
        <f aca="false">K41</f>
        <v>2104863.696</v>
      </c>
      <c r="L64" s="89" t="n">
        <f aca="false">L41</f>
        <v>2096111.664</v>
      </c>
      <c r="M64" s="89" t="n">
        <f aca="false">M41</f>
        <v>2087359.632</v>
      </c>
      <c r="N64" s="89" t="n">
        <f aca="false">N41</f>
        <v>2078607.6</v>
      </c>
      <c r="O64" s="89" t="n">
        <f aca="false">O41</f>
        <v>2069855.568</v>
      </c>
      <c r="P64" s="89" t="n">
        <f aca="false">P41</f>
        <v>2061103.536</v>
      </c>
      <c r="Q64" s="89" t="n">
        <f aca="false">Q41</f>
        <v>2052351.504</v>
      </c>
      <c r="R64" s="89" t="n">
        <f aca="false">R41</f>
        <v>2043599.472</v>
      </c>
      <c r="S64" s="89" t="n">
        <f aca="false">S41</f>
        <v>2034847.44</v>
      </c>
      <c r="T64" s="89" t="n">
        <f aca="false">T41</f>
        <v>2026095.408</v>
      </c>
      <c r="U64" s="89" t="n">
        <f aca="false">U41</f>
        <v>2017343.376</v>
      </c>
      <c r="V64" s="89" t="n">
        <f aca="false">V41</f>
        <v>2008591.344</v>
      </c>
      <c r="W64" s="89" t="n">
        <f aca="false">W41</f>
        <v>1999839.312</v>
      </c>
      <c r="X64" s="90"/>
    </row>
    <row r="65" customFormat="false" ht="18.75" hidden="false" customHeight="true" outlineLevel="0" collapsed="false">
      <c r="B65" s="91" t="s">
        <v>134</v>
      </c>
      <c r="C65" s="92" t="s">
        <v>4</v>
      </c>
      <c r="D65" s="93"/>
      <c r="E65" s="93"/>
      <c r="F65" s="93"/>
      <c r="G65" s="94" t="s">
        <v>4</v>
      </c>
      <c r="H65" s="94" t="s">
        <v>4</v>
      </c>
      <c r="I65" s="94" t="s">
        <v>4</v>
      </c>
      <c r="J65" s="94" t="s">
        <v>4</v>
      </c>
      <c r="K65" s="94" t="s">
        <v>4</v>
      </c>
      <c r="L65" s="94" t="s">
        <v>4</v>
      </c>
      <c r="M65" s="94" t="s">
        <v>4</v>
      </c>
      <c r="N65" s="94" t="s">
        <v>4</v>
      </c>
      <c r="O65" s="94" t="s">
        <v>4</v>
      </c>
      <c r="P65" s="94" t="s">
        <v>4</v>
      </c>
      <c r="Q65" s="94" t="s">
        <v>4</v>
      </c>
      <c r="R65" s="94" t="s">
        <v>4</v>
      </c>
      <c r="S65" s="94" t="s">
        <v>4</v>
      </c>
      <c r="T65" s="94" t="s">
        <v>4</v>
      </c>
      <c r="U65" s="94" t="s">
        <v>4</v>
      </c>
      <c r="V65" s="94" t="s">
        <v>4</v>
      </c>
      <c r="W65" s="94" t="s">
        <v>4</v>
      </c>
      <c r="X65" s="95"/>
    </row>
    <row r="66" customFormat="false" ht="18.75" hidden="false" customHeight="true" outlineLevel="0" collapsed="false">
      <c r="B66" s="96" t="s">
        <v>135</v>
      </c>
      <c r="C66" s="97"/>
      <c r="D66" s="98"/>
      <c r="E66" s="98"/>
      <c r="F66" s="98"/>
      <c r="G66" s="98"/>
      <c r="H66" s="98"/>
      <c r="I66" s="98"/>
      <c r="J66" s="98"/>
      <c r="K66" s="98"/>
      <c r="L66" s="98"/>
      <c r="M66" s="98"/>
      <c r="N66" s="98"/>
      <c r="O66" s="98"/>
      <c r="P66" s="98"/>
      <c r="Q66" s="98"/>
      <c r="R66" s="98"/>
      <c r="S66" s="98"/>
      <c r="T66" s="98"/>
      <c r="U66" s="98"/>
      <c r="V66" s="98"/>
      <c r="W66" s="98"/>
      <c r="X66" s="99"/>
    </row>
    <row r="67" customFormat="false" ht="18.75" hidden="false" customHeight="true" outlineLevel="0" collapsed="false">
      <c r="B67" s="100" t="s">
        <v>151</v>
      </c>
      <c r="C67" s="92"/>
      <c r="D67" s="125" t="n">
        <f aca="false">$C$44/$E$16</f>
        <v>-599637.5</v>
      </c>
      <c r="E67" s="125" t="n">
        <f aca="false">$C$44/$E$16</f>
        <v>-599637.5</v>
      </c>
      <c r="F67" s="125" t="n">
        <f aca="false">$C$44/$E$16</f>
        <v>-599637.5</v>
      </c>
      <c r="G67" s="125" t="n">
        <f aca="false">$C$44/$E$16</f>
        <v>-599637.5</v>
      </c>
      <c r="H67" s="125" t="n">
        <f aca="false">$C$44/$E$16</f>
        <v>-599637.5</v>
      </c>
      <c r="I67" s="125" t="n">
        <f aca="false">$C$44/$E$16</f>
        <v>-599637.5</v>
      </c>
      <c r="J67" s="125" t="n">
        <f aca="false">$C$44/$E$16</f>
        <v>-599637.5</v>
      </c>
      <c r="K67" s="125" t="n">
        <f aca="false">$C$44/$E$16</f>
        <v>-599637.5</v>
      </c>
      <c r="L67" s="125" t="n">
        <f aca="false">$C$44/$E$16</f>
        <v>-599637.5</v>
      </c>
      <c r="M67" s="125" t="n">
        <f aca="false">$C$44/$E$16</f>
        <v>-599637.5</v>
      </c>
      <c r="N67" s="125" t="n">
        <f aca="false">$C$44/$E$16</f>
        <v>-599637.5</v>
      </c>
      <c r="O67" s="125" t="n">
        <f aca="false">$C$44/$E$16</f>
        <v>-599637.5</v>
      </c>
      <c r="P67" s="125" t="n">
        <f aca="false">$C$44/$E$16</f>
        <v>-599637.5</v>
      </c>
      <c r="Q67" s="125" t="n">
        <f aca="false">$C$44/$E$16</f>
        <v>-599637.5</v>
      </c>
      <c r="R67" s="125" t="n">
        <f aca="false">$C$44/$E$16</f>
        <v>-599637.5</v>
      </c>
      <c r="S67" s="125" t="n">
        <f aca="false">$C$44/$E$16</f>
        <v>-599637.5</v>
      </c>
      <c r="T67" s="125" t="n">
        <f aca="false">$C$44/$E$16</f>
        <v>-599637.5</v>
      </c>
      <c r="U67" s="125" t="n">
        <f aca="false">$C$44/$E$16</f>
        <v>-599637.5</v>
      </c>
      <c r="V67" s="125" t="n">
        <f aca="false">$C$44/$E$16</f>
        <v>-599637.5</v>
      </c>
      <c r="W67" s="125" t="n">
        <f aca="false">$C$44/$E$16</f>
        <v>-599637.5</v>
      </c>
      <c r="X67" s="95"/>
    </row>
    <row r="68" customFormat="false" ht="18.75" hidden="false" customHeight="true" outlineLevel="0" collapsed="false">
      <c r="B68" s="100" t="s">
        <v>137</v>
      </c>
      <c r="C68" s="92" t="s">
        <v>4</v>
      </c>
      <c r="D68" s="102" t="n">
        <f aca="false">D44</f>
        <v>0</v>
      </c>
      <c r="E68" s="102" t="n">
        <f aca="false">E45</f>
        <v>-290201</v>
      </c>
      <c r="F68" s="102" t="n">
        <f aca="false">F45</f>
        <v>-290201</v>
      </c>
      <c r="G68" s="102" t="n">
        <f aca="false">G45</f>
        <v>-290201</v>
      </c>
      <c r="H68" s="102" t="n">
        <f aca="false">H45</f>
        <v>-290201</v>
      </c>
      <c r="I68" s="102" t="n">
        <f aca="false">I45</f>
        <v>-290201</v>
      </c>
      <c r="J68" s="102" t="n">
        <f aca="false">J45</f>
        <v>-290201</v>
      </c>
      <c r="K68" s="102" t="n">
        <f aca="false">K45</f>
        <v>-290201</v>
      </c>
      <c r="L68" s="102" t="n">
        <f aca="false">L45</f>
        <v>-290201</v>
      </c>
      <c r="M68" s="102" t="n">
        <f aca="false">M45</f>
        <v>-290201</v>
      </c>
      <c r="N68" s="102" t="n">
        <f aca="false">N45</f>
        <v>-290201</v>
      </c>
      <c r="O68" s="102" t="n">
        <f aca="false">O45</f>
        <v>-290201</v>
      </c>
      <c r="P68" s="102" t="n">
        <f aca="false">P45</f>
        <v>-290201</v>
      </c>
      <c r="Q68" s="102" t="n">
        <f aca="false">Q45</f>
        <v>-290201</v>
      </c>
      <c r="R68" s="102" t="n">
        <f aca="false">R45</f>
        <v>-290201</v>
      </c>
      <c r="S68" s="102" t="n">
        <f aca="false">S45</f>
        <v>-290201</v>
      </c>
      <c r="T68" s="102" t="n">
        <f aca="false">T45</f>
        <v>-290201</v>
      </c>
      <c r="U68" s="102" t="n">
        <f aca="false">U45</f>
        <v>-290201</v>
      </c>
      <c r="V68" s="102" t="n">
        <f aca="false">V45</f>
        <v>-290201</v>
      </c>
      <c r="W68" s="102" t="n">
        <f aca="false">W45</f>
        <v>-290201</v>
      </c>
      <c r="X68" s="95"/>
    </row>
    <row r="69" customFormat="false" ht="18.75" hidden="false" customHeight="true" outlineLevel="0" collapsed="false">
      <c r="B69" s="100" t="s">
        <v>138</v>
      </c>
      <c r="C69" s="92"/>
      <c r="D69" s="93"/>
      <c r="E69" s="93"/>
      <c r="F69" s="93"/>
      <c r="G69" s="93"/>
      <c r="H69" s="93"/>
      <c r="I69" s="93"/>
      <c r="J69" s="93"/>
      <c r="K69" s="93"/>
      <c r="L69" s="93"/>
      <c r="M69" s="93"/>
      <c r="N69" s="93"/>
      <c r="O69" s="93"/>
      <c r="P69" s="93"/>
      <c r="Q69" s="93"/>
      <c r="R69" s="93"/>
      <c r="S69" s="93"/>
      <c r="T69" s="93"/>
      <c r="U69" s="93"/>
      <c r="V69" s="93"/>
      <c r="W69" s="93"/>
      <c r="X69" s="95"/>
    </row>
    <row r="70" customFormat="false" ht="18.75" hidden="false" customHeight="true" outlineLevel="0" collapsed="false">
      <c r="B70" s="100" t="s">
        <v>139</v>
      </c>
      <c r="C70" s="92" t="s">
        <v>4</v>
      </c>
      <c r="D70" s="102" t="n">
        <f aca="false">-D109*$D25</f>
        <v>-245611.52</v>
      </c>
      <c r="E70" s="102" t="n">
        <f aca="false">-E109*$D25</f>
        <v>-229237.418666667</v>
      </c>
      <c r="F70" s="102" t="n">
        <f aca="false">-F109*$D25</f>
        <v>-212863.317333333</v>
      </c>
      <c r="G70" s="102" t="n">
        <f aca="false">-G109*$D25</f>
        <v>-196489.216</v>
      </c>
      <c r="H70" s="102" t="n">
        <f aca="false">-H109*$D25</f>
        <v>-180115.114666667</v>
      </c>
      <c r="I70" s="102" t="n">
        <f aca="false">-I109*$D25</f>
        <v>-163741.013333333</v>
      </c>
      <c r="J70" s="102" t="n">
        <f aca="false">-J109*$D25</f>
        <v>-147366.912</v>
      </c>
      <c r="K70" s="102" t="n">
        <f aca="false">-K109*$D25</f>
        <v>-130992.810666667</v>
      </c>
      <c r="L70" s="102" t="n">
        <f aca="false">-L109*$D25</f>
        <v>-114618.709333333</v>
      </c>
      <c r="M70" s="102" t="n">
        <f aca="false">-M109*$D25</f>
        <v>-98244.608</v>
      </c>
      <c r="N70" s="102" t="n">
        <f aca="false">-N109*$D25</f>
        <v>-81870.5066666667</v>
      </c>
      <c r="O70" s="102" t="n">
        <f aca="false">-O109*$D25</f>
        <v>-65496.4053333334</v>
      </c>
      <c r="P70" s="102" t="n">
        <f aca="false">-P109*$D25</f>
        <v>-49122.304</v>
      </c>
      <c r="Q70" s="102" t="n">
        <f aca="false">-Q109*$D25</f>
        <v>-32748.2026666667</v>
      </c>
      <c r="R70" s="102" t="n">
        <f aca="false">-R109*$D25</f>
        <v>-16374.1013333334</v>
      </c>
      <c r="S70" s="102" t="n">
        <f aca="false">-S109*$D25</f>
        <v>-0</v>
      </c>
      <c r="T70" s="102" t="n">
        <f aca="false">-T109*$D25</f>
        <v>-0</v>
      </c>
      <c r="U70" s="102" t="n">
        <f aca="false">-U109*$D25</f>
        <v>-0</v>
      </c>
      <c r="V70" s="102" t="n">
        <f aca="false">-V109*$D25</f>
        <v>-0</v>
      </c>
      <c r="W70" s="102" t="n">
        <f aca="false">-W109*$D25</f>
        <v>-0</v>
      </c>
      <c r="X70" s="95"/>
    </row>
    <row r="71" customFormat="false" ht="18.75" hidden="false" customHeight="true" outlineLevel="0" collapsed="false">
      <c r="B71" s="100" t="s">
        <v>140</v>
      </c>
      <c r="C71" s="92" t="s">
        <v>4</v>
      </c>
      <c r="D71" s="102" t="n">
        <f aca="false">D48</f>
        <v>-174440</v>
      </c>
      <c r="E71" s="102" t="n">
        <f aca="false">E48</f>
        <v>-174440</v>
      </c>
      <c r="F71" s="102" t="n">
        <f aca="false">F48</f>
        <v>-174440</v>
      </c>
      <c r="G71" s="102" t="n">
        <f aca="false">G48</f>
        <v>-174440</v>
      </c>
      <c r="H71" s="102" t="n">
        <f aca="false">H48</f>
        <v>-174440</v>
      </c>
      <c r="I71" s="102" t="n">
        <f aca="false">I48</f>
        <v>-174440</v>
      </c>
      <c r="J71" s="102" t="n">
        <f aca="false">J48</f>
        <v>-174440</v>
      </c>
      <c r="K71" s="102" t="n">
        <f aca="false">K48</f>
        <v>-174440</v>
      </c>
      <c r="L71" s="102" t="n">
        <f aca="false">L48</f>
        <v>-174440</v>
      </c>
      <c r="M71" s="102" t="n">
        <f aca="false">M48</f>
        <v>-174440</v>
      </c>
      <c r="N71" s="102" t="n">
        <f aca="false">N48</f>
        <v>-174440</v>
      </c>
      <c r="O71" s="102" t="n">
        <f aca="false">O48</f>
        <v>-174440</v>
      </c>
      <c r="P71" s="102" t="n">
        <f aca="false">P48</f>
        <v>-174440</v>
      </c>
      <c r="Q71" s="102" t="n">
        <f aca="false">Q48</f>
        <v>-174440</v>
      </c>
      <c r="R71" s="102" t="n">
        <f aca="false">R48</f>
        <v>-174440</v>
      </c>
      <c r="S71" s="102" t="n">
        <f aca="false">S48</f>
        <v>-174440</v>
      </c>
      <c r="T71" s="102" t="n">
        <f aca="false">T48</f>
        <v>-174440</v>
      </c>
      <c r="U71" s="102" t="n">
        <f aca="false">U48</f>
        <v>-174440</v>
      </c>
      <c r="V71" s="102" t="n">
        <f aca="false">V48</f>
        <v>-174440</v>
      </c>
      <c r="W71" s="102" t="n">
        <f aca="false">W48</f>
        <v>-174440</v>
      </c>
      <c r="X71" s="95"/>
    </row>
    <row r="72" customFormat="false" ht="18.75" hidden="false" customHeight="true" outlineLevel="0" collapsed="false">
      <c r="B72" s="100" t="s">
        <v>141</v>
      </c>
      <c r="C72" s="92" t="s">
        <v>4</v>
      </c>
      <c r="D72" s="102" t="n">
        <f aca="false">D49</f>
        <v>-26166</v>
      </c>
      <c r="E72" s="102" t="n">
        <f aca="false">E49</f>
        <v>-26166</v>
      </c>
      <c r="F72" s="102" t="n">
        <f aca="false">F49</f>
        <v>-26166</v>
      </c>
      <c r="G72" s="102" t="n">
        <f aca="false">G49</f>
        <v>-26166</v>
      </c>
      <c r="H72" s="102" t="n">
        <f aca="false">H49</f>
        <v>-26166</v>
      </c>
      <c r="I72" s="102" t="n">
        <f aca="false">I49</f>
        <v>-26166</v>
      </c>
      <c r="J72" s="102" t="n">
        <f aca="false">J49</f>
        <v>-26166</v>
      </c>
      <c r="K72" s="102" t="n">
        <f aca="false">K49</f>
        <v>-26166</v>
      </c>
      <c r="L72" s="102" t="n">
        <f aca="false">L49</f>
        <v>-26166</v>
      </c>
      <c r="M72" s="102" t="n">
        <f aca="false">M49</f>
        <v>-26166</v>
      </c>
      <c r="N72" s="102" t="n">
        <f aca="false">N49</f>
        <v>-26166</v>
      </c>
      <c r="O72" s="102" t="n">
        <f aca="false">O49</f>
        <v>-26166</v>
      </c>
      <c r="P72" s="102" t="n">
        <f aca="false">P49</f>
        <v>-26166</v>
      </c>
      <c r="Q72" s="102" t="n">
        <f aca="false">Q49</f>
        <v>-26166</v>
      </c>
      <c r="R72" s="102" t="n">
        <f aca="false">R49</f>
        <v>-26166</v>
      </c>
      <c r="S72" s="102" t="n">
        <f aca="false">S49</f>
        <v>-26166</v>
      </c>
      <c r="T72" s="102" t="n">
        <f aca="false">T49</f>
        <v>-26166</v>
      </c>
      <c r="U72" s="102" t="n">
        <f aca="false">U49</f>
        <v>-26166</v>
      </c>
      <c r="V72" s="102" t="n">
        <f aca="false">V49</f>
        <v>-26166</v>
      </c>
      <c r="W72" s="102" t="n">
        <f aca="false">W49</f>
        <v>-26166</v>
      </c>
      <c r="X72" s="95"/>
    </row>
    <row r="73" customFormat="false" ht="18.75" hidden="false" customHeight="true" outlineLevel="0" collapsed="false">
      <c r="B73" s="100" t="s">
        <v>142</v>
      </c>
      <c r="C73" s="92"/>
      <c r="D73" s="102" t="n">
        <f aca="false">D50</f>
        <v>-43610</v>
      </c>
      <c r="E73" s="102" t="n">
        <f aca="false">E50</f>
        <v>-43610</v>
      </c>
      <c r="F73" s="102" t="n">
        <f aca="false">F50</f>
        <v>-43610</v>
      </c>
      <c r="G73" s="102" t="n">
        <f aca="false">G50</f>
        <v>-43610</v>
      </c>
      <c r="H73" s="102" t="n">
        <f aca="false">H50</f>
        <v>-43610</v>
      </c>
      <c r="I73" s="102" t="n">
        <f aca="false">I50</f>
        <v>-43610</v>
      </c>
      <c r="J73" s="102" t="n">
        <f aca="false">J50</f>
        <v>-43610</v>
      </c>
      <c r="K73" s="102" t="n">
        <f aca="false">K50</f>
        <v>-43610</v>
      </c>
      <c r="L73" s="102" t="n">
        <f aca="false">L50</f>
        <v>-43610</v>
      </c>
      <c r="M73" s="102" t="n">
        <f aca="false">M50</f>
        <v>-43610</v>
      </c>
      <c r="N73" s="102" t="n">
        <f aca="false">N50</f>
        <v>0</v>
      </c>
      <c r="O73" s="102" t="n">
        <f aca="false">O50</f>
        <v>0</v>
      </c>
      <c r="P73" s="102" t="n">
        <f aca="false">P50</f>
        <v>0</v>
      </c>
      <c r="Q73" s="102" t="n">
        <f aca="false">Q50</f>
        <v>0</v>
      </c>
      <c r="R73" s="102" t="n">
        <f aca="false">R50</f>
        <v>0</v>
      </c>
      <c r="S73" s="102" t="n">
        <f aca="false">S50</f>
        <v>0</v>
      </c>
      <c r="T73" s="102" t="n">
        <f aca="false">T50</f>
        <v>0</v>
      </c>
      <c r="U73" s="102" t="n">
        <f aca="false">U50</f>
        <v>0</v>
      </c>
      <c r="V73" s="102" t="n">
        <f aca="false">V50</f>
        <v>0</v>
      </c>
      <c r="W73" s="102" t="n">
        <f aca="false">W50</f>
        <v>0</v>
      </c>
      <c r="X73" s="95"/>
    </row>
    <row r="74" customFormat="false" ht="18.75" hidden="false" customHeight="true" outlineLevel="0" collapsed="false">
      <c r="B74" s="100" t="s">
        <v>143</v>
      </c>
      <c r="C74" s="103"/>
      <c r="D74" s="126"/>
      <c r="E74" s="127"/>
      <c r="F74" s="93"/>
      <c r="G74" s="93"/>
      <c r="H74" s="93"/>
      <c r="I74" s="93"/>
      <c r="J74" s="93"/>
      <c r="K74" s="93"/>
      <c r="L74" s="93"/>
      <c r="M74" s="93"/>
      <c r="N74" s="93"/>
      <c r="O74" s="93"/>
      <c r="P74" s="93"/>
      <c r="Q74" s="93"/>
      <c r="R74" s="93"/>
      <c r="S74" s="93"/>
      <c r="T74" s="93"/>
      <c r="U74" s="93"/>
      <c r="V74" s="93"/>
      <c r="W74" s="93"/>
      <c r="X74" s="95"/>
    </row>
    <row r="75" customFormat="false" ht="18.75" hidden="false" customHeight="true" outlineLevel="0" collapsed="false">
      <c r="B75" s="100" t="s">
        <v>144</v>
      </c>
      <c r="C75" s="103"/>
      <c r="D75" s="93"/>
      <c r="E75" s="93"/>
      <c r="F75" s="93"/>
      <c r="G75" s="93"/>
      <c r="H75" s="93"/>
      <c r="I75" s="93"/>
      <c r="J75" s="93"/>
      <c r="K75" s="93"/>
      <c r="L75" s="93"/>
      <c r="M75" s="93"/>
      <c r="N75" s="93"/>
      <c r="O75" s="93"/>
      <c r="P75" s="93"/>
      <c r="Q75" s="93"/>
      <c r="R75" s="93"/>
      <c r="S75" s="93"/>
      <c r="T75" s="93"/>
      <c r="U75" s="93"/>
      <c r="V75" s="93"/>
      <c r="W75" s="93"/>
      <c r="X75" s="95"/>
    </row>
    <row r="76" customFormat="false" ht="18.75" hidden="false" customHeight="true" outlineLevel="0" collapsed="false">
      <c r="B76" s="105" t="s">
        <v>152</v>
      </c>
      <c r="C76" s="128"/>
      <c r="D76" s="107" t="n">
        <f aca="false">SUM(D64:D75)</f>
        <v>1076662.9</v>
      </c>
      <c r="E76" s="107" t="n">
        <f aca="false">SUM(E64:E75)</f>
        <v>794083.969333333</v>
      </c>
      <c r="F76" s="107" t="n">
        <f aca="false">SUM(F64:F75)</f>
        <v>801706.038666667</v>
      </c>
      <c r="G76" s="107" t="n">
        <f aca="false">SUM(G64:G75)</f>
        <v>809328.108</v>
      </c>
      <c r="H76" s="107" t="n">
        <f aca="false">SUM(H64:H75)</f>
        <v>816950.177333333</v>
      </c>
      <c r="I76" s="107" t="n">
        <f aca="false">SUM(I64:I75)</f>
        <v>824572.246666666</v>
      </c>
      <c r="J76" s="107" t="n">
        <f aca="false">SUM(J64:J75)</f>
        <v>832194.316</v>
      </c>
      <c r="K76" s="107" t="n">
        <f aca="false">SUM(K64:K75)</f>
        <v>839816.385333333</v>
      </c>
      <c r="L76" s="107" t="n">
        <f aca="false">SUM(L64:L75)</f>
        <v>847438.454666667</v>
      </c>
      <c r="M76" s="107" t="n">
        <f aca="false">SUM(M64:M75)</f>
        <v>855060.524</v>
      </c>
      <c r="N76" s="107" t="n">
        <f aca="false">SUM(N64:N75)</f>
        <v>906292.593333333</v>
      </c>
      <c r="O76" s="107" t="n">
        <f aca="false">SUM(O64:O75)</f>
        <v>913914.662666667</v>
      </c>
      <c r="P76" s="107" t="n">
        <f aca="false">SUM(P64:P75)</f>
        <v>921536.732</v>
      </c>
      <c r="Q76" s="107" t="n">
        <f aca="false">SUM(Q64:Q75)</f>
        <v>929158.801333333</v>
      </c>
      <c r="R76" s="107" t="n">
        <f aca="false">SUM(R64:R75)</f>
        <v>936780.870666667</v>
      </c>
      <c r="S76" s="107" t="n">
        <f aca="false">SUM(S64:S75)</f>
        <v>944402.94</v>
      </c>
      <c r="T76" s="107" t="n">
        <f aca="false">SUM(T64:T75)</f>
        <v>935650.908</v>
      </c>
      <c r="U76" s="107" t="n">
        <f aca="false">SUM(U64:U75)</f>
        <v>926898.876</v>
      </c>
      <c r="V76" s="107" t="n">
        <f aca="false">SUM(V64:V75)</f>
        <v>918146.844</v>
      </c>
      <c r="W76" s="107" t="n">
        <f aca="false">SUM(W64:W75)</f>
        <v>909394.812</v>
      </c>
      <c r="X76" s="107" t="n">
        <f aca="false">SUM(X64:X75)</f>
        <v>0</v>
      </c>
    </row>
    <row r="77" customFormat="false" ht="18.75" hidden="false" customHeight="true" outlineLevel="0" collapsed="false">
      <c r="B77" s="104" t="s">
        <v>146</v>
      </c>
      <c r="C77" s="103"/>
      <c r="D77" s="102" t="n">
        <f aca="false">-D76*0.2</f>
        <v>-215332.58</v>
      </c>
      <c r="E77" s="102" t="n">
        <f aca="false">-E76*0.2</f>
        <v>-158816.793866667</v>
      </c>
      <c r="F77" s="102" t="n">
        <f aca="false">-F76*0.2</f>
        <v>-160341.207733333</v>
      </c>
      <c r="G77" s="102" t="n">
        <f aca="false">-G76*0.2</f>
        <v>-161865.6216</v>
      </c>
      <c r="H77" s="102" t="n">
        <f aca="false">-H76*0.2</f>
        <v>-163390.035466667</v>
      </c>
      <c r="I77" s="102" t="n">
        <f aca="false">-I76*0.2</f>
        <v>-164914.449333333</v>
      </c>
      <c r="J77" s="102" t="n">
        <f aca="false">-J76*0.2</f>
        <v>-166438.8632</v>
      </c>
      <c r="K77" s="102" t="n">
        <f aca="false">-K76*0.2</f>
        <v>-167963.277066667</v>
      </c>
      <c r="L77" s="102" t="n">
        <f aca="false">-L76*0.2</f>
        <v>-169487.690933333</v>
      </c>
      <c r="M77" s="102" t="n">
        <f aca="false">-M76*0.2</f>
        <v>-171012.1048</v>
      </c>
      <c r="N77" s="102" t="n">
        <f aca="false">-N76*0.2</f>
        <v>-181258.518666667</v>
      </c>
      <c r="O77" s="102" t="n">
        <f aca="false">-O76*0.2</f>
        <v>-182782.932533333</v>
      </c>
      <c r="P77" s="102" t="n">
        <f aca="false">-P76*0.2</f>
        <v>-184307.3464</v>
      </c>
      <c r="Q77" s="102" t="n">
        <f aca="false">-Q76*0.2</f>
        <v>-185831.760266667</v>
      </c>
      <c r="R77" s="102" t="n">
        <f aca="false">-R76*0.2</f>
        <v>-187356.174133333</v>
      </c>
      <c r="S77" s="102" t="n">
        <f aca="false">-S76*0.2</f>
        <v>-188880.588</v>
      </c>
      <c r="T77" s="102" t="n">
        <f aca="false">-T76*0.2</f>
        <v>-187130.1816</v>
      </c>
      <c r="U77" s="102" t="n">
        <f aca="false">-U76*0.2</f>
        <v>-185379.7752</v>
      </c>
      <c r="V77" s="102" t="n">
        <f aca="false">-V76*0.2</f>
        <v>-183629.3688</v>
      </c>
      <c r="W77" s="102" t="n">
        <f aca="false">-W76*0.2</f>
        <v>-181878.9624</v>
      </c>
      <c r="X77" s="102" t="n">
        <f aca="false">-X76*0.2</f>
        <v>-0</v>
      </c>
    </row>
    <row r="78" customFormat="false" ht="15.75" hidden="false" customHeight="true" outlineLevel="0" collapsed="false">
      <c r="B78" s="129" t="s">
        <v>153</v>
      </c>
      <c r="D78" s="102" t="n">
        <f aca="false">SUM(D76:D77)</f>
        <v>861330.32</v>
      </c>
      <c r="E78" s="102" t="n">
        <f aca="false">SUM(E76:E77)</f>
        <v>635267.175466667</v>
      </c>
      <c r="F78" s="102" t="n">
        <f aca="false">SUM(F76:F77)</f>
        <v>641364.830933334</v>
      </c>
      <c r="G78" s="102" t="n">
        <f aca="false">SUM(G76:G77)</f>
        <v>647462.4864</v>
      </c>
      <c r="H78" s="102" t="n">
        <f aca="false">SUM(H76:H77)</f>
        <v>653560.141866667</v>
      </c>
      <c r="I78" s="102" t="n">
        <f aca="false">SUM(I76:I77)</f>
        <v>659657.797333333</v>
      </c>
      <c r="J78" s="102" t="n">
        <f aca="false">SUM(J76:J77)</f>
        <v>665755.4528</v>
      </c>
      <c r="K78" s="102" t="n">
        <f aca="false">SUM(K76:K77)</f>
        <v>671853.108266667</v>
      </c>
      <c r="L78" s="102" t="n">
        <f aca="false">SUM(L76:L77)</f>
        <v>677950.763733333</v>
      </c>
      <c r="M78" s="102" t="n">
        <f aca="false">SUM(M76:M77)</f>
        <v>684048.4192</v>
      </c>
      <c r="N78" s="102" t="n">
        <f aca="false">SUM(N76:N77)</f>
        <v>725034.074666667</v>
      </c>
      <c r="O78" s="102" t="n">
        <f aca="false">SUM(O76:O77)</f>
        <v>731131.730133333</v>
      </c>
      <c r="P78" s="102" t="n">
        <f aca="false">SUM(P76:P77)</f>
        <v>737229.3856</v>
      </c>
      <c r="Q78" s="102" t="n">
        <f aca="false">SUM(Q76:Q77)</f>
        <v>743327.041066667</v>
      </c>
      <c r="R78" s="102" t="n">
        <f aca="false">SUM(R76:R77)</f>
        <v>749424.696533333</v>
      </c>
      <c r="S78" s="102" t="n">
        <f aca="false">SUM(S76:S77)</f>
        <v>755522.352</v>
      </c>
      <c r="T78" s="102" t="n">
        <f aca="false">SUM(T76:T77)</f>
        <v>748520.7264</v>
      </c>
      <c r="U78" s="102" t="n">
        <f aca="false">SUM(U76:U77)</f>
        <v>741519.1008</v>
      </c>
      <c r="V78" s="102" t="n">
        <f aca="false">SUM(V76:V77)</f>
        <v>734517.4752</v>
      </c>
      <c r="W78" s="102" t="n">
        <f aca="false">SUM(W76:W77)</f>
        <v>727515.8496</v>
      </c>
      <c r="X78" s="102" t="n">
        <f aca="false">SUM(X76:X77)</f>
        <v>0</v>
      </c>
    </row>
    <row r="79" customFormat="false" ht="18.75" hidden="false" customHeight="true" outlineLevel="0" collapsed="false">
      <c r="B79" s="111" t="s">
        <v>148</v>
      </c>
      <c r="C79" s="114"/>
      <c r="D79" s="130"/>
      <c r="E79" s="130"/>
      <c r="F79" s="130"/>
      <c r="G79" s="130"/>
      <c r="H79" s="130"/>
      <c r="I79" s="130"/>
      <c r="J79" s="130"/>
      <c r="K79" s="130"/>
      <c r="L79" s="130"/>
      <c r="M79" s="130"/>
      <c r="N79" s="130"/>
      <c r="O79" s="130"/>
      <c r="P79" s="130"/>
      <c r="Q79" s="130"/>
      <c r="R79" s="130"/>
      <c r="S79" s="130"/>
      <c r="T79" s="130"/>
      <c r="U79" s="130"/>
      <c r="V79" s="130"/>
      <c r="W79" s="130"/>
      <c r="X79" s="131"/>
    </row>
    <row r="80" customFormat="false" ht="18.75" hidden="false" customHeight="true" outlineLevel="0" collapsed="false">
      <c r="B80" s="132" t="s">
        <v>149</v>
      </c>
      <c r="C80" s="133"/>
      <c r="D80" s="134"/>
      <c r="E80" s="134"/>
      <c r="F80" s="134"/>
      <c r="G80" s="134"/>
      <c r="H80" s="134"/>
      <c r="I80" s="134"/>
      <c r="J80" s="134"/>
      <c r="K80" s="134"/>
      <c r="L80" s="134"/>
      <c r="M80" s="134"/>
      <c r="N80" s="134"/>
      <c r="O80" s="134"/>
      <c r="P80" s="134"/>
      <c r="Q80" s="134"/>
      <c r="R80" s="134"/>
      <c r="S80" s="134"/>
      <c r="T80" s="134"/>
      <c r="U80" s="134"/>
      <c r="V80" s="134"/>
      <c r="W80" s="134"/>
      <c r="X80" s="135"/>
    </row>
    <row r="81" customFormat="false" ht="18.75" hidden="false" customHeight="true" outlineLevel="0" collapsed="false">
      <c r="B81" s="120"/>
      <c r="C81" s="119"/>
      <c r="D81" s="119"/>
      <c r="E81" s="119"/>
      <c r="F81" s="120"/>
      <c r="G81" s="120"/>
      <c r="H81" s="120"/>
      <c r="I81" s="120"/>
      <c r="J81" s="120"/>
      <c r="K81" s="120"/>
      <c r="L81" s="120"/>
      <c r="M81" s="119"/>
      <c r="N81" s="120"/>
      <c r="O81" s="120"/>
      <c r="P81" s="120"/>
      <c r="Q81" s="120"/>
      <c r="R81" s="120"/>
      <c r="S81" s="120"/>
      <c r="T81" s="120"/>
      <c r="U81" s="120"/>
      <c r="V81" s="120"/>
      <c r="W81" s="120"/>
      <c r="X81" s="120"/>
    </row>
    <row r="82" customFormat="false" ht="18.75" hidden="false" customHeight="true" outlineLevel="0" collapsed="false">
      <c r="C82" s="136" t="s">
        <v>130</v>
      </c>
      <c r="D82" s="137" t="n">
        <f aca="false">D37</f>
        <v>2020</v>
      </c>
      <c r="E82" s="137" t="n">
        <f aca="false">E37</f>
        <v>2021</v>
      </c>
      <c r="F82" s="137" t="n">
        <f aca="false">F37</f>
        <v>2022</v>
      </c>
      <c r="G82" s="137" t="n">
        <f aca="false">G37</f>
        <v>2023</v>
      </c>
      <c r="H82" s="137" t="n">
        <f aca="false">H37</f>
        <v>2024</v>
      </c>
      <c r="I82" s="137" t="n">
        <f aca="false">I37</f>
        <v>2025</v>
      </c>
      <c r="J82" s="137" t="n">
        <f aca="false">J37</f>
        <v>2026</v>
      </c>
      <c r="K82" s="137" t="n">
        <f aca="false">K37</f>
        <v>2027</v>
      </c>
      <c r="L82" s="137" t="n">
        <f aca="false">L37</f>
        <v>2028</v>
      </c>
      <c r="M82" s="137" t="n">
        <f aca="false">M37</f>
        <v>2029</v>
      </c>
      <c r="N82" s="137" t="n">
        <f aca="false">N37</f>
        <v>2030</v>
      </c>
      <c r="O82" s="137" t="n">
        <f aca="false">O37</f>
        <v>2031</v>
      </c>
      <c r="P82" s="137" t="n">
        <f aca="false">P37</f>
        <v>2032</v>
      </c>
      <c r="Q82" s="137" t="n">
        <f aca="false">Q37</f>
        <v>2033</v>
      </c>
      <c r="R82" s="137" t="n">
        <f aca="false">R37</f>
        <v>2034</v>
      </c>
      <c r="S82" s="137" t="n">
        <f aca="false">S37</f>
        <v>2035</v>
      </c>
      <c r="T82" s="137" t="n">
        <f aca="false">T37</f>
        <v>2036</v>
      </c>
      <c r="U82" s="137" t="n">
        <f aca="false">U37</f>
        <v>2037</v>
      </c>
      <c r="V82" s="137" t="n">
        <f aca="false">V37</f>
        <v>2038</v>
      </c>
      <c r="W82" s="137" t="n">
        <f aca="false">W37</f>
        <v>2039</v>
      </c>
      <c r="X82" s="122"/>
    </row>
    <row r="83" customFormat="false" ht="18.75" hidden="false" customHeight="true" outlineLevel="0" collapsed="false">
      <c r="X83" s="121"/>
    </row>
    <row r="84" customFormat="false" ht="18.75" hidden="false" customHeight="true" outlineLevel="0" collapsed="false">
      <c r="B84" s="138" t="s">
        <v>131</v>
      </c>
      <c r="C84" s="138" t="n">
        <v>0</v>
      </c>
      <c r="D84" s="138" t="n">
        <v>1</v>
      </c>
      <c r="E84" s="138" t="n">
        <v>2</v>
      </c>
      <c r="F84" s="138" t="n">
        <v>3</v>
      </c>
      <c r="G84" s="138" t="n">
        <v>4</v>
      </c>
      <c r="H84" s="138" t="n">
        <v>5</v>
      </c>
      <c r="I84" s="138" t="n">
        <v>6</v>
      </c>
      <c r="J84" s="138" t="n">
        <v>7</v>
      </c>
      <c r="K84" s="138" t="n">
        <v>8</v>
      </c>
      <c r="L84" s="138" t="n">
        <v>9</v>
      </c>
      <c r="M84" s="138" t="n">
        <v>10</v>
      </c>
      <c r="N84" s="138" t="n">
        <v>11</v>
      </c>
      <c r="O84" s="138" t="n">
        <v>12</v>
      </c>
      <c r="P84" s="138" t="n">
        <v>13</v>
      </c>
      <c r="Q84" s="138" t="n">
        <v>14</v>
      </c>
      <c r="R84" s="138" t="n">
        <v>15</v>
      </c>
      <c r="S84" s="138" t="n">
        <v>16</v>
      </c>
      <c r="T84" s="138" t="n">
        <v>17</v>
      </c>
      <c r="U84" s="138" t="n">
        <v>18</v>
      </c>
      <c r="V84" s="138" t="n">
        <v>19</v>
      </c>
      <c r="W84" s="138" t="n">
        <v>20</v>
      </c>
      <c r="X84" s="139"/>
    </row>
    <row r="85" customFormat="false" ht="18.75" hidden="false" customHeight="true" outlineLevel="0" collapsed="false">
      <c r="B85" s="140" t="s">
        <v>153</v>
      </c>
      <c r="C85" s="140"/>
      <c r="D85" s="141" t="n">
        <f aca="false">D78</f>
        <v>861330.32</v>
      </c>
      <c r="E85" s="141" t="n">
        <f aca="false">E78</f>
        <v>635267.175466667</v>
      </c>
      <c r="F85" s="141" t="n">
        <f aca="false">F78</f>
        <v>641364.830933334</v>
      </c>
      <c r="G85" s="141" t="n">
        <f aca="false">G78</f>
        <v>647462.4864</v>
      </c>
      <c r="H85" s="141" t="n">
        <f aca="false">H78</f>
        <v>653560.141866667</v>
      </c>
      <c r="I85" s="141" t="n">
        <f aca="false">I78</f>
        <v>659657.797333333</v>
      </c>
      <c r="J85" s="141" t="n">
        <f aca="false">J78</f>
        <v>665755.4528</v>
      </c>
      <c r="K85" s="141" t="n">
        <f aca="false">K78</f>
        <v>671853.108266667</v>
      </c>
      <c r="L85" s="141" t="n">
        <f aca="false">L78</f>
        <v>677950.763733333</v>
      </c>
      <c r="M85" s="141" t="n">
        <f aca="false">M78</f>
        <v>684048.4192</v>
      </c>
      <c r="N85" s="141" t="n">
        <f aca="false">N78</f>
        <v>725034.074666667</v>
      </c>
      <c r="O85" s="141" t="n">
        <f aca="false">O78</f>
        <v>731131.730133333</v>
      </c>
      <c r="P85" s="141" t="n">
        <f aca="false">P78</f>
        <v>737229.3856</v>
      </c>
      <c r="Q85" s="141" t="n">
        <f aca="false">Q78</f>
        <v>743327.041066667</v>
      </c>
      <c r="R85" s="141" t="n">
        <f aca="false">R78</f>
        <v>749424.696533333</v>
      </c>
      <c r="S85" s="141" t="n">
        <f aca="false">S78</f>
        <v>755522.352</v>
      </c>
      <c r="T85" s="141" t="n">
        <f aca="false">T78</f>
        <v>748520.7264</v>
      </c>
      <c r="U85" s="141" t="n">
        <f aca="false">U78</f>
        <v>741519.1008</v>
      </c>
      <c r="V85" s="141" t="n">
        <f aca="false">V78</f>
        <v>734517.4752</v>
      </c>
      <c r="W85" s="141" t="n">
        <f aca="false">W78</f>
        <v>727515.8496</v>
      </c>
      <c r="X85" s="140"/>
      <c r="Y85" s="140"/>
    </row>
    <row r="86" customFormat="false" ht="15.75" hidden="false" customHeight="true" outlineLevel="0" collapsed="false">
      <c r="B86" s="140" t="s">
        <v>154</v>
      </c>
      <c r="C86" s="140"/>
      <c r="D86" s="142" t="n">
        <f aca="false">-D67</f>
        <v>599637.5</v>
      </c>
      <c r="E86" s="142" t="n">
        <f aca="false">-E67</f>
        <v>599637.5</v>
      </c>
      <c r="F86" s="142" t="n">
        <f aca="false">-F67</f>
        <v>599637.5</v>
      </c>
      <c r="G86" s="142" t="n">
        <f aca="false">-G67</f>
        <v>599637.5</v>
      </c>
      <c r="H86" s="142" t="n">
        <f aca="false">-H67</f>
        <v>599637.5</v>
      </c>
      <c r="I86" s="142" t="n">
        <f aca="false">-I67</f>
        <v>599637.5</v>
      </c>
      <c r="J86" s="142" t="n">
        <f aca="false">-J67</f>
        <v>599637.5</v>
      </c>
      <c r="K86" s="142" t="n">
        <f aca="false">-K67</f>
        <v>599637.5</v>
      </c>
      <c r="L86" s="142" t="n">
        <f aca="false">-L67</f>
        <v>599637.5</v>
      </c>
      <c r="M86" s="142" t="n">
        <f aca="false">-M67</f>
        <v>599637.5</v>
      </c>
      <c r="N86" s="142" t="n">
        <f aca="false">-N67</f>
        <v>599637.5</v>
      </c>
      <c r="O86" s="142" t="n">
        <f aca="false">-O67</f>
        <v>599637.5</v>
      </c>
      <c r="P86" s="142" t="n">
        <f aca="false">-P67</f>
        <v>599637.5</v>
      </c>
      <c r="Q86" s="142" t="n">
        <f aca="false">-Q67</f>
        <v>599637.5</v>
      </c>
      <c r="R86" s="142" t="n">
        <f aca="false">-R67</f>
        <v>599637.5</v>
      </c>
      <c r="S86" s="142" t="n">
        <f aca="false">-S67</f>
        <v>599637.5</v>
      </c>
      <c r="T86" s="142" t="n">
        <f aca="false">-T67</f>
        <v>599637.5</v>
      </c>
      <c r="U86" s="142" t="n">
        <f aca="false">-U67</f>
        <v>599637.5</v>
      </c>
      <c r="V86" s="142" t="n">
        <f aca="false">-V67</f>
        <v>599637.5</v>
      </c>
      <c r="W86" s="142" t="n">
        <f aca="false">-W67</f>
        <v>599637.5</v>
      </c>
      <c r="X86" s="143"/>
      <c r="Y86" s="143"/>
    </row>
    <row r="87" customFormat="false" ht="15.75" hidden="false" customHeight="true" outlineLevel="0" collapsed="false">
      <c r="B87" s="140" t="s">
        <v>155</v>
      </c>
      <c r="C87" s="140"/>
      <c r="D87" s="144" t="n">
        <f aca="false">SUM(D85:D86)</f>
        <v>1460967.82</v>
      </c>
      <c r="E87" s="144" t="n">
        <f aca="false">SUM(E85:E86)</f>
        <v>1234904.67546667</v>
      </c>
      <c r="F87" s="144" t="n">
        <f aca="false">SUM(F85:F86)</f>
        <v>1241002.33093333</v>
      </c>
      <c r="G87" s="144" t="n">
        <f aca="false">SUM(G85:G86)</f>
        <v>1247099.9864</v>
      </c>
      <c r="H87" s="144" t="n">
        <f aca="false">SUM(H85:H86)</f>
        <v>1253197.64186667</v>
      </c>
      <c r="I87" s="144" t="n">
        <f aca="false">SUM(I85:I86)</f>
        <v>1259295.29733333</v>
      </c>
      <c r="J87" s="144" t="n">
        <f aca="false">SUM(J85:J86)</f>
        <v>1265392.9528</v>
      </c>
      <c r="K87" s="144" t="n">
        <f aca="false">SUM(K85:K86)</f>
        <v>1271490.60826667</v>
      </c>
      <c r="L87" s="144" t="n">
        <f aca="false">SUM(L85:L86)</f>
        <v>1277588.26373333</v>
      </c>
      <c r="M87" s="144" t="n">
        <f aca="false">SUM(M85:M86)</f>
        <v>1283685.9192</v>
      </c>
      <c r="N87" s="144" t="n">
        <f aca="false">SUM(N85:N86)</f>
        <v>1324671.57466667</v>
      </c>
      <c r="O87" s="144" t="n">
        <f aca="false">SUM(O85:O86)</f>
        <v>1330769.23013333</v>
      </c>
      <c r="P87" s="144" t="n">
        <f aca="false">SUM(P85:P86)</f>
        <v>1336866.8856</v>
      </c>
      <c r="Q87" s="144" t="n">
        <f aca="false">SUM(Q85:Q86)</f>
        <v>1342964.54106667</v>
      </c>
      <c r="R87" s="144" t="n">
        <f aca="false">SUM(R85:R86)</f>
        <v>1349062.19653333</v>
      </c>
      <c r="S87" s="144" t="n">
        <f aca="false">SUM(S85:S86)</f>
        <v>1355159.852</v>
      </c>
      <c r="T87" s="144" t="n">
        <f aca="false">SUM(T85:T86)</f>
        <v>1348158.2264</v>
      </c>
      <c r="U87" s="144" t="n">
        <f aca="false">SUM(U85:U86)</f>
        <v>1341156.6008</v>
      </c>
      <c r="V87" s="144" t="n">
        <f aca="false">SUM(V85:V86)</f>
        <v>1334154.9752</v>
      </c>
      <c r="W87" s="144" t="n">
        <f aca="false">SUM(W85:W86)</f>
        <v>1327153.3496</v>
      </c>
      <c r="X87" s="110"/>
    </row>
    <row r="88" customFormat="false" ht="15.75" hidden="false" customHeight="true" outlineLevel="0" collapsed="false">
      <c r="B88" s="140"/>
      <c r="C88" s="140"/>
      <c r="D88" s="140"/>
      <c r="E88" s="140"/>
      <c r="F88" s="145"/>
      <c r="G88" s="145"/>
      <c r="H88" s="145"/>
      <c r="I88" s="145"/>
      <c r="J88" s="145"/>
      <c r="K88" s="145"/>
      <c r="L88" s="145"/>
      <c r="M88" s="145"/>
      <c r="N88" s="145"/>
      <c r="O88" s="145"/>
      <c r="P88" s="145"/>
      <c r="Q88" s="145"/>
      <c r="R88" s="145"/>
      <c r="S88" s="145"/>
      <c r="T88" s="145"/>
      <c r="U88" s="145"/>
      <c r="V88" s="145"/>
      <c r="W88" s="145"/>
      <c r="X88" s="109"/>
    </row>
    <row r="89" customFormat="false" ht="15.75" hidden="false" customHeight="true" outlineLevel="0" collapsed="false">
      <c r="B89" s="146" t="s">
        <v>156</v>
      </c>
      <c r="C89" s="147"/>
      <c r="D89" s="148" t="n">
        <f aca="false">C44</f>
        <v>-11992750</v>
      </c>
      <c r="E89" s="147"/>
      <c r="F89" s="147"/>
      <c r="G89" s="147"/>
      <c r="H89" s="147"/>
      <c r="I89" s="147"/>
      <c r="J89" s="147"/>
      <c r="K89" s="147"/>
      <c r="L89" s="147"/>
      <c r="M89" s="147"/>
      <c r="N89" s="147"/>
      <c r="O89" s="147"/>
      <c r="P89" s="147"/>
      <c r="Q89" s="147"/>
      <c r="R89" s="147"/>
      <c r="S89" s="147"/>
      <c r="T89" s="147"/>
      <c r="U89" s="147"/>
      <c r="V89" s="147"/>
      <c r="W89" s="147"/>
      <c r="X89" s="149"/>
    </row>
    <row r="90" customFormat="false" ht="15.75" hidden="false" customHeight="true" outlineLevel="0" collapsed="false">
      <c r="B90" s="140"/>
      <c r="C90" s="140"/>
      <c r="D90" s="140"/>
      <c r="E90" s="140"/>
      <c r="F90" s="145"/>
      <c r="G90" s="145"/>
      <c r="H90" s="145"/>
      <c r="I90" s="145"/>
      <c r="J90" s="145"/>
      <c r="K90" s="145"/>
      <c r="L90" s="145"/>
      <c r="M90" s="145"/>
      <c r="N90" s="145"/>
      <c r="O90" s="145"/>
      <c r="P90" s="145"/>
      <c r="Q90" s="145"/>
      <c r="R90" s="145"/>
      <c r="S90" s="145"/>
      <c r="T90" s="145"/>
      <c r="U90" s="145"/>
      <c r="V90" s="145"/>
      <c r="W90" s="145"/>
      <c r="X90" s="109"/>
    </row>
    <row r="91" customFormat="false" ht="15.75" hidden="false" customHeight="true" outlineLevel="0" collapsed="false">
      <c r="B91" s="140"/>
      <c r="C91" s="140"/>
      <c r="D91" s="140"/>
      <c r="E91" s="140"/>
      <c r="F91" s="145"/>
      <c r="G91" s="145"/>
      <c r="H91" s="145"/>
      <c r="I91" s="145"/>
      <c r="J91" s="145"/>
      <c r="K91" s="145"/>
      <c r="L91" s="145"/>
      <c r="M91" s="145"/>
      <c r="N91" s="145"/>
      <c r="O91" s="145"/>
      <c r="P91" s="145"/>
      <c r="Q91" s="145"/>
      <c r="R91" s="145"/>
      <c r="S91" s="145"/>
      <c r="T91" s="145"/>
      <c r="U91" s="145"/>
      <c r="V91" s="145"/>
      <c r="W91" s="145"/>
      <c r="X91" s="109"/>
    </row>
    <row r="92" customFormat="false" ht="15.75" hidden="false" customHeight="true" outlineLevel="0" collapsed="false">
      <c r="B92" s="146" t="s">
        <v>157</v>
      </c>
      <c r="C92" s="147"/>
      <c r="D92" s="148" t="n">
        <f aca="false">-D89*D31</f>
        <v>9594200</v>
      </c>
      <c r="E92" s="147"/>
      <c r="F92" s="147"/>
      <c r="G92" s="147"/>
      <c r="H92" s="147"/>
      <c r="I92" s="147"/>
      <c r="J92" s="147"/>
      <c r="K92" s="147"/>
      <c r="L92" s="147"/>
      <c r="M92" s="147"/>
      <c r="N92" s="147"/>
      <c r="O92" s="147"/>
      <c r="P92" s="147"/>
      <c r="Q92" s="147"/>
      <c r="R92" s="147"/>
      <c r="S92" s="147"/>
      <c r="T92" s="147"/>
      <c r="U92" s="147"/>
      <c r="V92" s="147"/>
      <c r="W92" s="147"/>
      <c r="X92" s="109"/>
    </row>
    <row r="93" customFormat="false" ht="15.75" hidden="false" customHeight="true" outlineLevel="0" collapsed="false">
      <c r="B93" s="140" t="s">
        <v>158</v>
      </c>
      <c r="C93" s="140"/>
      <c r="D93" s="150"/>
      <c r="E93" s="150" t="n">
        <v>-639613.333333333</v>
      </c>
      <c r="F93" s="150" t="n">
        <v>-639613.333333333</v>
      </c>
      <c r="G93" s="150" t="n">
        <v>-639613.333333333</v>
      </c>
      <c r="H93" s="150" t="n">
        <v>-639613.333333333</v>
      </c>
      <c r="I93" s="150" t="n">
        <v>-639613.333333333</v>
      </c>
      <c r="J93" s="150" t="n">
        <v>-639613.333333333</v>
      </c>
      <c r="K93" s="150" t="n">
        <v>-639613.333333333</v>
      </c>
      <c r="L93" s="150" t="n">
        <v>-639613.333333333</v>
      </c>
      <c r="M93" s="150" t="n">
        <v>-639613.333333333</v>
      </c>
      <c r="N93" s="150" t="n">
        <v>-639613.333333333</v>
      </c>
      <c r="O93" s="150" t="n">
        <v>-639613.333333333</v>
      </c>
      <c r="P93" s="150" t="n">
        <v>-639613.333333333</v>
      </c>
      <c r="Q93" s="150" t="n">
        <v>-639613.333333333</v>
      </c>
      <c r="R93" s="150" t="n">
        <v>-639613.333333333</v>
      </c>
      <c r="S93" s="150" t="n">
        <v>-639613.333333333</v>
      </c>
      <c r="T93" s="150" t="n">
        <v>0</v>
      </c>
      <c r="U93" s="150" t="n">
        <v>0</v>
      </c>
      <c r="V93" s="150" t="n">
        <v>0</v>
      </c>
      <c r="W93" s="150" t="n">
        <v>0</v>
      </c>
      <c r="X93" s="149"/>
    </row>
    <row r="94" customFormat="false" ht="15.75" hidden="false" customHeight="true" outlineLevel="0" collapsed="false">
      <c r="B94" s="140" t="s">
        <v>159</v>
      </c>
      <c r="C94" s="145"/>
      <c r="D94" s="141" t="n">
        <f aca="false">-D89*(1-D31)</f>
        <v>2398550</v>
      </c>
      <c r="E94" s="145"/>
      <c r="F94" s="145"/>
      <c r="G94" s="145"/>
      <c r="H94" s="145"/>
      <c r="I94" s="145"/>
      <c r="J94" s="145"/>
      <c r="K94" s="145"/>
      <c r="L94" s="145"/>
      <c r="M94" s="145"/>
      <c r="N94" s="145"/>
      <c r="O94" s="145"/>
      <c r="P94" s="145"/>
      <c r="Q94" s="145"/>
      <c r="R94" s="145"/>
      <c r="S94" s="145"/>
      <c r="T94" s="145"/>
      <c r="U94" s="145"/>
      <c r="V94" s="145"/>
      <c r="W94" s="145"/>
      <c r="X94" s="110"/>
    </row>
    <row r="95" customFormat="false" ht="15.75" hidden="false" customHeight="true" outlineLevel="0" collapsed="false">
      <c r="B95" s="140" t="s">
        <v>67</v>
      </c>
      <c r="C95" s="145"/>
      <c r="D95" s="145"/>
      <c r="E95" s="151" t="n">
        <f aca="false">-D85*$D$33</f>
        <v>-775197.288</v>
      </c>
      <c r="F95" s="151" t="n">
        <f aca="false">-E85*$D$33</f>
        <v>-571740.45792</v>
      </c>
      <c r="G95" s="151" t="n">
        <f aca="false">-F85*$D$33</f>
        <v>-577228.34784</v>
      </c>
      <c r="H95" s="151" t="n">
        <f aca="false">-G85*$D$33</f>
        <v>-582716.23776</v>
      </c>
      <c r="I95" s="151" t="n">
        <f aca="false">-H85*$D$33</f>
        <v>-588204.12768</v>
      </c>
      <c r="J95" s="151" t="n">
        <f aca="false">-I85*$D$33</f>
        <v>-593692.0176</v>
      </c>
      <c r="K95" s="151" t="n">
        <f aca="false">-J85*$D$33</f>
        <v>-599179.90752</v>
      </c>
      <c r="L95" s="151" t="n">
        <f aca="false">-K85*$D$33</f>
        <v>-604667.79744</v>
      </c>
      <c r="M95" s="151" t="n">
        <f aca="false">-L85*$D$33</f>
        <v>-610155.68736</v>
      </c>
      <c r="N95" s="151" t="n">
        <f aca="false">-M85*$D$33</f>
        <v>-615643.57728</v>
      </c>
      <c r="O95" s="151" t="n">
        <f aca="false">-N85*$D$33</f>
        <v>-652530.6672</v>
      </c>
      <c r="P95" s="151" t="n">
        <f aca="false">-O85*$D$33</f>
        <v>-658018.55712</v>
      </c>
      <c r="Q95" s="151" t="n">
        <f aca="false">-P85*$D$33</f>
        <v>-663506.44704</v>
      </c>
      <c r="R95" s="151" t="n">
        <f aca="false">-Q85*$D$33</f>
        <v>-668994.33696</v>
      </c>
      <c r="S95" s="151" t="n">
        <f aca="false">-R85*$D$33</f>
        <v>-674482.22688</v>
      </c>
      <c r="T95" s="151" t="n">
        <f aca="false">-S85*$D$33</f>
        <v>-679970.1168</v>
      </c>
      <c r="U95" s="151" t="n">
        <f aca="false">-T85*$D$33</f>
        <v>-673668.65376</v>
      </c>
      <c r="V95" s="151" t="n">
        <f aca="false">-U85*$D$33</f>
        <v>-667367.19072</v>
      </c>
      <c r="W95" s="151" t="n">
        <f aca="false">-V85*$D$33</f>
        <v>-661065.72768</v>
      </c>
      <c r="X95" s="151" t="n">
        <f aca="false">-W85*$D$33</f>
        <v>-654764.26464</v>
      </c>
    </row>
    <row r="96" customFormat="false" ht="15.75" hidden="false" customHeight="true" outlineLevel="0" collapsed="false">
      <c r="B96" s="152" t="s">
        <v>70</v>
      </c>
      <c r="C96" s="153"/>
      <c r="D96" s="153" t="n">
        <v>0</v>
      </c>
      <c r="E96" s="154" t="n">
        <v>0</v>
      </c>
      <c r="F96" s="154" t="n">
        <v>0</v>
      </c>
      <c r="G96" s="154" t="n">
        <v>0</v>
      </c>
      <c r="H96" s="154" t="n">
        <v>0</v>
      </c>
      <c r="I96" s="154" t="n">
        <v>0</v>
      </c>
      <c r="J96" s="154" t="n">
        <v>0</v>
      </c>
      <c r="K96" s="154" t="n">
        <v>0</v>
      </c>
      <c r="L96" s="154" t="n">
        <v>0</v>
      </c>
      <c r="M96" s="154" t="n">
        <v>0</v>
      </c>
      <c r="N96" s="154" t="n">
        <v>0</v>
      </c>
      <c r="O96" s="154" t="n">
        <v>0</v>
      </c>
      <c r="P96" s="154" t="n">
        <v>0</v>
      </c>
      <c r="Q96" s="154" t="n">
        <v>0</v>
      </c>
      <c r="R96" s="154" t="n">
        <v>0</v>
      </c>
      <c r="S96" s="154" t="n">
        <v>0</v>
      </c>
      <c r="T96" s="154" t="n">
        <v>-599637.5</v>
      </c>
      <c r="U96" s="154" t="n">
        <v>-599637.5</v>
      </c>
      <c r="V96" s="154" t="n">
        <v>-599637.5</v>
      </c>
      <c r="W96" s="154" t="n">
        <v>-599637.5</v>
      </c>
      <c r="X96" s="155" t="n">
        <f aca="false">-W101-X95</f>
        <v>-1419199.2928</v>
      </c>
    </row>
    <row r="97" customFormat="false" ht="15.75" hidden="false" customHeight="true" outlineLevel="0" collapsed="false">
      <c r="B97" s="145"/>
      <c r="C97" s="145"/>
      <c r="D97" s="145"/>
      <c r="E97" s="145"/>
      <c r="F97" s="145"/>
      <c r="G97" s="145"/>
      <c r="H97" s="145"/>
      <c r="I97" s="145"/>
      <c r="J97" s="145"/>
      <c r="K97" s="145"/>
      <c r="L97" s="145"/>
      <c r="M97" s="145"/>
      <c r="N97" s="145"/>
      <c r="O97" s="145"/>
      <c r="P97" s="145"/>
      <c r="Q97" s="145"/>
      <c r="R97" s="145"/>
      <c r="S97" s="145"/>
      <c r="T97" s="145"/>
      <c r="U97" s="145"/>
      <c r="V97" s="145"/>
      <c r="W97" s="145"/>
      <c r="X97" s="110"/>
    </row>
    <row r="98" customFormat="false" ht="15.75" hidden="false" customHeight="true" outlineLevel="0" collapsed="false">
      <c r="B98" s="145"/>
      <c r="C98" s="145"/>
      <c r="D98" s="145"/>
      <c r="E98" s="145"/>
      <c r="F98" s="145"/>
      <c r="G98" s="145"/>
      <c r="H98" s="145"/>
      <c r="I98" s="145"/>
      <c r="J98" s="145"/>
      <c r="K98" s="145"/>
      <c r="L98" s="145"/>
      <c r="M98" s="145"/>
      <c r="N98" s="145"/>
      <c r="O98" s="145"/>
      <c r="P98" s="145"/>
      <c r="Q98" s="145"/>
      <c r="R98" s="145"/>
      <c r="S98" s="145"/>
      <c r="T98" s="145"/>
      <c r="U98" s="145"/>
      <c r="V98" s="145"/>
      <c r="W98" s="145"/>
      <c r="X98" s="110"/>
    </row>
    <row r="99" customFormat="false" ht="15.75" hidden="false" customHeight="true" outlineLevel="0" collapsed="false">
      <c r="B99" s="140" t="s">
        <v>160</v>
      </c>
      <c r="C99" s="141" t="n">
        <v>0</v>
      </c>
      <c r="D99" s="141" t="n">
        <f aca="false">SUM(D87:D96)</f>
        <v>1460967.82</v>
      </c>
      <c r="E99" s="141" t="n">
        <f aca="false">SUM(E87:E96)</f>
        <v>-179905.945866667</v>
      </c>
      <c r="F99" s="141" t="n">
        <f aca="false">SUM(F87:F96)</f>
        <v>29648.53968</v>
      </c>
      <c r="G99" s="141" t="n">
        <f aca="false">SUM(G87:G96)</f>
        <v>30258.3052266665</v>
      </c>
      <c r="H99" s="141" t="n">
        <f aca="false">SUM(H87:H96)</f>
        <v>30868.0707733331</v>
      </c>
      <c r="I99" s="141" t="n">
        <f aca="false">SUM(I87:I96)</f>
        <v>31477.8363199999</v>
      </c>
      <c r="J99" s="141" t="n">
        <f aca="false">SUM(J87:J96)</f>
        <v>32087.6018666669</v>
      </c>
      <c r="K99" s="141" t="n">
        <f aca="false">SUM(K87:K96)</f>
        <v>32697.367413333</v>
      </c>
      <c r="L99" s="141" t="n">
        <f aca="false">SUM(L87:L96)</f>
        <v>33307.1329599998</v>
      </c>
      <c r="M99" s="141" t="n">
        <f aca="false">SUM(M87:M96)</f>
        <v>33916.8985066667</v>
      </c>
      <c r="N99" s="141" t="n">
        <f aca="false">SUM(N87:N96)</f>
        <v>69414.6640533332</v>
      </c>
      <c r="O99" s="141" t="n">
        <f aca="false">SUM(O87:O96)</f>
        <v>38625.2296</v>
      </c>
      <c r="P99" s="141" t="n">
        <f aca="false">SUM(P87:P96)</f>
        <v>39234.9951466667</v>
      </c>
      <c r="Q99" s="141" t="n">
        <f aca="false">SUM(Q87:Q96)</f>
        <v>39844.7606933332</v>
      </c>
      <c r="R99" s="141" t="n">
        <f aca="false">SUM(R87:R96)</f>
        <v>40454.5262399999</v>
      </c>
      <c r="S99" s="141" t="n">
        <f aca="false">SUM(S87:S96)</f>
        <v>41064.2917866666</v>
      </c>
      <c r="T99" s="141" t="n">
        <f aca="false">SUM(T87:T96)</f>
        <v>68550.6095999999</v>
      </c>
      <c r="U99" s="141" t="n">
        <f aca="false">SUM(U87:U96)</f>
        <v>67850.44704</v>
      </c>
      <c r="V99" s="141" t="n">
        <f aca="false">SUM(V87:V96)</f>
        <v>67150.2844799998</v>
      </c>
      <c r="W99" s="141" t="n">
        <f aca="false">SUM(W87:W96)</f>
        <v>66450.12192</v>
      </c>
      <c r="X99" s="110"/>
    </row>
    <row r="100" customFormat="false" ht="15.75" hidden="false" customHeight="true" outlineLevel="0" collapsed="false">
      <c r="B100" s="140" t="s">
        <v>161</v>
      </c>
      <c r="C100" s="141" t="n">
        <v>0</v>
      </c>
      <c r="D100" s="141" t="n">
        <f aca="false">C101</f>
        <v>0</v>
      </c>
      <c r="E100" s="141" t="n">
        <f aca="false">D101</f>
        <v>1460967.82</v>
      </c>
      <c r="F100" s="141" t="n">
        <f aca="false">E101</f>
        <v>1281061.87413333</v>
      </c>
      <c r="G100" s="141" t="n">
        <f aca="false">F101</f>
        <v>1310710.41381333</v>
      </c>
      <c r="H100" s="141" t="n">
        <f aca="false">G101</f>
        <v>1340968.71904</v>
      </c>
      <c r="I100" s="141" t="n">
        <f aca="false">H101</f>
        <v>1371836.78981333</v>
      </c>
      <c r="J100" s="141" t="n">
        <f aca="false">I101</f>
        <v>1403314.62613333</v>
      </c>
      <c r="K100" s="141" t="n">
        <f aca="false">J101</f>
        <v>1435402.228</v>
      </c>
      <c r="L100" s="141" t="n">
        <f aca="false">K101</f>
        <v>1468099.59541333</v>
      </c>
      <c r="M100" s="141" t="n">
        <f aca="false">L101</f>
        <v>1501406.72837333</v>
      </c>
      <c r="N100" s="141" t="n">
        <f aca="false">M101</f>
        <v>1535323.62688</v>
      </c>
      <c r="O100" s="141" t="n">
        <f aca="false">N101</f>
        <v>1604738.29093333</v>
      </c>
      <c r="P100" s="141" t="n">
        <f aca="false">O101</f>
        <v>1643363.52053333</v>
      </c>
      <c r="Q100" s="141" t="n">
        <f aca="false">P101</f>
        <v>1682598.51568</v>
      </c>
      <c r="R100" s="141" t="n">
        <f aca="false">Q101</f>
        <v>1722443.27637333</v>
      </c>
      <c r="S100" s="141" t="n">
        <f aca="false">R101</f>
        <v>1762897.80261333</v>
      </c>
      <c r="T100" s="141" t="n">
        <f aca="false">S101</f>
        <v>1803962.0944</v>
      </c>
      <c r="U100" s="141" t="n">
        <f aca="false">T101</f>
        <v>1872512.704</v>
      </c>
      <c r="V100" s="141" t="n">
        <f aca="false">U101</f>
        <v>1940363.15104</v>
      </c>
      <c r="W100" s="141" t="n">
        <f aca="false">V101</f>
        <v>2007513.43552</v>
      </c>
      <c r="X100" s="109"/>
    </row>
    <row r="101" customFormat="false" ht="15.75" hidden="false" customHeight="true" outlineLevel="0" collapsed="false">
      <c r="B101" s="140" t="s">
        <v>162</v>
      </c>
      <c r="C101" s="141" t="n">
        <v>0</v>
      </c>
      <c r="D101" s="141" t="n">
        <f aca="false">D99+D100</f>
        <v>1460967.82</v>
      </c>
      <c r="E101" s="141" t="n">
        <f aca="false">E99+E100</f>
        <v>1281061.87413333</v>
      </c>
      <c r="F101" s="141" t="n">
        <f aca="false">F99+F100</f>
        <v>1310710.41381333</v>
      </c>
      <c r="G101" s="141" t="n">
        <f aca="false">G99+G100</f>
        <v>1340968.71904</v>
      </c>
      <c r="H101" s="141" t="n">
        <f aca="false">H99+H100</f>
        <v>1371836.78981333</v>
      </c>
      <c r="I101" s="141" t="n">
        <f aca="false">I99+I100</f>
        <v>1403314.62613333</v>
      </c>
      <c r="J101" s="141" t="n">
        <f aca="false">J99+J100</f>
        <v>1435402.228</v>
      </c>
      <c r="K101" s="141" t="n">
        <f aca="false">K99+K100</f>
        <v>1468099.59541333</v>
      </c>
      <c r="L101" s="141" t="n">
        <f aca="false">L99+L100</f>
        <v>1501406.72837333</v>
      </c>
      <c r="M101" s="141" t="n">
        <f aca="false">M99+M100</f>
        <v>1535323.62688</v>
      </c>
      <c r="N101" s="141" t="n">
        <f aca="false">N99+N100</f>
        <v>1604738.29093333</v>
      </c>
      <c r="O101" s="141" t="n">
        <f aca="false">O99+O100</f>
        <v>1643363.52053333</v>
      </c>
      <c r="P101" s="141" t="n">
        <f aca="false">P99+P100</f>
        <v>1682598.51568</v>
      </c>
      <c r="Q101" s="141" t="n">
        <f aca="false">Q99+Q100</f>
        <v>1722443.27637333</v>
      </c>
      <c r="R101" s="141" t="n">
        <f aca="false">R99+R100</f>
        <v>1762897.80261333</v>
      </c>
      <c r="S101" s="141" t="n">
        <f aca="false">S99+S100</f>
        <v>1803962.0944</v>
      </c>
      <c r="T101" s="141" t="n">
        <f aca="false">T99+T100</f>
        <v>1872512.704</v>
      </c>
      <c r="U101" s="141" t="n">
        <f aca="false">U99+U100</f>
        <v>1940363.15104</v>
      </c>
      <c r="V101" s="141" t="n">
        <f aca="false">V99+V100</f>
        <v>2007513.43552</v>
      </c>
      <c r="W101" s="141" t="n">
        <f aca="false">W99+W100</f>
        <v>2073963.55744</v>
      </c>
      <c r="X101" s="109"/>
    </row>
    <row r="102" customFormat="false" ht="15.75" hidden="false" customHeight="true" outlineLevel="0" collapsed="false">
      <c r="B102" s="140"/>
      <c r="C102" s="140"/>
      <c r="D102" s="140"/>
      <c r="E102" s="140"/>
      <c r="F102" s="140"/>
      <c r="G102" s="140"/>
      <c r="H102" s="140"/>
      <c r="I102" s="140"/>
      <c r="J102" s="140"/>
      <c r="K102" s="140"/>
      <c r="L102" s="140"/>
      <c r="M102" s="140"/>
      <c r="N102" s="140"/>
      <c r="O102" s="140"/>
      <c r="P102" s="140"/>
      <c r="Q102" s="140"/>
      <c r="R102" s="140"/>
      <c r="S102" s="140"/>
      <c r="T102" s="140"/>
      <c r="U102" s="140"/>
      <c r="V102" s="140"/>
      <c r="W102" s="140"/>
      <c r="X102" s="140"/>
    </row>
    <row r="103" customFormat="false" ht="15.75" hidden="false" customHeight="true" outlineLevel="0" collapsed="false">
      <c r="B103" s="140"/>
      <c r="C103" s="140"/>
      <c r="D103" s="140"/>
      <c r="E103" s="140"/>
      <c r="F103" s="145"/>
      <c r="G103" s="140"/>
      <c r="H103" s="140"/>
      <c r="I103" s="140"/>
      <c r="J103" s="140"/>
      <c r="K103" s="140"/>
      <c r="L103" s="140"/>
      <c r="M103" s="140"/>
      <c r="N103" s="140"/>
      <c r="O103" s="140"/>
      <c r="P103" s="140"/>
      <c r="Q103" s="140"/>
      <c r="R103" s="140"/>
      <c r="S103" s="140"/>
      <c r="T103" s="140"/>
      <c r="U103" s="140"/>
      <c r="V103" s="140"/>
      <c r="W103" s="140"/>
      <c r="X103" s="140"/>
    </row>
    <row r="104" customFormat="false" ht="15.75" hidden="false" customHeight="true" outlineLevel="0" collapsed="false">
      <c r="B104" s="156" t="s">
        <v>163</v>
      </c>
      <c r="C104" s="157"/>
      <c r="D104" s="158" t="n">
        <f aca="false">-D94</f>
        <v>-2398550</v>
      </c>
      <c r="E104" s="144" t="n">
        <f aca="false">-E95-E96</f>
        <v>775197.288</v>
      </c>
      <c r="F104" s="144" t="n">
        <f aca="false">-F95-F96</f>
        <v>571740.45792</v>
      </c>
      <c r="G104" s="144" t="n">
        <f aca="false">-G95-G96</f>
        <v>577228.34784</v>
      </c>
      <c r="H104" s="144" t="n">
        <f aca="false">-H95-H96</f>
        <v>582716.23776</v>
      </c>
      <c r="I104" s="144" t="n">
        <f aca="false">-I95-I96</f>
        <v>588204.12768</v>
      </c>
      <c r="J104" s="144" t="n">
        <f aca="false">-J95-J96</f>
        <v>593692.0176</v>
      </c>
      <c r="K104" s="144" t="n">
        <f aca="false">-K95-K96</f>
        <v>599179.90752</v>
      </c>
      <c r="L104" s="144" t="n">
        <f aca="false">-L95-L96</f>
        <v>604667.79744</v>
      </c>
      <c r="M104" s="144" t="n">
        <f aca="false">-M95-M96</f>
        <v>610155.68736</v>
      </c>
      <c r="N104" s="144" t="n">
        <f aca="false">-N95-N96</f>
        <v>615643.57728</v>
      </c>
      <c r="O104" s="144" t="n">
        <f aca="false">-O95-O96</f>
        <v>652530.6672</v>
      </c>
      <c r="P104" s="144" t="n">
        <f aca="false">-P95-P96</f>
        <v>658018.55712</v>
      </c>
      <c r="Q104" s="144" t="n">
        <f aca="false">-Q95-Q96</f>
        <v>663506.44704</v>
      </c>
      <c r="R104" s="144" t="n">
        <f aca="false">-R95-R96</f>
        <v>668994.33696</v>
      </c>
      <c r="S104" s="144" t="n">
        <f aca="false">-S95-S96</f>
        <v>674482.22688</v>
      </c>
      <c r="T104" s="144" t="n">
        <f aca="false">-T95-T96</f>
        <v>1279607.6168</v>
      </c>
      <c r="U104" s="144" t="n">
        <f aca="false">-U95-U96</f>
        <v>1273306.15376</v>
      </c>
      <c r="V104" s="144" t="n">
        <f aca="false">-V95-V96</f>
        <v>1267004.69072</v>
      </c>
      <c r="W104" s="144" t="n">
        <f aca="false">-W95-W96</f>
        <v>1260703.22768</v>
      </c>
      <c r="X104" s="144" t="n">
        <f aca="false">-X95-X96</f>
        <v>2073963.55744</v>
      </c>
    </row>
    <row r="105" customFormat="false" ht="15.75" hidden="false" customHeight="true" outlineLevel="0" collapsed="false">
      <c r="B105" s="140" t="s">
        <v>75</v>
      </c>
      <c r="C105" s="159" t="n">
        <f aca="false">IRR(D104:X104)</f>
        <v>0.267199760466614</v>
      </c>
      <c r="D105" s="145"/>
      <c r="E105" s="145"/>
      <c r="F105" s="140"/>
      <c r="G105" s="140"/>
      <c r="H105" s="140"/>
      <c r="I105" s="140"/>
      <c r="J105" s="140"/>
      <c r="K105" s="140"/>
      <c r="L105" s="140"/>
      <c r="M105" s="140"/>
      <c r="N105" s="140"/>
      <c r="O105" s="140"/>
      <c r="P105" s="140"/>
      <c r="Q105" s="140"/>
      <c r="R105" s="140"/>
      <c r="S105" s="140"/>
      <c r="T105" s="140"/>
      <c r="U105" s="140"/>
      <c r="V105" s="140"/>
      <c r="W105" s="140"/>
      <c r="X105" s="140"/>
    </row>
    <row r="106" customFormat="false" ht="15.75" hidden="false" customHeight="true" outlineLevel="0" collapsed="false">
      <c r="B106" s="156" t="s">
        <v>164</v>
      </c>
      <c r="C106" s="157"/>
      <c r="D106" s="158" t="n">
        <f aca="false">D85-D94</f>
        <v>-1537219.68</v>
      </c>
      <c r="E106" s="144" t="n">
        <f aca="false">E85</f>
        <v>635267.175466667</v>
      </c>
      <c r="F106" s="144" t="n">
        <f aca="false">F85-F96</f>
        <v>641364.830933334</v>
      </c>
      <c r="G106" s="144" t="n">
        <f aca="false">G85-G96</f>
        <v>647462.4864</v>
      </c>
      <c r="H106" s="144" t="n">
        <f aca="false">H85-H96</f>
        <v>653560.141866667</v>
      </c>
      <c r="I106" s="144" t="n">
        <f aca="false">I85-I96</f>
        <v>659657.797333333</v>
      </c>
      <c r="J106" s="144" t="n">
        <f aca="false">J85-J96</f>
        <v>665755.4528</v>
      </c>
      <c r="K106" s="144" t="n">
        <f aca="false">K85-K96</f>
        <v>671853.108266667</v>
      </c>
      <c r="L106" s="144" t="n">
        <f aca="false">L85-L96</f>
        <v>677950.763733333</v>
      </c>
      <c r="M106" s="144" t="n">
        <f aca="false">M85-M96</f>
        <v>684048.4192</v>
      </c>
      <c r="N106" s="144" t="n">
        <f aca="false">N85-N96</f>
        <v>725034.074666667</v>
      </c>
      <c r="O106" s="144" t="n">
        <f aca="false">O85-O96</f>
        <v>731131.730133333</v>
      </c>
      <c r="P106" s="144" t="n">
        <f aca="false">P85-P96</f>
        <v>737229.3856</v>
      </c>
      <c r="Q106" s="144" t="n">
        <f aca="false">Q85-Q96</f>
        <v>743327.041066667</v>
      </c>
      <c r="R106" s="144" t="n">
        <f aca="false">R85-R96</f>
        <v>749424.696533333</v>
      </c>
      <c r="S106" s="144" t="n">
        <f aca="false">S85-S96</f>
        <v>755522.352</v>
      </c>
      <c r="T106" s="144" t="n">
        <f aca="false">T85-T96</f>
        <v>1348158.2264</v>
      </c>
      <c r="U106" s="144" t="n">
        <f aca="false">U85-U96</f>
        <v>1341156.6008</v>
      </c>
      <c r="V106" s="144" t="n">
        <f aca="false">V85-V96</f>
        <v>1334154.9752</v>
      </c>
      <c r="W106" s="144" t="n">
        <f aca="false">W85-W96</f>
        <v>1327153.3496</v>
      </c>
      <c r="X106" s="149"/>
    </row>
    <row r="107" customFormat="false" ht="15.75" hidden="false" customHeight="true" outlineLevel="0" collapsed="false">
      <c r="B107" s="156" t="s">
        <v>76</v>
      </c>
      <c r="C107" s="159" t="n">
        <f aca="false">IRR(D106:W106)</f>
        <v>0.424317954071956</v>
      </c>
      <c r="D107" s="145"/>
      <c r="E107" s="145"/>
      <c r="F107" s="140"/>
      <c r="G107" s="140"/>
      <c r="H107" s="140"/>
      <c r="I107" s="140"/>
      <c r="J107" s="140"/>
      <c r="K107" s="140"/>
      <c r="L107" s="140"/>
      <c r="M107" s="140"/>
      <c r="N107" s="140"/>
      <c r="O107" s="140"/>
      <c r="P107" s="140"/>
      <c r="Q107" s="140"/>
      <c r="R107" s="140"/>
      <c r="S107" s="140"/>
      <c r="T107" s="140"/>
      <c r="U107" s="140"/>
      <c r="V107" s="140"/>
      <c r="W107" s="140"/>
      <c r="X107" s="140"/>
    </row>
    <row r="108" customFormat="false" ht="15.75" hidden="false" customHeight="true" outlineLevel="0" collapsed="false">
      <c r="B108" s="140"/>
      <c r="C108" s="140"/>
      <c r="D108" s="140"/>
      <c r="E108" s="140"/>
      <c r="F108" s="140"/>
      <c r="G108" s="140"/>
      <c r="H108" s="140"/>
      <c r="I108" s="140"/>
      <c r="J108" s="140"/>
      <c r="K108" s="140"/>
      <c r="L108" s="140"/>
      <c r="M108" s="140"/>
      <c r="N108" s="140"/>
      <c r="O108" s="140"/>
      <c r="P108" s="140"/>
      <c r="Q108" s="140"/>
      <c r="R108" s="140"/>
      <c r="S108" s="140"/>
      <c r="T108" s="140"/>
      <c r="U108" s="140"/>
      <c r="V108" s="140"/>
      <c r="W108" s="140"/>
      <c r="X108" s="140"/>
    </row>
    <row r="109" customFormat="false" ht="15.75" hidden="false" customHeight="true" outlineLevel="0" collapsed="false">
      <c r="B109" s="140" t="s">
        <v>165</v>
      </c>
      <c r="C109" s="141" t="n">
        <v>0</v>
      </c>
      <c r="D109" s="141" t="n">
        <f aca="false">D92</f>
        <v>9594200</v>
      </c>
      <c r="E109" s="141" t="n">
        <f aca="false">D109+E93</f>
        <v>8954586.66666667</v>
      </c>
      <c r="F109" s="141" t="n">
        <f aca="false">E109+F93</f>
        <v>8314973.33333333</v>
      </c>
      <c r="G109" s="141" t="n">
        <f aca="false">F109+G93</f>
        <v>7675360</v>
      </c>
      <c r="H109" s="141" t="n">
        <f aca="false">G109+H93</f>
        <v>7035746.66666667</v>
      </c>
      <c r="I109" s="141" t="n">
        <f aca="false">H109+I93</f>
        <v>6396133.33333333</v>
      </c>
      <c r="J109" s="141" t="n">
        <f aca="false">I109+J93</f>
        <v>5756520</v>
      </c>
      <c r="K109" s="141" t="n">
        <f aca="false">J109+K93</f>
        <v>5116906.66666667</v>
      </c>
      <c r="L109" s="141" t="n">
        <f aca="false">K109+L93</f>
        <v>4477293.33333334</v>
      </c>
      <c r="M109" s="141" t="n">
        <f aca="false">L109+M93</f>
        <v>3837680</v>
      </c>
      <c r="N109" s="141" t="n">
        <f aca="false">M109+N93</f>
        <v>3198066.66666667</v>
      </c>
      <c r="O109" s="141" t="n">
        <f aca="false">N109+O93</f>
        <v>2558453.33333333</v>
      </c>
      <c r="P109" s="141" t="n">
        <f aca="false">O109+P93</f>
        <v>1918840</v>
      </c>
      <c r="Q109" s="141" t="n">
        <f aca="false">P109+Q93</f>
        <v>1279226.66666667</v>
      </c>
      <c r="R109" s="141" t="n">
        <f aca="false">Q109+R93</f>
        <v>639613.333333334</v>
      </c>
      <c r="S109" s="141" t="n">
        <f aca="false">R109+S93</f>
        <v>0</v>
      </c>
      <c r="T109" s="141" t="n">
        <f aca="false">S109+T93</f>
        <v>0</v>
      </c>
      <c r="U109" s="141" t="n">
        <f aca="false">T109+U93</f>
        <v>0</v>
      </c>
      <c r="V109" s="141" t="n">
        <f aca="false">U109+V93</f>
        <v>0</v>
      </c>
      <c r="W109" s="141" t="n">
        <f aca="false">V109+W93</f>
        <v>0</v>
      </c>
      <c r="X109" s="145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LibreOffice/26.2.1.2$Windows_X86_64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2026-04-12T05:27:38Z</dcterms:created>
  <dc:creator>openpyxl</dc:creator>
  <dc:description/>
  <dc:language>zh-TW</dc:language>
  <cp:lastModifiedBy>王竣生</cp:lastModifiedBy>
  <dcterms:modified xsi:type="dcterms:W3CDTF">2026-04-26T18:29:39Z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