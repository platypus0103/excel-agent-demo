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<sst xmlns="http://schemas.openxmlformats.org/spreadsheetml/2006/main" count="1306" uniqueCount="159">
  <si>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</si>
  <si>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</si>
  <si>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</si>
  <si>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</si>
  <si>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</si>
  <si>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</si>
  <si>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</si>
  <si>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</si>
  <si>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</si>
  <si>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</si>
  <si>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</si>
  <si>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</si>
  <si>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</si>
  <si>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</si>
  <si>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</si>
  <si>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</si>
  <si>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</si>
  <si>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</si>
  <si>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</si>
  <si>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</si>
  <si>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</si>
  <si>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</si>
  <si>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</si>
  <si>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</si>
  <si>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</si>
  <si>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</si>
  <si>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</si>
  <si>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</si>
  <si>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</si>
  <si>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</si>
  <si>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</si>
  <si>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</si>
  <si>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</si>
  <si>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</si>
  <si>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</si>
  <si>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</si>
  <si>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</si>
  <si>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</si>
  <si>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</si>
  <si>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</si>
  <si>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</si>
  <si>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</si>
  <si>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</si>
  <si>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</si>
  <si>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</si>
  <si>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</si>
  <si>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</si>
  <si>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</si>
  <si>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</si>
  <si>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</si>
  <si>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</si>
  <si>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</si>
  <si>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</si>
  <si>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</si>
  <si>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</si>
  <si>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</si>
  <si>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</si>
  <si>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</si>
  <si>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</si>
  <si>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</si>
  <si>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</si>
  <si>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</si>
  <si>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</si>
  <si>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</si>
  <si>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</si>
  <si>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</si>
  <si>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</si>
  <si>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</si>
  <si>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</si>
  <si>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</si>
  <si>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</si>
  <si>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</si>
  <si>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</si>
  <si>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</si>
  <si>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</si>
  <si>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</si>
  <si>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</si>
  <si>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</si>
  <si>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</si>
  <si>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</si>
  <si>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</si>
  <si>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
4/27，使用者將運維費用調整為500.0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</si>
  <si>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</si>
  <si>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</si>
  <si>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</si>
  <si>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</si>
  <si>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</si>
  <si>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電站基本資料</t>
  </si>
  <si>
    <t xml:space="preserve">情境編號: 1</t>
  </si>
  <si>
    <t xml:space="preserve">初始價金摘要</t>
  </si>
  <si>
    <t xml:space="preserve">價金: 30000</t>
  </si>
  <si>
    <t xml:space="preserve">綜合損益表</t>
  </si>
  <si>
    <t xml:space="preserve">專案IRR: 5.23</t>
  </si>
  <si>
    <t xml:space="preserve">權益法IRR: 12.97</t>
  </si>
  <si>
    <t xml:space="preserve">利潤率: 20.00%</t>
  </si>
  <si>
    <t xml:space="preserve">初始價金 - 現金模式，每次減少 2000 元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</si>
  <si>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</si>
  <si>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</si>
  <si>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</si>
  <si>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</si>
  <si>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</si>
  <si>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</si>
  <si>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</si>
  <si>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</si>
  <si>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</si>
  <si>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</si>
  <si>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</si>
  <si>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</si>
  <si>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</si>
  <si>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</si>
  <si>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</si>
  <si>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</si>
  <si>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</si>
  <si>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</si>
  <si>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</si>
  <si>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</si>
  <si>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</si>
  <si>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</si>
  <si>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</si>
  <si>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</si>
  <si>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</si>
  <si>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</si>
  <si>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</si>
  <si>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</si>
  <si>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</si>
  <si>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</si>
  <si>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</si>
  <si>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</si>
  <si>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</si>
  <si>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</si>
  <si>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</si>
  <si>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</si>
  <si>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</si>
  <si>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</si>
  <si>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</si>
  <si>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</si>
  <si>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28000</t>
  </si>
  <si>
    <t xml:space="preserve">專案IRR: 5.95</t>
  </si>
  <si>
    <t xml:space="preserve">權益法IRR: 15.85</t>
  </si>
  <si>
    <t xml:space="preserve">情境編號: 3</t>
  </si>
  <si>
    <t xml:space="preserve">第2次滾算摘要</t>
  </si>
  <si>
    <t xml:space="preserve">價金: 26000</t>
  </si>
  <si>
    <t xml:space="preserve">專案IRR: 6.74</t>
  </si>
  <si>
    <t xml:space="preserve">權益法IRR: 19.36</t>
  </si>
  <si>
    <t xml:space="preserve">情境編號: 4</t>
  </si>
  <si>
    <t xml:space="preserve">第3次滾算摘要</t>
  </si>
  <si>
    <t xml:space="preserve">價金: 24000</t>
  </si>
  <si>
    <t xml:space="preserve">專案IRR: 7.63</t>
  </si>
  <si>
    <t xml:space="preserve">權益法IRR: 23.76</t>
  </si>
  <si>
    <t xml:space="preserve">情境編號: 5</t>
  </si>
  <si>
    <t xml:space="preserve">第4次滾算摘要</t>
  </si>
  <si>
    <t xml:space="preserve">價金: 22000</t>
  </si>
  <si>
    <t xml:space="preserve">專案IRR: 8.64</t>
  </si>
  <si>
    <t xml:space="preserve">權益法IRR: 29.43</t>
  </si>
  <si>
    <t xml:space="preserve">情境編號: 6</t>
  </si>
  <si>
    <t xml:space="preserve">第5次滾算摘要</t>
  </si>
  <si>
    <t xml:space="preserve">價金: 20000</t>
  </si>
  <si>
    <t xml:space="preserve">專案IRR: 9.8</t>
  </si>
  <si>
    <t xml:space="preserve">權益法IRR: 37.04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</si>
</sst>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7" activeCellId="0" sqref="C17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30000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0.2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2500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21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35.05" hidden="false" customHeight="false" outlineLevel="0" collapsed="false">
      <c r="A2" s="1" t="n">
        <v>1</v>
      </c>
      <c r="B2" s="1" t="n">
        <v>30000</v>
      </c>
      <c r="C2" s="35" t="n">
        <v>0.0523</v>
      </c>
      <c r="D2" s="35" t="n">
        <v>0.1099</v>
      </c>
      <c r="E2" s="35" t="n">
        <v>0.1297</v>
      </c>
      <c r="F2" s="35" t="n">
        <v>0.2</v>
      </c>
      <c r="G2" s="1" t="n">
        <v>3270750</v>
      </c>
      <c r="H2" s="1" t="n">
        <v>7500</v>
      </c>
      <c r="I2" s="1" t="n">
        <v>2500</v>
      </c>
      <c r="J2" s="36" t="s">
        <v>81</v>
      </c>
    </row>
    <row r="3" customFormat="false" ht="15" hidden="false" customHeight="true" outlineLevel="0" collapsed="false">
      <c r="A3" s="1" t="n">
        <v>2</v>
      </c>
      <c r="B3" s="1" t="n">
        <v>28000</v>
      </c>
      <c r="C3" s="35" t="n">
        <v>0.0595</v>
      </c>
      <c r="D3" s="35" t="n">
        <v>0.1302</v>
      </c>
      <c r="E3" s="35" t="n">
        <v>0.1585</v>
      </c>
      <c r="F3" s="35" t="n">
        <v>0.2</v>
      </c>
      <c r="G3" s="1" t="n">
        <v>3052700</v>
      </c>
      <c r="H3" s="1" t="n">
        <v>7000</v>
      </c>
      <c r="I3" s="1" t="n">
        <v>2500</v>
      </c>
      <c r="J3" s="1" t="s">
        <v>82</v>
      </c>
    </row>
    <row r="4" customFormat="false" ht="15" hidden="false" customHeight="true" outlineLevel="0" collapsed="false">
      <c r="A4" s="1" t="n">
        <v>3</v>
      </c>
      <c r="B4" s="1" t="n">
        <v>26000</v>
      </c>
      <c r="C4" s="35" t="n">
        <v>0.0674</v>
      </c>
      <c r="D4" s="35" t="n">
        <v>0.1533</v>
      </c>
      <c r="E4" s="35" t="n">
        <v>0.1936</v>
      </c>
      <c r="F4" s="35" t="n">
        <v>0.2</v>
      </c>
      <c r="G4" s="1" t="n">
        <v>2834650</v>
      </c>
      <c r="H4" s="1" t="n">
        <v>6500</v>
      </c>
      <c r="I4" s="1" t="n">
        <v>2500</v>
      </c>
      <c r="J4" s="1" t="s">
        <v>83</v>
      </c>
    </row>
    <row r="5" customFormat="false" ht="15" hidden="false" customHeight="true" outlineLevel="0" collapsed="false">
      <c r="A5" s="1" t="n">
        <v>4</v>
      </c>
      <c r="B5" s="1" t="n">
        <v>24000</v>
      </c>
      <c r="C5" s="35" t="n">
        <v>0.0763</v>
      </c>
      <c r="D5" s="35" t="n">
        <v>0.1802</v>
      </c>
      <c r="E5" s="35" t="n">
        <v>0.2376</v>
      </c>
      <c r="F5" s="35" t="n">
        <v>0.2</v>
      </c>
      <c r="G5" s="1" t="n">
        <v>2616600</v>
      </c>
      <c r="H5" s="1" t="n">
        <v>6000</v>
      </c>
      <c r="I5" s="1" t="n">
        <v>2500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22000</v>
      </c>
      <c r="C6" s="35" t="n">
        <v>0.0864</v>
      </c>
      <c r="D6" s="35" t="n">
        <v>0.2119</v>
      </c>
      <c r="E6" s="35" t="n">
        <v>0.2943</v>
      </c>
      <c r="F6" s="35" t="n">
        <v>0.2</v>
      </c>
      <c r="G6" s="1" t="n">
        <v>2398550</v>
      </c>
      <c r="H6" s="1" t="n">
        <v>5500</v>
      </c>
      <c r="I6" s="1" t="n">
        <v>2500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20000</v>
      </c>
      <c r="C7" s="35" t="n">
        <v>0.098</v>
      </c>
      <c r="D7" s="35" t="n">
        <v>0.2498</v>
      </c>
      <c r="E7" s="35" t="n">
        <v>0.3704</v>
      </c>
      <c r="F7" s="35" t="n">
        <v>0.2</v>
      </c>
      <c r="G7" s="1" t="n">
        <v>2180500</v>
      </c>
      <c r="H7" s="1" t="n">
        <v>5000</v>
      </c>
      <c r="I7" s="1" t="n">
        <v>2500</v>
      </c>
      <c r="J7" s="1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87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88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89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90</v>
      </c>
    </row>
    <row r="7" customFormat="false" ht="22.5" hidden="false" customHeight="true" outlineLevel="0" collapsed="false">
      <c r="B7" s="2" t="s">
        <v>91</v>
      </c>
      <c r="C7" s="37"/>
      <c r="D7" s="37"/>
      <c r="E7" s="38"/>
      <c r="M7" s="1" t="s">
        <v>92</v>
      </c>
    </row>
    <row r="8" customFormat="false" ht="22.5" hidden="false" customHeight="true" outlineLevel="0" collapsed="false">
      <c r="B8" s="16" t="s">
        <v>14</v>
      </c>
      <c r="E8" s="46"/>
      <c r="M8" s="1" t="s">
        <v>93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95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96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30000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0.2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2500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500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97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98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99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100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101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102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103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104</v>
      </c>
      <c r="C44" s="103" t="n">
        <f aca="false">-(D16/(1-D17)+D18)*C4</f>
        <v>-17444000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105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106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107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108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109</v>
      </c>
      <c r="C49" s="94" t="s">
        <v>4</v>
      </c>
      <c r="D49" s="104" t="n">
        <v>-39249</v>
      </c>
      <c r="E49" s="104" t="n">
        <v>-39249</v>
      </c>
      <c r="F49" s="104" t="n">
        <v>-39249</v>
      </c>
      <c r="G49" s="104" t="n">
        <v>-39249</v>
      </c>
      <c r="H49" s="104" t="n">
        <v>-39249</v>
      </c>
      <c r="I49" s="104" t="n">
        <v>-39249</v>
      </c>
      <c r="J49" s="104" t="n">
        <v>-39249</v>
      </c>
      <c r="K49" s="104" t="n">
        <v>-39249</v>
      </c>
      <c r="L49" s="104" t="n">
        <v>-39249</v>
      </c>
      <c r="M49" s="104" t="n">
        <v>-39249</v>
      </c>
      <c r="N49" s="104" t="n">
        <v>-39249</v>
      </c>
      <c r="O49" s="104" t="n">
        <v>-39249</v>
      </c>
      <c r="P49" s="104" t="n">
        <v>-39249</v>
      </c>
      <c r="Q49" s="104" t="n">
        <v>-39249</v>
      </c>
      <c r="R49" s="104" t="n">
        <v>-39249</v>
      </c>
      <c r="S49" s="104" t="n">
        <v>-39249</v>
      </c>
      <c r="T49" s="104" t="n">
        <v>-39249</v>
      </c>
      <c r="U49" s="104" t="n">
        <v>-39249</v>
      </c>
      <c r="V49" s="104" t="n">
        <v>-39249</v>
      </c>
      <c r="W49" s="104" t="n">
        <v>-39249</v>
      </c>
      <c r="X49" s="104"/>
    </row>
    <row r="50" customFormat="false" ht="18.75" hidden="false" customHeight="true" outlineLevel="0" collapsed="false">
      <c r="B50" s="102" t="s">
        <v>110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111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112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113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114</v>
      </c>
      <c r="C54" s="105"/>
      <c r="D54" s="104" t="n">
        <f aca="false">-(D64+D67+D68+D71+D72+D73+D74)*0.2</f>
        <v>-149285.584</v>
      </c>
      <c r="E54" s="104" t="n">
        <f aca="false">-(E64+E67+E68+E71+E72+E73+E74)*0.2</f>
        <v>-147535.1776</v>
      </c>
      <c r="F54" s="104" t="n">
        <f aca="false">-(F64+F67+F68+F71+F72+F73+F74)*0.2</f>
        <v>-145784.7712</v>
      </c>
      <c r="G54" s="104" t="n">
        <f aca="false">-(G64+G67+G68+G71+G72+G73+G74)*0.2</f>
        <v>-144034.3648</v>
      </c>
      <c r="H54" s="104" t="n">
        <f aca="false">-(H64+H67+H68+H71+H72+H73+H74)*0.2</f>
        <v>-142283.9584</v>
      </c>
      <c r="I54" s="104" t="n">
        <f aca="false">-(I64+I67+I68+I71+I72+I73+I74)*0.2</f>
        <v>-140533.552</v>
      </c>
      <c r="J54" s="104" t="n">
        <f aca="false">-(J64+J67+J68+J71+J72+J73+J74)*0.2</f>
        <v>-138783.1456</v>
      </c>
      <c r="K54" s="104" t="n">
        <f aca="false">-(K64+K67+K68+K71+K72+K73+K74)*0.2</f>
        <v>-137032.7392</v>
      </c>
      <c r="L54" s="104" t="n">
        <f aca="false">-(L64+L67+L68+L71+L72+L73+L74)*0.2</f>
        <v>-135282.3328</v>
      </c>
      <c r="M54" s="104" t="n">
        <f aca="false">-(M64+M67+M68+M71+M72+M73+M74)*0.2</f>
        <v>-133531.9264</v>
      </c>
      <c r="N54" s="104" t="n">
        <f aca="false">-(N64+N67+N68+N71+N72+N73+N74)*0.2</f>
        <v>-140503.52</v>
      </c>
      <c r="O54" s="104" t="n">
        <f aca="false">-(O64+O67+O68+O71+O72+O73+O74)*0.2</f>
        <v>-138753.1136</v>
      </c>
      <c r="P54" s="104" t="n">
        <f aca="false">-(P64+P67+P68+P71+P72+P73+P74)*0.2</f>
        <v>-137002.7072</v>
      </c>
      <c r="Q54" s="104" t="n">
        <f aca="false">-(Q64+Q67+Q68+Q71+Q72+Q73+Q74)*0.2</f>
        <v>-135252.3008</v>
      </c>
      <c r="R54" s="104" t="n">
        <f aca="false">-(R64+R67+R68+R71+R72+R73+R74)*0.2</f>
        <v>-133501.8944</v>
      </c>
      <c r="S54" s="104" t="n">
        <f aca="false">-(S64+S67+S68+S71+S72+S73+S74)*0.2</f>
        <v>-131751.488</v>
      </c>
      <c r="T54" s="104" t="n">
        <f aca="false">-(T64+T67+T68+T71+T72+T73+T74)*0.2</f>
        <v>-130001.0816</v>
      </c>
      <c r="U54" s="104" t="n">
        <f aca="false">-(U64+U67+U68+U71+U72+U73+U74)*0.2</f>
        <v>-128250.6752</v>
      </c>
      <c r="V54" s="104" t="n">
        <f aca="false">-(V64+V67+V68+V71+V72+V73+V74)*0.2</f>
        <v>-126500.2688</v>
      </c>
      <c r="W54" s="104" t="n">
        <f aca="false">-(W64+W67+W68+W71+W72+W73+W74)*0.2</f>
        <v>-124749.8624</v>
      </c>
      <c r="X54" s="95"/>
    </row>
    <row r="55" customFormat="false" ht="18.75" hidden="false" customHeight="true" outlineLevel="0" collapsed="false">
      <c r="B55" s="107" t="s">
        <v>115</v>
      </c>
      <c r="C55" s="108" t="n">
        <f aca="false">C44</f>
        <v>-17444000</v>
      </c>
      <c r="D55" s="109" t="n">
        <f aca="false">SUM(D41:D54)</f>
        <v>1469342.336</v>
      </c>
      <c r="E55" s="109" t="n">
        <f aca="false">SUM(E41:E54)</f>
        <v>1462340.7104</v>
      </c>
      <c r="F55" s="109" t="n">
        <f aca="false">SUM(F41:F54)</f>
        <v>1455339.0848</v>
      </c>
      <c r="G55" s="109" t="n">
        <f aca="false">SUM(G41:G54)</f>
        <v>1448337.4592</v>
      </c>
      <c r="H55" s="109" t="n">
        <f aca="false">SUM(H41:H54)</f>
        <v>1441335.8336</v>
      </c>
      <c r="I55" s="109" t="n">
        <f aca="false">SUM(I41:I54)</f>
        <v>1434334.208</v>
      </c>
      <c r="J55" s="109" t="n">
        <f aca="false">SUM(J41:J54)</f>
        <v>1427332.5824</v>
      </c>
      <c r="K55" s="109" t="n">
        <f aca="false">SUM(K41:K54)</f>
        <v>1420330.9568</v>
      </c>
      <c r="L55" s="109" t="n">
        <f aca="false">SUM(L41:L54)</f>
        <v>1413329.3312</v>
      </c>
      <c r="M55" s="109" t="n">
        <f aca="false">SUM(M41:M54)</f>
        <v>1406327.7056</v>
      </c>
      <c r="N55" s="109" t="n">
        <f aca="false">SUM(N41:N54)</f>
        <v>1434214.08</v>
      </c>
      <c r="O55" s="109" t="n">
        <f aca="false">SUM(O41:O54)</f>
        <v>1427212.4544</v>
      </c>
      <c r="P55" s="109" t="n">
        <f aca="false">SUM(P41:P54)</f>
        <v>1420210.8288</v>
      </c>
      <c r="Q55" s="109" t="n">
        <f aca="false">SUM(Q41:Q54)</f>
        <v>1413209.2032</v>
      </c>
      <c r="R55" s="109" t="n">
        <f aca="false">SUM(R41:R54)</f>
        <v>1406207.5776</v>
      </c>
      <c r="S55" s="109" t="n">
        <f aca="false">SUM(S41:S54)</f>
        <v>1399205.952</v>
      </c>
      <c r="T55" s="109" t="n">
        <f aca="false">SUM(T41:T54)</f>
        <v>1392204.3264</v>
      </c>
      <c r="U55" s="109" t="n">
        <f aca="false">SUM(U41:U54)</f>
        <v>1385202.7008</v>
      </c>
      <c r="V55" s="109" t="n">
        <f aca="false">SUM(V41:V54)</f>
        <v>1378201.0752</v>
      </c>
      <c r="W55" s="109" t="n">
        <f aca="false">SUM(W41:W54)</f>
        <v>1371199.4496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116</v>
      </c>
      <c r="D56" s="114" t="n">
        <f aca="false">C55+D55</f>
        <v>-15974657.664</v>
      </c>
      <c r="E56" s="114" t="n">
        <f aca="false">D56+E55</f>
        <v>-14512316.9536</v>
      </c>
      <c r="F56" s="114" t="n">
        <f aca="false">E56+F55</f>
        <v>-13056977.8688</v>
      </c>
      <c r="G56" s="114" t="n">
        <f aca="false">F56+G55</f>
        <v>-11608640.4096</v>
      </c>
      <c r="H56" s="114" t="n">
        <f aca="false">G56+H55</f>
        <v>-10167304.576</v>
      </c>
      <c r="I56" s="114" t="n">
        <f aca="false">H56+I55</f>
        <v>-8732970.368</v>
      </c>
      <c r="J56" s="114" t="n">
        <f aca="false">I56+J55</f>
        <v>-7305637.7856</v>
      </c>
      <c r="K56" s="114" t="n">
        <f aca="false">J56+K55</f>
        <v>-5885306.8288</v>
      </c>
      <c r="L56" s="114" t="n">
        <f aca="false">K56+L55</f>
        <v>-4471977.4976</v>
      </c>
      <c r="M56" s="114" t="n">
        <f aca="false">L56+M55</f>
        <v>-3065649.792</v>
      </c>
      <c r="N56" s="114" t="n">
        <f aca="false">M56+N55</f>
        <v>-1631435.712</v>
      </c>
      <c r="O56" s="114" t="n">
        <f aca="false">N56+O55</f>
        <v>-204223.257600002</v>
      </c>
      <c r="P56" s="114" t="n">
        <f aca="false">O56+P55</f>
        <v>1215987.5712</v>
      </c>
      <c r="Q56" s="114" t="n">
        <f aca="false">P56+Q55</f>
        <v>2629196.7744</v>
      </c>
      <c r="R56" s="114" t="n">
        <f aca="false">Q56+R55</f>
        <v>4035404.352</v>
      </c>
      <c r="S56" s="114" t="n">
        <f aca="false">R56+S55</f>
        <v>5434610.304</v>
      </c>
      <c r="T56" s="114" t="n">
        <f aca="false">S56+T55</f>
        <v>6826814.6304</v>
      </c>
      <c r="U56" s="114" t="n">
        <f aca="false">T56+U55</f>
        <v>8212017.3312</v>
      </c>
      <c r="V56" s="114" t="n">
        <f aca="false">U56+V55</f>
        <v>9590218.4064</v>
      </c>
      <c r="W56" s="114" t="n">
        <f aca="false">V56+W55</f>
        <v>10961417.856</v>
      </c>
      <c r="X56" s="114" t="n">
        <f aca="false">W56+X55</f>
        <v>10961417.856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117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0.0523343223193817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98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118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99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100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101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102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103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119</v>
      </c>
      <c r="C67" s="94"/>
      <c r="D67" s="127" t="n">
        <f aca="false">$C$44/$E$16</f>
        <v>-872200</v>
      </c>
      <c r="E67" s="127" t="n">
        <f aca="false">$C$44/$E$16</f>
        <v>-872200</v>
      </c>
      <c r="F67" s="127" t="n">
        <f aca="false">$C$44/$E$16</f>
        <v>-872200</v>
      </c>
      <c r="G67" s="127" t="n">
        <f aca="false">$C$44/$E$16</f>
        <v>-872200</v>
      </c>
      <c r="H67" s="127" t="n">
        <f aca="false">$C$44/$E$16</f>
        <v>-872200</v>
      </c>
      <c r="I67" s="127" t="n">
        <f aca="false">$C$44/$E$16</f>
        <v>-872200</v>
      </c>
      <c r="J67" s="127" t="n">
        <f aca="false">$C$44/$E$16</f>
        <v>-872200</v>
      </c>
      <c r="K67" s="127" t="n">
        <f aca="false">$C$44/$E$16</f>
        <v>-872200</v>
      </c>
      <c r="L67" s="127" t="n">
        <f aca="false">$C$44/$E$16</f>
        <v>-872200</v>
      </c>
      <c r="M67" s="127" t="n">
        <f aca="false">$C$44/$E$16</f>
        <v>-872200</v>
      </c>
      <c r="N67" s="127" t="n">
        <f aca="false">$C$44/$E$16</f>
        <v>-872200</v>
      </c>
      <c r="O67" s="127" t="n">
        <f aca="false">$C$44/$E$16</f>
        <v>-872200</v>
      </c>
      <c r="P67" s="127" t="n">
        <f aca="false">$C$44/$E$16</f>
        <v>-872200</v>
      </c>
      <c r="Q67" s="127" t="n">
        <f aca="false">$C$44/$E$16</f>
        <v>-872200</v>
      </c>
      <c r="R67" s="127" t="n">
        <f aca="false">$C$44/$E$16</f>
        <v>-872200</v>
      </c>
      <c r="S67" s="127" t="n">
        <f aca="false">$C$44/$E$16</f>
        <v>-872200</v>
      </c>
      <c r="T67" s="127" t="n">
        <f aca="false">$C$44/$E$16</f>
        <v>-872200</v>
      </c>
      <c r="U67" s="127" t="n">
        <f aca="false">$C$44/$E$16</f>
        <v>-872200</v>
      </c>
      <c r="V67" s="127" t="n">
        <f aca="false">$C$44/$E$16</f>
        <v>-872200</v>
      </c>
      <c r="W67" s="127" t="n">
        <f aca="false">$C$44/$E$16</f>
        <v>-872200</v>
      </c>
      <c r="X67" s="97"/>
    </row>
    <row r="68" customFormat="false" ht="18.75" hidden="false" customHeight="true" outlineLevel="0" collapsed="false">
      <c r="B68" s="102" t="s">
        <v>105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106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107</v>
      </c>
      <c r="C70" s="94" t="s">
        <v>4</v>
      </c>
      <c r="D70" s="104" t="n">
        <f aca="false">-D109*$D25</f>
        <v>-357253.12</v>
      </c>
      <c r="E70" s="104" t="n">
        <f aca="false">-E109*$D25</f>
        <v>-333436.245333333</v>
      </c>
      <c r="F70" s="104" t="n">
        <f aca="false">-F109*$D25</f>
        <v>-309619.370666667</v>
      </c>
      <c r="G70" s="104" t="n">
        <f aca="false">-G109*$D25</f>
        <v>-285802.496</v>
      </c>
      <c r="H70" s="104" t="n">
        <f aca="false">-H109*$D25</f>
        <v>-261985.621333333</v>
      </c>
      <c r="I70" s="104" t="n">
        <f aca="false">-I109*$D25</f>
        <v>-238168.746666667</v>
      </c>
      <c r="J70" s="104" t="n">
        <f aca="false">-J109*$D25</f>
        <v>-214351.872</v>
      </c>
      <c r="K70" s="104" t="n">
        <f aca="false">-K109*$D25</f>
        <v>-190534.997333333</v>
      </c>
      <c r="L70" s="104" t="n">
        <f aca="false">-L109*$D25</f>
        <v>-166718.122666667</v>
      </c>
      <c r="M70" s="104" t="n">
        <f aca="false">-M109*$D25</f>
        <v>-142901.248</v>
      </c>
      <c r="N70" s="104" t="n">
        <f aca="false">-N109*$D25</f>
        <v>-119084.373333333</v>
      </c>
      <c r="O70" s="104" t="n">
        <f aca="false">-O109*$D25</f>
        <v>-95267.4986666665</v>
      </c>
      <c r="P70" s="104" t="n">
        <f aca="false">-P109*$D25</f>
        <v>-71450.6239999998</v>
      </c>
      <c r="Q70" s="104" t="n">
        <f aca="false">-Q109*$D25</f>
        <v>-47633.7493333331</v>
      </c>
      <c r="R70" s="104" t="n">
        <f aca="false">-R109*$D25</f>
        <v>-23816.8746666664</v>
      </c>
      <c r="S70" s="104" t="n">
        <f aca="false">-S109*$D25</f>
        <v>2.38418579101563E-010</v>
      </c>
      <c r="T70" s="104" t="n">
        <f aca="false">-T109*$D25</f>
        <v>2.38418579101563E-010</v>
      </c>
      <c r="U70" s="104" t="n">
        <f aca="false">-U109*$D25</f>
        <v>2.38418579101563E-010</v>
      </c>
      <c r="V70" s="104" t="n">
        <f aca="false">-V109*$D25</f>
        <v>2.38418579101563E-010</v>
      </c>
      <c r="W70" s="104" t="n">
        <f aca="false">-W109*$D25</f>
        <v>2.38418579101563E-010</v>
      </c>
      <c r="X70" s="97"/>
    </row>
    <row r="71" customFormat="false" ht="18.75" hidden="false" customHeight="true" outlineLevel="0" collapsed="false">
      <c r="B71" s="102" t="s">
        <v>108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109</v>
      </c>
      <c r="C72" s="94" t="s">
        <v>4</v>
      </c>
      <c r="D72" s="104" t="n">
        <f aca="false">D49</f>
        <v>-39249</v>
      </c>
      <c r="E72" s="104" t="n">
        <f aca="false">E49</f>
        <v>-39249</v>
      </c>
      <c r="F72" s="104" t="n">
        <f aca="false">F49</f>
        <v>-39249</v>
      </c>
      <c r="G72" s="104" t="n">
        <f aca="false">G49</f>
        <v>-39249</v>
      </c>
      <c r="H72" s="104" t="n">
        <f aca="false">H49</f>
        <v>-39249</v>
      </c>
      <c r="I72" s="104" t="n">
        <f aca="false">I49</f>
        <v>-39249</v>
      </c>
      <c r="J72" s="104" t="n">
        <f aca="false">J49</f>
        <v>-39249</v>
      </c>
      <c r="K72" s="104" t="n">
        <f aca="false">K49</f>
        <v>-39249</v>
      </c>
      <c r="L72" s="104" t="n">
        <f aca="false">L49</f>
        <v>-39249</v>
      </c>
      <c r="M72" s="104" t="n">
        <f aca="false">M49</f>
        <v>-39249</v>
      </c>
      <c r="N72" s="104" t="n">
        <f aca="false">N49</f>
        <v>-39249</v>
      </c>
      <c r="O72" s="104" t="n">
        <f aca="false">O49</f>
        <v>-39249</v>
      </c>
      <c r="P72" s="104" t="n">
        <f aca="false">P49</f>
        <v>-39249</v>
      </c>
      <c r="Q72" s="104" t="n">
        <f aca="false">Q49</f>
        <v>-39249</v>
      </c>
      <c r="R72" s="104" t="n">
        <f aca="false">R49</f>
        <v>-39249</v>
      </c>
      <c r="S72" s="104" t="n">
        <f aca="false">S49</f>
        <v>-39249</v>
      </c>
      <c r="T72" s="104" t="n">
        <f aca="false">T49</f>
        <v>-39249</v>
      </c>
      <c r="U72" s="104" t="n">
        <f aca="false">U49</f>
        <v>-39249</v>
      </c>
      <c r="V72" s="104" t="n">
        <f aca="false">V49</f>
        <v>-39249</v>
      </c>
      <c r="W72" s="104" t="n">
        <f aca="false">W49</f>
        <v>-39249</v>
      </c>
      <c r="X72" s="97"/>
    </row>
    <row r="73" customFormat="false" ht="18.75" hidden="false" customHeight="true" outlineLevel="0" collapsed="false">
      <c r="B73" s="102" t="s">
        <v>110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111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112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120</v>
      </c>
      <c r="C76" s="130"/>
      <c r="D76" s="109" t="n">
        <f aca="false">SUM(D64:D75)</f>
        <v>389174.8</v>
      </c>
      <c r="E76" s="109" t="n">
        <f aca="false">SUM(E64:E75)</f>
        <v>404239.642666667</v>
      </c>
      <c r="F76" s="109" t="n">
        <f aca="false">SUM(F64:F75)</f>
        <v>419304.485333334</v>
      </c>
      <c r="G76" s="109" t="n">
        <f aca="false">SUM(G64:G75)</f>
        <v>434369.328</v>
      </c>
      <c r="H76" s="109" t="n">
        <f aca="false">SUM(H64:H75)</f>
        <v>449434.170666667</v>
      </c>
      <c r="I76" s="109" t="n">
        <f aca="false">SUM(I64:I75)</f>
        <v>464499.013333333</v>
      </c>
      <c r="J76" s="109" t="n">
        <f aca="false">SUM(J64:J75)</f>
        <v>479563.856</v>
      </c>
      <c r="K76" s="109" t="n">
        <f aca="false">SUM(K64:K75)</f>
        <v>494628.698666667</v>
      </c>
      <c r="L76" s="109" t="n">
        <f aca="false">SUM(L64:L75)</f>
        <v>509693.541333333</v>
      </c>
      <c r="M76" s="109" t="n">
        <f aca="false">SUM(M64:M75)</f>
        <v>524758.384</v>
      </c>
      <c r="N76" s="109" t="n">
        <f aca="false">SUM(N64:N75)</f>
        <v>583433.226666667</v>
      </c>
      <c r="O76" s="109" t="n">
        <f aca="false">SUM(O64:O75)</f>
        <v>598498.069333334</v>
      </c>
      <c r="P76" s="109" t="n">
        <f aca="false">SUM(P64:P75)</f>
        <v>613562.912</v>
      </c>
      <c r="Q76" s="109" t="n">
        <f aca="false">SUM(Q64:Q75)</f>
        <v>628627.754666667</v>
      </c>
      <c r="R76" s="109" t="n">
        <f aca="false">SUM(R64:R75)</f>
        <v>643692.597333334</v>
      </c>
      <c r="S76" s="109" t="n">
        <f aca="false">SUM(S64:S75)</f>
        <v>658757.44</v>
      </c>
      <c r="T76" s="109" t="n">
        <f aca="false">SUM(T64:T75)</f>
        <v>650005.408</v>
      </c>
      <c r="U76" s="109" t="n">
        <f aca="false">SUM(U64:U75)</f>
        <v>641253.376</v>
      </c>
      <c r="V76" s="109" t="n">
        <f aca="false">SUM(V64:V75)</f>
        <v>632501.344</v>
      </c>
      <c r="W76" s="109" t="n">
        <f aca="false">SUM(W64:W75)</f>
        <v>623749.312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114</v>
      </c>
      <c r="C77" s="105"/>
      <c r="D77" s="104" t="n">
        <f aca="false">-D76*0.2</f>
        <v>-77834.96</v>
      </c>
      <c r="E77" s="104" t="n">
        <f aca="false">-E76*0.2</f>
        <v>-80847.9285333333</v>
      </c>
      <c r="F77" s="104" t="n">
        <f aca="false">-F76*0.2</f>
        <v>-83860.8970666667</v>
      </c>
      <c r="G77" s="104" t="n">
        <f aca="false">-G76*0.2</f>
        <v>-86873.8656</v>
      </c>
      <c r="H77" s="104" t="n">
        <f aca="false">-H76*0.2</f>
        <v>-89886.8341333334</v>
      </c>
      <c r="I77" s="104" t="n">
        <f aca="false">-I76*0.2</f>
        <v>-92899.8026666667</v>
      </c>
      <c r="J77" s="104" t="n">
        <f aca="false">-J76*0.2</f>
        <v>-95912.7712000001</v>
      </c>
      <c r="K77" s="104" t="n">
        <f aca="false">-K76*0.2</f>
        <v>-98925.7397333334</v>
      </c>
      <c r="L77" s="104" t="n">
        <f aca="false">-L76*0.2</f>
        <v>-101938.708266667</v>
      </c>
      <c r="M77" s="104" t="n">
        <f aca="false">-M76*0.2</f>
        <v>-104951.6768</v>
      </c>
      <c r="N77" s="104" t="n">
        <f aca="false">-N76*0.2</f>
        <v>-116686.645333333</v>
      </c>
      <c r="O77" s="104" t="n">
        <f aca="false">-O76*0.2</f>
        <v>-119699.613866667</v>
      </c>
      <c r="P77" s="104" t="n">
        <f aca="false">-P76*0.2</f>
        <v>-122712.5824</v>
      </c>
      <c r="Q77" s="104" t="n">
        <f aca="false">-Q76*0.2</f>
        <v>-125725.550933333</v>
      </c>
      <c r="R77" s="104" t="n">
        <f aca="false">-R76*0.2</f>
        <v>-128738.519466667</v>
      </c>
      <c r="S77" s="104" t="n">
        <f aca="false">-S76*0.2</f>
        <v>-131751.488</v>
      </c>
      <c r="T77" s="104" t="n">
        <f aca="false">-T76*0.2</f>
        <v>-130001.0816</v>
      </c>
      <c r="U77" s="104" t="n">
        <f aca="false">-U76*0.2</f>
        <v>-128250.6752</v>
      </c>
      <c r="V77" s="104" t="n">
        <f aca="false">-V76*0.2</f>
        <v>-126500.2688</v>
      </c>
      <c r="W77" s="104" t="n">
        <f aca="false">-W76*0.2</f>
        <v>-124749.8624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121</v>
      </c>
      <c r="D78" s="104" t="n">
        <f aca="false">SUM(D76:D77)</f>
        <v>311339.84</v>
      </c>
      <c r="E78" s="104" t="n">
        <f aca="false">SUM(E76:E77)</f>
        <v>323391.714133333</v>
      </c>
      <c r="F78" s="104" t="n">
        <f aca="false">SUM(F76:F77)</f>
        <v>335443.588266667</v>
      </c>
      <c r="G78" s="104" t="n">
        <f aca="false">SUM(G76:G77)</f>
        <v>347495.4624</v>
      </c>
      <c r="H78" s="104" t="n">
        <f aca="false">SUM(H76:H77)</f>
        <v>359547.336533333</v>
      </c>
      <c r="I78" s="104" t="n">
        <f aca="false">SUM(I76:I77)</f>
        <v>371599.210666667</v>
      </c>
      <c r="J78" s="104" t="n">
        <f aca="false">SUM(J76:J77)</f>
        <v>383651.0848</v>
      </c>
      <c r="K78" s="104" t="n">
        <f aca="false">SUM(K76:K77)</f>
        <v>395702.958933334</v>
      </c>
      <c r="L78" s="104" t="n">
        <f aca="false">SUM(L76:L77)</f>
        <v>407754.833066667</v>
      </c>
      <c r="M78" s="104" t="n">
        <f aca="false">SUM(M76:M77)</f>
        <v>419806.7072</v>
      </c>
      <c r="N78" s="104" t="n">
        <f aca="false">SUM(N76:N77)</f>
        <v>466746.581333333</v>
      </c>
      <c r="O78" s="104" t="n">
        <f aca="false">SUM(O76:O77)</f>
        <v>478798.455466667</v>
      </c>
      <c r="P78" s="104" t="n">
        <f aca="false">SUM(P76:P77)</f>
        <v>490850.3296</v>
      </c>
      <c r="Q78" s="104" t="n">
        <f aca="false">SUM(Q76:Q77)</f>
        <v>502902.203733334</v>
      </c>
      <c r="R78" s="104" t="n">
        <f aca="false">SUM(R76:R77)</f>
        <v>514954.077866667</v>
      </c>
      <c r="S78" s="104" t="n">
        <f aca="false">SUM(S76:S77)</f>
        <v>527005.952</v>
      </c>
      <c r="T78" s="104" t="n">
        <f aca="false">SUM(T76:T77)</f>
        <v>520004.3264</v>
      </c>
      <c r="U78" s="104" t="n">
        <f aca="false">SUM(U76:U77)</f>
        <v>513002.7008</v>
      </c>
      <c r="V78" s="104" t="n">
        <f aca="false">SUM(V76:V77)</f>
        <v>506001.0752</v>
      </c>
      <c r="W78" s="104" t="n">
        <f aca="false">SUM(W76:W77)</f>
        <v>498999.4496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116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117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98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99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121</v>
      </c>
      <c r="C85" s="142"/>
      <c r="D85" s="143" t="n">
        <f aca="false">D78</f>
        <v>311339.84</v>
      </c>
      <c r="E85" s="143" t="n">
        <f aca="false">E78</f>
        <v>323391.714133333</v>
      </c>
      <c r="F85" s="143" t="n">
        <f aca="false">F78</f>
        <v>335443.588266667</v>
      </c>
      <c r="G85" s="143" t="n">
        <f aca="false">G78</f>
        <v>347495.4624</v>
      </c>
      <c r="H85" s="143" t="n">
        <f aca="false">H78</f>
        <v>359547.336533333</v>
      </c>
      <c r="I85" s="143" t="n">
        <f aca="false">I78</f>
        <v>371599.210666667</v>
      </c>
      <c r="J85" s="143" t="n">
        <f aca="false">J78</f>
        <v>383651.0848</v>
      </c>
      <c r="K85" s="143" t="n">
        <f aca="false">K78</f>
        <v>395702.958933334</v>
      </c>
      <c r="L85" s="143" t="n">
        <f aca="false">L78</f>
        <v>407754.833066667</v>
      </c>
      <c r="M85" s="143" t="n">
        <f aca="false">M78</f>
        <v>419806.7072</v>
      </c>
      <c r="N85" s="143" t="n">
        <f aca="false">N78</f>
        <v>466746.581333333</v>
      </c>
      <c r="O85" s="143" t="n">
        <f aca="false">O78</f>
        <v>478798.455466667</v>
      </c>
      <c r="P85" s="143" t="n">
        <f aca="false">P78</f>
        <v>490850.3296</v>
      </c>
      <c r="Q85" s="143" t="n">
        <f aca="false">Q78</f>
        <v>502902.203733334</v>
      </c>
      <c r="R85" s="143" t="n">
        <f aca="false">R78</f>
        <v>514954.077866667</v>
      </c>
      <c r="S85" s="143" t="n">
        <f aca="false">S78</f>
        <v>527005.952</v>
      </c>
      <c r="T85" s="143" t="n">
        <f aca="false">T78</f>
        <v>520004.3264</v>
      </c>
      <c r="U85" s="143" t="n">
        <f aca="false">U78</f>
        <v>513002.7008</v>
      </c>
      <c r="V85" s="143" t="n">
        <f aca="false">V78</f>
        <v>506001.0752</v>
      </c>
      <c r="W85" s="143" t="n">
        <f aca="false">W78</f>
        <v>498999.4496</v>
      </c>
      <c r="X85" s="142"/>
      <c r="Y85" s="142"/>
    </row>
    <row r="86" customFormat="false" ht="15.75" hidden="false" customHeight="true" outlineLevel="0" collapsed="false">
      <c r="B86" s="142" t="s">
        <v>122</v>
      </c>
      <c r="C86" s="142"/>
      <c r="D86" s="144" t="n">
        <f aca="false">-D67</f>
        <v>872200</v>
      </c>
      <c r="E86" s="144" t="n">
        <f aca="false">-E67</f>
        <v>872200</v>
      </c>
      <c r="F86" s="144" t="n">
        <f aca="false">-F67</f>
        <v>872200</v>
      </c>
      <c r="G86" s="144" t="n">
        <f aca="false">-G67</f>
        <v>872200</v>
      </c>
      <c r="H86" s="144" t="n">
        <f aca="false">-H67</f>
        <v>872200</v>
      </c>
      <c r="I86" s="144" t="n">
        <f aca="false">-I67</f>
        <v>872200</v>
      </c>
      <c r="J86" s="144" t="n">
        <f aca="false">-J67</f>
        <v>872200</v>
      </c>
      <c r="K86" s="144" t="n">
        <f aca="false">-K67</f>
        <v>872200</v>
      </c>
      <c r="L86" s="144" t="n">
        <f aca="false">-L67</f>
        <v>872200</v>
      </c>
      <c r="M86" s="144" t="n">
        <f aca="false">-M67</f>
        <v>872200</v>
      </c>
      <c r="N86" s="144" t="n">
        <f aca="false">-N67</f>
        <v>872200</v>
      </c>
      <c r="O86" s="144" t="n">
        <f aca="false">-O67</f>
        <v>872200</v>
      </c>
      <c r="P86" s="144" t="n">
        <f aca="false">-P67</f>
        <v>872200</v>
      </c>
      <c r="Q86" s="144" t="n">
        <f aca="false">-Q67</f>
        <v>872200</v>
      </c>
      <c r="R86" s="144" t="n">
        <f aca="false">-R67</f>
        <v>872200</v>
      </c>
      <c r="S86" s="144" t="n">
        <f aca="false">-S67</f>
        <v>872200</v>
      </c>
      <c r="T86" s="144" t="n">
        <f aca="false">-T67</f>
        <v>872200</v>
      </c>
      <c r="U86" s="144" t="n">
        <f aca="false">-U67</f>
        <v>872200</v>
      </c>
      <c r="V86" s="144" t="n">
        <f aca="false">-V67</f>
        <v>872200</v>
      </c>
      <c r="W86" s="144" t="n">
        <f aca="false">-W67</f>
        <v>872200</v>
      </c>
      <c r="X86" s="145"/>
      <c r="Y86" s="145"/>
    </row>
    <row r="87" customFormat="false" ht="15.75" hidden="false" customHeight="true" outlineLevel="0" collapsed="false">
      <c r="B87" s="142" t="s">
        <v>123</v>
      </c>
      <c r="C87" s="142"/>
      <c r="D87" s="146" t="n">
        <f aca="false">SUM(D85:D86)</f>
        <v>1183539.84</v>
      </c>
      <c r="E87" s="146" t="n">
        <f aca="false">SUM(E85:E86)</f>
        <v>1195591.71413333</v>
      </c>
      <c r="F87" s="146" t="n">
        <f aca="false">SUM(F85:F86)</f>
        <v>1207643.58826667</v>
      </c>
      <c r="G87" s="146" t="n">
        <f aca="false">SUM(G85:G86)</f>
        <v>1219695.4624</v>
      </c>
      <c r="H87" s="146" t="n">
        <f aca="false">SUM(H85:H86)</f>
        <v>1231747.33653333</v>
      </c>
      <c r="I87" s="146" t="n">
        <f aca="false">SUM(I85:I86)</f>
        <v>1243799.21066667</v>
      </c>
      <c r="J87" s="146" t="n">
        <f aca="false">SUM(J85:J86)</f>
        <v>1255851.0848</v>
      </c>
      <c r="K87" s="146" t="n">
        <f aca="false">SUM(K85:K86)</f>
        <v>1267902.95893333</v>
      </c>
      <c r="L87" s="146" t="n">
        <f aca="false">SUM(L85:L86)</f>
        <v>1279954.83306667</v>
      </c>
      <c r="M87" s="146" t="n">
        <f aca="false">SUM(M85:M86)</f>
        <v>1292006.7072</v>
      </c>
      <c r="N87" s="146" t="n">
        <f aca="false">SUM(N85:N86)</f>
        <v>1338946.58133333</v>
      </c>
      <c r="O87" s="146" t="n">
        <f aca="false">SUM(O85:O86)</f>
        <v>1350998.45546667</v>
      </c>
      <c r="P87" s="146" t="n">
        <f aca="false">SUM(P85:P86)</f>
        <v>1363050.3296</v>
      </c>
      <c r="Q87" s="146" t="n">
        <f aca="false">SUM(Q85:Q86)</f>
        <v>1375102.20373333</v>
      </c>
      <c r="R87" s="146" t="n">
        <f aca="false">SUM(R85:R86)</f>
        <v>1387154.07786667</v>
      </c>
      <c r="S87" s="146" t="n">
        <f aca="false">SUM(S85:S86)</f>
        <v>1399205.952</v>
      </c>
      <c r="T87" s="146" t="n">
        <f aca="false">SUM(T85:T86)</f>
        <v>1392204.3264</v>
      </c>
      <c r="U87" s="146" t="n">
        <f aca="false">SUM(U85:U86)</f>
        <v>1385202.7008</v>
      </c>
      <c r="V87" s="146" t="n">
        <f aca="false">SUM(V85:V86)</f>
        <v>1378201.0752</v>
      </c>
      <c r="W87" s="146" t="n">
        <f aca="false">SUM(W85:W86)</f>
        <v>1371199.4496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124</v>
      </c>
      <c r="C89" s="149"/>
      <c r="D89" s="150" t="n">
        <f aca="false">C44</f>
        <v>-17444000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125</v>
      </c>
      <c r="C92" s="149"/>
      <c r="D92" s="150" t="n">
        <f aca="false">-D89*D31</f>
        <v>13955200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126</v>
      </c>
      <c r="C93" s="142"/>
      <c r="D93" s="152"/>
      <c r="E93" s="152" t="n">
        <v>-930346.666666667</v>
      </c>
      <c r="F93" s="152" t="n">
        <v>-930346.666666667</v>
      </c>
      <c r="G93" s="152" t="n">
        <v>-930346.666666667</v>
      </c>
      <c r="H93" s="152" t="n">
        <v>-930346.666666667</v>
      </c>
      <c r="I93" s="152" t="n">
        <v>-930346.666666667</v>
      </c>
      <c r="J93" s="152" t="n">
        <v>-930346.666666667</v>
      </c>
      <c r="K93" s="152" t="n">
        <v>-930346.666666667</v>
      </c>
      <c r="L93" s="152" t="n">
        <v>-930346.666666667</v>
      </c>
      <c r="M93" s="152" t="n">
        <v>-930346.666666667</v>
      </c>
      <c r="N93" s="152" t="n">
        <v>-930346.666666667</v>
      </c>
      <c r="O93" s="152" t="n">
        <v>-930346.666666667</v>
      </c>
      <c r="P93" s="152" t="n">
        <v>-930346.666666667</v>
      </c>
      <c r="Q93" s="152" t="n">
        <v>-930346.666666667</v>
      </c>
      <c r="R93" s="152" t="n">
        <v>-930346.666666667</v>
      </c>
      <c r="S93" s="152" t="n">
        <v>-930346.666666667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127</v>
      </c>
      <c r="C94" s="147"/>
      <c r="D94" s="143" t="n">
        <f aca="false">-D89*(1-D31)</f>
        <v>3488800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-280205.856</v>
      </c>
      <c r="F95" s="153" t="n">
        <f aca="false">-E85*$D$33</f>
        <v>-291052.54272</v>
      </c>
      <c r="G95" s="153" t="n">
        <f aca="false">-F85*$D$33</f>
        <v>-301899.22944</v>
      </c>
      <c r="H95" s="153" t="n">
        <f aca="false">-G85*$D$33</f>
        <v>-312745.91616</v>
      </c>
      <c r="I95" s="153" t="n">
        <f aca="false">-H85*$D$33</f>
        <v>-323592.60288</v>
      </c>
      <c r="J95" s="153" t="n">
        <f aca="false">-I85*$D$33</f>
        <v>-334439.2896</v>
      </c>
      <c r="K95" s="153" t="n">
        <f aca="false">-J85*$D$33</f>
        <v>-345285.97632</v>
      </c>
      <c r="L95" s="153" t="n">
        <f aca="false">-K85*$D$33</f>
        <v>-356132.66304</v>
      </c>
      <c r="M95" s="153" t="n">
        <f aca="false">-L85*$D$33</f>
        <v>-366979.34976</v>
      </c>
      <c r="N95" s="153" t="n">
        <f aca="false">-M85*$D$33</f>
        <v>-377826.03648</v>
      </c>
      <c r="O95" s="153" t="n">
        <f aca="false">-N85*$D$33</f>
        <v>-420071.9232</v>
      </c>
      <c r="P95" s="153" t="n">
        <f aca="false">-O85*$D$33</f>
        <v>-430918.60992</v>
      </c>
      <c r="Q95" s="153" t="n">
        <f aca="false">-P85*$D$33</f>
        <v>-441765.29664</v>
      </c>
      <c r="R95" s="153" t="n">
        <f aca="false">-Q85*$D$33</f>
        <v>-452611.98336</v>
      </c>
      <c r="S95" s="153" t="n">
        <f aca="false">-R85*$D$33</f>
        <v>-463458.67008</v>
      </c>
      <c r="T95" s="153" t="n">
        <f aca="false">-S85*$D$33</f>
        <v>-474305.3568</v>
      </c>
      <c r="U95" s="153" t="n">
        <f aca="false">-T85*$D$33</f>
        <v>-468003.89376</v>
      </c>
      <c r="V95" s="153" t="n">
        <f aca="false">-U85*$D$33</f>
        <v>-461702.43072</v>
      </c>
      <c r="W95" s="153" t="n">
        <f aca="false">-V85*$D$33</f>
        <v>-455400.96768</v>
      </c>
      <c r="X95" s="153" t="n">
        <f aca="false">-W85*$D$33</f>
        <v>-449099.50464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-872200</v>
      </c>
      <c r="U96" s="156" t="n">
        <v>-872200</v>
      </c>
      <c r="V96" s="156" t="n">
        <v>-872200</v>
      </c>
      <c r="W96" s="156" t="n">
        <v>-872200</v>
      </c>
      <c r="X96" s="157" t="n">
        <f aca="false">-W101-X95</f>
        <v>-867499.788799994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128</v>
      </c>
      <c r="C99" s="143" t="n">
        <v>0</v>
      </c>
      <c r="D99" s="143" t="n">
        <f aca="false">SUM(D87:D96)</f>
        <v>1183539.84</v>
      </c>
      <c r="E99" s="143" t="n">
        <f aca="false">SUM(E87:E96)</f>
        <v>-14960.8085333338</v>
      </c>
      <c r="F99" s="143" t="n">
        <f aca="false">SUM(F87:F96)</f>
        <v>-13755.6211199999</v>
      </c>
      <c r="G99" s="143" t="n">
        <f aca="false">SUM(G87:G96)</f>
        <v>-12550.4337066671</v>
      </c>
      <c r="H99" s="143" t="n">
        <f aca="false">SUM(H87:H96)</f>
        <v>-11345.2462933337</v>
      </c>
      <c r="I99" s="143" t="n">
        <f aca="false">SUM(I87:I96)</f>
        <v>-10140.0588800003</v>
      </c>
      <c r="J99" s="143" t="n">
        <f aca="false">SUM(J87:J96)</f>
        <v>-8934.87146666664</v>
      </c>
      <c r="K99" s="143" t="n">
        <f aca="false">SUM(K87:K96)</f>
        <v>-7729.68405333377</v>
      </c>
      <c r="L99" s="143" t="n">
        <f aca="false">SUM(L87:L96)</f>
        <v>-6524.49664000043</v>
      </c>
      <c r="M99" s="143" t="n">
        <f aca="false">SUM(M87:M96)</f>
        <v>-5319.30922666693</v>
      </c>
      <c r="N99" s="143" t="n">
        <f aca="false">SUM(N87:N96)</f>
        <v>30773.8781866662</v>
      </c>
      <c r="O99" s="143" t="n">
        <f aca="false">SUM(O87:O96)</f>
        <v>579.865599999728</v>
      </c>
      <c r="P99" s="143" t="n">
        <f aca="false">SUM(P87:P96)</f>
        <v>1785.05301333289</v>
      </c>
      <c r="Q99" s="143" t="n">
        <f aca="false">SUM(Q87:Q96)</f>
        <v>2990.24042666639</v>
      </c>
      <c r="R99" s="143" t="n">
        <f aca="false">SUM(R87:R96)</f>
        <v>4195.42783999955</v>
      </c>
      <c r="S99" s="143" t="n">
        <f aca="false">SUM(S87:S96)</f>
        <v>5400.61525333294</v>
      </c>
      <c r="T99" s="143" t="n">
        <f aca="false">SUM(T87:T96)</f>
        <v>45698.9696</v>
      </c>
      <c r="U99" s="143" t="n">
        <f aca="false">SUM(U87:U96)</f>
        <v>44998.8070400002</v>
      </c>
      <c r="V99" s="143" t="n">
        <f aca="false">SUM(V87:V96)</f>
        <v>44298.64448</v>
      </c>
      <c r="W99" s="143" t="n">
        <f aca="false">SUM(W87:W96)</f>
        <v>43598.4819200002</v>
      </c>
      <c r="X99" s="112"/>
    </row>
    <row r="100" customFormat="false" ht="15.75" hidden="false" customHeight="true" outlineLevel="0" collapsed="false">
      <c r="B100" s="142" t="s">
        <v>129</v>
      </c>
      <c r="C100" s="143" t="n">
        <v>0</v>
      </c>
      <c r="D100" s="143" t="n">
        <f aca="false">C101</f>
        <v>0</v>
      </c>
      <c r="E100" s="143" t="n">
        <f aca="false">D101</f>
        <v>1183539.84</v>
      </c>
      <c r="F100" s="143" t="n">
        <f aca="false">E101</f>
        <v>1168579.03146667</v>
      </c>
      <c r="G100" s="143" t="n">
        <f aca="false">F101</f>
        <v>1154823.41034667</v>
      </c>
      <c r="H100" s="143" t="n">
        <f aca="false">G101</f>
        <v>1142272.97664</v>
      </c>
      <c r="I100" s="143" t="n">
        <f aca="false">H101</f>
        <v>1130927.73034666</v>
      </c>
      <c r="J100" s="143" t="n">
        <f aca="false">I101</f>
        <v>1120787.67146666</v>
      </c>
      <c r="K100" s="143" t="n">
        <f aca="false">J101</f>
        <v>1111852.8</v>
      </c>
      <c r="L100" s="143" t="n">
        <f aca="false">K101</f>
        <v>1104123.11594666</v>
      </c>
      <c r="M100" s="143" t="n">
        <f aca="false">L101</f>
        <v>1097598.61930666</v>
      </c>
      <c r="N100" s="143" t="n">
        <f aca="false">M101</f>
        <v>1092279.31008</v>
      </c>
      <c r="O100" s="143" t="n">
        <f aca="false">N101</f>
        <v>1123053.18826666</v>
      </c>
      <c r="P100" s="143" t="n">
        <f aca="false">O101</f>
        <v>1123633.05386666</v>
      </c>
      <c r="Q100" s="143" t="n">
        <f aca="false">P101</f>
        <v>1125418.10688</v>
      </c>
      <c r="R100" s="143" t="n">
        <f aca="false">Q101</f>
        <v>1128408.34730666</v>
      </c>
      <c r="S100" s="143" t="n">
        <f aca="false">R101</f>
        <v>1132603.77514666</v>
      </c>
      <c r="T100" s="143" t="n">
        <f aca="false">S101</f>
        <v>1138004.39039999</v>
      </c>
      <c r="U100" s="143" t="n">
        <f aca="false">T101</f>
        <v>1183703.35999999</v>
      </c>
      <c r="V100" s="143" t="n">
        <f aca="false">U101</f>
        <v>1228702.16703999</v>
      </c>
      <c r="W100" s="143" t="n">
        <f aca="false">V101</f>
        <v>1273000.81151999</v>
      </c>
      <c r="X100" s="111"/>
    </row>
    <row r="101" customFormat="false" ht="15.75" hidden="false" customHeight="true" outlineLevel="0" collapsed="false">
      <c r="B101" s="142" t="s">
        <v>130</v>
      </c>
      <c r="C101" s="143" t="n">
        <v>0</v>
      </c>
      <c r="D101" s="143" t="n">
        <f aca="false">D99+D100</f>
        <v>1183539.84</v>
      </c>
      <c r="E101" s="143" t="n">
        <f aca="false">E99+E100</f>
        <v>1168579.03146667</v>
      </c>
      <c r="F101" s="143" t="n">
        <f aca="false">F99+F100</f>
        <v>1154823.41034667</v>
      </c>
      <c r="G101" s="143" t="n">
        <f aca="false">G99+G100</f>
        <v>1142272.97664</v>
      </c>
      <c r="H101" s="143" t="n">
        <f aca="false">H99+H100</f>
        <v>1130927.73034666</v>
      </c>
      <c r="I101" s="143" t="n">
        <f aca="false">I99+I100</f>
        <v>1120787.67146666</v>
      </c>
      <c r="J101" s="143" t="n">
        <f aca="false">J99+J100</f>
        <v>1111852.8</v>
      </c>
      <c r="K101" s="143" t="n">
        <f aca="false">K99+K100</f>
        <v>1104123.11594666</v>
      </c>
      <c r="L101" s="143" t="n">
        <f aca="false">L99+L100</f>
        <v>1097598.61930666</v>
      </c>
      <c r="M101" s="143" t="n">
        <f aca="false">M99+M100</f>
        <v>1092279.31008</v>
      </c>
      <c r="N101" s="143" t="n">
        <f aca="false">N99+N100</f>
        <v>1123053.18826666</v>
      </c>
      <c r="O101" s="143" t="n">
        <f aca="false">O99+O100</f>
        <v>1123633.05386666</v>
      </c>
      <c r="P101" s="143" t="n">
        <f aca="false">P99+P100</f>
        <v>1125418.10688</v>
      </c>
      <c r="Q101" s="143" t="n">
        <f aca="false">Q99+Q100</f>
        <v>1128408.34730666</v>
      </c>
      <c r="R101" s="143" t="n">
        <f aca="false">R99+R100</f>
        <v>1132603.77514666</v>
      </c>
      <c r="S101" s="143" t="n">
        <f aca="false">S99+S100</f>
        <v>1138004.39039999</v>
      </c>
      <c r="T101" s="143" t="n">
        <f aca="false">T99+T100</f>
        <v>1183703.35999999</v>
      </c>
      <c r="U101" s="143" t="n">
        <f aca="false">U99+U100</f>
        <v>1228702.16703999</v>
      </c>
      <c r="V101" s="143" t="n">
        <f aca="false">V99+V100</f>
        <v>1273000.81151999</v>
      </c>
      <c r="W101" s="143" t="n">
        <f aca="false">W99+W100</f>
        <v>1316599.29343999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131</v>
      </c>
      <c r="C104" s="159"/>
      <c r="D104" s="160" t="n">
        <f aca="false">-D94</f>
        <v>-3488800</v>
      </c>
      <c r="E104" s="146" t="n">
        <f aca="false">-E95-E96</f>
        <v>280205.856</v>
      </c>
      <c r="F104" s="146" t="n">
        <f aca="false">-F95-F96</f>
        <v>291052.54272</v>
      </c>
      <c r="G104" s="146" t="n">
        <f aca="false">-G95-G96</f>
        <v>301899.22944</v>
      </c>
      <c r="H104" s="146" t="n">
        <f aca="false">-H95-H96</f>
        <v>312745.91616</v>
      </c>
      <c r="I104" s="146" t="n">
        <f aca="false">-I95-I96</f>
        <v>323592.60288</v>
      </c>
      <c r="J104" s="146" t="n">
        <f aca="false">-J95-J96</f>
        <v>334439.2896</v>
      </c>
      <c r="K104" s="146" t="n">
        <f aca="false">-K95-K96</f>
        <v>345285.97632</v>
      </c>
      <c r="L104" s="146" t="n">
        <f aca="false">-L95-L96</f>
        <v>356132.66304</v>
      </c>
      <c r="M104" s="146" t="n">
        <f aca="false">-M95-M96</f>
        <v>366979.34976</v>
      </c>
      <c r="N104" s="146" t="n">
        <f aca="false">-N95-N96</f>
        <v>377826.03648</v>
      </c>
      <c r="O104" s="146" t="n">
        <f aca="false">-O95-O96</f>
        <v>420071.9232</v>
      </c>
      <c r="P104" s="146" t="n">
        <f aca="false">-P95-P96</f>
        <v>430918.60992</v>
      </c>
      <c r="Q104" s="146" t="n">
        <f aca="false">-Q95-Q96</f>
        <v>441765.29664</v>
      </c>
      <c r="R104" s="146" t="n">
        <f aca="false">-R95-R96</f>
        <v>452611.98336</v>
      </c>
      <c r="S104" s="146" t="n">
        <f aca="false">-S95-S96</f>
        <v>463458.67008</v>
      </c>
      <c r="T104" s="146" t="n">
        <f aca="false">-T95-T96</f>
        <v>1346505.3568</v>
      </c>
      <c r="U104" s="146" t="n">
        <f aca="false">-U95-U96</f>
        <v>1340203.89376</v>
      </c>
      <c r="V104" s="146" t="n">
        <f aca="false">-V95-V96</f>
        <v>1333902.43072</v>
      </c>
      <c r="W104" s="146" t="n">
        <f aca="false">-W95-W96</f>
        <v>1327600.96768</v>
      </c>
      <c r="X104" s="146" t="n">
        <f aca="false">-X95-X96</f>
        <v>1316599.29343999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0.109928061284451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132</v>
      </c>
      <c r="C106" s="159"/>
      <c r="D106" s="160" t="n">
        <f aca="false">D85-D94</f>
        <v>-3177460.16</v>
      </c>
      <c r="E106" s="146" t="n">
        <f aca="false">E85</f>
        <v>323391.714133333</v>
      </c>
      <c r="F106" s="146" t="n">
        <f aca="false">F85-F96</f>
        <v>335443.588266667</v>
      </c>
      <c r="G106" s="146" t="n">
        <f aca="false">G85-G96</f>
        <v>347495.4624</v>
      </c>
      <c r="H106" s="146" t="n">
        <f aca="false">H85-H96</f>
        <v>359547.336533333</v>
      </c>
      <c r="I106" s="146" t="n">
        <f aca="false">I85-I96</f>
        <v>371599.210666667</v>
      </c>
      <c r="J106" s="146" t="n">
        <f aca="false">J85-J96</f>
        <v>383651.0848</v>
      </c>
      <c r="K106" s="146" t="n">
        <f aca="false">K85-K96</f>
        <v>395702.958933334</v>
      </c>
      <c r="L106" s="146" t="n">
        <f aca="false">L85-L96</f>
        <v>407754.833066667</v>
      </c>
      <c r="M106" s="146" t="n">
        <f aca="false">M85-M96</f>
        <v>419806.7072</v>
      </c>
      <c r="N106" s="146" t="n">
        <f aca="false">N85-N96</f>
        <v>466746.581333333</v>
      </c>
      <c r="O106" s="146" t="n">
        <f aca="false">O85-O96</f>
        <v>478798.455466667</v>
      </c>
      <c r="P106" s="146" t="n">
        <f aca="false">P85-P96</f>
        <v>490850.3296</v>
      </c>
      <c r="Q106" s="146" t="n">
        <f aca="false">Q85-Q96</f>
        <v>502902.203733334</v>
      </c>
      <c r="R106" s="146" t="n">
        <f aca="false">R85-R96</f>
        <v>514954.077866667</v>
      </c>
      <c r="S106" s="146" t="n">
        <f aca="false">S85-S96</f>
        <v>527005.952</v>
      </c>
      <c r="T106" s="146" t="n">
        <f aca="false">T85-T96</f>
        <v>1392204.3264</v>
      </c>
      <c r="U106" s="146" t="n">
        <f aca="false">U85-U96</f>
        <v>1385202.7008</v>
      </c>
      <c r="V106" s="146" t="n">
        <f aca="false">V85-V96</f>
        <v>1378201.0752</v>
      </c>
      <c r="W106" s="146" t="n">
        <f aca="false">W85-W96</f>
        <v>1371199.4496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0.129723677175566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133</v>
      </c>
      <c r="C109" s="143" t="n">
        <v>0</v>
      </c>
      <c r="D109" s="143" t="n">
        <f aca="false">D92</f>
        <v>13955200</v>
      </c>
      <c r="E109" s="143" t="n">
        <f aca="false">D109+E93</f>
        <v>13024853.3333333</v>
      </c>
      <c r="F109" s="143" t="n">
        <f aca="false">E109+F93</f>
        <v>12094506.6666667</v>
      </c>
      <c r="G109" s="143" t="n">
        <f aca="false">F109+G93</f>
        <v>11164160</v>
      </c>
      <c r="H109" s="143" t="n">
        <f aca="false">G109+H93</f>
        <v>10233813.3333333</v>
      </c>
      <c r="I109" s="143" t="n">
        <f aca="false">H109+I93</f>
        <v>9303466.66666666</v>
      </c>
      <c r="J109" s="143" t="n">
        <f aca="false">I109+J93</f>
        <v>8373119.99999999</v>
      </c>
      <c r="K109" s="143" t="n">
        <f aca="false">J109+K93</f>
        <v>7442773.33333333</v>
      </c>
      <c r="L109" s="143" t="n">
        <f aca="false">K109+L93</f>
        <v>6512426.66666666</v>
      </c>
      <c r="M109" s="143" t="n">
        <f aca="false">L109+M93</f>
        <v>5582079.99999999</v>
      </c>
      <c r="N109" s="143" t="n">
        <f aca="false">M109+N93</f>
        <v>4651733.33333333</v>
      </c>
      <c r="O109" s="143" t="n">
        <f aca="false">N109+O93</f>
        <v>3721386.66666666</v>
      </c>
      <c r="P109" s="143" t="n">
        <f aca="false">O109+P93</f>
        <v>2791039.99999999</v>
      </c>
      <c r="Q109" s="143" t="n">
        <f aca="false">P109+Q93</f>
        <v>1860693.33333332</v>
      </c>
      <c r="R109" s="143" t="n">
        <f aca="false">Q109+R93</f>
        <v>930346.666666658</v>
      </c>
      <c r="S109" s="143" t="n">
        <f aca="false">R109+S93</f>
        <v>-9.31322574615479E-009</v>
      </c>
      <c r="T109" s="143" t="n">
        <f aca="false">S109+T93</f>
        <v>-9.31322574615479E-009</v>
      </c>
      <c r="U109" s="143" t="n">
        <f aca="false">T109+U93</f>
        <v>-9.31322574615479E-009</v>
      </c>
      <c r="V109" s="143" t="n">
        <f aca="false">U109+V93</f>
        <v>-9.31322574615479E-009</v>
      </c>
      <c r="W109" s="143" t="n">
        <f aca="false">V109+W93</f>
        <v>-9.31322574615479E-009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87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134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135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136</v>
      </c>
    </row>
    <row r="7" customFormat="false" ht="22.5" hidden="false" customHeight="true" outlineLevel="0" collapsed="false">
      <c r="B7" s="2" t="s">
        <v>91</v>
      </c>
      <c r="C7" s="37"/>
      <c r="D7" s="37"/>
      <c r="E7" s="38"/>
      <c r="M7" s="1" t="s">
        <v>137</v>
      </c>
    </row>
    <row r="8" customFormat="false" ht="22.5" hidden="false" customHeight="true" outlineLevel="0" collapsed="false">
      <c r="B8" s="16" t="s">
        <v>14</v>
      </c>
      <c r="E8" s="46"/>
      <c r="M8" s="1" t="s">
        <v>138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82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96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28000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0.2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2500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97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98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99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100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101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102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103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104</v>
      </c>
      <c r="C44" s="103" t="n">
        <f aca="false">-(D16/(1-D17)+D18)*C4</f>
        <v>-16353750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105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106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107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108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109</v>
      </c>
      <c r="C49" s="94" t="s">
        <v>4</v>
      </c>
      <c r="D49" s="104" t="n">
        <v>-36632.4</v>
      </c>
      <c r="E49" s="104" t="n">
        <v>-36632.4</v>
      </c>
      <c r="F49" s="104" t="n">
        <v>-36632.4</v>
      </c>
      <c r="G49" s="104" t="n">
        <v>-36632.4</v>
      </c>
      <c r="H49" s="104" t="n">
        <v>-36632.4</v>
      </c>
      <c r="I49" s="104" t="n">
        <v>-36632.4</v>
      </c>
      <c r="J49" s="104" t="n">
        <v>-36632.4</v>
      </c>
      <c r="K49" s="104" t="n">
        <v>-36632.4</v>
      </c>
      <c r="L49" s="104" t="n">
        <v>-36632.4</v>
      </c>
      <c r="M49" s="104" t="n">
        <v>-36632.4</v>
      </c>
      <c r="N49" s="104" t="n">
        <v>-36632.4</v>
      </c>
      <c r="O49" s="104" t="n">
        <v>-36632.4</v>
      </c>
      <c r="P49" s="104" t="n">
        <v>-36632.4</v>
      </c>
      <c r="Q49" s="104" t="n">
        <v>-36632.4</v>
      </c>
      <c r="R49" s="104" t="n">
        <v>-36632.4</v>
      </c>
      <c r="S49" s="104" t="n">
        <v>-36632.4</v>
      </c>
      <c r="T49" s="104" t="n">
        <v>-36632.4</v>
      </c>
      <c r="U49" s="104" t="n">
        <v>-36632.4</v>
      </c>
      <c r="V49" s="104" t="n">
        <v>-36632.4</v>
      </c>
      <c r="W49" s="104" t="n">
        <v>-36632.4</v>
      </c>
      <c r="X49" s="104"/>
    </row>
    <row r="50" customFormat="false" ht="18.75" hidden="false" customHeight="true" outlineLevel="0" collapsed="false">
      <c r="B50" s="102" t="s">
        <v>110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111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112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113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114</v>
      </c>
      <c r="C54" s="105"/>
      <c r="D54" s="104" t="n">
        <f aca="false">-(D64+D67+D68+D71+D72+D73+D74)*0.2</f>
        <v>-160711.404</v>
      </c>
      <c r="E54" s="104" t="n">
        <f aca="false">-(E64+E67+E68+E71+E72+E73+E74)*0.2</f>
        <v>-158960.9976</v>
      </c>
      <c r="F54" s="104" t="n">
        <f aca="false">-(F64+F67+F68+F71+F72+F73+F74)*0.2</f>
        <v>-157210.5912</v>
      </c>
      <c r="G54" s="104" t="n">
        <f aca="false">-(G64+G67+G68+G71+G72+G73+G74)*0.2</f>
        <v>-155460.1848</v>
      </c>
      <c r="H54" s="104" t="n">
        <f aca="false">-(H64+H67+H68+H71+H72+H73+H74)*0.2</f>
        <v>-153709.7784</v>
      </c>
      <c r="I54" s="104" t="n">
        <f aca="false">-(I64+I67+I68+I71+I72+I73+I74)*0.2</f>
        <v>-151959.372</v>
      </c>
      <c r="J54" s="104" t="n">
        <f aca="false">-(J64+J67+J68+J71+J72+J73+J74)*0.2</f>
        <v>-150208.9656</v>
      </c>
      <c r="K54" s="104" t="n">
        <f aca="false">-(K64+K67+K68+K71+K72+K73+K74)*0.2</f>
        <v>-148458.5592</v>
      </c>
      <c r="L54" s="104" t="n">
        <f aca="false">-(L64+L67+L68+L71+L72+L73+L74)*0.2</f>
        <v>-146708.1528</v>
      </c>
      <c r="M54" s="104" t="n">
        <f aca="false">-(M64+M67+M68+M71+M72+M73+M74)*0.2</f>
        <v>-144957.7464</v>
      </c>
      <c r="N54" s="104" t="n">
        <f aca="false">-(N64+N67+N68+N71+N72+N73+N74)*0.2</f>
        <v>-151929.34</v>
      </c>
      <c r="O54" s="104" t="n">
        <f aca="false">-(O64+O67+O68+O71+O72+O73+O74)*0.2</f>
        <v>-150178.9336</v>
      </c>
      <c r="P54" s="104" t="n">
        <f aca="false">-(P64+P67+P68+P71+P72+P73+P74)*0.2</f>
        <v>-148428.5272</v>
      </c>
      <c r="Q54" s="104" t="n">
        <f aca="false">-(Q64+Q67+Q68+Q71+Q72+Q73+Q74)*0.2</f>
        <v>-146678.1208</v>
      </c>
      <c r="R54" s="104" t="n">
        <f aca="false">-(R64+R67+R68+R71+R72+R73+R74)*0.2</f>
        <v>-144927.7144</v>
      </c>
      <c r="S54" s="104" t="n">
        <f aca="false">-(S64+S67+S68+S71+S72+S73+S74)*0.2</f>
        <v>-143177.308</v>
      </c>
      <c r="T54" s="104" t="n">
        <f aca="false">-(T64+T67+T68+T71+T72+T73+T74)*0.2</f>
        <v>-141426.9016</v>
      </c>
      <c r="U54" s="104" t="n">
        <f aca="false">-(U64+U67+U68+U71+U72+U73+U74)*0.2</f>
        <v>-139676.4952</v>
      </c>
      <c r="V54" s="104" t="n">
        <f aca="false">-(V64+V67+V68+V71+V72+V73+V74)*0.2</f>
        <v>-137926.0888</v>
      </c>
      <c r="W54" s="104" t="n">
        <f aca="false">-(W64+W67+W68+W71+W72+W73+W74)*0.2</f>
        <v>-136175.6824</v>
      </c>
      <c r="X54" s="95"/>
    </row>
    <row r="55" customFormat="false" ht="18.75" hidden="false" customHeight="true" outlineLevel="0" collapsed="false">
      <c r="B55" s="107" t="s">
        <v>115</v>
      </c>
      <c r="C55" s="108" t="n">
        <f aca="false">C44</f>
        <v>-16353750</v>
      </c>
      <c r="D55" s="109" t="n">
        <f aca="false">SUM(D41:D54)</f>
        <v>1460533.116</v>
      </c>
      <c r="E55" s="109" t="n">
        <f aca="false">SUM(E41:E54)</f>
        <v>1453531.4904</v>
      </c>
      <c r="F55" s="109" t="n">
        <f aca="false">SUM(F41:F54)</f>
        <v>1446529.8648</v>
      </c>
      <c r="G55" s="109" t="n">
        <f aca="false">SUM(G41:G54)</f>
        <v>1439528.2392</v>
      </c>
      <c r="H55" s="109" t="n">
        <f aca="false">SUM(H41:H54)</f>
        <v>1432526.6136</v>
      </c>
      <c r="I55" s="109" t="n">
        <f aca="false">SUM(I41:I54)</f>
        <v>1425524.988</v>
      </c>
      <c r="J55" s="109" t="n">
        <f aca="false">SUM(J41:J54)</f>
        <v>1418523.3624</v>
      </c>
      <c r="K55" s="109" t="n">
        <f aca="false">SUM(K41:K54)</f>
        <v>1411521.7368</v>
      </c>
      <c r="L55" s="109" t="n">
        <f aca="false">SUM(L41:L54)</f>
        <v>1404520.1112</v>
      </c>
      <c r="M55" s="109" t="n">
        <f aca="false">SUM(M41:M54)</f>
        <v>1397518.4856</v>
      </c>
      <c r="N55" s="109" t="n">
        <f aca="false">SUM(N41:N54)</f>
        <v>1425404.86</v>
      </c>
      <c r="O55" s="109" t="n">
        <f aca="false">SUM(O41:O54)</f>
        <v>1418403.2344</v>
      </c>
      <c r="P55" s="109" t="n">
        <f aca="false">SUM(P41:P54)</f>
        <v>1411401.6088</v>
      </c>
      <c r="Q55" s="109" t="n">
        <f aca="false">SUM(Q41:Q54)</f>
        <v>1404399.9832</v>
      </c>
      <c r="R55" s="109" t="n">
        <f aca="false">SUM(R41:R54)</f>
        <v>1397398.3576</v>
      </c>
      <c r="S55" s="109" t="n">
        <f aca="false">SUM(S41:S54)</f>
        <v>1390396.732</v>
      </c>
      <c r="T55" s="109" t="n">
        <f aca="false">SUM(T41:T54)</f>
        <v>1383395.1064</v>
      </c>
      <c r="U55" s="109" t="n">
        <f aca="false">SUM(U41:U54)</f>
        <v>1376393.4808</v>
      </c>
      <c r="V55" s="109" t="n">
        <f aca="false">SUM(V41:V54)</f>
        <v>1369391.8552</v>
      </c>
      <c r="W55" s="109" t="n">
        <f aca="false">SUM(W41:W54)</f>
        <v>1362390.2296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116</v>
      </c>
      <c r="D56" s="114" t="n">
        <f aca="false">C55+D55</f>
        <v>-14893216.884</v>
      </c>
      <c r="E56" s="114" t="n">
        <f aca="false">D56+E55</f>
        <v>-13439685.3936</v>
      </c>
      <c r="F56" s="114" t="n">
        <f aca="false">E56+F55</f>
        <v>-11993155.5288</v>
      </c>
      <c r="G56" s="114" t="n">
        <f aca="false">F56+G55</f>
        <v>-10553627.2896</v>
      </c>
      <c r="H56" s="114" t="n">
        <f aca="false">G56+H55</f>
        <v>-9121100.676</v>
      </c>
      <c r="I56" s="114" t="n">
        <f aca="false">H56+I55</f>
        <v>-7695575.688</v>
      </c>
      <c r="J56" s="114" t="n">
        <f aca="false">I56+J55</f>
        <v>-6277052.3256</v>
      </c>
      <c r="K56" s="114" t="n">
        <f aca="false">J56+K55</f>
        <v>-4865530.5888</v>
      </c>
      <c r="L56" s="114" t="n">
        <f aca="false">K56+L55</f>
        <v>-3461010.4776</v>
      </c>
      <c r="M56" s="114" t="n">
        <f aca="false">L56+M55</f>
        <v>-2063491.992</v>
      </c>
      <c r="N56" s="114" t="n">
        <f aca="false">M56+N55</f>
        <v>-638087.131999999</v>
      </c>
      <c r="O56" s="114" t="n">
        <f aca="false">N56+O55</f>
        <v>780316.102400001</v>
      </c>
      <c r="P56" s="114" t="n">
        <f aca="false">O56+P55</f>
        <v>2191717.7112</v>
      </c>
      <c r="Q56" s="114" t="n">
        <f aca="false">P56+Q55</f>
        <v>3596117.6944</v>
      </c>
      <c r="R56" s="114" t="n">
        <f aca="false">Q56+R55</f>
        <v>4993516.052</v>
      </c>
      <c r="S56" s="114" t="n">
        <f aca="false">R56+S55</f>
        <v>6383912.784</v>
      </c>
      <c r="T56" s="114" t="n">
        <f aca="false">S56+T55</f>
        <v>7767307.8904</v>
      </c>
      <c r="U56" s="114" t="n">
        <f aca="false">T56+U55</f>
        <v>9143701.3712</v>
      </c>
      <c r="V56" s="114" t="n">
        <f aca="false">U56+V55</f>
        <v>10513093.2264</v>
      </c>
      <c r="W56" s="114" t="n">
        <f aca="false">V56+W55</f>
        <v>11875483.456</v>
      </c>
      <c r="X56" s="114" t="n">
        <f aca="false">W56+X55</f>
        <v>11875483.456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117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0.0594744445315975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98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118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99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100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101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102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103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119</v>
      </c>
      <c r="C67" s="94"/>
      <c r="D67" s="127" t="n">
        <f aca="false">$C$44/$E$16</f>
        <v>-817687.5</v>
      </c>
      <c r="E67" s="127" t="n">
        <f aca="false">$C$44/$E$16</f>
        <v>-817687.5</v>
      </c>
      <c r="F67" s="127" t="n">
        <f aca="false">$C$44/$E$16</f>
        <v>-817687.5</v>
      </c>
      <c r="G67" s="127" t="n">
        <f aca="false">$C$44/$E$16</f>
        <v>-817687.5</v>
      </c>
      <c r="H67" s="127" t="n">
        <f aca="false">$C$44/$E$16</f>
        <v>-817687.5</v>
      </c>
      <c r="I67" s="127" t="n">
        <f aca="false">$C$44/$E$16</f>
        <v>-817687.5</v>
      </c>
      <c r="J67" s="127" t="n">
        <f aca="false">$C$44/$E$16</f>
        <v>-817687.5</v>
      </c>
      <c r="K67" s="127" t="n">
        <f aca="false">$C$44/$E$16</f>
        <v>-817687.5</v>
      </c>
      <c r="L67" s="127" t="n">
        <f aca="false">$C$44/$E$16</f>
        <v>-817687.5</v>
      </c>
      <c r="M67" s="127" t="n">
        <f aca="false">$C$44/$E$16</f>
        <v>-817687.5</v>
      </c>
      <c r="N67" s="127" t="n">
        <f aca="false">$C$44/$E$16</f>
        <v>-817687.5</v>
      </c>
      <c r="O67" s="127" t="n">
        <f aca="false">$C$44/$E$16</f>
        <v>-817687.5</v>
      </c>
      <c r="P67" s="127" t="n">
        <f aca="false">$C$44/$E$16</f>
        <v>-817687.5</v>
      </c>
      <c r="Q67" s="127" t="n">
        <f aca="false">$C$44/$E$16</f>
        <v>-817687.5</v>
      </c>
      <c r="R67" s="127" t="n">
        <f aca="false">$C$44/$E$16</f>
        <v>-817687.5</v>
      </c>
      <c r="S67" s="127" t="n">
        <f aca="false">$C$44/$E$16</f>
        <v>-817687.5</v>
      </c>
      <c r="T67" s="127" t="n">
        <f aca="false">$C$44/$E$16</f>
        <v>-817687.5</v>
      </c>
      <c r="U67" s="127" t="n">
        <f aca="false">$C$44/$E$16</f>
        <v>-817687.5</v>
      </c>
      <c r="V67" s="127" t="n">
        <f aca="false">$C$44/$E$16</f>
        <v>-817687.5</v>
      </c>
      <c r="W67" s="127" t="n">
        <f aca="false">$C$44/$E$16</f>
        <v>-817687.5</v>
      </c>
      <c r="X67" s="97"/>
    </row>
    <row r="68" customFormat="false" ht="18.75" hidden="false" customHeight="true" outlineLevel="0" collapsed="false">
      <c r="B68" s="102" t="s">
        <v>105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106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107</v>
      </c>
      <c r="C70" s="94" t="s">
        <v>4</v>
      </c>
      <c r="D70" s="104" t="n">
        <f aca="false">-D109*$D25</f>
        <v>-334924.8</v>
      </c>
      <c r="E70" s="104" t="n">
        <f aca="false">-E109*$D25</f>
        <v>-312596.48</v>
      </c>
      <c r="F70" s="104" t="n">
        <f aca="false">-F109*$D25</f>
        <v>-290268.16</v>
      </c>
      <c r="G70" s="104" t="n">
        <f aca="false">-G109*$D25</f>
        <v>-267939.84</v>
      </c>
      <c r="H70" s="104" t="n">
        <f aca="false">-H109*$D25</f>
        <v>-245611.52</v>
      </c>
      <c r="I70" s="104" t="n">
        <f aca="false">-I109*$D25</f>
        <v>-223283.2</v>
      </c>
      <c r="J70" s="104" t="n">
        <f aca="false">-J109*$D25</f>
        <v>-200954.88</v>
      </c>
      <c r="K70" s="104" t="n">
        <f aca="false">-K109*$D25</f>
        <v>-178626.56</v>
      </c>
      <c r="L70" s="104" t="n">
        <f aca="false">-L109*$D25</f>
        <v>-156298.24</v>
      </c>
      <c r="M70" s="104" t="n">
        <f aca="false">-M109*$D25</f>
        <v>-133969.92</v>
      </c>
      <c r="N70" s="104" t="n">
        <f aca="false">-N109*$D25</f>
        <v>-111641.6</v>
      </c>
      <c r="O70" s="104" t="n">
        <f aca="false">-O109*$D25</f>
        <v>-89313.28</v>
      </c>
      <c r="P70" s="104" t="n">
        <f aca="false">-P109*$D25</f>
        <v>-66984.96</v>
      </c>
      <c r="Q70" s="104" t="n">
        <f aca="false">-Q109*$D25</f>
        <v>-44656.64</v>
      </c>
      <c r="R70" s="104" t="n">
        <f aca="false">-R109*$D25</f>
        <v>-22328.32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108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109</v>
      </c>
      <c r="C72" s="94" t="s">
        <v>4</v>
      </c>
      <c r="D72" s="104" t="n">
        <f aca="false">D49</f>
        <v>-36632.4</v>
      </c>
      <c r="E72" s="104" t="n">
        <f aca="false">E49</f>
        <v>-36632.4</v>
      </c>
      <c r="F72" s="104" t="n">
        <f aca="false">F49</f>
        <v>-36632.4</v>
      </c>
      <c r="G72" s="104" t="n">
        <f aca="false">G49</f>
        <v>-36632.4</v>
      </c>
      <c r="H72" s="104" t="n">
        <f aca="false">H49</f>
        <v>-36632.4</v>
      </c>
      <c r="I72" s="104" t="n">
        <f aca="false">I49</f>
        <v>-36632.4</v>
      </c>
      <c r="J72" s="104" t="n">
        <f aca="false">J49</f>
        <v>-36632.4</v>
      </c>
      <c r="K72" s="104" t="n">
        <f aca="false">K49</f>
        <v>-36632.4</v>
      </c>
      <c r="L72" s="104" t="n">
        <f aca="false">L49</f>
        <v>-36632.4</v>
      </c>
      <c r="M72" s="104" t="n">
        <f aca="false">M49</f>
        <v>-36632.4</v>
      </c>
      <c r="N72" s="104" t="n">
        <f aca="false">N49</f>
        <v>-36632.4</v>
      </c>
      <c r="O72" s="104" t="n">
        <f aca="false">O49</f>
        <v>-36632.4</v>
      </c>
      <c r="P72" s="104" t="n">
        <f aca="false">P49</f>
        <v>-36632.4</v>
      </c>
      <c r="Q72" s="104" t="n">
        <f aca="false">Q49</f>
        <v>-36632.4</v>
      </c>
      <c r="R72" s="104" t="n">
        <f aca="false">R49</f>
        <v>-36632.4</v>
      </c>
      <c r="S72" s="104" t="n">
        <f aca="false">S49</f>
        <v>-36632.4</v>
      </c>
      <c r="T72" s="104" t="n">
        <f aca="false">T49</f>
        <v>-36632.4</v>
      </c>
      <c r="U72" s="104" t="n">
        <f aca="false">U49</f>
        <v>-36632.4</v>
      </c>
      <c r="V72" s="104" t="n">
        <f aca="false">V49</f>
        <v>-36632.4</v>
      </c>
      <c r="W72" s="104" t="n">
        <f aca="false">W49</f>
        <v>-36632.4</v>
      </c>
      <c r="X72" s="97"/>
    </row>
    <row r="73" customFormat="false" ht="18.75" hidden="false" customHeight="true" outlineLevel="0" collapsed="false">
      <c r="B73" s="102" t="s">
        <v>110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111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112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120</v>
      </c>
      <c r="C76" s="130"/>
      <c r="D76" s="109" t="n">
        <f aca="false">SUM(D64:D75)</f>
        <v>468632.22</v>
      </c>
      <c r="E76" s="109" t="n">
        <f aca="false">SUM(E64:E75)</f>
        <v>482208.508</v>
      </c>
      <c r="F76" s="109" t="n">
        <f aca="false">SUM(F64:F75)</f>
        <v>495784.796</v>
      </c>
      <c r="G76" s="109" t="n">
        <f aca="false">SUM(G64:G75)</f>
        <v>509361.084</v>
      </c>
      <c r="H76" s="109" t="n">
        <f aca="false">SUM(H64:H75)</f>
        <v>522937.372</v>
      </c>
      <c r="I76" s="109" t="n">
        <f aca="false">SUM(I64:I75)</f>
        <v>536513.66</v>
      </c>
      <c r="J76" s="109" t="n">
        <f aca="false">SUM(J64:J75)</f>
        <v>550089.948</v>
      </c>
      <c r="K76" s="109" t="n">
        <f aca="false">SUM(K64:K75)</f>
        <v>563666.236</v>
      </c>
      <c r="L76" s="109" t="n">
        <f aca="false">SUM(L64:L75)</f>
        <v>577242.524</v>
      </c>
      <c r="M76" s="109" t="n">
        <f aca="false">SUM(M64:M75)</f>
        <v>590818.812</v>
      </c>
      <c r="N76" s="109" t="n">
        <f aca="false">SUM(N64:N75)</f>
        <v>648005.1</v>
      </c>
      <c r="O76" s="109" t="n">
        <f aca="false">SUM(O64:O75)</f>
        <v>661581.388</v>
      </c>
      <c r="P76" s="109" t="n">
        <f aca="false">SUM(P64:P75)</f>
        <v>675157.676</v>
      </c>
      <c r="Q76" s="109" t="n">
        <f aca="false">SUM(Q64:Q75)</f>
        <v>688733.964</v>
      </c>
      <c r="R76" s="109" t="n">
        <f aca="false">SUM(R64:R75)</f>
        <v>702310.252</v>
      </c>
      <c r="S76" s="109" t="n">
        <f aca="false">SUM(S64:S75)</f>
        <v>715886.54</v>
      </c>
      <c r="T76" s="109" t="n">
        <f aca="false">SUM(T64:T75)</f>
        <v>707134.508</v>
      </c>
      <c r="U76" s="109" t="n">
        <f aca="false">SUM(U64:U75)</f>
        <v>698382.476</v>
      </c>
      <c r="V76" s="109" t="n">
        <f aca="false">SUM(V64:V75)</f>
        <v>689630.444</v>
      </c>
      <c r="W76" s="109" t="n">
        <f aca="false">SUM(W64:W75)</f>
        <v>680878.412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114</v>
      </c>
      <c r="C77" s="105"/>
      <c r="D77" s="104" t="n">
        <f aca="false">-D76*0.2</f>
        <v>-93726.444</v>
      </c>
      <c r="E77" s="104" t="n">
        <f aca="false">-E76*0.2</f>
        <v>-96441.7016</v>
      </c>
      <c r="F77" s="104" t="n">
        <f aca="false">-F76*0.2</f>
        <v>-99156.9592</v>
      </c>
      <c r="G77" s="104" t="n">
        <f aca="false">-G76*0.2</f>
        <v>-101872.2168</v>
      </c>
      <c r="H77" s="104" t="n">
        <f aca="false">-H76*0.2</f>
        <v>-104587.4744</v>
      </c>
      <c r="I77" s="104" t="n">
        <f aca="false">-I76*0.2</f>
        <v>-107302.732</v>
      </c>
      <c r="J77" s="104" t="n">
        <f aca="false">-J76*0.2</f>
        <v>-110017.9896</v>
      </c>
      <c r="K77" s="104" t="n">
        <f aca="false">-K76*0.2</f>
        <v>-112733.2472</v>
      </c>
      <c r="L77" s="104" t="n">
        <f aca="false">-L76*0.2</f>
        <v>-115448.5048</v>
      </c>
      <c r="M77" s="104" t="n">
        <f aca="false">-M76*0.2</f>
        <v>-118163.7624</v>
      </c>
      <c r="N77" s="104" t="n">
        <f aca="false">-N76*0.2</f>
        <v>-129601.02</v>
      </c>
      <c r="O77" s="104" t="n">
        <f aca="false">-O76*0.2</f>
        <v>-132316.2776</v>
      </c>
      <c r="P77" s="104" t="n">
        <f aca="false">-P76*0.2</f>
        <v>-135031.5352</v>
      </c>
      <c r="Q77" s="104" t="n">
        <f aca="false">-Q76*0.2</f>
        <v>-137746.7928</v>
      </c>
      <c r="R77" s="104" t="n">
        <f aca="false">-R76*0.2</f>
        <v>-140462.0504</v>
      </c>
      <c r="S77" s="104" t="n">
        <f aca="false">-S76*0.2</f>
        <v>-143177.308</v>
      </c>
      <c r="T77" s="104" t="n">
        <f aca="false">-T76*0.2</f>
        <v>-141426.9016</v>
      </c>
      <c r="U77" s="104" t="n">
        <f aca="false">-U76*0.2</f>
        <v>-139676.4952</v>
      </c>
      <c r="V77" s="104" t="n">
        <f aca="false">-V76*0.2</f>
        <v>-137926.0888</v>
      </c>
      <c r="W77" s="104" t="n">
        <f aca="false">-W76*0.2</f>
        <v>-136175.6824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121</v>
      </c>
      <c r="D78" s="104" t="n">
        <f aca="false">SUM(D76:D77)</f>
        <v>374905.776</v>
      </c>
      <c r="E78" s="104" t="n">
        <f aca="false">SUM(E76:E77)</f>
        <v>385766.8064</v>
      </c>
      <c r="F78" s="104" t="n">
        <f aca="false">SUM(F76:F77)</f>
        <v>396627.8368</v>
      </c>
      <c r="G78" s="104" t="n">
        <f aca="false">SUM(G76:G77)</f>
        <v>407488.8672</v>
      </c>
      <c r="H78" s="104" t="n">
        <f aca="false">SUM(H76:H77)</f>
        <v>418349.8976</v>
      </c>
      <c r="I78" s="104" t="n">
        <f aca="false">SUM(I76:I77)</f>
        <v>429210.928</v>
      </c>
      <c r="J78" s="104" t="n">
        <f aca="false">SUM(J76:J77)</f>
        <v>440071.9584</v>
      </c>
      <c r="K78" s="104" t="n">
        <f aca="false">SUM(K76:K77)</f>
        <v>450932.9888</v>
      </c>
      <c r="L78" s="104" t="n">
        <f aca="false">SUM(L76:L77)</f>
        <v>461794.0192</v>
      </c>
      <c r="M78" s="104" t="n">
        <f aca="false">SUM(M76:M77)</f>
        <v>472655.0496</v>
      </c>
      <c r="N78" s="104" t="n">
        <f aca="false">SUM(N76:N77)</f>
        <v>518404.08</v>
      </c>
      <c r="O78" s="104" t="n">
        <f aca="false">SUM(O76:O77)</f>
        <v>529265.1104</v>
      </c>
      <c r="P78" s="104" t="n">
        <f aca="false">SUM(P76:P77)</f>
        <v>540126.1408</v>
      </c>
      <c r="Q78" s="104" t="n">
        <f aca="false">SUM(Q76:Q77)</f>
        <v>550987.1712</v>
      </c>
      <c r="R78" s="104" t="n">
        <f aca="false">SUM(R76:R77)</f>
        <v>561848.2016</v>
      </c>
      <c r="S78" s="104" t="n">
        <f aca="false">SUM(S76:S77)</f>
        <v>572709.232</v>
      </c>
      <c r="T78" s="104" t="n">
        <f aca="false">SUM(T76:T77)</f>
        <v>565707.6064</v>
      </c>
      <c r="U78" s="104" t="n">
        <f aca="false">SUM(U76:U77)</f>
        <v>558705.9808</v>
      </c>
      <c r="V78" s="104" t="n">
        <f aca="false">SUM(V76:V77)</f>
        <v>551704.3552</v>
      </c>
      <c r="W78" s="104" t="n">
        <f aca="false">SUM(W76:W77)</f>
        <v>544702.7296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116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117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98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99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121</v>
      </c>
      <c r="C85" s="142"/>
      <c r="D85" s="143" t="n">
        <f aca="false">D78</f>
        <v>374905.776</v>
      </c>
      <c r="E85" s="143" t="n">
        <f aca="false">E78</f>
        <v>385766.8064</v>
      </c>
      <c r="F85" s="143" t="n">
        <f aca="false">F78</f>
        <v>396627.8368</v>
      </c>
      <c r="G85" s="143" t="n">
        <f aca="false">G78</f>
        <v>407488.8672</v>
      </c>
      <c r="H85" s="143" t="n">
        <f aca="false">H78</f>
        <v>418349.8976</v>
      </c>
      <c r="I85" s="143" t="n">
        <f aca="false">I78</f>
        <v>429210.928</v>
      </c>
      <c r="J85" s="143" t="n">
        <f aca="false">J78</f>
        <v>440071.9584</v>
      </c>
      <c r="K85" s="143" t="n">
        <f aca="false">K78</f>
        <v>450932.9888</v>
      </c>
      <c r="L85" s="143" t="n">
        <f aca="false">L78</f>
        <v>461794.0192</v>
      </c>
      <c r="M85" s="143" t="n">
        <f aca="false">M78</f>
        <v>472655.0496</v>
      </c>
      <c r="N85" s="143" t="n">
        <f aca="false">N78</f>
        <v>518404.08</v>
      </c>
      <c r="O85" s="143" t="n">
        <f aca="false">O78</f>
        <v>529265.1104</v>
      </c>
      <c r="P85" s="143" t="n">
        <f aca="false">P78</f>
        <v>540126.1408</v>
      </c>
      <c r="Q85" s="143" t="n">
        <f aca="false">Q78</f>
        <v>550987.1712</v>
      </c>
      <c r="R85" s="143" t="n">
        <f aca="false">R78</f>
        <v>561848.2016</v>
      </c>
      <c r="S85" s="143" t="n">
        <f aca="false">S78</f>
        <v>572709.232</v>
      </c>
      <c r="T85" s="143" t="n">
        <f aca="false">T78</f>
        <v>565707.6064</v>
      </c>
      <c r="U85" s="143" t="n">
        <f aca="false">U78</f>
        <v>558705.9808</v>
      </c>
      <c r="V85" s="143" t="n">
        <f aca="false">V78</f>
        <v>551704.3552</v>
      </c>
      <c r="W85" s="143" t="n">
        <f aca="false">W78</f>
        <v>544702.7296</v>
      </c>
      <c r="X85" s="142"/>
      <c r="Y85" s="142"/>
    </row>
    <row r="86" customFormat="false" ht="15.75" hidden="false" customHeight="true" outlineLevel="0" collapsed="false">
      <c r="B86" s="142" t="s">
        <v>122</v>
      </c>
      <c r="C86" s="142"/>
      <c r="D86" s="144" t="n">
        <f aca="false">-D67</f>
        <v>817687.5</v>
      </c>
      <c r="E86" s="144" t="n">
        <f aca="false">-E67</f>
        <v>817687.5</v>
      </c>
      <c r="F86" s="144" t="n">
        <f aca="false">-F67</f>
        <v>817687.5</v>
      </c>
      <c r="G86" s="144" t="n">
        <f aca="false">-G67</f>
        <v>817687.5</v>
      </c>
      <c r="H86" s="144" t="n">
        <f aca="false">-H67</f>
        <v>817687.5</v>
      </c>
      <c r="I86" s="144" t="n">
        <f aca="false">-I67</f>
        <v>817687.5</v>
      </c>
      <c r="J86" s="144" t="n">
        <f aca="false">-J67</f>
        <v>817687.5</v>
      </c>
      <c r="K86" s="144" t="n">
        <f aca="false">-K67</f>
        <v>817687.5</v>
      </c>
      <c r="L86" s="144" t="n">
        <f aca="false">-L67</f>
        <v>817687.5</v>
      </c>
      <c r="M86" s="144" t="n">
        <f aca="false">-M67</f>
        <v>817687.5</v>
      </c>
      <c r="N86" s="144" t="n">
        <f aca="false">-N67</f>
        <v>817687.5</v>
      </c>
      <c r="O86" s="144" t="n">
        <f aca="false">-O67</f>
        <v>817687.5</v>
      </c>
      <c r="P86" s="144" t="n">
        <f aca="false">-P67</f>
        <v>817687.5</v>
      </c>
      <c r="Q86" s="144" t="n">
        <f aca="false">-Q67</f>
        <v>817687.5</v>
      </c>
      <c r="R86" s="144" t="n">
        <f aca="false">-R67</f>
        <v>817687.5</v>
      </c>
      <c r="S86" s="144" t="n">
        <f aca="false">-S67</f>
        <v>817687.5</v>
      </c>
      <c r="T86" s="144" t="n">
        <f aca="false">-T67</f>
        <v>817687.5</v>
      </c>
      <c r="U86" s="144" t="n">
        <f aca="false">-U67</f>
        <v>817687.5</v>
      </c>
      <c r="V86" s="144" t="n">
        <f aca="false">-V67</f>
        <v>817687.5</v>
      </c>
      <c r="W86" s="144" t="n">
        <f aca="false">-W67</f>
        <v>817687.5</v>
      </c>
      <c r="X86" s="145"/>
      <c r="Y86" s="145"/>
    </row>
    <row r="87" customFormat="false" ht="15.75" hidden="false" customHeight="true" outlineLevel="0" collapsed="false">
      <c r="B87" s="142" t="s">
        <v>123</v>
      </c>
      <c r="C87" s="142"/>
      <c r="D87" s="146" t="n">
        <f aca="false">SUM(D85:D86)</f>
        <v>1192593.276</v>
      </c>
      <c r="E87" s="146" t="n">
        <f aca="false">SUM(E85:E86)</f>
        <v>1203454.3064</v>
      </c>
      <c r="F87" s="146" t="n">
        <f aca="false">SUM(F85:F86)</f>
        <v>1214315.3368</v>
      </c>
      <c r="G87" s="146" t="n">
        <f aca="false">SUM(G85:G86)</f>
        <v>1225176.3672</v>
      </c>
      <c r="H87" s="146" t="n">
        <f aca="false">SUM(H85:H86)</f>
        <v>1236037.3976</v>
      </c>
      <c r="I87" s="146" t="n">
        <f aca="false">SUM(I85:I86)</f>
        <v>1246898.428</v>
      </c>
      <c r="J87" s="146" t="n">
        <f aca="false">SUM(J85:J86)</f>
        <v>1257759.4584</v>
      </c>
      <c r="K87" s="146" t="n">
        <f aca="false">SUM(K85:K86)</f>
        <v>1268620.4888</v>
      </c>
      <c r="L87" s="146" t="n">
        <f aca="false">SUM(L85:L86)</f>
        <v>1279481.5192</v>
      </c>
      <c r="M87" s="146" t="n">
        <f aca="false">SUM(M85:M86)</f>
        <v>1290342.5496</v>
      </c>
      <c r="N87" s="146" t="n">
        <f aca="false">SUM(N85:N86)</f>
        <v>1336091.58</v>
      </c>
      <c r="O87" s="146" t="n">
        <f aca="false">SUM(O85:O86)</f>
        <v>1346952.6104</v>
      </c>
      <c r="P87" s="146" t="n">
        <f aca="false">SUM(P85:P86)</f>
        <v>1357813.6408</v>
      </c>
      <c r="Q87" s="146" t="n">
        <f aca="false">SUM(Q85:Q86)</f>
        <v>1368674.6712</v>
      </c>
      <c r="R87" s="146" t="n">
        <f aca="false">SUM(R85:R86)</f>
        <v>1379535.7016</v>
      </c>
      <c r="S87" s="146" t="n">
        <f aca="false">SUM(S85:S86)</f>
        <v>1390396.732</v>
      </c>
      <c r="T87" s="146" t="n">
        <f aca="false">SUM(T85:T86)</f>
        <v>1383395.1064</v>
      </c>
      <c r="U87" s="146" t="n">
        <f aca="false">SUM(U85:U86)</f>
        <v>1376393.4808</v>
      </c>
      <c r="V87" s="146" t="n">
        <f aca="false">SUM(V85:V86)</f>
        <v>1369391.8552</v>
      </c>
      <c r="W87" s="146" t="n">
        <f aca="false">SUM(W85:W86)</f>
        <v>1362390.2296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124</v>
      </c>
      <c r="C89" s="149"/>
      <c r="D89" s="150" t="n">
        <f aca="false">C44</f>
        <v>-16353750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125</v>
      </c>
      <c r="C92" s="149"/>
      <c r="D92" s="150" t="n">
        <f aca="false">-D89*D31</f>
        <v>13083000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126</v>
      </c>
      <c r="C93" s="142"/>
      <c r="D93" s="152"/>
      <c r="E93" s="152" t="n">
        <v>-872200</v>
      </c>
      <c r="F93" s="152" t="n">
        <v>-872200</v>
      </c>
      <c r="G93" s="152" t="n">
        <v>-872200</v>
      </c>
      <c r="H93" s="152" t="n">
        <v>-872200</v>
      </c>
      <c r="I93" s="152" t="n">
        <v>-872200</v>
      </c>
      <c r="J93" s="152" t="n">
        <v>-872200</v>
      </c>
      <c r="K93" s="152" t="n">
        <v>-872200</v>
      </c>
      <c r="L93" s="152" t="n">
        <v>-872200</v>
      </c>
      <c r="M93" s="152" t="n">
        <v>-872200</v>
      </c>
      <c r="N93" s="152" t="n">
        <v>-872200</v>
      </c>
      <c r="O93" s="152" t="n">
        <v>-872200</v>
      </c>
      <c r="P93" s="152" t="n">
        <v>-872200</v>
      </c>
      <c r="Q93" s="152" t="n">
        <v>-872200</v>
      </c>
      <c r="R93" s="152" t="n">
        <v>-872200</v>
      </c>
      <c r="S93" s="152" t="n">
        <v>-872200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127</v>
      </c>
      <c r="C94" s="147"/>
      <c r="D94" s="143" t="n">
        <f aca="false">-D89*(1-D31)</f>
        <v>3270750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-337415.1984</v>
      </c>
      <c r="F95" s="153" t="n">
        <f aca="false">-E85*$D$33</f>
        <v>-347190.12576</v>
      </c>
      <c r="G95" s="153" t="n">
        <f aca="false">-F85*$D$33</f>
        <v>-356965.05312</v>
      </c>
      <c r="H95" s="153" t="n">
        <f aca="false">-G85*$D$33</f>
        <v>-366739.98048</v>
      </c>
      <c r="I95" s="153" t="n">
        <f aca="false">-H85*$D$33</f>
        <v>-376514.90784</v>
      </c>
      <c r="J95" s="153" t="n">
        <f aca="false">-I85*$D$33</f>
        <v>-386289.8352</v>
      </c>
      <c r="K95" s="153" t="n">
        <f aca="false">-J85*$D$33</f>
        <v>-396064.76256</v>
      </c>
      <c r="L95" s="153" t="n">
        <f aca="false">-K85*$D$33</f>
        <v>-405839.68992</v>
      </c>
      <c r="M95" s="153" t="n">
        <f aca="false">-L85*$D$33</f>
        <v>-415614.61728</v>
      </c>
      <c r="N95" s="153" t="n">
        <f aca="false">-M85*$D$33</f>
        <v>-425389.54464</v>
      </c>
      <c r="O95" s="153" t="n">
        <f aca="false">-N85*$D$33</f>
        <v>-466563.672</v>
      </c>
      <c r="P95" s="153" t="n">
        <f aca="false">-O85*$D$33</f>
        <v>-476338.59936</v>
      </c>
      <c r="Q95" s="153" t="n">
        <f aca="false">-P85*$D$33</f>
        <v>-486113.52672</v>
      </c>
      <c r="R95" s="153" t="n">
        <f aca="false">-Q85*$D$33</f>
        <v>-495888.45408</v>
      </c>
      <c r="S95" s="153" t="n">
        <f aca="false">-R85*$D$33</f>
        <v>-505663.38144</v>
      </c>
      <c r="T95" s="153" t="n">
        <f aca="false">-S85*$D$33</f>
        <v>-515438.3088</v>
      </c>
      <c r="U95" s="153" t="n">
        <f aca="false">-T85*$D$33</f>
        <v>-509136.84576</v>
      </c>
      <c r="V95" s="153" t="n">
        <f aca="false">-U85*$D$33</f>
        <v>-502835.38272</v>
      </c>
      <c r="W95" s="153" t="n">
        <f aca="false">-V85*$D$33</f>
        <v>-496533.91968</v>
      </c>
      <c r="X95" s="153" t="n">
        <f aca="false">-W85*$D$33</f>
        <v>-490232.45664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-817687.5</v>
      </c>
      <c r="U96" s="156" t="n">
        <v>-817687.5</v>
      </c>
      <c r="V96" s="156" t="n">
        <v>-817687.5</v>
      </c>
      <c r="W96" s="156" t="n">
        <v>-817687.5</v>
      </c>
      <c r="X96" s="157" t="n">
        <f aca="false">-W101-X95</f>
        <v>-973196.473599999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128</v>
      </c>
      <c r="C99" s="143" t="n">
        <v>0</v>
      </c>
      <c r="D99" s="143" t="n">
        <f aca="false">SUM(D87:D96)</f>
        <v>1192593.276</v>
      </c>
      <c r="E99" s="143" t="n">
        <f aca="false">SUM(E87:E96)</f>
        <v>-6160.89200000011</v>
      </c>
      <c r="F99" s="143" t="n">
        <f aca="false">SUM(F87:F96)</f>
        <v>-5074.78895999969</v>
      </c>
      <c r="G99" s="143" t="n">
        <f aca="false">SUM(G87:G96)</f>
        <v>-3988.68592000008</v>
      </c>
      <c r="H99" s="143" t="n">
        <f aca="false">SUM(H87:H96)</f>
        <v>-2902.58288000023</v>
      </c>
      <c r="I99" s="143" t="n">
        <f aca="false">SUM(I87:I96)</f>
        <v>-1816.4798400001</v>
      </c>
      <c r="J99" s="143" t="n">
        <f aca="false">SUM(J87:J96)</f>
        <v>-730.376799999736</v>
      </c>
      <c r="K99" s="143" t="n">
        <f aca="false">SUM(K87:K96)</f>
        <v>355.726239999873</v>
      </c>
      <c r="L99" s="143" t="n">
        <f aca="false">SUM(L87:L96)</f>
        <v>1441.82927999995</v>
      </c>
      <c r="M99" s="143" t="n">
        <f aca="false">SUM(M87:M96)</f>
        <v>2527.93232000014</v>
      </c>
      <c r="N99" s="143" t="n">
        <f aca="false">SUM(N87:N96)</f>
        <v>38502.0353599999</v>
      </c>
      <c r="O99" s="143" t="n">
        <f aca="false">SUM(O87:O96)</f>
        <v>8188.93839999998</v>
      </c>
      <c r="P99" s="143" t="n">
        <f aca="false">SUM(P87:P96)</f>
        <v>9275.04144</v>
      </c>
      <c r="Q99" s="143" t="n">
        <f aca="false">SUM(Q87:Q96)</f>
        <v>10361.14448</v>
      </c>
      <c r="R99" s="143" t="n">
        <f aca="false">SUM(R87:R96)</f>
        <v>11447.2475199998</v>
      </c>
      <c r="S99" s="143" t="n">
        <f aca="false">SUM(S87:S96)</f>
        <v>12533.3505599999</v>
      </c>
      <c r="T99" s="143" t="n">
        <f aca="false">SUM(T87:T96)</f>
        <v>50269.2975999999</v>
      </c>
      <c r="U99" s="143" t="n">
        <f aca="false">SUM(U87:U96)</f>
        <v>49569.1350400002</v>
      </c>
      <c r="V99" s="143" t="n">
        <f aca="false">SUM(V87:V96)</f>
        <v>48868.97248</v>
      </c>
      <c r="W99" s="143" t="n">
        <f aca="false">SUM(W87:W96)</f>
        <v>48168.8099200001</v>
      </c>
      <c r="X99" s="112"/>
    </row>
    <row r="100" customFormat="false" ht="15.75" hidden="false" customHeight="true" outlineLevel="0" collapsed="false">
      <c r="B100" s="142" t="s">
        <v>129</v>
      </c>
      <c r="C100" s="143" t="n">
        <v>0</v>
      </c>
      <c r="D100" s="143" t="n">
        <f aca="false">C101</f>
        <v>0</v>
      </c>
      <c r="E100" s="143" t="n">
        <f aca="false">D101</f>
        <v>1192593.276</v>
      </c>
      <c r="F100" s="143" t="n">
        <f aca="false">E101</f>
        <v>1186432.384</v>
      </c>
      <c r="G100" s="143" t="n">
        <f aca="false">F101</f>
        <v>1181357.59504</v>
      </c>
      <c r="H100" s="143" t="n">
        <f aca="false">G101</f>
        <v>1177368.90912</v>
      </c>
      <c r="I100" s="143" t="n">
        <f aca="false">H101</f>
        <v>1174466.32624</v>
      </c>
      <c r="J100" s="143" t="n">
        <f aca="false">I101</f>
        <v>1172649.8464</v>
      </c>
      <c r="K100" s="143" t="n">
        <f aca="false">J101</f>
        <v>1171919.4696</v>
      </c>
      <c r="L100" s="143" t="n">
        <f aca="false">K101</f>
        <v>1172275.19584</v>
      </c>
      <c r="M100" s="143" t="n">
        <f aca="false">L101</f>
        <v>1173717.02512</v>
      </c>
      <c r="N100" s="143" t="n">
        <f aca="false">M101</f>
        <v>1176244.95744</v>
      </c>
      <c r="O100" s="143" t="n">
        <f aca="false">N101</f>
        <v>1214746.9928</v>
      </c>
      <c r="P100" s="143" t="n">
        <f aca="false">O101</f>
        <v>1222935.9312</v>
      </c>
      <c r="Q100" s="143" t="n">
        <f aca="false">P101</f>
        <v>1232210.97264</v>
      </c>
      <c r="R100" s="143" t="n">
        <f aca="false">Q101</f>
        <v>1242572.11712</v>
      </c>
      <c r="S100" s="143" t="n">
        <f aca="false">R101</f>
        <v>1254019.36464</v>
      </c>
      <c r="T100" s="143" t="n">
        <f aca="false">S101</f>
        <v>1266552.7152</v>
      </c>
      <c r="U100" s="143" t="n">
        <f aca="false">T101</f>
        <v>1316822.0128</v>
      </c>
      <c r="V100" s="143" t="n">
        <f aca="false">U101</f>
        <v>1366391.14784</v>
      </c>
      <c r="W100" s="143" t="n">
        <f aca="false">V101</f>
        <v>1415260.12032</v>
      </c>
      <c r="X100" s="111"/>
    </row>
    <row r="101" customFormat="false" ht="15.75" hidden="false" customHeight="true" outlineLevel="0" collapsed="false">
      <c r="B101" s="142" t="s">
        <v>130</v>
      </c>
      <c r="C101" s="143" t="n">
        <v>0</v>
      </c>
      <c r="D101" s="143" t="n">
        <f aca="false">D99+D100</f>
        <v>1192593.276</v>
      </c>
      <c r="E101" s="143" t="n">
        <f aca="false">E99+E100</f>
        <v>1186432.384</v>
      </c>
      <c r="F101" s="143" t="n">
        <f aca="false">F99+F100</f>
        <v>1181357.59504</v>
      </c>
      <c r="G101" s="143" t="n">
        <f aca="false">G99+G100</f>
        <v>1177368.90912</v>
      </c>
      <c r="H101" s="143" t="n">
        <f aca="false">H99+H100</f>
        <v>1174466.32624</v>
      </c>
      <c r="I101" s="143" t="n">
        <f aca="false">I99+I100</f>
        <v>1172649.8464</v>
      </c>
      <c r="J101" s="143" t="n">
        <f aca="false">J99+J100</f>
        <v>1171919.4696</v>
      </c>
      <c r="K101" s="143" t="n">
        <f aca="false">K99+K100</f>
        <v>1172275.19584</v>
      </c>
      <c r="L101" s="143" t="n">
        <f aca="false">L99+L100</f>
        <v>1173717.02512</v>
      </c>
      <c r="M101" s="143" t="n">
        <f aca="false">M99+M100</f>
        <v>1176244.95744</v>
      </c>
      <c r="N101" s="143" t="n">
        <f aca="false">N99+N100</f>
        <v>1214746.9928</v>
      </c>
      <c r="O101" s="143" t="n">
        <f aca="false">O99+O100</f>
        <v>1222935.9312</v>
      </c>
      <c r="P101" s="143" t="n">
        <f aca="false">P99+P100</f>
        <v>1232210.97264</v>
      </c>
      <c r="Q101" s="143" t="n">
        <f aca="false">Q99+Q100</f>
        <v>1242572.11712</v>
      </c>
      <c r="R101" s="143" t="n">
        <f aca="false">R99+R100</f>
        <v>1254019.36464</v>
      </c>
      <c r="S101" s="143" t="n">
        <f aca="false">S99+S100</f>
        <v>1266552.7152</v>
      </c>
      <c r="T101" s="143" t="n">
        <f aca="false">T99+T100</f>
        <v>1316822.0128</v>
      </c>
      <c r="U101" s="143" t="n">
        <f aca="false">U99+U100</f>
        <v>1366391.14784</v>
      </c>
      <c r="V101" s="143" t="n">
        <f aca="false">V99+V100</f>
        <v>1415260.12032</v>
      </c>
      <c r="W101" s="143" t="n">
        <f aca="false">W99+W100</f>
        <v>1463428.93024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131</v>
      </c>
      <c r="C104" s="159"/>
      <c r="D104" s="160" t="n">
        <f aca="false">-D94</f>
        <v>-3270750</v>
      </c>
      <c r="E104" s="146" t="n">
        <f aca="false">-E95-E96</f>
        <v>337415.1984</v>
      </c>
      <c r="F104" s="146" t="n">
        <f aca="false">-F95-F96</f>
        <v>347190.12576</v>
      </c>
      <c r="G104" s="146" t="n">
        <f aca="false">-G95-G96</f>
        <v>356965.05312</v>
      </c>
      <c r="H104" s="146" t="n">
        <f aca="false">-H95-H96</f>
        <v>366739.98048</v>
      </c>
      <c r="I104" s="146" t="n">
        <f aca="false">-I95-I96</f>
        <v>376514.90784</v>
      </c>
      <c r="J104" s="146" t="n">
        <f aca="false">-J95-J96</f>
        <v>386289.8352</v>
      </c>
      <c r="K104" s="146" t="n">
        <f aca="false">-K95-K96</f>
        <v>396064.76256</v>
      </c>
      <c r="L104" s="146" t="n">
        <f aca="false">-L95-L96</f>
        <v>405839.68992</v>
      </c>
      <c r="M104" s="146" t="n">
        <f aca="false">-M95-M96</f>
        <v>415614.61728</v>
      </c>
      <c r="N104" s="146" t="n">
        <f aca="false">-N95-N96</f>
        <v>425389.54464</v>
      </c>
      <c r="O104" s="146" t="n">
        <f aca="false">-O95-O96</f>
        <v>466563.672</v>
      </c>
      <c r="P104" s="146" t="n">
        <f aca="false">-P95-P96</f>
        <v>476338.59936</v>
      </c>
      <c r="Q104" s="146" t="n">
        <f aca="false">-Q95-Q96</f>
        <v>486113.52672</v>
      </c>
      <c r="R104" s="146" t="n">
        <f aca="false">-R95-R96</f>
        <v>495888.45408</v>
      </c>
      <c r="S104" s="146" t="n">
        <f aca="false">-S95-S96</f>
        <v>505663.38144</v>
      </c>
      <c r="T104" s="146" t="n">
        <f aca="false">-T95-T96</f>
        <v>1333125.8088</v>
      </c>
      <c r="U104" s="146" t="n">
        <f aca="false">-U95-U96</f>
        <v>1326824.34576</v>
      </c>
      <c r="V104" s="146" t="n">
        <f aca="false">-V95-V96</f>
        <v>1320522.88272</v>
      </c>
      <c r="W104" s="146" t="n">
        <f aca="false">-W95-W96</f>
        <v>1314221.41968</v>
      </c>
      <c r="X104" s="146" t="n">
        <f aca="false">-X95-X96</f>
        <v>1463428.93024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0.130186705309716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132</v>
      </c>
      <c r="C106" s="159"/>
      <c r="D106" s="160" t="n">
        <f aca="false">D85-D94</f>
        <v>-2895844.224</v>
      </c>
      <c r="E106" s="146" t="n">
        <f aca="false">E85</f>
        <v>385766.8064</v>
      </c>
      <c r="F106" s="146" t="n">
        <f aca="false">F85-F96</f>
        <v>396627.8368</v>
      </c>
      <c r="G106" s="146" t="n">
        <f aca="false">G85-G96</f>
        <v>407488.8672</v>
      </c>
      <c r="H106" s="146" t="n">
        <f aca="false">H85-H96</f>
        <v>418349.8976</v>
      </c>
      <c r="I106" s="146" t="n">
        <f aca="false">I85-I96</f>
        <v>429210.928</v>
      </c>
      <c r="J106" s="146" t="n">
        <f aca="false">J85-J96</f>
        <v>440071.9584</v>
      </c>
      <c r="K106" s="146" t="n">
        <f aca="false">K85-K96</f>
        <v>450932.9888</v>
      </c>
      <c r="L106" s="146" t="n">
        <f aca="false">L85-L96</f>
        <v>461794.0192</v>
      </c>
      <c r="M106" s="146" t="n">
        <f aca="false">M85-M96</f>
        <v>472655.0496</v>
      </c>
      <c r="N106" s="146" t="n">
        <f aca="false">N85-N96</f>
        <v>518404.08</v>
      </c>
      <c r="O106" s="146" t="n">
        <f aca="false">O85-O96</f>
        <v>529265.1104</v>
      </c>
      <c r="P106" s="146" t="n">
        <f aca="false">P85-P96</f>
        <v>540126.1408</v>
      </c>
      <c r="Q106" s="146" t="n">
        <f aca="false">Q85-Q96</f>
        <v>550987.1712</v>
      </c>
      <c r="R106" s="146" t="n">
        <f aca="false">R85-R96</f>
        <v>561848.2016</v>
      </c>
      <c r="S106" s="146" t="n">
        <f aca="false">S85-S96</f>
        <v>572709.232</v>
      </c>
      <c r="T106" s="146" t="n">
        <f aca="false">T85-T96</f>
        <v>1383395.1064</v>
      </c>
      <c r="U106" s="146" t="n">
        <f aca="false">U85-U96</f>
        <v>1376393.4808</v>
      </c>
      <c r="V106" s="146" t="n">
        <f aca="false">V85-V96</f>
        <v>1369391.8552</v>
      </c>
      <c r="W106" s="146" t="n">
        <f aca="false">W85-W96</f>
        <v>1362390.2296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0.158530168938614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133</v>
      </c>
      <c r="C109" s="143" t="n">
        <v>0</v>
      </c>
      <c r="D109" s="143" t="n">
        <f aca="false">D92</f>
        <v>13083000</v>
      </c>
      <c r="E109" s="143" t="n">
        <f aca="false">D109+E93</f>
        <v>12210800</v>
      </c>
      <c r="F109" s="143" t="n">
        <f aca="false">E109+F93</f>
        <v>11338600</v>
      </c>
      <c r="G109" s="143" t="n">
        <f aca="false">F109+G93</f>
        <v>10466400</v>
      </c>
      <c r="H109" s="143" t="n">
        <f aca="false">G109+H93</f>
        <v>9594200</v>
      </c>
      <c r="I109" s="143" t="n">
        <f aca="false">H109+I93</f>
        <v>8722000</v>
      </c>
      <c r="J109" s="143" t="n">
        <f aca="false">I109+J93</f>
        <v>7849800</v>
      </c>
      <c r="K109" s="143" t="n">
        <f aca="false">J109+K93</f>
        <v>6977600</v>
      </c>
      <c r="L109" s="143" t="n">
        <f aca="false">K109+L93</f>
        <v>6105400</v>
      </c>
      <c r="M109" s="143" t="n">
        <f aca="false">L109+M93</f>
        <v>5233200</v>
      </c>
      <c r="N109" s="143" t="n">
        <f aca="false">M109+N93</f>
        <v>4361000</v>
      </c>
      <c r="O109" s="143" t="n">
        <f aca="false">N109+O93</f>
        <v>3488800</v>
      </c>
      <c r="P109" s="143" t="n">
        <f aca="false">O109+P93</f>
        <v>2616600</v>
      </c>
      <c r="Q109" s="143" t="n">
        <f aca="false">P109+Q93</f>
        <v>1744400</v>
      </c>
      <c r="R109" s="143" t="n">
        <f aca="false">Q109+R93</f>
        <v>872200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87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139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140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141</v>
      </c>
    </row>
    <row r="7" customFormat="false" ht="22.5" hidden="false" customHeight="true" outlineLevel="0" collapsed="false">
      <c r="B7" s="2" t="s">
        <v>91</v>
      </c>
      <c r="C7" s="37"/>
      <c r="D7" s="37"/>
      <c r="E7" s="38"/>
      <c r="M7" s="1" t="s">
        <v>142</v>
      </c>
    </row>
    <row r="8" customFormat="false" ht="22.5" hidden="false" customHeight="true" outlineLevel="0" collapsed="false">
      <c r="B8" s="16" t="s">
        <v>14</v>
      </c>
      <c r="E8" s="46"/>
      <c r="M8" s="1" t="s">
        <v>143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83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96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26000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0.2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2500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97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98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99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100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101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102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103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104</v>
      </c>
      <c r="C44" s="103" t="n">
        <f aca="false">-(D16/(1-D17)+D18)*C4</f>
        <v>-15263500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105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106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107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108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109</v>
      </c>
      <c r="C49" s="94" t="s">
        <v>4</v>
      </c>
      <c r="D49" s="104" t="n">
        <v>-34015.8</v>
      </c>
      <c r="E49" s="104" t="n">
        <v>-34015.8</v>
      </c>
      <c r="F49" s="104" t="n">
        <v>-34015.8</v>
      </c>
      <c r="G49" s="104" t="n">
        <v>-34015.8</v>
      </c>
      <c r="H49" s="104" t="n">
        <v>-34015.8</v>
      </c>
      <c r="I49" s="104" t="n">
        <v>-34015.8</v>
      </c>
      <c r="J49" s="104" t="n">
        <v>-34015.8</v>
      </c>
      <c r="K49" s="104" t="n">
        <v>-34015.8</v>
      </c>
      <c r="L49" s="104" t="n">
        <v>-34015.8</v>
      </c>
      <c r="M49" s="104" t="n">
        <v>-34015.8</v>
      </c>
      <c r="N49" s="104" t="n">
        <v>-34015.8</v>
      </c>
      <c r="O49" s="104" t="n">
        <v>-34015.8</v>
      </c>
      <c r="P49" s="104" t="n">
        <v>-34015.8</v>
      </c>
      <c r="Q49" s="104" t="n">
        <v>-34015.8</v>
      </c>
      <c r="R49" s="104" t="n">
        <v>-34015.8</v>
      </c>
      <c r="S49" s="104" t="n">
        <v>-34015.8</v>
      </c>
      <c r="T49" s="104" t="n">
        <v>-34015.8</v>
      </c>
      <c r="U49" s="104" t="n">
        <v>-34015.8</v>
      </c>
      <c r="V49" s="104" t="n">
        <v>-34015.8</v>
      </c>
      <c r="W49" s="104" t="n">
        <v>-34015.8</v>
      </c>
      <c r="X49" s="104"/>
    </row>
    <row r="50" customFormat="false" ht="18.75" hidden="false" customHeight="true" outlineLevel="0" collapsed="false">
      <c r="B50" s="102" t="s">
        <v>110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111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112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113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114</v>
      </c>
      <c r="C54" s="105"/>
      <c r="D54" s="104" t="n">
        <f aca="false">-(D64+D67+D68+D71+D72+D73+D74)*0.2</f>
        <v>-172137.224</v>
      </c>
      <c r="E54" s="104" t="n">
        <f aca="false">-(E64+E67+E68+E71+E72+E73+E74)*0.2</f>
        <v>-170386.8176</v>
      </c>
      <c r="F54" s="104" t="n">
        <f aca="false">-(F64+F67+F68+F71+F72+F73+F74)*0.2</f>
        <v>-168636.4112</v>
      </c>
      <c r="G54" s="104" t="n">
        <f aca="false">-(G64+G67+G68+G71+G72+G73+G74)*0.2</f>
        <v>-166886.0048</v>
      </c>
      <c r="H54" s="104" t="n">
        <f aca="false">-(H64+H67+H68+H71+H72+H73+H74)*0.2</f>
        <v>-165135.5984</v>
      </c>
      <c r="I54" s="104" t="n">
        <f aca="false">-(I64+I67+I68+I71+I72+I73+I74)*0.2</f>
        <v>-163385.192</v>
      </c>
      <c r="J54" s="104" t="n">
        <f aca="false">-(J64+J67+J68+J71+J72+J73+J74)*0.2</f>
        <v>-161634.7856</v>
      </c>
      <c r="K54" s="104" t="n">
        <f aca="false">-(K64+K67+K68+K71+K72+K73+K74)*0.2</f>
        <v>-159884.3792</v>
      </c>
      <c r="L54" s="104" t="n">
        <f aca="false">-(L64+L67+L68+L71+L72+L73+L74)*0.2</f>
        <v>-158133.9728</v>
      </c>
      <c r="M54" s="104" t="n">
        <f aca="false">-(M64+M67+M68+M71+M72+M73+M74)*0.2</f>
        <v>-156383.5664</v>
      </c>
      <c r="N54" s="104" t="n">
        <f aca="false">-(N64+N67+N68+N71+N72+N73+N74)*0.2</f>
        <v>-163355.16</v>
      </c>
      <c r="O54" s="104" t="n">
        <f aca="false">-(O64+O67+O68+O71+O72+O73+O74)*0.2</f>
        <v>-161604.7536</v>
      </c>
      <c r="P54" s="104" t="n">
        <f aca="false">-(P64+P67+P68+P71+P72+P73+P74)*0.2</f>
        <v>-159854.3472</v>
      </c>
      <c r="Q54" s="104" t="n">
        <f aca="false">-(Q64+Q67+Q68+Q71+Q72+Q73+Q74)*0.2</f>
        <v>-158103.9408</v>
      </c>
      <c r="R54" s="104" t="n">
        <f aca="false">-(R64+R67+R68+R71+R72+R73+R74)*0.2</f>
        <v>-156353.5344</v>
      </c>
      <c r="S54" s="104" t="n">
        <f aca="false">-(S64+S67+S68+S71+S72+S73+S74)*0.2</f>
        <v>-154603.128</v>
      </c>
      <c r="T54" s="104" t="n">
        <f aca="false">-(T64+T67+T68+T71+T72+T73+T74)*0.2</f>
        <v>-152852.7216</v>
      </c>
      <c r="U54" s="104" t="n">
        <f aca="false">-(U64+U67+U68+U71+U72+U73+U74)*0.2</f>
        <v>-151102.3152</v>
      </c>
      <c r="V54" s="104" t="n">
        <f aca="false">-(V64+V67+V68+V71+V72+V73+V74)*0.2</f>
        <v>-149351.9088</v>
      </c>
      <c r="W54" s="104" t="n">
        <f aca="false">-(W64+W67+W68+W71+W72+W73+W74)*0.2</f>
        <v>-147601.5024</v>
      </c>
      <c r="X54" s="95"/>
    </row>
    <row r="55" customFormat="false" ht="18.75" hidden="false" customHeight="true" outlineLevel="0" collapsed="false">
      <c r="B55" s="107" t="s">
        <v>115</v>
      </c>
      <c r="C55" s="108" t="n">
        <f aca="false">C44</f>
        <v>-15263500</v>
      </c>
      <c r="D55" s="109" t="n">
        <f aca="false">SUM(D41:D54)</f>
        <v>1451723.896</v>
      </c>
      <c r="E55" s="109" t="n">
        <f aca="false">SUM(E41:E54)</f>
        <v>1444722.2704</v>
      </c>
      <c r="F55" s="109" t="n">
        <f aca="false">SUM(F41:F54)</f>
        <v>1437720.6448</v>
      </c>
      <c r="G55" s="109" t="n">
        <f aca="false">SUM(G41:G54)</f>
        <v>1430719.0192</v>
      </c>
      <c r="H55" s="109" t="n">
        <f aca="false">SUM(H41:H54)</f>
        <v>1423717.3936</v>
      </c>
      <c r="I55" s="109" t="n">
        <f aca="false">SUM(I41:I54)</f>
        <v>1416715.768</v>
      </c>
      <c r="J55" s="109" t="n">
        <f aca="false">SUM(J41:J54)</f>
        <v>1409714.1424</v>
      </c>
      <c r="K55" s="109" t="n">
        <f aca="false">SUM(K41:K54)</f>
        <v>1402712.5168</v>
      </c>
      <c r="L55" s="109" t="n">
        <f aca="false">SUM(L41:L54)</f>
        <v>1395710.8912</v>
      </c>
      <c r="M55" s="109" t="n">
        <f aca="false">SUM(M41:M54)</f>
        <v>1388709.2656</v>
      </c>
      <c r="N55" s="109" t="n">
        <f aca="false">SUM(N41:N54)</f>
        <v>1416595.64</v>
      </c>
      <c r="O55" s="109" t="n">
        <f aca="false">SUM(O41:O54)</f>
        <v>1409594.0144</v>
      </c>
      <c r="P55" s="109" t="n">
        <f aca="false">SUM(P41:P54)</f>
        <v>1402592.3888</v>
      </c>
      <c r="Q55" s="109" t="n">
        <f aca="false">SUM(Q41:Q54)</f>
        <v>1395590.7632</v>
      </c>
      <c r="R55" s="109" t="n">
        <f aca="false">SUM(R41:R54)</f>
        <v>1388589.1376</v>
      </c>
      <c r="S55" s="109" t="n">
        <f aca="false">SUM(S41:S54)</f>
        <v>1381587.512</v>
      </c>
      <c r="T55" s="109" t="n">
        <f aca="false">SUM(T41:T54)</f>
        <v>1374585.8864</v>
      </c>
      <c r="U55" s="109" t="n">
        <f aca="false">SUM(U41:U54)</f>
        <v>1367584.2608</v>
      </c>
      <c r="V55" s="109" t="n">
        <f aca="false">SUM(V41:V54)</f>
        <v>1360582.6352</v>
      </c>
      <c r="W55" s="109" t="n">
        <f aca="false">SUM(W41:W54)</f>
        <v>1353581.0096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116</v>
      </c>
      <c r="D56" s="114" t="n">
        <f aca="false">C55+D55</f>
        <v>-13811776.104</v>
      </c>
      <c r="E56" s="114" t="n">
        <f aca="false">D56+E55</f>
        <v>-12367053.8336</v>
      </c>
      <c r="F56" s="114" t="n">
        <f aca="false">E56+F55</f>
        <v>-10929333.1888</v>
      </c>
      <c r="G56" s="114" t="n">
        <f aca="false">F56+G55</f>
        <v>-9498614.1696</v>
      </c>
      <c r="H56" s="114" t="n">
        <f aca="false">G56+H55</f>
        <v>-8074896.776</v>
      </c>
      <c r="I56" s="114" t="n">
        <f aca="false">H56+I55</f>
        <v>-6658181.008</v>
      </c>
      <c r="J56" s="114" t="n">
        <f aca="false">I56+J55</f>
        <v>-5248466.8656</v>
      </c>
      <c r="K56" s="114" t="n">
        <f aca="false">J56+K55</f>
        <v>-3845754.3488</v>
      </c>
      <c r="L56" s="114" t="n">
        <f aca="false">K56+L55</f>
        <v>-2450043.4576</v>
      </c>
      <c r="M56" s="114" t="n">
        <f aca="false">L56+M55</f>
        <v>-1061334.192</v>
      </c>
      <c r="N56" s="114" t="n">
        <f aca="false">M56+N55</f>
        <v>355261.448000001</v>
      </c>
      <c r="O56" s="114" t="n">
        <f aca="false">N56+O55</f>
        <v>1764855.4624</v>
      </c>
      <c r="P56" s="114" t="n">
        <f aca="false">O56+P55</f>
        <v>3167447.8512</v>
      </c>
      <c r="Q56" s="114" t="n">
        <f aca="false">P56+Q55</f>
        <v>4563038.6144</v>
      </c>
      <c r="R56" s="114" t="n">
        <f aca="false">Q56+R55</f>
        <v>5951627.752</v>
      </c>
      <c r="S56" s="114" t="n">
        <f aca="false">R56+S55</f>
        <v>7333215.264</v>
      </c>
      <c r="T56" s="114" t="n">
        <f aca="false">S56+T55</f>
        <v>8707801.1504</v>
      </c>
      <c r="U56" s="114" t="n">
        <f aca="false">T56+U55</f>
        <v>10075385.4112</v>
      </c>
      <c r="V56" s="114" t="n">
        <f aca="false">U56+V55</f>
        <v>11435968.0464</v>
      </c>
      <c r="W56" s="114" t="n">
        <f aca="false">V56+W55</f>
        <v>12789549.056</v>
      </c>
      <c r="X56" s="114" t="n">
        <f aca="false">W56+X55</f>
        <v>12789549.056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117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0.0674132143343363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98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118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99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100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101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102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103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119</v>
      </c>
      <c r="C67" s="94"/>
      <c r="D67" s="127" t="n">
        <f aca="false">$C$44/$E$16</f>
        <v>-763175</v>
      </c>
      <c r="E67" s="127" t="n">
        <f aca="false">$C$44/$E$16</f>
        <v>-763175</v>
      </c>
      <c r="F67" s="127" t="n">
        <f aca="false">$C$44/$E$16</f>
        <v>-763175</v>
      </c>
      <c r="G67" s="127" t="n">
        <f aca="false">$C$44/$E$16</f>
        <v>-763175</v>
      </c>
      <c r="H67" s="127" t="n">
        <f aca="false">$C$44/$E$16</f>
        <v>-763175</v>
      </c>
      <c r="I67" s="127" t="n">
        <f aca="false">$C$44/$E$16</f>
        <v>-763175</v>
      </c>
      <c r="J67" s="127" t="n">
        <f aca="false">$C$44/$E$16</f>
        <v>-763175</v>
      </c>
      <c r="K67" s="127" t="n">
        <f aca="false">$C$44/$E$16</f>
        <v>-763175</v>
      </c>
      <c r="L67" s="127" t="n">
        <f aca="false">$C$44/$E$16</f>
        <v>-763175</v>
      </c>
      <c r="M67" s="127" t="n">
        <f aca="false">$C$44/$E$16</f>
        <v>-763175</v>
      </c>
      <c r="N67" s="127" t="n">
        <f aca="false">$C$44/$E$16</f>
        <v>-763175</v>
      </c>
      <c r="O67" s="127" t="n">
        <f aca="false">$C$44/$E$16</f>
        <v>-763175</v>
      </c>
      <c r="P67" s="127" t="n">
        <f aca="false">$C$44/$E$16</f>
        <v>-763175</v>
      </c>
      <c r="Q67" s="127" t="n">
        <f aca="false">$C$44/$E$16</f>
        <v>-763175</v>
      </c>
      <c r="R67" s="127" t="n">
        <f aca="false">$C$44/$E$16</f>
        <v>-763175</v>
      </c>
      <c r="S67" s="127" t="n">
        <f aca="false">$C$44/$E$16</f>
        <v>-763175</v>
      </c>
      <c r="T67" s="127" t="n">
        <f aca="false">$C$44/$E$16</f>
        <v>-763175</v>
      </c>
      <c r="U67" s="127" t="n">
        <f aca="false">$C$44/$E$16</f>
        <v>-763175</v>
      </c>
      <c r="V67" s="127" t="n">
        <f aca="false">$C$44/$E$16</f>
        <v>-763175</v>
      </c>
      <c r="W67" s="127" t="n">
        <f aca="false">$C$44/$E$16</f>
        <v>-763175</v>
      </c>
      <c r="X67" s="97"/>
    </row>
    <row r="68" customFormat="false" ht="18.75" hidden="false" customHeight="true" outlineLevel="0" collapsed="false">
      <c r="B68" s="102" t="s">
        <v>105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106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107</v>
      </c>
      <c r="C70" s="94" t="s">
        <v>4</v>
      </c>
      <c r="D70" s="104" t="n">
        <f aca="false">-D109*$D25</f>
        <v>-312596.48</v>
      </c>
      <c r="E70" s="104" t="n">
        <f aca="false">-E109*$D25</f>
        <v>-291756.714666667</v>
      </c>
      <c r="F70" s="104" t="n">
        <f aca="false">-F109*$D25</f>
        <v>-270916.949333333</v>
      </c>
      <c r="G70" s="104" t="n">
        <f aca="false">-G109*$D25</f>
        <v>-250077.184</v>
      </c>
      <c r="H70" s="104" t="n">
        <f aca="false">-H109*$D25</f>
        <v>-229237.418666667</v>
      </c>
      <c r="I70" s="104" t="n">
        <f aca="false">-I109*$D25</f>
        <v>-208397.653333333</v>
      </c>
      <c r="J70" s="104" t="n">
        <f aca="false">-J109*$D25</f>
        <v>-187557.888</v>
      </c>
      <c r="K70" s="104" t="n">
        <f aca="false">-K109*$D25</f>
        <v>-166718.122666667</v>
      </c>
      <c r="L70" s="104" t="n">
        <f aca="false">-L109*$D25</f>
        <v>-145878.357333334</v>
      </c>
      <c r="M70" s="104" t="n">
        <f aca="false">-M109*$D25</f>
        <v>-125038.592</v>
      </c>
      <c r="N70" s="104" t="n">
        <f aca="false">-N109*$D25</f>
        <v>-104198.826666667</v>
      </c>
      <c r="O70" s="104" t="n">
        <f aca="false">-O109*$D25</f>
        <v>-83359.0613333335</v>
      </c>
      <c r="P70" s="104" t="n">
        <f aca="false">-P109*$D25</f>
        <v>-62519.2960000002</v>
      </c>
      <c r="Q70" s="104" t="n">
        <f aca="false">-Q109*$D25</f>
        <v>-41679.5306666669</v>
      </c>
      <c r="R70" s="104" t="n">
        <f aca="false">-R109*$D25</f>
        <v>-20839.7653333335</v>
      </c>
      <c r="S70" s="104" t="n">
        <f aca="false">-S109*$D25</f>
        <v>-2.14576721191406E-010</v>
      </c>
      <c r="T70" s="104" t="n">
        <f aca="false">-T109*$D25</f>
        <v>-2.14576721191406E-010</v>
      </c>
      <c r="U70" s="104" t="n">
        <f aca="false">-U109*$D25</f>
        <v>-2.14576721191406E-010</v>
      </c>
      <c r="V70" s="104" t="n">
        <f aca="false">-V109*$D25</f>
        <v>-2.14576721191406E-010</v>
      </c>
      <c r="W70" s="104" t="n">
        <f aca="false">-W109*$D25</f>
        <v>-2.14576721191406E-010</v>
      </c>
      <c r="X70" s="97"/>
    </row>
    <row r="71" customFormat="false" ht="18.75" hidden="false" customHeight="true" outlineLevel="0" collapsed="false">
      <c r="B71" s="102" t="s">
        <v>108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109</v>
      </c>
      <c r="C72" s="94" t="s">
        <v>4</v>
      </c>
      <c r="D72" s="104" t="n">
        <f aca="false">D49</f>
        <v>-34015.8</v>
      </c>
      <c r="E72" s="104" t="n">
        <f aca="false">E49</f>
        <v>-34015.8</v>
      </c>
      <c r="F72" s="104" t="n">
        <f aca="false">F49</f>
        <v>-34015.8</v>
      </c>
      <c r="G72" s="104" t="n">
        <f aca="false">G49</f>
        <v>-34015.8</v>
      </c>
      <c r="H72" s="104" t="n">
        <f aca="false">H49</f>
        <v>-34015.8</v>
      </c>
      <c r="I72" s="104" t="n">
        <f aca="false">I49</f>
        <v>-34015.8</v>
      </c>
      <c r="J72" s="104" t="n">
        <f aca="false">J49</f>
        <v>-34015.8</v>
      </c>
      <c r="K72" s="104" t="n">
        <f aca="false">K49</f>
        <v>-34015.8</v>
      </c>
      <c r="L72" s="104" t="n">
        <f aca="false">L49</f>
        <v>-34015.8</v>
      </c>
      <c r="M72" s="104" t="n">
        <f aca="false">M49</f>
        <v>-34015.8</v>
      </c>
      <c r="N72" s="104" t="n">
        <f aca="false">N49</f>
        <v>-34015.8</v>
      </c>
      <c r="O72" s="104" t="n">
        <f aca="false">O49</f>
        <v>-34015.8</v>
      </c>
      <c r="P72" s="104" t="n">
        <f aca="false">P49</f>
        <v>-34015.8</v>
      </c>
      <c r="Q72" s="104" t="n">
        <f aca="false">Q49</f>
        <v>-34015.8</v>
      </c>
      <c r="R72" s="104" t="n">
        <f aca="false">R49</f>
        <v>-34015.8</v>
      </c>
      <c r="S72" s="104" t="n">
        <f aca="false">S49</f>
        <v>-34015.8</v>
      </c>
      <c r="T72" s="104" t="n">
        <f aca="false">T49</f>
        <v>-34015.8</v>
      </c>
      <c r="U72" s="104" t="n">
        <f aca="false">U49</f>
        <v>-34015.8</v>
      </c>
      <c r="V72" s="104" t="n">
        <f aca="false">V49</f>
        <v>-34015.8</v>
      </c>
      <c r="W72" s="104" t="n">
        <f aca="false">W49</f>
        <v>-34015.8</v>
      </c>
      <c r="X72" s="97"/>
    </row>
    <row r="73" customFormat="false" ht="18.75" hidden="false" customHeight="true" outlineLevel="0" collapsed="false">
      <c r="B73" s="102" t="s">
        <v>110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111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112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120</v>
      </c>
      <c r="C76" s="130"/>
      <c r="D76" s="109" t="n">
        <f aca="false">SUM(D64:D75)</f>
        <v>548089.64</v>
      </c>
      <c r="E76" s="109" t="n">
        <f aca="false">SUM(E64:E75)</f>
        <v>560177.373333333</v>
      </c>
      <c r="F76" s="109" t="n">
        <f aca="false">SUM(F64:F75)</f>
        <v>572265.106666667</v>
      </c>
      <c r="G76" s="109" t="n">
        <f aca="false">SUM(G64:G75)</f>
        <v>584352.84</v>
      </c>
      <c r="H76" s="109" t="n">
        <f aca="false">SUM(H64:H75)</f>
        <v>596440.573333333</v>
      </c>
      <c r="I76" s="109" t="n">
        <f aca="false">SUM(I64:I75)</f>
        <v>608528.306666666</v>
      </c>
      <c r="J76" s="109" t="n">
        <f aca="false">SUM(J64:J75)</f>
        <v>620616.04</v>
      </c>
      <c r="K76" s="109" t="n">
        <f aca="false">SUM(K64:K75)</f>
        <v>632703.773333333</v>
      </c>
      <c r="L76" s="109" t="n">
        <f aca="false">SUM(L64:L75)</f>
        <v>644791.506666666</v>
      </c>
      <c r="M76" s="109" t="n">
        <f aca="false">SUM(M64:M75)</f>
        <v>656879.24</v>
      </c>
      <c r="N76" s="109" t="n">
        <f aca="false">SUM(N64:N75)</f>
        <v>712576.973333333</v>
      </c>
      <c r="O76" s="109" t="n">
        <f aca="false">SUM(O64:O75)</f>
        <v>724664.706666666</v>
      </c>
      <c r="P76" s="109" t="n">
        <f aca="false">SUM(P64:P75)</f>
        <v>736752.44</v>
      </c>
      <c r="Q76" s="109" t="n">
        <f aca="false">SUM(Q64:Q75)</f>
        <v>748840.173333333</v>
      </c>
      <c r="R76" s="109" t="n">
        <f aca="false">SUM(R64:R75)</f>
        <v>760927.906666666</v>
      </c>
      <c r="S76" s="109" t="n">
        <f aca="false">SUM(S64:S75)</f>
        <v>773015.64</v>
      </c>
      <c r="T76" s="109" t="n">
        <f aca="false">SUM(T64:T75)</f>
        <v>764263.608</v>
      </c>
      <c r="U76" s="109" t="n">
        <f aca="false">SUM(U64:U75)</f>
        <v>755511.576</v>
      </c>
      <c r="V76" s="109" t="n">
        <f aca="false">SUM(V64:V75)</f>
        <v>746759.544</v>
      </c>
      <c r="W76" s="109" t="n">
        <f aca="false">SUM(W64:W75)</f>
        <v>738007.512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114</v>
      </c>
      <c r="C77" s="105"/>
      <c r="D77" s="104" t="n">
        <f aca="false">-D76*0.2</f>
        <v>-109617.928</v>
      </c>
      <c r="E77" s="104" t="n">
        <f aca="false">-E76*0.2</f>
        <v>-112035.474666667</v>
      </c>
      <c r="F77" s="104" t="n">
        <f aca="false">-F76*0.2</f>
        <v>-114453.021333333</v>
      </c>
      <c r="G77" s="104" t="n">
        <f aca="false">-G76*0.2</f>
        <v>-116870.568</v>
      </c>
      <c r="H77" s="104" t="n">
        <f aca="false">-H76*0.2</f>
        <v>-119288.114666667</v>
      </c>
      <c r="I77" s="104" t="n">
        <f aca="false">-I76*0.2</f>
        <v>-121705.661333333</v>
      </c>
      <c r="J77" s="104" t="n">
        <f aca="false">-J76*0.2</f>
        <v>-124123.208</v>
      </c>
      <c r="K77" s="104" t="n">
        <f aca="false">-K76*0.2</f>
        <v>-126540.754666667</v>
      </c>
      <c r="L77" s="104" t="n">
        <f aca="false">-L76*0.2</f>
        <v>-128958.301333333</v>
      </c>
      <c r="M77" s="104" t="n">
        <f aca="false">-M76*0.2</f>
        <v>-131375.848</v>
      </c>
      <c r="N77" s="104" t="n">
        <f aca="false">-N76*0.2</f>
        <v>-142515.394666667</v>
      </c>
      <c r="O77" s="104" t="n">
        <f aca="false">-O76*0.2</f>
        <v>-144932.941333333</v>
      </c>
      <c r="P77" s="104" t="n">
        <f aca="false">-P76*0.2</f>
        <v>-147350.488</v>
      </c>
      <c r="Q77" s="104" t="n">
        <f aca="false">-Q76*0.2</f>
        <v>-149768.034666667</v>
      </c>
      <c r="R77" s="104" t="n">
        <f aca="false">-R76*0.2</f>
        <v>-152185.581333333</v>
      </c>
      <c r="S77" s="104" t="n">
        <f aca="false">-S76*0.2</f>
        <v>-154603.128</v>
      </c>
      <c r="T77" s="104" t="n">
        <f aca="false">-T76*0.2</f>
        <v>-152852.7216</v>
      </c>
      <c r="U77" s="104" t="n">
        <f aca="false">-U76*0.2</f>
        <v>-151102.3152</v>
      </c>
      <c r="V77" s="104" t="n">
        <f aca="false">-V76*0.2</f>
        <v>-149351.9088</v>
      </c>
      <c r="W77" s="104" t="n">
        <f aca="false">-W76*0.2</f>
        <v>-147601.5024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121</v>
      </c>
      <c r="D78" s="104" t="n">
        <f aca="false">SUM(D76:D77)</f>
        <v>438471.712</v>
      </c>
      <c r="E78" s="104" t="n">
        <f aca="false">SUM(E76:E77)</f>
        <v>448141.898666667</v>
      </c>
      <c r="F78" s="104" t="n">
        <f aca="false">SUM(F76:F77)</f>
        <v>457812.085333333</v>
      </c>
      <c r="G78" s="104" t="n">
        <f aca="false">SUM(G76:G77)</f>
        <v>467482.272</v>
      </c>
      <c r="H78" s="104" t="n">
        <f aca="false">SUM(H76:H77)</f>
        <v>477152.458666667</v>
      </c>
      <c r="I78" s="104" t="n">
        <f aca="false">SUM(I76:I77)</f>
        <v>486822.645333333</v>
      </c>
      <c r="J78" s="104" t="n">
        <f aca="false">SUM(J76:J77)</f>
        <v>496492.832</v>
      </c>
      <c r="K78" s="104" t="n">
        <f aca="false">SUM(K76:K77)</f>
        <v>506163.018666667</v>
      </c>
      <c r="L78" s="104" t="n">
        <f aca="false">SUM(L76:L77)</f>
        <v>515833.205333333</v>
      </c>
      <c r="M78" s="104" t="n">
        <f aca="false">SUM(M76:M77)</f>
        <v>525503.392</v>
      </c>
      <c r="N78" s="104" t="n">
        <f aca="false">SUM(N76:N77)</f>
        <v>570061.578666666</v>
      </c>
      <c r="O78" s="104" t="n">
        <f aca="false">SUM(O76:O77)</f>
        <v>579731.765333333</v>
      </c>
      <c r="P78" s="104" t="n">
        <f aca="false">SUM(P76:P77)</f>
        <v>589401.952</v>
      </c>
      <c r="Q78" s="104" t="n">
        <f aca="false">SUM(Q76:Q77)</f>
        <v>599072.138666666</v>
      </c>
      <c r="R78" s="104" t="n">
        <f aca="false">SUM(R76:R77)</f>
        <v>608742.325333333</v>
      </c>
      <c r="S78" s="104" t="n">
        <f aca="false">SUM(S76:S77)</f>
        <v>618412.512</v>
      </c>
      <c r="T78" s="104" t="n">
        <f aca="false">SUM(T76:T77)</f>
        <v>611410.8864</v>
      </c>
      <c r="U78" s="104" t="n">
        <f aca="false">SUM(U76:U77)</f>
        <v>604409.2608</v>
      </c>
      <c r="V78" s="104" t="n">
        <f aca="false">SUM(V76:V77)</f>
        <v>597407.6352</v>
      </c>
      <c r="W78" s="104" t="n">
        <f aca="false">SUM(W76:W77)</f>
        <v>590406.0096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116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117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98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99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121</v>
      </c>
      <c r="C85" s="142"/>
      <c r="D85" s="143" t="n">
        <f aca="false">D78</f>
        <v>438471.712</v>
      </c>
      <c r="E85" s="143" t="n">
        <f aca="false">E78</f>
        <v>448141.898666667</v>
      </c>
      <c r="F85" s="143" t="n">
        <f aca="false">F78</f>
        <v>457812.085333333</v>
      </c>
      <c r="G85" s="143" t="n">
        <f aca="false">G78</f>
        <v>467482.272</v>
      </c>
      <c r="H85" s="143" t="n">
        <f aca="false">H78</f>
        <v>477152.458666667</v>
      </c>
      <c r="I85" s="143" t="n">
        <f aca="false">I78</f>
        <v>486822.645333333</v>
      </c>
      <c r="J85" s="143" t="n">
        <f aca="false">J78</f>
        <v>496492.832</v>
      </c>
      <c r="K85" s="143" t="n">
        <f aca="false">K78</f>
        <v>506163.018666667</v>
      </c>
      <c r="L85" s="143" t="n">
        <f aca="false">L78</f>
        <v>515833.205333333</v>
      </c>
      <c r="M85" s="143" t="n">
        <f aca="false">M78</f>
        <v>525503.392</v>
      </c>
      <c r="N85" s="143" t="n">
        <f aca="false">N78</f>
        <v>570061.578666666</v>
      </c>
      <c r="O85" s="143" t="n">
        <f aca="false">O78</f>
        <v>579731.765333333</v>
      </c>
      <c r="P85" s="143" t="n">
        <f aca="false">P78</f>
        <v>589401.952</v>
      </c>
      <c r="Q85" s="143" t="n">
        <f aca="false">Q78</f>
        <v>599072.138666666</v>
      </c>
      <c r="R85" s="143" t="n">
        <f aca="false">R78</f>
        <v>608742.325333333</v>
      </c>
      <c r="S85" s="143" t="n">
        <f aca="false">S78</f>
        <v>618412.512</v>
      </c>
      <c r="T85" s="143" t="n">
        <f aca="false">T78</f>
        <v>611410.8864</v>
      </c>
      <c r="U85" s="143" t="n">
        <f aca="false">U78</f>
        <v>604409.2608</v>
      </c>
      <c r="V85" s="143" t="n">
        <f aca="false">V78</f>
        <v>597407.6352</v>
      </c>
      <c r="W85" s="143" t="n">
        <f aca="false">W78</f>
        <v>590406.0096</v>
      </c>
      <c r="X85" s="142"/>
      <c r="Y85" s="142"/>
    </row>
    <row r="86" customFormat="false" ht="15.75" hidden="false" customHeight="true" outlineLevel="0" collapsed="false">
      <c r="B86" s="142" t="s">
        <v>122</v>
      </c>
      <c r="C86" s="142"/>
      <c r="D86" s="144" t="n">
        <f aca="false">-D67</f>
        <v>763175</v>
      </c>
      <c r="E86" s="144" t="n">
        <f aca="false">-E67</f>
        <v>763175</v>
      </c>
      <c r="F86" s="144" t="n">
        <f aca="false">-F67</f>
        <v>763175</v>
      </c>
      <c r="G86" s="144" t="n">
        <f aca="false">-G67</f>
        <v>763175</v>
      </c>
      <c r="H86" s="144" t="n">
        <f aca="false">-H67</f>
        <v>763175</v>
      </c>
      <c r="I86" s="144" t="n">
        <f aca="false">-I67</f>
        <v>763175</v>
      </c>
      <c r="J86" s="144" t="n">
        <f aca="false">-J67</f>
        <v>763175</v>
      </c>
      <c r="K86" s="144" t="n">
        <f aca="false">-K67</f>
        <v>763175</v>
      </c>
      <c r="L86" s="144" t="n">
        <f aca="false">-L67</f>
        <v>763175</v>
      </c>
      <c r="M86" s="144" t="n">
        <f aca="false">-M67</f>
        <v>763175</v>
      </c>
      <c r="N86" s="144" t="n">
        <f aca="false">-N67</f>
        <v>763175</v>
      </c>
      <c r="O86" s="144" t="n">
        <f aca="false">-O67</f>
        <v>763175</v>
      </c>
      <c r="P86" s="144" t="n">
        <f aca="false">-P67</f>
        <v>763175</v>
      </c>
      <c r="Q86" s="144" t="n">
        <f aca="false">-Q67</f>
        <v>763175</v>
      </c>
      <c r="R86" s="144" t="n">
        <f aca="false">-R67</f>
        <v>763175</v>
      </c>
      <c r="S86" s="144" t="n">
        <f aca="false">-S67</f>
        <v>763175</v>
      </c>
      <c r="T86" s="144" t="n">
        <f aca="false">-T67</f>
        <v>763175</v>
      </c>
      <c r="U86" s="144" t="n">
        <f aca="false">-U67</f>
        <v>763175</v>
      </c>
      <c r="V86" s="144" t="n">
        <f aca="false">-V67</f>
        <v>763175</v>
      </c>
      <c r="W86" s="144" t="n">
        <f aca="false">-W67</f>
        <v>763175</v>
      </c>
      <c r="X86" s="145"/>
      <c r="Y86" s="145"/>
    </row>
    <row r="87" customFormat="false" ht="15.75" hidden="false" customHeight="true" outlineLevel="0" collapsed="false">
      <c r="B87" s="142" t="s">
        <v>123</v>
      </c>
      <c r="C87" s="142"/>
      <c r="D87" s="146" t="n">
        <f aca="false">SUM(D85:D86)</f>
        <v>1201646.712</v>
      </c>
      <c r="E87" s="146" t="n">
        <f aca="false">SUM(E85:E86)</f>
        <v>1211316.89866667</v>
      </c>
      <c r="F87" s="146" t="n">
        <f aca="false">SUM(F85:F86)</f>
        <v>1220987.08533333</v>
      </c>
      <c r="G87" s="146" t="n">
        <f aca="false">SUM(G85:G86)</f>
        <v>1230657.272</v>
      </c>
      <c r="H87" s="146" t="n">
        <f aca="false">SUM(H85:H86)</f>
        <v>1240327.45866667</v>
      </c>
      <c r="I87" s="146" t="n">
        <f aca="false">SUM(I85:I86)</f>
        <v>1249997.64533333</v>
      </c>
      <c r="J87" s="146" t="n">
        <f aca="false">SUM(J85:J86)</f>
        <v>1259667.832</v>
      </c>
      <c r="K87" s="146" t="n">
        <f aca="false">SUM(K85:K86)</f>
        <v>1269338.01866667</v>
      </c>
      <c r="L87" s="146" t="n">
        <f aca="false">SUM(L85:L86)</f>
        <v>1279008.20533333</v>
      </c>
      <c r="M87" s="146" t="n">
        <f aca="false">SUM(M85:M86)</f>
        <v>1288678.392</v>
      </c>
      <c r="N87" s="146" t="n">
        <f aca="false">SUM(N85:N86)</f>
        <v>1333236.57866667</v>
      </c>
      <c r="O87" s="146" t="n">
        <f aca="false">SUM(O85:O86)</f>
        <v>1342906.76533333</v>
      </c>
      <c r="P87" s="146" t="n">
        <f aca="false">SUM(P85:P86)</f>
        <v>1352576.952</v>
      </c>
      <c r="Q87" s="146" t="n">
        <f aca="false">SUM(Q85:Q86)</f>
        <v>1362247.13866667</v>
      </c>
      <c r="R87" s="146" t="n">
        <f aca="false">SUM(R85:R86)</f>
        <v>1371917.32533333</v>
      </c>
      <c r="S87" s="146" t="n">
        <f aca="false">SUM(S85:S86)</f>
        <v>1381587.512</v>
      </c>
      <c r="T87" s="146" t="n">
        <f aca="false">SUM(T85:T86)</f>
        <v>1374585.8864</v>
      </c>
      <c r="U87" s="146" t="n">
        <f aca="false">SUM(U85:U86)</f>
        <v>1367584.2608</v>
      </c>
      <c r="V87" s="146" t="n">
        <f aca="false">SUM(V85:V86)</f>
        <v>1360582.6352</v>
      </c>
      <c r="W87" s="146" t="n">
        <f aca="false">SUM(W85:W86)</f>
        <v>1353581.0096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124</v>
      </c>
      <c r="C89" s="149"/>
      <c r="D89" s="150" t="n">
        <f aca="false">C44</f>
        <v>-15263500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125</v>
      </c>
      <c r="C92" s="149"/>
      <c r="D92" s="150" t="n">
        <f aca="false">-D89*D31</f>
        <v>12210800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126</v>
      </c>
      <c r="C93" s="142"/>
      <c r="D93" s="152"/>
      <c r="E93" s="152" t="n">
        <v>-814053.333333333</v>
      </c>
      <c r="F93" s="152" t="n">
        <v>-814053.333333333</v>
      </c>
      <c r="G93" s="152" t="n">
        <v>-814053.333333333</v>
      </c>
      <c r="H93" s="152" t="n">
        <v>-814053.333333333</v>
      </c>
      <c r="I93" s="152" t="n">
        <v>-814053.333333333</v>
      </c>
      <c r="J93" s="152" t="n">
        <v>-814053.333333333</v>
      </c>
      <c r="K93" s="152" t="n">
        <v>-814053.333333333</v>
      </c>
      <c r="L93" s="152" t="n">
        <v>-814053.333333333</v>
      </c>
      <c r="M93" s="152" t="n">
        <v>-814053.333333333</v>
      </c>
      <c r="N93" s="152" t="n">
        <v>-814053.333333333</v>
      </c>
      <c r="O93" s="152" t="n">
        <v>-814053.333333333</v>
      </c>
      <c r="P93" s="152" t="n">
        <v>-814053.333333333</v>
      </c>
      <c r="Q93" s="152" t="n">
        <v>-814053.333333333</v>
      </c>
      <c r="R93" s="152" t="n">
        <v>-814053.333333333</v>
      </c>
      <c r="S93" s="152" t="n">
        <v>-814053.333333333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127</v>
      </c>
      <c r="C94" s="147"/>
      <c r="D94" s="143" t="n">
        <f aca="false">-D89*(1-D31)</f>
        <v>3052700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-394624.5408</v>
      </c>
      <c r="F95" s="153" t="n">
        <f aca="false">-E85*$D$33</f>
        <v>-403327.7088</v>
      </c>
      <c r="G95" s="153" t="n">
        <f aca="false">-F85*$D$33</f>
        <v>-412030.8768</v>
      </c>
      <c r="H95" s="153" t="n">
        <f aca="false">-G85*$D$33</f>
        <v>-420734.0448</v>
      </c>
      <c r="I95" s="153" t="n">
        <f aca="false">-H85*$D$33</f>
        <v>-429437.2128</v>
      </c>
      <c r="J95" s="153" t="n">
        <f aca="false">-I85*$D$33</f>
        <v>-438140.3808</v>
      </c>
      <c r="K95" s="153" t="n">
        <f aca="false">-J85*$D$33</f>
        <v>-446843.5488</v>
      </c>
      <c r="L95" s="153" t="n">
        <f aca="false">-K85*$D$33</f>
        <v>-455546.7168</v>
      </c>
      <c r="M95" s="153" t="n">
        <f aca="false">-L85*$D$33</f>
        <v>-464249.8848</v>
      </c>
      <c r="N95" s="153" t="n">
        <f aca="false">-M85*$D$33</f>
        <v>-472953.0528</v>
      </c>
      <c r="O95" s="153" t="n">
        <f aca="false">-N85*$D$33</f>
        <v>-513055.4208</v>
      </c>
      <c r="P95" s="153" t="n">
        <f aca="false">-O85*$D$33</f>
        <v>-521758.5888</v>
      </c>
      <c r="Q95" s="153" t="n">
        <f aca="false">-P85*$D$33</f>
        <v>-530461.7568</v>
      </c>
      <c r="R95" s="153" t="n">
        <f aca="false">-Q85*$D$33</f>
        <v>-539164.9248</v>
      </c>
      <c r="S95" s="153" t="n">
        <f aca="false">-R85*$D$33</f>
        <v>-547868.0928</v>
      </c>
      <c r="T95" s="153" t="n">
        <f aca="false">-S85*$D$33</f>
        <v>-556571.2608</v>
      </c>
      <c r="U95" s="153" t="n">
        <f aca="false">-T85*$D$33</f>
        <v>-550269.79776</v>
      </c>
      <c r="V95" s="153" t="n">
        <f aca="false">-U85*$D$33</f>
        <v>-543968.33472</v>
      </c>
      <c r="W95" s="153" t="n">
        <f aca="false">-V85*$D$33</f>
        <v>-537666.87168</v>
      </c>
      <c r="X95" s="153" t="n">
        <f aca="false">-W85*$D$33</f>
        <v>-531365.40864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-763175</v>
      </c>
      <c r="U96" s="156" t="n">
        <v>-763175</v>
      </c>
      <c r="V96" s="156" t="n">
        <v>-763175</v>
      </c>
      <c r="W96" s="156" t="n">
        <v>-763175</v>
      </c>
      <c r="X96" s="157" t="n">
        <f aca="false">-W101-X95</f>
        <v>-1078893.1584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128</v>
      </c>
      <c r="C99" s="143" t="n">
        <v>0</v>
      </c>
      <c r="D99" s="143" t="n">
        <f aca="false">SUM(D87:D96)</f>
        <v>1201646.712</v>
      </c>
      <c r="E99" s="143" t="n">
        <f aca="false">SUM(E87:E96)</f>
        <v>2639.02453333337</v>
      </c>
      <c r="F99" s="143" t="n">
        <f aca="false">SUM(F87:F96)</f>
        <v>3606.04320000048</v>
      </c>
      <c r="G99" s="143" t="n">
        <f aca="false">SUM(G87:G96)</f>
        <v>4573.06186666683</v>
      </c>
      <c r="H99" s="143" t="n">
        <f aca="false">SUM(H87:H96)</f>
        <v>5540.08053333336</v>
      </c>
      <c r="I99" s="143" t="n">
        <f aca="false">SUM(I87:I96)</f>
        <v>6507.09920000006</v>
      </c>
      <c r="J99" s="143" t="n">
        <f aca="false">SUM(J87:J96)</f>
        <v>7474.11786666716</v>
      </c>
      <c r="K99" s="143" t="n">
        <f aca="false">SUM(K87:K96)</f>
        <v>8441.13653333351</v>
      </c>
      <c r="L99" s="143" t="n">
        <f aca="false">SUM(L87:L96)</f>
        <v>9408.15520000004</v>
      </c>
      <c r="M99" s="143" t="n">
        <f aca="false">SUM(M87:M96)</f>
        <v>10375.1738666669</v>
      </c>
      <c r="N99" s="143" t="n">
        <f aca="false">SUM(N87:N96)</f>
        <v>46230.1925333335</v>
      </c>
      <c r="O99" s="143" t="n">
        <f aca="false">SUM(O87:O96)</f>
        <v>15798.0112000004</v>
      </c>
      <c r="P99" s="143" t="n">
        <f aca="false">SUM(P87:P96)</f>
        <v>16765.0298666667</v>
      </c>
      <c r="Q99" s="143" t="n">
        <f aca="false">SUM(Q87:Q96)</f>
        <v>17732.0485333336</v>
      </c>
      <c r="R99" s="143" t="n">
        <f aca="false">SUM(R87:R96)</f>
        <v>18699.0672000004</v>
      </c>
      <c r="S99" s="143" t="n">
        <f aca="false">SUM(S87:S96)</f>
        <v>19666.0858666669</v>
      </c>
      <c r="T99" s="143" t="n">
        <f aca="false">SUM(T87:T96)</f>
        <v>54839.6255999999</v>
      </c>
      <c r="U99" s="143" t="n">
        <f aca="false">SUM(U87:U96)</f>
        <v>54139.4630400002</v>
      </c>
      <c r="V99" s="143" t="n">
        <f aca="false">SUM(V87:V96)</f>
        <v>53439.30048</v>
      </c>
      <c r="W99" s="143" t="n">
        <f aca="false">SUM(W87:W96)</f>
        <v>52739.13792</v>
      </c>
      <c r="X99" s="112"/>
    </row>
    <row r="100" customFormat="false" ht="15.75" hidden="false" customHeight="true" outlineLevel="0" collapsed="false">
      <c r="B100" s="142" t="s">
        <v>129</v>
      </c>
      <c r="C100" s="143" t="n">
        <v>0</v>
      </c>
      <c r="D100" s="143" t="n">
        <f aca="false">C101</f>
        <v>0</v>
      </c>
      <c r="E100" s="143" t="n">
        <f aca="false">D101</f>
        <v>1201646.712</v>
      </c>
      <c r="F100" s="143" t="n">
        <f aca="false">E101</f>
        <v>1204285.73653333</v>
      </c>
      <c r="G100" s="143" t="n">
        <f aca="false">F101</f>
        <v>1207891.77973333</v>
      </c>
      <c r="H100" s="143" t="n">
        <f aca="false">G101</f>
        <v>1212464.8416</v>
      </c>
      <c r="I100" s="143" t="n">
        <f aca="false">H101</f>
        <v>1218004.92213333</v>
      </c>
      <c r="J100" s="143" t="n">
        <f aca="false">I101</f>
        <v>1224512.02133333</v>
      </c>
      <c r="K100" s="143" t="n">
        <f aca="false">J101</f>
        <v>1231986.1392</v>
      </c>
      <c r="L100" s="143" t="n">
        <f aca="false">K101</f>
        <v>1240427.27573333</v>
      </c>
      <c r="M100" s="143" t="n">
        <f aca="false">L101</f>
        <v>1249835.43093333</v>
      </c>
      <c r="N100" s="143" t="n">
        <f aca="false">M101</f>
        <v>1260210.6048</v>
      </c>
      <c r="O100" s="143" t="n">
        <f aca="false">N101</f>
        <v>1306440.79733333</v>
      </c>
      <c r="P100" s="143" t="n">
        <f aca="false">O101</f>
        <v>1322238.80853333</v>
      </c>
      <c r="Q100" s="143" t="n">
        <f aca="false">P101</f>
        <v>1339003.8384</v>
      </c>
      <c r="R100" s="143" t="n">
        <f aca="false">Q101</f>
        <v>1356735.88693334</v>
      </c>
      <c r="S100" s="143" t="n">
        <f aca="false">R101</f>
        <v>1375434.95413334</v>
      </c>
      <c r="T100" s="143" t="n">
        <f aca="false">S101</f>
        <v>1395101.04</v>
      </c>
      <c r="U100" s="143" t="n">
        <f aca="false">T101</f>
        <v>1449940.6656</v>
      </c>
      <c r="V100" s="143" t="n">
        <f aca="false">U101</f>
        <v>1504080.12864</v>
      </c>
      <c r="W100" s="143" t="n">
        <f aca="false">V101</f>
        <v>1557519.42912</v>
      </c>
      <c r="X100" s="111"/>
    </row>
    <row r="101" customFormat="false" ht="15.75" hidden="false" customHeight="true" outlineLevel="0" collapsed="false">
      <c r="B101" s="142" t="s">
        <v>130</v>
      </c>
      <c r="C101" s="143" t="n">
        <v>0</v>
      </c>
      <c r="D101" s="143" t="n">
        <f aca="false">D99+D100</f>
        <v>1201646.712</v>
      </c>
      <c r="E101" s="143" t="n">
        <f aca="false">E99+E100</f>
        <v>1204285.73653333</v>
      </c>
      <c r="F101" s="143" t="n">
        <f aca="false">F99+F100</f>
        <v>1207891.77973333</v>
      </c>
      <c r="G101" s="143" t="n">
        <f aca="false">G99+G100</f>
        <v>1212464.8416</v>
      </c>
      <c r="H101" s="143" t="n">
        <f aca="false">H99+H100</f>
        <v>1218004.92213333</v>
      </c>
      <c r="I101" s="143" t="n">
        <f aca="false">I99+I100</f>
        <v>1224512.02133333</v>
      </c>
      <c r="J101" s="143" t="n">
        <f aca="false">J99+J100</f>
        <v>1231986.1392</v>
      </c>
      <c r="K101" s="143" t="n">
        <f aca="false">K99+K100</f>
        <v>1240427.27573333</v>
      </c>
      <c r="L101" s="143" t="n">
        <f aca="false">L99+L100</f>
        <v>1249835.43093333</v>
      </c>
      <c r="M101" s="143" t="n">
        <f aca="false">M99+M100</f>
        <v>1260210.6048</v>
      </c>
      <c r="N101" s="143" t="n">
        <f aca="false">N99+N100</f>
        <v>1306440.79733333</v>
      </c>
      <c r="O101" s="143" t="n">
        <f aca="false">O99+O100</f>
        <v>1322238.80853333</v>
      </c>
      <c r="P101" s="143" t="n">
        <f aca="false">P99+P100</f>
        <v>1339003.8384</v>
      </c>
      <c r="Q101" s="143" t="n">
        <f aca="false">Q99+Q100</f>
        <v>1356735.88693334</v>
      </c>
      <c r="R101" s="143" t="n">
        <f aca="false">R99+R100</f>
        <v>1375434.95413334</v>
      </c>
      <c r="S101" s="143" t="n">
        <f aca="false">S99+S100</f>
        <v>1395101.04</v>
      </c>
      <c r="T101" s="143" t="n">
        <f aca="false">T99+T100</f>
        <v>1449940.6656</v>
      </c>
      <c r="U101" s="143" t="n">
        <f aca="false">U99+U100</f>
        <v>1504080.12864</v>
      </c>
      <c r="V101" s="143" t="n">
        <f aca="false">V99+V100</f>
        <v>1557519.42912</v>
      </c>
      <c r="W101" s="143" t="n">
        <f aca="false">W99+W100</f>
        <v>1610258.56704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131</v>
      </c>
      <c r="C104" s="159"/>
      <c r="D104" s="160" t="n">
        <f aca="false">-D94</f>
        <v>-3052700</v>
      </c>
      <c r="E104" s="146" t="n">
        <f aca="false">-E95-E96</f>
        <v>394624.5408</v>
      </c>
      <c r="F104" s="146" t="n">
        <f aca="false">-F95-F96</f>
        <v>403327.7088</v>
      </c>
      <c r="G104" s="146" t="n">
        <f aca="false">-G95-G96</f>
        <v>412030.8768</v>
      </c>
      <c r="H104" s="146" t="n">
        <f aca="false">-H95-H96</f>
        <v>420734.0448</v>
      </c>
      <c r="I104" s="146" t="n">
        <f aca="false">-I95-I96</f>
        <v>429437.2128</v>
      </c>
      <c r="J104" s="146" t="n">
        <f aca="false">-J95-J96</f>
        <v>438140.3808</v>
      </c>
      <c r="K104" s="146" t="n">
        <f aca="false">-K95-K96</f>
        <v>446843.5488</v>
      </c>
      <c r="L104" s="146" t="n">
        <f aca="false">-L95-L96</f>
        <v>455546.7168</v>
      </c>
      <c r="M104" s="146" t="n">
        <f aca="false">-M95-M96</f>
        <v>464249.8848</v>
      </c>
      <c r="N104" s="146" t="n">
        <f aca="false">-N95-N96</f>
        <v>472953.0528</v>
      </c>
      <c r="O104" s="146" t="n">
        <f aca="false">-O95-O96</f>
        <v>513055.4208</v>
      </c>
      <c r="P104" s="146" t="n">
        <f aca="false">-P95-P96</f>
        <v>521758.5888</v>
      </c>
      <c r="Q104" s="146" t="n">
        <f aca="false">-Q95-Q96</f>
        <v>530461.7568</v>
      </c>
      <c r="R104" s="146" t="n">
        <f aca="false">-R95-R96</f>
        <v>539164.9248</v>
      </c>
      <c r="S104" s="146" t="n">
        <f aca="false">-S95-S96</f>
        <v>547868.0928</v>
      </c>
      <c r="T104" s="146" t="n">
        <f aca="false">-T95-T96</f>
        <v>1319746.2608</v>
      </c>
      <c r="U104" s="146" t="n">
        <f aca="false">-U95-U96</f>
        <v>1313444.79776</v>
      </c>
      <c r="V104" s="146" t="n">
        <f aca="false">-V95-V96</f>
        <v>1307143.33472</v>
      </c>
      <c r="W104" s="146" t="n">
        <f aca="false">-W95-W96</f>
        <v>1300841.87168</v>
      </c>
      <c r="X104" s="146" t="n">
        <f aca="false">-X95-X96</f>
        <v>1610258.56704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0.15333653667903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132</v>
      </c>
      <c r="C106" s="159"/>
      <c r="D106" s="160" t="n">
        <f aca="false">D85-D94</f>
        <v>-2614228.288</v>
      </c>
      <c r="E106" s="146" t="n">
        <f aca="false">E85</f>
        <v>448141.898666667</v>
      </c>
      <c r="F106" s="146" t="n">
        <f aca="false">F85-F96</f>
        <v>457812.085333333</v>
      </c>
      <c r="G106" s="146" t="n">
        <f aca="false">G85-G96</f>
        <v>467482.272</v>
      </c>
      <c r="H106" s="146" t="n">
        <f aca="false">H85-H96</f>
        <v>477152.458666667</v>
      </c>
      <c r="I106" s="146" t="n">
        <f aca="false">I85-I96</f>
        <v>486822.645333333</v>
      </c>
      <c r="J106" s="146" t="n">
        <f aca="false">J85-J96</f>
        <v>496492.832</v>
      </c>
      <c r="K106" s="146" t="n">
        <f aca="false">K85-K96</f>
        <v>506163.018666667</v>
      </c>
      <c r="L106" s="146" t="n">
        <f aca="false">L85-L96</f>
        <v>515833.205333333</v>
      </c>
      <c r="M106" s="146" t="n">
        <f aca="false">M85-M96</f>
        <v>525503.392</v>
      </c>
      <c r="N106" s="146" t="n">
        <f aca="false">N85-N96</f>
        <v>570061.578666666</v>
      </c>
      <c r="O106" s="146" t="n">
        <f aca="false">O85-O96</f>
        <v>579731.765333333</v>
      </c>
      <c r="P106" s="146" t="n">
        <f aca="false">P85-P96</f>
        <v>589401.952</v>
      </c>
      <c r="Q106" s="146" t="n">
        <f aca="false">Q85-Q96</f>
        <v>599072.138666666</v>
      </c>
      <c r="R106" s="146" t="n">
        <f aca="false">R85-R96</f>
        <v>608742.325333333</v>
      </c>
      <c r="S106" s="146" t="n">
        <f aca="false">S85-S96</f>
        <v>618412.512</v>
      </c>
      <c r="T106" s="146" t="n">
        <f aca="false">T85-T96</f>
        <v>1374585.8864</v>
      </c>
      <c r="U106" s="146" t="n">
        <f aca="false">U85-U96</f>
        <v>1367584.2608</v>
      </c>
      <c r="V106" s="146" t="n">
        <f aca="false">V85-V96</f>
        <v>1360582.6352</v>
      </c>
      <c r="W106" s="146" t="n">
        <f aca="false">W85-W96</f>
        <v>1353581.0096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0.193640016478358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133</v>
      </c>
      <c r="C109" s="143" t="n">
        <v>0</v>
      </c>
      <c r="D109" s="143" t="n">
        <f aca="false">D92</f>
        <v>12210800</v>
      </c>
      <c r="E109" s="143" t="n">
        <f aca="false">D109+E93</f>
        <v>11396746.6666667</v>
      </c>
      <c r="F109" s="143" t="n">
        <f aca="false">E109+F93</f>
        <v>10582693.3333333</v>
      </c>
      <c r="G109" s="143" t="n">
        <f aca="false">F109+G93</f>
        <v>9768640</v>
      </c>
      <c r="H109" s="143" t="n">
        <f aca="false">G109+H93</f>
        <v>8954586.66666667</v>
      </c>
      <c r="I109" s="143" t="n">
        <f aca="false">H109+I93</f>
        <v>8140533.33333334</v>
      </c>
      <c r="J109" s="143" t="n">
        <f aca="false">I109+J93</f>
        <v>7326480.00000001</v>
      </c>
      <c r="K109" s="143" t="n">
        <f aca="false">J109+K93</f>
        <v>6512426.66666667</v>
      </c>
      <c r="L109" s="143" t="n">
        <f aca="false">K109+L93</f>
        <v>5698373.33333334</v>
      </c>
      <c r="M109" s="143" t="n">
        <f aca="false">L109+M93</f>
        <v>4884320.00000001</v>
      </c>
      <c r="N109" s="143" t="n">
        <f aca="false">M109+N93</f>
        <v>4070266.66666667</v>
      </c>
      <c r="O109" s="143" t="n">
        <f aca="false">N109+O93</f>
        <v>3256213.33333334</v>
      </c>
      <c r="P109" s="143" t="n">
        <f aca="false">O109+P93</f>
        <v>2442160.00000001</v>
      </c>
      <c r="Q109" s="143" t="n">
        <f aca="false">P109+Q93</f>
        <v>1628106.66666667</v>
      </c>
      <c r="R109" s="143" t="n">
        <f aca="false">Q109+R93</f>
        <v>814053.333333341</v>
      </c>
      <c r="S109" s="143" t="n">
        <f aca="false">R109+S93</f>
        <v>8.38190317153931E-009</v>
      </c>
      <c r="T109" s="143" t="n">
        <f aca="false">S109+T93</f>
        <v>8.38190317153931E-009</v>
      </c>
      <c r="U109" s="143" t="n">
        <f aca="false">T109+U93</f>
        <v>8.38190317153931E-009</v>
      </c>
      <c r="V109" s="143" t="n">
        <f aca="false">U109+V93</f>
        <v>8.38190317153931E-009</v>
      </c>
      <c r="W109" s="143" t="n">
        <f aca="false">V109+W93</f>
        <v>8.38190317153931E-009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87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144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145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146</v>
      </c>
    </row>
    <row r="7" customFormat="false" ht="22.5" hidden="false" customHeight="true" outlineLevel="0" collapsed="false">
      <c r="B7" s="2" t="s">
        <v>91</v>
      </c>
      <c r="C7" s="37"/>
      <c r="D7" s="37"/>
      <c r="E7" s="38"/>
      <c r="M7" s="1" t="s">
        <v>147</v>
      </c>
    </row>
    <row r="8" customFormat="false" ht="22.5" hidden="false" customHeight="true" outlineLevel="0" collapsed="false">
      <c r="B8" s="16" t="s">
        <v>14</v>
      </c>
      <c r="E8" s="46"/>
      <c r="M8" s="1" t="s">
        <v>148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96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24000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0.2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2500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97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98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99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100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101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102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103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104</v>
      </c>
      <c r="C44" s="103" t="n">
        <f aca="false">-(D16/(1-D17)+D18)*C4</f>
        <v>-14173250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105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106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107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108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109</v>
      </c>
      <c r="C49" s="94" t="s">
        <v>4</v>
      </c>
      <c r="D49" s="104" t="n">
        <v>-31399.2</v>
      </c>
      <c r="E49" s="104" t="n">
        <v>-31399.2</v>
      </c>
      <c r="F49" s="104" t="n">
        <v>-31399.2</v>
      </c>
      <c r="G49" s="104" t="n">
        <v>-31399.2</v>
      </c>
      <c r="H49" s="104" t="n">
        <v>-31399.2</v>
      </c>
      <c r="I49" s="104" t="n">
        <v>-31399.2</v>
      </c>
      <c r="J49" s="104" t="n">
        <v>-31399.2</v>
      </c>
      <c r="K49" s="104" t="n">
        <v>-31399.2</v>
      </c>
      <c r="L49" s="104" t="n">
        <v>-31399.2</v>
      </c>
      <c r="M49" s="104" t="n">
        <v>-31399.2</v>
      </c>
      <c r="N49" s="104" t="n">
        <v>-31399.2</v>
      </c>
      <c r="O49" s="104" t="n">
        <v>-31399.2</v>
      </c>
      <c r="P49" s="104" t="n">
        <v>-31399.2</v>
      </c>
      <c r="Q49" s="104" t="n">
        <v>-31399.2</v>
      </c>
      <c r="R49" s="104" t="n">
        <v>-31399.2</v>
      </c>
      <c r="S49" s="104" t="n">
        <v>-31399.2</v>
      </c>
      <c r="T49" s="104" t="n">
        <v>-31399.2</v>
      </c>
      <c r="U49" s="104" t="n">
        <v>-31399.2</v>
      </c>
      <c r="V49" s="104" t="n">
        <v>-31399.2</v>
      </c>
      <c r="W49" s="104" t="n">
        <v>-31399.2</v>
      </c>
      <c r="X49" s="104"/>
    </row>
    <row r="50" customFormat="false" ht="18.75" hidden="false" customHeight="true" outlineLevel="0" collapsed="false">
      <c r="B50" s="102" t="s">
        <v>110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111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112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113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114</v>
      </c>
      <c r="C54" s="105"/>
      <c r="D54" s="104" t="n">
        <f aca="false">-(D64+D67+D68+D71+D72+D73+D74)*0.2</f>
        <v>-183563.044</v>
      </c>
      <c r="E54" s="104" t="n">
        <f aca="false">-(E64+E67+E68+E71+E72+E73+E74)*0.2</f>
        <v>-181812.6376</v>
      </c>
      <c r="F54" s="104" t="n">
        <f aca="false">-(F64+F67+F68+F71+F72+F73+F74)*0.2</f>
        <v>-180062.2312</v>
      </c>
      <c r="G54" s="104" t="n">
        <f aca="false">-(G64+G67+G68+G71+G72+G73+G74)*0.2</f>
        <v>-178311.8248</v>
      </c>
      <c r="H54" s="104" t="n">
        <f aca="false">-(H64+H67+H68+H71+H72+H73+H74)*0.2</f>
        <v>-176561.4184</v>
      </c>
      <c r="I54" s="104" t="n">
        <f aca="false">-(I64+I67+I68+I71+I72+I73+I74)*0.2</f>
        <v>-174811.012</v>
      </c>
      <c r="J54" s="104" t="n">
        <f aca="false">-(J64+J67+J68+J71+J72+J73+J74)*0.2</f>
        <v>-173060.6056</v>
      </c>
      <c r="K54" s="104" t="n">
        <f aca="false">-(K64+K67+K68+K71+K72+K73+K74)*0.2</f>
        <v>-171310.1992</v>
      </c>
      <c r="L54" s="104" t="n">
        <f aca="false">-(L64+L67+L68+L71+L72+L73+L74)*0.2</f>
        <v>-169559.7928</v>
      </c>
      <c r="M54" s="104" t="n">
        <f aca="false">-(M64+M67+M68+M71+M72+M73+M74)*0.2</f>
        <v>-167809.3864</v>
      </c>
      <c r="N54" s="104" t="n">
        <f aca="false">-(N64+N67+N68+N71+N72+N73+N74)*0.2</f>
        <v>-174780.98</v>
      </c>
      <c r="O54" s="104" t="n">
        <f aca="false">-(O64+O67+O68+O71+O72+O73+O74)*0.2</f>
        <v>-173030.5736</v>
      </c>
      <c r="P54" s="104" t="n">
        <f aca="false">-(P64+P67+P68+P71+P72+P73+P74)*0.2</f>
        <v>-171280.1672</v>
      </c>
      <c r="Q54" s="104" t="n">
        <f aca="false">-(Q64+Q67+Q68+Q71+Q72+Q73+Q74)*0.2</f>
        <v>-169529.7608</v>
      </c>
      <c r="R54" s="104" t="n">
        <f aca="false">-(R64+R67+R68+R71+R72+R73+R74)*0.2</f>
        <v>-167779.3544</v>
      </c>
      <c r="S54" s="104" t="n">
        <f aca="false">-(S64+S67+S68+S71+S72+S73+S74)*0.2</f>
        <v>-166028.948</v>
      </c>
      <c r="T54" s="104" t="n">
        <f aca="false">-(T64+T67+T68+T71+T72+T73+T74)*0.2</f>
        <v>-164278.5416</v>
      </c>
      <c r="U54" s="104" t="n">
        <f aca="false">-(U64+U67+U68+U71+U72+U73+U74)*0.2</f>
        <v>-162528.1352</v>
      </c>
      <c r="V54" s="104" t="n">
        <f aca="false">-(V64+V67+V68+V71+V72+V73+V74)*0.2</f>
        <v>-160777.7288</v>
      </c>
      <c r="W54" s="104" t="n">
        <f aca="false">-(W64+W67+W68+W71+W72+W73+W74)*0.2</f>
        <v>-159027.3224</v>
      </c>
      <c r="X54" s="95"/>
    </row>
    <row r="55" customFormat="false" ht="18.75" hidden="false" customHeight="true" outlineLevel="0" collapsed="false">
      <c r="B55" s="107" t="s">
        <v>115</v>
      </c>
      <c r="C55" s="108" t="n">
        <f aca="false">C44</f>
        <v>-14173250</v>
      </c>
      <c r="D55" s="109" t="n">
        <f aca="false">SUM(D41:D54)</f>
        <v>1442914.676</v>
      </c>
      <c r="E55" s="109" t="n">
        <f aca="false">SUM(E41:E54)</f>
        <v>1435913.0504</v>
      </c>
      <c r="F55" s="109" t="n">
        <f aca="false">SUM(F41:F54)</f>
        <v>1428911.4248</v>
      </c>
      <c r="G55" s="109" t="n">
        <f aca="false">SUM(G41:G54)</f>
        <v>1421909.7992</v>
      </c>
      <c r="H55" s="109" t="n">
        <f aca="false">SUM(H41:H54)</f>
        <v>1414908.1736</v>
      </c>
      <c r="I55" s="109" t="n">
        <f aca="false">SUM(I41:I54)</f>
        <v>1407906.548</v>
      </c>
      <c r="J55" s="109" t="n">
        <f aca="false">SUM(J41:J54)</f>
        <v>1400904.9224</v>
      </c>
      <c r="K55" s="109" t="n">
        <f aca="false">SUM(K41:K54)</f>
        <v>1393903.2968</v>
      </c>
      <c r="L55" s="109" t="n">
        <f aca="false">SUM(L41:L54)</f>
        <v>1386901.6712</v>
      </c>
      <c r="M55" s="109" t="n">
        <f aca="false">SUM(M41:M54)</f>
        <v>1379900.0456</v>
      </c>
      <c r="N55" s="109" t="n">
        <f aca="false">SUM(N41:N54)</f>
        <v>1407786.42</v>
      </c>
      <c r="O55" s="109" t="n">
        <f aca="false">SUM(O41:O54)</f>
        <v>1400784.7944</v>
      </c>
      <c r="P55" s="109" t="n">
        <f aca="false">SUM(P41:P54)</f>
        <v>1393783.1688</v>
      </c>
      <c r="Q55" s="109" t="n">
        <f aca="false">SUM(Q41:Q54)</f>
        <v>1386781.5432</v>
      </c>
      <c r="R55" s="109" t="n">
        <f aca="false">SUM(R41:R54)</f>
        <v>1379779.9176</v>
      </c>
      <c r="S55" s="109" t="n">
        <f aca="false">SUM(S41:S54)</f>
        <v>1372778.292</v>
      </c>
      <c r="T55" s="109" t="n">
        <f aca="false">SUM(T41:T54)</f>
        <v>1365776.6664</v>
      </c>
      <c r="U55" s="109" t="n">
        <f aca="false">SUM(U41:U54)</f>
        <v>1358775.0408</v>
      </c>
      <c r="V55" s="109" t="n">
        <f aca="false">SUM(V41:V54)</f>
        <v>1351773.4152</v>
      </c>
      <c r="W55" s="109" t="n">
        <f aca="false">SUM(W41:W54)</f>
        <v>1344771.7896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116</v>
      </c>
      <c r="D56" s="114" t="n">
        <f aca="false">C55+D55</f>
        <v>-12730335.324</v>
      </c>
      <c r="E56" s="114" t="n">
        <f aca="false">D56+E55</f>
        <v>-11294422.2736</v>
      </c>
      <c r="F56" s="114" t="n">
        <f aca="false">E56+F55</f>
        <v>-9865510.8488</v>
      </c>
      <c r="G56" s="114" t="n">
        <f aca="false">F56+G55</f>
        <v>-8443601.0496</v>
      </c>
      <c r="H56" s="114" t="n">
        <f aca="false">G56+H55</f>
        <v>-7028692.876</v>
      </c>
      <c r="I56" s="114" t="n">
        <f aca="false">H56+I55</f>
        <v>-5620786.328</v>
      </c>
      <c r="J56" s="114" t="n">
        <f aca="false">I56+J55</f>
        <v>-4219881.4056</v>
      </c>
      <c r="K56" s="114" t="n">
        <f aca="false">J56+K55</f>
        <v>-2825978.1088</v>
      </c>
      <c r="L56" s="114" t="n">
        <f aca="false">K56+L55</f>
        <v>-1439076.4376</v>
      </c>
      <c r="M56" s="114" t="n">
        <f aca="false">L56+M55</f>
        <v>-59176.392</v>
      </c>
      <c r="N56" s="114" t="n">
        <f aca="false">M56+N55</f>
        <v>1348610.028</v>
      </c>
      <c r="O56" s="114" t="n">
        <f aca="false">N56+O55</f>
        <v>2749394.8224</v>
      </c>
      <c r="P56" s="114" t="n">
        <f aca="false">O56+P55</f>
        <v>4143177.9912</v>
      </c>
      <c r="Q56" s="114" t="n">
        <f aca="false">P56+Q55</f>
        <v>5529959.5344</v>
      </c>
      <c r="R56" s="114" t="n">
        <f aca="false">Q56+R55</f>
        <v>6909739.452</v>
      </c>
      <c r="S56" s="114" t="n">
        <f aca="false">R56+S55</f>
        <v>8282517.744</v>
      </c>
      <c r="T56" s="114" t="n">
        <f aca="false">S56+T55</f>
        <v>9648294.4104</v>
      </c>
      <c r="U56" s="114" t="n">
        <f aca="false">T56+U55</f>
        <v>11007069.4512</v>
      </c>
      <c r="V56" s="114" t="n">
        <f aca="false">U56+V55</f>
        <v>12358842.8664</v>
      </c>
      <c r="W56" s="114" t="n">
        <f aca="false">V56+W55</f>
        <v>13703614.656</v>
      </c>
      <c r="X56" s="114" t="n">
        <f aca="false">W56+X55</f>
        <v>13703614.656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117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0.0763166216748854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98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118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99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100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101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102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103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119</v>
      </c>
      <c r="C67" s="94"/>
      <c r="D67" s="127" t="n">
        <f aca="false">$C$44/$E$16</f>
        <v>-708662.5</v>
      </c>
      <c r="E67" s="127" t="n">
        <f aca="false">$C$44/$E$16</f>
        <v>-708662.5</v>
      </c>
      <c r="F67" s="127" t="n">
        <f aca="false">$C$44/$E$16</f>
        <v>-708662.5</v>
      </c>
      <c r="G67" s="127" t="n">
        <f aca="false">$C$44/$E$16</f>
        <v>-708662.5</v>
      </c>
      <c r="H67" s="127" t="n">
        <f aca="false">$C$44/$E$16</f>
        <v>-708662.5</v>
      </c>
      <c r="I67" s="127" t="n">
        <f aca="false">$C$44/$E$16</f>
        <v>-708662.5</v>
      </c>
      <c r="J67" s="127" t="n">
        <f aca="false">$C$44/$E$16</f>
        <v>-708662.5</v>
      </c>
      <c r="K67" s="127" t="n">
        <f aca="false">$C$44/$E$16</f>
        <v>-708662.5</v>
      </c>
      <c r="L67" s="127" t="n">
        <f aca="false">$C$44/$E$16</f>
        <v>-708662.5</v>
      </c>
      <c r="M67" s="127" t="n">
        <f aca="false">$C$44/$E$16</f>
        <v>-708662.5</v>
      </c>
      <c r="N67" s="127" t="n">
        <f aca="false">$C$44/$E$16</f>
        <v>-708662.5</v>
      </c>
      <c r="O67" s="127" t="n">
        <f aca="false">$C$44/$E$16</f>
        <v>-708662.5</v>
      </c>
      <c r="P67" s="127" t="n">
        <f aca="false">$C$44/$E$16</f>
        <v>-708662.5</v>
      </c>
      <c r="Q67" s="127" t="n">
        <f aca="false">$C$44/$E$16</f>
        <v>-708662.5</v>
      </c>
      <c r="R67" s="127" t="n">
        <f aca="false">$C$44/$E$16</f>
        <v>-708662.5</v>
      </c>
      <c r="S67" s="127" t="n">
        <f aca="false">$C$44/$E$16</f>
        <v>-708662.5</v>
      </c>
      <c r="T67" s="127" t="n">
        <f aca="false">$C$44/$E$16</f>
        <v>-708662.5</v>
      </c>
      <c r="U67" s="127" t="n">
        <f aca="false">$C$44/$E$16</f>
        <v>-708662.5</v>
      </c>
      <c r="V67" s="127" t="n">
        <f aca="false">$C$44/$E$16</f>
        <v>-708662.5</v>
      </c>
      <c r="W67" s="127" t="n">
        <f aca="false">$C$44/$E$16</f>
        <v>-708662.5</v>
      </c>
      <c r="X67" s="97"/>
    </row>
    <row r="68" customFormat="false" ht="18.75" hidden="false" customHeight="true" outlineLevel="0" collapsed="false">
      <c r="B68" s="102" t="s">
        <v>105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106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107</v>
      </c>
      <c r="C70" s="94" t="s">
        <v>4</v>
      </c>
      <c r="D70" s="104" t="n">
        <f aca="false">-D109*$D25</f>
        <v>-290268.16</v>
      </c>
      <c r="E70" s="104" t="n">
        <f aca="false">-E109*$D25</f>
        <v>-270916.949333333</v>
      </c>
      <c r="F70" s="104" t="n">
        <f aca="false">-F109*$D25</f>
        <v>-251565.738666667</v>
      </c>
      <c r="G70" s="104" t="n">
        <f aca="false">-G109*$D25</f>
        <v>-232214.528</v>
      </c>
      <c r="H70" s="104" t="n">
        <f aca="false">-H109*$D25</f>
        <v>-212863.317333333</v>
      </c>
      <c r="I70" s="104" t="n">
        <f aca="false">-I109*$D25</f>
        <v>-193512.106666667</v>
      </c>
      <c r="J70" s="104" t="n">
        <f aca="false">-J109*$D25</f>
        <v>-174160.896</v>
      </c>
      <c r="K70" s="104" t="n">
        <f aca="false">-K109*$D25</f>
        <v>-154809.685333333</v>
      </c>
      <c r="L70" s="104" t="n">
        <f aca="false">-L109*$D25</f>
        <v>-135458.474666667</v>
      </c>
      <c r="M70" s="104" t="n">
        <f aca="false">-M109*$D25</f>
        <v>-116107.264</v>
      </c>
      <c r="N70" s="104" t="n">
        <f aca="false">-N109*$D25</f>
        <v>-96756.0533333332</v>
      </c>
      <c r="O70" s="104" t="n">
        <f aca="false">-O109*$D25</f>
        <v>-77404.8426666665</v>
      </c>
      <c r="P70" s="104" t="n">
        <f aca="false">-P109*$D25</f>
        <v>-58053.6319999998</v>
      </c>
      <c r="Q70" s="104" t="n">
        <f aca="false">-Q109*$D25</f>
        <v>-38702.4213333332</v>
      </c>
      <c r="R70" s="104" t="n">
        <f aca="false">-R109*$D25</f>
        <v>-19351.2106666665</v>
      </c>
      <c r="S70" s="104" t="n">
        <f aca="false">-S109*$D25</f>
        <v>1.9073486328125E-010</v>
      </c>
      <c r="T70" s="104" t="n">
        <f aca="false">-T109*$D25</f>
        <v>1.9073486328125E-010</v>
      </c>
      <c r="U70" s="104" t="n">
        <f aca="false">-U109*$D25</f>
        <v>1.9073486328125E-010</v>
      </c>
      <c r="V70" s="104" t="n">
        <f aca="false">-V109*$D25</f>
        <v>1.9073486328125E-010</v>
      </c>
      <c r="W70" s="104" t="n">
        <f aca="false">-W109*$D25</f>
        <v>1.9073486328125E-010</v>
      </c>
      <c r="X70" s="97"/>
    </row>
    <row r="71" customFormat="false" ht="18.75" hidden="false" customHeight="true" outlineLevel="0" collapsed="false">
      <c r="B71" s="102" t="s">
        <v>108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109</v>
      </c>
      <c r="C72" s="94" t="s">
        <v>4</v>
      </c>
      <c r="D72" s="104" t="n">
        <f aca="false">D49</f>
        <v>-31399.2</v>
      </c>
      <c r="E72" s="104" t="n">
        <f aca="false">E49</f>
        <v>-31399.2</v>
      </c>
      <c r="F72" s="104" t="n">
        <f aca="false">F49</f>
        <v>-31399.2</v>
      </c>
      <c r="G72" s="104" t="n">
        <f aca="false">G49</f>
        <v>-31399.2</v>
      </c>
      <c r="H72" s="104" t="n">
        <f aca="false">H49</f>
        <v>-31399.2</v>
      </c>
      <c r="I72" s="104" t="n">
        <f aca="false">I49</f>
        <v>-31399.2</v>
      </c>
      <c r="J72" s="104" t="n">
        <f aca="false">J49</f>
        <v>-31399.2</v>
      </c>
      <c r="K72" s="104" t="n">
        <f aca="false">K49</f>
        <v>-31399.2</v>
      </c>
      <c r="L72" s="104" t="n">
        <f aca="false">L49</f>
        <v>-31399.2</v>
      </c>
      <c r="M72" s="104" t="n">
        <f aca="false">M49</f>
        <v>-31399.2</v>
      </c>
      <c r="N72" s="104" t="n">
        <f aca="false">N49</f>
        <v>-31399.2</v>
      </c>
      <c r="O72" s="104" t="n">
        <f aca="false">O49</f>
        <v>-31399.2</v>
      </c>
      <c r="P72" s="104" t="n">
        <f aca="false">P49</f>
        <v>-31399.2</v>
      </c>
      <c r="Q72" s="104" t="n">
        <f aca="false">Q49</f>
        <v>-31399.2</v>
      </c>
      <c r="R72" s="104" t="n">
        <f aca="false">R49</f>
        <v>-31399.2</v>
      </c>
      <c r="S72" s="104" t="n">
        <f aca="false">S49</f>
        <v>-31399.2</v>
      </c>
      <c r="T72" s="104" t="n">
        <f aca="false">T49</f>
        <v>-31399.2</v>
      </c>
      <c r="U72" s="104" t="n">
        <f aca="false">U49</f>
        <v>-31399.2</v>
      </c>
      <c r="V72" s="104" t="n">
        <f aca="false">V49</f>
        <v>-31399.2</v>
      </c>
      <c r="W72" s="104" t="n">
        <f aca="false">W49</f>
        <v>-31399.2</v>
      </c>
      <c r="X72" s="97"/>
    </row>
    <row r="73" customFormat="false" ht="18.75" hidden="false" customHeight="true" outlineLevel="0" collapsed="false">
      <c r="B73" s="102" t="s">
        <v>110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111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112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120</v>
      </c>
      <c r="C76" s="130"/>
      <c r="D76" s="109" t="n">
        <f aca="false">SUM(D64:D75)</f>
        <v>627547.06</v>
      </c>
      <c r="E76" s="109" t="n">
        <f aca="false">SUM(E64:E75)</f>
        <v>638146.238666667</v>
      </c>
      <c r="F76" s="109" t="n">
        <f aca="false">SUM(F64:F75)</f>
        <v>648745.417333334</v>
      </c>
      <c r="G76" s="109" t="n">
        <f aca="false">SUM(G64:G75)</f>
        <v>659344.596</v>
      </c>
      <c r="H76" s="109" t="n">
        <f aca="false">SUM(H64:H75)</f>
        <v>669943.774666667</v>
      </c>
      <c r="I76" s="109" t="n">
        <f aca="false">SUM(I64:I75)</f>
        <v>680542.953333333</v>
      </c>
      <c r="J76" s="109" t="n">
        <f aca="false">SUM(J64:J75)</f>
        <v>691142.132</v>
      </c>
      <c r="K76" s="109" t="n">
        <f aca="false">SUM(K64:K75)</f>
        <v>701741.310666667</v>
      </c>
      <c r="L76" s="109" t="n">
        <f aca="false">SUM(L64:L75)</f>
        <v>712340.489333333</v>
      </c>
      <c r="M76" s="109" t="n">
        <f aca="false">SUM(M64:M75)</f>
        <v>722939.668</v>
      </c>
      <c r="N76" s="109" t="n">
        <f aca="false">SUM(N64:N75)</f>
        <v>777148.846666667</v>
      </c>
      <c r="O76" s="109" t="n">
        <f aca="false">SUM(O64:O75)</f>
        <v>787748.025333334</v>
      </c>
      <c r="P76" s="109" t="n">
        <f aca="false">SUM(P64:P75)</f>
        <v>798347.204</v>
      </c>
      <c r="Q76" s="109" t="n">
        <f aca="false">SUM(Q64:Q75)</f>
        <v>808946.382666667</v>
      </c>
      <c r="R76" s="109" t="n">
        <f aca="false">SUM(R64:R75)</f>
        <v>819545.561333333</v>
      </c>
      <c r="S76" s="109" t="n">
        <f aca="false">SUM(S64:S75)</f>
        <v>830144.74</v>
      </c>
      <c r="T76" s="109" t="n">
        <f aca="false">SUM(T64:T75)</f>
        <v>821392.708</v>
      </c>
      <c r="U76" s="109" t="n">
        <f aca="false">SUM(U64:U75)</f>
        <v>812640.676</v>
      </c>
      <c r="V76" s="109" t="n">
        <f aca="false">SUM(V64:V75)</f>
        <v>803888.644</v>
      </c>
      <c r="W76" s="109" t="n">
        <f aca="false">SUM(W64:W75)</f>
        <v>795136.612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114</v>
      </c>
      <c r="C77" s="105"/>
      <c r="D77" s="104" t="n">
        <f aca="false">-D76*0.2</f>
        <v>-125509.412</v>
      </c>
      <c r="E77" s="104" t="n">
        <f aca="false">-E76*0.2</f>
        <v>-127629.247733333</v>
      </c>
      <c r="F77" s="104" t="n">
        <f aca="false">-F76*0.2</f>
        <v>-129749.083466667</v>
      </c>
      <c r="G77" s="104" t="n">
        <f aca="false">-G76*0.2</f>
        <v>-131868.9192</v>
      </c>
      <c r="H77" s="104" t="n">
        <f aca="false">-H76*0.2</f>
        <v>-133988.754933333</v>
      </c>
      <c r="I77" s="104" t="n">
        <f aca="false">-I76*0.2</f>
        <v>-136108.590666667</v>
      </c>
      <c r="J77" s="104" t="n">
        <f aca="false">-J76*0.2</f>
        <v>-138228.4264</v>
      </c>
      <c r="K77" s="104" t="n">
        <f aca="false">-K76*0.2</f>
        <v>-140348.262133333</v>
      </c>
      <c r="L77" s="104" t="n">
        <f aca="false">-L76*0.2</f>
        <v>-142468.097866667</v>
      </c>
      <c r="M77" s="104" t="n">
        <f aca="false">-M76*0.2</f>
        <v>-144587.9336</v>
      </c>
      <c r="N77" s="104" t="n">
        <f aca="false">-N76*0.2</f>
        <v>-155429.769333333</v>
      </c>
      <c r="O77" s="104" t="n">
        <f aca="false">-O76*0.2</f>
        <v>-157549.605066667</v>
      </c>
      <c r="P77" s="104" t="n">
        <f aca="false">-P76*0.2</f>
        <v>-159669.4408</v>
      </c>
      <c r="Q77" s="104" t="n">
        <f aca="false">-Q76*0.2</f>
        <v>-161789.276533333</v>
      </c>
      <c r="R77" s="104" t="n">
        <f aca="false">-R76*0.2</f>
        <v>-163909.112266667</v>
      </c>
      <c r="S77" s="104" t="n">
        <f aca="false">-S76*0.2</f>
        <v>-166028.948</v>
      </c>
      <c r="T77" s="104" t="n">
        <f aca="false">-T76*0.2</f>
        <v>-164278.5416</v>
      </c>
      <c r="U77" s="104" t="n">
        <f aca="false">-U76*0.2</f>
        <v>-162528.1352</v>
      </c>
      <c r="V77" s="104" t="n">
        <f aca="false">-V76*0.2</f>
        <v>-160777.7288</v>
      </c>
      <c r="W77" s="104" t="n">
        <f aca="false">-W76*0.2</f>
        <v>-159027.3224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121</v>
      </c>
      <c r="D78" s="104" t="n">
        <f aca="false">SUM(D76:D77)</f>
        <v>502037.648</v>
      </c>
      <c r="E78" s="104" t="n">
        <f aca="false">SUM(E76:E77)</f>
        <v>510516.990933333</v>
      </c>
      <c r="F78" s="104" t="n">
        <f aca="false">SUM(F76:F77)</f>
        <v>518996.333866667</v>
      </c>
      <c r="G78" s="104" t="n">
        <f aca="false">SUM(G76:G77)</f>
        <v>527475.6768</v>
      </c>
      <c r="H78" s="104" t="n">
        <f aca="false">SUM(H76:H77)</f>
        <v>535955.019733333</v>
      </c>
      <c r="I78" s="104" t="n">
        <f aca="false">SUM(I76:I77)</f>
        <v>544434.362666667</v>
      </c>
      <c r="J78" s="104" t="n">
        <f aca="false">SUM(J76:J77)</f>
        <v>552913.7056</v>
      </c>
      <c r="K78" s="104" t="n">
        <f aca="false">SUM(K76:K77)</f>
        <v>561393.048533334</v>
      </c>
      <c r="L78" s="104" t="n">
        <f aca="false">SUM(L76:L77)</f>
        <v>569872.391466667</v>
      </c>
      <c r="M78" s="104" t="n">
        <f aca="false">SUM(M76:M77)</f>
        <v>578351.7344</v>
      </c>
      <c r="N78" s="104" t="n">
        <f aca="false">SUM(N76:N77)</f>
        <v>621719.077333333</v>
      </c>
      <c r="O78" s="104" t="n">
        <f aca="false">SUM(O76:O77)</f>
        <v>630198.420266667</v>
      </c>
      <c r="P78" s="104" t="n">
        <f aca="false">SUM(P76:P77)</f>
        <v>638677.7632</v>
      </c>
      <c r="Q78" s="104" t="n">
        <f aca="false">SUM(Q76:Q77)</f>
        <v>647157.106133334</v>
      </c>
      <c r="R78" s="104" t="n">
        <f aca="false">SUM(R76:R77)</f>
        <v>655636.449066667</v>
      </c>
      <c r="S78" s="104" t="n">
        <f aca="false">SUM(S76:S77)</f>
        <v>664115.792</v>
      </c>
      <c r="T78" s="104" t="n">
        <f aca="false">SUM(T76:T77)</f>
        <v>657114.1664</v>
      </c>
      <c r="U78" s="104" t="n">
        <f aca="false">SUM(U76:U77)</f>
        <v>650112.5408</v>
      </c>
      <c r="V78" s="104" t="n">
        <f aca="false">SUM(V76:V77)</f>
        <v>643110.9152</v>
      </c>
      <c r="W78" s="104" t="n">
        <f aca="false">SUM(W76:W77)</f>
        <v>636109.2896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116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117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98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99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121</v>
      </c>
      <c r="C85" s="142"/>
      <c r="D85" s="143" t="n">
        <f aca="false">D78</f>
        <v>502037.648</v>
      </c>
      <c r="E85" s="143" t="n">
        <f aca="false">E78</f>
        <v>510516.990933333</v>
      </c>
      <c r="F85" s="143" t="n">
        <f aca="false">F78</f>
        <v>518996.333866667</v>
      </c>
      <c r="G85" s="143" t="n">
        <f aca="false">G78</f>
        <v>527475.6768</v>
      </c>
      <c r="H85" s="143" t="n">
        <f aca="false">H78</f>
        <v>535955.019733333</v>
      </c>
      <c r="I85" s="143" t="n">
        <f aca="false">I78</f>
        <v>544434.362666667</v>
      </c>
      <c r="J85" s="143" t="n">
        <f aca="false">J78</f>
        <v>552913.7056</v>
      </c>
      <c r="K85" s="143" t="n">
        <f aca="false">K78</f>
        <v>561393.048533334</v>
      </c>
      <c r="L85" s="143" t="n">
        <f aca="false">L78</f>
        <v>569872.391466667</v>
      </c>
      <c r="M85" s="143" t="n">
        <f aca="false">M78</f>
        <v>578351.7344</v>
      </c>
      <c r="N85" s="143" t="n">
        <f aca="false">N78</f>
        <v>621719.077333333</v>
      </c>
      <c r="O85" s="143" t="n">
        <f aca="false">O78</f>
        <v>630198.420266667</v>
      </c>
      <c r="P85" s="143" t="n">
        <f aca="false">P78</f>
        <v>638677.7632</v>
      </c>
      <c r="Q85" s="143" t="n">
        <f aca="false">Q78</f>
        <v>647157.106133334</v>
      </c>
      <c r="R85" s="143" t="n">
        <f aca="false">R78</f>
        <v>655636.449066667</v>
      </c>
      <c r="S85" s="143" t="n">
        <f aca="false">S78</f>
        <v>664115.792</v>
      </c>
      <c r="T85" s="143" t="n">
        <f aca="false">T78</f>
        <v>657114.1664</v>
      </c>
      <c r="U85" s="143" t="n">
        <f aca="false">U78</f>
        <v>650112.5408</v>
      </c>
      <c r="V85" s="143" t="n">
        <f aca="false">V78</f>
        <v>643110.9152</v>
      </c>
      <c r="W85" s="143" t="n">
        <f aca="false">W78</f>
        <v>636109.2896</v>
      </c>
      <c r="X85" s="142"/>
      <c r="Y85" s="142"/>
    </row>
    <row r="86" customFormat="false" ht="15.75" hidden="false" customHeight="true" outlineLevel="0" collapsed="false">
      <c r="B86" s="142" t="s">
        <v>122</v>
      </c>
      <c r="C86" s="142"/>
      <c r="D86" s="144" t="n">
        <f aca="false">-D67</f>
        <v>708662.5</v>
      </c>
      <c r="E86" s="144" t="n">
        <f aca="false">-E67</f>
        <v>708662.5</v>
      </c>
      <c r="F86" s="144" t="n">
        <f aca="false">-F67</f>
        <v>708662.5</v>
      </c>
      <c r="G86" s="144" t="n">
        <f aca="false">-G67</f>
        <v>708662.5</v>
      </c>
      <c r="H86" s="144" t="n">
        <f aca="false">-H67</f>
        <v>708662.5</v>
      </c>
      <c r="I86" s="144" t="n">
        <f aca="false">-I67</f>
        <v>708662.5</v>
      </c>
      <c r="J86" s="144" t="n">
        <f aca="false">-J67</f>
        <v>708662.5</v>
      </c>
      <c r="K86" s="144" t="n">
        <f aca="false">-K67</f>
        <v>708662.5</v>
      </c>
      <c r="L86" s="144" t="n">
        <f aca="false">-L67</f>
        <v>708662.5</v>
      </c>
      <c r="M86" s="144" t="n">
        <f aca="false">-M67</f>
        <v>708662.5</v>
      </c>
      <c r="N86" s="144" t="n">
        <f aca="false">-N67</f>
        <v>708662.5</v>
      </c>
      <c r="O86" s="144" t="n">
        <f aca="false">-O67</f>
        <v>708662.5</v>
      </c>
      <c r="P86" s="144" t="n">
        <f aca="false">-P67</f>
        <v>708662.5</v>
      </c>
      <c r="Q86" s="144" t="n">
        <f aca="false">-Q67</f>
        <v>708662.5</v>
      </c>
      <c r="R86" s="144" t="n">
        <f aca="false">-R67</f>
        <v>708662.5</v>
      </c>
      <c r="S86" s="144" t="n">
        <f aca="false">-S67</f>
        <v>708662.5</v>
      </c>
      <c r="T86" s="144" t="n">
        <f aca="false">-T67</f>
        <v>708662.5</v>
      </c>
      <c r="U86" s="144" t="n">
        <f aca="false">-U67</f>
        <v>708662.5</v>
      </c>
      <c r="V86" s="144" t="n">
        <f aca="false">-V67</f>
        <v>708662.5</v>
      </c>
      <c r="W86" s="144" t="n">
        <f aca="false">-W67</f>
        <v>708662.5</v>
      </c>
      <c r="X86" s="145"/>
      <c r="Y86" s="145"/>
    </row>
    <row r="87" customFormat="false" ht="15.75" hidden="false" customHeight="true" outlineLevel="0" collapsed="false">
      <c r="B87" s="142" t="s">
        <v>123</v>
      </c>
      <c r="C87" s="142"/>
      <c r="D87" s="146" t="n">
        <f aca="false">SUM(D85:D86)</f>
        <v>1210700.148</v>
      </c>
      <c r="E87" s="146" t="n">
        <f aca="false">SUM(E85:E86)</f>
        <v>1219179.49093333</v>
      </c>
      <c r="F87" s="146" t="n">
        <f aca="false">SUM(F85:F86)</f>
        <v>1227658.83386667</v>
      </c>
      <c r="G87" s="146" t="n">
        <f aca="false">SUM(G85:G86)</f>
        <v>1236138.1768</v>
      </c>
      <c r="H87" s="146" t="n">
        <f aca="false">SUM(H85:H86)</f>
        <v>1244617.51973333</v>
      </c>
      <c r="I87" s="146" t="n">
        <f aca="false">SUM(I85:I86)</f>
        <v>1253096.86266667</v>
      </c>
      <c r="J87" s="146" t="n">
        <f aca="false">SUM(J85:J86)</f>
        <v>1261576.2056</v>
      </c>
      <c r="K87" s="146" t="n">
        <f aca="false">SUM(K85:K86)</f>
        <v>1270055.54853333</v>
      </c>
      <c r="L87" s="146" t="n">
        <f aca="false">SUM(L85:L86)</f>
        <v>1278534.89146667</v>
      </c>
      <c r="M87" s="146" t="n">
        <f aca="false">SUM(M85:M86)</f>
        <v>1287014.2344</v>
      </c>
      <c r="N87" s="146" t="n">
        <f aca="false">SUM(N85:N86)</f>
        <v>1330381.57733333</v>
      </c>
      <c r="O87" s="146" t="n">
        <f aca="false">SUM(O85:O86)</f>
        <v>1338860.92026667</v>
      </c>
      <c r="P87" s="146" t="n">
        <f aca="false">SUM(P85:P86)</f>
        <v>1347340.2632</v>
      </c>
      <c r="Q87" s="146" t="n">
        <f aca="false">SUM(Q85:Q86)</f>
        <v>1355819.60613333</v>
      </c>
      <c r="R87" s="146" t="n">
        <f aca="false">SUM(R85:R86)</f>
        <v>1364298.94906667</v>
      </c>
      <c r="S87" s="146" t="n">
        <f aca="false">SUM(S85:S86)</f>
        <v>1372778.292</v>
      </c>
      <c r="T87" s="146" t="n">
        <f aca="false">SUM(T85:T86)</f>
        <v>1365776.6664</v>
      </c>
      <c r="U87" s="146" t="n">
        <f aca="false">SUM(U85:U86)</f>
        <v>1358775.0408</v>
      </c>
      <c r="V87" s="146" t="n">
        <f aca="false">SUM(V85:V86)</f>
        <v>1351773.4152</v>
      </c>
      <c r="W87" s="146" t="n">
        <f aca="false">SUM(W85:W86)</f>
        <v>1344771.7896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124</v>
      </c>
      <c r="C89" s="149"/>
      <c r="D89" s="150" t="n">
        <f aca="false">C44</f>
        <v>-14173250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125</v>
      </c>
      <c r="C92" s="149"/>
      <c r="D92" s="150" t="n">
        <f aca="false">-D89*D31</f>
        <v>11338600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126</v>
      </c>
      <c r="C93" s="142"/>
      <c r="D93" s="152"/>
      <c r="E93" s="152" t="n">
        <v>-755906.666666667</v>
      </c>
      <c r="F93" s="152" t="n">
        <v>-755906.666666667</v>
      </c>
      <c r="G93" s="152" t="n">
        <v>-755906.666666667</v>
      </c>
      <c r="H93" s="152" t="n">
        <v>-755906.666666667</v>
      </c>
      <c r="I93" s="152" t="n">
        <v>-755906.666666667</v>
      </c>
      <c r="J93" s="152" t="n">
        <v>-755906.666666667</v>
      </c>
      <c r="K93" s="152" t="n">
        <v>-755906.666666667</v>
      </c>
      <c r="L93" s="152" t="n">
        <v>-755906.666666667</v>
      </c>
      <c r="M93" s="152" t="n">
        <v>-755906.666666667</v>
      </c>
      <c r="N93" s="152" t="n">
        <v>-755906.666666667</v>
      </c>
      <c r="O93" s="152" t="n">
        <v>-755906.666666667</v>
      </c>
      <c r="P93" s="152" t="n">
        <v>-755906.666666667</v>
      </c>
      <c r="Q93" s="152" t="n">
        <v>-755906.666666667</v>
      </c>
      <c r="R93" s="152" t="n">
        <v>-755906.666666667</v>
      </c>
      <c r="S93" s="152" t="n">
        <v>-755906.666666667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127</v>
      </c>
      <c r="C94" s="147"/>
      <c r="D94" s="143" t="n">
        <f aca="false">-D89*(1-D31)</f>
        <v>2834650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-451833.8832</v>
      </c>
      <c r="F95" s="153" t="n">
        <f aca="false">-E85*$D$33</f>
        <v>-459465.29184</v>
      </c>
      <c r="G95" s="153" t="n">
        <f aca="false">-F85*$D$33</f>
        <v>-467096.70048</v>
      </c>
      <c r="H95" s="153" t="n">
        <f aca="false">-G85*$D$33</f>
        <v>-474728.10912</v>
      </c>
      <c r="I95" s="153" t="n">
        <f aca="false">-H85*$D$33</f>
        <v>-482359.51776</v>
      </c>
      <c r="J95" s="153" t="n">
        <f aca="false">-I85*$D$33</f>
        <v>-489990.9264</v>
      </c>
      <c r="K95" s="153" t="n">
        <f aca="false">-J85*$D$33</f>
        <v>-497622.33504</v>
      </c>
      <c r="L95" s="153" t="n">
        <f aca="false">-K85*$D$33</f>
        <v>-505253.74368</v>
      </c>
      <c r="M95" s="153" t="n">
        <f aca="false">-L85*$D$33</f>
        <v>-512885.15232</v>
      </c>
      <c r="N95" s="153" t="n">
        <f aca="false">-M85*$D$33</f>
        <v>-520516.56096</v>
      </c>
      <c r="O95" s="153" t="n">
        <f aca="false">-N85*$D$33</f>
        <v>-559547.1696</v>
      </c>
      <c r="P95" s="153" t="n">
        <f aca="false">-O85*$D$33</f>
        <v>-567178.57824</v>
      </c>
      <c r="Q95" s="153" t="n">
        <f aca="false">-P85*$D$33</f>
        <v>-574809.98688</v>
      </c>
      <c r="R95" s="153" t="n">
        <f aca="false">-Q85*$D$33</f>
        <v>-582441.39552</v>
      </c>
      <c r="S95" s="153" t="n">
        <f aca="false">-R85*$D$33</f>
        <v>-590072.80416</v>
      </c>
      <c r="T95" s="153" t="n">
        <f aca="false">-S85*$D$33</f>
        <v>-597704.2128</v>
      </c>
      <c r="U95" s="153" t="n">
        <f aca="false">-T85*$D$33</f>
        <v>-591402.74976</v>
      </c>
      <c r="V95" s="153" t="n">
        <f aca="false">-U85*$D$33</f>
        <v>-585101.28672</v>
      </c>
      <c r="W95" s="153" t="n">
        <f aca="false">-V85*$D$33</f>
        <v>-578799.82368</v>
      </c>
      <c r="X95" s="153" t="n">
        <f aca="false">-W85*$D$33</f>
        <v>-572498.36064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-708662.5</v>
      </c>
      <c r="U96" s="156" t="n">
        <v>-708662.5</v>
      </c>
      <c r="V96" s="156" t="n">
        <v>-708662.5</v>
      </c>
      <c r="W96" s="156" t="n">
        <v>-708662.5</v>
      </c>
      <c r="X96" s="157" t="n">
        <f aca="false">-W101-X95</f>
        <v>-1184589.84319999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128</v>
      </c>
      <c r="C99" s="143" t="n">
        <v>0</v>
      </c>
      <c r="D99" s="143" t="n">
        <f aca="false">SUM(D87:D96)</f>
        <v>1210700.148</v>
      </c>
      <c r="E99" s="143" t="n">
        <f aca="false">SUM(E87:E96)</f>
        <v>11438.9410666664</v>
      </c>
      <c r="F99" s="143" t="n">
        <f aca="false">SUM(F87:F96)</f>
        <v>12286.8753599999</v>
      </c>
      <c r="G99" s="143" t="n">
        <f aca="false">SUM(G87:G96)</f>
        <v>13134.8096533329</v>
      </c>
      <c r="H99" s="143" t="n">
        <f aca="false">SUM(H87:H96)</f>
        <v>13982.7439466661</v>
      </c>
      <c r="I99" s="143" t="n">
        <f aca="false">SUM(I87:I96)</f>
        <v>14830.6782399996</v>
      </c>
      <c r="J99" s="143" t="n">
        <f aca="false">SUM(J87:J96)</f>
        <v>15678.6125333332</v>
      </c>
      <c r="K99" s="143" t="n">
        <f aca="false">SUM(K87:K96)</f>
        <v>16526.5468266663</v>
      </c>
      <c r="L99" s="143" t="n">
        <f aca="false">SUM(L87:L96)</f>
        <v>17374.4811199996</v>
      </c>
      <c r="M99" s="143" t="n">
        <f aca="false">SUM(M87:M96)</f>
        <v>18222.4154133329</v>
      </c>
      <c r="N99" s="143" t="n">
        <f aca="false">SUM(N87:N96)</f>
        <v>53958.3497066664</v>
      </c>
      <c r="O99" s="143" t="n">
        <f aca="false">SUM(O87:O96)</f>
        <v>23407.0839999999</v>
      </c>
      <c r="P99" s="143" t="n">
        <f aca="false">SUM(P87:P96)</f>
        <v>24255.0182933328</v>
      </c>
      <c r="Q99" s="143" t="n">
        <f aca="false">SUM(Q87:Q96)</f>
        <v>25102.9525866663</v>
      </c>
      <c r="R99" s="143" t="n">
        <f aca="false">SUM(R87:R96)</f>
        <v>25950.8868799995</v>
      </c>
      <c r="S99" s="143" t="n">
        <f aca="false">SUM(S87:S96)</f>
        <v>26798.8211733331</v>
      </c>
      <c r="T99" s="143" t="n">
        <f aca="false">SUM(T87:T96)</f>
        <v>59409.9535999999</v>
      </c>
      <c r="U99" s="143" t="n">
        <f aca="false">SUM(U87:U96)</f>
        <v>58709.7910399999</v>
      </c>
      <c r="V99" s="143" t="n">
        <f aca="false">SUM(V87:V96)</f>
        <v>58009.62848</v>
      </c>
      <c r="W99" s="143" t="n">
        <f aca="false">SUM(W87:W96)</f>
        <v>57309.4659200002</v>
      </c>
      <c r="X99" s="112"/>
    </row>
    <row r="100" customFormat="false" ht="15.75" hidden="false" customHeight="true" outlineLevel="0" collapsed="false">
      <c r="B100" s="142" t="s">
        <v>129</v>
      </c>
      <c r="C100" s="143" t="n">
        <v>0</v>
      </c>
      <c r="D100" s="143" t="n">
        <f aca="false">C101</f>
        <v>0</v>
      </c>
      <c r="E100" s="143" t="n">
        <f aca="false">D101</f>
        <v>1210700.148</v>
      </c>
      <c r="F100" s="143" t="n">
        <f aca="false">E101</f>
        <v>1222139.08906667</v>
      </c>
      <c r="G100" s="143" t="n">
        <f aca="false">F101</f>
        <v>1234425.96442667</v>
      </c>
      <c r="H100" s="143" t="n">
        <f aca="false">G101</f>
        <v>1247560.77408</v>
      </c>
      <c r="I100" s="143" t="n">
        <f aca="false">H101</f>
        <v>1261543.51802667</v>
      </c>
      <c r="J100" s="143" t="n">
        <f aca="false">I101</f>
        <v>1276374.19626666</v>
      </c>
      <c r="K100" s="143" t="n">
        <f aca="false">J101</f>
        <v>1292052.8088</v>
      </c>
      <c r="L100" s="143" t="n">
        <f aca="false">K101</f>
        <v>1308579.35562666</v>
      </c>
      <c r="M100" s="143" t="n">
        <f aca="false">L101</f>
        <v>1325953.83674666</v>
      </c>
      <c r="N100" s="143" t="n">
        <f aca="false">M101</f>
        <v>1344176.25216</v>
      </c>
      <c r="O100" s="143" t="n">
        <f aca="false">N101</f>
        <v>1398134.60186666</v>
      </c>
      <c r="P100" s="143" t="n">
        <f aca="false">O101</f>
        <v>1421541.68586666</v>
      </c>
      <c r="Q100" s="143" t="n">
        <f aca="false">P101</f>
        <v>1445796.70416</v>
      </c>
      <c r="R100" s="143" t="n">
        <f aca="false">Q101</f>
        <v>1470899.65674666</v>
      </c>
      <c r="S100" s="143" t="n">
        <f aca="false">R101</f>
        <v>1496850.54362666</v>
      </c>
      <c r="T100" s="143" t="n">
        <f aca="false">S101</f>
        <v>1523649.36479999</v>
      </c>
      <c r="U100" s="143" t="n">
        <f aca="false">T101</f>
        <v>1583059.31839999</v>
      </c>
      <c r="V100" s="143" t="n">
        <f aca="false">U101</f>
        <v>1641769.10943999</v>
      </c>
      <c r="W100" s="143" t="n">
        <f aca="false">V101</f>
        <v>1699778.73791999</v>
      </c>
      <c r="X100" s="111"/>
    </row>
    <row r="101" customFormat="false" ht="15.75" hidden="false" customHeight="true" outlineLevel="0" collapsed="false">
      <c r="B101" s="142" t="s">
        <v>130</v>
      </c>
      <c r="C101" s="143" t="n">
        <v>0</v>
      </c>
      <c r="D101" s="143" t="n">
        <f aca="false">D99+D100</f>
        <v>1210700.148</v>
      </c>
      <c r="E101" s="143" t="n">
        <f aca="false">E99+E100</f>
        <v>1222139.08906667</v>
      </c>
      <c r="F101" s="143" t="n">
        <f aca="false">F99+F100</f>
        <v>1234425.96442667</v>
      </c>
      <c r="G101" s="143" t="n">
        <f aca="false">G99+G100</f>
        <v>1247560.77408</v>
      </c>
      <c r="H101" s="143" t="n">
        <f aca="false">H99+H100</f>
        <v>1261543.51802667</v>
      </c>
      <c r="I101" s="143" t="n">
        <f aca="false">I99+I100</f>
        <v>1276374.19626666</v>
      </c>
      <c r="J101" s="143" t="n">
        <f aca="false">J99+J100</f>
        <v>1292052.8088</v>
      </c>
      <c r="K101" s="143" t="n">
        <f aca="false">K99+K100</f>
        <v>1308579.35562666</v>
      </c>
      <c r="L101" s="143" t="n">
        <f aca="false">L99+L100</f>
        <v>1325953.83674666</v>
      </c>
      <c r="M101" s="143" t="n">
        <f aca="false">M99+M100</f>
        <v>1344176.25216</v>
      </c>
      <c r="N101" s="143" t="n">
        <f aca="false">N99+N100</f>
        <v>1398134.60186666</v>
      </c>
      <c r="O101" s="143" t="n">
        <f aca="false">O99+O100</f>
        <v>1421541.68586666</v>
      </c>
      <c r="P101" s="143" t="n">
        <f aca="false">P99+P100</f>
        <v>1445796.70416</v>
      </c>
      <c r="Q101" s="143" t="n">
        <f aca="false">Q99+Q100</f>
        <v>1470899.65674666</v>
      </c>
      <c r="R101" s="143" t="n">
        <f aca="false">R99+R100</f>
        <v>1496850.54362666</v>
      </c>
      <c r="S101" s="143" t="n">
        <f aca="false">S99+S100</f>
        <v>1523649.36479999</v>
      </c>
      <c r="T101" s="143" t="n">
        <f aca="false">T99+T100</f>
        <v>1583059.31839999</v>
      </c>
      <c r="U101" s="143" t="n">
        <f aca="false">U99+U100</f>
        <v>1641769.10943999</v>
      </c>
      <c r="V101" s="143" t="n">
        <f aca="false">V99+V100</f>
        <v>1699778.73791999</v>
      </c>
      <c r="W101" s="143" t="n">
        <f aca="false">W99+W100</f>
        <v>1757088.20383999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131</v>
      </c>
      <c r="C104" s="159"/>
      <c r="D104" s="160" t="n">
        <f aca="false">-D94</f>
        <v>-2834650</v>
      </c>
      <c r="E104" s="146" t="n">
        <f aca="false">-E95-E96</f>
        <v>451833.8832</v>
      </c>
      <c r="F104" s="146" t="n">
        <f aca="false">-F95-F96</f>
        <v>459465.29184</v>
      </c>
      <c r="G104" s="146" t="n">
        <f aca="false">-G95-G96</f>
        <v>467096.70048</v>
      </c>
      <c r="H104" s="146" t="n">
        <f aca="false">-H95-H96</f>
        <v>474728.10912</v>
      </c>
      <c r="I104" s="146" t="n">
        <f aca="false">-I95-I96</f>
        <v>482359.51776</v>
      </c>
      <c r="J104" s="146" t="n">
        <f aca="false">-J95-J96</f>
        <v>489990.9264</v>
      </c>
      <c r="K104" s="146" t="n">
        <f aca="false">-K95-K96</f>
        <v>497622.33504</v>
      </c>
      <c r="L104" s="146" t="n">
        <f aca="false">-L95-L96</f>
        <v>505253.74368</v>
      </c>
      <c r="M104" s="146" t="n">
        <f aca="false">-M95-M96</f>
        <v>512885.15232</v>
      </c>
      <c r="N104" s="146" t="n">
        <f aca="false">-N95-N96</f>
        <v>520516.56096</v>
      </c>
      <c r="O104" s="146" t="n">
        <f aca="false">-O95-O96</f>
        <v>559547.1696</v>
      </c>
      <c r="P104" s="146" t="n">
        <f aca="false">-P95-P96</f>
        <v>567178.57824</v>
      </c>
      <c r="Q104" s="146" t="n">
        <f aca="false">-Q95-Q96</f>
        <v>574809.98688</v>
      </c>
      <c r="R104" s="146" t="n">
        <f aca="false">-R95-R96</f>
        <v>582441.39552</v>
      </c>
      <c r="S104" s="146" t="n">
        <f aca="false">-S95-S96</f>
        <v>590072.80416</v>
      </c>
      <c r="T104" s="146" t="n">
        <f aca="false">-T95-T96</f>
        <v>1306366.7128</v>
      </c>
      <c r="U104" s="146" t="n">
        <f aca="false">-U95-U96</f>
        <v>1300065.24976</v>
      </c>
      <c r="V104" s="146" t="n">
        <f aca="false">-V95-V96</f>
        <v>1293763.78672</v>
      </c>
      <c r="W104" s="146" t="n">
        <f aca="false">-W95-W96</f>
        <v>1287462.32368</v>
      </c>
      <c r="X104" s="146" t="n">
        <f aca="false">-X95-X96</f>
        <v>1757088.20383999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0.180190949291471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132</v>
      </c>
      <c r="C106" s="159"/>
      <c r="D106" s="160" t="n">
        <f aca="false">D85-D94</f>
        <v>-2332612.352</v>
      </c>
      <c r="E106" s="146" t="n">
        <f aca="false">E85</f>
        <v>510516.990933333</v>
      </c>
      <c r="F106" s="146" t="n">
        <f aca="false">F85-F96</f>
        <v>518996.333866667</v>
      </c>
      <c r="G106" s="146" t="n">
        <f aca="false">G85-G96</f>
        <v>527475.6768</v>
      </c>
      <c r="H106" s="146" t="n">
        <f aca="false">H85-H96</f>
        <v>535955.019733333</v>
      </c>
      <c r="I106" s="146" t="n">
        <f aca="false">I85-I96</f>
        <v>544434.362666667</v>
      </c>
      <c r="J106" s="146" t="n">
        <f aca="false">J85-J96</f>
        <v>552913.7056</v>
      </c>
      <c r="K106" s="146" t="n">
        <f aca="false">K85-K96</f>
        <v>561393.048533334</v>
      </c>
      <c r="L106" s="146" t="n">
        <f aca="false">L85-L96</f>
        <v>569872.391466667</v>
      </c>
      <c r="M106" s="146" t="n">
        <f aca="false">M85-M96</f>
        <v>578351.7344</v>
      </c>
      <c r="N106" s="146" t="n">
        <f aca="false">N85-N96</f>
        <v>621719.077333333</v>
      </c>
      <c r="O106" s="146" t="n">
        <f aca="false">O85-O96</f>
        <v>630198.420266667</v>
      </c>
      <c r="P106" s="146" t="n">
        <f aca="false">P85-P96</f>
        <v>638677.7632</v>
      </c>
      <c r="Q106" s="146" t="n">
        <f aca="false">Q85-Q96</f>
        <v>647157.106133334</v>
      </c>
      <c r="R106" s="146" t="n">
        <f aca="false">R85-R96</f>
        <v>655636.449066667</v>
      </c>
      <c r="S106" s="146" t="n">
        <f aca="false">S85-S96</f>
        <v>664115.792</v>
      </c>
      <c r="T106" s="146" t="n">
        <f aca="false">T85-T96</f>
        <v>1365776.6664</v>
      </c>
      <c r="U106" s="146" t="n">
        <f aca="false">U85-U96</f>
        <v>1358775.0408</v>
      </c>
      <c r="V106" s="146" t="n">
        <f aca="false">V85-V96</f>
        <v>1351773.4152</v>
      </c>
      <c r="W106" s="146" t="n">
        <f aca="false">W85-W96</f>
        <v>1344771.7896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0.237588736145717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133</v>
      </c>
      <c r="C109" s="143" t="n">
        <v>0</v>
      </c>
      <c r="D109" s="143" t="n">
        <f aca="false">D92</f>
        <v>11338600</v>
      </c>
      <c r="E109" s="143" t="n">
        <f aca="false">D109+E93</f>
        <v>10582693.3333333</v>
      </c>
      <c r="F109" s="143" t="n">
        <f aca="false">E109+F93</f>
        <v>9826786.66666666</v>
      </c>
      <c r="G109" s="143" t="n">
        <f aca="false">F109+G93</f>
        <v>9070880</v>
      </c>
      <c r="H109" s="143" t="n">
        <f aca="false">G109+H93</f>
        <v>8314973.33333333</v>
      </c>
      <c r="I109" s="143" t="n">
        <f aca="false">H109+I93</f>
        <v>7559066.66666666</v>
      </c>
      <c r="J109" s="143" t="n">
        <f aca="false">I109+J93</f>
        <v>6803160</v>
      </c>
      <c r="K109" s="143" t="n">
        <f aca="false">J109+K93</f>
        <v>6047253.33333333</v>
      </c>
      <c r="L109" s="143" t="n">
        <f aca="false">K109+L93</f>
        <v>5291346.66666666</v>
      </c>
      <c r="M109" s="143" t="n">
        <f aca="false">L109+M93</f>
        <v>4535439.99999999</v>
      </c>
      <c r="N109" s="143" t="n">
        <f aca="false">M109+N93</f>
        <v>3779533.33333333</v>
      </c>
      <c r="O109" s="143" t="n">
        <f aca="false">N109+O93</f>
        <v>3023626.66666666</v>
      </c>
      <c r="P109" s="143" t="n">
        <f aca="false">O109+P93</f>
        <v>2267719.99999999</v>
      </c>
      <c r="Q109" s="143" t="n">
        <f aca="false">P109+Q93</f>
        <v>1511813.33333333</v>
      </c>
      <c r="R109" s="143" t="n">
        <f aca="false">Q109+R93</f>
        <v>755906.66666666</v>
      </c>
      <c r="S109" s="143" t="n">
        <f aca="false">R109+S93</f>
        <v>-7.45058059692383E-009</v>
      </c>
      <c r="T109" s="143" t="n">
        <f aca="false">S109+T93</f>
        <v>-7.45058059692383E-009</v>
      </c>
      <c r="U109" s="143" t="n">
        <f aca="false">T109+U93</f>
        <v>-7.45058059692383E-009</v>
      </c>
      <c r="V109" s="143" t="n">
        <f aca="false">U109+V93</f>
        <v>-7.45058059692383E-009</v>
      </c>
      <c r="W109" s="143" t="n">
        <f aca="false">V109+W93</f>
        <v>-7.45058059692383E-009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87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149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150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151</v>
      </c>
    </row>
    <row r="7" customFormat="false" ht="22.5" hidden="false" customHeight="true" outlineLevel="0" collapsed="false">
      <c r="B7" s="2" t="s">
        <v>91</v>
      </c>
      <c r="C7" s="37"/>
      <c r="D7" s="37"/>
      <c r="E7" s="38"/>
      <c r="M7" s="1" t="s">
        <v>152</v>
      </c>
    </row>
    <row r="8" customFormat="false" ht="22.5" hidden="false" customHeight="true" outlineLevel="0" collapsed="false">
      <c r="B8" s="16" t="s">
        <v>14</v>
      </c>
      <c r="E8" s="46"/>
      <c r="M8" s="1" t="s">
        <v>153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96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22000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0.2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2500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97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98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99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100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101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102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103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104</v>
      </c>
      <c r="C44" s="103" t="n">
        <f aca="false">-(D16/(1-D17)+D18)*C4</f>
        <v>-13083000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105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106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107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108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109</v>
      </c>
      <c r="C49" s="94" t="s">
        <v>4</v>
      </c>
      <c r="D49" s="104" t="n">
        <v>-28782.6</v>
      </c>
      <c r="E49" s="104" t="n">
        <v>-28782.6</v>
      </c>
      <c r="F49" s="104" t="n">
        <v>-28782.6</v>
      </c>
      <c r="G49" s="104" t="n">
        <v>-28782.6</v>
      </c>
      <c r="H49" s="104" t="n">
        <v>-28782.6</v>
      </c>
      <c r="I49" s="104" t="n">
        <v>-28782.6</v>
      </c>
      <c r="J49" s="104" t="n">
        <v>-28782.6</v>
      </c>
      <c r="K49" s="104" t="n">
        <v>-28782.6</v>
      </c>
      <c r="L49" s="104" t="n">
        <v>-28782.6</v>
      </c>
      <c r="M49" s="104" t="n">
        <v>-28782.6</v>
      </c>
      <c r="N49" s="104" t="n">
        <v>-28782.6</v>
      </c>
      <c r="O49" s="104" t="n">
        <v>-28782.6</v>
      </c>
      <c r="P49" s="104" t="n">
        <v>-28782.6</v>
      </c>
      <c r="Q49" s="104" t="n">
        <v>-28782.6</v>
      </c>
      <c r="R49" s="104" t="n">
        <v>-28782.6</v>
      </c>
      <c r="S49" s="104" t="n">
        <v>-28782.6</v>
      </c>
      <c r="T49" s="104" t="n">
        <v>-28782.6</v>
      </c>
      <c r="U49" s="104" t="n">
        <v>-28782.6</v>
      </c>
      <c r="V49" s="104" t="n">
        <v>-28782.6</v>
      </c>
      <c r="W49" s="104" t="n">
        <v>-28782.6</v>
      </c>
      <c r="X49" s="104"/>
    </row>
    <row r="50" customFormat="false" ht="18.75" hidden="false" customHeight="true" outlineLevel="0" collapsed="false">
      <c r="B50" s="102" t="s">
        <v>110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111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112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113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114</v>
      </c>
      <c r="C54" s="105"/>
      <c r="D54" s="104" t="n">
        <f aca="false">-(D64+D67+D68+D71+D72+D73+D74)*0.2</f>
        <v>-194988.864</v>
      </c>
      <c r="E54" s="104" t="n">
        <f aca="false">-(E64+E67+E68+E71+E72+E73+E74)*0.2</f>
        <v>-193238.4576</v>
      </c>
      <c r="F54" s="104" t="n">
        <f aca="false">-(F64+F67+F68+F71+F72+F73+F74)*0.2</f>
        <v>-191488.0512</v>
      </c>
      <c r="G54" s="104" t="n">
        <f aca="false">-(G64+G67+G68+G71+G72+G73+G74)*0.2</f>
        <v>-189737.6448</v>
      </c>
      <c r="H54" s="104" t="n">
        <f aca="false">-(H64+H67+H68+H71+H72+H73+H74)*0.2</f>
        <v>-187987.2384</v>
      </c>
      <c r="I54" s="104" t="n">
        <f aca="false">-(I64+I67+I68+I71+I72+I73+I74)*0.2</f>
        <v>-186236.832</v>
      </c>
      <c r="J54" s="104" t="n">
        <f aca="false">-(J64+J67+J68+J71+J72+J73+J74)*0.2</f>
        <v>-184486.4256</v>
      </c>
      <c r="K54" s="104" t="n">
        <f aca="false">-(K64+K67+K68+K71+K72+K73+K74)*0.2</f>
        <v>-182736.0192</v>
      </c>
      <c r="L54" s="104" t="n">
        <f aca="false">-(L64+L67+L68+L71+L72+L73+L74)*0.2</f>
        <v>-180985.6128</v>
      </c>
      <c r="M54" s="104" t="n">
        <f aca="false">-(M64+M67+M68+M71+M72+M73+M74)*0.2</f>
        <v>-179235.2064</v>
      </c>
      <c r="N54" s="104" t="n">
        <f aca="false">-(N64+N67+N68+N71+N72+N73+N74)*0.2</f>
        <v>-186206.8</v>
      </c>
      <c r="O54" s="104" t="n">
        <f aca="false">-(O64+O67+O68+O71+O72+O73+O74)*0.2</f>
        <v>-184456.3936</v>
      </c>
      <c r="P54" s="104" t="n">
        <f aca="false">-(P64+P67+P68+P71+P72+P73+P74)*0.2</f>
        <v>-182705.9872</v>
      </c>
      <c r="Q54" s="104" t="n">
        <f aca="false">-(Q64+Q67+Q68+Q71+Q72+Q73+Q74)*0.2</f>
        <v>-180955.5808</v>
      </c>
      <c r="R54" s="104" t="n">
        <f aca="false">-(R64+R67+R68+R71+R72+R73+R74)*0.2</f>
        <v>-179205.1744</v>
      </c>
      <c r="S54" s="104" t="n">
        <f aca="false">-(S64+S67+S68+S71+S72+S73+S74)*0.2</f>
        <v>-177454.768</v>
      </c>
      <c r="T54" s="104" t="n">
        <f aca="false">-(T64+T67+T68+T71+T72+T73+T74)*0.2</f>
        <v>-175704.3616</v>
      </c>
      <c r="U54" s="104" t="n">
        <f aca="false">-(U64+U67+U68+U71+U72+U73+U74)*0.2</f>
        <v>-173953.9552</v>
      </c>
      <c r="V54" s="104" t="n">
        <f aca="false">-(V64+V67+V68+V71+V72+V73+V74)*0.2</f>
        <v>-172203.5488</v>
      </c>
      <c r="W54" s="104" t="n">
        <f aca="false">-(W64+W67+W68+W71+W72+W73+W74)*0.2</f>
        <v>-170453.1424</v>
      </c>
      <c r="X54" s="95"/>
    </row>
    <row r="55" customFormat="false" ht="18.75" hidden="false" customHeight="true" outlineLevel="0" collapsed="false">
      <c r="B55" s="107" t="s">
        <v>115</v>
      </c>
      <c r="C55" s="108" t="n">
        <f aca="false">C44</f>
        <v>-13083000</v>
      </c>
      <c r="D55" s="109" t="n">
        <f aca="false">SUM(D41:D54)</f>
        <v>1434105.456</v>
      </c>
      <c r="E55" s="109" t="n">
        <f aca="false">SUM(E41:E54)</f>
        <v>1427103.8304</v>
      </c>
      <c r="F55" s="109" t="n">
        <f aca="false">SUM(F41:F54)</f>
        <v>1420102.2048</v>
      </c>
      <c r="G55" s="109" t="n">
        <f aca="false">SUM(G41:G54)</f>
        <v>1413100.5792</v>
      </c>
      <c r="H55" s="109" t="n">
        <f aca="false">SUM(H41:H54)</f>
        <v>1406098.9536</v>
      </c>
      <c r="I55" s="109" t="n">
        <f aca="false">SUM(I41:I54)</f>
        <v>1399097.328</v>
      </c>
      <c r="J55" s="109" t="n">
        <f aca="false">SUM(J41:J54)</f>
        <v>1392095.7024</v>
      </c>
      <c r="K55" s="109" t="n">
        <f aca="false">SUM(K41:K54)</f>
        <v>1385094.0768</v>
      </c>
      <c r="L55" s="109" t="n">
        <f aca="false">SUM(L41:L54)</f>
        <v>1378092.4512</v>
      </c>
      <c r="M55" s="109" t="n">
        <f aca="false">SUM(M41:M54)</f>
        <v>1371090.8256</v>
      </c>
      <c r="N55" s="109" t="n">
        <f aca="false">SUM(N41:N54)</f>
        <v>1398977.2</v>
      </c>
      <c r="O55" s="109" t="n">
        <f aca="false">SUM(O41:O54)</f>
        <v>1391975.5744</v>
      </c>
      <c r="P55" s="109" t="n">
        <f aca="false">SUM(P41:P54)</f>
        <v>1384973.9488</v>
      </c>
      <c r="Q55" s="109" t="n">
        <f aca="false">SUM(Q41:Q54)</f>
        <v>1377972.3232</v>
      </c>
      <c r="R55" s="109" t="n">
        <f aca="false">SUM(R41:R54)</f>
        <v>1370970.6976</v>
      </c>
      <c r="S55" s="109" t="n">
        <f aca="false">SUM(S41:S54)</f>
        <v>1363969.072</v>
      </c>
      <c r="T55" s="109" t="n">
        <f aca="false">SUM(T41:T54)</f>
        <v>1356967.4464</v>
      </c>
      <c r="U55" s="109" t="n">
        <f aca="false">SUM(U41:U54)</f>
        <v>1349965.8208</v>
      </c>
      <c r="V55" s="109" t="n">
        <f aca="false">SUM(V41:V54)</f>
        <v>1342964.1952</v>
      </c>
      <c r="W55" s="109" t="n">
        <f aca="false">SUM(W41:W54)</f>
        <v>1335962.5696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116</v>
      </c>
      <c r="D56" s="114" t="n">
        <f aca="false">C55+D55</f>
        <v>-11648894.544</v>
      </c>
      <c r="E56" s="114" t="n">
        <f aca="false">D56+E55</f>
        <v>-10221790.7136</v>
      </c>
      <c r="F56" s="114" t="n">
        <f aca="false">E56+F55</f>
        <v>-8801688.5088</v>
      </c>
      <c r="G56" s="114" t="n">
        <f aca="false">F56+G55</f>
        <v>-7388587.9296</v>
      </c>
      <c r="H56" s="114" t="n">
        <f aca="false">G56+H55</f>
        <v>-5982488.976</v>
      </c>
      <c r="I56" s="114" t="n">
        <f aca="false">H56+I55</f>
        <v>-4583391.648</v>
      </c>
      <c r="J56" s="114" t="n">
        <f aca="false">I56+J55</f>
        <v>-3191295.9456</v>
      </c>
      <c r="K56" s="114" t="n">
        <f aca="false">J56+K55</f>
        <v>-1806201.8688</v>
      </c>
      <c r="L56" s="114" t="n">
        <f aca="false">K56+L55</f>
        <v>-428109.417600001</v>
      </c>
      <c r="M56" s="114" t="n">
        <f aca="false">L56+M55</f>
        <v>942981.407999998</v>
      </c>
      <c r="N56" s="114" t="n">
        <f aca="false">M56+N55</f>
        <v>2341958.608</v>
      </c>
      <c r="O56" s="114" t="n">
        <f aca="false">N56+O55</f>
        <v>3733934.1824</v>
      </c>
      <c r="P56" s="114" t="n">
        <f aca="false">O56+P55</f>
        <v>5118908.1312</v>
      </c>
      <c r="Q56" s="114" t="n">
        <f aca="false">P56+Q55</f>
        <v>6496880.4544</v>
      </c>
      <c r="R56" s="114" t="n">
        <f aca="false">Q56+R55</f>
        <v>7867851.152</v>
      </c>
      <c r="S56" s="114" t="n">
        <f aca="false">R56+S55</f>
        <v>9231820.224</v>
      </c>
      <c r="T56" s="114" t="n">
        <f aca="false">S56+T55</f>
        <v>10588787.6704</v>
      </c>
      <c r="U56" s="114" t="n">
        <f aca="false">T56+U55</f>
        <v>11938753.4912</v>
      </c>
      <c r="V56" s="114" t="n">
        <f aca="false">U56+V55</f>
        <v>13281717.6864</v>
      </c>
      <c r="W56" s="114" t="n">
        <f aca="false">V56+W55</f>
        <v>14617680.256</v>
      </c>
      <c r="X56" s="114" t="n">
        <f aca="false">W56+X55</f>
        <v>14617680.256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117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0.0864037780549096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98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118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99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100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101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102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103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119</v>
      </c>
      <c r="C67" s="94"/>
      <c r="D67" s="127" t="n">
        <f aca="false">$C$44/$E$16</f>
        <v>-654150</v>
      </c>
      <c r="E67" s="127" t="n">
        <f aca="false">$C$44/$E$16</f>
        <v>-654150</v>
      </c>
      <c r="F67" s="127" t="n">
        <f aca="false">$C$44/$E$16</f>
        <v>-654150</v>
      </c>
      <c r="G67" s="127" t="n">
        <f aca="false">$C$44/$E$16</f>
        <v>-654150</v>
      </c>
      <c r="H67" s="127" t="n">
        <f aca="false">$C$44/$E$16</f>
        <v>-654150</v>
      </c>
      <c r="I67" s="127" t="n">
        <f aca="false">$C$44/$E$16</f>
        <v>-654150</v>
      </c>
      <c r="J67" s="127" t="n">
        <f aca="false">$C$44/$E$16</f>
        <v>-654150</v>
      </c>
      <c r="K67" s="127" t="n">
        <f aca="false">$C$44/$E$16</f>
        <v>-654150</v>
      </c>
      <c r="L67" s="127" t="n">
        <f aca="false">$C$44/$E$16</f>
        <v>-654150</v>
      </c>
      <c r="M67" s="127" t="n">
        <f aca="false">$C$44/$E$16</f>
        <v>-654150</v>
      </c>
      <c r="N67" s="127" t="n">
        <f aca="false">$C$44/$E$16</f>
        <v>-654150</v>
      </c>
      <c r="O67" s="127" t="n">
        <f aca="false">$C$44/$E$16</f>
        <v>-654150</v>
      </c>
      <c r="P67" s="127" t="n">
        <f aca="false">$C$44/$E$16</f>
        <v>-654150</v>
      </c>
      <c r="Q67" s="127" t="n">
        <f aca="false">$C$44/$E$16</f>
        <v>-654150</v>
      </c>
      <c r="R67" s="127" t="n">
        <f aca="false">$C$44/$E$16</f>
        <v>-654150</v>
      </c>
      <c r="S67" s="127" t="n">
        <f aca="false">$C$44/$E$16</f>
        <v>-654150</v>
      </c>
      <c r="T67" s="127" t="n">
        <f aca="false">$C$44/$E$16</f>
        <v>-654150</v>
      </c>
      <c r="U67" s="127" t="n">
        <f aca="false">$C$44/$E$16</f>
        <v>-654150</v>
      </c>
      <c r="V67" s="127" t="n">
        <f aca="false">$C$44/$E$16</f>
        <v>-654150</v>
      </c>
      <c r="W67" s="127" t="n">
        <f aca="false">$C$44/$E$16</f>
        <v>-654150</v>
      </c>
      <c r="X67" s="97"/>
    </row>
    <row r="68" customFormat="false" ht="18.75" hidden="false" customHeight="true" outlineLevel="0" collapsed="false">
      <c r="B68" s="102" t="s">
        <v>105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106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107</v>
      </c>
      <c r="C70" s="94" t="s">
        <v>4</v>
      </c>
      <c r="D70" s="104" t="n">
        <f aca="false">-D109*$D25</f>
        <v>-267939.84</v>
      </c>
      <c r="E70" s="104" t="n">
        <f aca="false">-E109*$D25</f>
        <v>-250077.184</v>
      </c>
      <c r="F70" s="104" t="n">
        <f aca="false">-F109*$D25</f>
        <v>-232214.528</v>
      </c>
      <c r="G70" s="104" t="n">
        <f aca="false">-G109*$D25</f>
        <v>-214351.872</v>
      </c>
      <c r="H70" s="104" t="n">
        <f aca="false">-H109*$D25</f>
        <v>-196489.216</v>
      </c>
      <c r="I70" s="104" t="n">
        <f aca="false">-I109*$D25</f>
        <v>-178626.56</v>
      </c>
      <c r="J70" s="104" t="n">
        <f aca="false">-J109*$D25</f>
        <v>-160763.904</v>
      </c>
      <c r="K70" s="104" t="n">
        <f aca="false">-K109*$D25</f>
        <v>-142901.248</v>
      </c>
      <c r="L70" s="104" t="n">
        <f aca="false">-L109*$D25</f>
        <v>-125038.592</v>
      </c>
      <c r="M70" s="104" t="n">
        <f aca="false">-M109*$D25</f>
        <v>-107175.936</v>
      </c>
      <c r="N70" s="104" t="n">
        <f aca="false">-N109*$D25</f>
        <v>-89313.28</v>
      </c>
      <c r="O70" s="104" t="n">
        <f aca="false">-O109*$D25</f>
        <v>-71450.624</v>
      </c>
      <c r="P70" s="104" t="n">
        <f aca="false">-P109*$D25</f>
        <v>-53587.968</v>
      </c>
      <c r="Q70" s="104" t="n">
        <f aca="false">-Q109*$D25</f>
        <v>-35725.312</v>
      </c>
      <c r="R70" s="104" t="n">
        <f aca="false">-R109*$D25</f>
        <v>-17862.656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108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109</v>
      </c>
      <c r="C72" s="94" t="s">
        <v>4</v>
      </c>
      <c r="D72" s="104" t="n">
        <f aca="false">D49</f>
        <v>-28782.6</v>
      </c>
      <c r="E72" s="104" t="n">
        <f aca="false">E49</f>
        <v>-28782.6</v>
      </c>
      <c r="F72" s="104" t="n">
        <f aca="false">F49</f>
        <v>-28782.6</v>
      </c>
      <c r="G72" s="104" t="n">
        <f aca="false">G49</f>
        <v>-28782.6</v>
      </c>
      <c r="H72" s="104" t="n">
        <f aca="false">H49</f>
        <v>-28782.6</v>
      </c>
      <c r="I72" s="104" t="n">
        <f aca="false">I49</f>
        <v>-28782.6</v>
      </c>
      <c r="J72" s="104" t="n">
        <f aca="false">J49</f>
        <v>-28782.6</v>
      </c>
      <c r="K72" s="104" t="n">
        <f aca="false">K49</f>
        <v>-28782.6</v>
      </c>
      <c r="L72" s="104" t="n">
        <f aca="false">L49</f>
        <v>-28782.6</v>
      </c>
      <c r="M72" s="104" t="n">
        <f aca="false">M49</f>
        <v>-28782.6</v>
      </c>
      <c r="N72" s="104" t="n">
        <f aca="false">N49</f>
        <v>-28782.6</v>
      </c>
      <c r="O72" s="104" t="n">
        <f aca="false">O49</f>
        <v>-28782.6</v>
      </c>
      <c r="P72" s="104" t="n">
        <f aca="false">P49</f>
        <v>-28782.6</v>
      </c>
      <c r="Q72" s="104" t="n">
        <f aca="false">Q49</f>
        <v>-28782.6</v>
      </c>
      <c r="R72" s="104" t="n">
        <f aca="false">R49</f>
        <v>-28782.6</v>
      </c>
      <c r="S72" s="104" t="n">
        <f aca="false">S49</f>
        <v>-28782.6</v>
      </c>
      <c r="T72" s="104" t="n">
        <f aca="false">T49</f>
        <v>-28782.6</v>
      </c>
      <c r="U72" s="104" t="n">
        <f aca="false">U49</f>
        <v>-28782.6</v>
      </c>
      <c r="V72" s="104" t="n">
        <f aca="false">V49</f>
        <v>-28782.6</v>
      </c>
      <c r="W72" s="104" t="n">
        <f aca="false">W49</f>
        <v>-28782.6</v>
      </c>
      <c r="X72" s="97"/>
    </row>
    <row r="73" customFormat="false" ht="18.75" hidden="false" customHeight="true" outlineLevel="0" collapsed="false">
      <c r="B73" s="102" t="s">
        <v>110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111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112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120</v>
      </c>
      <c r="C76" s="130"/>
      <c r="D76" s="109" t="n">
        <f aca="false">SUM(D64:D75)</f>
        <v>707004.48</v>
      </c>
      <c r="E76" s="109" t="n">
        <f aca="false">SUM(E64:E75)</f>
        <v>716115.104</v>
      </c>
      <c r="F76" s="109" t="n">
        <f aca="false">SUM(F64:F75)</f>
        <v>725225.728</v>
      </c>
      <c r="G76" s="109" t="n">
        <f aca="false">SUM(G64:G75)</f>
        <v>734336.352</v>
      </c>
      <c r="H76" s="109" t="n">
        <f aca="false">SUM(H64:H75)</f>
        <v>743446.976</v>
      </c>
      <c r="I76" s="109" t="n">
        <f aca="false">SUM(I64:I75)</f>
        <v>752557.6</v>
      </c>
      <c r="J76" s="109" t="n">
        <f aca="false">SUM(J64:J75)</f>
        <v>761668.224</v>
      </c>
      <c r="K76" s="109" t="n">
        <f aca="false">SUM(K64:K75)</f>
        <v>770778.848</v>
      </c>
      <c r="L76" s="109" t="n">
        <f aca="false">SUM(L64:L75)</f>
        <v>779889.472</v>
      </c>
      <c r="M76" s="109" t="n">
        <f aca="false">SUM(M64:M75)</f>
        <v>789000.096</v>
      </c>
      <c r="N76" s="109" t="n">
        <f aca="false">SUM(N64:N75)</f>
        <v>841720.72</v>
      </c>
      <c r="O76" s="109" t="n">
        <f aca="false">SUM(O64:O75)</f>
        <v>850831.344</v>
      </c>
      <c r="P76" s="109" t="n">
        <f aca="false">SUM(P64:P75)</f>
        <v>859941.968</v>
      </c>
      <c r="Q76" s="109" t="n">
        <f aca="false">SUM(Q64:Q75)</f>
        <v>869052.592</v>
      </c>
      <c r="R76" s="109" t="n">
        <f aca="false">SUM(R64:R75)</f>
        <v>878163.216</v>
      </c>
      <c r="S76" s="109" t="n">
        <f aca="false">SUM(S64:S75)</f>
        <v>887273.84</v>
      </c>
      <c r="T76" s="109" t="n">
        <f aca="false">SUM(T64:T75)</f>
        <v>878521.808</v>
      </c>
      <c r="U76" s="109" t="n">
        <f aca="false">SUM(U64:U75)</f>
        <v>869769.776</v>
      </c>
      <c r="V76" s="109" t="n">
        <f aca="false">SUM(V64:V75)</f>
        <v>861017.744</v>
      </c>
      <c r="W76" s="109" t="n">
        <f aca="false">SUM(W64:W75)</f>
        <v>852265.712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114</v>
      </c>
      <c r="C77" s="105"/>
      <c r="D77" s="104" t="n">
        <f aca="false">-D76*0.2</f>
        <v>-141400.896</v>
      </c>
      <c r="E77" s="104" t="n">
        <f aca="false">-E76*0.2</f>
        <v>-143223.0208</v>
      </c>
      <c r="F77" s="104" t="n">
        <f aca="false">-F76*0.2</f>
        <v>-145045.1456</v>
      </c>
      <c r="G77" s="104" t="n">
        <f aca="false">-G76*0.2</f>
        <v>-146867.2704</v>
      </c>
      <c r="H77" s="104" t="n">
        <f aca="false">-H76*0.2</f>
        <v>-148689.3952</v>
      </c>
      <c r="I77" s="104" t="n">
        <f aca="false">-I76*0.2</f>
        <v>-150511.52</v>
      </c>
      <c r="J77" s="104" t="n">
        <f aca="false">-J76*0.2</f>
        <v>-152333.6448</v>
      </c>
      <c r="K77" s="104" t="n">
        <f aca="false">-K76*0.2</f>
        <v>-154155.7696</v>
      </c>
      <c r="L77" s="104" t="n">
        <f aca="false">-L76*0.2</f>
        <v>-155977.8944</v>
      </c>
      <c r="M77" s="104" t="n">
        <f aca="false">-M76*0.2</f>
        <v>-157800.0192</v>
      </c>
      <c r="N77" s="104" t="n">
        <f aca="false">-N76*0.2</f>
        <v>-168344.144</v>
      </c>
      <c r="O77" s="104" t="n">
        <f aca="false">-O76*0.2</f>
        <v>-170166.2688</v>
      </c>
      <c r="P77" s="104" t="n">
        <f aca="false">-P76*0.2</f>
        <v>-171988.3936</v>
      </c>
      <c r="Q77" s="104" t="n">
        <f aca="false">-Q76*0.2</f>
        <v>-173810.5184</v>
      </c>
      <c r="R77" s="104" t="n">
        <f aca="false">-R76*0.2</f>
        <v>-175632.6432</v>
      </c>
      <c r="S77" s="104" t="n">
        <f aca="false">-S76*0.2</f>
        <v>-177454.768</v>
      </c>
      <c r="T77" s="104" t="n">
        <f aca="false">-T76*0.2</f>
        <v>-175704.3616</v>
      </c>
      <c r="U77" s="104" t="n">
        <f aca="false">-U76*0.2</f>
        <v>-173953.9552</v>
      </c>
      <c r="V77" s="104" t="n">
        <f aca="false">-V76*0.2</f>
        <v>-172203.5488</v>
      </c>
      <c r="W77" s="104" t="n">
        <f aca="false">-W76*0.2</f>
        <v>-170453.1424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121</v>
      </c>
      <c r="D78" s="104" t="n">
        <f aca="false">SUM(D76:D77)</f>
        <v>565603.584</v>
      </c>
      <c r="E78" s="104" t="n">
        <f aca="false">SUM(E76:E77)</f>
        <v>572892.0832</v>
      </c>
      <c r="F78" s="104" t="n">
        <f aca="false">SUM(F76:F77)</f>
        <v>580180.5824</v>
      </c>
      <c r="G78" s="104" t="n">
        <f aca="false">SUM(G76:G77)</f>
        <v>587469.0816</v>
      </c>
      <c r="H78" s="104" t="n">
        <f aca="false">SUM(H76:H77)</f>
        <v>594757.5808</v>
      </c>
      <c r="I78" s="104" t="n">
        <f aca="false">SUM(I76:I77)</f>
        <v>602046.08</v>
      </c>
      <c r="J78" s="104" t="n">
        <f aca="false">SUM(J76:J77)</f>
        <v>609334.5792</v>
      </c>
      <c r="K78" s="104" t="n">
        <f aca="false">SUM(K76:K77)</f>
        <v>616623.0784</v>
      </c>
      <c r="L78" s="104" t="n">
        <f aca="false">SUM(L76:L77)</f>
        <v>623911.5776</v>
      </c>
      <c r="M78" s="104" t="n">
        <f aca="false">SUM(M76:M77)</f>
        <v>631200.0768</v>
      </c>
      <c r="N78" s="104" t="n">
        <f aca="false">SUM(N76:N77)</f>
        <v>673376.576</v>
      </c>
      <c r="O78" s="104" t="n">
        <f aca="false">SUM(O76:O77)</f>
        <v>680665.0752</v>
      </c>
      <c r="P78" s="104" t="n">
        <f aca="false">SUM(P76:P77)</f>
        <v>687953.5744</v>
      </c>
      <c r="Q78" s="104" t="n">
        <f aca="false">SUM(Q76:Q77)</f>
        <v>695242.0736</v>
      </c>
      <c r="R78" s="104" t="n">
        <f aca="false">SUM(R76:R77)</f>
        <v>702530.5728</v>
      </c>
      <c r="S78" s="104" t="n">
        <f aca="false">SUM(S76:S77)</f>
        <v>709819.072</v>
      </c>
      <c r="T78" s="104" t="n">
        <f aca="false">SUM(T76:T77)</f>
        <v>702817.4464</v>
      </c>
      <c r="U78" s="104" t="n">
        <f aca="false">SUM(U76:U77)</f>
        <v>695815.8208</v>
      </c>
      <c r="V78" s="104" t="n">
        <f aca="false">SUM(V76:V77)</f>
        <v>688814.1952</v>
      </c>
      <c r="W78" s="104" t="n">
        <f aca="false">SUM(W76:W77)</f>
        <v>681812.5696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116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117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98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99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121</v>
      </c>
      <c r="C85" s="142"/>
      <c r="D85" s="143" t="n">
        <f aca="false">D78</f>
        <v>565603.584</v>
      </c>
      <c r="E85" s="143" t="n">
        <f aca="false">E78</f>
        <v>572892.0832</v>
      </c>
      <c r="F85" s="143" t="n">
        <f aca="false">F78</f>
        <v>580180.5824</v>
      </c>
      <c r="G85" s="143" t="n">
        <f aca="false">G78</f>
        <v>587469.0816</v>
      </c>
      <c r="H85" s="143" t="n">
        <f aca="false">H78</f>
        <v>594757.5808</v>
      </c>
      <c r="I85" s="143" t="n">
        <f aca="false">I78</f>
        <v>602046.08</v>
      </c>
      <c r="J85" s="143" t="n">
        <f aca="false">J78</f>
        <v>609334.5792</v>
      </c>
      <c r="K85" s="143" t="n">
        <f aca="false">K78</f>
        <v>616623.0784</v>
      </c>
      <c r="L85" s="143" t="n">
        <f aca="false">L78</f>
        <v>623911.5776</v>
      </c>
      <c r="M85" s="143" t="n">
        <f aca="false">M78</f>
        <v>631200.0768</v>
      </c>
      <c r="N85" s="143" t="n">
        <f aca="false">N78</f>
        <v>673376.576</v>
      </c>
      <c r="O85" s="143" t="n">
        <f aca="false">O78</f>
        <v>680665.0752</v>
      </c>
      <c r="P85" s="143" t="n">
        <f aca="false">P78</f>
        <v>687953.5744</v>
      </c>
      <c r="Q85" s="143" t="n">
        <f aca="false">Q78</f>
        <v>695242.0736</v>
      </c>
      <c r="R85" s="143" t="n">
        <f aca="false">R78</f>
        <v>702530.5728</v>
      </c>
      <c r="S85" s="143" t="n">
        <f aca="false">S78</f>
        <v>709819.072</v>
      </c>
      <c r="T85" s="143" t="n">
        <f aca="false">T78</f>
        <v>702817.4464</v>
      </c>
      <c r="U85" s="143" t="n">
        <f aca="false">U78</f>
        <v>695815.8208</v>
      </c>
      <c r="V85" s="143" t="n">
        <f aca="false">V78</f>
        <v>688814.1952</v>
      </c>
      <c r="W85" s="143" t="n">
        <f aca="false">W78</f>
        <v>681812.5696</v>
      </c>
      <c r="X85" s="142"/>
      <c r="Y85" s="142"/>
    </row>
    <row r="86" customFormat="false" ht="15.75" hidden="false" customHeight="true" outlineLevel="0" collapsed="false">
      <c r="B86" s="142" t="s">
        <v>122</v>
      </c>
      <c r="C86" s="142"/>
      <c r="D86" s="144" t="n">
        <f aca="false">-D67</f>
        <v>654150</v>
      </c>
      <c r="E86" s="144" t="n">
        <f aca="false">-E67</f>
        <v>654150</v>
      </c>
      <c r="F86" s="144" t="n">
        <f aca="false">-F67</f>
        <v>654150</v>
      </c>
      <c r="G86" s="144" t="n">
        <f aca="false">-G67</f>
        <v>654150</v>
      </c>
      <c r="H86" s="144" t="n">
        <f aca="false">-H67</f>
        <v>654150</v>
      </c>
      <c r="I86" s="144" t="n">
        <f aca="false">-I67</f>
        <v>654150</v>
      </c>
      <c r="J86" s="144" t="n">
        <f aca="false">-J67</f>
        <v>654150</v>
      </c>
      <c r="K86" s="144" t="n">
        <f aca="false">-K67</f>
        <v>654150</v>
      </c>
      <c r="L86" s="144" t="n">
        <f aca="false">-L67</f>
        <v>654150</v>
      </c>
      <c r="M86" s="144" t="n">
        <f aca="false">-M67</f>
        <v>654150</v>
      </c>
      <c r="N86" s="144" t="n">
        <f aca="false">-N67</f>
        <v>654150</v>
      </c>
      <c r="O86" s="144" t="n">
        <f aca="false">-O67</f>
        <v>654150</v>
      </c>
      <c r="P86" s="144" t="n">
        <f aca="false">-P67</f>
        <v>654150</v>
      </c>
      <c r="Q86" s="144" t="n">
        <f aca="false">-Q67</f>
        <v>654150</v>
      </c>
      <c r="R86" s="144" t="n">
        <f aca="false">-R67</f>
        <v>654150</v>
      </c>
      <c r="S86" s="144" t="n">
        <f aca="false">-S67</f>
        <v>654150</v>
      </c>
      <c r="T86" s="144" t="n">
        <f aca="false">-T67</f>
        <v>654150</v>
      </c>
      <c r="U86" s="144" t="n">
        <f aca="false">-U67</f>
        <v>654150</v>
      </c>
      <c r="V86" s="144" t="n">
        <f aca="false">-V67</f>
        <v>654150</v>
      </c>
      <c r="W86" s="144" t="n">
        <f aca="false">-W67</f>
        <v>654150</v>
      </c>
      <c r="X86" s="145"/>
      <c r="Y86" s="145"/>
    </row>
    <row r="87" customFormat="false" ht="15.75" hidden="false" customHeight="true" outlineLevel="0" collapsed="false">
      <c r="B87" s="142" t="s">
        <v>123</v>
      </c>
      <c r="C87" s="142"/>
      <c r="D87" s="146" t="n">
        <f aca="false">SUM(D85:D86)</f>
        <v>1219753.584</v>
      </c>
      <c r="E87" s="146" t="n">
        <f aca="false">SUM(E85:E86)</f>
        <v>1227042.0832</v>
      </c>
      <c r="F87" s="146" t="n">
        <f aca="false">SUM(F85:F86)</f>
        <v>1234330.5824</v>
      </c>
      <c r="G87" s="146" t="n">
        <f aca="false">SUM(G85:G86)</f>
        <v>1241619.0816</v>
      </c>
      <c r="H87" s="146" t="n">
        <f aca="false">SUM(H85:H86)</f>
        <v>1248907.5808</v>
      </c>
      <c r="I87" s="146" t="n">
        <f aca="false">SUM(I85:I86)</f>
        <v>1256196.08</v>
      </c>
      <c r="J87" s="146" t="n">
        <f aca="false">SUM(J85:J86)</f>
        <v>1263484.5792</v>
      </c>
      <c r="K87" s="146" t="n">
        <f aca="false">SUM(K85:K86)</f>
        <v>1270773.0784</v>
      </c>
      <c r="L87" s="146" t="n">
        <f aca="false">SUM(L85:L86)</f>
        <v>1278061.5776</v>
      </c>
      <c r="M87" s="146" t="n">
        <f aca="false">SUM(M85:M86)</f>
        <v>1285350.0768</v>
      </c>
      <c r="N87" s="146" t="n">
        <f aca="false">SUM(N85:N86)</f>
        <v>1327526.576</v>
      </c>
      <c r="O87" s="146" t="n">
        <f aca="false">SUM(O85:O86)</f>
        <v>1334815.0752</v>
      </c>
      <c r="P87" s="146" t="n">
        <f aca="false">SUM(P85:P86)</f>
        <v>1342103.5744</v>
      </c>
      <c r="Q87" s="146" t="n">
        <f aca="false">SUM(Q85:Q86)</f>
        <v>1349392.0736</v>
      </c>
      <c r="R87" s="146" t="n">
        <f aca="false">SUM(R85:R86)</f>
        <v>1356680.5728</v>
      </c>
      <c r="S87" s="146" t="n">
        <f aca="false">SUM(S85:S86)</f>
        <v>1363969.072</v>
      </c>
      <c r="T87" s="146" t="n">
        <f aca="false">SUM(T85:T86)</f>
        <v>1356967.4464</v>
      </c>
      <c r="U87" s="146" t="n">
        <f aca="false">SUM(U85:U86)</f>
        <v>1349965.8208</v>
      </c>
      <c r="V87" s="146" t="n">
        <f aca="false">SUM(V85:V86)</f>
        <v>1342964.1952</v>
      </c>
      <c r="W87" s="146" t="n">
        <f aca="false">SUM(W85:W86)</f>
        <v>1335962.5696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124</v>
      </c>
      <c r="C89" s="149"/>
      <c r="D89" s="150" t="n">
        <f aca="false">C44</f>
        <v>-13083000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125</v>
      </c>
      <c r="C92" s="149"/>
      <c r="D92" s="150" t="n">
        <f aca="false">-D89*D31</f>
        <v>10466400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126</v>
      </c>
      <c r="C93" s="142"/>
      <c r="D93" s="152"/>
      <c r="E93" s="152" t="n">
        <v>-697760</v>
      </c>
      <c r="F93" s="152" t="n">
        <v>-697760</v>
      </c>
      <c r="G93" s="152" t="n">
        <v>-697760</v>
      </c>
      <c r="H93" s="152" t="n">
        <v>-697760</v>
      </c>
      <c r="I93" s="152" t="n">
        <v>-697760</v>
      </c>
      <c r="J93" s="152" t="n">
        <v>-697760</v>
      </c>
      <c r="K93" s="152" t="n">
        <v>-697760</v>
      </c>
      <c r="L93" s="152" t="n">
        <v>-697760</v>
      </c>
      <c r="M93" s="152" t="n">
        <v>-697760</v>
      </c>
      <c r="N93" s="152" t="n">
        <v>-697760</v>
      </c>
      <c r="O93" s="152" t="n">
        <v>-697760</v>
      </c>
      <c r="P93" s="152" t="n">
        <v>-697760</v>
      </c>
      <c r="Q93" s="152" t="n">
        <v>-697760</v>
      </c>
      <c r="R93" s="152" t="n">
        <v>-697760</v>
      </c>
      <c r="S93" s="152" t="n">
        <v>-697760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127</v>
      </c>
      <c r="C94" s="147"/>
      <c r="D94" s="143" t="n">
        <f aca="false">-D89*(1-D31)</f>
        <v>2616600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-509043.2256</v>
      </c>
      <c r="F95" s="153" t="n">
        <f aca="false">-E85*$D$33</f>
        <v>-515602.87488</v>
      </c>
      <c r="G95" s="153" t="n">
        <f aca="false">-F85*$D$33</f>
        <v>-522162.52416</v>
      </c>
      <c r="H95" s="153" t="n">
        <f aca="false">-G85*$D$33</f>
        <v>-528722.17344</v>
      </c>
      <c r="I95" s="153" t="n">
        <f aca="false">-H85*$D$33</f>
        <v>-535281.82272</v>
      </c>
      <c r="J95" s="153" t="n">
        <f aca="false">-I85*$D$33</f>
        <v>-541841.472</v>
      </c>
      <c r="K95" s="153" t="n">
        <f aca="false">-J85*$D$33</f>
        <v>-548401.12128</v>
      </c>
      <c r="L95" s="153" t="n">
        <f aca="false">-K85*$D$33</f>
        <v>-554960.77056</v>
      </c>
      <c r="M95" s="153" t="n">
        <f aca="false">-L85*$D$33</f>
        <v>-561520.41984</v>
      </c>
      <c r="N95" s="153" t="n">
        <f aca="false">-M85*$D$33</f>
        <v>-568080.06912</v>
      </c>
      <c r="O95" s="153" t="n">
        <f aca="false">-N85*$D$33</f>
        <v>-606038.9184</v>
      </c>
      <c r="P95" s="153" t="n">
        <f aca="false">-O85*$D$33</f>
        <v>-612598.56768</v>
      </c>
      <c r="Q95" s="153" t="n">
        <f aca="false">-P85*$D$33</f>
        <v>-619158.21696</v>
      </c>
      <c r="R95" s="153" t="n">
        <f aca="false">-Q85*$D$33</f>
        <v>-625717.86624</v>
      </c>
      <c r="S95" s="153" t="n">
        <f aca="false">-R85*$D$33</f>
        <v>-632277.51552</v>
      </c>
      <c r="T95" s="153" t="n">
        <f aca="false">-S85*$D$33</f>
        <v>-638837.1648</v>
      </c>
      <c r="U95" s="153" t="n">
        <f aca="false">-T85*$D$33</f>
        <v>-632535.70176</v>
      </c>
      <c r="V95" s="153" t="n">
        <f aca="false">-U85*$D$33</f>
        <v>-626234.23872</v>
      </c>
      <c r="W95" s="153" t="n">
        <f aca="false">-V85*$D$33</f>
        <v>-619932.77568</v>
      </c>
      <c r="X95" s="153" t="n">
        <f aca="false">-W85*$D$33</f>
        <v>-613631.31264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-654150</v>
      </c>
      <c r="U96" s="156" t="n">
        <v>-654150</v>
      </c>
      <c r="V96" s="156" t="n">
        <v>-654150</v>
      </c>
      <c r="W96" s="156" t="n">
        <v>-654150</v>
      </c>
      <c r="X96" s="157" t="n">
        <f aca="false">-W101-X95</f>
        <v>-1290286.528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128</v>
      </c>
      <c r="C99" s="143" t="n">
        <v>0</v>
      </c>
      <c r="D99" s="143" t="n">
        <f aca="false">SUM(D87:D96)</f>
        <v>1219753.584</v>
      </c>
      <c r="E99" s="143" t="n">
        <f aca="false">SUM(E87:E96)</f>
        <v>20238.8575999998</v>
      </c>
      <c r="F99" s="143" t="n">
        <f aca="false">SUM(F87:F96)</f>
        <v>20967.7075200003</v>
      </c>
      <c r="G99" s="143" t="n">
        <f aca="false">SUM(G87:G96)</f>
        <v>21696.5574400001</v>
      </c>
      <c r="H99" s="143" t="n">
        <f aca="false">SUM(H87:H96)</f>
        <v>22425.4073599998</v>
      </c>
      <c r="I99" s="143" t="n">
        <f aca="false">SUM(I87:I96)</f>
        <v>23154.2572799999</v>
      </c>
      <c r="J99" s="143" t="n">
        <f aca="false">SUM(J87:J96)</f>
        <v>23883.1072000002</v>
      </c>
      <c r="K99" s="143" t="n">
        <f aca="false">SUM(K87:K96)</f>
        <v>24611.9571199998</v>
      </c>
      <c r="L99" s="143" t="n">
        <f aca="false">SUM(L87:L96)</f>
        <v>25340.80704</v>
      </c>
      <c r="M99" s="143" t="n">
        <f aca="false">SUM(M87:M96)</f>
        <v>26069.6569600001</v>
      </c>
      <c r="N99" s="143" t="n">
        <f aca="false">SUM(N87:N96)</f>
        <v>61686.5068799999</v>
      </c>
      <c r="O99" s="143" t="n">
        <f aca="false">SUM(O87:O96)</f>
        <v>31016.1568000001</v>
      </c>
      <c r="P99" s="143" t="n">
        <f aca="false">SUM(P87:P96)</f>
        <v>31745.0067199997</v>
      </c>
      <c r="Q99" s="143" t="n">
        <f aca="false">SUM(Q87:Q96)</f>
        <v>32473.85664</v>
      </c>
      <c r="R99" s="143" t="n">
        <f aca="false">SUM(R87:R96)</f>
        <v>33202.70656</v>
      </c>
      <c r="S99" s="143" t="n">
        <f aca="false">SUM(S87:S96)</f>
        <v>33931.5564799999</v>
      </c>
      <c r="T99" s="143" t="n">
        <f aca="false">SUM(T87:T96)</f>
        <v>63980.2815999999</v>
      </c>
      <c r="U99" s="143" t="n">
        <f aca="false">SUM(U87:U96)</f>
        <v>63280.1190399999</v>
      </c>
      <c r="V99" s="143" t="n">
        <f aca="false">SUM(V87:V96)</f>
        <v>62579.9564799999</v>
      </c>
      <c r="W99" s="143" t="n">
        <f aca="false">SUM(W87:W96)</f>
        <v>61879.7939200002</v>
      </c>
      <c r="X99" s="112"/>
    </row>
    <row r="100" customFormat="false" ht="15.75" hidden="false" customHeight="true" outlineLevel="0" collapsed="false">
      <c r="B100" s="142" t="s">
        <v>129</v>
      </c>
      <c r="C100" s="143" t="n">
        <v>0</v>
      </c>
      <c r="D100" s="143" t="n">
        <f aca="false">C101</f>
        <v>0</v>
      </c>
      <c r="E100" s="143" t="n">
        <f aca="false">D101</f>
        <v>1219753.584</v>
      </c>
      <c r="F100" s="143" t="n">
        <f aca="false">E101</f>
        <v>1239992.4416</v>
      </c>
      <c r="G100" s="143" t="n">
        <f aca="false">F101</f>
        <v>1260960.14912</v>
      </c>
      <c r="H100" s="143" t="n">
        <f aca="false">G101</f>
        <v>1282656.70656</v>
      </c>
      <c r="I100" s="143" t="n">
        <f aca="false">H101</f>
        <v>1305082.11392</v>
      </c>
      <c r="J100" s="143" t="n">
        <f aca="false">I101</f>
        <v>1328236.3712</v>
      </c>
      <c r="K100" s="143" t="n">
        <f aca="false">J101</f>
        <v>1352119.4784</v>
      </c>
      <c r="L100" s="143" t="n">
        <f aca="false">K101</f>
        <v>1376731.43552</v>
      </c>
      <c r="M100" s="143" t="n">
        <f aca="false">L101</f>
        <v>1402072.24256</v>
      </c>
      <c r="N100" s="143" t="n">
        <f aca="false">M101</f>
        <v>1428141.89952</v>
      </c>
      <c r="O100" s="143" t="n">
        <f aca="false">N101</f>
        <v>1489828.4064</v>
      </c>
      <c r="P100" s="143" t="n">
        <f aca="false">O101</f>
        <v>1520844.5632</v>
      </c>
      <c r="Q100" s="143" t="n">
        <f aca="false">P101</f>
        <v>1552589.56992</v>
      </c>
      <c r="R100" s="143" t="n">
        <f aca="false">Q101</f>
        <v>1585063.42656</v>
      </c>
      <c r="S100" s="143" t="n">
        <f aca="false">R101</f>
        <v>1618266.13312</v>
      </c>
      <c r="T100" s="143" t="n">
        <f aca="false">S101</f>
        <v>1652197.6896</v>
      </c>
      <c r="U100" s="143" t="n">
        <f aca="false">T101</f>
        <v>1716177.9712</v>
      </c>
      <c r="V100" s="143" t="n">
        <f aca="false">U101</f>
        <v>1779458.09024</v>
      </c>
      <c r="W100" s="143" t="n">
        <f aca="false">V101</f>
        <v>1842038.04672</v>
      </c>
      <c r="X100" s="111"/>
    </row>
    <row r="101" customFormat="false" ht="15.75" hidden="false" customHeight="true" outlineLevel="0" collapsed="false">
      <c r="B101" s="142" t="s">
        <v>130</v>
      </c>
      <c r="C101" s="143" t="n">
        <v>0</v>
      </c>
      <c r="D101" s="143" t="n">
        <f aca="false">D99+D100</f>
        <v>1219753.584</v>
      </c>
      <c r="E101" s="143" t="n">
        <f aca="false">E99+E100</f>
        <v>1239992.4416</v>
      </c>
      <c r="F101" s="143" t="n">
        <f aca="false">F99+F100</f>
        <v>1260960.14912</v>
      </c>
      <c r="G101" s="143" t="n">
        <f aca="false">G99+G100</f>
        <v>1282656.70656</v>
      </c>
      <c r="H101" s="143" t="n">
        <f aca="false">H99+H100</f>
        <v>1305082.11392</v>
      </c>
      <c r="I101" s="143" t="n">
        <f aca="false">I99+I100</f>
        <v>1328236.3712</v>
      </c>
      <c r="J101" s="143" t="n">
        <f aca="false">J99+J100</f>
        <v>1352119.4784</v>
      </c>
      <c r="K101" s="143" t="n">
        <f aca="false">K99+K100</f>
        <v>1376731.43552</v>
      </c>
      <c r="L101" s="143" t="n">
        <f aca="false">L99+L100</f>
        <v>1402072.24256</v>
      </c>
      <c r="M101" s="143" t="n">
        <f aca="false">M99+M100</f>
        <v>1428141.89952</v>
      </c>
      <c r="N101" s="143" t="n">
        <f aca="false">N99+N100</f>
        <v>1489828.4064</v>
      </c>
      <c r="O101" s="143" t="n">
        <f aca="false">O99+O100</f>
        <v>1520844.5632</v>
      </c>
      <c r="P101" s="143" t="n">
        <f aca="false">P99+P100</f>
        <v>1552589.56992</v>
      </c>
      <c r="Q101" s="143" t="n">
        <f aca="false">Q99+Q100</f>
        <v>1585063.42656</v>
      </c>
      <c r="R101" s="143" t="n">
        <f aca="false">R99+R100</f>
        <v>1618266.13312</v>
      </c>
      <c r="S101" s="143" t="n">
        <f aca="false">S99+S100</f>
        <v>1652197.6896</v>
      </c>
      <c r="T101" s="143" t="n">
        <f aca="false">T99+T100</f>
        <v>1716177.9712</v>
      </c>
      <c r="U101" s="143" t="n">
        <f aca="false">U99+U100</f>
        <v>1779458.09024</v>
      </c>
      <c r="V101" s="143" t="n">
        <f aca="false">V99+V100</f>
        <v>1842038.04672</v>
      </c>
      <c r="W101" s="143" t="n">
        <f aca="false">W99+W100</f>
        <v>1903917.84064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131</v>
      </c>
      <c r="C104" s="159"/>
      <c r="D104" s="160" t="n">
        <f aca="false">-D94</f>
        <v>-2616600</v>
      </c>
      <c r="E104" s="146" t="n">
        <f aca="false">-E95-E96</f>
        <v>509043.2256</v>
      </c>
      <c r="F104" s="146" t="n">
        <f aca="false">-F95-F96</f>
        <v>515602.87488</v>
      </c>
      <c r="G104" s="146" t="n">
        <f aca="false">-G95-G96</f>
        <v>522162.52416</v>
      </c>
      <c r="H104" s="146" t="n">
        <f aca="false">-H95-H96</f>
        <v>528722.17344</v>
      </c>
      <c r="I104" s="146" t="n">
        <f aca="false">-I95-I96</f>
        <v>535281.82272</v>
      </c>
      <c r="J104" s="146" t="n">
        <f aca="false">-J95-J96</f>
        <v>541841.472</v>
      </c>
      <c r="K104" s="146" t="n">
        <f aca="false">-K95-K96</f>
        <v>548401.12128</v>
      </c>
      <c r="L104" s="146" t="n">
        <f aca="false">-L95-L96</f>
        <v>554960.77056</v>
      </c>
      <c r="M104" s="146" t="n">
        <f aca="false">-M95-M96</f>
        <v>561520.41984</v>
      </c>
      <c r="N104" s="146" t="n">
        <f aca="false">-N95-N96</f>
        <v>568080.06912</v>
      </c>
      <c r="O104" s="146" t="n">
        <f aca="false">-O95-O96</f>
        <v>606038.9184</v>
      </c>
      <c r="P104" s="146" t="n">
        <f aca="false">-P95-P96</f>
        <v>612598.56768</v>
      </c>
      <c r="Q104" s="146" t="n">
        <f aca="false">-Q95-Q96</f>
        <v>619158.21696</v>
      </c>
      <c r="R104" s="146" t="n">
        <f aca="false">-R95-R96</f>
        <v>625717.86624</v>
      </c>
      <c r="S104" s="146" t="n">
        <f aca="false">-S95-S96</f>
        <v>632277.51552</v>
      </c>
      <c r="T104" s="146" t="n">
        <f aca="false">-T95-T96</f>
        <v>1292987.1648</v>
      </c>
      <c r="U104" s="146" t="n">
        <f aca="false">-U95-U96</f>
        <v>1286685.70176</v>
      </c>
      <c r="V104" s="146" t="n">
        <f aca="false">-V95-V96</f>
        <v>1280384.23872</v>
      </c>
      <c r="W104" s="146" t="n">
        <f aca="false">-W95-W96</f>
        <v>1274082.77568</v>
      </c>
      <c r="X104" s="146" t="n">
        <f aca="false">-X95-X96</f>
        <v>1903917.84064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0.211852636654235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132</v>
      </c>
      <c r="C106" s="159"/>
      <c r="D106" s="160" t="n">
        <f aca="false">D85-D94</f>
        <v>-2050996.416</v>
      </c>
      <c r="E106" s="146" t="n">
        <f aca="false">E85</f>
        <v>572892.0832</v>
      </c>
      <c r="F106" s="146" t="n">
        <f aca="false">F85-F96</f>
        <v>580180.5824</v>
      </c>
      <c r="G106" s="146" t="n">
        <f aca="false">G85-G96</f>
        <v>587469.0816</v>
      </c>
      <c r="H106" s="146" t="n">
        <f aca="false">H85-H96</f>
        <v>594757.5808</v>
      </c>
      <c r="I106" s="146" t="n">
        <f aca="false">I85-I96</f>
        <v>602046.08</v>
      </c>
      <c r="J106" s="146" t="n">
        <f aca="false">J85-J96</f>
        <v>609334.5792</v>
      </c>
      <c r="K106" s="146" t="n">
        <f aca="false">K85-K96</f>
        <v>616623.0784</v>
      </c>
      <c r="L106" s="146" t="n">
        <f aca="false">L85-L96</f>
        <v>623911.5776</v>
      </c>
      <c r="M106" s="146" t="n">
        <f aca="false">M85-M96</f>
        <v>631200.0768</v>
      </c>
      <c r="N106" s="146" t="n">
        <f aca="false">N85-N96</f>
        <v>673376.576</v>
      </c>
      <c r="O106" s="146" t="n">
        <f aca="false">O85-O96</f>
        <v>680665.0752</v>
      </c>
      <c r="P106" s="146" t="n">
        <f aca="false">P85-P96</f>
        <v>687953.5744</v>
      </c>
      <c r="Q106" s="146" t="n">
        <f aca="false">Q85-Q96</f>
        <v>695242.0736</v>
      </c>
      <c r="R106" s="146" t="n">
        <f aca="false">R85-R96</f>
        <v>702530.5728</v>
      </c>
      <c r="S106" s="146" t="n">
        <f aca="false">S85-S96</f>
        <v>709819.072</v>
      </c>
      <c r="T106" s="146" t="n">
        <f aca="false">T85-T96</f>
        <v>1356967.4464</v>
      </c>
      <c r="U106" s="146" t="n">
        <f aca="false">U85-U96</f>
        <v>1349965.8208</v>
      </c>
      <c r="V106" s="146" t="n">
        <f aca="false">V85-V96</f>
        <v>1342964.1952</v>
      </c>
      <c r="W106" s="146" t="n">
        <f aca="false">W85-W96</f>
        <v>1335962.5696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0.294349165812987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133</v>
      </c>
      <c r="C109" s="143" t="n">
        <v>0</v>
      </c>
      <c r="D109" s="143" t="n">
        <f aca="false">D92</f>
        <v>10466400</v>
      </c>
      <c r="E109" s="143" t="n">
        <f aca="false">D109+E93</f>
        <v>9768640</v>
      </c>
      <c r="F109" s="143" t="n">
        <f aca="false">E109+F93</f>
        <v>9070880</v>
      </c>
      <c r="G109" s="143" t="n">
        <f aca="false">F109+G93</f>
        <v>8373120</v>
      </c>
      <c r="H109" s="143" t="n">
        <f aca="false">G109+H93</f>
        <v>7675360</v>
      </c>
      <c r="I109" s="143" t="n">
        <f aca="false">H109+I93</f>
        <v>6977600</v>
      </c>
      <c r="J109" s="143" t="n">
        <f aca="false">I109+J93</f>
        <v>6279840</v>
      </c>
      <c r="K109" s="143" t="n">
        <f aca="false">J109+K93</f>
        <v>5582080</v>
      </c>
      <c r="L109" s="143" t="n">
        <f aca="false">K109+L93</f>
        <v>4884320</v>
      </c>
      <c r="M109" s="143" t="n">
        <f aca="false">L109+M93</f>
        <v>4186560</v>
      </c>
      <c r="N109" s="143" t="n">
        <f aca="false">M109+N93</f>
        <v>3488800</v>
      </c>
      <c r="O109" s="143" t="n">
        <f aca="false">N109+O93</f>
        <v>2791040</v>
      </c>
      <c r="P109" s="143" t="n">
        <f aca="false">O109+P93</f>
        <v>2093280</v>
      </c>
      <c r="Q109" s="143" t="n">
        <f aca="false">P109+Q93</f>
        <v>1395520</v>
      </c>
      <c r="R109" s="143" t="n">
        <f aca="false">Q109+R93</f>
        <v>697760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87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154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155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156</v>
      </c>
    </row>
    <row r="7" customFormat="false" ht="22.5" hidden="false" customHeight="true" outlineLevel="0" collapsed="false">
      <c r="B7" s="2" t="s">
        <v>91</v>
      </c>
      <c r="C7" s="37"/>
      <c r="D7" s="37"/>
      <c r="E7" s="38"/>
      <c r="M7" s="1" t="s">
        <v>157</v>
      </c>
    </row>
    <row r="8" customFormat="false" ht="22.5" hidden="false" customHeight="true" outlineLevel="0" collapsed="false">
      <c r="B8" s="16" t="s">
        <v>14</v>
      </c>
      <c r="E8" s="46"/>
      <c r="M8" s="1" t="s">
        <v>158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96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20000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0.2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2500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97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98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99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100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101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102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103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104</v>
      </c>
      <c r="C44" s="103" t="n">
        <f aca="false">-(D16/(1-D17)+D18)*C4</f>
        <v>-11992750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105</v>
      </c>
      <c r="C45" s="94" t="s">
        <v>4</v>
      </c>
      <c r="D45" s="104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106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107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108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109</v>
      </c>
      <c r="C49" s="94" t="s">
        <v>4</v>
      </c>
      <c r="D49" s="104" t="n">
        <v>-26166</v>
      </c>
      <c r="E49" s="104" t="n">
        <v>-26166</v>
      </c>
      <c r="F49" s="104" t="n">
        <v>-26166</v>
      </c>
      <c r="G49" s="104" t="n">
        <v>-26166</v>
      </c>
      <c r="H49" s="104" t="n">
        <v>-26166</v>
      </c>
      <c r="I49" s="104" t="n">
        <v>-26166</v>
      </c>
      <c r="J49" s="104" t="n">
        <v>-26166</v>
      </c>
      <c r="K49" s="104" t="n">
        <v>-26166</v>
      </c>
      <c r="L49" s="104" t="n">
        <v>-26166</v>
      </c>
      <c r="M49" s="104" t="n">
        <v>-26166</v>
      </c>
      <c r="N49" s="104" t="n">
        <v>-26166</v>
      </c>
      <c r="O49" s="104" t="n">
        <v>-26166</v>
      </c>
      <c r="P49" s="104" t="n">
        <v>-26166</v>
      </c>
      <c r="Q49" s="104" t="n">
        <v>-26166</v>
      </c>
      <c r="R49" s="104" t="n">
        <v>-26166</v>
      </c>
      <c r="S49" s="104" t="n">
        <v>-26166</v>
      </c>
      <c r="T49" s="104" t="n">
        <v>-26166</v>
      </c>
      <c r="U49" s="104" t="n">
        <v>-26166</v>
      </c>
      <c r="V49" s="104" t="n">
        <v>-26166</v>
      </c>
      <c r="W49" s="104" t="n">
        <v>-26166</v>
      </c>
      <c r="X49" s="104"/>
    </row>
    <row r="50" customFormat="false" ht="18.75" hidden="false" customHeight="true" outlineLevel="0" collapsed="false">
      <c r="B50" s="102" t="s">
        <v>110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111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112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113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114</v>
      </c>
      <c r="C54" s="105"/>
      <c r="D54" s="104" t="n">
        <f aca="false">-(D64+D67+D68+D71+D72+D73+D74)*0.2</f>
        <v>-206414.684</v>
      </c>
      <c r="E54" s="104" t="n">
        <f aca="false">-(E64+E67+E68+E71+E72+E73+E74)*0.2</f>
        <v>-204664.2776</v>
      </c>
      <c r="F54" s="104" t="n">
        <f aca="false">-(F64+F67+F68+F71+F72+F73+F74)*0.2</f>
        <v>-202913.8712</v>
      </c>
      <c r="G54" s="104" t="n">
        <f aca="false">-(G64+G67+G68+G71+G72+G73+G74)*0.2</f>
        <v>-201163.4648</v>
      </c>
      <c r="H54" s="104" t="n">
        <f aca="false">-(H64+H67+H68+H71+H72+H73+H74)*0.2</f>
        <v>-199413.0584</v>
      </c>
      <c r="I54" s="104" t="n">
        <f aca="false">-(I64+I67+I68+I71+I72+I73+I74)*0.2</f>
        <v>-197662.652</v>
      </c>
      <c r="J54" s="104" t="n">
        <f aca="false">-(J64+J67+J68+J71+J72+J73+J74)*0.2</f>
        <v>-195912.2456</v>
      </c>
      <c r="K54" s="104" t="n">
        <f aca="false">-(K64+K67+K68+K71+K72+K73+K74)*0.2</f>
        <v>-194161.8392</v>
      </c>
      <c r="L54" s="104" t="n">
        <f aca="false">-(L64+L67+L68+L71+L72+L73+L74)*0.2</f>
        <v>-192411.4328</v>
      </c>
      <c r="M54" s="104" t="n">
        <f aca="false">-(M64+M67+M68+M71+M72+M73+M74)*0.2</f>
        <v>-190661.0264</v>
      </c>
      <c r="N54" s="104" t="n">
        <f aca="false">-(N64+N67+N68+N71+N72+N73+N74)*0.2</f>
        <v>-197632.62</v>
      </c>
      <c r="O54" s="104" t="n">
        <f aca="false">-(O64+O67+O68+O71+O72+O73+O74)*0.2</f>
        <v>-195882.2136</v>
      </c>
      <c r="P54" s="104" t="n">
        <f aca="false">-(P64+P67+P68+P71+P72+P73+P74)*0.2</f>
        <v>-194131.8072</v>
      </c>
      <c r="Q54" s="104" t="n">
        <f aca="false">-(Q64+Q67+Q68+Q71+Q72+Q73+Q74)*0.2</f>
        <v>-192381.4008</v>
      </c>
      <c r="R54" s="104" t="n">
        <f aca="false">-(R64+R67+R68+R71+R72+R73+R74)*0.2</f>
        <v>-190630.9944</v>
      </c>
      <c r="S54" s="104" t="n">
        <f aca="false">-(S64+S67+S68+S71+S72+S73+S74)*0.2</f>
        <v>-188880.588</v>
      </c>
      <c r="T54" s="104" t="n">
        <f aca="false">-(T64+T67+T68+T71+T72+T73+T74)*0.2</f>
        <v>-187130.1816</v>
      </c>
      <c r="U54" s="104" t="n">
        <f aca="false">-(U64+U67+U68+U71+U72+U73+U74)*0.2</f>
        <v>-185379.7752</v>
      </c>
      <c r="V54" s="104" t="n">
        <f aca="false">-(V64+V67+V68+V71+V72+V73+V74)*0.2</f>
        <v>-183629.3688</v>
      </c>
      <c r="W54" s="104" t="n">
        <f aca="false">-(W64+W67+W68+W71+W72+W73+W74)*0.2</f>
        <v>-181878.9624</v>
      </c>
      <c r="X54" s="95"/>
    </row>
    <row r="55" customFormat="false" ht="18.75" hidden="false" customHeight="true" outlineLevel="0" collapsed="false">
      <c r="B55" s="107" t="s">
        <v>115</v>
      </c>
      <c r="C55" s="108" t="n">
        <f aca="false">C44</f>
        <v>-11992750</v>
      </c>
      <c r="D55" s="109" t="n">
        <f aca="false">SUM(D41:D54)</f>
        <v>1425296.236</v>
      </c>
      <c r="E55" s="109" t="n">
        <f aca="false">SUM(E41:E54)</f>
        <v>1418294.6104</v>
      </c>
      <c r="F55" s="109" t="n">
        <f aca="false">SUM(F41:F54)</f>
        <v>1411292.9848</v>
      </c>
      <c r="G55" s="109" t="n">
        <f aca="false">SUM(G41:G54)</f>
        <v>1404291.3592</v>
      </c>
      <c r="H55" s="109" t="n">
        <f aca="false">SUM(H41:H54)</f>
        <v>1397289.7336</v>
      </c>
      <c r="I55" s="109" t="n">
        <f aca="false">SUM(I41:I54)</f>
        <v>1390288.108</v>
      </c>
      <c r="J55" s="109" t="n">
        <f aca="false">SUM(J41:J54)</f>
        <v>1383286.4824</v>
      </c>
      <c r="K55" s="109" t="n">
        <f aca="false">SUM(K41:K54)</f>
        <v>1376284.8568</v>
      </c>
      <c r="L55" s="109" t="n">
        <f aca="false">SUM(L41:L54)</f>
        <v>1369283.2312</v>
      </c>
      <c r="M55" s="109" t="n">
        <f aca="false">SUM(M41:M54)</f>
        <v>1362281.6056</v>
      </c>
      <c r="N55" s="109" t="n">
        <f aca="false">SUM(N41:N54)</f>
        <v>1390167.98</v>
      </c>
      <c r="O55" s="109" t="n">
        <f aca="false">SUM(O41:O54)</f>
        <v>1383166.3544</v>
      </c>
      <c r="P55" s="109" t="n">
        <f aca="false">SUM(P41:P54)</f>
        <v>1376164.7288</v>
      </c>
      <c r="Q55" s="109" t="n">
        <f aca="false">SUM(Q41:Q54)</f>
        <v>1369163.1032</v>
      </c>
      <c r="R55" s="109" t="n">
        <f aca="false">SUM(R41:R54)</f>
        <v>1362161.4776</v>
      </c>
      <c r="S55" s="109" t="n">
        <f aca="false">SUM(S41:S54)</f>
        <v>1355159.852</v>
      </c>
      <c r="T55" s="109" t="n">
        <f aca="false">SUM(T41:T54)</f>
        <v>1348158.2264</v>
      </c>
      <c r="U55" s="109" t="n">
        <f aca="false">SUM(U41:U54)</f>
        <v>1341156.6008</v>
      </c>
      <c r="V55" s="109" t="n">
        <f aca="false">SUM(V41:V54)</f>
        <v>1334154.9752</v>
      </c>
      <c r="W55" s="109" t="n">
        <f aca="false">SUM(W41:W54)</f>
        <v>1327153.3496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116</v>
      </c>
      <c r="D56" s="114" t="n">
        <f aca="false">C55+D55</f>
        <v>-10567453.764</v>
      </c>
      <c r="E56" s="114" t="n">
        <f aca="false">D56+E55</f>
        <v>-9149159.1536</v>
      </c>
      <c r="F56" s="114" t="n">
        <f aca="false">E56+F55</f>
        <v>-7737866.1688</v>
      </c>
      <c r="G56" s="114" t="n">
        <f aca="false">F56+G55</f>
        <v>-6333574.8096</v>
      </c>
      <c r="H56" s="114" t="n">
        <f aca="false">G56+H55</f>
        <v>-4936285.076</v>
      </c>
      <c r="I56" s="114" t="n">
        <f aca="false">H56+I55</f>
        <v>-3545996.968</v>
      </c>
      <c r="J56" s="114" t="n">
        <f aca="false">I56+J55</f>
        <v>-2162710.4856</v>
      </c>
      <c r="K56" s="114" t="n">
        <f aca="false">J56+K55</f>
        <v>-786425.6288</v>
      </c>
      <c r="L56" s="114" t="n">
        <f aca="false">K56+L55</f>
        <v>582857.6024</v>
      </c>
      <c r="M56" s="114" t="n">
        <f aca="false">L56+M55</f>
        <v>1945139.208</v>
      </c>
      <c r="N56" s="114" t="n">
        <f aca="false">M56+N55</f>
        <v>3335307.188</v>
      </c>
      <c r="O56" s="114" t="n">
        <f aca="false">N56+O55</f>
        <v>4718473.5424</v>
      </c>
      <c r="P56" s="114" t="n">
        <f aca="false">O56+P55</f>
        <v>6094638.2712</v>
      </c>
      <c r="Q56" s="114" t="n">
        <f aca="false">P56+Q55</f>
        <v>7463801.3744</v>
      </c>
      <c r="R56" s="114" t="n">
        <f aca="false">Q56+R55</f>
        <v>8825962.852</v>
      </c>
      <c r="S56" s="114" t="n">
        <f aca="false">R56+S55</f>
        <v>10181122.704</v>
      </c>
      <c r="T56" s="114" t="n">
        <f aca="false">S56+T55</f>
        <v>11529280.9304</v>
      </c>
      <c r="U56" s="114" t="n">
        <f aca="false">T56+U55</f>
        <v>12870437.5312</v>
      </c>
      <c r="V56" s="114" t="n">
        <f aca="false">U56+V55</f>
        <v>14204592.5064</v>
      </c>
      <c r="W56" s="114" t="n">
        <f aca="false">V56+W55</f>
        <v>15531745.856</v>
      </c>
      <c r="X56" s="114" t="n">
        <f aca="false">W56+X55</f>
        <v>15531745.856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117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回收</v>
      </c>
      <c r="M57" s="118" t="str">
        <f aca="false">IF((M56)&gt;0,"回收","未回收")</f>
        <v>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0.097970855550269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98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118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99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100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101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102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103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119</v>
      </c>
      <c r="C67" s="94"/>
      <c r="D67" s="127" t="n">
        <f aca="false">$C$44/$E$16</f>
        <v>-599637.5</v>
      </c>
      <c r="E67" s="127" t="n">
        <f aca="false">$C$44/$E$16</f>
        <v>-599637.5</v>
      </c>
      <c r="F67" s="127" t="n">
        <f aca="false">$C$44/$E$16</f>
        <v>-599637.5</v>
      </c>
      <c r="G67" s="127" t="n">
        <f aca="false">$C$44/$E$16</f>
        <v>-599637.5</v>
      </c>
      <c r="H67" s="127" t="n">
        <f aca="false">$C$44/$E$16</f>
        <v>-599637.5</v>
      </c>
      <c r="I67" s="127" t="n">
        <f aca="false">$C$44/$E$16</f>
        <v>-599637.5</v>
      </c>
      <c r="J67" s="127" t="n">
        <f aca="false">$C$44/$E$16</f>
        <v>-599637.5</v>
      </c>
      <c r="K67" s="127" t="n">
        <f aca="false">$C$44/$E$16</f>
        <v>-599637.5</v>
      </c>
      <c r="L67" s="127" t="n">
        <f aca="false">$C$44/$E$16</f>
        <v>-599637.5</v>
      </c>
      <c r="M67" s="127" t="n">
        <f aca="false">$C$44/$E$16</f>
        <v>-599637.5</v>
      </c>
      <c r="N67" s="127" t="n">
        <f aca="false">$C$44/$E$16</f>
        <v>-599637.5</v>
      </c>
      <c r="O67" s="127" t="n">
        <f aca="false">$C$44/$E$16</f>
        <v>-599637.5</v>
      </c>
      <c r="P67" s="127" t="n">
        <f aca="false">$C$44/$E$16</f>
        <v>-599637.5</v>
      </c>
      <c r="Q67" s="127" t="n">
        <f aca="false">$C$44/$E$16</f>
        <v>-599637.5</v>
      </c>
      <c r="R67" s="127" t="n">
        <f aca="false">$C$44/$E$16</f>
        <v>-599637.5</v>
      </c>
      <c r="S67" s="127" t="n">
        <f aca="false">$C$44/$E$16</f>
        <v>-599637.5</v>
      </c>
      <c r="T67" s="127" t="n">
        <f aca="false">$C$44/$E$16</f>
        <v>-599637.5</v>
      </c>
      <c r="U67" s="127" t="n">
        <f aca="false">$C$44/$E$16</f>
        <v>-599637.5</v>
      </c>
      <c r="V67" s="127" t="n">
        <f aca="false">$C$44/$E$16</f>
        <v>-599637.5</v>
      </c>
      <c r="W67" s="127" t="n">
        <f aca="false">$C$44/$E$16</f>
        <v>-599637.5</v>
      </c>
      <c r="X67" s="97"/>
    </row>
    <row r="68" customFormat="false" ht="18.75" hidden="false" customHeight="true" outlineLevel="0" collapsed="false">
      <c r="B68" s="102" t="s">
        <v>105</v>
      </c>
      <c r="C68" s="94" t="s">
        <v>4</v>
      </c>
      <c r="D68" s="104" t="n">
        <f aca="false">D45</f>
        <v>-290201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106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107</v>
      </c>
      <c r="C70" s="94" t="s">
        <v>4</v>
      </c>
      <c r="D70" s="104" t="n">
        <f aca="false">-D109*$D25</f>
        <v>-245611.52</v>
      </c>
      <c r="E70" s="104" t="n">
        <f aca="false">-E109*$D25</f>
        <v>-229237.418666667</v>
      </c>
      <c r="F70" s="104" t="n">
        <f aca="false">-F109*$D25</f>
        <v>-212863.317333333</v>
      </c>
      <c r="G70" s="104" t="n">
        <f aca="false">-G109*$D25</f>
        <v>-196489.216</v>
      </c>
      <c r="H70" s="104" t="n">
        <f aca="false">-H109*$D25</f>
        <v>-180115.114666667</v>
      </c>
      <c r="I70" s="104" t="n">
        <f aca="false">-I109*$D25</f>
        <v>-163741.013333333</v>
      </c>
      <c r="J70" s="104" t="n">
        <f aca="false">-J109*$D25</f>
        <v>-147366.912</v>
      </c>
      <c r="K70" s="104" t="n">
        <f aca="false">-K109*$D25</f>
        <v>-130992.810666667</v>
      </c>
      <c r="L70" s="104" t="n">
        <f aca="false">-L109*$D25</f>
        <v>-114618.709333333</v>
      </c>
      <c r="M70" s="104" t="n">
        <f aca="false">-M109*$D25</f>
        <v>-98244.6080000001</v>
      </c>
      <c r="N70" s="104" t="n">
        <f aca="false">-N109*$D25</f>
        <v>-81870.5066666668</v>
      </c>
      <c r="O70" s="104" t="n">
        <f aca="false">-O109*$D25</f>
        <v>-65496.4053333334</v>
      </c>
      <c r="P70" s="104" t="n">
        <f aca="false">-P109*$D25</f>
        <v>-49122.3040000001</v>
      </c>
      <c r="Q70" s="104" t="n">
        <f aca="false">-Q109*$D25</f>
        <v>-32748.2026666668</v>
      </c>
      <c r="R70" s="104" t="n">
        <f aca="false">-R109*$D25</f>
        <v>-16374.1013333335</v>
      </c>
      <c r="S70" s="104" t="n">
        <f aca="false">-S109*$D25</f>
        <v>-1.43051147460938E-010</v>
      </c>
      <c r="T70" s="104" t="n">
        <f aca="false">-T109*$D25</f>
        <v>-1.43051147460938E-010</v>
      </c>
      <c r="U70" s="104" t="n">
        <f aca="false">-U109*$D25</f>
        <v>-1.43051147460938E-010</v>
      </c>
      <c r="V70" s="104" t="n">
        <f aca="false">-V109*$D25</f>
        <v>-1.43051147460938E-010</v>
      </c>
      <c r="W70" s="104" t="n">
        <f aca="false">-W109*$D25</f>
        <v>-1.43051147460938E-010</v>
      </c>
      <c r="X70" s="97"/>
    </row>
    <row r="71" customFormat="false" ht="18.75" hidden="false" customHeight="true" outlineLevel="0" collapsed="false">
      <c r="B71" s="102" t="s">
        <v>108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109</v>
      </c>
      <c r="C72" s="94" t="s">
        <v>4</v>
      </c>
      <c r="D72" s="104" t="n">
        <f aca="false">D49</f>
        <v>-26166</v>
      </c>
      <c r="E72" s="104" t="n">
        <f aca="false">E49</f>
        <v>-26166</v>
      </c>
      <c r="F72" s="104" t="n">
        <f aca="false">F49</f>
        <v>-26166</v>
      </c>
      <c r="G72" s="104" t="n">
        <f aca="false">G49</f>
        <v>-26166</v>
      </c>
      <c r="H72" s="104" t="n">
        <f aca="false">H49</f>
        <v>-26166</v>
      </c>
      <c r="I72" s="104" t="n">
        <f aca="false">I49</f>
        <v>-26166</v>
      </c>
      <c r="J72" s="104" t="n">
        <f aca="false">J49</f>
        <v>-26166</v>
      </c>
      <c r="K72" s="104" t="n">
        <f aca="false">K49</f>
        <v>-26166</v>
      </c>
      <c r="L72" s="104" t="n">
        <f aca="false">L49</f>
        <v>-26166</v>
      </c>
      <c r="M72" s="104" t="n">
        <f aca="false">M49</f>
        <v>-26166</v>
      </c>
      <c r="N72" s="104" t="n">
        <f aca="false">N49</f>
        <v>-26166</v>
      </c>
      <c r="O72" s="104" t="n">
        <f aca="false">O49</f>
        <v>-26166</v>
      </c>
      <c r="P72" s="104" t="n">
        <f aca="false">P49</f>
        <v>-26166</v>
      </c>
      <c r="Q72" s="104" t="n">
        <f aca="false">Q49</f>
        <v>-26166</v>
      </c>
      <c r="R72" s="104" t="n">
        <f aca="false">R49</f>
        <v>-26166</v>
      </c>
      <c r="S72" s="104" t="n">
        <f aca="false">S49</f>
        <v>-26166</v>
      </c>
      <c r="T72" s="104" t="n">
        <f aca="false">T49</f>
        <v>-26166</v>
      </c>
      <c r="U72" s="104" t="n">
        <f aca="false">U49</f>
        <v>-26166</v>
      </c>
      <c r="V72" s="104" t="n">
        <f aca="false">V49</f>
        <v>-26166</v>
      </c>
      <c r="W72" s="104" t="n">
        <f aca="false">W49</f>
        <v>-26166</v>
      </c>
      <c r="X72" s="97"/>
    </row>
    <row r="73" customFormat="false" ht="18.75" hidden="false" customHeight="true" outlineLevel="0" collapsed="false">
      <c r="B73" s="102" t="s">
        <v>110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111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112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120</v>
      </c>
      <c r="C76" s="130"/>
      <c r="D76" s="109" t="n">
        <f aca="false">SUM(D64:D75)</f>
        <v>786461.9</v>
      </c>
      <c r="E76" s="109" t="n">
        <f aca="false">SUM(E64:E75)</f>
        <v>794083.969333333</v>
      </c>
      <c r="F76" s="109" t="n">
        <f aca="false">SUM(F64:F75)</f>
        <v>801706.038666667</v>
      </c>
      <c r="G76" s="109" t="n">
        <f aca="false">SUM(G64:G75)</f>
        <v>809328.108</v>
      </c>
      <c r="H76" s="109" t="n">
        <f aca="false">SUM(H64:H75)</f>
        <v>816950.177333333</v>
      </c>
      <c r="I76" s="109" t="n">
        <f aca="false">SUM(I64:I75)</f>
        <v>824572.246666666</v>
      </c>
      <c r="J76" s="109" t="n">
        <f aca="false">SUM(J64:J75)</f>
        <v>832194.316</v>
      </c>
      <c r="K76" s="109" t="n">
        <f aca="false">SUM(K64:K75)</f>
        <v>839816.385333333</v>
      </c>
      <c r="L76" s="109" t="n">
        <f aca="false">SUM(L64:L75)</f>
        <v>847438.454666667</v>
      </c>
      <c r="M76" s="109" t="n">
        <f aca="false">SUM(M64:M75)</f>
        <v>855060.524</v>
      </c>
      <c r="N76" s="109" t="n">
        <f aca="false">SUM(N64:N75)</f>
        <v>906292.593333333</v>
      </c>
      <c r="O76" s="109" t="n">
        <f aca="false">SUM(O64:O75)</f>
        <v>913914.662666667</v>
      </c>
      <c r="P76" s="109" t="n">
        <f aca="false">SUM(P64:P75)</f>
        <v>921536.732</v>
      </c>
      <c r="Q76" s="109" t="n">
        <f aca="false">SUM(Q64:Q75)</f>
        <v>929158.801333333</v>
      </c>
      <c r="R76" s="109" t="n">
        <f aca="false">SUM(R64:R75)</f>
        <v>936780.870666666</v>
      </c>
      <c r="S76" s="109" t="n">
        <f aca="false">SUM(S64:S75)</f>
        <v>944402.94</v>
      </c>
      <c r="T76" s="109" t="n">
        <f aca="false">SUM(T64:T75)</f>
        <v>935650.908</v>
      </c>
      <c r="U76" s="109" t="n">
        <f aca="false">SUM(U64:U75)</f>
        <v>926898.876</v>
      </c>
      <c r="V76" s="109" t="n">
        <f aca="false">SUM(V64:V75)</f>
        <v>918146.844</v>
      </c>
      <c r="W76" s="109" t="n">
        <f aca="false">SUM(W64:W75)</f>
        <v>909394.812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114</v>
      </c>
      <c r="C77" s="105"/>
      <c r="D77" s="104" t="n">
        <f aca="false">-D76*0.2</f>
        <v>-157292.38</v>
      </c>
      <c r="E77" s="104" t="n">
        <f aca="false">-E76*0.2</f>
        <v>-158816.793866667</v>
      </c>
      <c r="F77" s="104" t="n">
        <f aca="false">-F76*0.2</f>
        <v>-160341.207733333</v>
      </c>
      <c r="G77" s="104" t="n">
        <f aca="false">-G76*0.2</f>
        <v>-161865.6216</v>
      </c>
      <c r="H77" s="104" t="n">
        <f aca="false">-H76*0.2</f>
        <v>-163390.035466667</v>
      </c>
      <c r="I77" s="104" t="n">
        <f aca="false">-I76*0.2</f>
        <v>-164914.449333333</v>
      </c>
      <c r="J77" s="104" t="n">
        <f aca="false">-J76*0.2</f>
        <v>-166438.8632</v>
      </c>
      <c r="K77" s="104" t="n">
        <f aca="false">-K76*0.2</f>
        <v>-167963.277066667</v>
      </c>
      <c r="L77" s="104" t="n">
        <f aca="false">-L76*0.2</f>
        <v>-169487.690933333</v>
      </c>
      <c r="M77" s="104" t="n">
        <f aca="false">-M76*0.2</f>
        <v>-171012.1048</v>
      </c>
      <c r="N77" s="104" t="n">
        <f aca="false">-N76*0.2</f>
        <v>-181258.518666667</v>
      </c>
      <c r="O77" s="104" t="n">
        <f aca="false">-O76*0.2</f>
        <v>-182782.932533333</v>
      </c>
      <c r="P77" s="104" t="n">
        <f aca="false">-P76*0.2</f>
        <v>-184307.3464</v>
      </c>
      <c r="Q77" s="104" t="n">
        <f aca="false">-Q76*0.2</f>
        <v>-185831.760266667</v>
      </c>
      <c r="R77" s="104" t="n">
        <f aca="false">-R76*0.2</f>
        <v>-187356.174133333</v>
      </c>
      <c r="S77" s="104" t="n">
        <f aca="false">-S76*0.2</f>
        <v>-188880.588</v>
      </c>
      <c r="T77" s="104" t="n">
        <f aca="false">-T76*0.2</f>
        <v>-187130.1816</v>
      </c>
      <c r="U77" s="104" t="n">
        <f aca="false">-U76*0.2</f>
        <v>-185379.7752</v>
      </c>
      <c r="V77" s="104" t="n">
        <f aca="false">-V76*0.2</f>
        <v>-183629.3688</v>
      </c>
      <c r="W77" s="104" t="n">
        <f aca="false">-W76*0.2</f>
        <v>-181878.9624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121</v>
      </c>
      <c r="D78" s="104" t="n">
        <f aca="false">SUM(D76:D77)</f>
        <v>629169.52</v>
      </c>
      <c r="E78" s="104" t="n">
        <f aca="false">SUM(E76:E77)</f>
        <v>635267.175466667</v>
      </c>
      <c r="F78" s="104" t="n">
        <f aca="false">SUM(F76:F77)</f>
        <v>641364.830933333</v>
      </c>
      <c r="G78" s="104" t="n">
        <f aca="false">SUM(G76:G77)</f>
        <v>647462.4864</v>
      </c>
      <c r="H78" s="104" t="n">
        <f aca="false">SUM(H76:H77)</f>
        <v>653560.141866667</v>
      </c>
      <c r="I78" s="104" t="n">
        <f aca="false">SUM(I76:I77)</f>
        <v>659657.797333333</v>
      </c>
      <c r="J78" s="104" t="n">
        <f aca="false">SUM(J76:J77)</f>
        <v>665755.4528</v>
      </c>
      <c r="K78" s="104" t="n">
        <f aca="false">SUM(K76:K77)</f>
        <v>671853.108266667</v>
      </c>
      <c r="L78" s="104" t="n">
        <f aca="false">SUM(L76:L77)</f>
        <v>677950.763733333</v>
      </c>
      <c r="M78" s="104" t="n">
        <f aca="false">SUM(M76:M77)</f>
        <v>684048.4192</v>
      </c>
      <c r="N78" s="104" t="n">
        <f aca="false">SUM(N76:N77)</f>
        <v>725034.074666666</v>
      </c>
      <c r="O78" s="104" t="n">
        <f aca="false">SUM(O76:O77)</f>
        <v>731131.730133333</v>
      </c>
      <c r="P78" s="104" t="n">
        <f aca="false">SUM(P76:P77)</f>
        <v>737229.3856</v>
      </c>
      <c r="Q78" s="104" t="n">
        <f aca="false">SUM(Q76:Q77)</f>
        <v>743327.041066667</v>
      </c>
      <c r="R78" s="104" t="n">
        <f aca="false">SUM(R76:R77)</f>
        <v>749424.696533333</v>
      </c>
      <c r="S78" s="104" t="n">
        <f aca="false">SUM(S76:S77)</f>
        <v>755522.352</v>
      </c>
      <c r="T78" s="104" t="n">
        <f aca="false">SUM(T76:T77)</f>
        <v>748520.7264</v>
      </c>
      <c r="U78" s="104" t="n">
        <f aca="false">SUM(U76:U77)</f>
        <v>741519.1008</v>
      </c>
      <c r="V78" s="104" t="n">
        <f aca="false">SUM(V76:V77)</f>
        <v>734517.4752</v>
      </c>
      <c r="W78" s="104" t="n">
        <f aca="false">SUM(W76:W77)</f>
        <v>727515.8496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116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117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98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99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121</v>
      </c>
      <c r="C85" s="142"/>
      <c r="D85" s="143" t="n">
        <f aca="false">D78</f>
        <v>629169.52</v>
      </c>
      <c r="E85" s="143" t="n">
        <f aca="false">E78</f>
        <v>635267.175466667</v>
      </c>
      <c r="F85" s="143" t="n">
        <f aca="false">F78</f>
        <v>641364.830933333</v>
      </c>
      <c r="G85" s="143" t="n">
        <f aca="false">G78</f>
        <v>647462.4864</v>
      </c>
      <c r="H85" s="143" t="n">
        <f aca="false">H78</f>
        <v>653560.141866667</v>
      </c>
      <c r="I85" s="143" t="n">
        <f aca="false">I78</f>
        <v>659657.797333333</v>
      </c>
      <c r="J85" s="143" t="n">
        <f aca="false">J78</f>
        <v>665755.4528</v>
      </c>
      <c r="K85" s="143" t="n">
        <f aca="false">K78</f>
        <v>671853.108266667</v>
      </c>
      <c r="L85" s="143" t="n">
        <f aca="false">L78</f>
        <v>677950.763733333</v>
      </c>
      <c r="M85" s="143" t="n">
        <f aca="false">M78</f>
        <v>684048.4192</v>
      </c>
      <c r="N85" s="143" t="n">
        <f aca="false">N78</f>
        <v>725034.074666666</v>
      </c>
      <c r="O85" s="143" t="n">
        <f aca="false">O78</f>
        <v>731131.730133333</v>
      </c>
      <c r="P85" s="143" t="n">
        <f aca="false">P78</f>
        <v>737229.3856</v>
      </c>
      <c r="Q85" s="143" t="n">
        <f aca="false">Q78</f>
        <v>743327.041066667</v>
      </c>
      <c r="R85" s="143" t="n">
        <f aca="false">R78</f>
        <v>749424.696533333</v>
      </c>
      <c r="S85" s="143" t="n">
        <f aca="false">S78</f>
        <v>755522.352</v>
      </c>
      <c r="T85" s="143" t="n">
        <f aca="false">T78</f>
        <v>748520.7264</v>
      </c>
      <c r="U85" s="143" t="n">
        <f aca="false">U78</f>
        <v>741519.1008</v>
      </c>
      <c r="V85" s="143" t="n">
        <f aca="false">V78</f>
        <v>734517.4752</v>
      </c>
      <c r="W85" s="143" t="n">
        <f aca="false">W78</f>
        <v>727515.8496</v>
      </c>
      <c r="X85" s="142"/>
      <c r="Y85" s="142"/>
    </row>
    <row r="86" customFormat="false" ht="15.75" hidden="false" customHeight="true" outlineLevel="0" collapsed="false">
      <c r="B86" s="142" t="s">
        <v>122</v>
      </c>
      <c r="C86" s="142"/>
      <c r="D86" s="144" t="n">
        <f aca="false">-D67</f>
        <v>599637.5</v>
      </c>
      <c r="E86" s="144" t="n">
        <f aca="false">-E67</f>
        <v>599637.5</v>
      </c>
      <c r="F86" s="144" t="n">
        <f aca="false">-F67</f>
        <v>599637.5</v>
      </c>
      <c r="G86" s="144" t="n">
        <f aca="false">-G67</f>
        <v>599637.5</v>
      </c>
      <c r="H86" s="144" t="n">
        <f aca="false">-H67</f>
        <v>599637.5</v>
      </c>
      <c r="I86" s="144" t="n">
        <f aca="false">-I67</f>
        <v>599637.5</v>
      </c>
      <c r="J86" s="144" t="n">
        <f aca="false">-J67</f>
        <v>599637.5</v>
      </c>
      <c r="K86" s="144" t="n">
        <f aca="false">-K67</f>
        <v>599637.5</v>
      </c>
      <c r="L86" s="144" t="n">
        <f aca="false">-L67</f>
        <v>599637.5</v>
      </c>
      <c r="M86" s="144" t="n">
        <f aca="false">-M67</f>
        <v>599637.5</v>
      </c>
      <c r="N86" s="144" t="n">
        <f aca="false">-N67</f>
        <v>599637.5</v>
      </c>
      <c r="O86" s="144" t="n">
        <f aca="false">-O67</f>
        <v>599637.5</v>
      </c>
      <c r="P86" s="144" t="n">
        <f aca="false">-P67</f>
        <v>599637.5</v>
      </c>
      <c r="Q86" s="144" t="n">
        <f aca="false">-Q67</f>
        <v>599637.5</v>
      </c>
      <c r="R86" s="144" t="n">
        <f aca="false">-R67</f>
        <v>599637.5</v>
      </c>
      <c r="S86" s="144" t="n">
        <f aca="false">-S67</f>
        <v>599637.5</v>
      </c>
      <c r="T86" s="144" t="n">
        <f aca="false">-T67</f>
        <v>599637.5</v>
      </c>
      <c r="U86" s="144" t="n">
        <f aca="false">-U67</f>
        <v>599637.5</v>
      </c>
      <c r="V86" s="144" t="n">
        <f aca="false">-V67</f>
        <v>599637.5</v>
      </c>
      <c r="W86" s="144" t="n">
        <f aca="false">-W67</f>
        <v>599637.5</v>
      </c>
      <c r="X86" s="145"/>
      <c r="Y86" s="145"/>
    </row>
    <row r="87" customFormat="false" ht="15.75" hidden="false" customHeight="true" outlineLevel="0" collapsed="false">
      <c r="B87" s="142" t="s">
        <v>123</v>
      </c>
      <c r="C87" s="142"/>
      <c r="D87" s="146" t="n">
        <f aca="false">SUM(D85:D86)</f>
        <v>1228807.02</v>
      </c>
      <c r="E87" s="146" t="n">
        <f aca="false">SUM(E85:E86)</f>
        <v>1234904.67546667</v>
      </c>
      <c r="F87" s="146" t="n">
        <f aca="false">SUM(F85:F86)</f>
        <v>1241002.33093333</v>
      </c>
      <c r="G87" s="146" t="n">
        <f aca="false">SUM(G85:G86)</f>
        <v>1247099.9864</v>
      </c>
      <c r="H87" s="146" t="n">
        <f aca="false">SUM(H85:H86)</f>
        <v>1253197.64186667</v>
      </c>
      <c r="I87" s="146" t="n">
        <f aca="false">SUM(I85:I86)</f>
        <v>1259295.29733333</v>
      </c>
      <c r="J87" s="146" t="n">
        <f aca="false">SUM(J85:J86)</f>
        <v>1265392.9528</v>
      </c>
      <c r="K87" s="146" t="n">
        <f aca="false">SUM(K85:K86)</f>
        <v>1271490.60826667</v>
      </c>
      <c r="L87" s="146" t="n">
        <f aca="false">SUM(L85:L86)</f>
        <v>1277588.26373333</v>
      </c>
      <c r="M87" s="146" t="n">
        <f aca="false">SUM(M85:M86)</f>
        <v>1283685.9192</v>
      </c>
      <c r="N87" s="146" t="n">
        <f aca="false">SUM(N85:N86)</f>
        <v>1324671.57466667</v>
      </c>
      <c r="O87" s="146" t="n">
        <f aca="false">SUM(O85:O86)</f>
        <v>1330769.23013333</v>
      </c>
      <c r="P87" s="146" t="n">
        <f aca="false">SUM(P85:P86)</f>
        <v>1336866.8856</v>
      </c>
      <c r="Q87" s="146" t="n">
        <f aca="false">SUM(Q85:Q86)</f>
        <v>1342964.54106667</v>
      </c>
      <c r="R87" s="146" t="n">
        <f aca="false">SUM(R85:R86)</f>
        <v>1349062.19653333</v>
      </c>
      <c r="S87" s="146" t="n">
        <f aca="false">SUM(S85:S86)</f>
        <v>1355159.852</v>
      </c>
      <c r="T87" s="146" t="n">
        <f aca="false">SUM(T85:T86)</f>
        <v>1348158.2264</v>
      </c>
      <c r="U87" s="146" t="n">
        <f aca="false">SUM(U85:U86)</f>
        <v>1341156.6008</v>
      </c>
      <c r="V87" s="146" t="n">
        <f aca="false">SUM(V85:V86)</f>
        <v>1334154.9752</v>
      </c>
      <c r="W87" s="146" t="n">
        <f aca="false">SUM(W85:W86)</f>
        <v>1327153.3496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124</v>
      </c>
      <c r="C89" s="149"/>
      <c r="D89" s="150" t="n">
        <f aca="false">C44</f>
        <v>-11992750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125</v>
      </c>
      <c r="C92" s="149"/>
      <c r="D92" s="150" t="n">
        <f aca="false">-D89*D31</f>
        <v>9594200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126</v>
      </c>
      <c r="C93" s="142"/>
      <c r="D93" s="152"/>
      <c r="E93" s="152" t="n">
        <v>-639613.333333333</v>
      </c>
      <c r="F93" s="152" t="n">
        <v>-639613.333333333</v>
      </c>
      <c r="G93" s="152" t="n">
        <v>-639613.333333333</v>
      </c>
      <c r="H93" s="152" t="n">
        <v>-639613.333333333</v>
      </c>
      <c r="I93" s="152" t="n">
        <v>-639613.333333333</v>
      </c>
      <c r="J93" s="152" t="n">
        <v>-639613.333333333</v>
      </c>
      <c r="K93" s="152" t="n">
        <v>-639613.333333333</v>
      </c>
      <c r="L93" s="152" t="n">
        <v>-639613.333333333</v>
      </c>
      <c r="M93" s="152" t="n">
        <v>-639613.333333333</v>
      </c>
      <c r="N93" s="152" t="n">
        <v>-639613.333333333</v>
      </c>
      <c r="O93" s="152" t="n">
        <v>-639613.333333333</v>
      </c>
      <c r="P93" s="152" t="n">
        <v>-639613.333333333</v>
      </c>
      <c r="Q93" s="152" t="n">
        <v>-639613.333333333</v>
      </c>
      <c r="R93" s="152" t="n">
        <v>-639613.333333333</v>
      </c>
      <c r="S93" s="152" t="n">
        <v>-639613.333333333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127</v>
      </c>
      <c r="C94" s="147"/>
      <c r="D94" s="143" t="n">
        <f aca="false">-D89*(1-D31)</f>
        <v>2398550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-566252.568</v>
      </c>
      <c r="F95" s="153" t="n">
        <f aca="false">-E85*$D$33</f>
        <v>-571740.45792</v>
      </c>
      <c r="G95" s="153" t="n">
        <f aca="false">-F85*$D$33</f>
        <v>-577228.34784</v>
      </c>
      <c r="H95" s="153" t="n">
        <f aca="false">-G85*$D$33</f>
        <v>-582716.23776</v>
      </c>
      <c r="I95" s="153" t="n">
        <f aca="false">-H85*$D$33</f>
        <v>-588204.12768</v>
      </c>
      <c r="J95" s="153" t="n">
        <f aca="false">-I85*$D$33</f>
        <v>-593692.0176</v>
      </c>
      <c r="K95" s="153" t="n">
        <f aca="false">-J85*$D$33</f>
        <v>-599179.90752</v>
      </c>
      <c r="L95" s="153" t="n">
        <f aca="false">-K85*$D$33</f>
        <v>-604667.79744</v>
      </c>
      <c r="M95" s="153" t="n">
        <f aca="false">-L85*$D$33</f>
        <v>-610155.68736</v>
      </c>
      <c r="N95" s="153" t="n">
        <f aca="false">-M85*$D$33</f>
        <v>-615643.57728</v>
      </c>
      <c r="O95" s="153" t="n">
        <f aca="false">-N85*$D$33</f>
        <v>-652530.6672</v>
      </c>
      <c r="P95" s="153" t="n">
        <f aca="false">-O85*$D$33</f>
        <v>-658018.55712</v>
      </c>
      <c r="Q95" s="153" t="n">
        <f aca="false">-P85*$D$33</f>
        <v>-663506.44704</v>
      </c>
      <c r="R95" s="153" t="n">
        <f aca="false">-Q85*$D$33</f>
        <v>-668994.33696</v>
      </c>
      <c r="S95" s="153" t="n">
        <f aca="false">-R85*$D$33</f>
        <v>-674482.22688</v>
      </c>
      <c r="T95" s="153" t="n">
        <f aca="false">-S85*$D$33</f>
        <v>-679970.1168</v>
      </c>
      <c r="U95" s="153" t="n">
        <f aca="false">-T85*$D$33</f>
        <v>-673668.65376</v>
      </c>
      <c r="V95" s="153" t="n">
        <f aca="false">-U85*$D$33</f>
        <v>-667367.19072</v>
      </c>
      <c r="W95" s="153" t="n">
        <f aca="false">-V85*$D$33</f>
        <v>-661065.72768</v>
      </c>
      <c r="X95" s="153" t="n">
        <f aca="false">-W85*$D$33</f>
        <v>-654764.26464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-599637.5</v>
      </c>
      <c r="U96" s="156" t="n">
        <v>-599637.5</v>
      </c>
      <c r="V96" s="156" t="n">
        <v>-599637.5</v>
      </c>
      <c r="W96" s="156" t="n">
        <v>-599637.5</v>
      </c>
      <c r="X96" s="157" t="n">
        <f aca="false">-W101-X95</f>
        <v>-1395983.2128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128</v>
      </c>
      <c r="C99" s="143" t="n">
        <v>0</v>
      </c>
      <c r="D99" s="143" t="n">
        <f aca="false">SUM(D87:D96)</f>
        <v>1228807.02</v>
      </c>
      <c r="E99" s="143" t="n">
        <f aca="false">SUM(E87:E96)</f>
        <v>29038.7741333335</v>
      </c>
      <c r="F99" s="143" t="n">
        <f aca="false">SUM(F87:F96)</f>
        <v>29648.5396800005</v>
      </c>
      <c r="G99" s="143" t="n">
        <f aca="false">SUM(G87:G96)</f>
        <v>30258.305226667</v>
      </c>
      <c r="H99" s="143" t="n">
        <f aca="false">SUM(H87:H96)</f>
        <v>30868.0707733334</v>
      </c>
      <c r="I99" s="143" t="n">
        <f aca="false">SUM(I87:I96)</f>
        <v>31477.8363200002</v>
      </c>
      <c r="J99" s="143" t="n">
        <f aca="false">SUM(J87:J96)</f>
        <v>32087.6018666673</v>
      </c>
      <c r="K99" s="143" t="n">
        <f aca="false">SUM(K87:K96)</f>
        <v>32697.3674133334</v>
      </c>
      <c r="L99" s="143" t="n">
        <f aca="false">SUM(L87:L96)</f>
        <v>33307.1329600002</v>
      </c>
      <c r="M99" s="143" t="n">
        <f aca="false">SUM(M87:M96)</f>
        <v>33916.898506667</v>
      </c>
      <c r="N99" s="143" t="n">
        <f aca="false">SUM(N87:N96)</f>
        <v>69414.6640533333</v>
      </c>
      <c r="O99" s="143" t="n">
        <f aca="false">SUM(O87:O96)</f>
        <v>38625.2296000004</v>
      </c>
      <c r="P99" s="143" t="n">
        <f aca="false">SUM(P87:P96)</f>
        <v>39234.9951466668</v>
      </c>
      <c r="Q99" s="143" t="n">
        <f aca="false">SUM(Q87:Q96)</f>
        <v>39844.7606933337</v>
      </c>
      <c r="R99" s="143" t="n">
        <f aca="false">SUM(R87:R96)</f>
        <v>40454.5262400002</v>
      </c>
      <c r="S99" s="143" t="n">
        <f aca="false">SUM(S87:S96)</f>
        <v>41064.2917866671</v>
      </c>
      <c r="T99" s="143" t="n">
        <f aca="false">SUM(T87:T96)</f>
        <v>68550.6096</v>
      </c>
      <c r="U99" s="143" t="n">
        <f aca="false">SUM(U87:U96)</f>
        <v>67850.44704</v>
      </c>
      <c r="V99" s="143" t="n">
        <f aca="false">SUM(V87:V96)</f>
        <v>67150.2844799998</v>
      </c>
      <c r="W99" s="143" t="n">
        <f aca="false">SUM(W87:W96)</f>
        <v>66450.1219200001</v>
      </c>
      <c r="X99" s="112"/>
    </row>
    <row r="100" customFormat="false" ht="15.75" hidden="false" customHeight="true" outlineLevel="0" collapsed="false">
      <c r="B100" s="142" t="s">
        <v>129</v>
      </c>
      <c r="C100" s="143" t="n">
        <v>0</v>
      </c>
      <c r="D100" s="143" t="n">
        <f aca="false">C101</f>
        <v>0</v>
      </c>
      <c r="E100" s="143" t="n">
        <f aca="false">D101</f>
        <v>1228807.02</v>
      </c>
      <c r="F100" s="143" t="n">
        <f aca="false">E101</f>
        <v>1257845.79413333</v>
      </c>
      <c r="G100" s="143" t="n">
        <f aca="false">F101</f>
        <v>1287494.33381333</v>
      </c>
      <c r="H100" s="143" t="n">
        <f aca="false">G101</f>
        <v>1317752.63904</v>
      </c>
      <c r="I100" s="143" t="n">
        <f aca="false">H101</f>
        <v>1348620.70981333</v>
      </c>
      <c r="J100" s="143" t="n">
        <f aca="false">I101</f>
        <v>1380098.54613333</v>
      </c>
      <c r="K100" s="143" t="n">
        <f aca="false">J101</f>
        <v>1412186.148</v>
      </c>
      <c r="L100" s="143" t="n">
        <f aca="false">K101</f>
        <v>1444883.51541333</v>
      </c>
      <c r="M100" s="143" t="n">
        <f aca="false">L101</f>
        <v>1478190.64837333</v>
      </c>
      <c r="N100" s="143" t="n">
        <f aca="false">M101</f>
        <v>1512107.54688</v>
      </c>
      <c r="O100" s="143" t="n">
        <f aca="false">N101</f>
        <v>1581522.21093334</v>
      </c>
      <c r="P100" s="143" t="n">
        <f aca="false">O101</f>
        <v>1620147.44053334</v>
      </c>
      <c r="Q100" s="143" t="n">
        <f aca="false">P101</f>
        <v>1659382.43568</v>
      </c>
      <c r="R100" s="143" t="n">
        <f aca="false">Q101</f>
        <v>1699227.19637334</v>
      </c>
      <c r="S100" s="143" t="n">
        <f aca="false">R101</f>
        <v>1739681.72261334</v>
      </c>
      <c r="T100" s="143" t="n">
        <f aca="false">S101</f>
        <v>1780746.0144</v>
      </c>
      <c r="U100" s="143" t="n">
        <f aca="false">T101</f>
        <v>1849296.624</v>
      </c>
      <c r="V100" s="143" t="n">
        <f aca="false">U101</f>
        <v>1917147.07104</v>
      </c>
      <c r="W100" s="143" t="n">
        <f aca="false">V101</f>
        <v>1984297.35552</v>
      </c>
      <c r="X100" s="111"/>
    </row>
    <row r="101" customFormat="false" ht="15.75" hidden="false" customHeight="true" outlineLevel="0" collapsed="false">
      <c r="B101" s="142" t="s">
        <v>130</v>
      </c>
      <c r="C101" s="143" t="n">
        <v>0</v>
      </c>
      <c r="D101" s="143" t="n">
        <f aca="false">D99+D100</f>
        <v>1228807.02</v>
      </c>
      <c r="E101" s="143" t="n">
        <f aca="false">E99+E100</f>
        <v>1257845.79413333</v>
      </c>
      <c r="F101" s="143" t="n">
        <f aca="false">F99+F100</f>
        <v>1287494.33381333</v>
      </c>
      <c r="G101" s="143" t="n">
        <f aca="false">G99+G100</f>
        <v>1317752.63904</v>
      </c>
      <c r="H101" s="143" t="n">
        <f aca="false">H99+H100</f>
        <v>1348620.70981333</v>
      </c>
      <c r="I101" s="143" t="n">
        <f aca="false">I99+I100</f>
        <v>1380098.54613333</v>
      </c>
      <c r="J101" s="143" t="n">
        <f aca="false">J99+J100</f>
        <v>1412186.148</v>
      </c>
      <c r="K101" s="143" t="n">
        <f aca="false">K99+K100</f>
        <v>1444883.51541333</v>
      </c>
      <c r="L101" s="143" t="n">
        <f aca="false">L99+L100</f>
        <v>1478190.64837333</v>
      </c>
      <c r="M101" s="143" t="n">
        <f aca="false">M99+M100</f>
        <v>1512107.54688</v>
      </c>
      <c r="N101" s="143" t="n">
        <f aca="false">N99+N100</f>
        <v>1581522.21093334</v>
      </c>
      <c r="O101" s="143" t="n">
        <f aca="false">O99+O100</f>
        <v>1620147.44053334</v>
      </c>
      <c r="P101" s="143" t="n">
        <f aca="false">P99+P100</f>
        <v>1659382.43568</v>
      </c>
      <c r="Q101" s="143" t="n">
        <f aca="false">Q99+Q100</f>
        <v>1699227.19637334</v>
      </c>
      <c r="R101" s="143" t="n">
        <f aca="false">R99+R100</f>
        <v>1739681.72261334</v>
      </c>
      <c r="S101" s="143" t="n">
        <f aca="false">S99+S100</f>
        <v>1780746.0144</v>
      </c>
      <c r="T101" s="143" t="n">
        <f aca="false">T99+T100</f>
        <v>1849296.624</v>
      </c>
      <c r="U101" s="143" t="n">
        <f aca="false">U99+U100</f>
        <v>1917147.07104</v>
      </c>
      <c r="V101" s="143" t="n">
        <f aca="false">V99+V100</f>
        <v>1984297.35552</v>
      </c>
      <c r="W101" s="143" t="n">
        <f aca="false">W99+W100</f>
        <v>2050747.47744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131</v>
      </c>
      <c r="C104" s="159"/>
      <c r="D104" s="160" t="n">
        <f aca="false">-D94</f>
        <v>-2398550</v>
      </c>
      <c r="E104" s="146" t="n">
        <f aca="false">-E95-E96</f>
        <v>566252.568</v>
      </c>
      <c r="F104" s="146" t="n">
        <f aca="false">-F95-F96</f>
        <v>571740.45792</v>
      </c>
      <c r="G104" s="146" t="n">
        <f aca="false">-G95-G96</f>
        <v>577228.34784</v>
      </c>
      <c r="H104" s="146" t="n">
        <f aca="false">-H95-H96</f>
        <v>582716.23776</v>
      </c>
      <c r="I104" s="146" t="n">
        <f aca="false">-I95-I96</f>
        <v>588204.12768</v>
      </c>
      <c r="J104" s="146" t="n">
        <f aca="false">-J95-J96</f>
        <v>593692.0176</v>
      </c>
      <c r="K104" s="146" t="n">
        <f aca="false">-K95-K96</f>
        <v>599179.90752</v>
      </c>
      <c r="L104" s="146" t="n">
        <f aca="false">-L95-L96</f>
        <v>604667.79744</v>
      </c>
      <c r="M104" s="146" t="n">
        <f aca="false">-M95-M96</f>
        <v>610155.68736</v>
      </c>
      <c r="N104" s="146" t="n">
        <f aca="false">-N95-N96</f>
        <v>615643.57728</v>
      </c>
      <c r="O104" s="146" t="n">
        <f aca="false">-O95-O96</f>
        <v>652530.6672</v>
      </c>
      <c r="P104" s="146" t="n">
        <f aca="false">-P95-P96</f>
        <v>658018.55712</v>
      </c>
      <c r="Q104" s="146" t="n">
        <f aca="false">-Q95-Q96</f>
        <v>663506.44704</v>
      </c>
      <c r="R104" s="146" t="n">
        <f aca="false">-R95-R96</f>
        <v>668994.33696</v>
      </c>
      <c r="S104" s="146" t="n">
        <f aca="false">-S95-S96</f>
        <v>674482.22688</v>
      </c>
      <c r="T104" s="146" t="n">
        <f aca="false">-T95-T96</f>
        <v>1279607.6168</v>
      </c>
      <c r="U104" s="146" t="n">
        <f aca="false">-U95-U96</f>
        <v>1273306.15376</v>
      </c>
      <c r="V104" s="146" t="n">
        <f aca="false">-V95-V96</f>
        <v>1267004.69072</v>
      </c>
      <c r="W104" s="146" t="n">
        <f aca="false">-W95-W96</f>
        <v>1260703.22768</v>
      </c>
      <c r="X104" s="146" t="n">
        <f aca="false">-X95-X96</f>
        <v>2050747.47744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0.249832115733254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132</v>
      </c>
      <c r="C106" s="159"/>
      <c r="D106" s="160" t="n">
        <f aca="false">D85-D94</f>
        <v>-1769380.48</v>
      </c>
      <c r="E106" s="146" t="n">
        <f aca="false">E85</f>
        <v>635267.175466667</v>
      </c>
      <c r="F106" s="146" t="n">
        <f aca="false">F85-F96</f>
        <v>641364.830933333</v>
      </c>
      <c r="G106" s="146" t="n">
        <f aca="false">G85-G96</f>
        <v>647462.4864</v>
      </c>
      <c r="H106" s="146" t="n">
        <f aca="false">H85-H96</f>
        <v>653560.141866667</v>
      </c>
      <c r="I106" s="146" t="n">
        <f aca="false">I85-I96</f>
        <v>659657.797333333</v>
      </c>
      <c r="J106" s="146" t="n">
        <f aca="false">J85-J96</f>
        <v>665755.4528</v>
      </c>
      <c r="K106" s="146" t="n">
        <f aca="false">K85-K96</f>
        <v>671853.108266667</v>
      </c>
      <c r="L106" s="146" t="n">
        <f aca="false">L85-L96</f>
        <v>677950.763733333</v>
      </c>
      <c r="M106" s="146" t="n">
        <f aca="false">M85-M96</f>
        <v>684048.4192</v>
      </c>
      <c r="N106" s="146" t="n">
        <f aca="false">N85-N96</f>
        <v>725034.074666666</v>
      </c>
      <c r="O106" s="146" t="n">
        <f aca="false">O85-O96</f>
        <v>731131.730133333</v>
      </c>
      <c r="P106" s="146" t="n">
        <f aca="false">P85-P96</f>
        <v>737229.3856</v>
      </c>
      <c r="Q106" s="146" t="n">
        <f aca="false">Q85-Q96</f>
        <v>743327.041066667</v>
      </c>
      <c r="R106" s="146" t="n">
        <f aca="false">R85-R96</f>
        <v>749424.696533333</v>
      </c>
      <c r="S106" s="146" t="n">
        <f aca="false">S85-S96</f>
        <v>755522.352</v>
      </c>
      <c r="T106" s="146" t="n">
        <f aca="false">T85-T96</f>
        <v>1348158.2264</v>
      </c>
      <c r="U106" s="146" t="n">
        <f aca="false">U85-U96</f>
        <v>1341156.6008</v>
      </c>
      <c r="V106" s="146" t="n">
        <f aca="false">V85-V96</f>
        <v>1334154.9752</v>
      </c>
      <c r="W106" s="146" t="n">
        <f aca="false">W85-W96</f>
        <v>1327153.3496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0.370406329726372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133</v>
      </c>
      <c r="C109" s="143" t="n">
        <v>0</v>
      </c>
      <c r="D109" s="143" t="n">
        <f aca="false">D92</f>
        <v>9594200</v>
      </c>
      <c r="E109" s="143" t="n">
        <f aca="false">D109+E93</f>
        <v>8954586.66666667</v>
      </c>
      <c r="F109" s="143" t="n">
        <f aca="false">E109+F93</f>
        <v>8314973.33333334</v>
      </c>
      <c r="G109" s="143" t="n">
        <f aca="false">F109+G93</f>
        <v>7675360</v>
      </c>
      <c r="H109" s="143" t="n">
        <f aca="false">G109+H93</f>
        <v>7035746.66666667</v>
      </c>
      <c r="I109" s="143" t="n">
        <f aca="false">H109+I93</f>
        <v>6396133.33333334</v>
      </c>
      <c r="J109" s="143" t="n">
        <f aca="false">I109+J93</f>
        <v>5756520</v>
      </c>
      <c r="K109" s="143" t="n">
        <f aca="false">J109+K93</f>
        <v>5116906.66666667</v>
      </c>
      <c r="L109" s="143" t="n">
        <f aca="false">K109+L93</f>
        <v>4477293.33333334</v>
      </c>
      <c r="M109" s="143" t="n">
        <f aca="false">L109+M93</f>
        <v>3837680</v>
      </c>
      <c r="N109" s="143" t="n">
        <f aca="false">M109+N93</f>
        <v>3198066.66666667</v>
      </c>
      <c r="O109" s="143" t="n">
        <f aca="false">N109+O93</f>
        <v>2558453.33333334</v>
      </c>
      <c r="P109" s="143" t="n">
        <f aca="false">O109+P93</f>
        <v>1918840</v>
      </c>
      <c r="Q109" s="143" t="n">
        <f aca="false">P109+Q93</f>
        <v>1279226.66666667</v>
      </c>
      <c r="R109" s="143" t="n">
        <f aca="false">Q109+R93</f>
        <v>639613.333333339</v>
      </c>
      <c r="S109" s="143" t="n">
        <f aca="false">R109+S93</f>
        <v>5.58793544769287E-009</v>
      </c>
      <c r="T109" s="143" t="n">
        <f aca="false">S109+T93</f>
        <v>5.58793544769287E-009</v>
      </c>
      <c r="U109" s="143" t="n">
        <f aca="false">T109+U93</f>
        <v>5.58793544769287E-009</v>
      </c>
      <c r="V109" s="143" t="n">
        <f aca="false">U109+V93</f>
        <v>5.58793544769287E-009</v>
      </c>
      <c r="W109" s="143" t="n">
        <f aca="false">V109+W93</f>
        <v>5.58793544769287E-009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2026-04-27T12:22:38Z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