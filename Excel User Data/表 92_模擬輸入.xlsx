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16" fillId="0" borderId="21" applyAlignment="1" pivotButton="0" quotePrefix="0" xfId="0">
      <alignment horizontal="left"/>
    </xf>
    <xf numFmtId="167" fontId="22" fillId="0" borderId="15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16" fillId="0" borderId="22" applyAlignment="1" pivotButton="0" quotePrefix="0" xfId="0">
      <alignment horizontal="center"/>
    </xf>
    <xf numFmtId="167" fontId="9" fillId="0" borderId="15" applyAlignment="1" pivotButton="0" quotePrefix="0" xfId="0">
      <alignment horizontal="center"/>
    </xf>
    <xf numFmtId="167" fontId="9" fillId="0" borderId="22" applyAlignment="1" pivotButton="0" quotePrefix="0" xfId="0">
      <alignment horizontal="center"/>
    </xf>
    <xf numFmtId="167" fontId="23" fillId="0" borderId="33" applyAlignment="1" pivotButton="0" quotePrefix="0" xfId="0">
      <alignment horizontal="left"/>
    </xf>
    <xf numFmtId="167" fontId="24" fillId="0" borderId="13" applyAlignment="1" pivotButton="0" quotePrefix="0" xfId="0">
      <alignment horizontal="center"/>
    </xf>
    <xf numFmtId="167" fontId="24" fillId="0" borderId="34" applyAlignment="1" pivotButton="0" quotePrefix="0" xfId="0">
      <alignment horizontal="center"/>
    </xf>
    <xf numFmtId="167" fontId="24" fillId="0" borderId="35" applyAlignment="1" pivotButton="0" quotePrefix="0" xfId="0">
      <alignment horizontal="center"/>
    </xf>
    <xf numFmtId="167" fontId="21" fillId="0" borderId="21" applyAlignment="1" pivotButton="0" quotePrefix="0" xfId="0">
      <alignment horizontal="left"/>
    </xf>
    <xf numFmtId="167" fontId="24" fillId="0" borderId="1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7" fontId="21" fillId="0" borderId="22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比率模式，每次減少 5.0%，邊界值 20000 元</t>
        </is>
      </c>
    </row>
    <row r="3">
      <c r="A3" t="n">
        <v>2</v>
      </c>
      <c r="B3" t="n">
        <v>28500</v>
      </c>
      <c r="C3" t="n">
        <v>4.8</v>
      </c>
      <c r="D3" t="n">
        <v>12.44</v>
      </c>
      <c r="E3" s="151" t="n">
        <v>0.2</v>
      </c>
      <c r="F3" t="n">
        <v>2235012.5</v>
      </c>
      <c r="G3" t="n">
        <v>5125</v>
      </c>
      <c r="H3" t="n">
        <v>2000</v>
      </c>
      <c r="I3" t="inlineStr">
        <is>
          <t>第1次滾算，減少 1500 元 - 比率模式，每次減少 5.0%</t>
        </is>
      </c>
    </row>
    <row r="4">
      <c r="A4" t="n">
        <v>3</v>
      </c>
      <c r="B4" t="n">
        <v>27075</v>
      </c>
      <c r="C4" t="n">
        <v>5.32</v>
      </c>
      <c r="D4" t="n">
        <v>14.64</v>
      </c>
      <c r="E4" s="151" t="n">
        <v>0.2</v>
      </c>
      <c r="F4" t="n">
        <v>2079651.875</v>
      </c>
      <c r="G4" t="n">
        <v>4768.75</v>
      </c>
      <c r="H4" t="n">
        <v>2000</v>
      </c>
      <c r="I4" t="inlineStr">
        <is>
          <t>第2次滾算，減少 1425 元 - 比率模式，每次減少 5.0%</t>
        </is>
      </c>
    </row>
    <row r="5">
      <c r="A5" t="n">
        <v>4</v>
      </c>
      <c r="B5" t="n">
        <v>25721</v>
      </c>
      <c r="C5" t="n">
        <v>5.85</v>
      </c>
      <c r="D5" t="n">
        <v>17.08</v>
      </c>
      <c r="E5" s="151" t="n">
        <v>0.2</v>
      </c>
      <c r="F5" t="n">
        <v>1932032.025</v>
      </c>
      <c r="G5" t="n">
        <v>4430.25</v>
      </c>
      <c r="H5" t="n">
        <v>2000</v>
      </c>
      <c r="I5" t="inlineStr">
        <is>
          <t>第3次滾算，減少 1354 元 - 比率模式，每次減少 5.0%</t>
        </is>
      </c>
    </row>
    <row r="6">
      <c r="A6" t="n">
        <v>5</v>
      </c>
      <c r="B6" t="n">
        <v>24435</v>
      </c>
      <c r="C6" t="n">
        <v>6.4</v>
      </c>
      <c r="D6" t="n">
        <v>19.78</v>
      </c>
      <c r="E6" s="151" t="n">
        <v>0.2</v>
      </c>
      <c r="F6" t="n">
        <v>1791825.875</v>
      </c>
      <c r="G6" t="n">
        <v>4108.75</v>
      </c>
      <c r="H6" t="n">
        <v>2000</v>
      </c>
      <c r="I6" t="inlineStr">
        <is>
          <t>第4次滾算，減少 1286 元 - 比率模式，每次減少 5.0%</t>
        </is>
      </c>
    </row>
    <row r="7">
      <c r="A7" t="n">
        <v>6</v>
      </c>
      <c r="B7" t="n">
        <v>23213</v>
      </c>
      <c r="C7" t="n">
        <v>6.96</v>
      </c>
      <c r="D7" t="n">
        <v>22.82</v>
      </c>
      <c r="E7" s="151" t="n">
        <v>0.2</v>
      </c>
      <c r="F7" t="n">
        <v>1658597.325</v>
      </c>
      <c r="G7" t="n">
        <v>3803.25</v>
      </c>
      <c r="H7" t="n">
        <v>2000</v>
      </c>
      <c r="I7" t="inlineStr">
        <is>
          <t>第5次滾算，減少 1222 元 - 比率模式，每次減少 5.0%</t>
        </is>
      </c>
    </row>
    <row r="8">
      <c r="A8" t="n">
        <v>7</v>
      </c>
      <c r="B8" t="n">
        <v>22053</v>
      </c>
      <c r="C8" t="n">
        <v>7.54</v>
      </c>
      <c r="D8" t="n">
        <v>26.24</v>
      </c>
      <c r="E8" s="151" t="n">
        <v>0.2</v>
      </c>
      <c r="F8" t="n">
        <v>1532128.325</v>
      </c>
      <c r="G8" t="n">
        <v>3513.25</v>
      </c>
      <c r="H8" t="n">
        <v>2000</v>
      </c>
      <c r="I8" t="inlineStr">
        <is>
          <t>第6次滾算，減少 1160 元 - 比率模式，每次減少 5.0%</t>
        </is>
      </c>
    </row>
    <row r="9">
      <c r="A9" t="n">
        <v>8</v>
      </c>
      <c r="B9" t="n">
        <v>20950</v>
      </c>
      <c r="C9" t="n">
        <v>8.130000000000001</v>
      </c>
      <c r="D9" t="n">
        <v>30.13</v>
      </c>
      <c r="E9" s="151" t="n">
        <v>0.2</v>
      </c>
      <c r="F9" t="n">
        <v>1411873.75</v>
      </c>
      <c r="G9" t="n">
        <v>3237.5</v>
      </c>
      <c r="H9" t="n">
        <v>2000</v>
      </c>
      <c r="I9" t="inlineStr">
        <is>
          <t>第7次滾算，減少 1103 元 - 比率模式，每次減少 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7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-352718.5522</v>
      </c>
      <c r="E75" s="202" t="n">
        <v>-329203.9820533333</v>
      </c>
      <c r="F75" s="202" t="n">
        <v>-305689.4119066666</v>
      </c>
      <c r="G75" s="202" t="n">
        <v>-282174.84176</v>
      </c>
      <c r="H75" s="202" t="n">
        <v>-258660.2716133333</v>
      </c>
      <c r="I75" s="202" t="n">
        <v>-235145.7014666667</v>
      </c>
      <c r="J75" s="202" t="n">
        <v>-211631.13132</v>
      </c>
      <c r="K75" s="202" t="n">
        <v>-188116.5611733333</v>
      </c>
      <c r="L75" s="202" t="n">
        <v>-164601.9910266667</v>
      </c>
      <c r="M75" s="202" t="n">
        <v>-141087.42088</v>
      </c>
      <c r="N75" s="202" t="n">
        <v>-117572.8507333333</v>
      </c>
      <c r="O75" s="202" t="n">
        <v>-94058.28058666666</v>
      </c>
      <c r="P75" s="202" t="n">
        <v>-70543.71044</v>
      </c>
      <c r="Q75" s="202" t="n">
        <v>-47029.14029333333</v>
      </c>
      <c r="R75" s="202" t="n">
        <v>-23514.57014666667</v>
      </c>
      <c r="S75" s="202" t="n">
        <v>-4.19758e-22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-918717.3333333334</v>
      </c>
      <c r="F98" s="259" t="n">
        <v>-918717.3333333334</v>
      </c>
      <c r="G98" s="259" t="n">
        <v>-918717.3333333334</v>
      </c>
      <c r="H98" s="259" t="n">
        <v>-918717.3333333334</v>
      </c>
      <c r="I98" s="259" t="n">
        <v>-918717.3333333334</v>
      </c>
      <c r="J98" s="259" t="n">
        <v>-918717.3333333334</v>
      </c>
      <c r="K98" s="259" t="n">
        <v>-918717.3333333334</v>
      </c>
      <c r="L98" s="259" t="n">
        <v>-918717.3333333334</v>
      </c>
      <c r="M98" s="259" t="n">
        <v>-918717.3333333334</v>
      </c>
      <c r="N98" s="259" t="n">
        <v>-918717.3333333334</v>
      </c>
      <c r="O98" s="259" t="n">
        <v>-918717.3333333334</v>
      </c>
      <c r="P98" s="259" t="n">
        <v>-918717.3333333334</v>
      </c>
      <c r="Q98" s="259" t="n">
        <v>-918717.3333333334</v>
      </c>
      <c r="R98" s="259" t="n">
        <v>-918717.3333333334</v>
      </c>
      <c r="S98" s="259" t="n">
        <v>-918717.3333333334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-861297.5</v>
      </c>
      <c r="U101" s="274" t="n">
        <v>-861297.5</v>
      </c>
      <c r="V101" s="273" t="n">
        <v>-861297.5</v>
      </c>
      <c r="W101" s="273" t="n">
        <v>-861297.5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28500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12.44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1500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28500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-37286.55</v>
      </c>
      <c r="E49" s="202" t="n">
        <v>-37286.55</v>
      </c>
      <c r="F49" s="202" t="n">
        <v>-37286.55</v>
      </c>
      <c r="G49" s="202" t="n">
        <v>-37286.55</v>
      </c>
      <c r="H49" s="202" t="n">
        <v>-37286.55</v>
      </c>
      <c r="I49" s="202" t="n">
        <v>-37286.55</v>
      </c>
      <c r="J49" s="202" t="n">
        <v>-37286.55</v>
      </c>
      <c r="K49" s="202" t="n">
        <v>-37286.55</v>
      </c>
      <c r="L49" s="202" t="n">
        <v>-37286.55</v>
      </c>
      <c r="M49" s="202" t="n">
        <v>-37286.55</v>
      </c>
      <c r="N49" s="202" t="n">
        <v>-37286.55</v>
      </c>
      <c r="O49" s="202" t="n">
        <v>-37286.55</v>
      </c>
      <c r="P49" s="202" t="n">
        <v>-37286.55</v>
      </c>
      <c r="Q49" s="202" t="n">
        <v>-37286.55</v>
      </c>
      <c r="R49" s="202" t="n">
        <v>-37286.55</v>
      </c>
      <c r="S49" s="202" t="n">
        <v>-37286.55</v>
      </c>
      <c r="T49" s="202" t="n">
        <v>-37286.55</v>
      </c>
      <c r="U49" s="202" t="n">
        <v>-37286.55</v>
      </c>
      <c r="V49" s="202" t="n">
        <v>-37286.55</v>
      </c>
      <c r="W49" s="202" t="n">
        <v>-37286.55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-335975.58295</v>
      </c>
      <c r="E75" s="202" t="n">
        <v>-313577.2107533333</v>
      </c>
      <c r="F75" s="202" t="n">
        <v>-291178.8385566667</v>
      </c>
      <c r="G75" s="202" t="n">
        <v>-268780.46636</v>
      </c>
      <c r="H75" s="202" t="n">
        <v>-246382.0941633333</v>
      </c>
      <c r="I75" s="202" t="n">
        <v>-223983.7219666667</v>
      </c>
      <c r="J75" s="202" t="n">
        <v>-201585.34977</v>
      </c>
      <c r="K75" s="202" t="n">
        <v>-179186.9775733333</v>
      </c>
      <c r="L75" s="202" t="n">
        <v>-156788.6053766667</v>
      </c>
      <c r="M75" s="202" t="n">
        <v>-134390.23318</v>
      </c>
      <c r="N75" s="202" t="n">
        <v>-111991.8609833333</v>
      </c>
      <c r="O75" s="202" t="n">
        <v>-89593.48878666667</v>
      </c>
      <c r="P75" s="202" t="n">
        <v>-67195.11659000001</v>
      </c>
      <c r="Q75" s="202" t="n">
        <v>-44796.74439333333</v>
      </c>
      <c r="R75" s="202" t="n">
        <v>-22398.37219666667</v>
      </c>
      <c r="S75" s="202" t="n">
        <v>-3.42973e-22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-875107.3333333334</v>
      </c>
      <c r="F98" s="259" t="n">
        <v>-875107.3333333334</v>
      </c>
      <c r="G98" s="259" t="n">
        <v>-875107.3333333334</v>
      </c>
      <c r="H98" s="259" t="n">
        <v>-875107.3333333334</v>
      </c>
      <c r="I98" s="259" t="n">
        <v>-875107.3333333334</v>
      </c>
      <c r="J98" s="259" t="n">
        <v>-875107.3333333334</v>
      </c>
      <c r="K98" s="259" t="n">
        <v>-875107.3333333334</v>
      </c>
      <c r="L98" s="259" t="n">
        <v>-875107.3333333334</v>
      </c>
      <c r="M98" s="259" t="n">
        <v>-875107.3333333334</v>
      </c>
      <c r="N98" s="259" t="n">
        <v>-875107.3333333334</v>
      </c>
      <c r="O98" s="259" t="n">
        <v>-875107.3333333334</v>
      </c>
      <c r="P98" s="259" t="n">
        <v>-875107.3333333334</v>
      </c>
      <c r="Q98" s="259" t="n">
        <v>-875107.3333333334</v>
      </c>
      <c r="R98" s="259" t="n">
        <v>-875107.3333333334</v>
      </c>
      <c r="S98" s="259" t="n">
        <v>-875107.3333333334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-820413.125</v>
      </c>
      <c r="U101" s="274" t="n">
        <v>-820413.125</v>
      </c>
      <c r="V101" s="273" t="n">
        <v>-820413.125</v>
      </c>
      <c r="W101" s="273" t="n">
        <v>-820413.125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27075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14.64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1425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27075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-35422.2225</v>
      </c>
      <c r="E49" s="202" t="n">
        <v>-35422.2225</v>
      </c>
      <c r="F49" s="202" t="n">
        <v>-35422.2225</v>
      </c>
      <c r="G49" s="202" t="n">
        <v>-35422.2225</v>
      </c>
      <c r="H49" s="202" t="n">
        <v>-35422.2225</v>
      </c>
      <c r="I49" s="202" t="n">
        <v>-35422.2225</v>
      </c>
      <c r="J49" s="202" t="n">
        <v>-35422.2225</v>
      </c>
      <c r="K49" s="202" t="n">
        <v>-35422.2225</v>
      </c>
      <c r="L49" s="202" t="n">
        <v>-35422.2225</v>
      </c>
      <c r="M49" s="202" t="n">
        <v>-35422.2225</v>
      </c>
      <c r="N49" s="202" t="n">
        <v>-35422.2225</v>
      </c>
      <c r="O49" s="202" t="n">
        <v>-35422.2225</v>
      </c>
      <c r="P49" s="202" t="n">
        <v>-35422.2225</v>
      </c>
      <c r="Q49" s="202" t="n">
        <v>-35422.2225</v>
      </c>
      <c r="R49" s="202" t="n">
        <v>-35422.2225</v>
      </c>
      <c r="S49" s="202" t="n">
        <v>-35422.2225</v>
      </c>
      <c r="T49" s="202" t="n">
        <v>-35422.2225</v>
      </c>
      <c r="U49" s="202" t="n">
        <v>-35422.2225</v>
      </c>
      <c r="V49" s="202" t="n">
        <v>-35422.2225</v>
      </c>
      <c r="W49" s="202" t="n">
        <v>-35422.2225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-320069.7621625</v>
      </c>
      <c r="E75" s="202" t="n">
        <v>-298731.7780183333</v>
      </c>
      <c r="F75" s="202" t="n">
        <v>-277393.7938741667</v>
      </c>
      <c r="G75" s="202" t="n">
        <v>-256055.80973</v>
      </c>
      <c r="H75" s="202" t="n">
        <v>-234717.8255858333</v>
      </c>
      <c r="I75" s="202" t="n">
        <v>-213379.8414416667</v>
      </c>
      <c r="J75" s="202" t="n">
        <v>-192041.8572975</v>
      </c>
      <c r="K75" s="202" t="n">
        <v>-170703.8731533333</v>
      </c>
      <c r="L75" s="202" t="n">
        <v>-149365.8890091667</v>
      </c>
      <c r="M75" s="202" t="n">
        <v>-128027.904865</v>
      </c>
      <c r="N75" s="202" t="n">
        <v>-106689.9207208333</v>
      </c>
      <c r="O75" s="202" t="n">
        <v>-85351.93657666666</v>
      </c>
      <c r="P75" s="202" t="n">
        <v>-64013.9524325</v>
      </c>
      <c r="Q75" s="202" t="n">
        <v>-42675.96828833333</v>
      </c>
      <c r="R75" s="202" t="n">
        <v>-21337.98414416666</v>
      </c>
      <c r="S75" s="202" t="n">
        <v>-3.42973e-22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-833677.8333333334</v>
      </c>
      <c r="F98" s="259" t="n">
        <v>-833677.8333333334</v>
      </c>
      <c r="G98" s="259" t="n">
        <v>-833677.8333333334</v>
      </c>
      <c r="H98" s="259" t="n">
        <v>-833677.8333333334</v>
      </c>
      <c r="I98" s="259" t="n">
        <v>-833677.8333333334</v>
      </c>
      <c r="J98" s="259" t="n">
        <v>-833677.8333333334</v>
      </c>
      <c r="K98" s="259" t="n">
        <v>-833677.8333333334</v>
      </c>
      <c r="L98" s="259" t="n">
        <v>-833677.8333333334</v>
      </c>
      <c r="M98" s="259" t="n">
        <v>-833677.8333333334</v>
      </c>
      <c r="N98" s="259" t="n">
        <v>-833677.8333333334</v>
      </c>
      <c r="O98" s="259" t="n">
        <v>-833677.8333333334</v>
      </c>
      <c r="P98" s="259" t="n">
        <v>-833677.8333333334</v>
      </c>
      <c r="Q98" s="259" t="n">
        <v>-833677.8333333334</v>
      </c>
      <c r="R98" s="259" t="n">
        <v>-833677.8333333334</v>
      </c>
      <c r="S98" s="259" t="n">
        <v>-833677.8333333334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-781572.96875</v>
      </c>
      <c r="U101" s="274" t="n">
        <v>-781572.96875</v>
      </c>
      <c r="V101" s="273" t="n">
        <v>-781572.96875</v>
      </c>
      <c r="W101" s="273" t="n">
        <v>-781572.96875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25721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17.08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1354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25721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-40000</v>
      </c>
      <c r="E49" s="202" t="n">
        <v>-40000</v>
      </c>
      <c r="F49" s="202" t="n">
        <v>-40000</v>
      </c>
      <c r="G49" s="202" t="n">
        <v>-40000</v>
      </c>
      <c r="H49" s="202" t="n">
        <v>-40000</v>
      </c>
      <c r="I49" s="202" t="n">
        <v>-40000</v>
      </c>
      <c r="J49" s="202" t="n">
        <v>-33650.7843</v>
      </c>
      <c r="K49" s="202" t="n">
        <v>-33650.7843</v>
      </c>
      <c r="L49" s="202" t="n">
        <v>-33650.7843</v>
      </c>
      <c r="M49" s="202" t="n">
        <v>-33650.7843</v>
      </c>
      <c r="N49" s="202" t="n">
        <v>-33650.7843</v>
      </c>
      <c r="O49" s="202" t="n">
        <v>-33650.7843</v>
      </c>
      <c r="P49" s="202" t="n">
        <v>-33650.7843</v>
      </c>
      <c r="Q49" s="202" t="n">
        <v>-33650.7843</v>
      </c>
      <c r="R49" s="202" t="n">
        <v>-33650.7843</v>
      </c>
      <c r="S49" s="202" t="n">
        <v>-33650.7843</v>
      </c>
      <c r="T49" s="202" t="n">
        <v>-33650.7843</v>
      </c>
      <c r="U49" s="202" t="n">
        <v>-33650.7843</v>
      </c>
      <c r="V49" s="202" t="n">
        <v>-33650.7843</v>
      </c>
      <c r="W49" s="202" t="n">
        <v>-33650.7843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-304956.4419195</v>
      </c>
      <c r="E75" s="202" t="n">
        <v>-284626.0124582</v>
      </c>
      <c r="F75" s="202" t="n">
        <v>-264295.5829969</v>
      </c>
      <c r="G75" s="202" t="n">
        <v>-243965.1535356</v>
      </c>
      <c r="H75" s="202" t="n">
        <v>-223634.7240743</v>
      </c>
      <c r="I75" s="202" t="n">
        <v>-203304.294613</v>
      </c>
      <c r="J75" s="202" t="n">
        <v>-182973.8651517</v>
      </c>
      <c r="K75" s="202" t="n">
        <v>-162643.4356904</v>
      </c>
      <c r="L75" s="202" t="n">
        <v>-142313.0062291</v>
      </c>
      <c r="M75" s="202" t="n">
        <v>-121982.5767678</v>
      </c>
      <c r="N75" s="202" t="n">
        <v>-101652.1473065</v>
      </c>
      <c r="O75" s="202" t="n">
        <v>-81321.71784519999</v>
      </c>
      <c r="P75" s="202" t="n">
        <v>-60991.2883839</v>
      </c>
      <c r="Q75" s="202" t="n">
        <v>-40660.8589226</v>
      </c>
      <c r="R75" s="202" t="n">
        <v>-20330.4294613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-794312.54</v>
      </c>
      <c r="F98" s="259" t="n">
        <v>-794312.54</v>
      </c>
      <c r="G98" s="259" t="n">
        <v>-794312.54</v>
      </c>
      <c r="H98" s="259" t="n">
        <v>-794312.54</v>
      </c>
      <c r="I98" s="259" t="n">
        <v>-794312.54</v>
      </c>
      <c r="J98" s="259" t="n">
        <v>-794312.54</v>
      </c>
      <c r="K98" s="259" t="n">
        <v>-794312.54</v>
      </c>
      <c r="L98" s="259" t="n">
        <v>-794312.54</v>
      </c>
      <c r="M98" s="259" t="n">
        <v>-794312.54</v>
      </c>
      <c r="N98" s="259" t="n">
        <v>-794312.54</v>
      </c>
      <c r="O98" s="259" t="n">
        <v>-794312.54</v>
      </c>
      <c r="P98" s="259" t="n">
        <v>-794312.54</v>
      </c>
      <c r="Q98" s="259" t="n">
        <v>-794312.54</v>
      </c>
      <c r="R98" s="259" t="n">
        <v>-794312.54</v>
      </c>
      <c r="S98" s="259" t="n">
        <v>-794312.54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-744668.00625</v>
      </c>
      <c r="U101" s="274" t="n">
        <v>-744668.00625</v>
      </c>
      <c r="V101" s="273" t="n">
        <v>-744668.00625</v>
      </c>
      <c r="W101" s="273" t="n">
        <v>-744668.00625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24435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19.78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1286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24435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-31968.3105</v>
      </c>
      <c r="E49" s="202" t="n">
        <v>-31968.3105</v>
      </c>
      <c r="F49" s="202" t="n">
        <v>-31968.3105</v>
      </c>
      <c r="G49" s="202" t="n">
        <v>-31968.3105</v>
      </c>
      <c r="H49" s="202" t="n">
        <v>-31968.3105</v>
      </c>
      <c r="I49" s="202" t="n">
        <v>-31968.3105</v>
      </c>
      <c r="J49" s="202" t="n">
        <v>-31968.3105</v>
      </c>
      <c r="K49" s="202" t="n">
        <v>-31968.3105</v>
      </c>
      <c r="L49" s="202" t="n">
        <v>-31968.3105</v>
      </c>
      <c r="M49" s="202" t="n">
        <v>-31968.3105</v>
      </c>
      <c r="N49" s="202" t="n">
        <v>-31968.3105</v>
      </c>
      <c r="O49" s="202" t="n">
        <v>-31968.3105</v>
      </c>
      <c r="P49" s="202" t="n">
        <v>-31968.3105</v>
      </c>
      <c r="Q49" s="202" t="n">
        <v>-31968.3105</v>
      </c>
      <c r="R49" s="202" t="n">
        <v>-31968.3105</v>
      </c>
      <c r="S49" s="202" t="n">
        <v>-31968.3105</v>
      </c>
      <c r="T49" s="202" t="n">
        <v>-31968.3105</v>
      </c>
      <c r="U49" s="202" t="n">
        <v>-31968.3105</v>
      </c>
      <c r="V49" s="202" t="n">
        <v>-31968.3105</v>
      </c>
      <c r="W49" s="202" t="n">
        <v>-31968.3105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-290602.1362825</v>
      </c>
      <c r="E75" s="202" t="n">
        <v>-271228.6605303333</v>
      </c>
      <c r="F75" s="202" t="n">
        <v>-251855.1847781667</v>
      </c>
      <c r="G75" s="202" t="n">
        <v>-232481.709026</v>
      </c>
      <c r="H75" s="202" t="n">
        <v>-213108.2332738333</v>
      </c>
      <c r="I75" s="202" t="n">
        <v>-193734.7575216667</v>
      </c>
      <c r="J75" s="202" t="n">
        <v>-174361.2817695</v>
      </c>
      <c r="K75" s="202" t="n">
        <v>-154987.8060173333</v>
      </c>
      <c r="L75" s="202" t="n">
        <v>-135614.3302651667</v>
      </c>
      <c r="M75" s="202" t="n">
        <v>-116240.854513</v>
      </c>
      <c r="N75" s="202" t="n">
        <v>-96867.37876083334</v>
      </c>
      <c r="O75" s="202" t="n">
        <v>-77493.90300866666</v>
      </c>
      <c r="P75" s="202" t="n">
        <v>-58120.4272565</v>
      </c>
      <c r="Q75" s="202" t="n">
        <v>-38746.95150433333</v>
      </c>
      <c r="R75" s="202" t="n">
        <v>-19373.47575216667</v>
      </c>
      <c r="S75" s="202" t="n">
        <v>-1.89403e-22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-756924.2333333333</v>
      </c>
      <c r="F98" s="259" t="n">
        <v>-756924.2333333333</v>
      </c>
      <c r="G98" s="259" t="n">
        <v>-756924.2333333333</v>
      </c>
      <c r="H98" s="259" t="n">
        <v>-756924.2333333333</v>
      </c>
      <c r="I98" s="259" t="n">
        <v>-756924.2333333333</v>
      </c>
      <c r="J98" s="259" t="n">
        <v>-756924.2333333333</v>
      </c>
      <c r="K98" s="259" t="n">
        <v>-756924.2333333333</v>
      </c>
      <c r="L98" s="259" t="n">
        <v>-756924.2333333333</v>
      </c>
      <c r="M98" s="259" t="n">
        <v>-756924.2333333333</v>
      </c>
      <c r="N98" s="259" t="n">
        <v>-756924.2333333333</v>
      </c>
      <c r="O98" s="259" t="n">
        <v>-756924.2333333333</v>
      </c>
      <c r="P98" s="259" t="n">
        <v>-756924.2333333333</v>
      </c>
      <c r="Q98" s="259" t="n">
        <v>-756924.2333333333</v>
      </c>
      <c r="R98" s="259" t="n">
        <v>-756924.2333333333</v>
      </c>
      <c r="S98" s="259" t="n">
        <v>-756924.2333333333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-709616.46875</v>
      </c>
      <c r="U101" s="274" t="n">
        <v>-709616.46875</v>
      </c>
      <c r="V101" s="273" t="n">
        <v>-709616.46875</v>
      </c>
      <c r="W101" s="273" t="n">
        <v>-709616.46875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23213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6.96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22.82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1222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23213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-30369.5679</v>
      </c>
      <c r="E49" s="202" t="n">
        <v>-30369.5679</v>
      </c>
      <c r="F49" s="202" t="n">
        <v>-30369.5679</v>
      </c>
      <c r="G49" s="202" t="n">
        <v>-30369.5679</v>
      </c>
      <c r="H49" s="202" t="n">
        <v>-30369.5679</v>
      </c>
      <c r="I49" s="202" t="n">
        <v>-30369.5679</v>
      </c>
      <c r="J49" s="202" t="n">
        <v>-30369.5679</v>
      </c>
      <c r="K49" s="202" t="n">
        <v>-30369.5679</v>
      </c>
      <c r="L49" s="202" t="n">
        <v>-30369.5679</v>
      </c>
      <c r="M49" s="202" t="n">
        <v>-30369.5679</v>
      </c>
      <c r="N49" s="202" t="n">
        <v>-30369.5679</v>
      </c>
      <c r="O49" s="202" t="n">
        <v>-30369.5679</v>
      </c>
      <c r="P49" s="202" t="n">
        <v>-30369.5679</v>
      </c>
      <c r="Q49" s="202" t="n">
        <v>-30369.5679</v>
      </c>
      <c r="R49" s="202" t="n">
        <v>-30369.5679</v>
      </c>
      <c r="S49" s="202" t="n">
        <v>-30369.5679</v>
      </c>
      <c r="T49" s="202" t="n">
        <v>-30369.5679</v>
      </c>
      <c r="U49" s="202" t="n">
        <v>-30369.5679</v>
      </c>
      <c r="V49" s="202" t="n">
        <v>-30369.5679</v>
      </c>
      <c r="W49" s="202" t="n">
        <v>-30369.5679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-276962.1973335</v>
      </c>
      <c r="E75" s="202" t="n">
        <v>-258498.0508446</v>
      </c>
      <c r="F75" s="202" t="n">
        <v>-240033.9043557</v>
      </c>
      <c r="G75" s="202" t="n">
        <v>-221569.7578668</v>
      </c>
      <c r="H75" s="202" t="n">
        <v>-203105.6113779</v>
      </c>
      <c r="I75" s="202" t="n">
        <v>-184641.464889</v>
      </c>
      <c r="J75" s="202" t="n">
        <v>-166177.3184001</v>
      </c>
      <c r="K75" s="202" t="n">
        <v>-147713.1719112</v>
      </c>
      <c r="L75" s="202" t="n">
        <v>-129249.0254223</v>
      </c>
      <c r="M75" s="202" t="n">
        <v>-110784.8789334</v>
      </c>
      <c r="N75" s="202" t="n">
        <v>-92320.7324445</v>
      </c>
      <c r="O75" s="202" t="n">
        <v>-73856.58595560001</v>
      </c>
      <c r="P75" s="202" t="n">
        <v>-55392.4394667</v>
      </c>
      <c r="Q75" s="202" t="n">
        <v>-36928.2929778</v>
      </c>
      <c r="R75" s="202" t="n">
        <v>-18464.1464889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-721396.62</v>
      </c>
      <c r="F98" s="259" t="n">
        <v>-721396.62</v>
      </c>
      <c r="G98" s="259" t="n">
        <v>-721396.62</v>
      </c>
      <c r="H98" s="259" t="n">
        <v>-721396.62</v>
      </c>
      <c r="I98" s="259" t="n">
        <v>-721396.62</v>
      </c>
      <c r="J98" s="259" t="n">
        <v>-721396.62</v>
      </c>
      <c r="K98" s="259" t="n">
        <v>-721396.62</v>
      </c>
      <c r="L98" s="259" t="n">
        <v>-721396.62</v>
      </c>
      <c r="M98" s="259" t="n">
        <v>-721396.62</v>
      </c>
      <c r="N98" s="259" t="n">
        <v>-721396.62</v>
      </c>
      <c r="O98" s="259" t="n">
        <v>-721396.62</v>
      </c>
      <c r="P98" s="259" t="n">
        <v>-721396.62</v>
      </c>
      <c r="Q98" s="259" t="n">
        <v>-721396.62</v>
      </c>
      <c r="R98" s="259" t="n">
        <v>-721396.62</v>
      </c>
      <c r="S98" s="259" t="n">
        <v>-721396.62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-676309.33125</v>
      </c>
      <c r="U101" s="274" t="n">
        <v>-676309.33125</v>
      </c>
      <c r="V101" s="273" t="n">
        <v>-676309.33125</v>
      </c>
      <c r="W101" s="273" t="n">
        <v>-676309.33125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22053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26.24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1160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22053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-28851.9399</v>
      </c>
      <c r="E49" s="202" t="n">
        <v>-28851.9399</v>
      </c>
      <c r="F49" s="202" t="n">
        <v>-28851.9399</v>
      </c>
      <c r="G49" s="202" t="n">
        <v>-28851.9399</v>
      </c>
      <c r="H49" s="202" t="n">
        <v>-28851.9399</v>
      </c>
      <c r="I49" s="202" t="n">
        <v>-28851.9399</v>
      </c>
      <c r="J49" s="202" t="n">
        <v>-28851.9399</v>
      </c>
      <c r="K49" s="202" t="n">
        <v>-28851.9399</v>
      </c>
      <c r="L49" s="202" t="n">
        <v>-28851.9399</v>
      </c>
      <c r="M49" s="202" t="n">
        <v>-28851.9399</v>
      </c>
      <c r="N49" s="202" t="n">
        <v>-28851.9399</v>
      </c>
      <c r="O49" s="202" t="n">
        <v>-28851.9399</v>
      </c>
      <c r="P49" s="202" t="n">
        <v>-28851.9399</v>
      </c>
      <c r="Q49" s="202" t="n">
        <v>-28851.9399</v>
      </c>
      <c r="R49" s="202" t="n">
        <v>-28851.9399</v>
      </c>
      <c r="S49" s="202" t="n">
        <v>-28851.9399</v>
      </c>
      <c r="T49" s="202" t="n">
        <v>-28851.9399</v>
      </c>
      <c r="U49" s="202" t="n">
        <v>-28851.9399</v>
      </c>
      <c r="V49" s="202" t="n">
        <v>-28851.9399</v>
      </c>
      <c r="W49" s="202" t="n">
        <v>-28851.9399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-264014.3011135</v>
      </c>
      <c r="E75" s="202" t="n">
        <v>-246413.3477059333</v>
      </c>
      <c r="F75" s="202" t="n">
        <v>-228812.3942983667</v>
      </c>
      <c r="G75" s="202" t="n">
        <v>-211211.4408908</v>
      </c>
      <c r="H75" s="202" t="n">
        <v>-193610.4874832333</v>
      </c>
      <c r="I75" s="202" t="n">
        <v>-176009.5340756667</v>
      </c>
      <c r="J75" s="202" t="n">
        <v>-158408.5806681</v>
      </c>
      <c r="K75" s="202" t="n">
        <v>-140807.6272605333</v>
      </c>
      <c r="L75" s="202" t="n">
        <v>-123206.6738529667</v>
      </c>
      <c r="M75" s="202" t="n">
        <v>-105605.7204454</v>
      </c>
      <c r="N75" s="202" t="n">
        <v>-88004.76703783333</v>
      </c>
      <c r="O75" s="202" t="n">
        <v>-70403.81363026667</v>
      </c>
      <c r="P75" s="202" t="n">
        <v>-52802.8602227</v>
      </c>
      <c r="Q75" s="202" t="n">
        <v>-35201.90681513333</v>
      </c>
      <c r="R75" s="202" t="n">
        <v>-17600.95340756667</v>
      </c>
      <c r="S75" s="202" t="n">
        <v>-1.12618e-22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-687671.5533333333</v>
      </c>
      <c r="F98" s="259" t="n">
        <v>-687671.5533333333</v>
      </c>
      <c r="G98" s="259" t="n">
        <v>-687671.5533333333</v>
      </c>
      <c r="H98" s="259" t="n">
        <v>-687671.5533333333</v>
      </c>
      <c r="I98" s="259" t="n">
        <v>-687671.5533333333</v>
      </c>
      <c r="J98" s="259" t="n">
        <v>-687671.5533333333</v>
      </c>
      <c r="K98" s="259" t="n">
        <v>-687671.5533333333</v>
      </c>
      <c r="L98" s="259" t="n">
        <v>-687671.5533333333</v>
      </c>
      <c r="M98" s="259" t="n">
        <v>-687671.5533333333</v>
      </c>
      <c r="N98" s="259" t="n">
        <v>-687671.5533333333</v>
      </c>
      <c r="O98" s="259" t="n">
        <v>-687671.5533333333</v>
      </c>
      <c r="P98" s="259" t="n">
        <v>-687671.5533333333</v>
      </c>
      <c r="Q98" s="259" t="n">
        <v>-687671.5533333333</v>
      </c>
      <c r="R98" s="259" t="n">
        <v>-687671.5533333333</v>
      </c>
      <c r="S98" s="259" t="n">
        <v>-687671.5533333333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-644692.08125</v>
      </c>
      <c r="U101" s="274" t="n">
        <v>-644692.08125</v>
      </c>
      <c r="V101" s="273" t="n">
        <v>-644692.08125</v>
      </c>
      <c r="W101" s="273" t="n">
        <v>-644692.08125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J1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20950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8.13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30.13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1103 元 - 比率模式，每次減少 5.0%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20950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-27408.885</v>
      </c>
      <c r="E49" s="202" t="n">
        <v>-27408.885</v>
      </c>
      <c r="F49" s="202" t="n">
        <v>-27408.885</v>
      </c>
      <c r="G49" s="202" t="n">
        <v>-27408.885</v>
      </c>
      <c r="H49" s="202" t="n">
        <v>-27408.885</v>
      </c>
      <c r="I49" s="202" t="n">
        <v>-27408.885</v>
      </c>
      <c r="J49" s="202" t="n">
        <v>-27408.885</v>
      </c>
      <c r="K49" s="202" t="n">
        <v>-27408.885</v>
      </c>
      <c r="L49" s="202" t="n">
        <v>-27408.885</v>
      </c>
      <c r="M49" s="202" t="n">
        <v>-27408.885</v>
      </c>
      <c r="N49" s="202" t="n">
        <v>-27408.885</v>
      </c>
      <c r="O49" s="202" t="n">
        <v>-27408.885</v>
      </c>
      <c r="P49" s="202" t="n">
        <v>-27408.885</v>
      </c>
      <c r="Q49" s="202" t="n">
        <v>-27408.885</v>
      </c>
      <c r="R49" s="202" t="n">
        <v>-27408.885</v>
      </c>
      <c r="S49" s="202" t="n">
        <v>-27408.885</v>
      </c>
      <c r="T49" s="202" t="n">
        <v>-27408.885</v>
      </c>
      <c r="U49" s="202" t="n">
        <v>-27408.885</v>
      </c>
      <c r="V49" s="202" t="n">
        <v>-27408.885</v>
      </c>
      <c r="W49" s="202" t="n">
        <v>-27408.885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-(D69+D72+D73+D76+D77+D78+D79)*0.2</f>
        <v/>
      </c>
      <c r="E54" s="202">
        <f>-(E69+E72+E73+E76+E77+E78+E79)*0.2</f>
        <v/>
      </c>
      <c r="F54" s="202">
        <f>-(F69+F72+F73+F76+F77+F78+F79)*0.2</f>
        <v/>
      </c>
      <c r="G54" s="202">
        <f>-(G69+G72+G73+G76+G77+G78+G79)*0.2</f>
        <v/>
      </c>
      <c r="H54" s="202">
        <f>-(H69+H72+H73+H76+H77+H78+H79)*0.2</f>
        <v/>
      </c>
      <c r="I54" s="202">
        <f>-(I69+I72+I73+I76+I77+I78+I79)*0.2</f>
        <v/>
      </c>
      <c r="J54" s="202">
        <f>-(J69+J72+J73+J76+J77+J78+J79)*0.2</f>
        <v/>
      </c>
      <c r="K54" s="202">
        <f>-(K69+K72+K73+K76+K77+K78+K79)*0.2</f>
        <v/>
      </c>
      <c r="L54" s="202">
        <f>-(L69+L72+L73+L76+L77+L78+L79)*0.2</f>
        <v/>
      </c>
      <c r="M54" s="202">
        <f>-(M69+M72+M73+M76+M77+M78+M79)*0.2</f>
        <v/>
      </c>
      <c r="N54" s="202">
        <f>-(N69+N72+N73+N76+N77+N78+N79)*0.2</f>
        <v/>
      </c>
      <c r="O54" s="202">
        <f>-(O69+O72+O73+O76+O77+O78+O79)*0.2</f>
        <v/>
      </c>
      <c r="P54" s="202">
        <f>-(P69+P72+P73+P76+P77+P78+P79)*0.2</f>
        <v/>
      </c>
      <c r="Q54" s="202">
        <f>-(Q69+Q72+Q73+Q76+Q77+Q78+Q79)*0.2</f>
        <v/>
      </c>
      <c r="R54" s="202">
        <f>-(R69+R72+R73+R76+R77+R78+R79)*0.2</f>
        <v/>
      </c>
      <c r="S54" s="202">
        <f>-(S69+S72+S73+S76+S77+S78+S79)*0.2</f>
        <v/>
      </c>
      <c r="T54" s="202">
        <f>-(T69+T72+T73+T76+T77+T78+T79)*0.2</f>
        <v/>
      </c>
      <c r="U54" s="202">
        <f>-(U69+U72+U73+U76+U77+U78+U79)*0.2</f>
        <v/>
      </c>
      <c r="V54" s="202">
        <f>-(V69+V72+V73+V76+V77+V78+V79)*0.2</f>
        <v/>
      </c>
      <c r="W54" s="202">
        <f>-(W69+W72+W73+W76+W77+W78+W79)*0.2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n"/>
      <c r="C57" s="223" t="n"/>
      <c r="D57" s="224" t="n"/>
      <c r="E57" s="224" t="n"/>
      <c r="F57" s="225" t="n"/>
      <c r="G57" s="225" t="n"/>
      <c r="H57" s="225" t="n"/>
      <c r="I57" s="225" t="n"/>
      <c r="J57" s="225" t="n"/>
      <c r="K57" s="225" t="n"/>
      <c r="L57" s="225" t="n"/>
      <c r="M57" s="225" t="n"/>
      <c r="N57" s="225" t="n"/>
      <c r="O57" s="225" t="n"/>
      <c r="P57" s="225" t="n"/>
      <c r="Q57" s="225" t="n"/>
      <c r="R57" s="225" t="n"/>
      <c r="S57" s="225" t="n"/>
      <c r="T57" s="225" t="n"/>
      <c r="U57" s="225" t="n"/>
      <c r="V57" s="225" t="n"/>
      <c r="W57" s="225" t="n"/>
      <c r="X57" s="226" t="n"/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2" t="n"/>
      <c r="C58" s="227" t="n"/>
      <c r="D58" s="214" t="n"/>
      <c r="E58" s="214" t="n"/>
      <c r="F58" s="214" t="n"/>
      <c r="G58" s="214" t="n"/>
      <c r="H58" s="214" t="n"/>
      <c r="I58" s="214" t="n"/>
      <c r="J58" s="214" t="n"/>
      <c r="K58" s="214" t="n"/>
      <c r="L58" s="214" t="n"/>
      <c r="M58" s="214" t="n"/>
      <c r="N58" s="214" t="n"/>
      <c r="O58" s="214" t="n"/>
      <c r="P58" s="214" t="n"/>
      <c r="Q58" s="214" t="n"/>
      <c r="R58" s="214" t="n"/>
      <c r="S58" s="214" t="n"/>
      <c r="T58" s="214" t="n"/>
      <c r="U58" s="214" t="n"/>
      <c r="V58" s="214" t="n"/>
      <c r="W58" s="214" t="n"/>
      <c r="X58" s="228" t="n"/>
      <c r="Y58" s="218" t="n"/>
      <c r="Z58" s="218" t="n"/>
      <c r="AA58" s="218" t="n"/>
      <c r="AB58" s="218" t="n"/>
      <c r="AC58" s="218" t="n"/>
      <c r="AD58" s="218" t="n"/>
      <c r="AE58" s="218" t="n"/>
      <c r="AF58" s="218" t="n"/>
      <c r="AG58" s="218" t="n"/>
      <c r="AH58" s="218" t="n"/>
      <c r="AI58" s="218" t="n"/>
      <c r="AJ58" s="218" t="n"/>
    </row>
    <row r="59" ht="18.75" customHeight="1">
      <c r="B59" s="222" t="n"/>
      <c r="C59" s="227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4" t="n"/>
      <c r="P59" s="214" t="n"/>
      <c r="Q59" s="214" t="n"/>
      <c r="R59" s="214" t="n"/>
      <c r="S59" s="214" t="n"/>
      <c r="T59" s="214" t="n"/>
      <c r="U59" s="214" t="n"/>
      <c r="V59" s="214" t="n"/>
      <c r="W59" s="214" t="n"/>
      <c r="X59" s="228" t="n"/>
      <c r="Y59" s="218" t="n"/>
      <c r="Z59" s="218" t="n"/>
      <c r="AA59" s="218" t="n"/>
      <c r="AB59" s="218" t="n"/>
      <c r="AC59" s="218" t="n"/>
      <c r="AD59" s="218" t="n"/>
      <c r="AE59" s="218" t="n"/>
      <c r="AF59" s="218" t="n"/>
      <c r="AG59" s="218" t="n"/>
      <c r="AH59" s="218" t="n"/>
      <c r="AI59" s="218" t="n"/>
      <c r="AJ59" s="218" t="n"/>
    </row>
    <row r="60" ht="18.75" customHeight="1">
      <c r="B60" s="229" t="n"/>
      <c r="C60" s="230" t="n"/>
      <c r="D60" s="231" t="n"/>
      <c r="E60" s="231" t="n"/>
      <c r="F60" s="231" t="n"/>
      <c r="G60" s="231" t="n"/>
      <c r="H60" s="231" t="n"/>
      <c r="I60" s="231" t="n"/>
      <c r="J60" s="231" t="n"/>
      <c r="K60" s="231" t="n"/>
      <c r="L60" s="231" t="n"/>
      <c r="M60" s="231" t="n"/>
      <c r="N60" s="231" t="n"/>
      <c r="O60" s="231" t="n"/>
      <c r="P60" s="231" t="n"/>
      <c r="Q60" s="231" t="n"/>
      <c r="R60" s="231" t="n"/>
      <c r="S60" s="231" t="n"/>
      <c r="T60" s="231" t="n"/>
      <c r="U60" s="231" t="n"/>
      <c r="V60" s="231" t="n"/>
      <c r="W60" s="231" t="n"/>
      <c r="X60" s="232" t="n"/>
      <c r="Y60" s="218" t="n"/>
      <c r="Z60" s="218" t="n"/>
      <c r="AA60" s="218" t="n"/>
      <c r="AB60" s="218" t="n"/>
      <c r="AC60" s="218" t="n"/>
      <c r="AD60" s="218" t="n"/>
      <c r="AE60" s="218" t="n"/>
      <c r="AF60" s="218" t="n"/>
      <c r="AG60" s="218" t="n"/>
      <c r="AH60" s="218" t="n"/>
      <c r="AI60" s="218" t="n"/>
      <c r="AJ60" s="218" t="n"/>
    </row>
    <row r="61" ht="18.75" customHeight="1">
      <c r="B61" s="233" t="n"/>
      <c r="C61" s="234" t="n"/>
      <c r="D61" s="235" t="n"/>
      <c r="E61" s="235" t="n"/>
      <c r="F61" s="236" t="n"/>
      <c r="G61" s="236" t="n"/>
      <c r="H61" s="236" t="n"/>
      <c r="I61" s="236" t="n"/>
      <c r="J61" s="236" t="n"/>
      <c r="K61" s="236" t="n"/>
      <c r="L61" s="236" t="n"/>
      <c r="M61" s="236" t="n"/>
      <c r="N61" s="236" t="n"/>
      <c r="O61" s="236" t="n"/>
      <c r="P61" s="236" t="n"/>
      <c r="Q61" s="236" t="n"/>
      <c r="R61" s="236" t="n"/>
      <c r="S61" s="236" t="n"/>
      <c r="T61" s="236" t="n"/>
      <c r="U61" s="236" t="n"/>
      <c r="V61" s="236" t="n"/>
      <c r="W61" s="236" t="n"/>
      <c r="X61" s="237" t="n"/>
      <c r="Y61" s="218" t="n"/>
      <c r="Z61" s="218" t="n"/>
      <c r="AA61" s="218" t="n"/>
      <c r="AB61" s="218" t="n"/>
      <c r="AC61" s="218" t="n"/>
      <c r="AD61" s="218" t="n"/>
      <c r="AE61" s="218" t="n"/>
      <c r="AF61" s="218" t="n"/>
      <c r="AG61" s="218" t="n"/>
      <c r="AH61" s="218" t="n"/>
      <c r="AI61" s="218" t="n"/>
      <c r="AJ61" s="218" t="n"/>
    </row>
    <row r="62" ht="18.75" customHeight="1">
      <c r="B62" s="238" t="inlineStr">
        <is>
          <t>回收年限評估</t>
        </is>
      </c>
      <c r="C62" s="239" t="n"/>
      <c r="D62" s="240">
        <f>IF((D56)&gt;0,"回收","未回收")</f>
        <v/>
      </c>
      <c r="E62" s="240">
        <f>IF((E56)&gt;0,"回收","未回收")</f>
        <v/>
      </c>
      <c r="F62" s="240">
        <f>IF((F56)&gt;0,"回收","未回收")</f>
        <v/>
      </c>
      <c r="G62" s="240">
        <f>IF((G56)&gt;0,"回收","未回收")</f>
        <v/>
      </c>
      <c r="H62" s="240">
        <f>IF((H56)&gt;0,"回收","未回收")</f>
        <v/>
      </c>
      <c r="I62" s="240">
        <f>IF((I56)&gt;0,"回收","未回收")</f>
        <v/>
      </c>
      <c r="J62" s="240">
        <f>IF((J56)&gt;0,"回收","未回收")</f>
        <v/>
      </c>
      <c r="K62" s="240">
        <f>IF((K56)&gt;0,"回收","未回收")</f>
        <v/>
      </c>
      <c r="L62" s="240">
        <f>IF((L56)&gt;0,"回收","未回收")</f>
        <v/>
      </c>
      <c r="M62" s="240">
        <f>IF((M56)&gt;0,"回收","未回收")</f>
        <v/>
      </c>
      <c r="N62" s="240">
        <f>IF((N56)&gt;0,"回收","未回收")</f>
        <v/>
      </c>
      <c r="O62" s="240">
        <f>IF((O56)&gt;0,"回收","未回收")</f>
        <v/>
      </c>
      <c r="P62" s="240">
        <f>IF((P56)&gt;0,"回收","未回收")</f>
        <v/>
      </c>
      <c r="Q62" s="240">
        <f>IF((Q56)&gt;0,"回收","未回收")</f>
        <v/>
      </c>
      <c r="R62" s="240">
        <f>IF((R56)&gt;0,"回收","未回收")</f>
        <v/>
      </c>
      <c r="S62" s="240">
        <f>IF((S56)&gt;0,"回收","未回收")</f>
        <v/>
      </c>
      <c r="T62" s="240">
        <f>IF((T56)&gt;0,"回收","未回收")</f>
        <v/>
      </c>
      <c r="U62" s="240">
        <f>IF((U56)&gt;0,"回收","未回收")</f>
        <v/>
      </c>
      <c r="V62" s="240">
        <f>IF((V56)&gt;0,"回收","未回收")</f>
        <v/>
      </c>
      <c r="W62" s="240">
        <f>IF((W56)&gt;0,"回收","未回收")</f>
        <v/>
      </c>
      <c r="X62" s="240">
        <f>IF((X56)&gt;0,"回收","未回收")</f>
        <v/>
      </c>
      <c r="Y62" s="218" t="n"/>
      <c r="Z62" s="218" t="n"/>
      <c r="AA62" s="218" t="n"/>
      <c r="AB62" s="218" t="n"/>
      <c r="AC62" s="218" t="n"/>
      <c r="AD62" s="218" t="n"/>
      <c r="AE62" s="218" t="n"/>
      <c r="AF62" s="218" t="n"/>
      <c r="AG62" s="218" t="n"/>
      <c r="AH62" s="218" t="n"/>
      <c r="AI62" s="218" t="n"/>
      <c r="AJ62" s="218" t="n"/>
    </row>
    <row r="63" ht="18.75" customHeight="1">
      <c r="B63" s="241" t="inlineStr">
        <is>
          <t>專案法IRR</t>
        </is>
      </c>
      <c r="C63" s="242">
        <f>IRR(C55:W55)</f>
        <v/>
      </c>
      <c r="D63" s="243" t="n"/>
      <c r="E63" s="243" t="n"/>
      <c r="F63" s="244" t="n"/>
      <c r="G63" s="244" t="n"/>
      <c r="H63" s="244" t="n"/>
      <c r="I63" s="244" t="n"/>
      <c r="J63" s="244" t="n"/>
      <c r="K63" s="244" t="n"/>
      <c r="L63" s="244" t="n"/>
      <c r="M63" s="244" t="n"/>
      <c r="N63" s="244" t="n"/>
      <c r="O63" s="244" t="n"/>
      <c r="P63" s="244" t="n"/>
      <c r="Q63" s="244" t="n"/>
      <c r="R63" s="244" t="n"/>
      <c r="S63" s="244" t="n"/>
      <c r="T63" s="244" t="n"/>
      <c r="U63" s="244" t="n"/>
      <c r="V63" s="244" t="n"/>
      <c r="W63" s="244" t="n"/>
      <c r="X63" s="244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</row>
    <row r="64" ht="18.75" customHeight="1">
      <c r="B64" s="244" t="n"/>
      <c r="C64" s="243" t="n"/>
      <c r="D64" s="243" t="n"/>
      <c r="E64" s="243" t="n"/>
      <c r="F64" s="244" t="n"/>
      <c r="G64" s="244" t="n"/>
      <c r="H64" s="244" t="n"/>
      <c r="I64" s="244" t="n"/>
      <c r="J64" s="244" t="n"/>
      <c r="K64" s="244" t="n"/>
      <c r="L64" s="244" t="n"/>
      <c r="M64" s="243" t="n"/>
      <c r="N64" s="244" t="n"/>
      <c r="O64" s="244" t="n"/>
      <c r="P64" s="244" t="n"/>
      <c r="Q64" s="244" t="n"/>
      <c r="R64" s="244" t="n"/>
      <c r="S64" s="244" t="n"/>
      <c r="T64" s="244" t="n"/>
      <c r="U64" s="244" t="n"/>
      <c r="V64" s="244" t="n"/>
      <c r="W64" s="244" t="n"/>
      <c r="X64" s="244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</row>
    <row r="65" ht="18.75" customHeight="1">
      <c r="B65" s="95" t="n"/>
      <c r="C65" s="30" t="inlineStr">
        <is>
          <t>年份</t>
        </is>
      </c>
      <c r="D65" s="30">
        <f>D37</f>
        <v/>
      </c>
      <c r="E65" s="30">
        <f>E37</f>
        <v/>
      </c>
      <c r="F65" s="30">
        <f>F37</f>
        <v/>
      </c>
      <c r="G65" s="30">
        <f>G37</f>
        <v/>
      </c>
      <c r="H65" s="30">
        <f>H37</f>
        <v/>
      </c>
      <c r="I65" s="30">
        <f>I37</f>
        <v/>
      </c>
      <c r="J65" s="30">
        <f>J37</f>
        <v/>
      </c>
      <c r="K65" s="30">
        <f>K37</f>
        <v/>
      </c>
      <c r="L65" s="30">
        <f>L37</f>
        <v/>
      </c>
      <c r="M65" s="30">
        <f>M37</f>
        <v/>
      </c>
      <c r="N65" s="30">
        <f>N37</f>
        <v/>
      </c>
      <c r="O65" s="30">
        <f>O37</f>
        <v/>
      </c>
      <c r="P65" s="30">
        <f>P37</f>
        <v/>
      </c>
      <c r="Q65" s="30">
        <f>Q37</f>
        <v/>
      </c>
      <c r="R65" s="30">
        <f>R37</f>
        <v/>
      </c>
      <c r="S65" s="30">
        <f>S37</f>
        <v/>
      </c>
      <c r="T65" s="30">
        <f>T37</f>
        <v/>
      </c>
      <c r="U65" s="30">
        <f>U37</f>
        <v/>
      </c>
      <c r="V65" s="30">
        <f>V37</f>
        <v/>
      </c>
      <c r="W65" s="30">
        <f>W37</f>
        <v/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 ht="18.75" customHeight="1">
      <c r="B66" s="181" t="n">
        <v>0</v>
      </c>
      <c r="C66" s="182" t="n"/>
      <c r="D66" s="183" t="n"/>
      <c r="E66" s="183" t="n"/>
      <c r="F66" s="184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246" t="inlineStr">
        <is>
          <t>償還年限</t>
        </is>
      </c>
      <c r="U66" s="185" t="n"/>
      <c r="V66" s="185" t="n"/>
      <c r="W66" s="185" t="n"/>
      <c r="X66" s="187" t="n"/>
    </row>
    <row r="67" ht="18.75" customHeight="1">
      <c r="B67" s="188" t="inlineStr">
        <is>
          <t>(Unit : Currency)</t>
        </is>
      </c>
      <c r="C67" s="189" t="n">
        <v>0</v>
      </c>
      <c r="D67" s="190" t="n">
        <v>1</v>
      </c>
      <c r="E67" s="190" t="n">
        <v>2</v>
      </c>
      <c r="F67" s="190" t="n">
        <v>3</v>
      </c>
      <c r="G67" s="190" t="n">
        <v>4</v>
      </c>
      <c r="H67" s="190" t="n">
        <v>5</v>
      </c>
      <c r="I67" s="190" t="n">
        <v>6</v>
      </c>
      <c r="J67" s="190" t="n">
        <v>7</v>
      </c>
      <c r="K67" s="190" t="n">
        <v>8</v>
      </c>
      <c r="L67" s="190" t="n">
        <v>9</v>
      </c>
      <c r="M67" s="190" t="n">
        <v>10</v>
      </c>
      <c r="N67" s="190" t="n">
        <v>11</v>
      </c>
      <c r="O67" s="190" t="n">
        <v>12</v>
      </c>
      <c r="P67" s="190" t="n">
        <v>13</v>
      </c>
      <c r="Q67" s="190" t="n">
        <v>14</v>
      </c>
      <c r="R67" s="190" t="n">
        <v>15</v>
      </c>
      <c r="S67" s="190" t="n">
        <v>16</v>
      </c>
      <c r="T67" s="247" t="n">
        <v>17</v>
      </c>
      <c r="U67" s="190" t="n">
        <v>18</v>
      </c>
      <c r="V67" s="190" t="n">
        <v>19</v>
      </c>
      <c r="W67" s="190" t="n">
        <v>20</v>
      </c>
      <c r="X67" s="42" t="n"/>
    </row>
    <row r="68" ht="18.75" customHeight="1">
      <c r="B68" s="192" t="inlineStr">
        <is>
          <t>發電度數(KWH)</t>
        </is>
      </c>
      <c r="C68" s="193" t="n">
        <v>0</v>
      </c>
      <c r="D68" s="194">
        <f>D40</f>
        <v/>
      </c>
      <c r="E68" s="194">
        <f>E40</f>
        <v/>
      </c>
      <c r="F68" s="194">
        <f>F40</f>
        <v/>
      </c>
      <c r="G68" s="194">
        <f>G40</f>
        <v/>
      </c>
      <c r="H68" s="194">
        <f>H40</f>
        <v/>
      </c>
      <c r="I68" s="194">
        <f>I40</f>
        <v/>
      </c>
      <c r="J68" s="194">
        <f>J40</f>
        <v/>
      </c>
      <c r="K68" s="194">
        <f>K40</f>
        <v/>
      </c>
      <c r="L68" s="194">
        <f>L40</f>
        <v/>
      </c>
      <c r="M68" s="194">
        <f>M40</f>
        <v/>
      </c>
      <c r="N68" s="194">
        <f>N40</f>
        <v/>
      </c>
      <c r="O68" s="194">
        <f>O40</f>
        <v/>
      </c>
      <c r="P68" s="194">
        <f>P40</f>
        <v/>
      </c>
      <c r="Q68" s="194">
        <f>Q40</f>
        <v/>
      </c>
      <c r="R68" s="194">
        <f>R40</f>
        <v/>
      </c>
      <c r="S68" s="194">
        <f>S40</f>
        <v/>
      </c>
      <c r="T68" s="194">
        <f>T40</f>
        <v/>
      </c>
      <c r="U68" s="194">
        <f>U40</f>
        <v/>
      </c>
      <c r="V68" s="194">
        <f>V40</f>
        <v/>
      </c>
      <c r="W68" s="194">
        <f>W40</f>
        <v/>
      </c>
      <c r="X68" s="195" t="n"/>
    </row>
    <row r="69" ht="18.75" customHeight="1">
      <c r="B69" s="196" t="inlineStr">
        <is>
          <t>Inflow : 電費收入</t>
        </is>
      </c>
      <c r="C69" s="197" t="inlineStr">
        <is>
          <t>-</t>
        </is>
      </c>
      <c r="D69" s="198">
        <f>D41</f>
        <v/>
      </c>
      <c r="E69" s="198">
        <f>E41</f>
        <v/>
      </c>
      <c r="F69" s="198">
        <f>F41</f>
        <v/>
      </c>
      <c r="G69" s="198">
        <f>G41</f>
        <v/>
      </c>
      <c r="H69" s="198">
        <f>H41</f>
        <v/>
      </c>
      <c r="I69" s="198">
        <f>I41</f>
        <v/>
      </c>
      <c r="J69" s="198">
        <f>J41</f>
        <v/>
      </c>
      <c r="K69" s="198">
        <f>K41</f>
        <v/>
      </c>
      <c r="L69" s="198">
        <f>L41</f>
        <v/>
      </c>
      <c r="M69" s="198">
        <f>M41</f>
        <v/>
      </c>
      <c r="N69" s="198">
        <f>N41</f>
        <v/>
      </c>
      <c r="O69" s="198">
        <f>O41</f>
        <v/>
      </c>
      <c r="P69" s="198">
        <f>P41</f>
        <v/>
      </c>
      <c r="Q69" s="198">
        <f>Q41</f>
        <v/>
      </c>
      <c r="R69" s="198">
        <f>R41</f>
        <v/>
      </c>
      <c r="S69" s="198">
        <f>S41</f>
        <v/>
      </c>
      <c r="T69" s="198">
        <f>T41</f>
        <v/>
      </c>
      <c r="U69" s="198">
        <f>U41</f>
        <v/>
      </c>
      <c r="V69" s="198">
        <f>V41</f>
        <v/>
      </c>
      <c r="W69" s="198">
        <f>W41</f>
        <v/>
      </c>
      <c r="X69" s="199" t="n"/>
    </row>
    <row r="70" ht="18.75" customHeight="1">
      <c r="B70" s="200" t="inlineStr">
        <is>
          <t>Inflow : 政府補助</t>
        </is>
      </c>
      <c r="C70" s="201" t="inlineStr">
        <is>
          <t>-</t>
        </is>
      </c>
      <c r="D70" s="202" t="n"/>
      <c r="E70" s="202" t="n"/>
      <c r="F70" s="202" t="n"/>
      <c r="G70" s="202" t="inlineStr">
        <is>
          <t>-</t>
        </is>
      </c>
      <c r="H70" s="202" t="inlineStr">
        <is>
          <t>-</t>
        </is>
      </c>
      <c r="I70" s="202" t="inlineStr">
        <is>
          <t>-</t>
        </is>
      </c>
      <c r="J70" s="202" t="inlineStr">
        <is>
          <t>-</t>
        </is>
      </c>
      <c r="K70" s="202" t="inlineStr">
        <is>
          <t>-</t>
        </is>
      </c>
      <c r="L70" s="202" t="inlineStr">
        <is>
          <t>-</t>
        </is>
      </c>
      <c r="M70" s="202" t="inlineStr">
        <is>
          <t>-</t>
        </is>
      </c>
      <c r="N70" s="202" t="inlineStr">
        <is>
          <t>-</t>
        </is>
      </c>
      <c r="O70" s="202" t="inlineStr">
        <is>
          <t>-</t>
        </is>
      </c>
      <c r="P70" s="202" t="inlineStr">
        <is>
          <t>-</t>
        </is>
      </c>
      <c r="Q70" s="202" t="inlineStr">
        <is>
          <t>-</t>
        </is>
      </c>
      <c r="R70" s="202" t="inlineStr">
        <is>
          <t>-</t>
        </is>
      </c>
      <c r="S70" s="202" t="inlineStr">
        <is>
          <t>-</t>
        </is>
      </c>
      <c r="T70" s="202" t="inlineStr">
        <is>
          <t>-</t>
        </is>
      </c>
      <c r="U70" s="202" t="inlineStr">
        <is>
          <t>-</t>
        </is>
      </c>
      <c r="V70" s="202" t="inlineStr">
        <is>
          <t>-</t>
        </is>
      </c>
      <c r="W70" s="202" t="inlineStr">
        <is>
          <t>-</t>
        </is>
      </c>
      <c r="X70" s="203" t="n"/>
    </row>
    <row r="71" ht="18.75" customHeight="1">
      <c r="B71" s="204" t="inlineStr">
        <is>
          <t>Inflow : 銀行借款</t>
        </is>
      </c>
      <c r="C71" s="205" t="n"/>
      <c r="D71" s="206" t="n"/>
      <c r="E71" s="206" t="n"/>
      <c r="F71" s="206" t="n"/>
      <c r="G71" s="206" t="n"/>
      <c r="H71" s="206" t="n"/>
      <c r="I71" s="206" t="n"/>
      <c r="J71" s="206" t="n"/>
      <c r="K71" s="206" t="n"/>
      <c r="L71" s="206" t="n"/>
      <c r="M71" s="206" t="n"/>
      <c r="N71" s="206" t="n"/>
      <c r="O71" s="206" t="n"/>
      <c r="P71" s="206" t="n"/>
      <c r="Q71" s="206" t="n"/>
      <c r="R71" s="206" t="n"/>
      <c r="S71" s="206" t="n"/>
      <c r="T71" s="206" t="n"/>
      <c r="U71" s="206" t="n"/>
      <c r="V71" s="206" t="n"/>
      <c r="W71" s="206" t="n"/>
      <c r="X71" s="207" t="n"/>
    </row>
    <row r="72" ht="18.75" customHeight="1">
      <c r="B72" s="208" t="inlineStr">
        <is>
          <t>Outflow : 設備折舊</t>
        </is>
      </c>
      <c r="C72" s="201" t="n"/>
      <c r="D72" s="209">
        <f>$C$44/$E$16</f>
        <v/>
      </c>
      <c r="E72" s="209">
        <f>$C$44/$E$16</f>
        <v/>
      </c>
      <c r="F72" s="209">
        <f>$C$44/$E$16</f>
        <v/>
      </c>
      <c r="G72" s="209">
        <f>$C$44/$E$16</f>
        <v/>
      </c>
      <c r="H72" s="209">
        <f>$C$44/$E$16</f>
        <v/>
      </c>
      <c r="I72" s="209">
        <f>$C$44/$E$16</f>
        <v/>
      </c>
      <c r="J72" s="209">
        <f>$C$44/$E$16</f>
        <v/>
      </c>
      <c r="K72" s="209">
        <f>$C$44/$E$16</f>
        <v/>
      </c>
      <c r="L72" s="209">
        <f>$C$44/$E$16</f>
        <v/>
      </c>
      <c r="M72" s="209">
        <f>$C$44/$E$16</f>
        <v/>
      </c>
      <c r="N72" s="209">
        <f>$C$44/$E$16</f>
        <v/>
      </c>
      <c r="O72" s="209">
        <f>$C$44/$E$16</f>
        <v/>
      </c>
      <c r="P72" s="209">
        <f>$C$44/$E$16</f>
        <v/>
      </c>
      <c r="Q72" s="209">
        <f>$C$44/$E$16</f>
        <v/>
      </c>
      <c r="R72" s="209">
        <f>$C$44/$E$16</f>
        <v/>
      </c>
      <c r="S72" s="209">
        <f>$C$44/$E$16</f>
        <v/>
      </c>
      <c r="T72" s="209">
        <f>$C$44/$E$16</f>
        <v/>
      </c>
      <c r="U72" s="209">
        <f>$C$44/$E$16</f>
        <v/>
      </c>
      <c r="V72" s="209">
        <f>$C$44/$E$16</f>
        <v/>
      </c>
      <c r="W72" s="209">
        <f>$C$44/$E$16</f>
        <v/>
      </c>
      <c r="X72" s="203" t="n"/>
    </row>
    <row r="73" ht="18.75" customHeight="1">
      <c r="B73" s="208" t="inlineStr">
        <is>
          <t>Outflow : 設備放置區域租金</t>
        </is>
      </c>
      <c r="C73" s="201" t="inlineStr">
        <is>
          <t>-</t>
        </is>
      </c>
      <c r="D73" s="202">
        <f>D45</f>
        <v/>
      </c>
      <c r="E73" s="202">
        <f>E45</f>
        <v/>
      </c>
      <c r="F73" s="202">
        <f>F45</f>
        <v/>
      </c>
      <c r="G73" s="202">
        <f>G45</f>
        <v/>
      </c>
      <c r="H73" s="202">
        <f>H45</f>
        <v/>
      </c>
      <c r="I73" s="202">
        <f>I45</f>
        <v/>
      </c>
      <c r="J73" s="202">
        <f>J45</f>
        <v/>
      </c>
      <c r="K73" s="202">
        <f>K45</f>
        <v/>
      </c>
      <c r="L73" s="202">
        <f>L45</f>
        <v/>
      </c>
      <c r="M73" s="202">
        <f>M45</f>
        <v/>
      </c>
      <c r="N73" s="202">
        <f>N45</f>
        <v/>
      </c>
      <c r="O73" s="202">
        <f>O45</f>
        <v/>
      </c>
      <c r="P73" s="202">
        <f>P45</f>
        <v/>
      </c>
      <c r="Q73" s="202">
        <f>Q45</f>
        <v/>
      </c>
      <c r="R73" s="202">
        <f>R45</f>
        <v/>
      </c>
      <c r="S73" s="202">
        <f>S45</f>
        <v/>
      </c>
      <c r="T73" s="202">
        <f>T45</f>
        <v/>
      </c>
      <c r="U73" s="202">
        <f>U45</f>
        <v/>
      </c>
      <c r="V73" s="202">
        <f>V45</f>
        <v/>
      </c>
      <c r="W73" s="202">
        <f>W45</f>
        <v/>
      </c>
      <c r="X73" s="203" t="n"/>
    </row>
    <row r="74" ht="18.75" customHeight="1">
      <c r="B74" s="208" t="inlineStr">
        <is>
          <t>Outflow : 返還借款</t>
        </is>
      </c>
      <c r="C74" s="201" t="n"/>
      <c r="D74" s="202" t="n"/>
      <c r="E74" s="20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Outflow : 利息費用</t>
        </is>
      </c>
      <c r="C75" s="201" t="inlineStr">
        <is>
          <t>-</t>
        </is>
      </c>
      <c r="D75" s="202" t="n">
        <v>-251702.637725</v>
      </c>
      <c r="E75" s="202" t="n">
        <v>-234922.4618766667</v>
      </c>
      <c r="F75" s="202" t="n">
        <v>-218142.2860283333</v>
      </c>
      <c r="G75" s="202" t="n">
        <v>-201362.11018</v>
      </c>
      <c r="H75" s="202" t="n">
        <v>-184581.9343316667</v>
      </c>
      <c r="I75" s="202" t="n">
        <v>-167801.7584833333</v>
      </c>
      <c r="J75" s="202" t="n">
        <v>-151021.582635</v>
      </c>
      <c r="K75" s="202" t="n">
        <v>-134241.4067866667</v>
      </c>
      <c r="L75" s="202" t="n">
        <v>-117461.2309383333</v>
      </c>
      <c r="M75" s="202" t="n">
        <v>-100681.05509</v>
      </c>
      <c r="N75" s="202" t="n">
        <v>-83900.87924166667</v>
      </c>
      <c r="O75" s="202" t="n">
        <v>-67120.70339333333</v>
      </c>
      <c r="P75" s="202" t="n">
        <v>-50340.527545</v>
      </c>
      <c r="Q75" s="202" t="n">
        <v>-33560.35169666666</v>
      </c>
      <c r="R75" s="202" t="n">
        <v>-16780.17584833333</v>
      </c>
      <c r="S75" s="202" t="n">
        <v>0</v>
      </c>
      <c r="T75" s="202" t="n">
        <v>0</v>
      </c>
      <c r="U75" s="202" t="n">
        <v>0</v>
      </c>
      <c r="V75" s="202" t="n">
        <v>0</v>
      </c>
      <c r="W75" s="202" t="n">
        <v>0</v>
      </c>
      <c r="X75" s="203" t="n"/>
    </row>
    <row r="76" ht="18.75" customHeight="1">
      <c r="B76" s="208" t="inlineStr">
        <is>
          <t>Outflow : 維運費</t>
        </is>
      </c>
      <c r="C76" s="201" t="inlineStr">
        <is>
          <t>-</t>
        </is>
      </c>
      <c r="D76" s="202">
        <f>D48</f>
        <v/>
      </c>
      <c r="E76" s="202">
        <f>E48</f>
        <v/>
      </c>
      <c r="F76" s="202">
        <f>F48</f>
        <v/>
      </c>
      <c r="G76" s="202">
        <f>G48</f>
        <v/>
      </c>
      <c r="H76" s="202">
        <f>H48</f>
        <v/>
      </c>
      <c r="I76" s="202">
        <f>I48</f>
        <v/>
      </c>
      <c r="J76" s="202">
        <f>J48</f>
        <v/>
      </c>
      <c r="K76" s="202">
        <f>K48</f>
        <v/>
      </c>
      <c r="L76" s="202">
        <f>L48</f>
        <v/>
      </c>
      <c r="M76" s="202">
        <f>M48</f>
        <v/>
      </c>
      <c r="N76" s="202">
        <f>N48</f>
        <v/>
      </c>
      <c r="O76" s="202">
        <f>O48</f>
        <v/>
      </c>
      <c r="P76" s="202">
        <f>P48</f>
        <v/>
      </c>
      <c r="Q76" s="202">
        <f>Q48</f>
        <v/>
      </c>
      <c r="R76" s="202">
        <f>R48</f>
        <v/>
      </c>
      <c r="S76" s="202">
        <f>S48</f>
        <v/>
      </c>
      <c r="T76" s="202">
        <f>T48</f>
        <v/>
      </c>
      <c r="U76" s="202">
        <f>U48</f>
        <v/>
      </c>
      <c r="V76" s="202">
        <f>V48</f>
        <v/>
      </c>
      <c r="W76" s="202">
        <f>W48</f>
        <v/>
      </c>
      <c r="X76" s="203" t="n"/>
    </row>
    <row r="77" ht="18.75" customHeight="1">
      <c r="B77" s="208" t="inlineStr">
        <is>
          <t>Outflow : 保險費</t>
        </is>
      </c>
      <c r="C77" s="201" t="inlineStr">
        <is>
          <t>-</t>
        </is>
      </c>
      <c r="D77" s="202">
        <f>D49</f>
        <v/>
      </c>
      <c r="E77" s="202">
        <f>E49</f>
        <v/>
      </c>
      <c r="F77" s="202">
        <f>F49</f>
        <v/>
      </c>
      <c r="G77" s="202">
        <f>G49</f>
        <v/>
      </c>
      <c r="H77" s="202">
        <f>H49</f>
        <v/>
      </c>
      <c r="I77" s="202">
        <f>I49</f>
        <v/>
      </c>
      <c r="J77" s="202">
        <f>J49</f>
        <v/>
      </c>
      <c r="K77" s="202">
        <f>K49</f>
        <v/>
      </c>
      <c r="L77" s="202">
        <f>L49</f>
        <v/>
      </c>
      <c r="M77" s="202">
        <f>M49</f>
        <v/>
      </c>
      <c r="N77" s="202">
        <f>N49</f>
        <v/>
      </c>
      <c r="O77" s="202">
        <f>O49</f>
        <v/>
      </c>
      <c r="P77" s="202">
        <f>P49</f>
        <v/>
      </c>
      <c r="Q77" s="202">
        <f>Q49</f>
        <v/>
      </c>
      <c r="R77" s="202">
        <f>R49</f>
        <v/>
      </c>
      <c r="S77" s="202">
        <f>S49</f>
        <v/>
      </c>
      <c r="T77" s="202">
        <f>T49</f>
        <v/>
      </c>
      <c r="U77" s="202">
        <f>U49</f>
        <v/>
      </c>
      <c r="V77" s="202">
        <f>V49</f>
        <v/>
      </c>
      <c r="W77" s="202">
        <f>W49</f>
        <v/>
      </c>
      <c r="X77" s="203" t="n"/>
    </row>
    <row r="78" ht="18.75" customHeight="1">
      <c r="B78" s="208" t="inlineStr">
        <is>
          <t>Outflow : 模組回收費</t>
        </is>
      </c>
      <c r="C78" s="201" t="n"/>
      <c r="D78" s="202">
        <f>D50</f>
        <v/>
      </c>
      <c r="E78" s="202">
        <f>E50</f>
        <v/>
      </c>
      <c r="F78" s="202">
        <f>F50</f>
        <v/>
      </c>
      <c r="G78" s="202">
        <f>G50</f>
        <v/>
      </c>
      <c r="H78" s="202">
        <f>H50</f>
        <v/>
      </c>
      <c r="I78" s="202">
        <f>I50</f>
        <v/>
      </c>
      <c r="J78" s="202">
        <f>J50</f>
        <v/>
      </c>
      <c r="K78" s="202">
        <f>K50</f>
        <v/>
      </c>
      <c r="L78" s="202">
        <f>L50</f>
        <v/>
      </c>
      <c r="M78" s="202">
        <f>M50</f>
        <v/>
      </c>
      <c r="N78" s="202">
        <f>N50</f>
        <v/>
      </c>
      <c r="O78" s="202">
        <f>O50</f>
        <v/>
      </c>
      <c r="P78" s="202">
        <f>P50</f>
        <v/>
      </c>
      <c r="Q78" s="202">
        <f>Q50</f>
        <v/>
      </c>
      <c r="R78" s="202">
        <f>R50</f>
        <v/>
      </c>
      <c r="S78" s="202">
        <f>S50</f>
        <v/>
      </c>
      <c r="T78" s="202">
        <f>T50</f>
        <v/>
      </c>
      <c r="U78" s="202">
        <f>U50</f>
        <v/>
      </c>
      <c r="V78" s="202">
        <f>V50</f>
        <v/>
      </c>
      <c r="W78" s="202">
        <f>W50</f>
        <v/>
      </c>
      <c r="X78" s="203" t="n"/>
    </row>
    <row r="79" ht="18.75" customHeight="1">
      <c r="B79" s="208" t="inlineStr">
        <is>
          <t>Outflow : 其它費用(人事薪資…等)</t>
        </is>
      </c>
      <c r="C79" s="210" t="n"/>
      <c r="D79" s="211" t="n"/>
      <c r="E79" s="212" t="n"/>
      <c r="F79" s="202" t="n"/>
      <c r="G79" s="202" t="n"/>
      <c r="H79" s="202" t="n"/>
      <c r="I79" s="202" t="n"/>
      <c r="J79" s="202" t="n"/>
      <c r="K79" s="202" t="n"/>
      <c r="L79" s="202" t="n"/>
      <c r="M79" s="202" t="n"/>
      <c r="N79" s="202" t="n"/>
      <c r="O79" s="202" t="n"/>
      <c r="P79" s="202" t="n"/>
      <c r="Q79" s="202" t="n"/>
      <c r="R79" s="202" t="n"/>
      <c r="S79" s="202" t="n"/>
      <c r="T79" s="202" t="n"/>
      <c r="U79" s="202" t="n"/>
      <c r="V79" s="202" t="n"/>
      <c r="W79" s="202" t="n"/>
      <c r="X79" s="203" t="n"/>
    </row>
    <row r="80" ht="18.75" customHeight="1">
      <c r="B80" s="208" t="inlineStr">
        <is>
          <t>1%管理費</t>
        </is>
      </c>
      <c r="C80" s="210" t="n"/>
      <c r="D80" s="202" t="n"/>
      <c r="E80" s="202" t="n"/>
      <c r="F80" s="202" t="n"/>
      <c r="G80" s="202" t="n"/>
      <c r="H80" s="202" t="n"/>
      <c r="I80" s="202" t="n"/>
      <c r="J80" s="202" t="n"/>
      <c r="K80" s="202" t="n"/>
      <c r="L80" s="202" t="n"/>
      <c r="M80" s="202" t="n"/>
      <c r="N80" s="202" t="n"/>
      <c r="O80" s="202" t="n"/>
      <c r="P80" s="202" t="n"/>
      <c r="Q80" s="202" t="n"/>
      <c r="R80" s="202" t="n"/>
      <c r="S80" s="202" t="n"/>
      <c r="T80" s="202" t="n"/>
      <c r="U80" s="202" t="n"/>
      <c r="V80" s="202" t="n"/>
      <c r="W80" s="202" t="n"/>
      <c r="X80" s="203" t="n"/>
    </row>
    <row r="81" ht="18.75" customHeight="1">
      <c r="B81" s="215" t="inlineStr">
        <is>
          <t>稅前淨利</t>
        </is>
      </c>
      <c r="C81" s="248" t="n"/>
      <c r="D81" s="217">
        <f>SUM(D69:D80)</f>
        <v/>
      </c>
      <c r="E81" s="217">
        <f>SUM(E69:E80)</f>
        <v/>
      </c>
      <c r="F81" s="217">
        <f>SUM(F69:F80)</f>
        <v/>
      </c>
      <c r="G81" s="217">
        <f>SUM(G69:G80)</f>
        <v/>
      </c>
      <c r="H81" s="217">
        <f>SUM(H69:H80)</f>
        <v/>
      </c>
      <c r="I81" s="217">
        <f>SUM(I69:I80)</f>
        <v/>
      </c>
      <c r="J81" s="217">
        <f>SUM(J69:J80)</f>
        <v/>
      </c>
      <c r="K81" s="217">
        <f>SUM(K69:K80)</f>
        <v/>
      </c>
      <c r="L81" s="217">
        <f>SUM(L69:L80)</f>
        <v/>
      </c>
      <c r="M81" s="217">
        <f>SUM(M69:M80)</f>
        <v/>
      </c>
      <c r="N81" s="217">
        <f>SUM(N69:N80)</f>
        <v/>
      </c>
      <c r="O81" s="217">
        <f>SUM(O69:O80)</f>
        <v/>
      </c>
      <c r="P81" s="217">
        <f>SUM(P69:P80)</f>
        <v/>
      </c>
      <c r="Q81" s="217">
        <f>SUM(Q69:Q80)</f>
        <v/>
      </c>
      <c r="R81" s="217">
        <f>SUM(R69:R80)</f>
        <v/>
      </c>
      <c r="S81" s="217">
        <f>SUM(S69:S80)</f>
        <v/>
      </c>
      <c r="T81" s="217">
        <f>SUM(T69:T80)</f>
        <v/>
      </c>
      <c r="U81" s="217">
        <f>SUM(U69:U80)</f>
        <v/>
      </c>
      <c r="V81" s="217">
        <f>SUM(V69:V80)</f>
        <v/>
      </c>
      <c r="W81" s="217">
        <f>SUM(W69:W80)</f>
        <v/>
      </c>
      <c r="X81" s="217">
        <f>SUM(X69:X80)</f>
        <v/>
      </c>
    </row>
    <row r="82" ht="18.75" customHeight="1">
      <c r="B82" s="213" t="inlineStr">
        <is>
          <t>所得稅20%</t>
        </is>
      </c>
      <c r="C82" s="210" t="n"/>
      <c r="D82" s="202">
        <f>-D81*0.2</f>
        <v/>
      </c>
      <c r="E82" s="202">
        <f>-E81*0.2</f>
        <v/>
      </c>
      <c r="F82" s="202">
        <f>-F81*0.2</f>
        <v/>
      </c>
      <c r="G82" s="202">
        <f>-G81*0.2</f>
        <v/>
      </c>
      <c r="H82" s="202">
        <f>-H81*0.2</f>
        <v/>
      </c>
      <c r="I82" s="202">
        <f>-I81*0.2</f>
        <v/>
      </c>
      <c r="J82" s="202">
        <f>-J81*0.2</f>
        <v/>
      </c>
      <c r="K82" s="202">
        <f>-K81*0.2</f>
        <v/>
      </c>
      <c r="L82" s="202">
        <f>-L81*0.2</f>
        <v/>
      </c>
      <c r="M82" s="202">
        <f>-M81*0.2</f>
        <v/>
      </c>
      <c r="N82" s="202">
        <f>-N81*0.2</f>
        <v/>
      </c>
      <c r="O82" s="202">
        <f>-O81*0.2</f>
        <v/>
      </c>
      <c r="P82" s="202">
        <f>-P81*0.2</f>
        <v/>
      </c>
      <c r="Q82" s="202">
        <f>-Q81*0.2</f>
        <v/>
      </c>
      <c r="R82" s="202">
        <f>-R81*0.2</f>
        <v/>
      </c>
      <c r="S82" s="202">
        <f>-S81*0.2</f>
        <v/>
      </c>
      <c r="T82" s="202">
        <f>-T81*0.2</f>
        <v/>
      </c>
      <c r="U82" s="202">
        <f>-U81*0.2</f>
        <v/>
      </c>
      <c r="V82" s="202">
        <f>-V81*0.2</f>
        <v/>
      </c>
      <c r="W82" s="202">
        <f>-W81*0.2</f>
        <v/>
      </c>
      <c r="X82" s="202">
        <f>-X81*0.2</f>
        <v/>
      </c>
    </row>
    <row r="83">
      <c r="B83" s="249" t="inlineStr">
        <is>
          <t>稅後淨利</t>
        </is>
      </c>
      <c r="D83" s="202">
        <f>SUM(D81:D82)</f>
        <v/>
      </c>
      <c r="E83" s="202">
        <f>SUM(E81:E82)</f>
        <v/>
      </c>
      <c r="F83" s="202">
        <f>SUM(F81:F82)</f>
        <v/>
      </c>
      <c r="G83" s="202">
        <f>SUM(G81:G82)</f>
        <v/>
      </c>
      <c r="H83" s="202">
        <f>SUM(H81:H82)</f>
        <v/>
      </c>
      <c r="I83" s="202">
        <f>SUM(I81:I82)</f>
        <v/>
      </c>
      <c r="J83" s="202">
        <f>SUM(J81:J82)</f>
        <v/>
      </c>
      <c r="K83" s="202">
        <f>SUM(K81:K82)</f>
        <v/>
      </c>
      <c r="L83" s="202">
        <f>SUM(L81:L82)</f>
        <v/>
      </c>
      <c r="M83" s="202">
        <f>SUM(M81:M82)</f>
        <v/>
      </c>
      <c r="N83" s="202">
        <f>SUM(N81:N82)</f>
        <v/>
      </c>
      <c r="O83" s="202">
        <f>SUM(O81:O82)</f>
        <v/>
      </c>
      <c r="P83" s="202">
        <f>SUM(P81:P82)</f>
        <v/>
      </c>
      <c r="Q83" s="202">
        <f>SUM(Q81:Q82)</f>
        <v/>
      </c>
      <c r="R83" s="202">
        <f>SUM(R81:R82)</f>
        <v/>
      </c>
      <c r="S83" s="202">
        <f>SUM(S81:S82)</f>
        <v/>
      </c>
      <c r="T83" s="202">
        <f>SUM(T81:T82)</f>
        <v/>
      </c>
      <c r="U83" s="202">
        <f>SUM(U81:U82)</f>
        <v/>
      </c>
      <c r="V83" s="202">
        <f>SUM(V81:V82)</f>
        <v/>
      </c>
      <c r="W83" s="202">
        <f>SUM(W81:W82)</f>
        <v/>
      </c>
      <c r="X83" s="202">
        <f>SUM(X81:X82)</f>
        <v/>
      </c>
    </row>
    <row r="84" ht="18.75" customHeight="1">
      <c r="B84" s="220" t="inlineStr">
        <is>
          <t>累計現金流</t>
        </is>
      </c>
      <c r="C84" s="216" t="n"/>
      <c r="D84" s="221" t="n"/>
      <c r="E84" s="221" t="n"/>
      <c r="F84" s="221" t="n"/>
      <c r="G84" s="221" t="n"/>
      <c r="H84" s="221" t="n"/>
      <c r="I84" s="221" t="n"/>
      <c r="J84" s="221" t="n"/>
      <c r="K84" s="221" t="n"/>
      <c r="L84" s="221" t="n"/>
      <c r="M84" s="221" t="n"/>
      <c r="N84" s="221" t="n"/>
      <c r="O84" s="221" t="n"/>
      <c r="P84" s="221" t="n"/>
      <c r="Q84" s="221" t="n"/>
      <c r="R84" s="221" t="n"/>
      <c r="S84" s="221" t="n"/>
      <c r="T84" s="221" t="n"/>
      <c r="U84" s="221" t="n"/>
      <c r="V84" s="221" t="n"/>
      <c r="W84" s="221" t="n"/>
      <c r="X84" s="250" t="n"/>
    </row>
    <row r="85" ht="18.75" customHeight="1">
      <c r="B85" s="251" t="inlineStr">
        <is>
          <t>回收年限評估</t>
        </is>
      </c>
      <c r="C85" s="252" t="n"/>
      <c r="D85" s="253" t="n"/>
      <c r="E85" s="253" t="n"/>
      <c r="F85" s="253" t="n"/>
      <c r="G85" s="253" t="n"/>
      <c r="H85" s="253" t="n"/>
      <c r="I85" s="253" t="n"/>
      <c r="J85" s="253" t="n"/>
      <c r="K85" s="253" t="n"/>
      <c r="L85" s="253" t="n"/>
      <c r="M85" s="253" t="n"/>
      <c r="N85" s="253" t="n"/>
      <c r="O85" s="253" t="n"/>
      <c r="P85" s="253" t="n"/>
      <c r="Q85" s="253" t="n"/>
      <c r="R85" s="253" t="n"/>
      <c r="S85" s="253" t="n"/>
      <c r="T85" s="253" t="n"/>
      <c r="U85" s="253" t="n"/>
      <c r="V85" s="253" t="n"/>
      <c r="W85" s="253" t="n"/>
      <c r="X85" s="254" t="n"/>
    </row>
    <row r="86" ht="18.75" customHeight="1">
      <c r="B86" s="244" t="n"/>
      <c r="C86" s="243" t="n"/>
      <c r="D86" s="243" t="n"/>
      <c r="E86" s="243" t="n"/>
      <c r="F86" s="244" t="n"/>
      <c r="G86" s="244" t="n"/>
      <c r="H86" s="244" t="n"/>
      <c r="I86" s="244" t="n"/>
      <c r="J86" s="244" t="n"/>
      <c r="K86" s="244" t="n"/>
      <c r="L86" s="244" t="n"/>
      <c r="M86" s="243" t="n"/>
      <c r="N86" s="244" t="n"/>
      <c r="O86" s="244" t="n"/>
      <c r="P86" s="244" t="n"/>
      <c r="Q86" s="244" t="n"/>
      <c r="R86" s="244" t="n"/>
      <c r="S86" s="244" t="n"/>
      <c r="T86" s="244" t="n"/>
      <c r="U86" s="244" t="n"/>
      <c r="V86" s="244" t="n"/>
      <c r="W86" s="244" t="n"/>
      <c r="X86" s="244" t="n"/>
    </row>
    <row r="87" ht="18.75" customHeight="1">
      <c r="C87" s="255" t="inlineStr">
        <is>
          <t>年份</t>
        </is>
      </c>
      <c r="D87" s="256">
        <f>D37</f>
        <v/>
      </c>
      <c r="E87" s="256">
        <f>E37</f>
        <v/>
      </c>
      <c r="F87" s="256">
        <f>F37</f>
        <v/>
      </c>
      <c r="G87" s="256">
        <f>G37</f>
        <v/>
      </c>
      <c r="H87" s="256">
        <f>H37</f>
        <v/>
      </c>
      <c r="I87" s="256">
        <f>I37</f>
        <v/>
      </c>
      <c r="J87" s="256">
        <f>J37</f>
        <v/>
      </c>
      <c r="K87" s="256">
        <f>K37</f>
        <v/>
      </c>
      <c r="L87" s="256">
        <f>L37</f>
        <v/>
      </c>
      <c r="M87" s="256">
        <f>M37</f>
        <v/>
      </c>
      <c r="N87" s="256">
        <f>N37</f>
        <v/>
      </c>
      <c r="O87" s="256">
        <f>O37</f>
        <v/>
      </c>
      <c r="P87" s="256">
        <f>P37</f>
        <v/>
      </c>
      <c r="Q87" s="256">
        <f>Q37</f>
        <v/>
      </c>
      <c r="R87" s="256">
        <f>R37</f>
        <v/>
      </c>
      <c r="S87" s="256">
        <f>S37</f>
        <v/>
      </c>
      <c r="T87" s="256">
        <f>T37</f>
        <v/>
      </c>
      <c r="U87" s="256">
        <f>U37</f>
        <v/>
      </c>
      <c r="V87" s="256">
        <f>V37</f>
        <v/>
      </c>
      <c r="W87" s="256">
        <f>W37</f>
        <v/>
      </c>
      <c r="X87" s="99" t="n"/>
    </row>
    <row r="88" ht="18.75" customHeight="1">
      <c r="X88" s="257" t="n"/>
    </row>
    <row r="89" ht="18.75" customHeight="1">
      <c r="B89" s="258" t="inlineStr">
        <is>
          <t>(Unit : Currency)</t>
        </is>
      </c>
      <c r="C89" s="258" t="n">
        <v>0</v>
      </c>
      <c r="D89" s="258" t="n">
        <v>1</v>
      </c>
      <c r="E89" s="258" t="n">
        <v>2</v>
      </c>
      <c r="F89" s="258" t="n">
        <v>3</v>
      </c>
      <c r="G89" s="258" t="n">
        <v>4</v>
      </c>
      <c r="H89" s="258" t="n">
        <v>5</v>
      </c>
      <c r="I89" s="258" t="n">
        <v>6</v>
      </c>
      <c r="J89" s="258" t="n">
        <v>7</v>
      </c>
      <c r="K89" s="258" t="n">
        <v>8</v>
      </c>
      <c r="L89" s="258" t="n">
        <v>9</v>
      </c>
      <c r="M89" s="258" t="n">
        <v>10</v>
      </c>
      <c r="N89" s="258" t="n">
        <v>11</v>
      </c>
      <c r="O89" s="258" t="n">
        <v>12</v>
      </c>
      <c r="P89" s="258" t="n">
        <v>13</v>
      </c>
      <c r="Q89" s="258" t="n">
        <v>14</v>
      </c>
      <c r="R89" s="258" t="n">
        <v>15</v>
      </c>
      <c r="S89" s="258" t="n">
        <v>16</v>
      </c>
      <c r="T89" s="258" t="n">
        <v>17</v>
      </c>
      <c r="U89" s="258" t="n">
        <v>18</v>
      </c>
      <c r="V89" s="258" t="n">
        <v>19</v>
      </c>
      <c r="W89" s="258" t="n">
        <v>20</v>
      </c>
      <c r="X89" s="102" t="n"/>
    </row>
    <row r="90" ht="18.75" customHeight="1">
      <c r="B90" s="259" t="inlineStr">
        <is>
          <t>稅後淨利</t>
        </is>
      </c>
      <c r="C90" s="259" t="n"/>
      <c r="D90" s="260">
        <f>D83</f>
        <v/>
      </c>
      <c r="E90" s="260">
        <f>E83</f>
        <v/>
      </c>
      <c r="F90" s="260">
        <f>F83</f>
        <v/>
      </c>
      <c r="G90" s="260">
        <f>G83</f>
        <v/>
      </c>
      <c r="H90" s="260">
        <f>H83</f>
        <v/>
      </c>
      <c r="I90" s="260">
        <f>I83</f>
        <v/>
      </c>
      <c r="J90" s="260">
        <f>J83</f>
        <v/>
      </c>
      <c r="K90" s="260">
        <f>K83</f>
        <v/>
      </c>
      <c r="L90" s="260">
        <f>L83</f>
        <v/>
      </c>
      <c r="M90" s="260">
        <f>M83</f>
        <v/>
      </c>
      <c r="N90" s="260">
        <f>N83</f>
        <v/>
      </c>
      <c r="O90" s="260">
        <f>O83</f>
        <v/>
      </c>
      <c r="P90" s="260">
        <f>P83</f>
        <v/>
      </c>
      <c r="Q90" s="260">
        <f>Q83</f>
        <v/>
      </c>
      <c r="R90" s="260">
        <f>R83</f>
        <v/>
      </c>
      <c r="S90" s="260">
        <f>S83</f>
        <v/>
      </c>
      <c r="T90" s="260">
        <f>T83</f>
        <v/>
      </c>
      <c r="U90" s="260">
        <f>U83</f>
        <v/>
      </c>
      <c r="V90" s="260">
        <f>V83</f>
        <v/>
      </c>
      <c r="W90" s="260">
        <f>W83</f>
        <v/>
      </c>
      <c r="X90" s="259" t="n"/>
      <c r="Y90" s="259" t="n"/>
    </row>
    <row r="91">
      <c r="B91" s="259" t="inlineStr">
        <is>
          <t>設備折舊</t>
        </is>
      </c>
      <c r="C91" s="259" t="n"/>
      <c r="D91" s="261">
        <f>-D72</f>
        <v/>
      </c>
      <c r="E91" s="261">
        <f>-E72</f>
        <v/>
      </c>
      <c r="F91" s="261">
        <f>-F72</f>
        <v/>
      </c>
      <c r="G91" s="261">
        <f>-G72</f>
        <v/>
      </c>
      <c r="H91" s="261">
        <f>-H72</f>
        <v/>
      </c>
      <c r="I91" s="261">
        <f>-I72</f>
        <v/>
      </c>
      <c r="J91" s="261">
        <f>-J72</f>
        <v/>
      </c>
      <c r="K91" s="261">
        <f>-K72</f>
        <v/>
      </c>
      <c r="L91" s="261">
        <f>-L72</f>
        <v/>
      </c>
      <c r="M91" s="261">
        <f>-M72</f>
        <v/>
      </c>
      <c r="N91" s="261">
        <f>-N72</f>
        <v/>
      </c>
      <c r="O91" s="261">
        <f>-O72</f>
        <v/>
      </c>
      <c r="P91" s="261">
        <f>-P72</f>
        <v/>
      </c>
      <c r="Q91" s="261">
        <f>-Q72</f>
        <v/>
      </c>
      <c r="R91" s="261">
        <f>-R72</f>
        <v/>
      </c>
      <c r="S91" s="261">
        <f>-S72</f>
        <v/>
      </c>
      <c r="T91" s="261">
        <f>-T72</f>
        <v/>
      </c>
      <c r="U91" s="261">
        <f>-U72</f>
        <v/>
      </c>
      <c r="V91" s="261">
        <f>-V72</f>
        <v/>
      </c>
      <c r="W91" s="261">
        <f>-W72</f>
        <v/>
      </c>
      <c r="X91" s="225" t="n"/>
    </row>
    <row r="92">
      <c r="B92" s="259" t="inlineStr">
        <is>
          <t>營運活動現金流量</t>
        </is>
      </c>
      <c r="C92" s="259" t="n"/>
      <c r="D92" s="262">
        <f>SUM(D90:D91)</f>
        <v/>
      </c>
      <c r="E92" s="262">
        <f>SUM(E90:E91)</f>
        <v/>
      </c>
      <c r="F92" s="262">
        <f>SUM(F90:F91)</f>
        <v/>
      </c>
      <c r="G92" s="262">
        <f>SUM(G90:G91)</f>
        <v/>
      </c>
      <c r="H92" s="262">
        <f>SUM(H90:H91)</f>
        <v/>
      </c>
      <c r="I92" s="262">
        <f>SUM(I90:I91)</f>
        <v/>
      </c>
      <c r="J92" s="262">
        <f>SUM(J90:J91)</f>
        <v/>
      </c>
      <c r="K92" s="262">
        <f>SUM(K90:K91)</f>
        <v/>
      </c>
      <c r="L92" s="262">
        <f>SUM(L90:L91)</f>
        <v/>
      </c>
      <c r="M92" s="262">
        <f>SUM(M90:M91)</f>
        <v/>
      </c>
      <c r="N92" s="262">
        <f>SUM(N90:N91)</f>
        <v/>
      </c>
      <c r="O92" s="262">
        <f>SUM(O90:O91)</f>
        <v/>
      </c>
      <c r="P92" s="262">
        <f>SUM(P90:P91)</f>
        <v/>
      </c>
      <c r="Q92" s="262">
        <f>SUM(Q90:Q91)</f>
        <v/>
      </c>
      <c r="R92" s="262">
        <f>SUM(R90:R91)</f>
        <v/>
      </c>
      <c r="S92" s="262">
        <f>SUM(S90:S91)</f>
        <v/>
      </c>
      <c r="T92" s="262">
        <f>SUM(T90:T91)</f>
        <v/>
      </c>
      <c r="U92" s="262">
        <f>SUM(U90:U91)</f>
        <v/>
      </c>
      <c r="V92" s="262">
        <f>SUM(V90:V91)</f>
        <v/>
      </c>
      <c r="W92" s="262">
        <f>SUM(W90:W91)</f>
        <v/>
      </c>
      <c r="X92" s="263" t="n"/>
    </row>
    <row r="93">
      <c r="B93" s="259" t="n"/>
      <c r="C93" s="259" t="n"/>
      <c r="D93" s="259" t="n"/>
      <c r="E93" s="259" t="n"/>
      <c r="F93" s="264" t="n"/>
      <c r="G93" s="264" t="n"/>
      <c r="H93" s="264" t="n"/>
      <c r="I93" s="264" t="n"/>
      <c r="J93" s="264" t="n"/>
      <c r="K93" s="264" t="n"/>
      <c r="L93" s="264" t="n"/>
      <c r="M93" s="264" t="n"/>
      <c r="N93" s="264" t="n"/>
      <c r="O93" s="264" t="n"/>
      <c r="P93" s="264" t="n"/>
      <c r="Q93" s="264" t="n"/>
      <c r="R93" s="264" t="n"/>
      <c r="S93" s="264" t="n"/>
      <c r="T93" s="264" t="n"/>
      <c r="U93" s="264" t="n"/>
      <c r="V93" s="264" t="n"/>
      <c r="W93" s="264" t="n"/>
      <c r="X93" s="265" t="n"/>
    </row>
    <row r="94">
      <c r="B94" s="266" t="inlineStr">
        <is>
          <t>投資活動-設備支出</t>
        </is>
      </c>
      <c r="C94" s="267" t="n"/>
      <c r="D94" s="268">
        <f>C44</f>
        <v/>
      </c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25" t="n"/>
    </row>
    <row r="95">
      <c r="B95" s="259" t="n"/>
      <c r="C95" s="259" t="n"/>
      <c r="D95" s="259" t="n"/>
      <c r="E95" s="259" t="n"/>
      <c r="F95" s="264" t="n"/>
      <c r="G95" s="264" t="n"/>
      <c r="H95" s="264" t="n"/>
      <c r="I95" s="264" t="n"/>
      <c r="J95" s="264" t="n"/>
      <c r="K95" s="264" t="n"/>
      <c r="L95" s="264" t="n"/>
      <c r="M95" s="264" t="n"/>
      <c r="N95" s="264" t="n"/>
      <c r="O95" s="264" t="n"/>
      <c r="P95" s="264" t="n"/>
      <c r="Q95" s="264" t="n"/>
      <c r="R95" s="264" t="n"/>
      <c r="S95" s="264" t="n"/>
      <c r="T95" s="264" t="n"/>
      <c r="U95" s="264" t="n"/>
      <c r="V95" s="264" t="n"/>
      <c r="W95" s="264" t="n"/>
      <c r="X95" s="265" t="n"/>
    </row>
    <row r="96">
      <c r="B96" s="259" t="n"/>
      <c r="C96" s="259" t="n"/>
      <c r="D96" s="259" t="n"/>
      <c r="E96" s="259" t="n"/>
      <c r="F96" s="264" t="n"/>
      <c r="G96" s="264" t="n"/>
      <c r="H96" s="264" t="n"/>
      <c r="I96" s="264" t="n"/>
      <c r="J96" s="264" t="n"/>
      <c r="K96" s="264" t="n"/>
      <c r="L96" s="264" t="n"/>
      <c r="M96" s="264" t="n"/>
      <c r="N96" s="264" t="n"/>
      <c r="O96" s="264" t="n"/>
      <c r="P96" s="264" t="n"/>
      <c r="Q96" s="264" t="n"/>
      <c r="R96" s="264" t="n"/>
      <c r="S96" s="264" t="n"/>
      <c r="T96" s="264" t="n"/>
      <c r="U96" s="264" t="n"/>
      <c r="V96" s="264" t="n"/>
      <c r="W96" s="264" t="n"/>
      <c r="X96" s="265" t="n"/>
    </row>
    <row r="97">
      <c r="B97" s="266" t="inlineStr">
        <is>
          <t>理財活動-借款</t>
        </is>
      </c>
      <c r="C97" s="267" t="n"/>
      <c r="D97" s="268">
        <f>-D94*D31</f>
        <v/>
      </c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5" t="n"/>
    </row>
    <row r="98">
      <c r="B98" s="259" t="inlineStr">
        <is>
          <t>理財活動-還款</t>
        </is>
      </c>
      <c r="C98" s="259" t="n"/>
      <c r="D98" s="259" t="n"/>
      <c r="E98" s="259" t="n">
        <v>-655603.6666666666</v>
      </c>
      <c r="F98" s="259" t="n">
        <v>-655603.6666666666</v>
      </c>
      <c r="G98" s="259" t="n">
        <v>-655603.6666666666</v>
      </c>
      <c r="H98" s="259" t="n">
        <v>-655603.6666666666</v>
      </c>
      <c r="I98" s="259" t="n">
        <v>-655603.6666666666</v>
      </c>
      <c r="J98" s="259" t="n">
        <v>-655603.6666666666</v>
      </c>
      <c r="K98" s="259" t="n">
        <v>-655603.6666666666</v>
      </c>
      <c r="L98" s="259" t="n">
        <v>-655603.6666666666</v>
      </c>
      <c r="M98" s="259" t="n">
        <v>-655603.6666666666</v>
      </c>
      <c r="N98" s="259" t="n">
        <v>-655603.6666666666</v>
      </c>
      <c r="O98" s="259" t="n">
        <v>-655603.6666666666</v>
      </c>
      <c r="P98" s="259" t="n">
        <v>-655603.6666666666</v>
      </c>
      <c r="Q98" s="259" t="n">
        <v>-655603.6666666666</v>
      </c>
      <c r="R98" s="259" t="n">
        <v>-655603.6666666666</v>
      </c>
      <c r="S98" s="259" t="n">
        <v>-655603.6666666666</v>
      </c>
      <c r="T98" s="264" t="n">
        <v>0</v>
      </c>
      <c r="U98" s="264" t="n">
        <v>0</v>
      </c>
      <c r="V98" s="264" t="n">
        <v>0</v>
      </c>
      <c r="W98" s="264" t="n">
        <v>0</v>
      </c>
      <c r="X98" s="225" t="n"/>
    </row>
    <row r="99">
      <c r="B99" s="259" t="inlineStr">
        <is>
          <t>理財活動-現金增資</t>
        </is>
      </c>
      <c r="C99" s="264" t="n"/>
      <c r="D99" s="260">
        <f>-D94*(1-D31)</f>
        <v/>
      </c>
      <c r="E99" s="264" t="n"/>
      <c r="F99" s="264" t="n"/>
      <c r="G99" s="264" t="n"/>
      <c r="H99" s="264" t="n"/>
      <c r="I99" s="264" t="n"/>
      <c r="J99" s="264" t="n"/>
      <c r="K99" s="264" t="n"/>
      <c r="L99" s="264" t="n"/>
      <c r="M99" s="264" t="n"/>
      <c r="N99" s="264" t="n"/>
      <c r="O99" s="264" t="n"/>
      <c r="P99" s="264" t="n"/>
      <c r="Q99" s="264" t="n"/>
      <c r="R99" s="264" t="n"/>
      <c r="S99" s="264" t="n"/>
      <c r="T99" s="264" t="n"/>
      <c r="U99" s="264" t="n"/>
      <c r="V99" s="264" t="n"/>
      <c r="W99" s="264" t="n"/>
      <c r="X99" s="263" t="n"/>
    </row>
    <row r="100">
      <c r="B100" s="259" t="inlineStr">
        <is>
          <t>現金股利</t>
        </is>
      </c>
      <c r="C100" s="264" t="n"/>
      <c r="D100" s="264" t="n"/>
      <c r="E100" s="269">
        <f>-D90*$D$33</f>
        <v/>
      </c>
      <c r="F100" s="269">
        <f>-E90*$D$33</f>
        <v/>
      </c>
      <c r="G100" s="269">
        <f>-F90*$D$33</f>
        <v/>
      </c>
      <c r="H100" s="269">
        <f>-G90*$D$33</f>
        <v/>
      </c>
      <c r="I100" s="269">
        <f>-H90*$D$33</f>
        <v/>
      </c>
      <c r="J100" s="269">
        <f>-I90*$D$33</f>
        <v/>
      </c>
      <c r="K100" s="269">
        <f>-J90*$D$33</f>
        <v/>
      </c>
      <c r="L100" s="269">
        <f>-K90*$D$33</f>
        <v/>
      </c>
      <c r="M100" s="269">
        <f>-L90*$D$33</f>
        <v/>
      </c>
      <c r="N100" s="269">
        <f>-M90*$D$33</f>
        <v/>
      </c>
      <c r="O100" s="269">
        <f>-N90*$D$33</f>
        <v/>
      </c>
      <c r="P100" s="269">
        <f>-O90*$D$33</f>
        <v/>
      </c>
      <c r="Q100" s="269">
        <f>-P90*$D$33</f>
        <v/>
      </c>
      <c r="R100" s="269">
        <f>-Q90*$D$33</f>
        <v/>
      </c>
      <c r="S100" s="269">
        <f>-R90*$D$33</f>
        <v/>
      </c>
      <c r="T100" s="269">
        <f>-S90*$D$33</f>
        <v/>
      </c>
      <c r="U100" s="269">
        <f>-T90*$D$33</f>
        <v/>
      </c>
      <c r="V100" s="269">
        <f>-U90*$D$33</f>
        <v/>
      </c>
      <c r="W100" s="269">
        <f>-V90*$D$33</f>
        <v/>
      </c>
      <c r="X100" s="270">
        <f>-W90</f>
        <v/>
      </c>
    </row>
    <row r="101">
      <c r="B101" s="271" t="inlineStr">
        <is>
          <t>年底減資</t>
        </is>
      </c>
      <c r="C101" s="272" t="n"/>
      <c r="D101" s="272" t="n">
        <v>0</v>
      </c>
      <c r="E101" s="273" t="n">
        <v>0</v>
      </c>
      <c r="F101" s="273" t="n">
        <v>0</v>
      </c>
      <c r="G101" s="273" t="n">
        <v>0</v>
      </c>
      <c r="H101" s="273" t="n">
        <v>0</v>
      </c>
      <c r="I101" s="273" t="n">
        <v>0</v>
      </c>
      <c r="J101" s="273" t="n">
        <v>0</v>
      </c>
      <c r="K101" s="273" t="n">
        <v>0</v>
      </c>
      <c r="L101" s="273" t="n">
        <v>0</v>
      </c>
      <c r="M101" s="273" t="n">
        <v>0</v>
      </c>
      <c r="N101" s="273" t="n">
        <v>0</v>
      </c>
      <c r="O101" s="273" t="n">
        <v>0</v>
      </c>
      <c r="P101" s="273" t="n">
        <v>0</v>
      </c>
      <c r="Q101" s="273" t="n">
        <v>0</v>
      </c>
      <c r="R101" s="274" t="n">
        <v>0</v>
      </c>
      <c r="S101" s="274" t="n">
        <v>0</v>
      </c>
      <c r="T101" s="274" t="n">
        <v>-614628.4375</v>
      </c>
      <c r="U101" s="274" t="n">
        <v>-614628.4375</v>
      </c>
      <c r="V101" s="273" t="n">
        <v>-614628.4375</v>
      </c>
      <c r="W101" s="273" t="n">
        <v>-614628.4375</v>
      </c>
      <c r="X101" s="270">
        <f>-W106-X100</f>
        <v/>
      </c>
    </row>
    <row r="102">
      <c r="B102" s="264" t="n"/>
      <c r="C102" s="264" t="n"/>
      <c r="D102" s="264" t="n"/>
      <c r="E102" s="264" t="n"/>
      <c r="F102" s="264" t="n"/>
      <c r="G102" s="264" t="n"/>
      <c r="H102" s="264" t="n"/>
      <c r="I102" s="264" t="n"/>
      <c r="J102" s="264" t="n"/>
      <c r="K102" s="264" t="n"/>
      <c r="L102" s="264" t="n"/>
      <c r="M102" s="264" t="n"/>
      <c r="N102" s="264" t="n"/>
      <c r="O102" s="264" t="n"/>
      <c r="P102" s="264" t="n"/>
      <c r="Q102" s="264" t="n"/>
      <c r="R102" s="264" t="n"/>
      <c r="S102" s="264" t="n"/>
      <c r="T102" s="264" t="n"/>
      <c r="U102" s="264" t="n"/>
      <c r="V102" s="264" t="n"/>
      <c r="W102" s="264" t="n"/>
      <c r="X102" s="263" t="n"/>
    </row>
    <row r="103">
      <c r="B103" s="264" t="n"/>
      <c r="C103" s="264" t="n"/>
      <c r="D103" s="264" t="n"/>
      <c r="E103" s="264" t="n"/>
      <c r="F103" s="264" t="n"/>
      <c r="G103" s="264" t="n"/>
      <c r="H103" s="264" t="n"/>
      <c r="I103" s="264" t="n"/>
      <c r="J103" s="264" t="n"/>
      <c r="K103" s="264" t="n"/>
      <c r="L103" s="264" t="n"/>
      <c r="M103" s="264" t="n"/>
      <c r="N103" s="264" t="n"/>
      <c r="O103" s="264" t="n"/>
      <c r="P103" s="264" t="n"/>
      <c r="Q103" s="264" t="n"/>
      <c r="R103" s="264" t="n"/>
      <c r="S103" s="264" t="n"/>
      <c r="T103" s="264" t="n"/>
      <c r="U103" s="264" t="n"/>
      <c r="V103" s="264" t="n"/>
      <c r="W103" s="264" t="n"/>
      <c r="X103" s="263" t="n"/>
    </row>
    <row r="104" ht="16.5" customHeight="1">
      <c r="B104" s="259" t="inlineStr">
        <is>
          <t>現金淨流入(出 )</t>
        </is>
      </c>
      <c r="C104" s="275" t="n">
        <v>0</v>
      </c>
      <c r="D104" s="260">
        <f>SUM(D92:D101)</f>
        <v/>
      </c>
      <c r="E104" s="260">
        <f>SUM(E92:E101)</f>
        <v/>
      </c>
      <c r="F104" s="260">
        <f>SUM(F92:F101)</f>
        <v/>
      </c>
      <c r="G104" s="260">
        <f>SUM(G92:G101)</f>
        <v/>
      </c>
      <c r="H104" s="260">
        <f>SUM(H92:H101)</f>
        <v/>
      </c>
      <c r="I104" s="260">
        <f>SUM(I92:I101)</f>
        <v/>
      </c>
      <c r="J104" s="260">
        <f>SUM(J92:J101)</f>
        <v/>
      </c>
      <c r="K104" s="260">
        <f>SUM(K92:K101)</f>
        <v/>
      </c>
      <c r="L104" s="260">
        <f>SUM(L92:L101)</f>
        <v/>
      </c>
      <c r="M104" s="260">
        <f>SUM(M92:M101)</f>
        <v/>
      </c>
      <c r="N104" s="260">
        <f>SUM(N92:N101)</f>
        <v/>
      </c>
      <c r="O104" s="260">
        <f>SUM(O92:O101)</f>
        <v/>
      </c>
      <c r="P104" s="260">
        <f>SUM(P92:P101)</f>
        <v/>
      </c>
      <c r="Q104" s="260">
        <f>SUM(Q92:Q101)</f>
        <v/>
      </c>
      <c r="R104" s="260">
        <f>SUM(R92:R101)</f>
        <v/>
      </c>
      <c r="S104" s="260">
        <f>SUM(S92:S101)</f>
        <v/>
      </c>
      <c r="T104" s="260">
        <f>SUM(T92:T101)</f>
        <v/>
      </c>
      <c r="U104" s="260">
        <f>SUM(U92:U101)</f>
        <v/>
      </c>
      <c r="V104" s="260">
        <f>SUM(V92:V101)</f>
        <v/>
      </c>
      <c r="W104" s="260">
        <f>SUM(W92:W101)</f>
        <v/>
      </c>
      <c r="X104" s="263" t="n"/>
    </row>
    <row r="105">
      <c r="B105" s="259" t="inlineStr">
        <is>
          <t>期初淨現金</t>
        </is>
      </c>
      <c r="C105" s="260" t="n">
        <v>0</v>
      </c>
      <c r="D105" s="260">
        <f>C106</f>
        <v/>
      </c>
      <c r="E105" s="260">
        <f>D106</f>
        <v/>
      </c>
      <c r="F105" s="260">
        <f>E106</f>
        <v/>
      </c>
      <c r="G105" s="260">
        <f>F106</f>
        <v/>
      </c>
      <c r="H105" s="260">
        <f>G106</f>
        <v/>
      </c>
      <c r="I105" s="260">
        <f>H106</f>
        <v/>
      </c>
      <c r="J105" s="260">
        <f>I106</f>
        <v/>
      </c>
      <c r="K105" s="260">
        <f>J106</f>
        <v/>
      </c>
      <c r="L105" s="260">
        <f>K106</f>
        <v/>
      </c>
      <c r="M105" s="260">
        <f>L106</f>
        <v/>
      </c>
      <c r="N105" s="260">
        <f>M106</f>
        <v/>
      </c>
      <c r="O105" s="260">
        <f>N106</f>
        <v/>
      </c>
      <c r="P105" s="260">
        <f>O106</f>
        <v/>
      </c>
      <c r="Q105" s="260">
        <f>P106</f>
        <v/>
      </c>
      <c r="R105" s="260">
        <f>Q106</f>
        <v/>
      </c>
      <c r="S105" s="260">
        <f>R106</f>
        <v/>
      </c>
      <c r="T105" s="260">
        <f>S106</f>
        <v/>
      </c>
      <c r="U105" s="260">
        <f>T106</f>
        <v/>
      </c>
      <c r="V105" s="260">
        <f>U106</f>
        <v/>
      </c>
      <c r="W105" s="260">
        <f>V106</f>
        <v/>
      </c>
      <c r="X105" s="265" t="n"/>
    </row>
    <row r="106">
      <c r="B106" s="259" t="inlineStr">
        <is>
          <t>期未淨現金</t>
        </is>
      </c>
      <c r="C106" s="260" t="n">
        <v>0</v>
      </c>
      <c r="D106" s="260">
        <f>D104+D105</f>
        <v/>
      </c>
      <c r="E106" s="260">
        <f>E104+E105</f>
        <v/>
      </c>
      <c r="F106" s="260">
        <f>F104+F105</f>
        <v/>
      </c>
      <c r="G106" s="260">
        <f>G104+G105</f>
        <v/>
      </c>
      <c r="H106" s="260">
        <f>H104+H105</f>
        <v/>
      </c>
      <c r="I106" s="260">
        <f>I104+I105</f>
        <v/>
      </c>
      <c r="J106" s="260">
        <f>J104+J105</f>
        <v/>
      </c>
      <c r="K106" s="260">
        <f>K104+K105</f>
        <v/>
      </c>
      <c r="L106" s="260">
        <f>L104+L105</f>
        <v/>
      </c>
      <c r="M106" s="260">
        <f>M104+M105</f>
        <v/>
      </c>
      <c r="N106" s="260">
        <f>N104+N105</f>
        <v/>
      </c>
      <c r="O106" s="260">
        <f>O104+O105</f>
        <v/>
      </c>
      <c r="P106" s="260">
        <f>P104+P105</f>
        <v/>
      </c>
      <c r="Q106" s="260">
        <f>Q104+Q105</f>
        <v/>
      </c>
      <c r="R106" s="260">
        <f>R104+R105</f>
        <v/>
      </c>
      <c r="S106" s="260">
        <f>S104+S105</f>
        <v/>
      </c>
      <c r="T106" s="260">
        <f>T104+T105</f>
        <v/>
      </c>
      <c r="U106" s="260">
        <f>U104+U105</f>
        <v/>
      </c>
      <c r="V106" s="260">
        <f>V104+V105</f>
        <v/>
      </c>
      <c r="W106" s="260">
        <f>W104+W105</f>
        <v/>
      </c>
      <c r="X106" s="265" t="n"/>
    </row>
    <row r="107">
      <c r="B107" s="259" t="n"/>
      <c r="C107" s="259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259" t="n"/>
      <c r="C108" s="259" t="n"/>
      <c r="D108" s="259" t="n"/>
      <c r="E108" s="259" t="n"/>
      <c r="F108" s="264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76" t="inlineStr">
        <is>
          <t>成本法實際現金流</t>
        </is>
      </c>
      <c r="C109" s="277" t="n"/>
      <c r="D109" s="278">
        <f>-D99</f>
        <v/>
      </c>
      <c r="E109" s="262">
        <f>-E100-E101</f>
        <v/>
      </c>
      <c r="F109" s="262">
        <f>-F100-F101</f>
        <v/>
      </c>
      <c r="G109" s="262">
        <f>-G100-G101</f>
        <v/>
      </c>
      <c r="H109" s="262">
        <f>-H100-H101</f>
        <v/>
      </c>
      <c r="I109" s="262">
        <f>-I100-I101</f>
        <v/>
      </c>
      <c r="J109" s="262">
        <f>-J100-J101</f>
        <v/>
      </c>
      <c r="K109" s="262">
        <f>-K100-K101</f>
        <v/>
      </c>
      <c r="L109" s="262">
        <f>-L100-L101</f>
        <v/>
      </c>
      <c r="M109" s="262">
        <f>-M100-M101</f>
        <v/>
      </c>
      <c r="N109" s="262">
        <f>-N100-N101</f>
        <v/>
      </c>
      <c r="O109" s="262">
        <f>-O100-O101</f>
        <v/>
      </c>
      <c r="P109" s="262">
        <f>-P100-P101</f>
        <v/>
      </c>
      <c r="Q109" s="262">
        <f>-Q100-Q101</f>
        <v/>
      </c>
      <c r="R109" s="262">
        <f>-R100-R101</f>
        <v/>
      </c>
      <c r="S109" s="262">
        <f>-S100-S101</f>
        <v/>
      </c>
      <c r="T109" s="262">
        <f>-T100-T101</f>
        <v/>
      </c>
      <c r="U109" s="262">
        <f>-U100-U101</f>
        <v/>
      </c>
      <c r="V109" s="262">
        <f>-V100-V101</f>
        <v/>
      </c>
      <c r="W109" s="262">
        <f>-W100-W101</f>
        <v/>
      </c>
      <c r="X109" s="262">
        <f>-X100-X101</f>
        <v/>
      </c>
    </row>
    <row r="110">
      <c r="B110" s="259" t="inlineStr">
        <is>
          <t>成本法IRR</t>
        </is>
      </c>
      <c r="C110" s="279">
        <f>IRR(D109:X109)</f>
        <v/>
      </c>
      <c r="D110" s="264" t="n"/>
      <c r="E110" s="264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276" t="inlineStr">
        <is>
          <t>權益法實際現金流</t>
        </is>
      </c>
      <c r="C111" s="277" t="n"/>
      <c r="D111" s="278">
        <f>D90-D99</f>
        <v/>
      </c>
      <c r="E111" s="262">
        <f>E90</f>
        <v/>
      </c>
      <c r="F111" s="262">
        <f>F90-F101</f>
        <v/>
      </c>
      <c r="G111" s="262">
        <f>G90-G101</f>
        <v/>
      </c>
      <c r="H111" s="262">
        <f>H90-H101</f>
        <v/>
      </c>
      <c r="I111" s="262">
        <f>I90-I101</f>
        <v/>
      </c>
      <c r="J111" s="262">
        <f>J90-J101</f>
        <v/>
      </c>
      <c r="K111" s="262">
        <f>K90-K101</f>
        <v/>
      </c>
      <c r="L111" s="262">
        <f>L90-L101</f>
        <v/>
      </c>
      <c r="M111" s="262">
        <f>M90-M101</f>
        <v/>
      </c>
      <c r="N111" s="262">
        <f>N90-N101</f>
        <v/>
      </c>
      <c r="O111" s="262">
        <f>O90-O101</f>
        <v/>
      </c>
      <c r="P111" s="262">
        <f>P90-P101</f>
        <v/>
      </c>
      <c r="Q111" s="262">
        <f>Q90-Q101</f>
        <v/>
      </c>
      <c r="R111" s="262">
        <f>R90-R101</f>
        <v/>
      </c>
      <c r="S111" s="262">
        <f>S90-S101</f>
        <v/>
      </c>
      <c r="T111" s="262">
        <f>T90-T101</f>
        <v/>
      </c>
      <c r="U111" s="262">
        <f>U90-U101</f>
        <v/>
      </c>
      <c r="V111" s="262">
        <f>V90-V101</f>
        <v/>
      </c>
      <c r="W111" s="262">
        <f>W90-W101</f>
        <v/>
      </c>
      <c r="X111" s="225" t="n"/>
    </row>
    <row r="112">
      <c r="B112" s="276" t="inlineStr">
        <is>
          <t>權益法IRR</t>
        </is>
      </c>
      <c r="C112" s="280">
        <f>IRR(D111:W111)</f>
        <v/>
      </c>
      <c r="D112" s="264" t="n"/>
      <c r="E112" s="264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259" t="n"/>
      <c r="C113" s="259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259" t="inlineStr">
        <is>
          <t>借款餘額</t>
        </is>
      </c>
      <c r="C114" s="260" t="n">
        <v>0</v>
      </c>
      <c r="D114" s="260">
        <f>D97</f>
        <v/>
      </c>
      <c r="E114" s="260">
        <f>D114+E98</f>
        <v/>
      </c>
      <c r="F114" s="260">
        <f>E114+F98</f>
        <v/>
      </c>
      <c r="G114" s="260">
        <f>F114+G98</f>
        <v/>
      </c>
      <c r="H114" s="260">
        <f>G114+H98</f>
        <v/>
      </c>
      <c r="I114" s="260">
        <f>H114+I98</f>
        <v/>
      </c>
      <c r="J114" s="260">
        <f>I114+J98</f>
        <v/>
      </c>
      <c r="K114" s="260">
        <f>J114+K98</f>
        <v/>
      </c>
      <c r="L114" s="260">
        <f>K114+L98</f>
        <v/>
      </c>
      <c r="M114" s="260">
        <f>L114+M98</f>
        <v/>
      </c>
      <c r="N114" s="260">
        <f>M114+N98</f>
        <v/>
      </c>
      <c r="O114" s="260">
        <f>N114+O98</f>
        <v/>
      </c>
      <c r="P114" s="260">
        <f>O114+P98</f>
        <v/>
      </c>
      <c r="Q114" s="260">
        <f>P114+Q98</f>
        <v/>
      </c>
      <c r="R114" s="260">
        <f>Q114+R98</f>
        <v/>
      </c>
      <c r="S114" s="260">
        <f>R114+S98</f>
        <v/>
      </c>
      <c r="T114" s="260">
        <f>S114+T98</f>
        <v/>
      </c>
      <c r="U114" s="260">
        <f>T114+U98</f>
        <v/>
      </c>
      <c r="V114" s="260">
        <f>U114+V98</f>
        <v/>
      </c>
      <c r="W114" s="260">
        <f>V114+W98</f>
        <v/>
      </c>
      <c r="X114" s="264" t="n"/>
    </row>
    <row r="116">
      <c r="B116" s="281" t="n"/>
    </row>
    <row r="117" ht="16.5" customHeight="1">
      <c r="G117" s="28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2026-02-08T17:50:12Z</dcterms:modified>
  <cp:lastModifiedBy>王竣生</cp:lastModifiedBy>
</cp:coreProperties>
</file>