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.000"/>
    <numFmt numFmtId="165" formatCode="#,##0.00%"/>
    <numFmt numFmtId="166" formatCode="0.00_);[Red]\(0.00\)"/>
    <numFmt numFmtId="167" formatCode="&quot;$&quot;#,##0.00_);[Red]\(&quot;$&quot;#,##0.00\)"/>
    <numFmt numFmtId="168" formatCode="0.00000%"/>
    <numFmt numFmtId="169" formatCode="_-&quot;$&quot;* #,##0.00_-;\-&quot;$&quot;* #,##0.00_-;_-&quot;$&quot;* &quot;-&quot;??_-;_-@_-"/>
    <numFmt numFmtId="170" formatCode="0.0000%"/>
    <numFmt numFmtId="171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  <font>
      <name val="新細明體"/>
      <family val="2"/>
      <color theme="1"/>
      <sz val="12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8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center"/>
    </xf>
    <xf numFmtId="166" fontId="28" fillId="0" borderId="0" applyAlignment="1" pivotButton="0" quotePrefix="0" xfId="0">
      <alignment horizontal="left"/>
    </xf>
    <xf numFmtId="166" fontId="29" fillId="14" borderId="44" applyAlignment="1" pivotButton="0" quotePrefix="0" xfId="0">
      <alignment horizontal="center"/>
    </xf>
    <xf numFmtId="166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8" fillId="0" borderId="50" applyAlignment="1" pivotButton="0" quotePrefix="0" xfId="0">
      <alignment horizontal="left"/>
    </xf>
    <xf numFmtId="166" fontId="28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53" applyAlignment="1" pivotButton="0" quotePrefix="0" xfId="0">
      <alignment horizontal="left"/>
    </xf>
    <xf numFmtId="166" fontId="28" fillId="16" borderId="44" applyAlignment="1" pivotButton="0" quotePrefix="0" xfId="0">
      <alignment horizontal="center"/>
    </xf>
    <xf numFmtId="166" fontId="28" fillId="0" borderId="52" applyAlignment="1" pivotButton="0" quotePrefix="0" xfId="0">
      <alignment horizontal="left"/>
    </xf>
    <xf numFmtId="166" fontId="28" fillId="0" borderId="46" applyAlignment="1" pivotButton="0" quotePrefix="0" xfId="0">
      <alignment horizontal="left" vertical="top"/>
    </xf>
    <xf numFmtId="166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8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0" fillId="0" borderId="0" applyAlignment="1" pivotButton="0" quotePrefix="0" xfId="0">
      <alignment horizontal="left"/>
    </xf>
    <xf numFmtId="166" fontId="28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6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7" fontId="16" fillId="9" borderId="25" applyAlignment="1" pivotButton="0" quotePrefix="0" xfId="0">
      <alignment horizontal="left"/>
    </xf>
    <xf numFmtId="167" fontId="14" fillId="0" borderId="17" applyAlignment="1" pivotButton="0" quotePrefix="0" xfId="0">
      <alignment horizontal="center"/>
    </xf>
    <xf numFmtId="167" fontId="14" fillId="0" borderId="18" applyAlignment="1" pivotButton="0" quotePrefix="0" xfId="0">
      <alignment horizontal="center"/>
    </xf>
    <xf numFmtId="167" fontId="14" fillId="0" borderId="20" applyAlignment="1" pivotButton="0" quotePrefix="0" xfId="0">
      <alignment horizontal="center"/>
    </xf>
    <xf numFmtId="167" fontId="16" fillId="9" borderId="26" applyAlignment="1" pivotButton="0" quotePrefix="0" xfId="0">
      <alignment horizontal="left"/>
    </xf>
    <xf numFmtId="167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7" fontId="14" fillId="0" borderId="22" applyAlignment="1" pivotButton="0" quotePrefix="0" xfId="0">
      <alignment horizontal="center"/>
    </xf>
    <xf numFmtId="167" fontId="16" fillId="9" borderId="27" applyAlignment="1" pivotButton="0" quotePrefix="0" xfId="0">
      <alignment horizontal="left"/>
    </xf>
    <xf numFmtId="167" fontId="14" fillId="0" borderId="28" applyAlignment="1" pivotButton="0" quotePrefix="0" xfId="0">
      <alignment horizontal="center"/>
    </xf>
    <xf numFmtId="167" fontId="14" fillId="0" borderId="29" applyAlignment="1" pivotButton="0" quotePrefix="0" xfId="0">
      <alignment horizontal="center"/>
    </xf>
    <xf numFmtId="167" fontId="14" fillId="0" borderId="30" applyAlignment="1" pivotButton="0" quotePrefix="0" xfId="0">
      <alignment horizontal="center"/>
    </xf>
    <xf numFmtId="167" fontId="16" fillId="10" borderId="26" applyAlignment="1" pivotButton="0" quotePrefix="0" xfId="0">
      <alignment horizontal="left"/>
    </xf>
    <xf numFmtId="167" fontId="14" fillId="7" borderId="14" applyAlignment="1" pivotButton="0" quotePrefix="0" xfId="0">
      <alignment horizontal="center"/>
    </xf>
    <xf numFmtId="167" fontId="9" fillId="0" borderId="15" applyAlignment="1" pivotButton="0" quotePrefix="0" xfId="0">
      <alignment horizontal="left"/>
    </xf>
    <xf numFmtId="167" fontId="9" fillId="0" borderId="31" applyAlignment="1" pivotButton="0" quotePrefix="0" xfId="0">
      <alignment horizontal="left"/>
    </xf>
    <xf numFmtId="167" fontId="9" fillId="0" borderId="0" applyAlignment="1" pivotButton="0" quotePrefix="0" xfId="0">
      <alignment horizontal="left"/>
    </xf>
    <xf numFmtId="167" fontId="17" fillId="10" borderId="26" applyAlignment="1" pivotButton="0" quotePrefix="0" xfId="0">
      <alignment horizontal="left"/>
    </xf>
    <xf numFmtId="167" fontId="9" fillId="0" borderId="0" applyAlignment="1" pivotButton="0" quotePrefix="0" xfId="0">
      <alignment horizontal="center"/>
    </xf>
    <xf numFmtId="167" fontId="32" fillId="0" borderId="16" applyAlignment="1" pivotButton="0" quotePrefix="0" xfId="0">
      <alignment horizontal="right"/>
    </xf>
    <xf numFmtId="167" fontId="21" fillId="0" borderId="28" applyAlignment="1" pivotButton="0" quotePrefix="0" xfId="0">
      <alignment horizontal="center"/>
    </xf>
    <xf numFmtId="167" fontId="18" fillId="0" borderId="32" applyAlignment="1" pivotButton="0" quotePrefix="0" xfId="0">
      <alignment horizontal="center"/>
    </xf>
    <xf numFmtId="167" fontId="19" fillId="0" borderId="0" applyAlignment="1" pivotButton="0" quotePrefix="0" xfId="0">
      <alignment horizontal="left"/>
    </xf>
    <xf numFmtId="167" fontId="19" fillId="0" borderId="0" applyAlignment="1" pivotButton="0" quotePrefix="0" xfId="0">
      <alignment horizontal="right"/>
    </xf>
    <xf numFmtId="167" fontId="20" fillId="0" borderId="23" applyAlignment="1" pivotButton="0" quotePrefix="0" xfId="0">
      <alignment horizontal="right"/>
    </xf>
    <xf numFmtId="167" fontId="21" fillId="0" borderId="29" applyAlignment="1" pivotButton="0" quotePrefix="0" xfId="0">
      <alignment horizontal="center"/>
    </xf>
    <xf numFmtId="167" fontId="25" fillId="0" borderId="23" applyAlignment="1" pivotButton="0" quotePrefix="0" xfId="0">
      <alignment horizontal="right"/>
    </xf>
    <xf numFmtId="167" fontId="24" fillId="0" borderId="28" applyAlignment="1" pivotButton="0" quotePrefix="0" xfId="0">
      <alignment horizontal="center"/>
    </xf>
    <xf numFmtId="167" fontId="21" fillId="0" borderId="36" applyAlignment="1" pivotButton="0" quotePrefix="0" xfId="0">
      <alignment horizontal="center"/>
    </xf>
    <xf numFmtId="166" fontId="33" fillId="0" borderId="0" applyAlignment="1" pivotButton="0" quotePrefix="0" xfId="0">
      <alignment horizontal="right"/>
    </xf>
    <xf numFmtId="168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7" fontId="18" fillId="0" borderId="18" applyAlignment="1" pivotButton="0" quotePrefix="0" xfId="0">
      <alignment horizontal="center"/>
    </xf>
    <xf numFmtId="167" fontId="34" fillId="0" borderId="0" applyAlignment="1" pivotButton="0" quotePrefix="0" xfId="0">
      <alignment horizontal="right"/>
    </xf>
    <xf numFmtId="167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7" fontId="8" fillId="0" borderId="0" applyAlignment="1" pivotButton="0" quotePrefix="0" xfId="0">
      <alignment horizontal="left"/>
    </xf>
    <xf numFmtId="167" fontId="8" fillId="0" borderId="0" applyAlignment="1" pivotButton="0" quotePrefix="0" xfId="0">
      <alignment horizontal="center"/>
    </xf>
    <xf numFmtId="167" fontId="8" fillId="12" borderId="14" applyAlignment="1" pivotButton="0" quotePrefix="0" xfId="0">
      <alignment horizontal="center"/>
    </xf>
    <xf numFmtId="167" fontId="16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center"/>
    </xf>
    <xf numFmtId="167" fontId="16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left"/>
    </xf>
    <xf numFmtId="167" fontId="8" fillId="0" borderId="38" applyAlignment="1" pivotButton="0" quotePrefix="0" xfId="0">
      <alignment horizontal="left"/>
    </xf>
    <xf numFmtId="167" fontId="8" fillId="0" borderId="38" applyAlignment="1" pivotButton="0" quotePrefix="0" xfId="0">
      <alignment horizontal="right"/>
    </xf>
    <xf numFmtId="167" fontId="8" fillId="0" borderId="38" applyAlignment="1" pivotButton="0" quotePrefix="0" xfId="0">
      <alignment horizontal="center"/>
    </xf>
    <xf numFmtId="169" fontId="8" fillId="13" borderId="14" applyAlignment="1" pivotButton="0" quotePrefix="0" xfId="0">
      <alignment horizontal="center"/>
    </xf>
    <xf numFmtId="169" fontId="16" fillId="0" borderId="0" applyAlignment="1" pivotButton="0" quotePrefix="0" xfId="0">
      <alignment horizontal="center"/>
    </xf>
    <xf numFmtId="167" fontId="8" fillId="0" borderId="39" applyAlignment="1" pivotButton="0" quotePrefix="0" xfId="0">
      <alignment horizontal="left"/>
    </xf>
    <xf numFmtId="167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left"/>
    </xf>
    <xf numFmtId="167" fontId="35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left"/>
    </xf>
    <xf numFmtId="167" fontId="8" fillId="0" borderId="34" applyAlignment="1" pivotButton="0" quotePrefix="0" xfId="0">
      <alignment horizontal="right"/>
    </xf>
    <xf numFmtId="167" fontId="8" fillId="5" borderId="40" applyAlignment="1" pivotButton="0" quotePrefix="0" xfId="0">
      <alignment horizontal="center"/>
    </xf>
    <xf numFmtId="170" fontId="8" fillId="7" borderId="14" applyAlignment="1" pivotButton="0" quotePrefix="0" xfId="0">
      <alignment horizontal="left"/>
    </xf>
    <xf numFmtId="171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workbookViewId="0">
      <selection activeCell="D5" sqref="D5"/>
    </sheetView>
  </sheetViews>
  <sheetFormatPr baseColWidth="8" defaultRowHeight="1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2025</v>
      </c>
      <c r="C5" s="7" t="inlineStr">
        <is>
          <t>結束年度</t>
        </is>
      </c>
      <c r="D5" s="7" t="n">
        <v>2044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30000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0.2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2000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5804025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20" customWidth="1" min="6" max="6"/>
    <col width="14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30000</v>
      </c>
      <c r="C2" t="n">
        <v>4.29</v>
      </c>
      <c r="D2" t="n">
        <v>10.43</v>
      </c>
      <c r="E2" s="151" t="n">
        <v>0.2</v>
      </c>
      <c r="F2" t="n">
        <v>2398550</v>
      </c>
      <c r="G2" t="n">
        <v>5500</v>
      </c>
      <c r="H2" t="n">
        <v>2000</v>
      </c>
      <c r="I2" t="inlineStr">
        <is>
          <t>初始價金 - 比率模式，每次減少 5.0%，邊界值 20000 元</t>
        </is>
      </c>
    </row>
    <row r="3">
      <c r="A3" t="n">
        <v>2</v>
      </c>
      <c r="B3" t="n">
        <v>28500</v>
      </c>
      <c r="C3" t="n">
        <v>4.8</v>
      </c>
      <c r="D3" t="n">
        <v>12.44</v>
      </c>
      <c r="E3" s="151" t="n">
        <v>0.2</v>
      </c>
      <c r="F3" t="n">
        <v>2235012.5</v>
      </c>
      <c r="G3" t="n">
        <v>5125</v>
      </c>
      <c r="H3" t="n">
        <v>2000</v>
      </c>
      <c r="I3" t="inlineStr">
        <is>
          <t>第1次滾算，減少 1500 元 - 比率模式，每次減少 5.0%</t>
        </is>
      </c>
    </row>
    <row r="4">
      <c r="A4" t="n">
        <v>3</v>
      </c>
      <c r="B4" t="n">
        <v>27075</v>
      </c>
      <c r="C4" t="n">
        <v>5.32</v>
      </c>
      <c r="D4" t="n">
        <v>14.64</v>
      </c>
      <c r="E4" s="151" t="n">
        <v>0.2</v>
      </c>
      <c r="F4" t="n">
        <v>2079651.875</v>
      </c>
      <c r="G4" t="n">
        <v>4768.75</v>
      </c>
      <c r="H4" t="n">
        <v>2000</v>
      </c>
      <c r="I4" t="inlineStr">
        <is>
          <t>第2次滾算，減少 1425 元 - 比率模式，每次減少 5.0%</t>
        </is>
      </c>
    </row>
    <row r="5">
      <c r="A5" t="n">
        <v>4</v>
      </c>
      <c r="B5" t="n">
        <v>25721</v>
      </c>
      <c r="C5" t="n">
        <v>5.85</v>
      </c>
      <c r="D5" t="n">
        <v>17.08</v>
      </c>
      <c r="E5" s="151" t="n">
        <v>0.2</v>
      </c>
      <c r="F5" t="n">
        <v>1932032.025</v>
      </c>
      <c r="G5" t="n">
        <v>4430.25</v>
      </c>
      <c r="H5" t="n">
        <v>2000</v>
      </c>
      <c r="I5" t="inlineStr">
        <is>
          <t>第3次滾算，減少 1354 元 - 比率模式，每次減少 5.0%</t>
        </is>
      </c>
    </row>
    <row r="6">
      <c r="A6" t="n">
        <v>5</v>
      </c>
      <c r="B6" t="n">
        <v>24435</v>
      </c>
      <c r="C6" t="n">
        <v>6.4</v>
      </c>
      <c r="D6" t="n">
        <v>19.78</v>
      </c>
      <c r="E6" s="151" t="n">
        <v>0.2</v>
      </c>
      <c r="F6" t="n">
        <v>1791825.875</v>
      </c>
      <c r="G6" t="n">
        <v>4108.75</v>
      </c>
      <c r="H6" t="n">
        <v>2000</v>
      </c>
      <c r="I6" t="inlineStr">
        <is>
          <t>第4次滾算，減少 1286 元 - 比率模式，每次減少 5.0%</t>
        </is>
      </c>
    </row>
    <row r="7">
      <c r="A7" t="n">
        <v>6</v>
      </c>
      <c r="B7" t="n">
        <v>23213</v>
      </c>
      <c r="C7" t="n">
        <v>6.96</v>
      </c>
      <c r="D7" t="n">
        <v>22.82</v>
      </c>
      <c r="E7" s="151" t="n">
        <v>0.2</v>
      </c>
      <c r="F7" t="n">
        <v>1658597.325</v>
      </c>
      <c r="G7" t="n">
        <v>3803.25</v>
      </c>
      <c r="H7" t="n">
        <v>2000</v>
      </c>
      <c r="I7" t="inlineStr">
        <is>
          <t>第5次滾算，減少 1222 元 - 比率模式，每次減少 5.0%</t>
        </is>
      </c>
    </row>
    <row r="8">
      <c r="A8" t="n">
        <v>7</v>
      </c>
      <c r="B8" t="n">
        <v>22053</v>
      </c>
      <c r="C8" t="n">
        <v>7.54</v>
      </c>
      <c r="D8" t="n">
        <v>26.24</v>
      </c>
      <c r="E8" s="151" t="n">
        <v>0.2</v>
      </c>
      <c r="F8" t="n">
        <v>1532128.325</v>
      </c>
      <c r="G8" t="n">
        <v>3513.25</v>
      </c>
      <c r="H8" t="n">
        <v>2000</v>
      </c>
      <c r="I8" t="inlineStr">
        <is>
          <t>第6次滾算，減少 1160 元 - 比率模式，每次減少 5.0%</t>
        </is>
      </c>
    </row>
    <row r="9">
      <c r="A9" t="n">
        <v>8</v>
      </c>
      <c r="B9" t="n">
        <v>20950</v>
      </c>
      <c r="C9" t="n">
        <v>8.130000000000001</v>
      </c>
      <c r="D9" t="n">
        <v>30.13</v>
      </c>
      <c r="E9" s="151" t="n">
        <v>0.2</v>
      </c>
      <c r="F9" t="n">
        <v>1411873.75</v>
      </c>
      <c r="G9" t="n">
        <v>3237.5</v>
      </c>
      <c r="H9" t="n">
        <v>2000</v>
      </c>
      <c r="I9" t="inlineStr">
        <is>
          <t>第7次滾算，減少 1103 元 - 比率模式，每次減少 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7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</t>
        </is>
      </c>
    </row>
    <row r="5" ht="22.5" customHeight="1">
      <c r="B5" s="159" t="inlineStr">
        <is>
          <t>起始年度</t>
        </is>
      </c>
      <c r="C5" s="159" t="n">
        <v>2025</v>
      </c>
      <c r="D5" s="159" t="inlineStr">
        <is>
          <t>結束年度</t>
        </is>
      </c>
      <c r="E5" s="159" t="n">
        <v>2044</v>
      </c>
      <c r="M5" t="inlineStr">
        <is>
          <t>初始價金摘要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4.29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10.43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初始價金 - 比率模式，每次減少 5.0%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2025</v>
      </c>
      <c r="E37" s="30" t="n">
        <v>2026</v>
      </c>
      <c r="F37" s="30" t="n">
        <v>2027</v>
      </c>
      <c r="G37" s="30" t="n">
        <v>2028</v>
      </c>
      <c r="H37" s="30" t="n">
        <v>2029</v>
      </c>
      <c r="I37" s="30" t="n">
        <v>2030</v>
      </c>
      <c r="J37" s="30" t="n">
        <v>2031</v>
      </c>
      <c r="K37" s="30" t="n">
        <v>2032</v>
      </c>
      <c r="L37" s="30" t="n">
        <v>2033</v>
      </c>
      <c r="M37" s="30" t="n">
        <v>2034</v>
      </c>
      <c r="N37" s="30" t="n">
        <v>2035</v>
      </c>
      <c r="O37" s="30" t="n">
        <v>2036</v>
      </c>
      <c r="P37" s="30" t="n">
        <v>2037</v>
      </c>
      <c r="Q37" s="30" t="n">
        <v>2038</v>
      </c>
      <c r="R37" s="30" t="n">
        <v>2039</v>
      </c>
      <c r="S37" s="30" t="n">
        <v>2040</v>
      </c>
      <c r="T37" s="30" t="n">
        <v>2041</v>
      </c>
      <c r="U37" s="30" t="n">
        <v>2042</v>
      </c>
      <c r="V37" s="30" t="n">
        <v>2043</v>
      </c>
      <c r="W37" s="30" t="n">
        <v>2044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-39249</v>
      </c>
      <c r="E49" s="202" t="n">
        <v>-39249</v>
      </c>
      <c r="F49" s="202" t="n">
        <v>-39249</v>
      </c>
      <c r="G49" s="202" t="n">
        <v>-39249</v>
      </c>
      <c r="H49" s="202" t="n">
        <v>-39249</v>
      </c>
      <c r="I49" s="202" t="n">
        <v>-39249</v>
      </c>
      <c r="J49" s="202" t="n">
        <v>-39249</v>
      </c>
      <c r="K49" s="202" t="n">
        <v>-39249</v>
      </c>
      <c r="L49" s="202" t="n">
        <v>-39249</v>
      </c>
      <c r="M49" s="202" t="n">
        <v>-39249</v>
      </c>
      <c r="N49" s="202" t="n">
        <v>-39249</v>
      </c>
      <c r="O49" s="202" t="n">
        <v>-39249</v>
      </c>
      <c r="P49" s="202" t="n">
        <v>-39249</v>
      </c>
      <c r="Q49" s="202" t="n">
        <v>-39249</v>
      </c>
      <c r="R49" s="202" t="n">
        <v>-39249</v>
      </c>
      <c r="S49" s="202" t="n">
        <v>-39249</v>
      </c>
      <c r="T49" s="202" t="n">
        <v>-39249</v>
      </c>
      <c r="U49" s="202" t="n">
        <v>-39249</v>
      </c>
      <c r="V49" s="202" t="n">
        <v>-39249</v>
      </c>
      <c r="W49" s="202" t="n">
        <v>-39249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-352718.5522</v>
      </c>
      <c r="E70" s="202" t="n">
        <v>-329203.9820533333</v>
      </c>
      <c r="F70" s="202" t="n">
        <v>-305689.4119066666</v>
      </c>
      <c r="G70" s="202" t="n">
        <v>-282174.84176</v>
      </c>
      <c r="H70" s="202" t="n">
        <v>-258660.2716133333</v>
      </c>
      <c r="I70" s="202" t="n">
        <v>-235145.7014666667</v>
      </c>
      <c r="J70" s="202" t="n">
        <v>-211631.13132</v>
      </c>
      <c r="K70" s="202" t="n">
        <v>-188116.5611733333</v>
      </c>
      <c r="L70" s="202" t="n">
        <v>-164601.9910266667</v>
      </c>
      <c r="M70" s="202" t="n">
        <v>-141087.42088</v>
      </c>
      <c r="N70" s="202" t="n">
        <v>-117572.8507333333</v>
      </c>
      <c r="O70" s="202" t="n">
        <v>-94058.28058666666</v>
      </c>
      <c r="P70" s="202" t="n">
        <v>-70543.71044</v>
      </c>
      <c r="Q70" s="202" t="n">
        <v>-47029.14029333333</v>
      </c>
      <c r="R70" s="202" t="n">
        <v>-23514.57014666667</v>
      </c>
      <c r="S70" s="202" t="n">
        <v>-4.19758e-22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-918717.3333333334</v>
      </c>
      <c r="F93" s="243" t="n">
        <v>-918717.3333333334</v>
      </c>
      <c r="G93" s="243" t="n">
        <v>-918717.3333333334</v>
      </c>
      <c r="H93" s="243" t="n">
        <v>-918717.3333333334</v>
      </c>
      <c r="I93" s="243" t="n">
        <v>-918717.3333333334</v>
      </c>
      <c r="J93" s="243" t="n">
        <v>-918717.3333333334</v>
      </c>
      <c r="K93" s="243" t="n">
        <v>-918717.3333333334</v>
      </c>
      <c r="L93" s="243" t="n">
        <v>-918717.3333333334</v>
      </c>
      <c r="M93" s="243" t="n">
        <v>-918717.3333333334</v>
      </c>
      <c r="N93" s="243" t="n">
        <v>-918717.3333333334</v>
      </c>
      <c r="O93" s="243" t="n">
        <v>-918717.3333333334</v>
      </c>
      <c r="P93" s="243" t="n">
        <v>-918717.3333333334</v>
      </c>
      <c r="Q93" s="243" t="n">
        <v>-918717.3333333334</v>
      </c>
      <c r="R93" s="243" t="n">
        <v>-918717.3333333334</v>
      </c>
      <c r="S93" s="243" t="n">
        <v>-918717.3333333334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-861297.5</v>
      </c>
      <c r="U96" s="259" t="n">
        <v>-861297.5</v>
      </c>
      <c r="V96" s="258" t="n">
        <v>-861297.5</v>
      </c>
      <c r="W96" s="258" t="n">
        <v>-861297.5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</t>
        </is>
      </c>
    </row>
    <row r="5" ht="22.5" customHeight="1">
      <c r="B5" s="159" t="inlineStr">
        <is>
          <t>起始年度</t>
        </is>
      </c>
      <c r="C5" s="159" t="n">
        <v>2025</v>
      </c>
      <c r="D5" s="159" t="inlineStr">
        <is>
          <t>結束年度</t>
        </is>
      </c>
      <c r="E5" s="159" t="n">
        <v>2044</v>
      </c>
      <c r="M5" t="inlineStr">
        <is>
          <t>第1次滾算摘要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28500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12.44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第1次滾算，減少 1500 元 - 比率模式，每次減少 5.0%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28500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2025</v>
      </c>
      <c r="E37" s="30" t="n">
        <v>2026</v>
      </c>
      <c r="F37" s="30" t="n">
        <v>2027</v>
      </c>
      <c r="G37" s="30" t="n">
        <v>2028</v>
      </c>
      <c r="H37" s="30" t="n">
        <v>2029</v>
      </c>
      <c r="I37" s="30" t="n">
        <v>2030</v>
      </c>
      <c r="J37" s="30" t="n">
        <v>2031</v>
      </c>
      <c r="K37" s="30" t="n">
        <v>2032</v>
      </c>
      <c r="L37" s="30" t="n">
        <v>2033</v>
      </c>
      <c r="M37" s="30" t="n">
        <v>2034</v>
      </c>
      <c r="N37" s="30" t="n">
        <v>2035</v>
      </c>
      <c r="O37" s="30" t="n">
        <v>2036</v>
      </c>
      <c r="P37" s="30" t="n">
        <v>2037</v>
      </c>
      <c r="Q37" s="30" t="n">
        <v>2038</v>
      </c>
      <c r="R37" s="30" t="n">
        <v>2039</v>
      </c>
      <c r="S37" s="30" t="n">
        <v>2040</v>
      </c>
      <c r="T37" s="30" t="n">
        <v>2041</v>
      </c>
      <c r="U37" s="30" t="n">
        <v>2042</v>
      </c>
      <c r="V37" s="30" t="n">
        <v>2043</v>
      </c>
      <c r="W37" s="30" t="n">
        <v>2044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-37286.55</v>
      </c>
      <c r="E49" s="202" t="n">
        <v>-37286.55</v>
      </c>
      <c r="F49" s="202" t="n">
        <v>-37286.55</v>
      </c>
      <c r="G49" s="202" t="n">
        <v>-37286.55</v>
      </c>
      <c r="H49" s="202" t="n">
        <v>-37286.55</v>
      </c>
      <c r="I49" s="202" t="n">
        <v>-37286.55</v>
      </c>
      <c r="J49" s="202" t="n">
        <v>-37286.55</v>
      </c>
      <c r="K49" s="202" t="n">
        <v>-37286.55</v>
      </c>
      <c r="L49" s="202" t="n">
        <v>-37286.55</v>
      </c>
      <c r="M49" s="202" t="n">
        <v>-37286.55</v>
      </c>
      <c r="N49" s="202" t="n">
        <v>-37286.55</v>
      </c>
      <c r="O49" s="202" t="n">
        <v>-37286.55</v>
      </c>
      <c r="P49" s="202" t="n">
        <v>-37286.55</v>
      </c>
      <c r="Q49" s="202" t="n">
        <v>-37286.55</v>
      </c>
      <c r="R49" s="202" t="n">
        <v>-37286.55</v>
      </c>
      <c r="S49" s="202" t="n">
        <v>-37286.55</v>
      </c>
      <c r="T49" s="202" t="n">
        <v>-37286.55</v>
      </c>
      <c r="U49" s="202" t="n">
        <v>-37286.55</v>
      </c>
      <c r="V49" s="202" t="n">
        <v>-37286.55</v>
      </c>
      <c r="W49" s="202" t="n">
        <v>-37286.55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-335975.58295</v>
      </c>
      <c r="E70" s="202" t="n">
        <v>-313577.2107533333</v>
      </c>
      <c r="F70" s="202" t="n">
        <v>-291178.8385566667</v>
      </c>
      <c r="G70" s="202" t="n">
        <v>-268780.46636</v>
      </c>
      <c r="H70" s="202" t="n">
        <v>-246382.0941633333</v>
      </c>
      <c r="I70" s="202" t="n">
        <v>-223983.7219666667</v>
      </c>
      <c r="J70" s="202" t="n">
        <v>-201585.34977</v>
      </c>
      <c r="K70" s="202" t="n">
        <v>-179186.9775733333</v>
      </c>
      <c r="L70" s="202" t="n">
        <v>-156788.6053766667</v>
      </c>
      <c r="M70" s="202" t="n">
        <v>-134390.23318</v>
      </c>
      <c r="N70" s="202" t="n">
        <v>-111991.8609833333</v>
      </c>
      <c r="O70" s="202" t="n">
        <v>-89593.48878666667</v>
      </c>
      <c r="P70" s="202" t="n">
        <v>-67195.11659000001</v>
      </c>
      <c r="Q70" s="202" t="n">
        <v>-44796.74439333333</v>
      </c>
      <c r="R70" s="202" t="n">
        <v>-22398.37219666667</v>
      </c>
      <c r="S70" s="202" t="n">
        <v>-3.42973e-22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-875107.3333333334</v>
      </c>
      <c r="F93" s="243" t="n">
        <v>-875107.3333333334</v>
      </c>
      <c r="G93" s="243" t="n">
        <v>-875107.3333333334</v>
      </c>
      <c r="H93" s="243" t="n">
        <v>-875107.3333333334</v>
      </c>
      <c r="I93" s="243" t="n">
        <v>-875107.3333333334</v>
      </c>
      <c r="J93" s="243" t="n">
        <v>-875107.3333333334</v>
      </c>
      <c r="K93" s="243" t="n">
        <v>-875107.3333333334</v>
      </c>
      <c r="L93" s="243" t="n">
        <v>-875107.3333333334</v>
      </c>
      <c r="M93" s="243" t="n">
        <v>-875107.3333333334</v>
      </c>
      <c r="N93" s="243" t="n">
        <v>-875107.3333333334</v>
      </c>
      <c r="O93" s="243" t="n">
        <v>-875107.3333333334</v>
      </c>
      <c r="P93" s="243" t="n">
        <v>-875107.3333333334</v>
      </c>
      <c r="Q93" s="243" t="n">
        <v>-875107.3333333334</v>
      </c>
      <c r="R93" s="243" t="n">
        <v>-875107.3333333334</v>
      </c>
      <c r="S93" s="243" t="n">
        <v>-875107.3333333334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-820413.125</v>
      </c>
      <c r="U96" s="259" t="n">
        <v>-820413.125</v>
      </c>
      <c r="V96" s="258" t="n">
        <v>-820413.125</v>
      </c>
      <c r="W96" s="258" t="n">
        <v>-820413.125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59" t="inlineStr">
        <is>
          <t>起始年度</t>
        </is>
      </c>
      <c r="C5" s="159" t="n">
        <v>2025</v>
      </c>
      <c r="D5" s="159" t="inlineStr">
        <is>
          <t>結束年度</t>
        </is>
      </c>
      <c r="E5" s="159" t="n">
        <v>2044</v>
      </c>
      <c r="M5" t="inlineStr">
        <is>
          <t>第2次滾算摘要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27075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5.32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14.64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第2次滾算，減少 1425 元 - 比率模式，每次減少 5.0%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27075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2025</v>
      </c>
      <c r="E37" s="30" t="n">
        <v>2026</v>
      </c>
      <c r="F37" s="30" t="n">
        <v>2027</v>
      </c>
      <c r="G37" s="30" t="n">
        <v>2028</v>
      </c>
      <c r="H37" s="30" t="n">
        <v>2029</v>
      </c>
      <c r="I37" s="30" t="n">
        <v>2030</v>
      </c>
      <c r="J37" s="30" t="n">
        <v>2031</v>
      </c>
      <c r="K37" s="30" t="n">
        <v>2032</v>
      </c>
      <c r="L37" s="30" t="n">
        <v>2033</v>
      </c>
      <c r="M37" s="30" t="n">
        <v>2034</v>
      </c>
      <c r="N37" s="30" t="n">
        <v>2035</v>
      </c>
      <c r="O37" s="30" t="n">
        <v>2036</v>
      </c>
      <c r="P37" s="30" t="n">
        <v>2037</v>
      </c>
      <c r="Q37" s="30" t="n">
        <v>2038</v>
      </c>
      <c r="R37" s="30" t="n">
        <v>2039</v>
      </c>
      <c r="S37" s="30" t="n">
        <v>2040</v>
      </c>
      <c r="T37" s="30" t="n">
        <v>2041</v>
      </c>
      <c r="U37" s="30" t="n">
        <v>2042</v>
      </c>
      <c r="V37" s="30" t="n">
        <v>2043</v>
      </c>
      <c r="W37" s="30" t="n">
        <v>2044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-35422.2225</v>
      </c>
      <c r="E49" s="202" t="n">
        <v>-35422.2225</v>
      </c>
      <c r="F49" s="202" t="n">
        <v>-35422.2225</v>
      </c>
      <c r="G49" s="202" t="n">
        <v>-35422.2225</v>
      </c>
      <c r="H49" s="202" t="n">
        <v>-35422.2225</v>
      </c>
      <c r="I49" s="202" t="n">
        <v>-35422.2225</v>
      </c>
      <c r="J49" s="202" t="n">
        <v>-35422.2225</v>
      </c>
      <c r="K49" s="202" t="n">
        <v>-35422.2225</v>
      </c>
      <c r="L49" s="202" t="n">
        <v>-35422.2225</v>
      </c>
      <c r="M49" s="202" t="n">
        <v>-35422.2225</v>
      </c>
      <c r="N49" s="202" t="n">
        <v>-35422.2225</v>
      </c>
      <c r="O49" s="202" t="n">
        <v>-35422.2225</v>
      </c>
      <c r="P49" s="202" t="n">
        <v>-35422.2225</v>
      </c>
      <c r="Q49" s="202" t="n">
        <v>-35422.2225</v>
      </c>
      <c r="R49" s="202" t="n">
        <v>-35422.2225</v>
      </c>
      <c r="S49" s="202" t="n">
        <v>-35422.2225</v>
      </c>
      <c r="T49" s="202" t="n">
        <v>-35422.2225</v>
      </c>
      <c r="U49" s="202" t="n">
        <v>-35422.2225</v>
      </c>
      <c r="V49" s="202" t="n">
        <v>-35422.2225</v>
      </c>
      <c r="W49" s="202" t="n">
        <v>-35422.2225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-320069.7621625</v>
      </c>
      <c r="E70" s="202" t="n">
        <v>-298731.7780183333</v>
      </c>
      <c r="F70" s="202" t="n">
        <v>-277393.7938741667</v>
      </c>
      <c r="G70" s="202" t="n">
        <v>-256055.80973</v>
      </c>
      <c r="H70" s="202" t="n">
        <v>-234717.8255858333</v>
      </c>
      <c r="I70" s="202" t="n">
        <v>-213379.8414416667</v>
      </c>
      <c r="J70" s="202" t="n">
        <v>-192041.8572975</v>
      </c>
      <c r="K70" s="202" t="n">
        <v>-170703.8731533333</v>
      </c>
      <c r="L70" s="202" t="n">
        <v>-149365.8890091667</v>
      </c>
      <c r="M70" s="202" t="n">
        <v>-128027.904865</v>
      </c>
      <c r="N70" s="202" t="n">
        <v>-106689.9207208333</v>
      </c>
      <c r="O70" s="202" t="n">
        <v>-85351.93657666666</v>
      </c>
      <c r="P70" s="202" t="n">
        <v>-64013.9524325</v>
      </c>
      <c r="Q70" s="202" t="n">
        <v>-42675.96828833333</v>
      </c>
      <c r="R70" s="202" t="n">
        <v>-21337.98414416666</v>
      </c>
      <c r="S70" s="202" t="n">
        <v>-3.42973e-22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-833677.8333333334</v>
      </c>
      <c r="F93" s="243" t="n">
        <v>-833677.8333333334</v>
      </c>
      <c r="G93" s="243" t="n">
        <v>-833677.8333333334</v>
      </c>
      <c r="H93" s="243" t="n">
        <v>-833677.8333333334</v>
      </c>
      <c r="I93" s="243" t="n">
        <v>-833677.8333333334</v>
      </c>
      <c r="J93" s="243" t="n">
        <v>-833677.8333333334</v>
      </c>
      <c r="K93" s="243" t="n">
        <v>-833677.8333333334</v>
      </c>
      <c r="L93" s="243" t="n">
        <v>-833677.8333333334</v>
      </c>
      <c r="M93" s="243" t="n">
        <v>-833677.8333333334</v>
      </c>
      <c r="N93" s="243" t="n">
        <v>-833677.8333333334</v>
      </c>
      <c r="O93" s="243" t="n">
        <v>-833677.8333333334</v>
      </c>
      <c r="P93" s="243" t="n">
        <v>-833677.8333333334</v>
      </c>
      <c r="Q93" s="243" t="n">
        <v>-833677.8333333334</v>
      </c>
      <c r="R93" s="243" t="n">
        <v>-833677.8333333334</v>
      </c>
      <c r="S93" s="243" t="n">
        <v>-833677.8333333334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-781572.96875</v>
      </c>
      <c r="U96" s="259" t="n">
        <v>-781572.96875</v>
      </c>
      <c r="V96" s="258" t="n">
        <v>-781572.96875</v>
      </c>
      <c r="W96" s="258" t="n">
        <v>-781572.96875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4</t>
        </is>
      </c>
    </row>
    <row r="5" ht="22.5" customHeight="1">
      <c r="B5" s="159" t="inlineStr">
        <is>
          <t>起始年度</t>
        </is>
      </c>
      <c r="C5" s="159" t="n">
        <v>2025</v>
      </c>
      <c r="D5" s="159" t="inlineStr">
        <is>
          <t>結束年度</t>
        </is>
      </c>
      <c r="E5" s="159" t="n">
        <v>2044</v>
      </c>
      <c r="M5" t="inlineStr">
        <is>
          <t>第3次滾算摘要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25721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5.85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17.08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第3次滾算，減少 1354 元 - 比率模式，每次減少 5.0%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25721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2025</v>
      </c>
      <c r="E37" s="30" t="n">
        <v>2026</v>
      </c>
      <c r="F37" s="30" t="n">
        <v>2027</v>
      </c>
      <c r="G37" s="30" t="n">
        <v>2028</v>
      </c>
      <c r="H37" s="30" t="n">
        <v>2029</v>
      </c>
      <c r="I37" s="30" t="n">
        <v>2030</v>
      </c>
      <c r="J37" s="30" t="n">
        <v>2031</v>
      </c>
      <c r="K37" s="30" t="n">
        <v>2032</v>
      </c>
      <c r="L37" s="30" t="n">
        <v>2033</v>
      </c>
      <c r="M37" s="30" t="n">
        <v>2034</v>
      </c>
      <c r="N37" s="30" t="n">
        <v>2035</v>
      </c>
      <c r="O37" s="30" t="n">
        <v>2036</v>
      </c>
      <c r="P37" s="30" t="n">
        <v>2037</v>
      </c>
      <c r="Q37" s="30" t="n">
        <v>2038</v>
      </c>
      <c r="R37" s="30" t="n">
        <v>2039</v>
      </c>
      <c r="S37" s="30" t="n">
        <v>2040</v>
      </c>
      <c r="T37" s="30" t="n">
        <v>2041</v>
      </c>
      <c r="U37" s="30" t="n">
        <v>2042</v>
      </c>
      <c r="V37" s="30" t="n">
        <v>2043</v>
      </c>
      <c r="W37" s="30" t="n">
        <v>2044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-33650.7843</v>
      </c>
      <c r="E49" s="202" t="n">
        <v>-33650.7843</v>
      </c>
      <c r="F49" s="202" t="n">
        <v>-33650.7843</v>
      </c>
      <c r="G49" s="202" t="n">
        <v>-33650.7843</v>
      </c>
      <c r="H49" s="202" t="n">
        <v>-33650.7843</v>
      </c>
      <c r="I49" s="202" t="n">
        <v>-33650.7843</v>
      </c>
      <c r="J49" s="202" t="n">
        <v>-33650.7843</v>
      </c>
      <c r="K49" s="202" t="n">
        <v>-33650.7843</v>
      </c>
      <c r="L49" s="202" t="n">
        <v>-33650.7843</v>
      </c>
      <c r="M49" s="202" t="n">
        <v>-33650.7843</v>
      </c>
      <c r="N49" s="202" t="n">
        <v>-33650.7843</v>
      </c>
      <c r="O49" s="202" t="n">
        <v>-33650.7843</v>
      </c>
      <c r="P49" s="202" t="n">
        <v>-33650.7843</v>
      </c>
      <c r="Q49" s="202" t="n">
        <v>-33650.7843</v>
      </c>
      <c r="R49" s="202" t="n">
        <v>-33650.7843</v>
      </c>
      <c r="S49" s="202" t="n">
        <v>-33650.7843</v>
      </c>
      <c r="T49" s="202" t="n">
        <v>-33650.7843</v>
      </c>
      <c r="U49" s="202" t="n">
        <v>-33650.7843</v>
      </c>
      <c r="V49" s="202" t="n">
        <v>-33650.7843</v>
      </c>
      <c r="W49" s="202" t="n">
        <v>-33650.7843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-304956.4419195</v>
      </c>
      <c r="E70" s="202" t="n">
        <v>-284626.0124582</v>
      </c>
      <c r="F70" s="202" t="n">
        <v>-264295.5829969</v>
      </c>
      <c r="G70" s="202" t="n">
        <v>-243965.1535356</v>
      </c>
      <c r="H70" s="202" t="n">
        <v>-223634.7240743</v>
      </c>
      <c r="I70" s="202" t="n">
        <v>-203304.294613</v>
      </c>
      <c r="J70" s="202" t="n">
        <v>-182973.8651517</v>
      </c>
      <c r="K70" s="202" t="n">
        <v>-162643.4356904</v>
      </c>
      <c r="L70" s="202" t="n">
        <v>-142313.0062291</v>
      </c>
      <c r="M70" s="202" t="n">
        <v>-121982.5767678</v>
      </c>
      <c r="N70" s="202" t="n">
        <v>-101652.1473065</v>
      </c>
      <c r="O70" s="202" t="n">
        <v>-81321.71784519999</v>
      </c>
      <c r="P70" s="202" t="n">
        <v>-60991.2883839</v>
      </c>
      <c r="Q70" s="202" t="n">
        <v>-40660.8589226</v>
      </c>
      <c r="R70" s="202" t="n">
        <v>-20330.4294613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-794312.54</v>
      </c>
      <c r="F93" s="243" t="n">
        <v>-794312.54</v>
      </c>
      <c r="G93" s="243" t="n">
        <v>-794312.54</v>
      </c>
      <c r="H93" s="243" t="n">
        <v>-794312.54</v>
      </c>
      <c r="I93" s="243" t="n">
        <v>-794312.54</v>
      </c>
      <c r="J93" s="243" t="n">
        <v>-794312.54</v>
      </c>
      <c r="K93" s="243" t="n">
        <v>-794312.54</v>
      </c>
      <c r="L93" s="243" t="n">
        <v>-794312.54</v>
      </c>
      <c r="M93" s="243" t="n">
        <v>-794312.54</v>
      </c>
      <c r="N93" s="243" t="n">
        <v>-794312.54</v>
      </c>
      <c r="O93" s="243" t="n">
        <v>-794312.54</v>
      </c>
      <c r="P93" s="243" t="n">
        <v>-794312.54</v>
      </c>
      <c r="Q93" s="243" t="n">
        <v>-794312.54</v>
      </c>
      <c r="R93" s="243" t="n">
        <v>-794312.54</v>
      </c>
      <c r="S93" s="243" t="n">
        <v>-794312.54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-744668.00625</v>
      </c>
      <c r="U96" s="259" t="n">
        <v>-744668.00625</v>
      </c>
      <c r="V96" s="258" t="n">
        <v>-744668.00625</v>
      </c>
      <c r="W96" s="258" t="n">
        <v>-744668.00625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5</t>
        </is>
      </c>
    </row>
    <row r="5" ht="22.5" customHeight="1">
      <c r="B5" s="159" t="inlineStr">
        <is>
          <t>起始年度</t>
        </is>
      </c>
      <c r="C5" s="159" t="n">
        <v>2025</v>
      </c>
      <c r="D5" s="159" t="inlineStr">
        <is>
          <t>結束年度</t>
        </is>
      </c>
      <c r="E5" s="159" t="n">
        <v>2044</v>
      </c>
      <c r="M5" t="inlineStr">
        <is>
          <t>第4次滾算摘要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24435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19.78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第4次滾算，減少 1286 元 - 比率模式，每次減少 5.0%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24435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2025</v>
      </c>
      <c r="E37" s="30" t="n">
        <v>2026</v>
      </c>
      <c r="F37" s="30" t="n">
        <v>2027</v>
      </c>
      <c r="G37" s="30" t="n">
        <v>2028</v>
      </c>
      <c r="H37" s="30" t="n">
        <v>2029</v>
      </c>
      <c r="I37" s="30" t="n">
        <v>2030</v>
      </c>
      <c r="J37" s="30" t="n">
        <v>2031</v>
      </c>
      <c r="K37" s="30" t="n">
        <v>2032</v>
      </c>
      <c r="L37" s="30" t="n">
        <v>2033</v>
      </c>
      <c r="M37" s="30" t="n">
        <v>2034</v>
      </c>
      <c r="N37" s="30" t="n">
        <v>2035</v>
      </c>
      <c r="O37" s="30" t="n">
        <v>2036</v>
      </c>
      <c r="P37" s="30" t="n">
        <v>2037</v>
      </c>
      <c r="Q37" s="30" t="n">
        <v>2038</v>
      </c>
      <c r="R37" s="30" t="n">
        <v>2039</v>
      </c>
      <c r="S37" s="30" t="n">
        <v>2040</v>
      </c>
      <c r="T37" s="30" t="n">
        <v>2041</v>
      </c>
      <c r="U37" s="30" t="n">
        <v>2042</v>
      </c>
      <c r="V37" s="30" t="n">
        <v>2043</v>
      </c>
      <c r="W37" s="30" t="n">
        <v>2044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-31968.3105</v>
      </c>
      <c r="E49" s="202" t="n">
        <v>-31968.3105</v>
      </c>
      <c r="F49" s="202" t="n">
        <v>-31968.3105</v>
      </c>
      <c r="G49" s="202" t="n">
        <v>-31968.3105</v>
      </c>
      <c r="H49" s="202" t="n">
        <v>-31968.3105</v>
      </c>
      <c r="I49" s="202" t="n">
        <v>-31968.3105</v>
      </c>
      <c r="J49" s="202" t="n">
        <v>-31968.3105</v>
      </c>
      <c r="K49" s="202" t="n">
        <v>-31968.3105</v>
      </c>
      <c r="L49" s="202" t="n">
        <v>-31968.3105</v>
      </c>
      <c r="M49" s="202" t="n">
        <v>-31968.3105</v>
      </c>
      <c r="N49" s="202" t="n">
        <v>-31968.3105</v>
      </c>
      <c r="O49" s="202" t="n">
        <v>-31968.3105</v>
      </c>
      <c r="P49" s="202" t="n">
        <v>-31968.3105</v>
      </c>
      <c r="Q49" s="202" t="n">
        <v>-31968.3105</v>
      </c>
      <c r="R49" s="202" t="n">
        <v>-31968.3105</v>
      </c>
      <c r="S49" s="202" t="n">
        <v>-31968.3105</v>
      </c>
      <c r="T49" s="202" t="n">
        <v>-31968.3105</v>
      </c>
      <c r="U49" s="202" t="n">
        <v>-31968.3105</v>
      </c>
      <c r="V49" s="202" t="n">
        <v>-31968.3105</v>
      </c>
      <c r="W49" s="202" t="n">
        <v>-31968.3105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-290602.1362825</v>
      </c>
      <c r="E70" s="202" t="n">
        <v>-271228.6605303333</v>
      </c>
      <c r="F70" s="202" t="n">
        <v>-251855.1847781667</v>
      </c>
      <c r="G70" s="202" t="n">
        <v>-232481.709026</v>
      </c>
      <c r="H70" s="202" t="n">
        <v>-213108.2332738333</v>
      </c>
      <c r="I70" s="202" t="n">
        <v>-193734.7575216667</v>
      </c>
      <c r="J70" s="202" t="n">
        <v>-174361.2817695</v>
      </c>
      <c r="K70" s="202" t="n">
        <v>-154987.8060173333</v>
      </c>
      <c r="L70" s="202" t="n">
        <v>-135614.3302651667</v>
      </c>
      <c r="M70" s="202" t="n">
        <v>-116240.854513</v>
      </c>
      <c r="N70" s="202" t="n">
        <v>-96867.37876083334</v>
      </c>
      <c r="O70" s="202" t="n">
        <v>-77493.90300866666</v>
      </c>
      <c r="P70" s="202" t="n">
        <v>-58120.4272565</v>
      </c>
      <c r="Q70" s="202" t="n">
        <v>-38746.95150433333</v>
      </c>
      <c r="R70" s="202" t="n">
        <v>-19373.47575216667</v>
      </c>
      <c r="S70" s="202" t="n">
        <v>-1.89403e-22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-756924.2333333333</v>
      </c>
      <c r="F93" s="243" t="n">
        <v>-756924.2333333333</v>
      </c>
      <c r="G93" s="243" t="n">
        <v>-756924.2333333333</v>
      </c>
      <c r="H93" s="243" t="n">
        <v>-756924.2333333333</v>
      </c>
      <c r="I93" s="243" t="n">
        <v>-756924.2333333333</v>
      </c>
      <c r="J93" s="243" t="n">
        <v>-756924.2333333333</v>
      </c>
      <c r="K93" s="243" t="n">
        <v>-756924.2333333333</v>
      </c>
      <c r="L93" s="243" t="n">
        <v>-756924.2333333333</v>
      </c>
      <c r="M93" s="243" t="n">
        <v>-756924.2333333333</v>
      </c>
      <c r="N93" s="243" t="n">
        <v>-756924.2333333333</v>
      </c>
      <c r="O93" s="243" t="n">
        <v>-756924.2333333333</v>
      </c>
      <c r="P93" s="243" t="n">
        <v>-756924.2333333333</v>
      </c>
      <c r="Q93" s="243" t="n">
        <v>-756924.2333333333</v>
      </c>
      <c r="R93" s="243" t="n">
        <v>-756924.2333333333</v>
      </c>
      <c r="S93" s="243" t="n">
        <v>-756924.2333333333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-709616.46875</v>
      </c>
      <c r="U96" s="259" t="n">
        <v>-709616.46875</v>
      </c>
      <c r="V96" s="258" t="n">
        <v>-709616.46875</v>
      </c>
      <c r="W96" s="258" t="n">
        <v>-709616.46875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6</t>
        </is>
      </c>
    </row>
    <row r="5" ht="22.5" customHeight="1">
      <c r="B5" s="159" t="inlineStr">
        <is>
          <t>起始年度</t>
        </is>
      </c>
      <c r="C5" s="159" t="n">
        <v>2025</v>
      </c>
      <c r="D5" s="159" t="inlineStr">
        <is>
          <t>結束年度</t>
        </is>
      </c>
      <c r="E5" s="159" t="n">
        <v>2044</v>
      </c>
      <c r="M5" t="inlineStr">
        <is>
          <t>第5次滾算摘要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23213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6.96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22.82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第5次滾算，減少 1222 元 - 比率模式，每次減少 5.0%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23213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2025</v>
      </c>
      <c r="E37" s="30" t="n">
        <v>2026</v>
      </c>
      <c r="F37" s="30" t="n">
        <v>2027</v>
      </c>
      <c r="G37" s="30" t="n">
        <v>2028</v>
      </c>
      <c r="H37" s="30" t="n">
        <v>2029</v>
      </c>
      <c r="I37" s="30" t="n">
        <v>2030</v>
      </c>
      <c r="J37" s="30" t="n">
        <v>2031</v>
      </c>
      <c r="K37" s="30" t="n">
        <v>2032</v>
      </c>
      <c r="L37" s="30" t="n">
        <v>2033</v>
      </c>
      <c r="M37" s="30" t="n">
        <v>2034</v>
      </c>
      <c r="N37" s="30" t="n">
        <v>2035</v>
      </c>
      <c r="O37" s="30" t="n">
        <v>2036</v>
      </c>
      <c r="P37" s="30" t="n">
        <v>2037</v>
      </c>
      <c r="Q37" s="30" t="n">
        <v>2038</v>
      </c>
      <c r="R37" s="30" t="n">
        <v>2039</v>
      </c>
      <c r="S37" s="30" t="n">
        <v>2040</v>
      </c>
      <c r="T37" s="30" t="n">
        <v>2041</v>
      </c>
      <c r="U37" s="30" t="n">
        <v>2042</v>
      </c>
      <c r="V37" s="30" t="n">
        <v>2043</v>
      </c>
      <c r="W37" s="30" t="n">
        <v>2044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-30369.5679</v>
      </c>
      <c r="E49" s="202" t="n">
        <v>-30369.5679</v>
      </c>
      <c r="F49" s="202" t="n">
        <v>-30369.5679</v>
      </c>
      <c r="G49" s="202" t="n">
        <v>-30369.5679</v>
      </c>
      <c r="H49" s="202" t="n">
        <v>-30369.5679</v>
      </c>
      <c r="I49" s="202" t="n">
        <v>-30369.5679</v>
      </c>
      <c r="J49" s="202" t="n">
        <v>-30369.5679</v>
      </c>
      <c r="K49" s="202" t="n">
        <v>-30369.5679</v>
      </c>
      <c r="L49" s="202" t="n">
        <v>-30369.5679</v>
      </c>
      <c r="M49" s="202" t="n">
        <v>-30369.5679</v>
      </c>
      <c r="N49" s="202" t="n">
        <v>-30369.5679</v>
      </c>
      <c r="O49" s="202" t="n">
        <v>-30369.5679</v>
      </c>
      <c r="P49" s="202" t="n">
        <v>-30369.5679</v>
      </c>
      <c r="Q49" s="202" t="n">
        <v>-30369.5679</v>
      </c>
      <c r="R49" s="202" t="n">
        <v>-30369.5679</v>
      </c>
      <c r="S49" s="202" t="n">
        <v>-30369.5679</v>
      </c>
      <c r="T49" s="202" t="n">
        <v>-30369.5679</v>
      </c>
      <c r="U49" s="202" t="n">
        <v>-30369.5679</v>
      </c>
      <c r="V49" s="202" t="n">
        <v>-30369.5679</v>
      </c>
      <c r="W49" s="202" t="n">
        <v>-30369.5679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-276962.1973335</v>
      </c>
      <c r="E70" s="202" t="n">
        <v>-258498.0508446</v>
      </c>
      <c r="F70" s="202" t="n">
        <v>-240033.9043557</v>
      </c>
      <c r="G70" s="202" t="n">
        <v>-221569.7578668</v>
      </c>
      <c r="H70" s="202" t="n">
        <v>-203105.6113779</v>
      </c>
      <c r="I70" s="202" t="n">
        <v>-184641.464889</v>
      </c>
      <c r="J70" s="202" t="n">
        <v>-166177.3184001</v>
      </c>
      <c r="K70" s="202" t="n">
        <v>-147713.1719112</v>
      </c>
      <c r="L70" s="202" t="n">
        <v>-129249.0254223</v>
      </c>
      <c r="M70" s="202" t="n">
        <v>-110784.8789334</v>
      </c>
      <c r="N70" s="202" t="n">
        <v>-92320.7324445</v>
      </c>
      <c r="O70" s="202" t="n">
        <v>-73856.58595560001</v>
      </c>
      <c r="P70" s="202" t="n">
        <v>-55392.4394667</v>
      </c>
      <c r="Q70" s="202" t="n">
        <v>-36928.2929778</v>
      </c>
      <c r="R70" s="202" t="n">
        <v>-18464.1464889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-721396.62</v>
      </c>
      <c r="F93" s="243" t="n">
        <v>-721396.62</v>
      </c>
      <c r="G93" s="243" t="n">
        <v>-721396.62</v>
      </c>
      <c r="H93" s="243" t="n">
        <v>-721396.62</v>
      </c>
      <c r="I93" s="243" t="n">
        <v>-721396.62</v>
      </c>
      <c r="J93" s="243" t="n">
        <v>-721396.62</v>
      </c>
      <c r="K93" s="243" t="n">
        <v>-721396.62</v>
      </c>
      <c r="L93" s="243" t="n">
        <v>-721396.62</v>
      </c>
      <c r="M93" s="243" t="n">
        <v>-721396.62</v>
      </c>
      <c r="N93" s="243" t="n">
        <v>-721396.62</v>
      </c>
      <c r="O93" s="243" t="n">
        <v>-721396.62</v>
      </c>
      <c r="P93" s="243" t="n">
        <v>-721396.62</v>
      </c>
      <c r="Q93" s="243" t="n">
        <v>-721396.62</v>
      </c>
      <c r="R93" s="243" t="n">
        <v>-721396.62</v>
      </c>
      <c r="S93" s="243" t="n">
        <v>-721396.62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-676309.33125</v>
      </c>
      <c r="U96" s="259" t="n">
        <v>-676309.33125</v>
      </c>
      <c r="V96" s="258" t="n">
        <v>-676309.33125</v>
      </c>
      <c r="W96" s="258" t="n">
        <v>-676309.33125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7</t>
        </is>
      </c>
    </row>
    <row r="5" ht="22.5" customHeight="1">
      <c r="B5" s="159" t="inlineStr">
        <is>
          <t>起始年度</t>
        </is>
      </c>
      <c r="C5" s="159" t="n">
        <v>2025</v>
      </c>
      <c r="D5" s="159" t="inlineStr">
        <is>
          <t>結束年度</t>
        </is>
      </c>
      <c r="E5" s="159" t="n">
        <v>2044</v>
      </c>
      <c r="M5" t="inlineStr">
        <is>
          <t>第6次滾算摘要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22053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7.54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26.24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第6次滾算，減少 1160 元 - 比率模式，每次減少 5.0%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22053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2025</v>
      </c>
      <c r="E37" s="30" t="n">
        <v>2026</v>
      </c>
      <c r="F37" s="30" t="n">
        <v>2027</v>
      </c>
      <c r="G37" s="30" t="n">
        <v>2028</v>
      </c>
      <c r="H37" s="30" t="n">
        <v>2029</v>
      </c>
      <c r="I37" s="30" t="n">
        <v>2030</v>
      </c>
      <c r="J37" s="30" t="n">
        <v>2031</v>
      </c>
      <c r="K37" s="30" t="n">
        <v>2032</v>
      </c>
      <c r="L37" s="30" t="n">
        <v>2033</v>
      </c>
      <c r="M37" s="30" t="n">
        <v>2034</v>
      </c>
      <c r="N37" s="30" t="n">
        <v>2035</v>
      </c>
      <c r="O37" s="30" t="n">
        <v>2036</v>
      </c>
      <c r="P37" s="30" t="n">
        <v>2037</v>
      </c>
      <c r="Q37" s="30" t="n">
        <v>2038</v>
      </c>
      <c r="R37" s="30" t="n">
        <v>2039</v>
      </c>
      <c r="S37" s="30" t="n">
        <v>2040</v>
      </c>
      <c r="T37" s="30" t="n">
        <v>2041</v>
      </c>
      <c r="U37" s="30" t="n">
        <v>2042</v>
      </c>
      <c r="V37" s="30" t="n">
        <v>2043</v>
      </c>
      <c r="W37" s="30" t="n">
        <v>2044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-28851.9399</v>
      </c>
      <c r="E49" s="202" t="n">
        <v>-28851.9399</v>
      </c>
      <c r="F49" s="202" t="n">
        <v>-28851.9399</v>
      </c>
      <c r="G49" s="202" t="n">
        <v>-28851.9399</v>
      </c>
      <c r="H49" s="202" t="n">
        <v>-28851.9399</v>
      </c>
      <c r="I49" s="202" t="n">
        <v>-28851.9399</v>
      </c>
      <c r="J49" s="202" t="n">
        <v>-28851.9399</v>
      </c>
      <c r="K49" s="202" t="n">
        <v>-28851.9399</v>
      </c>
      <c r="L49" s="202" t="n">
        <v>-28851.9399</v>
      </c>
      <c r="M49" s="202" t="n">
        <v>-28851.9399</v>
      </c>
      <c r="N49" s="202" t="n">
        <v>-28851.9399</v>
      </c>
      <c r="O49" s="202" t="n">
        <v>-28851.9399</v>
      </c>
      <c r="P49" s="202" t="n">
        <v>-28851.9399</v>
      </c>
      <c r="Q49" s="202" t="n">
        <v>-28851.9399</v>
      </c>
      <c r="R49" s="202" t="n">
        <v>-28851.9399</v>
      </c>
      <c r="S49" s="202" t="n">
        <v>-28851.9399</v>
      </c>
      <c r="T49" s="202" t="n">
        <v>-28851.9399</v>
      </c>
      <c r="U49" s="202" t="n">
        <v>-28851.9399</v>
      </c>
      <c r="V49" s="202" t="n">
        <v>-28851.9399</v>
      </c>
      <c r="W49" s="202" t="n">
        <v>-28851.9399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-264014.3011135</v>
      </c>
      <c r="E70" s="202" t="n">
        <v>-246413.3477059333</v>
      </c>
      <c r="F70" s="202" t="n">
        <v>-228812.3942983667</v>
      </c>
      <c r="G70" s="202" t="n">
        <v>-211211.4408908</v>
      </c>
      <c r="H70" s="202" t="n">
        <v>-193610.4874832333</v>
      </c>
      <c r="I70" s="202" t="n">
        <v>-176009.5340756667</v>
      </c>
      <c r="J70" s="202" t="n">
        <v>-158408.5806681</v>
      </c>
      <c r="K70" s="202" t="n">
        <v>-140807.6272605333</v>
      </c>
      <c r="L70" s="202" t="n">
        <v>-123206.6738529667</v>
      </c>
      <c r="M70" s="202" t="n">
        <v>-105605.7204454</v>
      </c>
      <c r="N70" s="202" t="n">
        <v>-88004.76703783333</v>
      </c>
      <c r="O70" s="202" t="n">
        <v>-70403.81363026667</v>
      </c>
      <c r="P70" s="202" t="n">
        <v>-52802.8602227</v>
      </c>
      <c r="Q70" s="202" t="n">
        <v>-35201.90681513333</v>
      </c>
      <c r="R70" s="202" t="n">
        <v>-17600.95340756667</v>
      </c>
      <c r="S70" s="202" t="n">
        <v>-1.12618e-22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-687671.5533333333</v>
      </c>
      <c r="F93" s="243" t="n">
        <v>-687671.5533333333</v>
      </c>
      <c r="G93" s="243" t="n">
        <v>-687671.5533333333</v>
      </c>
      <c r="H93" s="243" t="n">
        <v>-687671.5533333333</v>
      </c>
      <c r="I93" s="243" t="n">
        <v>-687671.5533333333</v>
      </c>
      <c r="J93" s="243" t="n">
        <v>-687671.5533333333</v>
      </c>
      <c r="K93" s="243" t="n">
        <v>-687671.5533333333</v>
      </c>
      <c r="L93" s="243" t="n">
        <v>-687671.5533333333</v>
      </c>
      <c r="M93" s="243" t="n">
        <v>-687671.5533333333</v>
      </c>
      <c r="N93" s="243" t="n">
        <v>-687671.5533333333</v>
      </c>
      <c r="O93" s="243" t="n">
        <v>-687671.5533333333</v>
      </c>
      <c r="P93" s="243" t="n">
        <v>-687671.5533333333</v>
      </c>
      <c r="Q93" s="243" t="n">
        <v>-687671.5533333333</v>
      </c>
      <c r="R93" s="243" t="n">
        <v>-687671.5533333333</v>
      </c>
      <c r="S93" s="243" t="n">
        <v>-687671.5533333333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-644692.08125</v>
      </c>
      <c r="U96" s="259" t="n">
        <v>-644692.08125</v>
      </c>
      <c r="V96" s="258" t="n">
        <v>-644692.08125</v>
      </c>
      <c r="W96" s="258" t="n">
        <v>-644692.08125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8</t>
        </is>
      </c>
    </row>
    <row r="5" ht="22.5" customHeight="1">
      <c r="B5" s="159" t="inlineStr">
        <is>
          <t>起始年度</t>
        </is>
      </c>
      <c r="C5" s="159" t="n">
        <v>2025</v>
      </c>
      <c r="D5" s="159" t="inlineStr">
        <is>
          <t>結束年度</t>
        </is>
      </c>
      <c r="E5" s="159" t="n">
        <v>2044</v>
      </c>
      <c r="M5" t="inlineStr">
        <is>
          <t>第7次滾算摘要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20950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8.13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30.13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第7次滾算，減少 1103 元 - 比率模式，每次減少 5.0%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20950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2025</v>
      </c>
      <c r="E37" s="30" t="n">
        <v>2026</v>
      </c>
      <c r="F37" s="30" t="n">
        <v>2027</v>
      </c>
      <c r="G37" s="30" t="n">
        <v>2028</v>
      </c>
      <c r="H37" s="30" t="n">
        <v>2029</v>
      </c>
      <c r="I37" s="30" t="n">
        <v>2030</v>
      </c>
      <c r="J37" s="30" t="n">
        <v>2031</v>
      </c>
      <c r="K37" s="30" t="n">
        <v>2032</v>
      </c>
      <c r="L37" s="30" t="n">
        <v>2033</v>
      </c>
      <c r="M37" s="30" t="n">
        <v>2034</v>
      </c>
      <c r="N37" s="30" t="n">
        <v>2035</v>
      </c>
      <c r="O37" s="30" t="n">
        <v>2036</v>
      </c>
      <c r="P37" s="30" t="n">
        <v>2037</v>
      </c>
      <c r="Q37" s="30" t="n">
        <v>2038</v>
      </c>
      <c r="R37" s="30" t="n">
        <v>2039</v>
      </c>
      <c r="S37" s="30" t="n">
        <v>2040</v>
      </c>
      <c r="T37" s="30" t="n">
        <v>2041</v>
      </c>
      <c r="U37" s="30" t="n">
        <v>2042</v>
      </c>
      <c r="V37" s="30" t="n">
        <v>2043</v>
      </c>
      <c r="W37" s="30" t="n">
        <v>2044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-27408.885</v>
      </c>
      <c r="E49" s="202" t="n">
        <v>-27408.885</v>
      </c>
      <c r="F49" s="202" t="n">
        <v>-27408.885</v>
      </c>
      <c r="G49" s="202" t="n">
        <v>-27408.885</v>
      </c>
      <c r="H49" s="202" t="n">
        <v>-27408.885</v>
      </c>
      <c r="I49" s="202" t="n">
        <v>-27408.885</v>
      </c>
      <c r="J49" s="202" t="n">
        <v>-27408.885</v>
      </c>
      <c r="K49" s="202" t="n">
        <v>-27408.885</v>
      </c>
      <c r="L49" s="202" t="n">
        <v>-27408.885</v>
      </c>
      <c r="M49" s="202" t="n">
        <v>-27408.885</v>
      </c>
      <c r="N49" s="202" t="n">
        <v>-27408.885</v>
      </c>
      <c r="O49" s="202" t="n">
        <v>-27408.885</v>
      </c>
      <c r="P49" s="202" t="n">
        <v>-27408.885</v>
      </c>
      <c r="Q49" s="202" t="n">
        <v>-27408.885</v>
      </c>
      <c r="R49" s="202" t="n">
        <v>-27408.885</v>
      </c>
      <c r="S49" s="202" t="n">
        <v>-27408.885</v>
      </c>
      <c r="T49" s="202" t="n">
        <v>-27408.885</v>
      </c>
      <c r="U49" s="202" t="n">
        <v>-27408.885</v>
      </c>
      <c r="V49" s="202" t="n">
        <v>-27408.885</v>
      </c>
      <c r="W49" s="202" t="n">
        <v>-27408.885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-251702.637725</v>
      </c>
      <c r="E70" s="202" t="n">
        <v>-234922.4618766667</v>
      </c>
      <c r="F70" s="202" t="n">
        <v>-218142.2860283333</v>
      </c>
      <c r="G70" s="202" t="n">
        <v>-201362.11018</v>
      </c>
      <c r="H70" s="202" t="n">
        <v>-184581.9343316667</v>
      </c>
      <c r="I70" s="202" t="n">
        <v>-167801.7584833333</v>
      </c>
      <c r="J70" s="202" t="n">
        <v>-151021.582635</v>
      </c>
      <c r="K70" s="202" t="n">
        <v>-134241.4067866667</v>
      </c>
      <c r="L70" s="202" t="n">
        <v>-117461.2309383333</v>
      </c>
      <c r="M70" s="202" t="n">
        <v>-100681.05509</v>
      </c>
      <c r="N70" s="202" t="n">
        <v>-83900.87924166667</v>
      </c>
      <c r="O70" s="202" t="n">
        <v>-67120.70339333333</v>
      </c>
      <c r="P70" s="202" t="n">
        <v>-50340.527545</v>
      </c>
      <c r="Q70" s="202" t="n">
        <v>-33560.35169666666</v>
      </c>
      <c r="R70" s="202" t="n">
        <v>-16780.17584833333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-655603.6666666666</v>
      </c>
      <c r="F93" s="243" t="n">
        <v>-655603.6666666666</v>
      </c>
      <c r="G93" s="243" t="n">
        <v>-655603.6666666666</v>
      </c>
      <c r="H93" s="243" t="n">
        <v>-655603.6666666666</v>
      </c>
      <c r="I93" s="243" t="n">
        <v>-655603.6666666666</v>
      </c>
      <c r="J93" s="243" t="n">
        <v>-655603.6666666666</v>
      </c>
      <c r="K93" s="243" t="n">
        <v>-655603.6666666666</v>
      </c>
      <c r="L93" s="243" t="n">
        <v>-655603.6666666666</v>
      </c>
      <c r="M93" s="243" t="n">
        <v>-655603.6666666666</v>
      </c>
      <c r="N93" s="243" t="n">
        <v>-655603.6666666666</v>
      </c>
      <c r="O93" s="243" t="n">
        <v>-655603.6666666666</v>
      </c>
      <c r="P93" s="243" t="n">
        <v>-655603.6666666666</v>
      </c>
      <c r="Q93" s="243" t="n">
        <v>-655603.6666666666</v>
      </c>
      <c r="R93" s="243" t="n">
        <v>-655603.6666666666</v>
      </c>
      <c r="S93" s="243" t="n">
        <v>-655603.6666666666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-614628.4375</v>
      </c>
      <c r="U96" s="259" t="n">
        <v>-614628.4375</v>
      </c>
      <c r="V96" s="258" t="n">
        <v>-614628.4375</v>
      </c>
      <c r="W96" s="258" t="n">
        <v>-614628.4375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2026-02-21T04:17:11Z</dcterms:modified>
  <cp:lastModifiedBy>王竣生</cp:lastModifiedBy>
</cp:coreProperties>
</file>