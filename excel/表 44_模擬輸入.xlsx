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#,##0.00%"/>
    <numFmt numFmtId="166" formatCode="0.00_);[Red]\(0.00\)"/>
    <numFmt numFmtId="167" formatCode="&quot;$&quot;#,##0.00_);[Red]\(&quot;$&quot;#,##0.00\)"/>
    <numFmt numFmtId="168" formatCode="0.00000%"/>
    <numFmt numFmtId="169" formatCode="_-&quot;$&quot;* #,##0.00_-;\-&quot;$&quot;* #,##0.00_-;_-&quot;$&quot;* &quot;-&quot;??_-;_-@_-"/>
    <numFmt numFmtId="170" formatCode="0.0000%"/>
    <numFmt numFmtId="171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  <font>
      <name val="新細明體"/>
      <family val="2"/>
      <color theme="1"/>
      <sz val="12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left"/>
    </xf>
    <xf numFmtId="166" fontId="28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left"/>
    </xf>
    <xf numFmtId="166" fontId="28" fillId="0" borderId="13" applyAlignment="1" pivotButton="0" quotePrefix="0" xfId="0">
      <alignment horizontal="center"/>
    </xf>
    <xf numFmtId="166" fontId="28" fillId="0" borderId="0" applyAlignment="1" pivotButton="0" quotePrefix="0" xfId="0">
      <alignment horizontal="left"/>
    </xf>
    <xf numFmtId="166" fontId="29" fillId="14" borderId="44" applyAlignment="1" pivotButton="0" quotePrefix="0" xfId="0">
      <alignment horizontal="center"/>
    </xf>
    <xf numFmtId="166" fontId="28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8" fillId="0" borderId="50" applyAlignment="1" pivotButton="0" quotePrefix="0" xfId="0">
      <alignment horizontal="left"/>
    </xf>
    <xf numFmtId="166" fontId="28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8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8" fillId="0" borderId="53" applyAlignment="1" pivotButton="0" quotePrefix="0" xfId="0">
      <alignment horizontal="left"/>
    </xf>
    <xf numFmtId="166" fontId="28" fillId="16" borderId="44" applyAlignment="1" pivotButton="0" quotePrefix="0" xfId="0">
      <alignment horizontal="center"/>
    </xf>
    <xf numFmtId="166" fontId="28" fillId="0" borderId="52" applyAlignment="1" pivotButton="0" quotePrefix="0" xfId="0">
      <alignment horizontal="left"/>
    </xf>
    <xf numFmtId="166" fontId="28" fillId="0" borderId="46" applyAlignment="1" pivotButton="0" quotePrefix="0" xfId="0">
      <alignment horizontal="left" vertical="top"/>
    </xf>
    <xf numFmtId="166" fontId="28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8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0" fillId="0" borderId="0" applyAlignment="1" pivotButton="0" quotePrefix="0" xfId="0">
      <alignment horizontal="left"/>
    </xf>
    <xf numFmtId="166" fontId="28" fillId="0" borderId="13" applyAlignment="1" pivotButton="0" quotePrefix="0" xfId="0">
      <alignment horizontal="righ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7" fontId="16" fillId="9" borderId="25" applyAlignment="1" pivotButton="0" quotePrefix="0" xfId="0">
      <alignment horizontal="left"/>
    </xf>
    <xf numFmtId="167" fontId="14" fillId="0" borderId="17" applyAlignment="1" pivotButton="0" quotePrefix="0" xfId="0">
      <alignment horizontal="center"/>
    </xf>
    <xf numFmtId="167" fontId="14" fillId="0" borderId="18" applyAlignment="1" pivotButton="0" quotePrefix="0" xfId="0">
      <alignment horizontal="center"/>
    </xf>
    <xf numFmtId="167" fontId="14" fillId="0" borderId="20" applyAlignment="1" pivotButton="0" quotePrefix="0" xfId="0">
      <alignment horizontal="center"/>
    </xf>
    <xf numFmtId="167" fontId="16" fillId="9" borderId="26" applyAlignment="1" pivotButton="0" quotePrefix="0" xfId="0">
      <alignment horizontal="left"/>
    </xf>
    <xf numFmtId="167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7" fontId="14" fillId="0" borderId="22" applyAlignment="1" pivotButton="0" quotePrefix="0" xfId="0">
      <alignment horizontal="center"/>
    </xf>
    <xf numFmtId="167" fontId="16" fillId="9" borderId="27" applyAlignment="1" pivotButton="0" quotePrefix="0" xfId="0">
      <alignment horizontal="left"/>
    </xf>
    <xf numFmtId="167" fontId="14" fillId="0" borderId="28" applyAlignment="1" pivotButton="0" quotePrefix="0" xfId="0">
      <alignment horizontal="center"/>
    </xf>
    <xf numFmtId="167" fontId="14" fillId="0" borderId="29" applyAlignment="1" pivotButton="0" quotePrefix="0" xfId="0">
      <alignment horizontal="center"/>
    </xf>
    <xf numFmtId="167" fontId="14" fillId="0" borderId="30" applyAlignment="1" pivotButton="0" quotePrefix="0" xfId="0">
      <alignment horizontal="center"/>
    </xf>
    <xf numFmtId="167" fontId="16" fillId="10" borderId="26" applyAlignment="1" pivotButton="0" quotePrefix="0" xfId="0">
      <alignment horizontal="left"/>
    </xf>
    <xf numFmtId="167" fontId="14" fillId="7" borderId="14" applyAlignment="1" pivotButton="0" quotePrefix="0" xfId="0">
      <alignment horizontal="center"/>
    </xf>
    <xf numFmtId="167" fontId="9" fillId="0" borderId="15" applyAlignment="1" pivotButton="0" quotePrefix="0" xfId="0">
      <alignment horizontal="left"/>
    </xf>
    <xf numFmtId="167" fontId="9" fillId="0" borderId="31" applyAlignment="1" pivotButton="0" quotePrefix="0" xfId="0">
      <alignment horizontal="left"/>
    </xf>
    <xf numFmtId="167" fontId="9" fillId="0" borderId="0" applyAlignment="1" pivotButton="0" quotePrefix="0" xfId="0">
      <alignment horizontal="left"/>
    </xf>
    <xf numFmtId="167" fontId="17" fillId="10" borderId="26" applyAlignment="1" pivotButton="0" quotePrefix="0" xfId="0">
      <alignment horizontal="left"/>
    </xf>
    <xf numFmtId="167" fontId="9" fillId="0" borderId="0" applyAlignment="1" pivotButton="0" quotePrefix="0" xfId="0">
      <alignment horizontal="center"/>
    </xf>
    <xf numFmtId="167" fontId="32" fillId="0" borderId="16" applyAlignment="1" pivotButton="0" quotePrefix="0" xfId="0">
      <alignment horizontal="right"/>
    </xf>
    <xf numFmtId="167" fontId="21" fillId="0" borderId="28" applyAlignment="1" pivotButton="0" quotePrefix="0" xfId="0">
      <alignment horizontal="center"/>
    </xf>
    <xf numFmtId="167" fontId="18" fillId="0" borderId="32" applyAlignment="1" pivotButton="0" quotePrefix="0" xfId="0">
      <alignment horizontal="center"/>
    </xf>
    <xf numFmtId="167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20" fillId="0" borderId="23" applyAlignment="1" pivotButton="0" quotePrefix="0" xfId="0">
      <alignment horizontal="right"/>
    </xf>
    <xf numFmtId="167" fontId="21" fillId="0" borderId="29" applyAlignment="1" pivotButton="0" quotePrefix="0" xfId="0">
      <alignment horizontal="center"/>
    </xf>
    <xf numFmtId="167" fontId="25" fillId="0" borderId="23" applyAlignment="1" pivotButton="0" quotePrefix="0" xfId="0">
      <alignment horizontal="right"/>
    </xf>
    <xf numFmtId="167" fontId="24" fillId="0" borderId="28" applyAlignment="1" pivotButton="0" quotePrefix="0" xfId="0">
      <alignment horizontal="center"/>
    </xf>
    <xf numFmtId="167" fontId="21" fillId="0" borderId="36" applyAlignment="1" pivotButton="0" quotePrefix="0" xfId="0">
      <alignment horizontal="center"/>
    </xf>
    <xf numFmtId="166" fontId="33" fillId="0" borderId="0" applyAlignment="1" pivotButton="0" quotePrefix="0" xfId="0">
      <alignment horizontal="right"/>
    </xf>
    <xf numFmtId="168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7" fontId="18" fillId="0" borderId="18" applyAlignment="1" pivotButton="0" quotePrefix="0" xfId="0">
      <alignment horizontal="center"/>
    </xf>
    <xf numFmtId="167" fontId="34" fillId="0" borderId="0" applyAlignment="1" pivotButton="0" quotePrefix="0" xfId="0">
      <alignment horizontal="right"/>
    </xf>
    <xf numFmtId="167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7" fontId="8" fillId="0" borderId="0" applyAlignment="1" pivotButton="0" quotePrefix="0" xfId="0">
      <alignment horizontal="left"/>
    </xf>
    <xf numFmtId="167" fontId="8" fillId="0" borderId="0" applyAlignment="1" pivotButton="0" quotePrefix="0" xfId="0">
      <alignment horizontal="center"/>
    </xf>
    <xf numFmtId="167" fontId="8" fillId="12" borderId="14" applyAlignment="1" pivotButton="0" quotePrefix="0" xfId="0">
      <alignment horizontal="center"/>
    </xf>
    <xf numFmtId="167" fontId="16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center"/>
    </xf>
    <xf numFmtId="167" fontId="16" fillId="0" borderId="0" applyAlignment="1" pivotButton="0" quotePrefix="0" xfId="0">
      <alignment horizontal="right"/>
    </xf>
    <xf numFmtId="167" fontId="8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left"/>
    </xf>
    <xf numFmtId="167" fontId="8" fillId="0" borderId="38" applyAlignment="1" pivotButton="0" quotePrefix="0" xfId="0">
      <alignment horizontal="left"/>
    </xf>
    <xf numFmtId="167" fontId="8" fillId="0" borderId="38" applyAlignment="1" pivotButton="0" quotePrefix="0" xfId="0">
      <alignment horizontal="right"/>
    </xf>
    <xf numFmtId="167" fontId="8" fillId="0" borderId="38" applyAlignment="1" pivotButton="0" quotePrefix="0" xfId="0">
      <alignment horizontal="center"/>
    </xf>
    <xf numFmtId="169" fontId="8" fillId="13" borderId="14" applyAlignment="1" pivotButton="0" quotePrefix="0" xfId="0">
      <alignment horizontal="center"/>
    </xf>
    <xf numFmtId="169" fontId="16" fillId="0" borderId="0" applyAlignment="1" pivotButton="0" quotePrefix="0" xfId="0">
      <alignment horizontal="center"/>
    </xf>
    <xf numFmtId="167" fontId="8" fillId="0" borderId="39" applyAlignment="1" pivotButton="0" quotePrefix="0" xfId="0">
      <alignment horizontal="left"/>
    </xf>
    <xf numFmtId="167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right"/>
    </xf>
    <xf numFmtId="169" fontId="8" fillId="0" borderId="39" applyAlignment="1" pivotButton="0" quotePrefix="0" xfId="0">
      <alignment horizontal="left"/>
    </xf>
    <xf numFmtId="167" fontId="35" fillId="0" borderId="0" applyAlignment="1" pivotButton="0" quotePrefix="0" xfId="0">
      <alignment horizontal="center"/>
    </xf>
    <xf numFmtId="167" fontId="8" fillId="0" borderId="34" applyAlignment="1" pivotButton="0" quotePrefix="0" xfId="0">
      <alignment horizontal="left"/>
    </xf>
    <xf numFmtId="167" fontId="8" fillId="0" borderId="34" applyAlignment="1" pivotButton="0" quotePrefix="0" xfId="0">
      <alignment horizontal="right"/>
    </xf>
    <xf numFmtId="167" fontId="8" fillId="5" borderId="40" applyAlignment="1" pivotButton="0" quotePrefix="0" xfId="0">
      <alignment horizontal="center"/>
    </xf>
    <xf numFmtId="170" fontId="8" fillId="7" borderId="14" applyAlignment="1" pivotButton="0" quotePrefix="0" xfId="0">
      <alignment horizontal="left"/>
    </xf>
    <xf numFmtId="171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3" workbookViewId="0">
      <selection activeCell="C17" sqref="C17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2020</v>
      </c>
      <c r="C5" s="7" t="inlineStr">
        <is>
          <t>結束年度</t>
        </is>
      </c>
      <c r="D5" s="7" t="n">
        <v>2039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30000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0.2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2000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5804025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11" customWidth="1" min="6" max="6"/>
    <col width="14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30000</v>
      </c>
      <c r="C2" t="n">
        <v>4.29</v>
      </c>
      <c r="D2" t="n">
        <v>10.43</v>
      </c>
      <c r="E2" s="151" t="n">
        <v>0.2</v>
      </c>
      <c r="F2" t="n">
        <v>2398550</v>
      </c>
      <c r="G2" t="n">
        <v>5500</v>
      </c>
      <c r="H2" t="n">
        <v>2000</v>
      </c>
      <c r="I2" t="inlineStr">
        <is>
          <t>初始價金 - 現金模式，每次減少 2000 元，邊界值 20000 元</t>
        </is>
      </c>
    </row>
    <row r="3">
      <c r="A3" t="n">
        <v>2</v>
      </c>
      <c r="B3" t="n">
        <v>28000</v>
      </c>
      <c r="C3" t="n">
        <v>4.98</v>
      </c>
      <c r="D3" t="n">
        <v>13.18</v>
      </c>
      <c r="E3" s="151" t="n">
        <v>0.2</v>
      </c>
      <c r="F3" t="n">
        <v>2180500</v>
      </c>
      <c r="G3" t="n">
        <v>5000</v>
      </c>
      <c r="H3" t="n">
        <v>2000</v>
      </c>
      <c r="I3" t="inlineStr">
        <is>
          <t>第1次滾算，減少 2000 元 - 現金模式，每次減少 2000 元</t>
        </is>
      </c>
    </row>
    <row r="4">
      <c r="A4" t="n">
        <v>3</v>
      </c>
      <c r="B4" t="n">
        <v>26000</v>
      </c>
      <c r="C4" t="n">
        <v>5.74</v>
      </c>
      <c r="D4" t="n">
        <v>16.54</v>
      </c>
      <c r="E4" s="151" t="n">
        <v>0.2</v>
      </c>
      <c r="F4" t="n">
        <v>1962450</v>
      </c>
      <c r="G4" t="n">
        <v>4500</v>
      </c>
      <c r="H4" t="n">
        <v>2000</v>
      </c>
      <c r="I4" t="inlineStr">
        <is>
          <t>第2次滾算，減少 2000 元 - 現金模式，每次減少 2000 元</t>
        </is>
      </c>
    </row>
    <row r="5">
      <c r="A5" t="n">
        <v>4</v>
      </c>
      <c r="B5" t="n">
        <v>24000</v>
      </c>
      <c r="C5" t="n">
        <v>6.59</v>
      </c>
      <c r="D5" t="n">
        <v>20.81</v>
      </c>
      <c r="E5" s="151" t="n">
        <v>0.2</v>
      </c>
      <c r="F5" t="n">
        <v>1744400</v>
      </c>
      <c r="G5" t="n">
        <v>4000</v>
      </c>
      <c r="H5" t="n">
        <v>2000</v>
      </c>
      <c r="I5" t="inlineStr">
        <is>
          <t>第3次滾算，減少 2000 元 - 現金模式，每次減少 2000 元</t>
        </is>
      </c>
    </row>
    <row r="6">
      <c r="A6" t="n">
        <v>5</v>
      </c>
      <c r="B6" t="n">
        <v>22000</v>
      </c>
      <c r="C6" t="n">
        <v>7.56</v>
      </c>
      <c r="D6" t="n">
        <v>26.41</v>
      </c>
      <c r="E6" s="151" t="n">
        <v>0.2</v>
      </c>
      <c r="F6" t="n">
        <v>1526350</v>
      </c>
      <c r="G6" t="n">
        <v>3500</v>
      </c>
      <c r="H6" t="n">
        <v>2000</v>
      </c>
      <c r="I6" t="inlineStr">
        <is>
          <t>第4次滾算，減少 2000 元 - 現金模式，每次減少 2000 元</t>
        </is>
      </c>
    </row>
    <row r="7">
      <c r="A7" t="n">
        <v>6</v>
      </c>
      <c r="B7" t="n">
        <v>20000</v>
      </c>
      <c r="C7" t="n">
        <v>8.67</v>
      </c>
      <c r="D7" t="n">
        <v>34.13</v>
      </c>
      <c r="E7" s="151" t="n">
        <v>0.2</v>
      </c>
      <c r="F7" t="n">
        <v>1308300</v>
      </c>
      <c r="G7" t="n">
        <v>3000</v>
      </c>
      <c r="H7" t="n">
        <v>2000</v>
      </c>
      <c r="I7" t="inlineStr">
        <is>
          <t>第5次滾算，減少 2000 元 - 現金模式，每次減少 2000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1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初始價金摘要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30000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4.29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10.43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初始價金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30000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-39249</v>
      </c>
      <c r="E49" s="202" t="n">
        <v>-39249</v>
      </c>
      <c r="F49" s="202" t="n">
        <v>-39249</v>
      </c>
      <c r="G49" s="202" t="n">
        <v>-39249</v>
      </c>
      <c r="H49" s="202" t="n">
        <v>-39249</v>
      </c>
      <c r="I49" s="202" t="n">
        <v>-39249</v>
      </c>
      <c r="J49" s="202" t="n">
        <v>-39249</v>
      </c>
      <c r="K49" s="202" t="n">
        <v>-39249</v>
      </c>
      <c r="L49" s="202" t="n">
        <v>-39249</v>
      </c>
      <c r="M49" s="202" t="n">
        <v>-39249</v>
      </c>
      <c r="N49" s="202" t="n">
        <v>-39249</v>
      </c>
      <c r="O49" s="202" t="n">
        <v>-39249</v>
      </c>
      <c r="P49" s="202" t="n">
        <v>-39249</v>
      </c>
      <c r="Q49" s="202" t="n">
        <v>-39249</v>
      </c>
      <c r="R49" s="202" t="n">
        <v>-39249</v>
      </c>
      <c r="S49" s="202" t="n">
        <v>-39249</v>
      </c>
      <c r="T49" s="202" t="n">
        <v>-39249</v>
      </c>
      <c r="U49" s="202" t="n">
        <v>-39249</v>
      </c>
      <c r="V49" s="202" t="n">
        <v>-39249</v>
      </c>
      <c r="W49" s="202" t="n">
        <v>-39249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-352718.5522</v>
      </c>
      <c r="E70" s="202" t="n">
        <v>-329203.9820533333</v>
      </c>
      <c r="F70" s="202" t="n">
        <v>-305689.4119066666</v>
      </c>
      <c r="G70" s="202" t="n">
        <v>-282174.84176</v>
      </c>
      <c r="H70" s="202" t="n">
        <v>-258660.2716133333</v>
      </c>
      <c r="I70" s="202" t="n">
        <v>-235145.7014666667</v>
      </c>
      <c r="J70" s="202" t="n">
        <v>-211631.13132</v>
      </c>
      <c r="K70" s="202" t="n">
        <v>-188116.5611733333</v>
      </c>
      <c r="L70" s="202" t="n">
        <v>-164601.9910266667</v>
      </c>
      <c r="M70" s="202" t="n">
        <v>-141087.42088</v>
      </c>
      <c r="N70" s="202" t="n">
        <v>-117572.8507333333</v>
      </c>
      <c r="O70" s="202" t="n">
        <v>-94058.28058666666</v>
      </c>
      <c r="P70" s="202" t="n">
        <v>-70543.71044</v>
      </c>
      <c r="Q70" s="202" t="n">
        <v>-47029.14029333333</v>
      </c>
      <c r="R70" s="202" t="n">
        <v>-23514.57014666667</v>
      </c>
      <c r="S70" s="202" t="n">
        <v>-4.19758e-22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-918717.3333333334</v>
      </c>
      <c r="F93" s="243" t="n">
        <v>-918717.3333333334</v>
      </c>
      <c r="G93" s="243" t="n">
        <v>-918717.3333333334</v>
      </c>
      <c r="H93" s="243" t="n">
        <v>-918717.3333333334</v>
      </c>
      <c r="I93" s="243" t="n">
        <v>-918717.3333333334</v>
      </c>
      <c r="J93" s="243" t="n">
        <v>-918717.3333333334</v>
      </c>
      <c r="K93" s="243" t="n">
        <v>-918717.3333333334</v>
      </c>
      <c r="L93" s="243" t="n">
        <v>-918717.3333333334</v>
      </c>
      <c r="M93" s="243" t="n">
        <v>-918717.3333333334</v>
      </c>
      <c r="N93" s="243" t="n">
        <v>-918717.3333333334</v>
      </c>
      <c r="O93" s="243" t="n">
        <v>-918717.3333333334</v>
      </c>
      <c r="P93" s="243" t="n">
        <v>-918717.3333333334</v>
      </c>
      <c r="Q93" s="243" t="n">
        <v>-918717.3333333334</v>
      </c>
      <c r="R93" s="243" t="n">
        <v>-918717.3333333334</v>
      </c>
      <c r="S93" s="243" t="n">
        <v>-918717.3333333334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-861297.5</v>
      </c>
      <c r="U96" s="259" t="n">
        <v>-861297.5</v>
      </c>
      <c r="V96" s="258" t="n">
        <v>-861297.5</v>
      </c>
      <c r="W96" s="258" t="n">
        <v>-861297.5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2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第1次滾算摘要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28000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4.98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13.18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第1次滾算，減少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28000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-36632.4</v>
      </c>
      <c r="E49" s="202" t="n">
        <v>-36632.4</v>
      </c>
      <c r="F49" s="202" t="n">
        <v>-36632.4</v>
      </c>
      <c r="G49" s="202" t="n">
        <v>-36632.4</v>
      </c>
      <c r="H49" s="202" t="n">
        <v>-36632.4</v>
      </c>
      <c r="I49" s="202" t="n">
        <v>-36632.4</v>
      </c>
      <c r="J49" s="202" t="n">
        <v>-36632.4</v>
      </c>
      <c r="K49" s="202" t="n">
        <v>-36632.4</v>
      </c>
      <c r="L49" s="202" t="n">
        <v>-36632.4</v>
      </c>
      <c r="M49" s="202" t="n">
        <v>-36632.4</v>
      </c>
      <c r="N49" s="202" t="n">
        <v>-36632.4</v>
      </c>
      <c r="O49" s="202" t="n">
        <v>-36632.4</v>
      </c>
      <c r="P49" s="202" t="n">
        <v>-36632.4</v>
      </c>
      <c r="Q49" s="202" t="n">
        <v>-36632.4</v>
      </c>
      <c r="R49" s="202" t="n">
        <v>-36632.4</v>
      </c>
      <c r="S49" s="202" t="n">
        <v>-36632.4</v>
      </c>
      <c r="T49" s="202" t="n">
        <v>-36632.4</v>
      </c>
      <c r="U49" s="202" t="n">
        <v>-36632.4</v>
      </c>
      <c r="V49" s="202" t="n">
        <v>-36632.4</v>
      </c>
      <c r="W49" s="202" t="n">
        <v>-36632.4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-330394.5932</v>
      </c>
      <c r="E70" s="202" t="n">
        <v>-308368.2869866667</v>
      </c>
      <c r="F70" s="202" t="n">
        <v>-286341.9807733333</v>
      </c>
      <c r="G70" s="202" t="n">
        <v>-264315.67456</v>
      </c>
      <c r="H70" s="202" t="n">
        <v>-242289.3683466667</v>
      </c>
      <c r="I70" s="202" t="n">
        <v>-220263.0621333333</v>
      </c>
      <c r="J70" s="202" t="n">
        <v>-198236.75592</v>
      </c>
      <c r="K70" s="202" t="n">
        <v>-176210.4497066667</v>
      </c>
      <c r="L70" s="202" t="n">
        <v>-154184.1434933333</v>
      </c>
      <c r="M70" s="202" t="n">
        <v>-132157.83728</v>
      </c>
      <c r="N70" s="202" t="n">
        <v>-110131.5310666667</v>
      </c>
      <c r="O70" s="202" t="n">
        <v>-88105.22485333333</v>
      </c>
      <c r="P70" s="202" t="n">
        <v>-66078.91864</v>
      </c>
      <c r="Q70" s="202" t="n">
        <v>-44052.61242666667</v>
      </c>
      <c r="R70" s="202" t="n">
        <v>-22026.30621333333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-860570.6666666666</v>
      </c>
      <c r="F93" s="243" t="n">
        <v>-860570.6666666666</v>
      </c>
      <c r="G93" s="243" t="n">
        <v>-860570.6666666666</v>
      </c>
      <c r="H93" s="243" t="n">
        <v>-860570.6666666666</v>
      </c>
      <c r="I93" s="243" t="n">
        <v>-860570.6666666666</v>
      </c>
      <c r="J93" s="243" t="n">
        <v>-860570.6666666666</v>
      </c>
      <c r="K93" s="243" t="n">
        <v>-860570.6666666666</v>
      </c>
      <c r="L93" s="243" t="n">
        <v>-860570.6666666666</v>
      </c>
      <c r="M93" s="243" t="n">
        <v>-860570.6666666666</v>
      </c>
      <c r="N93" s="243" t="n">
        <v>-860570.6666666666</v>
      </c>
      <c r="O93" s="243" t="n">
        <v>-860570.6666666666</v>
      </c>
      <c r="P93" s="243" t="n">
        <v>-860570.6666666666</v>
      </c>
      <c r="Q93" s="243" t="n">
        <v>-860570.6666666666</v>
      </c>
      <c r="R93" s="243" t="n">
        <v>-860570.6666666666</v>
      </c>
      <c r="S93" s="243" t="n">
        <v>-860570.6666666666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-806785</v>
      </c>
      <c r="U96" s="259" t="n">
        <v>-806785</v>
      </c>
      <c r="V96" s="258" t="n">
        <v>-806785</v>
      </c>
      <c r="W96" s="258" t="n">
        <v>-806785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3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第2次滾算摘要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26000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5.74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16.54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第2次滾算，減少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26000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-34015.8</v>
      </c>
      <c r="E49" s="202" t="n">
        <v>-34015.8</v>
      </c>
      <c r="F49" s="202" t="n">
        <v>-34015.8</v>
      </c>
      <c r="G49" s="202" t="n">
        <v>-34015.8</v>
      </c>
      <c r="H49" s="202" t="n">
        <v>-34015.8</v>
      </c>
      <c r="I49" s="202" t="n">
        <v>-34015.8</v>
      </c>
      <c r="J49" s="202" t="n">
        <v>-34015.8</v>
      </c>
      <c r="K49" s="202" t="n">
        <v>-34015.8</v>
      </c>
      <c r="L49" s="202" t="n">
        <v>-34015.8</v>
      </c>
      <c r="M49" s="202" t="n">
        <v>-34015.8</v>
      </c>
      <c r="N49" s="202" t="n">
        <v>-34015.8</v>
      </c>
      <c r="O49" s="202" t="n">
        <v>-34015.8</v>
      </c>
      <c r="P49" s="202" t="n">
        <v>-34015.8</v>
      </c>
      <c r="Q49" s="202" t="n">
        <v>-34015.8</v>
      </c>
      <c r="R49" s="202" t="n">
        <v>-34015.8</v>
      </c>
      <c r="S49" s="202" t="n">
        <v>-34015.8</v>
      </c>
      <c r="T49" s="202" t="n">
        <v>-34015.8</v>
      </c>
      <c r="U49" s="202" t="n">
        <v>-34015.8</v>
      </c>
      <c r="V49" s="202" t="n">
        <v>-34015.8</v>
      </c>
      <c r="W49" s="202" t="n">
        <v>-34015.8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-308070.6342</v>
      </c>
      <c r="E70" s="202" t="n">
        <v>-287532.59192</v>
      </c>
      <c r="F70" s="202" t="n">
        <v>-266994.54964</v>
      </c>
      <c r="G70" s="202" t="n">
        <v>-246456.50736</v>
      </c>
      <c r="H70" s="202" t="n">
        <v>-225918.46508</v>
      </c>
      <c r="I70" s="202" t="n">
        <v>-205380.4228</v>
      </c>
      <c r="J70" s="202" t="n">
        <v>-184842.38052</v>
      </c>
      <c r="K70" s="202" t="n">
        <v>-164304.33824</v>
      </c>
      <c r="L70" s="202" t="n">
        <v>-143766.29596</v>
      </c>
      <c r="M70" s="202" t="n">
        <v>-123228.25368</v>
      </c>
      <c r="N70" s="202" t="n">
        <v>-102690.2114</v>
      </c>
      <c r="O70" s="202" t="n">
        <v>-82152.16912000001</v>
      </c>
      <c r="P70" s="202" t="n">
        <v>-61614.12684</v>
      </c>
      <c r="Q70" s="202" t="n">
        <v>-41076.08456</v>
      </c>
      <c r="R70" s="202" t="n">
        <v>-20538.04228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-802424</v>
      </c>
      <c r="F93" s="243" t="n">
        <v>-802424</v>
      </c>
      <c r="G93" s="243" t="n">
        <v>-802424</v>
      </c>
      <c r="H93" s="243" t="n">
        <v>-802424</v>
      </c>
      <c r="I93" s="243" t="n">
        <v>-802424</v>
      </c>
      <c r="J93" s="243" t="n">
        <v>-802424</v>
      </c>
      <c r="K93" s="243" t="n">
        <v>-802424</v>
      </c>
      <c r="L93" s="243" t="n">
        <v>-802424</v>
      </c>
      <c r="M93" s="243" t="n">
        <v>-802424</v>
      </c>
      <c r="N93" s="243" t="n">
        <v>-802424</v>
      </c>
      <c r="O93" s="243" t="n">
        <v>-802424</v>
      </c>
      <c r="P93" s="243" t="n">
        <v>-802424</v>
      </c>
      <c r="Q93" s="243" t="n">
        <v>-802424</v>
      </c>
      <c r="R93" s="243" t="n">
        <v>-802424</v>
      </c>
      <c r="S93" s="243" t="n">
        <v>-802424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-752272.5</v>
      </c>
      <c r="U96" s="259" t="n">
        <v>-752272.5</v>
      </c>
      <c r="V96" s="258" t="n">
        <v>-752272.5</v>
      </c>
      <c r="W96" s="258" t="n">
        <v>-752272.5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4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第3次滾算摘要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24000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6.59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20.81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第3次滾算，減少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24000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-31399.2</v>
      </c>
      <c r="E49" s="202" t="n">
        <v>-31399.2</v>
      </c>
      <c r="F49" s="202" t="n">
        <v>-31399.2</v>
      </c>
      <c r="G49" s="202" t="n">
        <v>-31399.2</v>
      </c>
      <c r="H49" s="202" t="n">
        <v>-31399.2</v>
      </c>
      <c r="I49" s="202" t="n">
        <v>-31399.2</v>
      </c>
      <c r="J49" s="202" t="n">
        <v>-31399.2</v>
      </c>
      <c r="K49" s="202" t="n">
        <v>-31399.2</v>
      </c>
      <c r="L49" s="202" t="n">
        <v>-31399.2</v>
      </c>
      <c r="M49" s="202" t="n">
        <v>-31399.2</v>
      </c>
      <c r="N49" s="202" t="n">
        <v>-31399.2</v>
      </c>
      <c r="O49" s="202" t="n">
        <v>-31399.2</v>
      </c>
      <c r="P49" s="202" t="n">
        <v>-31399.2</v>
      </c>
      <c r="Q49" s="202" t="n">
        <v>-31399.2</v>
      </c>
      <c r="R49" s="202" t="n">
        <v>-31399.2</v>
      </c>
      <c r="S49" s="202" t="n">
        <v>-31399.2</v>
      </c>
      <c r="T49" s="202" t="n">
        <v>-31399.2</v>
      </c>
      <c r="U49" s="202" t="n">
        <v>-31399.2</v>
      </c>
      <c r="V49" s="202" t="n">
        <v>-31399.2</v>
      </c>
      <c r="W49" s="202" t="n">
        <v>-31399.2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-285746.6752</v>
      </c>
      <c r="E70" s="202" t="n">
        <v>-266696.8968533333</v>
      </c>
      <c r="F70" s="202" t="n">
        <v>-247647.1185066667</v>
      </c>
      <c r="G70" s="202" t="n">
        <v>-228597.34016</v>
      </c>
      <c r="H70" s="202" t="n">
        <v>-209547.5618133333</v>
      </c>
      <c r="I70" s="202" t="n">
        <v>-190497.7834666667</v>
      </c>
      <c r="J70" s="202" t="n">
        <v>-171448.00512</v>
      </c>
      <c r="K70" s="202" t="n">
        <v>-152398.2267733333</v>
      </c>
      <c r="L70" s="202" t="n">
        <v>-133348.4484266667</v>
      </c>
      <c r="M70" s="202" t="n">
        <v>-114298.67008</v>
      </c>
      <c r="N70" s="202" t="n">
        <v>-95248.89173333334</v>
      </c>
      <c r="O70" s="202" t="n">
        <v>-76199.11338666666</v>
      </c>
      <c r="P70" s="202" t="n">
        <v>-57149.33504</v>
      </c>
      <c r="Q70" s="202" t="n">
        <v>-38099.55669333333</v>
      </c>
      <c r="R70" s="202" t="n">
        <v>-19049.77834666667</v>
      </c>
      <c r="S70" s="202" t="n">
        <v>-1.89403e-22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-744277.3333333334</v>
      </c>
      <c r="F93" s="243" t="n">
        <v>-744277.3333333334</v>
      </c>
      <c r="G93" s="243" t="n">
        <v>-744277.3333333334</v>
      </c>
      <c r="H93" s="243" t="n">
        <v>-744277.3333333334</v>
      </c>
      <c r="I93" s="243" t="n">
        <v>-744277.3333333334</v>
      </c>
      <c r="J93" s="243" t="n">
        <v>-744277.3333333334</v>
      </c>
      <c r="K93" s="243" t="n">
        <v>-744277.3333333334</v>
      </c>
      <c r="L93" s="243" t="n">
        <v>-744277.3333333334</v>
      </c>
      <c r="M93" s="243" t="n">
        <v>-744277.3333333334</v>
      </c>
      <c r="N93" s="243" t="n">
        <v>-744277.3333333334</v>
      </c>
      <c r="O93" s="243" t="n">
        <v>-744277.3333333334</v>
      </c>
      <c r="P93" s="243" t="n">
        <v>-744277.3333333334</v>
      </c>
      <c r="Q93" s="243" t="n">
        <v>-744277.3333333334</v>
      </c>
      <c r="R93" s="243" t="n">
        <v>-744277.3333333334</v>
      </c>
      <c r="S93" s="243" t="n">
        <v>-744277.3333333334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-697760</v>
      </c>
      <c r="U96" s="259" t="n">
        <v>-697760</v>
      </c>
      <c r="V96" s="258" t="n">
        <v>-697760</v>
      </c>
      <c r="W96" s="258" t="n">
        <v>-697760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5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第4次滾算摘要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22000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7.56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26.41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第4次滾算，減少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22000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-28782.6</v>
      </c>
      <c r="E49" s="202" t="n">
        <v>-28782.6</v>
      </c>
      <c r="F49" s="202" t="n">
        <v>-28782.6</v>
      </c>
      <c r="G49" s="202" t="n">
        <v>-28782.6</v>
      </c>
      <c r="H49" s="202" t="n">
        <v>-28782.6</v>
      </c>
      <c r="I49" s="202" t="n">
        <v>-28782.6</v>
      </c>
      <c r="J49" s="202" t="n">
        <v>-28782.6</v>
      </c>
      <c r="K49" s="202" t="n">
        <v>-28782.6</v>
      </c>
      <c r="L49" s="202" t="n">
        <v>-28782.6</v>
      </c>
      <c r="M49" s="202" t="n">
        <v>-28782.6</v>
      </c>
      <c r="N49" s="202" t="n">
        <v>-28782.6</v>
      </c>
      <c r="O49" s="202" t="n">
        <v>-28782.6</v>
      </c>
      <c r="P49" s="202" t="n">
        <v>-28782.6</v>
      </c>
      <c r="Q49" s="202" t="n">
        <v>-28782.6</v>
      </c>
      <c r="R49" s="202" t="n">
        <v>-28782.6</v>
      </c>
      <c r="S49" s="202" t="n">
        <v>-28782.6</v>
      </c>
      <c r="T49" s="202" t="n">
        <v>-28782.6</v>
      </c>
      <c r="U49" s="202" t="n">
        <v>-28782.6</v>
      </c>
      <c r="V49" s="202" t="n">
        <v>-28782.6</v>
      </c>
      <c r="W49" s="202" t="n">
        <v>-28782.6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-263422.7162</v>
      </c>
      <c r="E70" s="202" t="n">
        <v>-245861.2017866667</v>
      </c>
      <c r="F70" s="202" t="n">
        <v>-228299.6873733333</v>
      </c>
      <c r="G70" s="202" t="n">
        <v>-210738.17296</v>
      </c>
      <c r="H70" s="202" t="n">
        <v>-193176.6585466667</v>
      </c>
      <c r="I70" s="202" t="n">
        <v>-175615.1441333333</v>
      </c>
      <c r="J70" s="202" t="n">
        <v>-158053.62972</v>
      </c>
      <c r="K70" s="202" t="n">
        <v>-140492.1153066667</v>
      </c>
      <c r="L70" s="202" t="n">
        <v>-122930.6008933333</v>
      </c>
      <c r="M70" s="202" t="n">
        <v>-105369.08648</v>
      </c>
      <c r="N70" s="202" t="n">
        <v>-87807.57206666666</v>
      </c>
      <c r="O70" s="202" t="n">
        <v>-70246.05765333334</v>
      </c>
      <c r="P70" s="202" t="n">
        <v>-52684.54324</v>
      </c>
      <c r="Q70" s="202" t="n">
        <v>-35123.02882666667</v>
      </c>
      <c r="R70" s="202" t="n">
        <v>-17561.51441333333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-686130.6666666666</v>
      </c>
      <c r="F93" s="243" t="n">
        <v>-686130.6666666666</v>
      </c>
      <c r="G93" s="243" t="n">
        <v>-686130.6666666666</v>
      </c>
      <c r="H93" s="243" t="n">
        <v>-686130.6666666666</v>
      </c>
      <c r="I93" s="243" t="n">
        <v>-686130.6666666666</v>
      </c>
      <c r="J93" s="243" t="n">
        <v>-686130.6666666666</v>
      </c>
      <c r="K93" s="243" t="n">
        <v>-686130.6666666666</v>
      </c>
      <c r="L93" s="243" t="n">
        <v>-686130.6666666666</v>
      </c>
      <c r="M93" s="243" t="n">
        <v>-686130.6666666666</v>
      </c>
      <c r="N93" s="243" t="n">
        <v>-686130.6666666666</v>
      </c>
      <c r="O93" s="243" t="n">
        <v>-686130.6666666666</v>
      </c>
      <c r="P93" s="243" t="n">
        <v>-686130.6666666666</v>
      </c>
      <c r="Q93" s="243" t="n">
        <v>-686130.6666666666</v>
      </c>
      <c r="R93" s="243" t="n">
        <v>-686130.6666666666</v>
      </c>
      <c r="S93" s="243" t="n">
        <v>-686130.6666666666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-643247.5</v>
      </c>
      <c r="U96" s="259" t="n">
        <v>-643247.5</v>
      </c>
      <c r="V96" s="258" t="n">
        <v>-643247.5</v>
      </c>
      <c r="W96" s="258" t="n">
        <v>-643247.5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</row>
    <row r="2" ht="21.75" customHeight="1">
      <c r="B2" s="155" t="inlineStr">
        <is>
          <t>電站名稱</t>
        </is>
      </c>
      <c r="C2" s="156" t="inlineStr">
        <is>
          <t>淡江大學-財務模擬案場</t>
        </is>
      </c>
      <c r="D2" s="157" t="inlineStr">
        <is>
          <t>-</t>
        </is>
      </c>
      <c r="E2" s="157" t="inlineStr">
        <is>
          <t>-</t>
        </is>
      </c>
    </row>
    <row r="3" ht="21.75" customHeight="1">
      <c r="B3" s="158" t="inlineStr">
        <is>
          <t>電站壽命</t>
        </is>
      </c>
      <c r="C3" s="159" t="n">
        <v>20</v>
      </c>
      <c r="D3" s="160" t="inlineStr">
        <is>
          <t>-</t>
        </is>
      </c>
      <c r="E3" s="160" t="inlineStr">
        <is>
          <t>-</t>
        </is>
      </c>
    </row>
    <row r="4" ht="21.75" customHeight="1">
      <c r="B4" s="158" t="inlineStr">
        <is>
          <t>建置量(kWp)</t>
        </is>
      </c>
      <c r="C4" s="159" t="n">
        <v>436.1</v>
      </c>
      <c r="D4" s="160" t="inlineStr">
        <is>
          <t>-</t>
        </is>
      </c>
      <c r="E4" s="160" t="inlineStr">
        <is>
          <t>-</t>
        </is>
      </c>
      <c r="M4" t="inlineStr">
        <is>
          <t>滾算紀錄編號: 6</t>
        </is>
      </c>
    </row>
    <row r="5" ht="22.5" customHeight="1">
      <c r="B5" s="159" t="inlineStr">
        <is>
          <t>起始年度</t>
        </is>
      </c>
      <c r="C5" s="159" t="n">
        <v>2020</v>
      </c>
      <c r="D5" s="159" t="inlineStr">
        <is>
          <t>結束年度</t>
        </is>
      </c>
      <c r="E5" s="159" t="n">
        <v>2039</v>
      </c>
      <c r="M5" t="inlineStr">
        <is>
          <t>第5次滾算摘要</t>
        </is>
      </c>
    </row>
    <row r="6" ht="20.25" customHeight="1">
      <c r="B6" s="161" t="n"/>
      <c r="C6" s="161" t="n"/>
      <c r="D6" s="161" t="n"/>
      <c r="E6" s="161" t="n"/>
      <c r="M6" t="inlineStr">
        <is>
          <t>價金: 20000</t>
        </is>
      </c>
    </row>
    <row r="7" ht="22.5" customHeight="1">
      <c r="B7" s="162" t="inlineStr">
        <is>
          <t>綜合損益表</t>
        </is>
      </c>
      <c r="C7" s="153" t="n"/>
      <c r="D7" s="153" t="n"/>
      <c r="E7" s="154" t="n"/>
      <c r="M7" t="inlineStr">
        <is>
          <t>專案IRR: 8.67</t>
        </is>
      </c>
    </row>
    <row r="8" ht="22.5" customHeight="1">
      <c r="B8" s="163" t="inlineStr">
        <is>
          <t>收入</t>
        </is>
      </c>
      <c r="C8" s="164" t="n"/>
      <c r="D8" s="164" t="n"/>
      <c r="E8" s="165" t="n"/>
      <c r="M8" t="inlineStr">
        <is>
          <t>權益法IRR: 34.13</t>
        </is>
      </c>
    </row>
    <row r="9" ht="22.5" customHeight="1">
      <c r="B9" s="166" t="inlineStr">
        <is>
          <t>收支項目</t>
        </is>
      </c>
      <c r="C9" s="167" t="inlineStr">
        <is>
          <t>相關參數</t>
        </is>
      </c>
      <c r="D9" s="167" t="inlineStr">
        <is>
          <t>參數數值</t>
        </is>
      </c>
      <c r="E9" s="168" t="inlineStr">
        <is>
          <t>年限</t>
        </is>
      </c>
      <c r="M9" t="inlineStr">
        <is>
          <t>利潤率: 20.00%</t>
        </is>
      </c>
    </row>
    <row r="10" ht="21.75" customHeight="1">
      <c r="B10" s="169" t="inlineStr">
        <is>
          <t>電費收入</t>
        </is>
      </c>
      <c r="C10" s="156" t="inlineStr">
        <is>
          <t>年度AC併網總發電量</t>
        </is>
      </c>
      <c r="D10" s="156" t="n">
        <v>547002</v>
      </c>
      <c r="E10" s="169" t="n">
        <v>20</v>
      </c>
      <c r="M10" t="inlineStr">
        <is>
          <t>第5次滾算，減少 2000 元 - 現金模式，每次減少 2000 元</t>
        </is>
      </c>
    </row>
    <row r="11" ht="21.75" customHeight="1">
      <c r="B11" s="170" t="n"/>
      <c r="C11" s="159" t="inlineStr">
        <is>
          <t>首年衰退率</t>
        </is>
      </c>
      <c r="D11" s="159" t="n">
        <v>0.01</v>
      </c>
      <c r="E11" s="170" t="n"/>
    </row>
    <row r="12" ht="21.75" customHeight="1">
      <c r="B12" s="170" t="n"/>
      <c r="C12" s="159" t="inlineStr">
        <is>
          <t>次年衰退率</t>
        </is>
      </c>
      <c r="D12" s="159" t="n">
        <v>0.004</v>
      </c>
      <c r="E12" s="170" t="n"/>
    </row>
    <row r="13" ht="22.5" customHeight="1">
      <c r="B13" s="170" t="n"/>
      <c r="C13" s="171" t="inlineStr">
        <is>
          <t>躉售費率(FIT)</t>
        </is>
      </c>
      <c r="D13" s="171" t="n">
        <v>3.7152</v>
      </c>
      <c r="E13" s="170" t="n"/>
    </row>
    <row r="14" ht="22.5" customHeight="1">
      <c r="B14" s="172" t="inlineStr">
        <is>
          <t>支出</t>
        </is>
      </c>
      <c r="C14" s="153" t="n"/>
      <c r="D14" s="153" t="n"/>
      <c r="E14" s="154" t="n"/>
    </row>
    <row r="15" ht="22.5" customHeight="1">
      <c r="B15" s="166" t="inlineStr">
        <is>
          <t>收支項目</t>
        </is>
      </c>
      <c r="C15" s="167" t="inlineStr">
        <is>
          <t>相關參數</t>
        </is>
      </c>
      <c r="D15" s="167" t="inlineStr">
        <is>
          <t>參數數值</t>
        </is>
      </c>
      <c r="E15" s="173" t="inlineStr">
        <is>
          <t>攤提年限</t>
        </is>
      </c>
    </row>
    <row r="16" ht="21.75" customHeight="1">
      <c r="B16" s="174" t="inlineStr">
        <is>
          <t>設備費用(價金)</t>
        </is>
      </c>
      <c r="C16" s="155" t="inlineStr">
        <is>
          <t>每kWp設備成本</t>
        </is>
      </c>
      <c r="D16" s="156" t="n">
        <v>20000</v>
      </c>
      <c r="E16" s="175" t="n">
        <v>20</v>
      </c>
    </row>
    <row r="17" ht="21.75" customHeight="1">
      <c r="B17" s="170" t="n"/>
      <c r="C17" s="159" t="inlineStr">
        <is>
          <t>信邦利潤率</t>
        </is>
      </c>
      <c r="D17" s="159" t="n">
        <v>0.2</v>
      </c>
      <c r="E17" s="170" t="n"/>
    </row>
    <row r="18" ht="21.75" customHeight="1">
      <c r="B18" s="176" t="n"/>
      <c r="C18" s="159" t="inlineStr">
        <is>
          <t>開發費</t>
        </is>
      </c>
      <c r="D18" s="159" t="n">
        <v>2000</v>
      </c>
      <c r="E18" s="176" t="n"/>
    </row>
    <row r="19" ht="54" customHeight="1">
      <c r="B19" s="177" t="inlineStr">
        <is>
          <t>租金費用</t>
        </is>
      </c>
      <c r="C19" s="178" t="inlineStr">
        <is>
          <t>租金計算方式
(1=固定攤提/2=電費抽成)</t>
        </is>
      </c>
      <c r="D19" s="159" t="n">
        <v>1</v>
      </c>
      <c r="E19" s="157" t="n">
        <v>0</v>
      </c>
    </row>
    <row r="20" ht="20.25" customHeight="1">
      <c r="B20" s="170" t="n"/>
      <c r="C20" s="179" t="inlineStr">
        <is>
          <t>【方式1參數】租金總額</t>
        </is>
      </c>
      <c r="D20" s="159" t="n">
        <v>5804025</v>
      </c>
      <c r="E20" s="157" t="n">
        <v>20</v>
      </c>
    </row>
    <row r="21" ht="21.75" customHeight="1">
      <c r="B21" s="176" t="n"/>
      <c r="C21" s="159" t="inlineStr">
        <is>
          <t>【方式2參數】抽成比率</t>
        </is>
      </c>
      <c r="D21" s="159" t="n">
        <v>0</v>
      </c>
      <c r="E21" s="160" t="n">
        <v>0</v>
      </c>
    </row>
    <row r="22" ht="21.75" customHeight="1">
      <c r="B22" s="159" t="inlineStr">
        <is>
          <t>運維費用</t>
        </is>
      </c>
      <c r="C22" s="159" t="inlineStr">
        <is>
          <t>每kw運維成本</t>
        </is>
      </c>
      <c r="D22" s="159" t="n">
        <v>400</v>
      </c>
      <c r="E22" s="160" t="n">
        <v>20</v>
      </c>
    </row>
    <row r="23" ht="21.75" customHeight="1">
      <c r="B23" s="159" t="inlineStr">
        <is>
          <t>保險費用</t>
        </is>
      </c>
      <c r="C23" s="158" t="inlineStr">
        <is>
          <t>占整體設備費用比例</t>
        </is>
      </c>
      <c r="D23" s="159" t="n">
        <v>0.003</v>
      </c>
      <c r="E23" s="160" t="n">
        <v>20</v>
      </c>
    </row>
    <row r="24" ht="21.75" customHeight="1">
      <c r="B24" s="159" t="inlineStr">
        <is>
          <t>模組回收費用</t>
        </is>
      </c>
      <c r="C24" s="159" t="inlineStr">
        <is>
          <t>每kw模組回收成本</t>
        </is>
      </c>
      <c r="D24" s="159" t="n">
        <v>1000</v>
      </c>
      <c r="E24" s="160" t="n">
        <v>10</v>
      </c>
    </row>
    <row r="25" ht="21.75" customHeight="1">
      <c r="B25" s="159" t="inlineStr">
        <is>
          <t>利息費用</t>
        </is>
      </c>
      <c r="C25" s="159" t="inlineStr">
        <is>
          <t>銀行利率</t>
        </is>
      </c>
      <c r="D25" s="180" t="n">
        <v>0.025595</v>
      </c>
      <c r="E25" s="160" t="n">
        <v>0</v>
      </c>
    </row>
    <row r="26" ht="22.5" customHeight="1">
      <c r="B26" s="159" t="inlineStr">
        <is>
          <t>所得稅</t>
        </is>
      </c>
      <c r="C26" s="159" t="inlineStr">
        <is>
          <t>所得稅率</t>
        </is>
      </c>
      <c r="D26" s="159" t="n">
        <v>0.2</v>
      </c>
      <c r="E26" s="160" t="n">
        <v>0</v>
      </c>
    </row>
    <row r="27" ht="20.25" customHeight="1">
      <c r="B27" s="161" t="n"/>
      <c r="C27" s="161" t="n"/>
      <c r="D27" s="161" t="n"/>
      <c r="E27" s="161" t="n"/>
    </row>
    <row r="28" ht="20.25" customHeight="1">
      <c r="B28" s="161" t="n"/>
      <c r="C28" s="161" t="n"/>
      <c r="D28" s="161" t="n"/>
      <c r="E28" s="161" t="n"/>
    </row>
    <row r="29" ht="22.5" customHeight="1">
      <c r="B29" s="162" t="inlineStr">
        <is>
          <t>現金流量表</t>
        </is>
      </c>
      <c r="C29" s="153" t="n"/>
      <c r="D29" s="154" t="n"/>
      <c r="E29" s="161" t="n"/>
    </row>
    <row r="30" ht="22.5" customHeight="1">
      <c r="B30" s="166" t="inlineStr">
        <is>
          <t>金流項目</t>
        </is>
      </c>
      <c r="C30" s="167" t="inlineStr">
        <is>
          <t>相關參數</t>
        </is>
      </c>
      <c r="D30" s="173" t="inlineStr">
        <is>
          <t>參數數值</t>
        </is>
      </c>
      <c r="E30" s="161" t="n"/>
    </row>
    <row r="31" ht="18.75" customHeight="1">
      <c r="B31" s="155" t="inlineStr">
        <is>
          <t>貸款成數</t>
        </is>
      </c>
      <c r="C31" s="155" t="inlineStr">
        <is>
          <t>占總設備費用比例</t>
        </is>
      </c>
      <c r="D31" s="156" t="n">
        <v>0.8</v>
      </c>
      <c r="E31" s="161" t="n"/>
    </row>
    <row r="32" ht="18.75" customHeight="1">
      <c r="B32" s="156" t="inlineStr">
        <is>
          <t>貸款還款</t>
        </is>
      </c>
      <c r="C32" s="156" t="inlineStr">
        <is>
          <t>攤還期數</t>
        </is>
      </c>
      <c r="D32" s="156" t="n">
        <v>15</v>
      </c>
      <c r="E32" s="161" t="n"/>
    </row>
    <row r="33" ht="18.75" customHeight="1">
      <c r="B33" s="159" t="inlineStr">
        <is>
          <t>現金股利</t>
        </is>
      </c>
      <c r="C33" s="159" t="inlineStr">
        <is>
          <t>股利比率</t>
        </is>
      </c>
      <c r="D33" s="159" t="n">
        <v>0.9</v>
      </c>
      <c r="E33" s="161" t="n"/>
    </row>
    <row r="34" ht="18.75" customHeight="1">
      <c r="B34" s="159" t="inlineStr">
        <is>
          <t>年底減資</t>
        </is>
      </c>
      <c r="C34" s="159" t="inlineStr">
        <is>
          <t>攤還期數</t>
        </is>
      </c>
      <c r="D34" s="159" t="n">
        <v>4</v>
      </c>
      <c r="E34" s="161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2020</v>
      </c>
      <c r="E37" s="30" t="n">
        <v>2021</v>
      </c>
      <c r="F37" s="30" t="n">
        <v>2022</v>
      </c>
      <c r="G37" s="30" t="n">
        <v>2023</v>
      </c>
      <c r="H37" s="30" t="n">
        <v>2024</v>
      </c>
      <c r="I37" s="30" t="n">
        <v>2025</v>
      </c>
      <c r="J37" s="30" t="n">
        <v>2026</v>
      </c>
      <c r="K37" s="30" t="n">
        <v>2027</v>
      </c>
      <c r="L37" s="30" t="n">
        <v>2028</v>
      </c>
      <c r="M37" s="30" t="n">
        <v>2029</v>
      </c>
      <c r="N37" s="30" t="n">
        <v>2030</v>
      </c>
      <c r="O37" s="30" t="n">
        <v>2031</v>
      </c>
      <c r="P37" s="30" t="n">
        <v>2032</v>
      </c>
      <c r="Q37" s="30" t="n">
        <v>2033</v>
      </c>
      <c r="R37" s="30" t="n">
        <v>2034</v>
      </c>
      <c r="S37" s="30" t="n">
        <v>2035</v>
      </c>
      <c r="T37" s="30" t="n">
        <v>2036</v>
      </c>
      <c r="U37" s="30" t="n">
        <v>2037</v>
      </c>
      <c r="V37" s="30" t="n">
        <v>2038</v>
      </c>
      <c r="W37" s="30" t="n">
        <v>2039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$D$10*0.99</f>
        <v/>
      </c>
      <c r="E40" s="194">
        <f>$D$10*0.986</f>
        <v/>
      </c>
      <c r="F40" s="194">
        <f>$D$10*0.982</f>
        <v/>
      </c>
      <c r="G40" s="194">
        <f>$D$10*0.978</f>
        <v/>
      </c>
      <c r="H40" s="194">
        <f>$D$10*0.974</f>
        <v/>
      </c>
      <c r="I40" s="194">
        <f>$D$10*0.97</f>
        <v/>
      </c>
      <c r="J40" s="194">
        <f>$D$10*0.966</f>
        <v/>
      </c>
      <c r="K40" s="194">
        <f>$D$10*0.962</f>
        <v/>
      </c>
      <c r="L40" s="194">
        <f>$D$10*0.958</f>
        <v/>
      </c>
      <c r="M40" s="194">
        <f>$D$10*0.954</f>
        <v/>
      </c>
      <c r="N40" s="194">
        <f>$D$10*0.95</f>
        <v/>
      </c>
      <c r="O40" s="194">
        <f>$D$10*0.946</f>
        <v/>
      </c>
      <c r="P40" s="194">
        <f>$D$10*0.942</f>
        <v/>
      </c>
      <c r="Q40" s="194">
        <f>$D$10*0.938</f>
        <v/>
      </c>
      <c r="R40" s="194">
        <f>$D$10*0.934</f>
        <v/>
      </c>
      <c r="S40" s="194">
        <f>$D$10*0.93</f>
        <v/>
      </c>
      <c r="T40" s="194">
        <f>$D$10*0.926</f>
        <v/>
      </c>
      <c r="U40" s="194">
        <f>$D$10*0.922</f>
        <v/>
      </c>
      <c r="V40" s="194">
        <f>$D$10*0.918</f>
        <v/>
      </c>
      <c r="W40" s="194">
        <f>$D$10*0.914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1">
        <f>-(D16/(1-D17)+D18)*C4</f>
        <v/>
      </c>
      <c r="D44" s="209" t="n"/>
      <c r="E44" s="202" t="n"/>
      <c r="F44" s="202" t="n"/>
      <c r="G44" s="202" t="n"/>
      <c r="H44" s="202" t="n"/>
      <c r="I44" s="202" t="n"/>
      <c r="J44" s="202" t="n"/>
      <c r="K44" s="202" t="n"/>
      <c r="L44" s="202" t="n"/>
      <c r="M44" s="202" t="n"/>
      <c r="N44" s="202" t="n"/>
      <c r="O44" s="202" t="n"/>
      <c r="P44" s="202" t="n"/>
      <c r="Q44" s="202" t="n"/>
      <c r="R44" s="202" t="n"/>
      <c r="S44" s="202" t="n"/>
      <c r="T44" s="202" t="n"/>
      <c r="U44" s="202" t="n"/>
      <c r="V44" s="202" t="n"/>
      <c r="W44" s="202" t="n"/>
      <c r="X44" s="203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02" t="n">
        <v>0</v>
      </c>
      <c r="E45" s="202" t="n">
        <v>-290201.25</v>
      </c>
      <c r="F45" s="202" t="n">
        <v>-290201.25</v>
      </c>
      <c r="G45" s="202" t="n">
        <v>-290201.25</v>
      </c>
      <c r="H45" s="202" t="n">
        <v>-290201.25</v>
      </c>
      <c r="I45" s="202" t="n">
        <v>-290201.25</v>
      </c>
      <c r="J45" s="202" t="n">
        <v>-290201.25</v>
      </c>
      <c r="K45" s="202" t="n">
        <v>-290201.25</v>
      </c>
      <c r="L45" s="202" t="n">
        <v>-290201.25</v>
      </c>
      <c r="M45" s="202" t="n">
        <v>-290201.25</v>
      </c>
      <c r="N45" s="202" t="n">
        <v>-290201.25</v>
      </c>
      <c r="O45" s="202" t="n">
        <v>-290201.25</v>
      </c>
      <c r="P45" s="202" t="n">
        <v>-290201.25</v>
      </c>
      <c r="Q45" s="202" t="n">
        <v>-290201.25</v>
      </c>
      <c r="R45" s="202" t="n">
        <v>-290201.25</v>
      </c>
      <c r="S45" s="202" t="n">
        <v>-290201.25</v>
      </c>
      <c r="T45" s="202" t="n">
        <v>-290201.25</v>
      </c>
      <c r="U45" s="202" t="n">
        <v>-290201.25</v>
      </c>
      <c r="V45" s="202" t="n">
        <v>-290201.25</v>
      </c>
      <c r="W45" s="202" t="n">
        <v>-290201.25</v>
      </c>
      <c r="X45" s="203" t="n"/>
    </row>
    <row r="46" ht="18.75" customHeight="1">
      <c r="B46" s="208" t="inlineStr">
        <is>
          <t>Outflow : 返還借款</t>
        </is>
      </c>
      <c r="C46" s="201" t="n"/>
      <c r="D46" s="202" t="n"/>
      <c r="E46" s="202" t="n"/>
      <c r="F46" s="202" t="n"/>
      <c r="G46" s="202" t="n"/>
      <c r="H46" s="202" t="n"/>
      <c r="I46" s="202" t="n"/>
      <c r="J46" s="202" t="n"/>
      <c r="K46" s="202" t="n"/>
      <c r="L46" s="202" t="n"/>
      <c r="M46" s="202" t="n"/>
      <c r="N46" s="202" t="n"/>
      <c r="O46" s="202" t="n"/>
      <c r="P46" s="202" t="n"/>
      <c r="Q46" s="202" t="n"/>
      <c r="R46" s="202" t="n"/>
      <c r="S46" s="202" t="n"/>
      <c r="T46" s="202" t="n"/>
      <c r="U46" s="202" t="n"/>
      <c r="V46" s="202" t="n"/>
      <c r="W46" s="202" t="n"/>
      <c r="X46" s="203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02" t="n"/>
      <c r="E47" s="202" t="n"/>
      <c r="F47" s="202" t="n"/>
      <c r="G47" s="202" t="n"/>
      <c r="H47" s="202" t="n"/>
      <c r="I47" s="202" t="n"/>
      <c r="J47" s="202" t="n"/>
      <c r="K47" s="202" t="n"/>
      <c r="L47" s="202" t="n"/>
      <c r="M47" s="202" t="n"/>
      <c r="N47" s="202" t="n"/>
      <c r="O47" s="202" t="n"/>
      <c r="P47" s="202" t="n"/>
      <c r="Q47" s="202" t="n"/>
      <c r="R47" s="202" t="n"/>
      <c r="S47" s="202" t="n"/>
      <c r="T47" s="202" t="n"/>
      <c r="U47" s="202" t="n"/>
      <c r="V47" s="202" t="n"/>
      <c r="W47" s="202" t="n"/>
      <c r="X47" s="203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02" t="n">
        <v>-174440</v>
      </c>
      <c r="E48" s="202" t="n">
        <v>-174440</v>
      </c>
      <c r="F48" s="202" t="n">
        <v>-174440</v>
      </c>
      <c r="G48" s="202" t="n">
        <v>-174440</v>
      </c>
      <c r="H48" s="202" t="n">
        <v>-174440</v>
      </c>
      <c r="I48" s="202" t="n">
        <v>-174440</v>
      </c>
      <c r="J48" s="202" t="n">
        <v>-174440</v>
      </c>
      <c r="K48" s="202" t="n">
        <v>-174440</v>
      </c>
      <c r="L48" s="202" t="n">
        <v>-174440</v>
      </c>
      <c r="M48" s="202" t="n">
        <v>-174440</v>
      </c>
      <c r="N48" s="202" t="n">
        <v>-174440</v>
      </c>
      <c r="O48" s="202" t="n">
        <v>-174440</v>
      </c>
      <c r="P48" s="202" t="n">
        <v>-174440</v>
      </c>
      <c r="Q48" s="202" t="n">
        <v>-174440</v>
      </c>
      <c r="R48" s="202" t="n">
        <v>-174440</v>
      </c>
      <c r="S48" s="202" t="n">
        <v>-174440</v>
      </c>
      <c r="T48" s="202" t="n">
        <v>-174440</v>
      </c>
      <c r="U48" s="202" t="n">
        <v>-174440</v>
      </c>
      <c r="V48" s="202" t="n">
        <v>-174440</v>
      </c>
      <c r="W48" s="202" t="n">
        <v>-174440</v>
      </c>
      <c r="X48" s="203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02" t="n">
        <v>-26166</v>
      </c>
      <c r="E49" s="202" t="n">
        <v>-26166</v>
      </c>
      <c r="F49" s="202" t="n">
        <v>-26166</v>
      </c>
      <c r="G49" s="202" t="n">
        <v>-26166</v>
      </c>
      <c r="H49" s="202" t="n">
        <v>-26166</v>
      </c>
      <c r="I49" s="202" t="n">
        <v>-26166</v>
      </c>
      <c r="J49" s="202" t="n">
        <v>-26166</v>
      </c>
      <c r="K49" s="202" t="n">
        <v>-26166</v>
      </c>
      <c r="L49" s="202" t="n">
        <v>-26166</v>
      </c>
      <c r="M49" s="202" t="n">
        <v>-26166</v>
      </c>
      <c r="N49" s="202" t="n">
        <v>-26166</v>
      </c>
      <c r="O49" s="202" t="n">
        <v>-26166</v>
      </c>
      <c r="P49" s="202" t="n">
        <v>-26166</v>
      </c>
      <c r="Q49" s="202" t="n">
        <v>-26166</v>
      </c>
      <c r="R49" s="202" t="n">
        <v>-26166</v>
      </c>
      <c r="S49" s="202" t="n">
        <v>-26166</v>
      </c>
      <c r="T49" s="202" t="n">
        <v>-26166</v>
      </c>
      <c r="U49" s="202" t="n">
        <v>-26166</v>
      </c>
      <c r="V49" s="202" t="n">
        <v>-26166</v>
      </c>
      <c r="W49" s="202" t="n">
        <v>-26166</v>
      </c>
      <c r="X49" s="203" t="n"/>
    </row>
    <row r="50" ht="18.75" customHeight="1">
      <c r="B50" s="208" t="inlineStr">
        <is>
          <t>Outflow : 模組回收費</t>
        </is>
      </c>
      <c r="C50" s="201" t="n"/>
      <c r="D50" s="202" t="n">
        <v>-43610</v>
      </c>
      <c r="E50" s="202" t="n">
        <v>-43610</v>
      </c>
      <c r="F50" s="202" t="n">
        <v>-43610</v>
      </c>
      <c r="G50" s="202" t="n">
        <v>-43610</v>
      </c>
      <c r="H50" s="202" t="n">
        <v>-43610</v>
      </c>
      <c r="I50" s="202" t="n">
        <v>-43610</v>
      </c>
      <c r="J50" s="202" t="n">
        <v>-43610</v>
      </c>
      <c r="K50" s="202" t="n">
        <v>-43610</v>
      </c>
      <c r="L50" s="202" t="n">
        <v>-43610</v>
      </c>
      <c r="M50" s="202" t="n">
        <v>-43610</v>
      </c>
      <c r="N50" s="202" t="n">
        <v>0</v>
      </c>
      <c r="O50" s="202" t="n">
        <v>0</v>
      </c>
      <c r="P50" s="202" t="n">
        <v>0</v>
      </c>
      <c r="Q50" s="202" t="n">
        <v>0</v>
      </c>
      <c r="R50" s="202" t="n">
        <v>0</v>
      </c>
      <c r="S50" s="202" t="n">
        <v>0</v>
      </c>
      <c r="T50" s="202" t="n">
        <v>0</v>
      </c>
      <c r="U50" s="202" t="n">
        <v>0</v>
      </c>
      <c r="V50" s="202" t="n">
        <v>0</v>
      </c>
      <c r="W50" s="202" t="n">
        <v>0</v>
      </c>
      <c r="X50" s="203" t="n"/>
    </row>
    <row r="51" ht="18.75" customHeight="1">
      <c r="B51" s="208" t="inlineStr">
        <is>
          <t>Outflow : 其它費用(人事薪資…等)</t>
        </is>
      </c>
      <c r="C51" s="210" t="n"/>
      <c r="D51" s="211" t="n"/>
      <c r="E51" s="212" t="n"/>
      <c r="F51" s="202" t="n"/>
      <c r="G51" s="202" t="n"/>
      <c r="H51" s="202" t="n"/>
      <c r="I51" s="202" t="n"/>
      <c r="J51" s="202" t="n"/>
      <c r="K51" s="202" t="n"/>
      <c r="L51" s="202" t="n"/>
      <c r="M51" s="202" t="n"/>
      <c r="N51" s="202" t="n"/>
      <c r="O51" s="202" t="n"/>
      <c r="P51" s="202" t="n"/>
      <c r="Q51" s="202" t="n"/>
      <c r="R51" s="202" t="n"/>
      <c r="S51" s="202" t="n"/>
      <c r="T51" s="202" t="n"/>
      <c r="U51" s="202" t="n"/>
      <c r="V51" s="202" t="n"/>
      <c r="W51" s="202" t="n"/>
      <c r="X51" s="203" t="n"/>
    </row>
    <row r="52" ht="18.75" customHeight="1">
      <c r="B52" s="208" t="inlineStr">
        <is>
          <t>1%管理費</t>
        </is>
      </c>
      <c r="C52" s="210" t="n"/>
      <c r="D52" s="202" t="n"/>
      <c r="E52" s="202" t="n"/>
      <c r="F52" s="202" t="n"/>
      <c r="G52" s="202" t="n"/>
      <c r="H52" s="202" t="n"/>
      <c r="I52" s="202" t="n"/>
      <c r="J52" s="202" t="n"/>
      <c r="K52" s="202" t="n"/>
      <c r="L52" s="202" t="n"/>
      <c r="M52" s="202" t="n"/>
      <c r="N52" s="202" t="n"/>
      <c r="O52" s="202" t="n"/>
      <c r="P52" s="202" t="n"/>
      <c r="Q52" s="202" t="n"/>
      <c r="R52" s="202" t="n"/>
      <c r="S52" s="202" t="n"/>
      <c r="T52" s="202" t="n"/>
      <c r="U52" s="202" t="n"/>
      <c r="V52" s="202" t="n"/>
      <c r="W52" s="202" t="n"/>
      <c r="X52" s="203" t="n"/>
    </row>
    <row r="53" ht="18.75" customHeight="1">
      <c r="B53" s="213" t="inlineStr">
        <is>
          <t>績效獎金</t>
        </is>
      </c>
      <c r="C53" s="210" t="n"/>
      <c r="D53" s="214" t="n"/>
      <c r="E53" s="214" t="n"/>
      <c r="F53" s="202" t="n"/>
      <c r="G53" s="202" t="n"/>
      <c r="H53" s="202" t="n"/>
      <c r="I53" s="202" t="n"/>
      <c r="J53" s="202" t="n"/>
      <c r="K53" s="202" t="n"/>
      <c r="L53" s="202" t="n"/>
      <c r="M53" s="202" t="n"/>
      <c r="N53" s="202" t="n"/>
      <c r="O53" s="202" t="n"/>
      <c r="P53" s="202" t="n"/>
      <c r="Q53" s="202" t="n"/>
      <c r="R53" s="202" t="n"/>
      <c r="S53" s="202" t="n"/>
      <c r="T53" s="202" t="n"/>
      <c r="U53" s="202" t="n"/>
      <c r="V53" s="202" t="n"/>
      <c r="W53" s="202" t="n"/>
      <c r="X53" s="203" t="n"/>
    </row>
    <row r="54" ht="18.75" customHeight="1">
      <c r="B54" s="213" t="inlineStr">
        <is>
          <t>所得稅20%</t>
        </is>
      </c>
      <c r="C54" s="210" t="n"/>
      <c r="D54" s="202">
        <f>-(D64+D67+D68+D71+D72+D73+D74)*0.2</f>
        <v/>
      </c>
      <c r="E54" s="202">
        <f>-(E64+E67+E68+E71+E72+E73+E74)*0.2</f>
        <v/>
      </c>
      <c r="F54" s="202">
        <f>-(F64+F67+F68+F71+F72+F73+F74)*0.2</f>
        <v/>
      </c>
      <c r="G54" s="202">
        <f>-(G64+G67+G68+G71+G72+G73+G74)*0.2</f>
        <v/>
      </c>
      <c r="H54" s="202">
        <f>-(H64+H67+H68+H71+H72+H73+H74)*0.2</f>
        <v/>
      </c>
      <c r="I54" s="202">
        <f>-(I64+I67+I68+I71+I72+I73+I74)*0.2</f>
        <v/>
      </c>
      <c r="J54" s="202">
        <f>-(J64+J67+J68+J71+J72+J73+J74)*0.2</f>
        <v/>
      </c>
      <c r="K54" s="202">
        <f>-(K64+K67+K68+K71+K72+K73+K74)*0.2</f>
        <v/>
      </c>
      <c r="L54" s="202">
        <f>-(L64+L67+L68+L71+L72+L73+L74)*0.2</f>
        <v/>
      </c>
      <c r="M54" s="202">
        <f>-(M64+M67+M68+M71+M72+M73+M74)*0.2</f>
        <v/>
      </c>
      <c r="N54" s="202">
        <f>-(N64+N67+N68+N71+N72+N73+N74)*0.2</f>
        <v/>
      </c>
      <c r="O54" s="202">
        <f>-(O64+O67+O68+O71+O72+O73+O74)*0.2</f>
        <v/>
      </c>
      <c r="P54" s="202">
        <f>-(P64+P67+P68+P71+P72+P73+P74)*0.2</f>
        <v/>
      </c>
      <c r="Q54" s="202">
        <f>-(Q64+Q67+Q68+Q71+Q72+Q73+Q74)*0.2</f>
        <v/>
      </c>
      <c r="R54" s="202">
        <f>-(R64+R67+R68+R71+R72+R73+R74)*0.2</f>
        <v/>
      </c>
      <c r="S54" s="202">
        <f>-(S64+S67+S68+S71+S72+S73+S74)*0.2</f>
        <v/>
      </c>
      <c r="T54" s="202">
        <f>-(T64+T67+T68+T71+T72+T73+T74)*0.2</f>
        <v/>
      </c>
      <c r="U54" s="202">
        <f>-(U64+U67+U68+U71+U72+U73+U74)*0.2</f>
        <v/>
      </c>
      <c r="V54" s="202">
        <f>-(V64+V67+V68+V71+V72+V73+V74)*0.2</f>
        <v/>
      </c>
      <c r="W54" s="202">
        <f>-(W64+W67+W68+W71+W72+W73+W74)*0.2</f>
        <v/>
      </c>
      <c r="X54" s="202" t="n"/>
    </row>
    <row r="55" ht="18.75" customHeight="1">
      <c r="B55" s="215" t="inlineStr">
        <is>
          <t>現金流</t>
        </is>
      </c>
      <c r="C55" s="216">
        <f>C44</f>
        <v/>
      </c>
      <c r="D55" s="217">
        <f>SUM(D41:D54)</f>
        <v/>
      </c>
      <c r="E55" s="217">
        <f>SUM(E41:E54)</f>
        <v/>
      </c>
      <c r="F55" s="217">
        <f>SUM(F41:F54)</f>
        <v/>
      </c>
      <c r="G55" s="217">
        <f>SUM(G41:G54)</f>
        <v/>
      </c>
      <c r="H55" s="217">
        <f>SUM(H41:H54)</f>
        <v/>
      </c>
      <c r="I55" s="217">
        <f>SUM(I41:I54)</f>
        <v/>
      </c>
      <c r="J55" s="217">
        <f>SUM(J41:J54)</f>
        <v/>
      </c>
      <c r="K55" s="217">
        <f>SUM(K41:K54)</f>
        <v/>
      </c>
      <c r="L55" s="217">
        <f>SUM(L41:L54)</f>
        <v/>
      </c>
      <c r="M55" s="217">
        <f>SUM(M41:M54)</f>
        <v/>
      </c>
      <c r="N55" s="217">
        <f>SUM(N41:N54)</f>
        <v/>
      </c>
      <c r="O55" s="217">
        <f>SUM(O41:O54)</f>
        <v/>
      </c>
      <c r="P55" s="217">
        <f>SUM(P41:P54)</f>
        <v/>
      </c>
      <c r="Q55" s="217">
        <f>SUM(Q41:Q54)</f>
        <v/>
      </c>
      <c r="R55" s="217">
        <f>SUM(R41:R54)</f>
        <v/>
      </c>
      <c r="S55" s="217">
        <f>SUM(S41:S54)</f>
        <v/>
      </c>
      <c r="T55" s="217">
        <f>SUM(T41:T54)</f>
        <v/>
      </c>
      <c r="U55" s="217">
        <f>SUM(U41:U54)</f>
        <v/>
      </c>
      <c r="V55" s="217">
        <f>SUM(V41:V54)</f>
        <v/>
      </c>
      <c r="W55" s="217">
        <f>SUM(W41:W54)</f>
        <v/>
      </c>
      <c r="X55" s="217" t="n"/>
      <c r="Y55" s="218" t="n"/>
      <c r="Z55" s="219" t="n"/>
      <c r="AA55" s="218" t="n"/>
      <c r="AB55" s="218" t="n"/>
      <c r="AC55" s="218" t="n"/>
      <c r="AD55" s="218" t="n"/>
      <c r="AE55" s="218" t="n"/>
      <c r="AF55" s="218" t="n"/>
      <c r="AG55" s="218" t="n"/>
      <c r="AH55" s="218" t="n"/>
      <c r="AI55" s="218" t="n"/>
      <c r="AJ55" s="218" t="n"/>
    </row>
    <row r="56" ht="18.75" customHeight="1">
      <c r="B56" s="220" t="inlineStr">
        <is>
          <t>累計現金流</t>
        </is>
      </c>
      <c r="D56" s="221">
        <f>C55+D55</f>
        <v/>
      </c>
      <c r="E56" s="221">
        <f>D56+E55</f>
        <v/>
      </c>
      <c r="F56" s="221">
        <f>E56+F55</f>
        <v/>
      </c>
      <c r="G56" s="221">
        <f>F56+G55</f>
        <v/>
      </c>
      <c r="H56" s="221">
        <f>G56+H55</f>
        <v/>
      </c>
      <c r="I56" s="221">
        <f>H56+I55</f>
        <v/>
      </c>
      <c r="J56" s="221">
        <f>I56+J55</f>
        <v/>
      </c>
      <c r="K56" s="221">
        <f>J56+K55</f>
        <v/>
      </c>
      <c r="L56" s="221">
        <f>K56+L55</f>
        <v/>
      </c>
      <c r="M56" s="221">
        <f>L56+M55</f>
        <v/>
      </c>
      <c r="N56" s="221">
        <f>M56+N55</f>
        <v/>
      </c>
      <c r="O56" s="221">
        <f>N56+O55</f>
        <v/>
      </c>
      <c r="P56" s="221">
        <f>O56+P55</f>
        <v/>
      </c>
      <c r="Q56" s="221">
        <f>P56+Q55</f>
        <v/>
      </c>
      <c r="R56" s="221">
        <f>Q56+R55</f>
        <v/>
      </c>
      <c r="S56" s="221">
        <f>R56+S55</f>
        <v/>
      </c>
      <c r="T56" s="221">
        <f>S56+T55</f>
        <v/>
      </c>
      <c r="U56" s="221">
        <f>T56+U55</f>
        <v/>
      </c>
      <c r="V56" s="221">
        <f>U56+V55</f>
        <v/>
      </c>
      <c r="W56" s="221">
        <f>V56+W55</f>
        <v/>
      </c>
      <c r="X56" s="221">
        <f>W56+X55</f>
        <v/>
      </c>
      <c r="Y56" s="218" t="n"/>
      <c r="Z56" s="218" t="n"/>
      <c r="AA56" s="218" t="n"/>
      <c r="AB56" s="218" t="n"/>
      <c r="AC56" s="218" t="n"/>
      <c r="AD56" s="218" t="n"/>
      <c r="AE56" s="218" t="n"/>
      <c r="AF56" s="218" t="n"/>
      <c r="AG56" s="218" t="n"/>
      <c r="AH56" s="218" t="n"/>
      <c r="AI56" s="218" t="n"/>
      <c r="AJ56" s="218" t="n"/>
    </row>
    <row r="57" ht="18.75" customHeight="1">
      <c r="B57" s="222" t="inlineStr">
        <is>
          <t>回收年限評估</t>
        </is>
      </c>
      <c r="C57" s="223" t="n"/>
      <c r="D57" s="224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8" t="n"/>
      <c r="Z57" s="218" t="n"/>
      <c r="AA57" s="218" t="n"/>
      <c r="AB57" s="218" t="n"/>
      <c r="AC57" s="218" t="n"/>
      <c r="AD57" s="218" t="n"/>
      <c r="AE57" s="218" t="n"/>
      <c r="AF57" s="218" t="n"/>
      <c r="AG57" s="218" t="n"/>
      <c r="AH57" s="218" t="n"/>
      <c r="AI57" s="218" t="n"/>
      <c r="AJ57" s="218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09">
        <f>$C$44/$E$16</f>
        <v/>
      </c>
      <c r="E67" s="209">
        <f>$C$44/$E$16</f>
        <v/>
      </c>
      <c r="F67" s="209">
        <f>$C$44/$E$16</f>
        <v/>
      </c>
      <c r="G67" s="209">
        <f>$C$44/$E$16</f>
        <v/>
      </c>
      <c r="H67" s="209">
        <f>$C$44/$E$16</f>
        <v/>
      </c>
      <c r="I67" s="209">
        <f>$C$44/$E$16</f>
        <v/>
      </c>
      <c r="J67" s="209">
        <f>$C$44/$E$16</f>
        <v/>
      </c>
      <c r="K67" s="209">
        <f>$C$44/$E$16</f>
        <v/>
      </c>
      <c r="L67" s="209">
        <f>$C$44/$E$16</f>
        <v/>
      </c>
      <c r="M67" s="209">
        <f>$C$44/$E$16</f>
        <v/>
      </c>
      <c r="N67" s="209">
        <f>$C$44/$E$16</f>
        <v/>
      </c>
      <c r="O67" s="209">
        <f>$C$44/$E$16</f>
        <v/>
      </c>
      <c r="P67" s="209">
        <f>$C$44/$E$16</f>
        <v/>
      </c>
      <c r="Q67" s="209">
        <f>$C$44/$E$16</f>
        <v/>
      </c>
      <c r="R67" s="209">
        <f>$C$44/$E$16</f>
        <v/>
      </c>
      <c r="S67" s="209">
        <f>$C$44/$E$16</f>
        <v/>
      </c>
      <c r="T67" s="209">
        <f>$C$44/$E$16</f>
        <v/>
      </c>
      <c r="U67" s="209">
        <f>$C$44/$E$16</f>
        <v/>
      </c>
      <c r="V67" s="209">
        <f>$C$44/$E$16</f>
        <v/>
      </c>
      <c r="W67" s="209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02">
        <f>D45</f>
        <v/>
      </c>
      <c r="E68" s="202">
        <f>E45</f>
        <v/>
      </c>
      <c r="F68" s="202">
        <f>F45</f>
        <v/>
      </c>
      <c r="G68" s="202">
        <f>G45</f>
        <v/>
      </c>
      <c r="H68" s="202">
        <f>H45</f>
        <v/>
      </c>
      <c r="I68" s="202">
        <f>I45</f>
        <v/>
      </c>
      <c r="J68" s="202">
        <f>J45</f>
        <v/>
      </c>
      <c r="K68" s="202">
        <f>K45</f>
        <v/>
      </c>
      <c r="L68" s="202">
        <f>L45</f>
        <v/>
      </c>
      <c r="M68" s="202">
        <f>M45</f>
        <v/>
      </c>
      <c r="N68" s="202">
        <f>N45</f>
        <v/>
      </c>
      <c r="O68" s="202">
        <f>O45</f>
        <v/>
      </c>
      <c r="P68" s="202">
        <f>P45</f>
        <v/>
      </c>
      <c r="Q68" s="202">
        <f>Q45</f>
        <v/>
      </c>
      <c r="R68" s="202">
        <f>R45</f>
        <v/>
      </c>
      <c r="S68" s="202">
        <f>S45</f>
        <v/>
      </c>
      <c r="T68" s="202">
        <f>T45</f>
        <v/>
      </c>
      <c r="U68" s="202">
        <f>U45</f>
        <v/>
      </c>
      <c r="V68" s="202">
        <f>V45</f>
        <v/>
      </c>
      <c r="W68" s="202">
        <f>W45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02" t="n">
        <v>-241098.7572</v>
      </c>
      <c r="E70" s="202" t="n">
        <v>-225025.50672</v>
      </c>
      <c r="F70" s="202" t="n">
        <v>-208952.25624</v>
      </c>
      <c r="G70" s="202" t="n">
        <v>-192879.00576</v>
      </c>
      <c r="H70" s="202" t="n">
        <v>-176805.75528</v>
      </c>
      <c r="I70" s="202" t="n">
        <v>-160732.5048</v>
      </c>
      <c r="J70" s="202" t="n">
        <v>-144659.25432</v>
      </c>
      <c r="K70" s="202" t="n">
        <v>-128586.00384</v>
      </c>
      <c r="L70" s="202" t="n">
        <v>-112512.75336</v>
      </c>
      <c r="M70" s="202" t="n">
        <v>-96439.50288</v>
      </c>
      <c r="N70" s="202" t="n">
        <v>-80366.2524</v>
      </c>
      <c r="O70" s="202" t="n">
        <v>-64293.00192</v>
      </c>
      <c r="P70" s="202" t="n">
        <v>-48219.75144</v>
      </c>
      <c r="Q70" s="202" t="n">
        <v>-32146.50096</v>
      </c>
      <c r="R70" s="202" t="n">
        <v>-16073.25048</v>
      </c>
      <c r="S70" s="202" t="n">
        <v>0</v>
      </c>
      <c r="T70" s="202" t="n">
        <v>0</v>
      </c>
      <c r="U70" s="202" t="n">
        <v>0</v>
      </c>
      <c r="V70" s="202" t="n">
        <v>0</v>
      </c>
      <c r="W70" s="202" t="n">
        <v>0</v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02">
        <f>D48</f>
        <v/>
      </c>
      <c r="E71" s="202">
        <f>E48</f>
        <v/>
      </c>
      <c r="F71" s="202">
        <f>F48</f>
        <v/>
      </c>
      <c r="G71" s="202">
        <f>G48</f>
        <v/>
      </c>
      <c r="H71" s="202">
        <f>H48</f>
        <v/>
      </c>
      <c r="I71" s="202">
        <f>I48</f>
        <v/>
      </c>
      <c r="J71" s="202">
        <f>J48</f>
        <v/>
      </c>
      <c r="K71" s="202">
        <f>K48</f>
        <v/>
      </c>
      <c r="L71" s="202">
        <f>L48</f>
        <v/>
      </c>
      <c r="M71" s="202">
        <f>M48</f>
        <v/>
      </c>
      <c r="N71" s="202">
        <f>N48</f>
        <v/>
      </c>
      <c r="O71" s="202">
        <f>O48</f>
        <v/>
      </c>
      <c r="P71" s="202">
        <f>P48</f>
        <v/>
      </c>
      <c r="Q71" s="202">
        <f>Q48</f>
        <v/>
      </c>
      <c r="R71" s="202">
        <f>R48</f>
        <v/>
      </c>
      <c r="S71" s="202">
        <f>S48</f>
        <v/>
      </c>
      <c r="T71" s="202">
        <f>T48</f>
        <v/>
      </c>
      <c r="U71" s="202">
        <f>U48</f>
        <v/>
      </c>
      <c r="V71" s="202">
        <f>V48</f>
        <v/>
      </c>
      <c r="W71" s="202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02">
        <f>D49</f>
        <v/>
      </c>
      <c r="E72" s="202">
        <f>E49</f>
        <v/>
      </c>
      <c r="F72" s="202">
        <f>F49</f>
        <v/>
      </c>
      <c r="G72" s="202">
        <f>G49</f>
        <v/>
      </c>
      <c r="H72" s="202">
        <f>H49</f>
        <v/>
      </c>
      <c r="I72" s="202">
        <f>I49</f>
        <v/>
      </c>
      <c r="J72" s="202">
        <f>J49</f>
        <v/>
      </c>
      <c r="K72" s="202">
        <f>K49</f>
        <v/>
      </c>
      <c r="L72" s="202">
        <f>L49</f>
        <v/>
      </c>
      <c r="M72" s="202">
        <f>M49</f>
        <v/>
      </c>
      <c r="N72" s="202">
        <f>N49</f>
        <v/>
      </c>
      <c r="O72" s="202">
        <f>O49</f>
        <v/>
      </c>
      <c r="P72" s="202">
        <f>P49</f>
        <v/>
      </c>
      <c r="Q72" s="202">
        <f>Q49</f>
        <v/>
      </c>
      <c r="R72" s="202">
        <f>R49</f>
        <v/>
      </c>
      <c r="S72" s="202">
        <f>S49</f>
        <v/>
      </c>
      <c r="T72" s="202">
        <f>T49</f>
        <v/>
      </c>
      <c r="U72" s="202">
        <f>U49</f>
        <v/>
      </c>
      <c r="V72" s="202">
        <f>V49</f>
        <v/>
      </c>
      <c r="W72" s="202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02">
        <f>D50</f>
        <v/>
      </c>
      <c r="E73" s="202">
        <f>E50</f>
        <v/>
      </c>
      <c r="F73" s="202">
        <f>F50</f>
        <v/>
      </c>
      <c r="G73" s="202">
        <f>G50</f>
        <v/>
      </c>
      <c r="H73" s="202">
        <f>H50</f>
        <v/>
      </c>
      <c r="I73" s="202">
        <f>I50</f>
        <v/>
      </c>
      <c r="J73" s="202">
        <f>J50</f>
        <v/>
      </c>
      <c r="K73" s="202">
        <f>K50</f>
        <v/>
      </c>
      <c r="L73" s="202">
        <f>L50</f>
        <v/>
      </c>
      <c r="M73" s="202">
        <f>M50</f>
        <v/>
      </c>
      <c r="N73" s="202">
        <f>N50</f>
        <v/>
      </c>
      <c r="O73" s="202">
        <f>O50</f>
        <v/>
      </c>
      <c r="P73" s="202">
        <f>P50</f>
        <v/>
      </c>
      <c r="Q73" s="202">
        <f>Q50</f>
        <v/>
      </c>
      <c r="R73" s="202">
        <f>R50</f>
        <v/>
      </c>
      <c r="S73" s="202">
        <f>S50</f>
        <v/>
      </c>
      <c r="T73" s="202">
        <f>T50</f>
        <v/>
      </c>
      <c r="U73" s="202">
        <f>U50</f>
        <v/>
      </c>
      <c r="V73" s="202">
        <f>V50</f>
        <v/>
      </c>
      <c r="W73" s="202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0" t="n"/>
      <c r="D74" s="211" t="n"/>
      <c r="E74" s="212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0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5" t="inlineStr">
        <is>
          <t>稅前淨利</t>
        </is>
      </c>
      <c r="C76" s="232" t="n"/>
      <c r="D76" s="217">
        <f>SUM(D64:D75)</f>
        <v/>
      </c>
      <c r="E76" s="217">
        <f>SUM(E64:E75)</f>
        <v/>
      </c>
      <c r="F76" s="217">
        <f>SUM(F64:F75)</f>
        <v/>
      </c>
      <c r="G76" s="217">
        <f>SUM(G64:G75)</f>
        <v/>
      </c>
      <c r="H76" s="217">
        <f>SUM(H64:H75)</f>
        <v/>
      </c>
      <c r="I76" s="217">
        <f>SUM(I64:I75)</f>
        <v/>
      </c>
      <c r="J76" s="217">
        <f>SUM(J64:J75)</f>
        <v/>
      </c>
      <c r="K76" s="217">
        <f>SUM(K64:K75)</f>
        <v/>
      </c>
      <c r="L76" s="217">
        <f>SUM(L64:L75)</f>
        <v/>
      </c>
      <c r="M76" s="217">
        <f>SUM(M64:M75)</f>
        <v/>
      </c>
      <c r="N76" s="217">
        <f>SUM(N64:N75)</f>
        <v/>
      </c>
      <c r="O76" s="217">
        <f>SUM(O64:O75)</f>
        <v/>
      </c>
      <c r="P76" s="217">
        <f>SUM(P64:P75)</f>
        <v/>
      </c>
      <c r="Q76" s="217">
        <f>SUM(Q64:Q75)</f>
        <v/>
      </c>
      <c r="R76" s="217">
        <f>SUM(R64:R75)</f>
        <v/>
      </c>
      <c r="S76" s="217">
        <f>SUM(S64:S75)</f>
        <v/>
      </c>
      <c r="T76" s="217">
        <f>SUM(T64:T75)</f>
        <v/>
      </c>
      <c r="U76" s="217">
        <f>SUM(U64:U75)</f>
        <v/>
      </c>
      <c r="V76" s="217">
        <f>SUM(V64:V75)</f>
        <v/>
      </c>
      <c r="W76" s="217">
        <f>SUM(W64:W75)</f>
        <v/>
      </c>
      <c r="X76" s="217">
        <f>SUM(X64:X75)</f>
        <v/>
      </c>
    </row>
    <row r="77" ht="18.75" customHeight="1">
      <c r="B77" s="213" t="inlineStr">
        <is>
          <t>所得稅20%</t>
        </is>
      </c>
      <c r="C77" s="210" t="n"/>
      <c r="D77" s="202">
        <f>-D76*0.2</f>
        <v/>
      </c>
      <c r="E77" s="202">
        <f>-E76*0.2</f>
        <v/>
      </c>
      <c r="F77" s="202">
        <f>-F76*0.2</f>
        <v/>
      </c>
      <c r="G77" s="202">
        <f>-G76*0.2</f>
        <v/>
      </c>
      <c r="H77" s="202">
        <f>-H76*0.2</f>
        <v/>
      </c>
      <c r="I77" s="202">
        <f>-I76*0.2</f>
        <v/>
      </c>
      <c r="J77" s="202">
        <f>-J76*0.2</f>
        <v/>
      </c>
      <c r="K77" s="202">
        <f>-K76*0.2</f>
        <v/>
      </c>
      <c r="L77" s="202">
        <f>-L76*0.2</f>
        <v/>
      </c>
      <c r="M77" s="202">
        <f>-M76*0.2</f>
        <v/>
      </c>
      <c r="N77" s="202">
        <f>-N76*0.2</f>
        <v/>
      </c>
      <c r="O77" s="202">
        <f>-O76*0.2</f>
        <v/>
      </c>
      <c r="P77" s="202">
        <f>-P76*0.2</f>
        <v/>
      </c>
      <c r="Q77" s="202">
        <f>-Q76*0.2</f>
        <v/>
      </c>
      <c r="R77" s="202">
        <f>-R76*0.2</f>
        <v/>
      </c>
      <c r="S77" s="202">
        <f>-S76*0.2</f>
        <v/>
      </c>
      <c r="T77" s="202">
        <f>-T76*0.2</f>
        <v/>
      </c>
      <c r="U77" s="202">
        <f>-U76*0.2</f>
        <v/>
      </c>
      <c r="V77" s="202">
        <f>-V76*0.2</f>
        <v/>
      </c>
      <c r="W77" s="202">
        <f>-W76*0.2</f>
        <v/>
      </c>
      <c r="X77" s="202">
        <f>-X76*0.2</f>
        <v/>
      </c>
    </row>
    <row r="78" ht="15.4" customHeight="1">
      <c r="B78" s="233" t="inlineStr">
        <is>
          <t>稅後淨利</t>
        </is>
      </c>
      <c r="D78" s="202">
        <f>SUM(D76:D77)</f>
        <v/>
      </c>
      <c r="E78" s="202">
        <f>SUM(E76:E77)</f>
        <v/>
      </c>
      <c r="F78" s="202">
        <f>SUM(F76:F77)</f>
        <v/>
      </c>
      <c r="G78" s="202">
        <f>SUM(G76:G77)</f>
        <v/>
      </c>
      <c r="H78" s="202">
        <f>SUM(H76:H77)</f>
        <v/>
      </c>
      <c r="I78" s="202">
        <f>SUM(I76:I77)</f>
        <v/>
      </c>
      <c r="J78" s="202">
        <f>SUM(J76:J77)</f>
        <v/>
      </c>
      <c r="K78" s="202">
        <f>SUM(K76:K77)</f>
        <v/>
      </c>
      <c r="L78" s="202">
        <f>SUM(L76:L77)</f>
        <v/>
      </c>
      <c r="M78" s="202">
        <f>SUM(M76:M77)</f>
        <v/>
      </c>
      <c r="N78" s="202">
        <f>SUM(N76:N77)</f>
        <v/>
      </c>
      <c r="O78" s="202">
        <f>SUM(O76:O77)</f>
        <v/>
      </c>
      <c r="P78" s="202">
        <f>SUM(P76:P77)</f>
        <v/>
      </c>
      <c r="Q78" s="202">
        <f>SUM(Q76:Q77)</f>
        <v/>
      </c>
      <c r="R78" s="202">
        <f>SUM(R76:R77)</f>
        <v/>
      </c>
      <c r="S78" s="202">
        <f>SUM(S76:S77)</f>
        <v/>
      </c>
      <c r="T78" s="202">
        <f>SUM(T76:T77)</f>
        <v/>
      </c>
      <c r="U78" s="202">
        <f>SUM(U76:U77)</f>
        <v/>
      </c>
      <c r="V78" s="202">
        <f>SUM(V76:V77)</f>
        <v/>
      </c>
      <c r="W78" s="202">
        <f>SUM(W76:W77)</f>
        <v/>
      </c>
      <c r="X78" s="202">
        <f>SUM(X76:X77)</f>
        <v/>
      </c>
    </row>
    <row r="79" ht="18.75" customHeight="1">
      <c r="B79" s="220" t="inlineStr">
        <is>
          <t>累計現金流</t>
        </is>
      </c>
      <c r="C79" s="216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34" t="n"/>
    </row>
    <row r="80" ht="18.75" customHeight="1">
      <c r="B80" s="235" t="inlineStr">
        <is>
          <t>回收年限評估</t>
        </is>
      </c>
      <c r="C80" s="236" t="n"/>
      <c r="D80" s="237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8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39" t="inlineStr">
        <is>
          <t>年份</t>
        </is>
      </c>
      <c r="D82" s="240">
        <f>D37</f>
        <v/>
      </c>
      <c r="E82" s="240">
        <f>E37</f>
        <v/>
      </c>
      <c r="F82" s="240">
        <f>F37</f>
        <v/>
      </c>
      <c r="G82" s="240">
        <f>G37</f>
        <v/>
      </c>
      <c r="H82" s="240">
        <f>H37</f>
        <v/>
      </c>
      <c r="I82" s="240">
        <f>I37</f>
        <v/>
      </c>
      <c r="J82" s="240">
        <f>J37</f>
        <v/>
      </c>
      <c r="K82" s="240">
        <f>K37</f>
        <v/>
      </c>
      <c r="L82" s="240">
        <f>L37</f>
        <v/>
      </c>
      <c r="M82" s="240">
        <f>M37</f>
        <v/>
      </c>
      <c r="N82" s="240">
        <f>N37</f>
        <v/>
      </c>
      <c r="O82" s="240">
        <f>O37</f>
        <v/>
      </c>
      <c r="P82" s="240">
        <f>P37</f>
        <v/>
      </c>
      <c r="Q82" s="240">
        <f>Q37</f>
        <v/>
      </c>
      <c r="R82" s="240">
        <f>R37</f>
        <v/>
      </c>
      <c r="S82" s="240">
        <f>S37</f>
        <v/>
      </c>
      <c r="T82" s="240">
        <f>T37</f>
        <v/>
      </c>
      <c r="U82" s="240">
        <f>U37</f>
        <v/>
      </c>
      <c r="V82" s="240">
        <f>V37</f>
        <v/>
      </c>
      <c r="W82" s="240">
        <f>W37</f>
        <v/>
      </c>
      <c r="X82" s="99" t="n"/>
    </row>
    <row r="83" ht="18.75" customHeight="1">
      <c r="X83" s="241" t="n"/>
    </row>
    <row r="84" ht="18.75" customHeight="1">
      <c r="B84" s="242" t="inlineStr">
        <is>
          <t>(Unit : Currency)</t>
        </is>
      </c>
      <c r="C84" s="242" t="n">
        <v>0</v>
      </c>
      <c r="D84" s="242" t="n">
        <v>1</v>
      </c>
      <c r="E84" s="242" t="n">
        <v>2</v>
      </c>
      <c r="F84" s="242" t="n">
        <v>3</v>
      </c>
      <c r="G84" s="242" t="n">
        <v>4</v>
      </c>
      <c r="H84" s="242" t="n">
        <v>5</v>
      </c>
      <c r="I84" s="242" t="n">
        <v>6</v>
      </c>
      <c r="J84" s="242" t="n">
        <v>7</v>
      </c>
      <c r="K84" s="242" t="n">
        <v>8</v>
      </c>
      <c r="L84" s="242" t="n">
        <v>9</v>
      </c>
      <c r="M84" s="242" t="n">
        <v>10</v>
      </c>
      <c r="N84" s="242" t="n">
        <v>11</v>
      </c>
      <c r="O84" s="242" t="n">
        <v>12</v>
      </c>
      <c r="P84" s="242" t="n">
        <v>13</v>
      </c>
      <c r="Q84" s="242" t="n">
        <v>14</v>
      </c>
      <c r="R84" s="242" t="n">
        <v>15</v>
      </c>
      <c r="S84" s="242" t="n">
        <v>16</v>
      </c>
      <c r="T84" s="242" t="n">
        <v>17</v>
      </c>
      <c r="U84" s="242" t="n">
        <v>18</v>
      </c>
      <c r="V84" s="242" t="n">
        <v>19</v>
      </c>
      <c r="W84" s="242" t="n">
        <v>20</v>
      </c>
      <c r="X84" s="102" t="n"/>
    </row>
    <row r="85" ht="18.75" customHeight="1">
      <c r="B85" s="243" t="inlineStr">
        <is>
          <t>稅後淨利</t>
        </is>
      </c>
      <c r="C85" s="243" t="n"/>
      <c r="D85" s="244">
        <f>D78</f>
        <v/>
      </c>
      <c r="E85" s="244">
        <f>E78</f>
        <v/>
      </c>
      <c r="F85" s="244">
        <f>F78</f>
        <v/>
      </c>
      <c r="G85" s="244">
        <f>G78</f>
        <v/>
      </c>
      <c r="H85" s="244">
        <f>H78</f>
        <v/>
      </c>
      <c r="I85" s="244">
        <f>I78</f>
        <v/>
      </c>
      <c r="J85" s="244">
        <f>J78</f>
        <v/>
      </c>
      <c r="K85" s="244">
        <f>K78</f>
        <v/>
      </c>
      <c r="L85" s="244">
        <f>L78</f>
        <v/>
      </c>
      <c r="M85" s="244">
        <f>M78</f>
        <v/>
      </c>
      <c r="N85" s="244">
        <f>N78</f>
        <v/>
      </c>
      <c r="O85" s="244">
        <f>O78</f>
        <v/>
      </c>
      <c r="P85" s="244">
        <f>P78</f>
        <v/>
      </c>
      <c r="Q85" s="244">
        <f>Q78</f>
        <v/>
      </c>
      <c r="R85" s="244">
        <f>R78</f>
        <v/>
      </c>
      <c r="S85" s="244">
        <f>S78</f>
        <v/>
      </c>
      <c r="T85" s="244">
        <f>T78</f>
        <v/>
      </c>
      <c r="U85" s="244">
        <f>U78</f>
        <v/>
      </c>
      <c r="V85" s="244">
        <f>V78</f>
        <v/>
      </c>
      <c r="W85" s="244">
        <f>W78</f>
        <v/>
      </c>
      <c r="X85" s="243" t="n"/>
      <c r="Y85" s="243" t="n"/>
    </row>
    <row r="86" ht="15.4" customHeight="1">
      <c r="B86" s="243" t="inlineStr">
        <is>
          <t>設備折舊</t>
        </is>
      </c>
      <c r="C86" s="243" t="n"/>
      <c r="D86" s="245">
        <f>-D67</f>
        <v/>
      </c>
      <c r="E86" s="245">
        <f>-E67</f>
        <v/>
      </c>
      <c r="F86" s="245">
        <f>-F67</f>
        <v/>
      </c>
      <c r="G86" s="245">
        <f>-G67</f>
        <v/>
      </c>
      <c r="H86" s="245">
        <f>-H67</f>
        <v/>
      </c>
      <c r="I86" s="245">
        <f>-I67</f>
        <v/>
      </c>
      <c r="J86" s="245">
        <f>-J67</f>
        <v/>
      </c>
      <c r="K86" s="245">
        <f>-K67</f>
        <v/>
      </c>
      <c r="L86" s="245">
        <f>-L67</f>
        <v/>
      </c>
      <c r="M86" s="245">
        <f>-M67</f>
        <v/>
      </c>
      <c r="N86" s="245">
        <f>-N67</f>
        <v/>
      </c>
      <c r="O86" s="245">
        <f>-O67</f>
        <v/>
      </c>
      <c r="P86" s="245">
        <f>-P67</f>
        <v/>
      </c>
      <c r="Q86" s="245">
        <f>-Q67</f>
        <v/>
      </c>
      <c r="R86" s="245">
        <f>-R67</f>
        <v/>
      </c>
      <c r="S86" s="245">
        <f>-S67</f>
        <v/>
      </c>
      <c r="T86" s="245">
        <f>-T67</f>
        <v/>
      </c>
      <c r="U86" s="245">
        <f>-U67</f>
        <v/>
      </c>
      <c r="V86" s="245">
        <f>-V67</f>
        <v/>
      </c>
      <c r="W86" s="245">
        <f>-W67</f>
        <v/>
      </c>
      <c r="X86" s="246" t="n"/>
    </row>
    <row r="87" ht="15.4" customHeight="1">
      <c r="B87" s="243" t="inlineStr">
        <is>
          <t>營運活動現金流量</t>
        </is>
      </c>
      <c r="C87" s="243" t="n"/>
      <c r="D87" s="247">
        <f>SUM(D85:D86)</f>
        <v/>
      </c>
      <c r="E87" s="247">
        <f>SUM(E85:E86)</f>
        <v/>
      </c>
      <c r="F87" s="247">
        <f>SUM(F85:F86)</f>
        <v/>
      </c>
      <c r="G87" s="247">
        <f>SUM(G85:G86)</f>
        <v/>
      </c>
      <c r="H87" s="247">
        <f>SUM(H85:H86)</f>
        <v/>
      </c>
      <c r="I87" s="247">
        <f>SUM(I85:I86)</f>
        <v/>
      </c>
      <c r="J87" s="247">
        <f>SUM(J85:J86)</f>
        <v/>
      </c>
      <c r="K87" s="247">
        <f>SUM(K85:K86)</f>
        <v/>
      </c>
      <c r="L87" s="247">
        <f>SUM(L85:L86)</f>
        <v/>
      </c>
      <c r="M87" s="247">
        <f>SUM(M85:M86)</f>
        <v/>
      </c>
      <c r="N87" s="247">
        <f>SUM(N85:N86)</f>
        <v/>
      </c>
      <c r="O87" s="247">
        <f>SUM(O85:O86)</f>
        <v/>
      </c>
      <c r="P87" s="247">
        <f>SUM(P85:P86)</f>
        <v/>
      </c>
      <c r="Q87" s="247">
        <f>SUM(Q85:Q86)</f>
        <v/>
      </c>
      <c r="R87" s="247">
        <f>SUM(R85:R86)</f>
        <v/>
      </c>
      <c r="S87" s="247">
        <f>SUM(S85:S86)</f>
        <v/>
      </c>
      <c r="T87" s="247">
        <f>SUM(T85:T86)</f>
        <v/>
      </c>
      <c r="U87" s="247">
        <f>SUM(U85:U86)</f>
        <v/>
      </c>
      <c r="V87" s="247">
        <f>SUM(V85:V86)</f>
        <v/>
      </c>
      <c r="W87" s="247">
        <f>SUM(W85:W86)</f>
        <v/>
      </c>
      <c r="X87" s="248" t="n"/>
    </row>
    <row r="88" ht="15.4" customHeight="1">
      <c r="B88" s="243" t="n"/>
      <c r="C88" s="243" t="n"/>
      <c r="D88" s="243" t="n"/>
      <c r="E88" s="243" t="n"/>
      <c r="F88" s="249" t="n"/>
      <c r="G88" s="249" t="n"/>
      <c r="H88" s="249" t="n"/>
      <c r="I88" s="249" t="n"/>
      <c r="J88" s="249" t="n"/>
      <c r="K88" s="249" t="n"/>
      <c r="L88" s="249" t="n"/>
      <c r="M88" s="249" t="n"/>
      <c r="N88" s="249" t="n"/>
      <c r="O88" s="249" t="n"/>
      <c r="P88" s="249" t="n"/>
      <c r="Q88" s="249" t="n"/>
      <c r="R88" s="249" t="n"/>
      <c r="S88" s="249" t="n"/>
      <c r="T88" s="249" t="n"/>
      <c r="U88" s="249" t="n"/>
      <c r="V88" s="249" t="n"/>
      <c r="W88" s="249" t="n"/>
      <c r="X88" s="250" t="n"/>
    </row>
    <row r="89" ht="15.4" customHeight="1">
      <c r="B89" s="251" t="inlineStr">
        <is>
          <t>投資活動-設備支出</t>
        </is>
      </c>
      <c r="C89" s="252" t="n"/>
      <c r="D89" s="253">
        <f>C44</f>
        <v/>
      </c>
      <c r="E89" s="252" t="n"/>
      <c r="F89" s="252" t="n"/>
      <c r="G89" s="252" t="n"/>
      <c r="H89" s="252" t="n"/>
      <c r="I89" s="252" t="n"/>
      <c r="J89" s="252" t="n"/>
      <c r="K89" s="252" t="n"/>
      <c r="L89" s="252" t="n"/>
      <c r="M89" s="252" t="n"/>
      <c r="N89" s="252" t="n"/>
      <c r="O89" s="252" t="n"/>
      <c r="P89" s="252" t="n"/>
      <c r="Q89" s="252" t="n"/>
      <c r="R89" s="252" t="n"/>
      <c r="S89" s="252" t="n"/>
      <c r="T89" s="252" t="n"/>
      <c r="U89" s="252" t="n"/>
      <c r="V89" s="252" t="n"/>
      <c r="W89" s="252" t="n"/>
      <c r="X89" s="246" t="n"/>
    </row>
    <row r="90" ht="15.4" customHeight="1">
      <c r="B90" s="243" t="n"/>
      <c r="C90" s="243" t="n"/>
      <c r="D90" s="243" t="n"/>
      <c r="E90" s="243" t="n"/>
      <c r="F90" s="249" t="n"/>
      <c r="G90" s="249" t="n"/>
      <c r="H90" s="249" t="n"/>
      <c r="I90" s="249" t="n"/>
      <c r="J90" s="249" t="n"/>
      <c r="K90" s="249" t="n"/>
      <c r="L90" s="249" t="n"/>
      <c r="M90" s="249" t="n"/>
      <c r="N90" s="249" t="n"/>
      <c r="O90" s="249" t="n"/>
      <c r="P90" s="249" t="n"/>
      <c r="Q90" s="249" t="n"/>
      <c r="R90" s="249" t="n"/>
      <c r="S90" s="249" t="n"/>
      <c r="T90" s="249" t="n"/>
      <c r="U90" s="249" t="n"/>
      <c r="V90" s="249" t="n"/>
      <c r="W90" s="249" t="n"/>
      <c r="X90" s="250" t="n"/>
    </row>
    <row r="91" ht="15.4" customHeight="1">
      <c r="B91" s="243" t="n"/>
      <c r="C91" s="243" t="n"/>
      <c r="D91" s="243" t="n"/>
      <c r="E91" s="243" t="n"/>
      <c r="F91" s="249" t="n"/>
      <c r="G91" s="249" t="n"/>
      <c r="H91" s="249" t="n"/>
      <c r="I91" s="249" t="n"/>
      <c r="J91" s="249" t="n"/>
      <c r="K91" s="249" t="n"/>
      <c r="L91" s="249" t="n"/>
      <c r="M91" s="249" t="n"/>
      <c r="N91" s="249" t="n"/>
      <c r="O91" s="249" t="n"/>
      <c r="P91" s="249" t="n"/>
      <c r="Q91" s="249" t="n"/>
      <c r="R91" s="249" t="n"/>
      <c r="S91" s="249" t="n"/>
      <c r="T91" s="249" t="n"/>
      <c r="U91" s="249" t="n"/>
      <c r="V91" s="249" t="n"/>
      <c r="W91" s="249" t="n"/>
      <c r="X91" s="250" t="n"/>
    </row>
    <row r="92" ht="15.4" customHeight="1">
      <c r="B92" s="251" t="inlineStr">
        <is>
          <t>理財活動-借款</t>
        </is>
      </c>
      <c r="C92" s="252" t="n"/>
      <c r="D92" s="253">
        <f>-D89*D31</f>
        <v/>
      </c>
      <c r="E92" s="252" t="n"/>
      <c r="F92" s="252" t="n"/>
      <c r="G92" s="252" t="n"/>
      <c r="H92" s="252" t="n"/>
      <c r="I92" s="252" t="n"/>
      <c r="J92" s="252" t="n"/>
      <c r="K92" s="252" t="n"/>
      <c r="L92" s="252" t="n"/>
      <c r="M92" s="252" t="n"/>
      <c r="N92" s="252" t="n"/>
      <c r="O92" s="252" t="n"/>
      <c r="P92" s="252" t="n"/>
      <c r="Q92" s="252" t="n"/>
      <c r="R92" s="252" t="n"/>
      <c r="S92" s="252" t="n"/>
      <c r="T92" s="252" t="n"/>
      <c r="U92" s="252" t="n"/>
      <c r="V92" s="252" t="n"/>
      <c r="W92" s="252" t="n"/>
      <c r="X92" s="250" t="n"/>
    </row>
    <row r="93" ht="15.4" customHeight="1">
      <c r="B93" s="243" t="inlineStr">
        <is>
          <t>理財活動-還款</t>
        </is>
      </c>
      <c r="C93" s="243" t="n"/>
      <c r="D93" s="243" t="n"/>
      <c r="E93" s="243" t="n">
        <v>-627984</v>
      </c>
      <c r="F93" s="243" t="n">
        <v>-627984</v>
      </c>
      <c r="G93" s="243" t="n">
        <v>-627984</v>
      </c>
      <c r="H93" s="243" t="n">
        <v>-627984</v>
      </c>
      <c r="I93" s="243" t="n">
        <v>-627984</v>
      </c>
      <c r="J93" s="243" t="n">
        <v>-627984</v>
      </c>
      <c r="K93" s="243" t="n">
        <v>-627984</v>
      </c>
      <c r="L93" s="243" t="n">
        <v>-627984</v>
      </c>
      <c r="M93" s="243" t="n">
        <v>-627984</v>
      </c>
      <c r="N93" s="243" t="n">
        <v>-627984</v>
      </c>
      <c r="O93" s="243" t="n">
        <v>-627984</v>
      </c>
      <c r="P93" s="243" t="n">
        <v>-627984</v>
      </c>
      <c r="Q93" s="243" t="n">
        <v>-627984</v>
      </c>
      <c r="R93" s="243" t="n">
        <v>-627984</v>
      </c>
      <c r="S93" s="243" t="n">
        <v>-627984</v>
      </c>
      <c r="T93" s="249" t="n">
        <v>0</v>
      </c>
      <c r="U93" s="249" t="n">
        <v>0</v>
      </c>
      <c r="V93" s="249" t="n">
        <v>0</v>
      </c>
      <c r="W93" s="249" t="n">
        <v>0</v>
      </c>
      <c r="X93" s="246" t="n"/>
    </row>
    <row r="94" ht="15.4" customHeight="1">
      <c r="B94" s="243" t="inlineStr">
        <is>
          <t>理財活動-現金增資</t>
        </is>
      </c>
      <c r="C94" s="249" t="n"/>
      <c r="D94" s="244">
        <f>-D89*(1-D31)</f>
        <v/>
      </c>
      <c r="E94" s="249" t="n"/>
      <c r="F94" s="249" t="n"/>
      <c r="G94" s="249" t="n"/>
      <c r="H94" s="249" t="n"/>
      <c r="I94" s="249" t="n"/>
      <c r="J94" s="249" t="n"/>
      <c r="K94" s="249" t="n"/>
      <c r="L94" s="249" t="n"/>
      <c r="M94" s="249" t="n"/>
      <c r="N94" s="249" t="n"/>
      <c r="O94" s="249" t="n"/>
      <c r="P94" s="249" t="n"/>
      <c r="Q94" s="249" t="n"/>
      <c r="R94" s="249" t="n"/>
      <c r="S94" s="249" t="n"/>
      <c r="T94" s="249" t="n"/>
      <c r="U94" s="249" t="n"/>
      <c r="V94" s="249" t="n"/>
      <c r="W94" s="249" t="n"/>
      <c r="X94" s="248" t="n"/>
    </row>
    <row r="95" ht="15.4" customHeight="1">
      <c r="B95" s="243" t="inlineStr">
        <is>
          <t>現金股利</t>
        </is>
      </c>
      <c r="C95" s="249" t="n"/>
      <c r="D95" s="249" t="n"/>
      <c r="E95" s="254">
        <f>-D85*$D$33</f>
        <v/>
      </c>
      <c r="F95" s="254">
        <f>-E85*$D$33</f>
        <v/>
      </c>
      <c r="G95" s="254">
        <f>-F85*$D$33</f>
        <v/>
      </c>
      <c r="H95" s="254">
        <f>-G85*$D$33</f>
        <v/>
      </c>
      <c r="I95" s="254">
        <f>-H85*$D$33</f>
        <v/>
      </c>
      <c r="J95" s="254">
        <f>-I85*$D$33</f>
        <v/>
      </c>
      <c r="K95" s="254">
        <f>-J85*$D$33</f>
        <v/>
      </c>
      <c r="L95" s="254">
        <f>-K85*$D$33</f>
        <v/>
      </c>
      <c r="M95" s="254">
        <f>-L85*$D$33</f>
        <v/>
      </c>
      <c r="N95" s="254">
        <f>-M85*$D$33</f>
        <v/>
      </c>
      <c r="O95" s="254">
        <f>-N85*$D$33</f>
        <v/>
      </c>
      <c r="P95" s="254">
        <f>-O85*$D$33</f>
        <v/>
      </c>
      <c r="Q95" s="254">
        <f>-P85*$D$33</f>
        <v/>
      </c>
      <c r="R95" s="254">
        <f>-Q85*$D$33</f>
        <v/>
      </c>
      <c r="S95" s="254">
        <f>-R85*$D$33</f>
        <v/>
      </c>
      <c r="T95" s="254">
        <f>-S85*$D$33</f>
        <v/>
      </c>
      <c r="U95" s="254">
        <f>-T85*$D$33</f>
        <v/>
      </c>
      <c r="V95" s="254">
        <f>-U85*$D$33</f>
        <v/>
      </c>
      <c r="W95" s="254">
        <f>-V85*$D$33</f>
        <v/>
      </c>
      <c r="X95" s="255">
        <f>-W85</f>
        <v/>
      </c>
    </row>
    <row r="96" ht="15.4" customHeight="1">
      <c r="B96" s="256" t="inlineStr">
        <is>
          <t>年底減資</t>
        </is>
      </c>
      <c r="C96" s="257" t="n"/>
      <c r="D96" s="257" t="n">
        <v>0</v>
      </c>
      <c r="E96" s="258" t="n">
        <v>0</v>
      </c>
      <c r="F96" s="258" t="n">
        <v>0</v>
      </c>
      <c r="G96" s="258" t="n">
        <v>0</v>
      </c>
      <c r="H96" s="258" t="n">
        <v>0</v>
      </c>
      <c r="I96" s="258" t="n">
        <v>0</v>
      </c>
      <c r="J96" s="258" t="n">
        <v>0</v>
      </c>
      <c r="K96" s="258" t="n">
        <v>0</v>
      </c>
      <c r="L96" s="258" t="n">
        <v>0</v>
      </c>
      <c r="M96" s="258" t="n">
        <v>0</v>
      </c>
      <c r="N96" s="258" t="n">
        <v>0</v>
      </c>
      <c r="O96" s="258" t="n">
        <v>0</v>
      </c>
      <c r="P96" s="258" t="n">
        <v>0</v>
      </c>
      <c r="Q96" s="258" t="n">
        <v>0</v>
      </c>
      <c r="R96" s="259" t="n">
        <v>0</v>
      </c>
      <c r="S96" s="259" t="n">
        <v>0</v>
      </c>
      <c r="T96" s="259" t="n">
        <v>-588735</v>
      </c>
      <c r="U96" s="259" t="n">
        <v>-588735</v>
      </c>
      <c r="V96" s="258" t="n">
        <v>-588735</v>
      </c>
      <c r="W96" s="258" t="n">
        <v>-588735</v>
      </c>
      <c r="X96" s="255">
        <f>-W101-X95</f>
        <v/>
      </c>
    </row>
    <row r="97" ht="15.4" customHeight="1">
      <c r="B97" s="249" t="n"/>
      <c r="C97" s="249" t="n"/>
      <c r="D97" s="249" t="n"/>
      <c r="E97" s="249" t="n"/>
      <c r="F97" s="249" t="n"/>
      <c r="G97" s="249" t="n"/>
      <c r="H97" s="249" t="n"/>
      <c r="I97" s="249" t="n"/>
      <c r="J97" s="249" t="n"/>
      <c r="K97" s="249" t="n"/>
      <c r="L97" s="249" t="n"/>
      <c r="M97" s="249" t="n"/>
      <c r="N97" s="249" t="n"/>
      <c r="O97" s="249" t="n"/>
      <c r="P97" s="249" t="n"/>
      <c r="Q97" s="249" t="n"/>
      <c r="R97" s="249" t="n"/>
      <c r="S97" s="249" t="n"/>
      <c r="T97" s="249" t="n"/>
      <c r="U97" s="249" t="n"/>
      <c r="V97" s="249" t="n"/>
      <c r="W97" s="249" t="n"/>
      <c r="X97" s="248" t="n"/>
    </row>
    <row r="98" ht="15.4" customHeight="1">
      <c r="B98" s="249" t="n"/>
      <c r="C98" s="249" t="n"/>
      <c r="D98" s="249" t="n"/>
      <c r="E98" s="249" t="n"/>
      <c r="F98" s="249" t="n"/>
      <c r="G98" s="249" t="n"/>
      <c r="H98" s="249" t="n"/>
      <c r="I98" s="249" t="n"/>
      <c r="J98" s="249" t="n"/>
      <c r="K98" s="249" t="n"/>
      <c r="L98" s="249" t="n"/>
      <c r="M98" s="249" t="n"/>
      <c r="N98" s="249" t="n"/>
      <c r="O98" s="249" t="n"/>
      <c r="P98" s="249" t="n"/>
      <c r="Q98" s="249" t="n"/>
      <c r="R98" s="249" t="n"/>
      <c r="S98" s="249" t="n"/>
      <c r="T98" s="249" t="n"/>
      <c r="U98" s="249" t="n"/>
      <c r="V98" s="249" t="n"/>
      <c r="W98" s="249" t="n"/>
      <c r="X98" s="248" t="n"/>
    </row>
    <row r="99" ht="16.15" customHeight="1">
      <c r="B99" s="243" t="inlineStr">
        <is>
          <t>現金淨流入(出 )</t>
        </is>
      </c>
      <c r="C99" s="260" t="n">
        <v>0</v>
      </c>
      <c r="D99" s="244">
        <f>SUM(D87:D96)</f>
        <v/>
      </c>
      <c r="E99" s="244">
        <f>SUM(E87:E96)</f>
        <v/>
      </c>
      <c r="F99" s="244">
        <f>SUM(F87:F96)</f>
        <v/>
      </c>
      <c r="G99" s="244">
        <f>SUM(G87:G96)</f>
        <v/>
      </c>
      <c r="H99" s="244">
        <f>SUM(H87:H96)</f>
        <v/>
      </c>
      <c r="I99" s="244">
        <f>SUM(I87:I96)</f>
        <v/>
      </c>
      <c r="J99" s="244">
        <f>SUM(J87:J96)</f>
        <v/>
      </c>
      <c r="K99" s="244">
        <f>SUM(K87:K96)</f>
        <v/>
      </c>
      <c r="L99" s="244">
        <f>SUM(L87:L96)</f>
        <v/>
      </c>
      <c r="M99" s="244">
        <f>SUM(M87:M96)</f>
        <v/>
      </c>
      <c r="N99" s="244">
        <f>SUM(N87:N96)</f>
        <v/>
      </c>
      <c r="O99" s="244">
        <f>SUM(O87:O96)</f>
        <v/>
      </c>
      <c r="P99" s="244">
        <f>SUM(P87:P96)</f>
        <v/>
      </c>
      <c r="Q99" s="244">
        <f>SUM(Q87:Q96)</f>
        <v/>
      </c>
      <c r="R99" s="244">
        <f>SUM(R87:R96)</f>
        <v/>
      </c>
      <c r="S99" s="244">
        <f>SUM(S87:S96)</f>
        <v/>
      </c>
      <c r="T99" s="244">
        <f>SUM(T87:T96)</f>
        <v/>
      </c>
      <c r="U99" s="244">
        <f>SUM(U87:U96)</f>
        <v/>
      </c>
      <c r="V99" s="244">
        <f>SUM(V87:V96)</f>
        <v/>
      </c>
      <c r="W99" s="244">
        <f>SUM(W87:W96)</f>
        <v/>
      </c>
      <c r="X99" s="248" t="n"/>
    </row>
    <row r="100" ht="15.4" customHeight="1">
      <c r="B100" s="243" t="inlineStr">
        <is>
          <t>期初淨現金</t>
        </is>
      </c>
      <c r="C100" s="244" t="n">
        <v>0</v>
      </c>
      <c r="D100" s="244">
        <f>C101</f>
        <v/>
      </c>
      <c r="E100" s="244">
        <f>D101</f>
        <v/>
      </c>
      <c r="F100" s="244">
        <f>E101</f>
        <v/>
      </c>
      <c r="G100" s="244">
        <f>F101</f>
        <v/>
      </c>
      <c r="H100" s="244">
        <f>G101</f>
        <v/>
      </c>
      <c r="I100" s="244">
        <f>H101</f>
        <v/>
      </c>
      <c r="J100" s="244">
        <f>I101</f>
        <v/>
      </c>
      <c r="K100" s="244">
        <f>J101</f>
        <v/>
      </c>
      <c r="L100" s="244">
        <f>K101</f>
        <v/>
      </c>
      <c r="M100" s="244">
        <f>L101</f>
        <v/>
      </c>
      <c r="N100" s="244">
        <f>M101</f>
        <v/>
      </c>
      <c r="O100" s="244">
        <f>N101</f>
        <v/>
      </c>
      <c r="P100" s="244">
        <f>O101</f>
        <v/>
      </c>
      <c r="Q100" s="244">
        <f>P101</f>
        <v/>
      </c>
      <c r="R100" s="244">
        <f>Q101</f>
        <v/>
      </c>
      <c r="S100" s="244">
        <f>R101</f>
        <v/>
      </c>
      <c r="T100" s="244">
        <f>S101</f>
        <v/>
      </c>
      <c r="U100" s="244">
        <f>T101</f>
        <v/>
      </c>
      <c r="V100" s="244">
        <f>U101</f>
        <v/>
      </c>
      <c r="W100" s="244">
        <f>V101</f>
        <v/>
      </c>
      <c r="X100" s="250" t="n"/>
    </row>
    <row r="101" ht="15.4" customHeight="1">
      <c r="B101" s="243" t="inlineStr">
        <is>
          <t>期未淨現金</t>
        </is>
      </c>
      <c r="C101" s="244" t="n">
        <v>0</v>
      </c>
      <c r="D101" s="244">
        <f>D99+D100</f>
        <v/>
      </c>
      <c r="E101" s="244">
        <f>E99+E100</f>
        <v/>
      </c>
      <c r="F101" s="244">
        <f>F99+F100</f>
        <v/>
      </c>
      <c r="G101" s="244">
        <f>G99+G100</f>
        <v/>
      </c>
      <c r="H101" s="244">
        <f>H99+H100</f>
        <v/>
      </c>
      <c r="I101" s="244">
        <f>I99+I100</f>
        <v/>
      </c>
      <c r="J101" s="244">
        <f>J99+J100</f>
        <v/>
      </c>
      <c r="K101" s="244">
        <f>K99+K100</f>
        <v/>
      </c>
      <c r="L101" s="244">
        <f>L99+L100</f>
        <v/>
      </c>
      <c r="M101" s="244">
        <f>M99+M100</f>
        <v/>
      </c>
      <c r="N101" s="244">
        <f>N99+N100</f>
        <v/>
      </c>
      <c r="O101" s="244">
        <f>O99+O100</f>
        <v/>
      </c>
      <c r="P101" s="244">
        <f>P99+P100</f>
        <v/>
      </c>
      <c r="Q101" s="244">
        <f>Q99+Q100</f>
        <v/>
      </c>
      <c r="R101" s="244">
        <f>R99+R100</f>
        <v/>
      </c>
      <c r="S101" s="244">
        <f>S99+S100</f>
        <v/>
      </c>
      <c r="T101" s="244">
        <f>T99+T100</f>
        <v/>
      </c>
      <c r="U101" s="244">
        <f>U99+U100</f>
        <v/>
      </c>
      <c r="V101" s="244">
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
      <c r="D102" s="243" t="n"/>
      <c r="E102" s="243" t="n"/>
      <c r="F102" s="243" t="n"/>
      <c r="G102" s="243" t="n"/>
      <c r="H102" s="243" t="n"/>
      <c r="I102" s="243" t="n"/>
      <c r="J102" s="243" t="n"/>
      <c r="K102" s="243" t="n"/>
      <c r="L102" s="243" t="n"/>
      <c r="M102" s="243" t="n"/>
      <c r="N102" s="243" t="n"/>
      <c r="O102" s="243" t="n"/>
      <c r="P102" s="243" t="n"/>
      <c r="Q102" s="243" t="n"/>
      <c r="R102" s="243" t="n"/>
      <c r="S102" s="243" t="n"/>
      <c r="T102" s="243" t="n"/>
      <c r="U102" s="243" t="n"/>
      <c r="V102" s="243" t="n"/>
      <c r="W102" s="243" t="n"/>
      <c r="X102" s="243" t="n"/>
    </row>
    <row r="103" ht="15.4" customHeight="1">
      <c r="B103" s="243" t="n"/>
      <c r="C103" s="243" t="n"/>
      <c r="D103" s="243" t="n"/>
      <c r="E103" s="243" t="n"/>
      <c r="F103" s="249" t="n"/>
      <c r="G103" s="243" t="n"/>
      <c r="H103" s="243" t="n"/>
      <c r="I103" s="243" t="n"/>
      <c r="J103" s="243" t="n"/>
      <c r="K103" s="243" t="n"/>
      <c r="L103" s="243" t="n"/>
      <c r="M103" s="243" t="n"/>
      <c r="N103" s="243" t="n"/>
      <c r="O103" s="243" t="n"/>
      <c r="P103" s="243" t="n"/>
      <c r="Q103" s="243" t="n"/>
      <c r="R103" s="243" t="n"/>
      <c r="S103" s="243" t="n"/>
      <c r="T103" s="243" t="n"/>
      <c r="U103" s="243" t="n"/>
      <c r="V103" s="243" t="n"/>
      <c r="W103" s="243" t="n"/>
      <c r="X103" s="243" t="n"/>
    </row>
    <row r="104" ht="15.4" customHeight="1">
      <c r="B104" s="261" t="inlineStr">
        <is>
          <t>成本法實際現金流</t>
        </is>
      </c>
      <c r="C104" s="262" t="n"/>
      <c r="D104" s="263">
        <f>-D94</f>
        <v/>
      </c>
      <c r="E104" s="247">
        <f>-E95-E96</f>
        <v/>
      </c>
      <c r="F104" s="247">
        <f>-F95-F96</f>
        <v/>
      </c>
      <c r="G104" s="247">
        <f>-G95-G96</f>
        <v/>
      </c>
      <c r="H104" s="247">
        <f>-H95-H96</f>
        <v/>
      </c>
      <c r="I104" s="247">
        <f>-I95-I96</f>
        <v/>
      </c>
      <c r="J104" s="247">
        <f>-J95-J96</f>
        <v/>
      </c>
      <c r="K104" s="247">
        <f>-K95-K96</f>
        <v/>
      </c>
      <c r="L104" s="247">
        <f>-L95-L96</f>
        <v/>
      </c>
      <c r="M104" s="247">
        <f>-M95-M96</f>
        <v/>
      </c>
      <c r="N104" s="247">
        <f>-N95-N96</f>
        <v/>
      </c>
      <c r="O104" s="247">
        <f>-O95-O96</f>
        <v/>
      </c>
      <c r="P104" s="247">
        <f>-P95-P96</f>
        <v/>
      </c>
      <c r="Q104" s="247">
        <f>-Q95-Q96</f>
        <v/>
      </c>
      <c r="R104" s="247">
        <f>-R95-R96</f>
        <v/>
      </c>
      <c r="S104" s="247">
        <f>-S95-S96</f>
        <v/>
      </c>
      <c r="T104" s="247">
        <f>-T95-T96</f>
        <v/>
      </c>
      <c r="U104" s="247">
        <f>-U95-U96</f>
        <v/>
      </c>
      <c r="V104" s="247">
        <f>-V95-V96</f>
        <v/>
      </c>
      <c r="W104" s="247">
        <f>-W95-W96</f>
        <v/>
      </c>
      <c r="X104" s="247">
        <f>-X95-X96</f>
        <v/>
      </c>
    </row>
    <row r="105" ht="15.4" customHeight="1">
      <c r="B105" s="243" t="inlineStr">
        <is>
          <t>成本法IRR</t>
        </is>
      </c>
      <c r="C105" s="264">
        <f>IRR(D104:X104)</f>
        <v/>
      </c>
      <c r="D105" s="249" t="n"/>
      <c r="E105" s="249" t="n"/>
      <c r="F105" s="243" t="n"/>
      <c r="G105" s="243" t="n"/>
      <c r="H105" s="243" t="n"/>
      <c r="I105" s="243" t="n"/>
      <c r="J105" s="243" t="n"/>
      <c r="K105" s="243" t="n"/>
      <c r="L105" s="243" t="n"/>
      <c r="M105" s="243" t="n"/>
      <c r="N105" s="243" t="n"/>
      <c r="O105" s="243" t="n"/>
      <c r="P105" s="243" t="n"/>
      <c r="Q105" s="243" t="n"/>
      <c r="R105" s="243" t="n"/>
      <c r="S105" s="243" t="n"/>
      <c r="T105" s="243" t="n"/>
      <c r="U105" s="243" t="n"/>
      <c r="V105" s="243" t="n"/>
      <c r="W105" s="243" t="n"/>
      <c r="X105" s="243" t="n"/>
    </row>
    <row r="106" ht="15.4" customHeight="1">
      <c r="B106" s="261" t="inlineStr">
        <is>
          <t>權益法實際現金流</t>
        </is>
      </c>
      <c r="C106" s="262" t="n"/>
      <c r="D106" s="263">
        <f>D85-D94</f>
        <v/>
      </c>
      <c r="E106" s="247">
        <f>E85</f>
        <v/>
      </c>
      <c r="F106" s="247">
        <f>F85-F96</f>
        <v/>
      </c>
      <c r="G106" s="247">
        <f>G85-G96</f>
        <v/>
      </c>
      <c r="H106" s="247">
        <f>H85-H96</f>
        <v/>
      </c>
      <c r="I106" s="247">
        <f>I85-I96</f>
        <v/>
      </c>
      <c r="J106" s="247">
        <f>J85-J96</f>
        <v/>
      </c>
      <c r="K106" s="247">
        <f>K85-K96</f>
        <v/>
      </c>
      <c r="L106" s="247">
        <f>L85-L96</f>
        <v/>
      </c>
      <c r="M106" s="247">
        <f>M85-M96</f>
        <v/>
      </c>
      <c r="N106" s="247">
        <f>N85-N96</f>
        <v/>
      </c>
      <c r="O106" s="247">
        <f>O85-O96</f>
        <v/>
      </c>
      <c r="P106" s="247">
        <f>P85-P96</f>
        <v/>
      </c>
      <c r="Q106" s="247">
        <f>Q85-Q96</f>
        <v/>
      </c>
      <c r="R106" s="247">
        <f>R85-R96</f>
        <v/>
      </c>
      <c r="S106" s="247">
        <f>S85-S96</f>
        <v/>
      </c>
      <c r="T106" s="247">
        <f>T85-T96</f>
        <v/>
      </c>
      <c r="U106" s="247">
        <f>U85-U96</f>
        <v/>
      </c>
      <c r="V106" s="247">
        <f>V85-V96</f>
        <v/>
      </c>
      <c r="W106" s="247">
        <f>W85-W96</f>
        <v/>
      </c>
      <c r="X106" s="246" t="n"/>
    </row>
    <row r="107" ht="15.4" customHeight="1">
      <c r="B107" s="261" t="inlineStr">
        <is>
          <t>權益法IRR</t>
        </is>
      </c>
      <c r="C107" s="265">
        <f>IRR(D106:W106)</f>
        <v/>
      </c>
      <c r="D107" s="249" t="n"/>
      <c r="E107" s="249" t="n"/>
      <c r="F107" s="243" t="n"/>
      <c r="G107" s="243" t="n"/>
      <c r="H107" s="243" t="n"/>
      <c r="I107" s="243" t="n"/>
      <c r="J107" s="243" t="n"/>
      <c r="K107" s="243" t="n"/>
      <c r="L107" s="243" t="n"/>
      <c r="M107" s="243" t="n"/>
      <c r="N107" s="243" t="n"/>
      <c r="O107" s="243" t="n"/>
      <c r="P107" s="243" t="n"/>
      <c r="Q107" s="243" t="n"/>
      <c r="R107" s="243" t="n"/>
      <c r="S107" s="243" t="n"/>
      <c r="T107" s="243" t="n"/>
      <c r="U107" s="243" t="n"/>
      <c r="V107" s="243" t="n"/>
      <c r="W107" s="243" t="n"/>
      <c r="X107" s="243" t="n"/>
    </row>
    <row r="108" ht="15.4" customHeight="1">
      <c r="B108" s="243" t="n"/>
      <c r="C108" s="243" t="n"/>
      <c r="D108" s="243" t="n"/>
      <c r="E108" s="243" t="n"/>
      <c r="F108" s="243" t="n"/>
      <c r="G108" s="243" t="n"/>
      <c r="H108" s="243" t="n"/>
      <c r="I108" s="243" t="n"/>
      <c r="J108" s="243" t="n"/>
      <c r="K108" s="243" t="n"/>
      <c r="L108" s="243" t="n"/>
      <c r="M108" s="243" t="n"/>
      <c r="N108" s="243" t="n"/>
      <c r="O108" s="243" t="n"/>
      <c r="P108" s="243" t="n"/>
      <c r="Q108" s="243" t="n"/>
      <c r="R108" s="243" t="n"/>
      <c r="S108" s="243" t="n"/>
      <c r="T108" s="243" t="n"/>
      <c r="U108" s="243" t="n"/>
      <c r="V108" s="243" t="n"/>
      <c r="W108" s="243" t="n"/>
      <c r="X108" s="243" t="n"/>
    </row>
    <row r="109" ht="15.4" customHeight="1">
      <c r="B109" s="243" t="inlineStr">
        <is>
          <t>借款餘額</t>
        </is>
      </c>
      <c r="C109" s="244" t="n">
        <v>0</v>
      </c>
      <c r="D109" s="244">
        <f>D92</f>
        <v/>
      </c>
      <c r="E109" s="244">
        <f>D109+E93</f>
        <v/>
      </c>
      <c r="F109" s="244">
        <f>E109+F93</f>
        <v/>
      </c>
      <c r="G109" s="244">
        <f>F109+G93</f>
        <v/>
      </c>
      <c r="H109" s="244">
        <f>G109+H93</f>
        <v/>
      </c>
      <c r="I109" s="244">
        <f>H109+I93</f>
        <v/>
      </c>
      <c r="J109" s="244">
        <f>I109+J93</f>
        <v/>
      </c>
      <c r="K109" s="244">
        <f>J109+K93</f>
        <v/>
      </c>
      <c r="L109" s="244">
        <f>K109+L93</f>
        <v/>
      </c>
      <c r="M109" s="244">
        <f>L109+M93</f>
        <v/>
      </c>
      <c r="N109" s="244">
        <f>M109+N93</f>
        <v/>
      </c>
      <c r="O109" s="244">
        <f>N109+O93</f>
        <v/>
      </c>
      <c r="P109" s="244">
        <f>O109+P93</f>
        <v/>
      </c>
      <c r="Q109" s="244">
        <f>P109+Q93</f>
        <v/>
      </c>
      <c r="R109" s="244">
        <f>Q109+R93</f>
        <v/>
      </c>
      <c r="S109" s="244">
        <f>R109+S93</f>
        <v/>
      </c>
      <c r="T109" s="244">
        <f>S109+T93</f>
        <v/>
      </c>
      <c r="U109" s="244">
        <f>T109+U93</f>
        <v/>
      </c>
      <c r="V109" s="244">
        <f>U109+V93</f>
        <v/>
      </c>
      <c r="W109" s="244">
        <f>V109+W93</f>
        <v/>
      </c>
      <c r="X109" s="249" t="n"/>
    </row>
    <row r="110"/>
    <row r="111">
      <c r="B111" s="266" t="n"/>
    </row>
    <row r="112" ht="16.15" customHeight="1">
      <c r="G112" s="26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2026-02-21T04:16:08Z</dcterms:modified>
  <cp:lastModifiedBy>王竣生</cp:lastModifiedBy>
</cp:coreProperties>
</file>