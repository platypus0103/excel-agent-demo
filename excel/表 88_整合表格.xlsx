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表 87_滾算紀錄1" sheetId="2" state="visible" r:id="rId2"/>
    <sheet name="表 87_滾算紀錄2" sheetId="3" state="visible" r:id="rId3"/>
    <sheet name="表 87_滾算紀錄3" sheetId="4" state="visible" r:id="rId4"/>
    <sheet name="表 87_滾算紀錄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0_);[Red]\(0.00\)"/>
    <numFmt numFmtId="165" formatCode="&quot;$&quot;#,##0.00_);[Red]\(&quot;$&quot;#,##0.00\)"/>
    <numFmt numFmtId="166" formatCode="0.00000%"/>
    <numFmt numFmtId="167" formatCode="_-&quot;$&quot;* #,##0.00_-;\-&quot;$&quot;* #,##0.00_-;_-&quot;$&quot;* &quot;-&quot;??_-;_-@_-"/>
    <numFmt numFmtId="168" formatCode="0.0000%"/>
    <numFmt numFmtId="169" formatCode="0.000%"/>
  </numFmts>
  <fonts count="30">
    <font>
      <name val="Calibri"/>
      <family val="2"/>
      <color theme="1"/>
      <sz val="11"/>
      <scheme val="minor"/>
    </font>
    <font>
      <name val="微軟正黑體"/>
      <family val="2"/>
      <b val="1"/>
      <color rgb="FFFFFFFF"/>
      <sz val="12"/>
    </font>
    <font>
      <name val="新細明體"/>
      <family val="2"/>
      <color theme="1"/>
      <sz val="11"/>
      <scheme val="minor"/>
    </font>
    <font>
      <name val="微軟正黑體"/>
      <family val="2"/>
      <color rgb="FF000000"/>
      <sz val="12"/>
    </font>
    <font>
      <name val="Calibri"/>
      <family val="2"/>
      <color rgb="FF000000"/>
      <sz val="12"/>
    </font>
    <font>
      <name val="Calibri"/>
      <family val="2"/>
      <b val="1"/>
      <color rgb="FFFFFFFF"/>
      <sz val="12"/>
    </font>
    <font>
      <name val="Calibri"/>
      <family val="2"/>
      <color theme="1"/>
      <sz val="11"/>
    </font>
    <font>
      <name val="新細明體"/>
      <family val="2"/>
      <color theme="1"/>
      <sz val="12"/>
    </font>
    <font>
      <name val="新細明體"/>
      <family val="2"/>
      <color rgb="FFFFFFFF"/>
      <sz val="12"/>
    </font>
    <font>
      <name val="Arial"/>
      <family val="2"/>
      <b val="1"/>
      <color theme="1"/>
      <sz val="14"/>
    </font>
    <font>
      <name val="微軟正黑體"/>
      <family val="2"/>
      <b val="1"/>
      <color theme="1"/>
      <sz val="14"/>
    </font>
    <font>
      <name val="微軟正黑體"/>
      <family val="2"/>
      <color theme="1"/>
      <sz val="12"/>
    </font>
    <font>
      <name val="Arial"/>
      <family val="2"/>
      <color theme="1"/>
      <sz val="12"/>
    </font>
    <font>
      <name val="Arial"/>
      <family val="2"/>
      <sz val="12"/>
    </font>
    <font>
      <name val="Arial"/>
      <family val="2"/>
      <color rgb="FF000000"/>
      <sz val="12"/>
    </font>
    <font>
      <name val="細明體"/>
      <family val="2"/>
      <color rgb="FF000000"/>
      <sz val="12"/>
    </font>
    <font>
      <name val="細明體"/>
      <charset val="136"/>
      <family val="3"/>
      <b val="1"/>
      <color rgb="FF000000"/>
      <sz val="12"/>
    </font>
    <font>
      <name val="Arial"/>
      <family val="2"/>
      <b val="1"/>
      <color theme="1"/>
      <sz val="12"/>
    </font>
    <font>
      <name val="Arial"/>
      <family val="2"/>
      <color rgb="FF000080"/>
      <sz val="12"/>
    </font>
    <font>
      <name val="新細明體"/>
      <family val="2"/>
      <color rgb="FF000000"/>
      <sz val="12"/>
    </font>
    <font>
      <name val="細明體"/>
      <family val="2"/>
      <b val="1"/>
      <color rgb="FF000000"/>
      <sz val="12"/>
    </font>
    <font>
      <name val="Arial"/>
      <family val="2"/>
      <b val="1"/>
      <color rgb="FF993366"/>
      <sz val="12"/>
    </font>
    <font>
      <name val="Arial"/>
      <family val="2"/>
      <b val="1"/>
      <color rgb="FF000000"/>
      <sz val="12"/>
    </font>
    <font>
      <name val="新細明體"/>
      <family val="2"/>
      <b val="1"/>
      <color theme="1"/>
      <sz val="12"/>
    </font>
    <font>
      <name val="細明體"/>
      <family val="2"/>
      <b val="1"/>
      <color theme="1"/>
      <sz val="12"/>
    </font>
    <font>
      <name val="新細明體"/>
      <charset val="136"/>
      <family val="1"/>
      <b val="1"/>
      <color theme="1"/>
      <sz val="12"/>
    </font>
    <font>
      <name val="Arial"/>
      <family val="2"/>
      <b val="1"/>
      <color rgb="FFFF0000"/>
      <sz val="12"/>
    </font>
    <font>
      <name val="新細明體"/>
      <charset val="136"/>
      <family val="1"/>
      <b val="1"/>
      <color theme="1"/>
      <sz val="11"/>
      <scheme val="minor"/>
    </font>
    <font>
      <name val="新細明體"/>
      <family val="2"/>
      <color theme="1"/>
      <sz val="12"/>
      <scheme val="minor"/>
    </font>
    <font>
      <name val="新細明體"/>
      <family val="2"/>
      <color rgb="FF000000"/>
      <sz val="10"/>
    </font>
  </fonts>
  <fills count="14">
    <fill>
      <patternFill/>
    </fill>
    <fill>
      <patternFill patternType="gray125"/>
    </fill>
    <fill>
      <patternFill patternType="solid">
        <fgColor rgb="FF0070C0"/>
      </patternFill>
    </fill>
    <fill>
      <patternFill patternType="solid">
        <fgColor rgb="FFDCE6F2"/>
      </patternFill>
    </fill>
    <fill>
      <patternFill patternType="solid">
        <fgColor rgb="FFD99694"/>
      </patternFill>
    </fill>
    <fill>
      <patternFill patternType="solid">
        <fgColor rgb="FF376092"/>
      </patternFill>
    </fill>
    <fill>
      <patternFill patternType="solid">
        <fgColor rgb="FFFFFFCC"/>
      </patternFill>
    </fill>
    <fill>
      <patternFill patternType="solid">
        <fgColor rgb="FF00CCFF"/>
      </patternFill>
    </fill>
    <fill>
      <patternFill patternType="solid">
        <fgColor rgb="FFFF0000"/>
      </patternFill>
    </fill>
    <fill>
      <patternFill patternType="solid">
        <fgColor rgb="FFFFFF00"/>
      </patternFill>
    </fill>
    <fill>
      <patternFill patternType="solid">
        <fgColor rgb="FFFFCC00"/>
      </patternFill>
    </fill>
    <fill>
      <patternFill patternType="solid">
        <fgColor rgb="FF2F75B5"/>
      </patternFill>
    </fill>
    <fill>
      <patternFill patternType="solid">
        <fgColor rgb="FFFFCCCC"/>
      </patternFill>
    </fill>
    <fill>
      <patternFill patternType="solid">
        <fgColor rgb="FF9BC2E6"/>
      </patternFill>
    </fill>
  </fills>
  <borders count="3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8">
    <xf numFmtId="0" fontId="0" fillId="0" borderId="0" pivotButton="0" quotePrefix="0" xfId="0"/>
    <xf numFmtId="164" fontId="1" fillId="2" borderId="1" applyAlignment="1" pivotButton="0" quotePrefix="0" xfId="0">
      <alignment horizontal="center"/>
    </xf>
    <xf numFmtId="0" fontId="2" fillId="0" borderId="2" pivotButton="0" quotePrefix="0" xfId="0"/>
    <xf numFmtId="0" fontId="2" fillId="0" borderId="3" pivotButton="0" quotePrefix="0" xfId="0"/>
    <xf numFmtId="164" fontId="3" fillId="0" borderId="4" applyAlignment="1" pivotButton="0" quotePrefix="0" xfId="0">
      <alignment horizontal="left"/>
    </xf>
    <xf numFmtId="164" fontId="4" fillId="0" borderId="4" applyAlignment="1" pivotButton="0" quotePrefix="0" xfId="0">
      <alignment horizontal="left"/>
    </xf>
    <xf numFmtId="164" fontId="4" fillId="0" borderId="4" applyAlignment="1" pivotButton="0" quotePrefix="0" xfId="0">
      <alignment horizontal="center"/>
    </xf>
    <xf numFmtId="164" fontId="3" fillId="0" borderId="5" applyAlignment="1" pivotButton="0" quotePrefix="0" xfId="0">
      <alignment horizontal="left"/>
    </xf>
    <xf numFmtId="164" fontId="4" fillId="0" borderId="5" applyAlignment="1" pivotButton="0" quotePrefix="0" xfId="0">
      <alignment horizontal="left"/>
    </xf>
    <xf numFmtId="164" fontId="4" fillId="0" borderId="5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164" fontId="5" fillId="2" borderId="1" applyAlignment="1" pivotButton="0" quotePrefix="0" xfId="0">
      <alignment horizontal="center"/>
    </xf>
    <xf numFmtId="164" fontId="4" fillId="3" borderId="6" applyAlignment="1" pivotButton="0" quotePrefix="0" xfId="0">
      <alignment horizontal="center"/>
    </xf>
    <xf numFmtId="0" fontId="2" fillId="0" borderId="7" pivotButton="0" quotePrefix="0" xfId="0"/>
    <xf numFmtId="0" fontId="2" fillId="0" borderId="8" pivotButton="0" quotePrefix="0" xfId="0"/>
    <xf numFmtId="164" fontId="4" fillId="0" borderId="9" applyAlignment="1" pivotButton="0" quotePrefix="0" xfId="0">
      <alignment horizontal="left"/>
    </xf>
    <xf numFmtId="164" fontId="4" fillId="0" borderId="10" applyAlignment="1" pivotButton="0" quotePrefix="0" xfId="0">
      <alignment horizontal="left"/>
    </xf>
    <xf numFmtId="164" fontId="3" fillId="0" borderId="11" applyAlignment="1" pivotButton="0" quotePrefix="0" xfId="0">
      <alignment horizontal="left"/>
    </xf>
    <xf numFmtId="164" fontId="4" fillId="0" borderId="12" applyAlignment="1" pivotButton="0" quotePrefix="0" xfId="0">
      <alignment horizontal="left" vertical="top"/>
    </xf>
    <xf numFmtId="0" fontId="2" fillId="0" borderId="12" pivotButton="0" quotePrefix="0" xfId="0"/>
    <xf numFmtId="164" fontId="4" fillId="0" borderId="13" applyAlignment="1" pivotButton="0" quotePrefix="0" xfId="0">
      <alignment horizontal="left"/>
    </xf>
    <xf numFmtId="164" fontId="4" fillId="4" borderId="1" applyAlignment="1" pivotButton="0" quotePrefix="0" xfId="0">
      <alignment horizontal="center"/>
    </xf>
    <xf numFmtId="164" fontId="4" fillId="0" borderId="11" applyAlignment="1" pivotButton="0" quotePrefix="0" xfId="0">
      <alignment horizontal="left"/>
    </xf>
    <xf numFmtId="164" fontId="4" fillId="0" borderId="4" applyAlignment="1" pivotButton="0" quotePrefix="0" xfId="0">
      <alignment horizontal="left" vertical="top"/>
    </xf>
    <xf numFmtId="164" fontId="4" fillId="0" borderId="4" applyAlignment="1" pivotButton="0" quotePrefix="0" xfId="0">
      <alignment horizontal="center" vertical="top"/>
    </xf>
    <xf numFmtId="0" fontId="2" fillId="0" borderId="4" pivotButton="0" quotePrefix="0" xfId="0"/>
    <xf numFmtId="164" fontId="4" fillId="0" borderId="5" applyAlignment="1" pivotButton="0" quotePrefix="0" xfId="0">
      <alignment horizontal="left" vertical="top"/>
    </xf>
    <xf numFmtId="164" fontId="3" fillId="0" borderId="5" applyAlignment="1" pivotButton="0" quotePrefix="0" xfId="0">
      <alignment horizontal="left" wrapText="1"/>
    </xf>
    <xf numFmtId="164" fontId="6" fillId="0" borderId="0" applyAlignment="1" pivotButton="0" quotePrefix="0" xfId="0">
      <alignment horizontal="left"/>
    </xf>
    <xf numFmtId="164" fontId="4" fillId="0" borderId="5" applyAlignment="1" pivotButton="0" quotePrefix="0" xfId="0">
      <alignment horizontal="right"/>
    </xf>
    <xf numFmtId="0" fontId="7" fillId="0" borderId="0" applyAlignment="1" pivotButton="0" quotePrefix="0" xfId="0">
      <alignment horizontal="left"/>
    </xf>
    <xf numFmtId="0" fontId="8" fillId="5" borderId="14" applyAlignment="1" pivotButton="0" quotePrefix="0" xfId="0">
      <alignment horizontal="center"/>
    </xf>
    <xf numFmtId="164" fontId="9" fillId="0" borderId="15" applyAlignment="1" pivotButton="0" quotePrefix="0" xfId="0">
      <alignment horizontal="right"/>
    </xf>
    <xf numFmtId="164" fontId="10" fillId="0" borderId="16" applyAlignment="1" pivotButton="0" quotePrefix="0" xfId="0">
      <alignment horizontal="left"/>
    </xf>
    <xf numFmtId="164" fontId="10" fillId="0" borderId="17" applyAlignment="1" pivotButton="0" quotePrefix="0" xfId="0">
      <alignment horizontal="left"/>
    </xf>
    <xf numFmtId="164" fontId="11" fillId="0" borderId="18" applyAlignment="1" pivotButton="0" quotePrefix="0" xfId="0">
      <alignment horizontal="left"/>
    </xf>
    <xf numFmtId="164" fontId="7" fillId="0" borderId="17" applyAlignment="1" pivotButton="0" quotePrefix="0" xfId="0">
      <alignment horizontal="left"/>
    </xf>
    <xf numFmtId="164" fontId="7" fillId="0" borderId="18" applyAlignment="1" pivotButton="0" quotePrefix="0" xfId="0">
      <alignment horizontal="center"/>
    </xf>
    <xf numFmtId="164" fontId="7" fillId="0" borderId="19" applyAlignment="1" pivotButton="0" quotePrefix="0" xfId="0">
      <alignment horizontal="left"/>
    </xf>
    <xf numFmtId="0" fontId="12" fillId="0" borderId="20" applyAlignment="1" pivotButton="0" quotePrefix="0" xfId="0">
      <alignment horizontal="right"/>
    </xf>
    <xf numFmtId="0" fontId="12" fillId="0" borderId="12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2" fillId="0" borderId="21" applyAlignment="1" pivotButton="0" quotePrefix="0" xfId="0">
      <alignment horizontal="center"/>
    </xf>
    <xf numFmtId="164" fontId="14" fillId="0" borderId="22" applyAlignment="1" pivotButton="0" quotePrefix="0" xfId="0">
      <alignment horizontal="right"/>
    </xf>
    <xf numFmtId="164" fontId="12" fillId="0" borderId="12" applyAlignment="1" pivotButton="0" quotePrefix="0" xfId="0">
      <alignment horizontal="center"/>
    </xf>
    <xf numFmtId="164" fontId="12" fillId="0" borderId="0" applyAlignment="1" pivotButton="0" quotePrefix="0" xfId="0">
      <alignment horizontal="center"/>
    </xf>
    <xf numFmtId="164" fontId="12" fillId="6" borderId="23" applyAlignment="1" pivotButton="0" quotePrefix="0" xfId="0">
      <alignment horizontal="center"/>
    </xf>
    <xf numFmtId="165" fontId="14" fillId="7" borderId="24" applyAlignment="1" pivotButton="0" quotePrefix="0" xfId="0">
      <alignment horizontal="left"/>
    </xf>
    <xf numFmtId="165" fontId="12" fillId="0" borderId="16" applyAlignment="1" pivotButton="0" quotePrefix="0" xfId="0">
      <alignment horizontal="center"/>
    </xf>
    <xf numFmtId="165" fontId="12" fillId="0" borderId="17" applyAlignment="1" pivotButton="0" quotePrefix="0" xfId="0">
      <alignment horizontal="center"/>
    </xf>
    <xf numFmtId="165" fontId="12" fillId="0" borderId="19" applyAlignment="1" pivotButton="0" quotePrefix="0" xfId="0">
      <alignment horizontal="center"/>
    </xf>
    <xf numFmtId="165" fontId="14" fillId="7" borderId="25" applyAlignment="1" pivotButton="0" quotePrefix="0" xfId="0">
      <alignment horizontal="left"/>
    </xf>
    <xf numFmtId="165" fontId="12" fillId="0" borderId="12" applyAlignment="1" pivotButton="0" quotePrefix="0" xfId="0">
      <alignment horizontal="center"/>
    </xf>
    <xf numFmtId="165" fontId="12" fillId="0" borderId="0" applyAlignment="1" pivotButton="0" quotePrefix="0" xfId="0">
      <alignment horizontal="center"/>
    </xf>
    <xf numFmtId="165" fontId="12" fillId="0" borderId="21" applyAlignment="1" pivotButton="0" quotePrefix="0" xfId="0">
      <alignment horizontal="center"/>
    </xf>
    <xf numFmtId="165" fontId="14" fillId="7" borderId="26" applyAlignment="1" pivotButton="0" quotePrefix="0" xfId="0">
      <alignment horizontal="left"/>
    </xf>
    <xf numFmtId="165" fontId="12" fillId="0" borderId="27" applyAlignment="1" pivotButton="0" quotePrefix="0" xfId="0">
      <alignment horizontal="center"/>
    </xf>
    <xf numFmtId="165" fontId="12" fillId="0" borderId="28" applyAlignment="1" pivotButton="0" quotePrefix="0" xfId="0">
      <alignment horizontal="center"/>
    </xf>
    <xf numFmtId="165" fontId="12" fillId="0" borderId="29" applyAlignment="1" pivotButton="0" quotePrefix="0" xfId="0">
      <alignment horizontal="center"/>
    </xf>
    <xf numFmtId="165" fontId="14" fillId="8" borderId="25" applyAlignment="1" pivotButton="0" quotePrefix="0" xfId="0">
      <alignment horizontal="left"/>
    </xf>
    <xf numFmtId="165" fontId="12" fillId="9" borderId="14" applyAlignment="1" pivotButton="0" quotePrefix="0" xfId="0">
      <alignment horizontal="center"/>
    </xf>
    <xf numFmtId="165" fontId="7" fillId="0" borderId="12" applyAlignment="1" pivotButton="0" quotePrefix="0" xfId="0">
      <alignment horizontal="left"/>
    </xf>
    <xf numFmtId="165" fontId="7" fillId="0" borderId="30" applyAlignment="1" pivotButton="0" quotePrefix="0" xfId="0">
      <alignment horizontal="left"/>
    </xf>
    <xf numFmtId="165" fontId="7" fillId="0" borderId="0" applyAlignment="1" pivotButton="0" quotePrefix="0" xfId="0">
      <alignment horizontal="left"/>
    </xf>
    <xf numFmtId="165" fontId="15" fillId="8" borderId="25" applyAlignment="1" pivotButton="0" quotePrefix="0" xfId="0">
      <alignment horizontal="left"/>
    </xf>
    <xf numFmtId="165" fontId="7" fillId="0" borderId="0" applyAlignment="1" pivotButton="0" quotePrefix="0" xfId="0">
      <alignment horizontal="center"/>
    </xf>
    <xf numFmtId="165" fontId="16" fillId="0" borderId="15" applyAlignment="1" pivotButton="0" quotePrefix="0" xfId="0">
      <alignment horizontal="right"/>
    </xf>
    <xf numFmtId="165" fontId="17" fillId="0" borderId="27" applyAlignment="1" pivotButton="0" quotePrefix="0" xfId="0">
      <alignment horizontal="center"/>
    </xf>
    <xf numFmtId="165" fontId="18" fillId="0" borderId="31" applyAlignment="1" pivotButton="0" quotePrefix="0" xfId="0">
      <alignment horizontal="center"/>
    </xf>
    <xf numFmtId="165" fontId="19" fillId="0" borderId="0" applyAlignment="1" pivotButton="0" quotePrefix="0" xfId="0">
      <alignment horizontal="left"/>
    </xf>
    <xf numFmtId="165" fontId="19" fillId="0" borderId="0" applyAlignment="1" pivotButton="0" quotePrefix="0" xfId="0">
      <alignment horizontal="right"/>
    </xf>
    <xf numFmtId="165" fontId="20" fillId="0" borderId="22" applyAlignment="1" pivotButton="0" quotePrefix="0" xfId="0">
      <alignment horizontal="right"/>
    </xf>
    <xf numFmtId="165" fontId="17" fillId="0" borderId="28" applyAlignment="1" pivotButton="0" quotePrefix="0" xfId="0">
      <alignment horizontal="center"/>
    </xf>
    <xf numFmtId="165" fontId="14" fillId="0" borderId="20" applyAlignment="1" pivotButton="0" quotePrefix="0" xfId="0">
      <alignment horizontal="left"/>
    </xf>
    <xf numFmtId="165" fontId="21" fillId="0" borderId="12" applyAlignment="1" pivotButton="0" quotePrefix="0" xfId="0">
      <alignment horizontal="center"/>
    </xf>
    <xf numFmtId="165" fontId="21" fillId="0" borderId="0" applyAlignment="1" pivotButton="0" quotePrefix="0" xfId="0">
      <alignment horizontal="center"/>
    </xf>
    <xf numFmtId="165" fontId="14" fillId="0" borderId="0" applyAlignment="1" pivotButton="0" quotePrefix="0" xfId="0">
      <alignment horizontal="center"/>
    </xf>
    <xf numFmtId="165" fontId="14" fillId="0" borderId="21" applyAlignment="1" pivotButton="0" quotePrefix="0" xfId="0">
      <alignment horizontal="center"/>
    </xf>
    <xf numFmtId="165" fontId="7" fillId="0" borderId="12" applyAlignment="1" pivotButton="0" quotePrefix="0" xfId="0">
      <alignment horizontal="center"/>
    </xf>
    <xf numFmtId="165" fontId="7" fillId="0" borderId="21" applyAlignment="1" pivotButton="0" quotePrefix="0" xfId="0">
      <alignment horizontal="center"/>
    </xf>
    <xf numFmtId="165" fontId="22" fillId="0" borderId="32" applyAlignment="1" pivotButton="0" quotePrefix="0" xfId="0">
      <alignment horizontal="left"/>
    </xf>
    <xf numFmtId="165" fontId="23" fillId="0" borderId="5" applyAlignment="1" pivotButton="0" quotePrefix="0" xfId="0">
      <alignment horizontal="center"/>
    </xf>
    <xf numFmtId="165" fontId="23" fillId="0" borderId="33" applyAlignment="1" pivotButton="0" quotePrefix="0" xfId="0">
      <alignment horizontal="center"/>
    </xf>
    <xf numFmtId="165" fontId="23" fillId="0" borderId="34" applyAlignment="1" pivotButton="0" quotePrefix="0" xfId="0">
      <alignment horizontal="center"/>
    </xf>
    <xf numFmtId="165" fontId="17" fillId="0" borderId="20" applyAlignment="1" pivotButton="0" quotePrefix="0" xfId="0">
      <alignment horizontal="left"/>
    </xf>
    <xf numFmtId="165" fontId="23" fillId="0" borderId="12" applyAlignment="1" pivotButton="0" quotePrefix="0" xfId="0">
      <alignment horizontal="center"/>
    </xf>
    <xf numFmtId="165" fontId="23" fillId="0" borderId="0" applyAlignment="1" pivotButton="0" quotePrefix="0" xfId="0">
      <alignment horizontal="center"/>
    </xf>
    <xf numFmtId="165" fontId="17" fillId="0" borderId="0" applyAlignment="1" pivotButton="0" quotePrefix="0" xfId="0">
      <alignment horizontal="center"/>
    </xf>
    <xf numFmtId="165" fontId="17" fillId="0" borderId="21" applyAlignment="1" pivotButton="0" quotePrefix="0" xfId="0">
      <alignment horizontal="center"/>
    </xf>
    <xf numFmtId="165" fontId="24" fillId="0" borderId="22" applyAlignment="1" pivotButton="0" quotePrefix="0" xfId="0">
      <alignment horizontal="right"/>
    </xf>
    <xf numFmtId="165" fontId="23" fillId="0" borderId="27" applyAlignment="1" pivotButton="0" quotePrefix="0" xfId="0">
      <alignment horizontal="center"/>
    </xf>
    <xf numFmtId="165" fontId="17" fillId="0" borderId="2" applyAlignment="1" pivotButton="0" quotePrefix="0" xfId="0">
      <alignment horizontal="center"/>
    </xf>
    <xf numFmtId="164" fontId="25" fillId="0" borderId="0" applyAlignment="1" pivotButton="0" quotePrefix="0" xfId="0">
      <alignment horizontal="right"/>
    </xf>
    <xf numFmtId="166" fontId="7" fillId="0" borderId="0" applyAlignment="1" pivotButton="0" quotePrefix="0" xfId="0">
      <alignment horizontal="right"/>
    </xf>
    <xf numFmtId="164" fontId="7" fillId="0" borderId="0" applyAlignment="1" pivotButton="0" quotePrefix="0" xfId="0">
      <alignment horizontal="right"/>
    </xf>
    <xf numFmtId="164" fontId="7" fillId="0" borderId="0" applyAlignment="1" pivotButton="0" quotePrefix="0" xfId="0">
      <alignment horizontal="left"/>
    </xf>
    <xf numFmtId="164" fontId="19" fillId="0" borderId="0" applyAlignment="1" pivotButton="0" quotePrefix="0" xfId="0">
      <alignment horizontal="left"/>
    </xf>
    <xf numFmtId="0" fontId="19" fillId="0" borderId="0" applyAlignment="1" pivotButton="0" quotePrefix="0" xfId="0">
      <alignment horizontal="left"/>
    </xf>
    <xf numFmtId="164" fontId="7" fillId="10" borderId="18" applyAlignment="1" pivotButton="0" quotePrefix="0" xfId="0">
      <alignment horizontal="center"/>
    </xf>
    <xf numFmtId="0" fontId="26" fillId="0" borderId="0" applyAlignment="1" pivotButton="0" quotePrefix="0" xfId="0">
      <alignment horizontal="center"/>
    </xf>
    <xf numFmtId="165" fontId="18" fillId="0" borderId="17" applyAlignment="1" pivotButton="0" quotePrefix="0" xfId="0">
      <alignment horizontal="center"/>
    </xf>
    <xf numFmtId="165" fontId="27" fillId="0" borderId="0" applyAlignment="1" pivotButton="0" quotePrefix="0" xfId="0">
      <alignment horizontal="right"/>
    </xf>
    <xf numFmtId="165" fontId="17" fillId="0" borderId="29" applyAlignment="1" pivotButton="0" quotePrefix="0" xfId="0">
      <alignment horizontal="center"/>
    </xf>
    <xf numFmtId="164" fontId="24" fillId="0" borderId="22" applyAlignment="1" pivotButton="0" quotePrefix="0" xfId="0">
      <alignment horizontal="right"/>
    </xf>
    <xf numFmtId="164" fontId="23" fillId="0" borderId="27" applyAlignment="1" pivotButton="0" quotePrefix="0" xfId="0">
      <alignment horizontal="center"/>
    </xf>
    <xf numFmtId="164" fontId="17" fillId="0" borderId="2" applyAlignment="1" pivotButton="0" quotePrefix="0" xfId="0">
      <alignment horizontal="center"/>
    </xf>
    <xf numFmtId="164" fontId="17" fillId="0" borderId="35" applyAlignment="1" pivotButton="0" quotePrefix="0" xfId="0">
      <alignment horizontal="center"/>
    </xf>
    <xf numFmtId="0" fontId="8" fillId="11" borderId="14" applyAlignment="1" pivotButton="0" quotePrefix="0" xfId="0">
      <alignment horizontal="left"/>
    </xf>
    <xf numFmtId="0" fontId="8" fillId="11" borderId="14" applyAlignment="1" pivotButton="0" quotePrefix="0" xfId="0">
      <alignment horizontal="center"/>
    </xf>
    <xf numFmtId="0" fontId="14" fillId="0" borderId="0" applyAlignment="1" pivotButton="0" quotePrefix="0" xfId="0">
      <alignment horizontal="left"/>
    </xf>
    <xf numFmtId="164" fontId="14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165" fontId="3" fillId="0" borderId="0" applyAlignment="1" pivotButton="0" quotePrefix="0" xfId="0">
      <alignment horizontal="left"/>
    </xf>
    <xf numFmtId="165" fontId="3" fillId="0" borderId="0" applyAlignment="1" pivotButton="0" quotePrefix="0" xfId="0">
      <alignment horizontal="center"/>
    </xf>
    <xf numFmtId="165" fontId="3" fillId="12" borderId="14" applyAlignment="1" pivotButton="0" quotePrefix="0" xfId="0">
      <alignment horizontal="center"/>
    </xf>
    <xf numFmtId="165" fontId="3" fillId="0" borderId="33" applyAlignment="1" pivotButton="0" quotePrefix="0" xfId="0">
      <alignment horizontal="center"/>
    </xf>
    <xf numFmtId="165" fontId="14" fillId="0" borderId="0" applyAlignment="1" pivotButton="0" quotePrefix="0" xfId="0">
      <alignment horizontal="right"/>
    </xf>
    <xf numFmtId="165" fontId="3" fillId="0" borderId="0" applyAlignment="1" pivotButton="0" quotePrefix="0" xfId="0">
      <alignment horizontal="right"/>
    </xf>
    <xf numFmtId="165" fontId="14" fillId="0" borderId="0" applyAlignment="1" pivotButton="0" quotePrefix="0" xfId="0">
      <alignment horizontal="left"/>
    </xf>
    <xf numFmtId="165" fontId="3" fillId="0" borderId="36" applyAlignment="1" pivotButton="0" quotePrefix="0" xfId="0">
      <alignment horizontal="left"/>
    </xf>
    <xf numFmtId="165" fontId="3" fillId="0" borderId="36" applyAlignment="1" pivotButton="0" quotePrefix="0" xfId="0">
      <alignment horizontal="right"/>
    </xf>
    <xf numFmtId="165" fontId="3" fillId="0" borderId="36" applyAlignment="1" pivotButton="0" quotePrefix="0" xfId="0">
      <alignment horizontal="center"/>
    </xf>
    <xf numFmtId="167" fontId="3" fillId="13" borderId="14" applyAlignment="1" pivotButton="0" quotePrefix="0" xfId="0">
      <alignment horizontal="center"/>
    </xf>
    <xf numFmtId="167" fontId="14" fillId="0" borderId="0" applyAlignment="1" pivotButton="0" quotePrefix="0" xfId="0">
      <alignment horizontal="center"/>
    </xf>
    <xf numFmtId="165" fontId="3" fillId="0" borderId="37" applyAlignment="1" pivotButton="0" quotePrefix="0" xfId="0">
      <alignment horizontal="left"/>
    </xf>
    <xf numFmtId="165" fontId="3" fillId="0" borderId="37" applyAlignment="1" pivotButton="0" quotePrefix="0" xfId="0">
      <alignment horizontal="right"/>
    </xf>
    <xf numFmtId="167" fontId="3" fillId="0" borderId="37" applyAlignment="1" pivotButton="0" quotePrefix="0" xfId="0">
      <alignment horizontal="right"/>
    </xf>
    <xf numFmtId="167" fontId="3" fillId="0" borderId="37" applyAlignment="1" pivotButton="0" quotePrefix="0" xfId="0">
      <alignment horizontal="left"/>
    </xf>
    <xf numFmtId="165" fontId="28" fillId="0" borderId="0" applyAlignment="1" pivotButton="0" quotePrefix="0" xfId="0">
      <alignment horizontal="center"/>
    </xf>
    <xf numFmtId="165" fontId="3" fillId="0" borderId="33" applyAlignment="1" pivotButton="0" quotePrefix="0" xfId="0">
      <alignment horizontal="left"/>
    </xf>
    <xf numFmtId="165" fontId="3" fillId="0" borderId="33" applyAlignment="1" pivotButton="0" quotePrefix="0" xfId="0">
      <alignment horizontal="right"/>
    </xf>
    <xf numFmtId="165" fontId="3" fillId="6" borderId="38" applyAlignment="1" pivotButton="0" quotePrefix="0" xfId="0">
      <alignment horizontal="center"/>
    </xf>
    <xf numFmtId="168" fontId="3" fillId="9" borderId="14" applyAlignment="1" pivotButton="0" quotePrefix="0" xfId="0">
      <alignment horizontal="left"/>
    </xf>
    <xf numFmtId="169" fontId="3" fillId="9" borderId="14" applyAlignment="1" pivotButton="0" quotePrefix="0" xfId="0">
      <alignment horizontal="left"/>
    </xf>
    <xf numFmtId="164" fontId="29" fillId="0" borderId="0" applyAlignment="1" pivotButton="0" quotePrefix="0" xfId="0">
      <alignment horizontal="left"/>
    </xf>
    <xf numFmtId="164" fontId="19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39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" t="inlineStr">
        <is>
          <t>電站基本資料</t>
        </is>
      </c>
      <c r="C1" s="2" t="n"/>
      <c r="D1" s="2" t="n"/>
      <c r="E1" s="3" t="n"/>
    </row>
    <row r="2" ht="21.75" customHeight="1">
      <c r="B2" s="4" t="inlineStr">
        <is>
          <t>電站名稱</t>
        </is>
      </c>
      <c r="C2" s="5" t="inlineStr">
        <is>
          <t>淡江大學-財務模擬案場</t>
        </is>
      </c>
      <c r="D2" s="6" t="inlineStr">
        <is>
          <t>-</t>
        </is>
      </c>
      <c r="E2" s="6" t="inlineStr">
        <is>
          <t>-</t>
        </is>
      </c>
    </row>
    <row r="3" ht="21.75" customHeight="1">
      <c r="B3" s="7" t="inlineStr">
        <is>
          <t>電站壽命</t>
        </is>
      </c>
      <c r="C3" s="8" t="n">
        <v>20</v>
      </c>
      <c r="D3" s="9" t="inlineStr">
        <is>
          <t>-</t>
        </is>
      </c>
      <c r="E3" s="9" t="inlineStr">
        <is>
          <t>-</t>
        </is>
      </c>
    </row>
    <row r="4" ht="21.75" customHeight="1">
      <c r="B4" s="7" t="inlineStr">
        <is>
          <t>建置量(kWp)</t>
        </is>
      </c>
      <c r="C4" s="8" t="n">
        <v>436.1</v>
      </c>
      <c r="D4" s="9" t="inlineStr">
        <is>
          <t>-</t>
        </is>
      </c>
      <c r="E4" s="9" t="inlineStr">
        <is>
          <t>-</t>
        </is>
      </c>
      <c r="M4" t="inlineStr">
        <is>
          <t>滾算紀錄編號: 1</t>
        </is>
      </c>
    </row>
    <row r="5" ht="22.5" customHeight="1">
      <c r="B5" s="8" t="inlineStr">
        <is>
          <t>起始年度</t>
        </is>
      </c>
      <c r="C5" s="8" t="n">
        <v>2020</v>
      </c>
      <c r="D5" s="8" t="inlineStr">
        <is>
          <t>結束年度</t>
        </is>
      </c>
      <c r="E5" s="8" t="n">
        <v>2039</v>
      </c>
      <c r="M5" t="inlineStr">
        <is>
          <t>初始價金摘要</t>
        </is>
      </c>
    </row>
    <row r="6" ht="20.25" customHeight="1">
      <c r="B6" s="10" t="n"/>
      <c r="C6" s="10" t="n"/>
      <c r="D6" s="10" t="n"/>
      <c r="E6" s="10" t="n"/>
      <c r="M6" t="inlineStr">
        <is>
          <t>價金: 30000</t>
        </is>
      </c>
    </row>
    <row r="7" ht="22.5" customHeight="1">
      <c r="B7" s="11" t="inlineStr">
        <is>
          <t>綜合損益表</t>
        </is>
      </c>
      <c r="C7" s="2" t="n"/>
      <c r="D7" s="2" t="n"/>
      <c r="E7" s="3" t="n"/>
      <c r="M7" t="inlineStr">
        <is>
          <t>專案IRR: 4.29</t>
        </is>
      </c>
    </row>
    <row r="8" ht="22.5" customHeight="1">
      <c r="B8" s="12" t="inlineStr">
        <is>
          <t>收入</t>
        </is>
      </c>
      <c r="C8" s="13" t="n"/>
      <c r="D8" s="13" t="n"/>
      <c r="E8" s="14" t="n"/>
      <c r="M8" t="inlineStr">
        <is>
          <t>權益法IRR: 10.43</t>
        </is>
      </c>
    </row>
    <row r="9" ht="22.5" customHeight="1">
      <c r="B9" s="15" t="inlineStr">
        <is>
          <t>收支項目</t>
        </is>
      </c>
      <c r="C9" s="16" t="inlineStr">
        <is>
          <t>相關參數</t>
        </is>
      </c>
      <c r="D9" s="16" t="inlineStr">
        <is>
          <t>參數數值</t>
        </is>
      </c>
      <c r="E9" s="17" t="inlineStr">
        <is>
          <t>年限</t>
        </is>
      </c>
      <c r="M9" t="inlineStr">
        <is>
          <t>利潤率: 20.00%</t>
        </is>
      </c>
    </row>
    <row r="10" ht="21.75" customHeight="1">
      <c r="B10" s="18" t="inlineStr">
        <is>
          <t>電費收入</t>
        </is>
      </c>
      <c r="C10" s="5" t="inlineStr">
        <is>
          <t>年度AC併網總發電量</t>
        </is>
      </c>
      <c r="D10" s="5" t="n">
        <v>547002</v>
      </c>
      <c r="E10" s="18" t="n">
        <v>20</v>
      </c>
      <c r="M10" t="inlineStr">
        <is>
          <t>初始價金 - 現金模式，每次減少 2000 元</t>
        </is>
      </c>
    </row>
    <row r="11" ht="21.75" customHeight="1">
      <c r="B11" s="19" t="n"/>
      <c r="C11" s="8" t="inlineStr">
        <is>
          <t>首年衰退率</t>
        </is>
      </c>
      <c r="D11" s="8" t="n">
        <v>0.01</v>
      </c>
      <c r="E11" s="19" t="n"/>
    </row>
    <row r="12" ht="21.75" customHeight="1">
      <c r="B12" s="19" t="n"/>
      <c r="C12" s="8" t="inlineStr">
        <is>
          <t>次年衰退率</t>
        </is>
      </c>
      <c r="D12" s="8" t="n">
        <v>0.004</v>
      </c>
      <c r="E12" s="19" t="n"/>
    </row>
    <row r="13" ht="22.5" customHeight="1">
      <c r="B13" s="19" t="n"/>
      <c r="C13" s="20" t="inlineStr">
        <is>
          <t>躉售費率(FIT)</t>
        </is>
      </c>
      <c r="D13" s="20" t="n">
        <v>3.7152</v>
      </c>
      <c r="E13" s="19" t="n"/>
    </row>
    <row r="14" ht="22.5" customHeight="1">
      <c r="B14" s="21" t="inlineStr">
        <is>
          <t>支出</t>
        </is>
      </c>
      <c r="C14" s="2" t="n"/>
      <c r="D14" s="2" t="n"/>
      <c r="E14" s="3" t="n"/>
    </row>
    <row r="15" ht="22.5" customHeight="1">
      <c r="B15" s="15" t="inlineStr">
        <is>
          <t>收支項目</t>
        </is>
      </c>
      <c r="C15" s="16" t="inlineStr">
        <is>
          <t>相關參數</t>
        </is>
      </c>
      <c r="D15" s="16" t="inlineStr">
        <is>
          <t>參數數值</t>
        </is>
      </c>
      <c r="E15" s="22" t="inlineStr">
        <is>
          <t>攤提年限</t>
        </is>
      </c>
    </row>
    <row r="16" ht="21.75" customHeight="1">
      <c r="B16" s="23" t="inlineStr">
        <is>
          <t>設備費用(價金)</t>
        </is>
      </c>
      <c r="C16" s="4" t="inlineStr">
        <is>
          <t>每kWp設備成本</t>
        </is>
      </c>
      <c r="D16" s="5" t="n">
        <v>30000</v>
      </c>
      <c r="E16" s="24" t="n">
        <v>20</v>
      </c>
    </row>
    <row r="17" ht="21.75" customHeight="1">
      <c r="B17" s="19" t="n"/>
      <c r="C17" s="8" t="inlineStr">
        <is>
          <t>信邦利潤率</t>
        </is>
      </c>
      <c r="D17" s="8" t="n">
        <v>0.2</v>
      </c>
      <c r="E17" s="19" t="n"/>
    </row>
    <row r="18" ht="21.75" customHeight="1">
      <c r="B18" s="25" t="n"/>
      <c r="C18" s="8" t="inlineStr">
        <is>
          <t>開發費</t>
        </is>
      </c>
      <c r="D18" s="8" t="n">
        <v>2000</v>
      </c>
      <c r="E18" s="25" t="n"/>
    </row>
    <row r="19" ht="54" customHeight="1">
      <c r="B19" s="26" t="inlineStr">
        <is>
          <t>租金費用</t>
        </is>
      </c>
      <c r="C19" s="27" t="inlineStr">
        <is>
          <t>租金計算方式
(1=固定攤提/2=電費抽成)</t>
        </is>
      </c>
      <c r="D19" s="8" t="n">
        <v>1</v>
      </c>
      <c r="E19" s="6" t="n">
        <v>0</v>
      </c>
    </row>
    <row r="20" ht="20.25" customHeight="1">
      <c r="B20" s="19" t="n"/>
      <c r="C20" s="28" t="inlineStr">
        <is>
          <t>【方式1參數】租金總額</t>
        </is>
      </c>
      <c r="D20" s="8" t="n">
        <v>5804025</v>
      </c>
      <c r="E20" s="6" t="n">
        <v>20</v>
      </c>
    </row>
    <row r="21" ht="21.75" customHeight="1">
      <c r="B21" s="25" t="n"/>
      <c r="C21" s="8" t="inlineStr">
        <is>
          <t>【方式2參數】抽成比率</t>
        </is>
      </c>
      <c r="D21" s="8" t="n">
        <v>0</v>
      </c>
      <c r="E21" s="9" t="n">
        <v>0</v>
      </c>
    </row>
    <row r="22" ht="21.75" customHeight="1">
      <c r="B22" s="8" t="inlineStr">
        <is>
          <t>運維費用</t>
        </is>
      </c>
      <c r="C22" s="8" t="inlineStr">
        <is>
          <t>每kw運維成本</t>
        </is>
      </c>
      <c r="D22" s="8" t="n">
        <v>400</v>
      </c>
      <c r="E22" s="9" t="n">
        <v>20</v>
      </c>
    </row>
    <row r="23" ht="21.75" customHeight="1">
      <c r="B23" s="8" t="inlineStr">
        <is>
          <t>保險費用</t>
        </is>
      </c>
      <c r="C23" s="7" t="inlineStr">
        <is>
          <t>占整體設備費用比例</t>
        </is>
      </c>
      <c r="D23" s="8" t="n">
        <v>0.003</v>
      </c>
      <c r="E23" s="9" t="n">
        <v>20</v>
      </c>
    </row>
    <row r="24" ht="21.75" customHeight="1">
      <c r="B24" s="8" t="inlineStr">
        <is>
          <t>模組回收費用</t>
        </is>
      </c>
      <c r="C24" s="8" t="inlineStr">
        <is>
          <t>每kw模組回收成本</t>
        </is>
      </c>
      <c r="D24" s="8" t="n">
        <v>1000</v>
      </c>
      <c r="E24" s="9" t="n">
        <v>10</v>
      </c>
    </row>
    <row r="25" ht="21.75" customHeight="1">
      <c r="B25" s="8" t="inlineStr">
        <is>
          <t>利息費用</t>
        </is>
      </c>
      <c r="C25" s="8" t="inlineStr">
        <is>
          <t>銀行利率</t>
        </is>
      </c>
      <c r="D25" s="29" t="n">
        <v>0.025595</v>
      </c>
      <c r="E25" s="9" t="n">
        <v>0</v>
      </c>
    </row>
    <row r="26" ht="22.5" customHeight="1">
      <c r="B26" s="8" t="inlineStr">
        <is>
          <t>所得稅</t>
        </is>
      </c>
      <c r="C26" s="8" t="inlineStr">
        <is>
          <t>所得稅率</t>
        </is>
      </c>
      <c r="D26" s="8" t="n">
        <v>0.2</v>
      </c>
      <c r="E26" s="9" t="n">
        <v>0</v>
      </c>
    </row>
    <row r="27" ht="20.25" customHeight="1">
      <c r="B27" s="10" t="n"/>
      <c r="C27" s="10" t="n"/>
      <c r="D27" s="10" t="n"/>
      <c r="E27" s="10" t="n"/>
    </row>
    <row r="28" ht="20.25" customHeight="1">
      <c r="B28" s="10" t="n"/>
      <c r="C28" s="10" t="n"/>
      <c r="D28" s="10" t="n"/>
      <c r="E28" s="10" t="n"/>
    </row>
    <row r="29" ht="22.5" customHeight="1">
      <c r="B29" s="11" t="inlineStr">
        <is>
          <t>現金流量表</t>
        </is>
      </c>
      <c r="C29" s="2" t="n"/>
      <c r="D29" s="3" t="n"/>
      <c r="E29" s="10" t="n"/>
    </row>
    <row r="30" ht="22.5" customHeight="1">
      <c r="B30" s="15" t="inlineStr">
        <is>
          <t>金流項目</t>
        </is>
      </c>
      <c r="C30" s="16" t="inlineStr">
        <is>
          <t>相關參數</t>
        </is>
      </c>
      <c r="D30" s="22" t="inlineStr">
        <is>
          <t>參數數值</t>
        </is>
      </c>
      <c r="E30" s="10" t="n"/>
    </row>
    <row r="31" ht="18.75" customHeight="1">
      <c r="B31" s="4" t="inlineStr">
        <is>
          <t>貸款成數</t>
        </is>
      </c>
      <c r="C31" s="4" t="inlineStr">
        <is>
          <t>占總設備費用比例</t>
        </is>
      </c>
      <c r="D31" s="5" t="n">
        <v>0.8</v>
      </c>
      <c r="E31" s="10" t="n"/>
    </row>
    <row r="32" ht="18.75" customHeight="1">
      <c r="B32" s="5" t="inlineStr">
        <is>
          <t>貸款還款</t>
        </is>
      </c>
      <c r="C32" s="5" t="inlineStr">
        <is>
          <t>攤還期數</t>
        </is>
      </c>
      <c r="D32" s="5" t="n">
        <v>15</v>
      </c>
      <c r="E32" s="10" t="n"/>
    </row>
    <row r="33" ht="18.75" customHeight="1">
      <c r="B33" s="8" t="inlineStr">
        <is>
          <t>現金股利</t>
        </is>
      </c>
      <c r="C33" s="8" t="inlineStr">
        <is>
          <t>股利比率</t>
        </is>
      </c>
      <c r="D33" s="8" t="n">
        <v>0.9</v>
      </c>
      <c r="E33" s="10" t="n"/>
    </row>
    <row r="34" ht="18.75" customHeight="1">
      <c r="B34" s="8" t="inlineStr">
        <is>
          <t>年底減資</t>
        </is>
      </c>
      <c r="C34" s="8" t="inlineStr">
        <is>
          <t>攤還期數</t>
        </is>
      </c>
      <c r="D34" s="8" t="n">
        <v>4</v>
      </c>
      <c r="E34" s="10" t="n"/>
    </row>
    <row r="35" ht="18.75" customHeight="1"/>
    <row r="36" ht="18.75" customHeight="1"/>
    <row r="37" ht="18.75" customHeight="1">
      <c r="B37" s="30" t="n"/>
      <c r="C37" s="31" t="inlineStr">
        <is>
          <t>年份</t>
        </is>
      </c>
      <c r="D37" s="31" t="n">
        <v>2020</v>
      </c>
      <c r="E37" s="31" t="n">
        <v>2021</v>
      </c>
      <c r="F37" s="31" t="n">
        <v>2022</v>
      </c>
      <c r="G37" s="31" t="n">
        <v>2023</v>
      </c>
      <c r="H37" s="31" t="n">
        <v>2024</v>
      </c>
      <c r="I37" s="31" t="n">
        <v>2025</v>
      </c>
      <c r="J37" s="31" t="n">
        <v>2026</v>
      </c>
      <c r="K37" s="31" t="n">
        <v>2027</v>
      </c>
      <c r="L37" s="31" t="n">
        <v>2028</v>
      </c>
      <c r="M37" s="31" t="n">
        <v>2029</v>
      </c>
      <c r="N37" s="31" t="n">
        <v>2030</v>
      </c>
      <c r="O37" s="31" t="n">
        <v>2031</v>
      </c>
      <c r="P37" s="31" t="n">
        <v>2032</v>
      </c>
      <c r="Q37" s="31" t="n">
        <v>2033</v>
      </c>
      <c r="R37" s="31" t="n">
        <v>2034</v>
      </c>
      <c r="S37" s="31" t="n">
        <v>2035</v>
      </c>
      <c r="T37" s="31" t="n">
        <v>2036</v>
      </c>
      <c r="U37" s="31" t="n">
        <v>2037</v>
      </c>
      <c r="V37" s="31" t="n">
        <v>2038</v>
      </c>
      <c r="W37" s="31" t="n">
        <v>2039</v>
      </c>
      <c r="X37" s="31" t="n"/>
    </row>
    <row r="38" ht="18.75" customHeight="1">
      <c r="B38" s="32" t="n">
        <v>0</v>
      </c>
      <c r="C38" s="33" t="n"/>
      <c r="D38" s="34" t="n"/>
      <c r="E38" s="34" t="n"/>
      <c r="F38" s="35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7" t="n"/>
      <c r="U38" s="36" t="n"/>
      <c r="V38" s="36" t="n"/>
      <c r="W38" s="36" t="n"/>
      <c r="X38" s="38" t="n"/>
    </row>
    <row r="39" ht="18.75" customHeight="1">
      <c r="B39" s="39" t="inlineStr">
        <is>
          <t>(Unit : Currency)</t>
        </is>
      </c>
      <c r="C39" s="40" t="n">
        <v>0</v>
      </c>
      <c r="D39" s="41" t="n">
        <v>1</v>
      </c>
      <c r="E39" s="41" t="n">
        <v>2</v>
      </c>
      <c r="F39" s="41" t="n">
        <v>3</v>
      </c>
      <c r="G39" s="41" t="n">
        <v>4</v>
      </c>
      <c r="H39" s="41" t="n">
        <v>5</v>
      </c>
      <c r="I39" s="41" t="n">
        <v>6</v>
      </c>
      <c r="J39" s="41" t="n">
        <v>7</v>
      </c>
      <c r="K39" s="41" t="n">
        <v>8</v>
      </c>
      <c r="L39" s="41" t="n">
        <v>9</v>
      </c>
      <c r="M39" s="41" t="n">
        <v>10</v>
      </c>
      <c r="N39" s="41" t="n">
        <v>11</v>
      </c>
      <c r="O39" s="41" t="n">
        <v>12</v>
      </c>
      <c r="P39" s="41" t="n">
        <v>13</v>
      </c>
      <c r="Q39" s="41" t="n">
        <v>14</v>
      </c>
      <c r="R39" s="41" t="n">
        <v>15</v>
      </c>
      <c r="S39" s="41" t="n">
        <v>16</v>
      </c>
      <c r="T39" s="42" t="n">
        <v>17</v>
      </c>
      <c r="U39" s="41" t="n">
        <v>18</v>
      </c>
      <c r="V39" s="41" t="n">
        <v>19</v>
      </c>
      <c r="W39" s="41" t="n">
        <v>20</v>
      </c>
      <c r="X39" s="43" t="n"/>
    </row>
    <row r="40" ht="18.75" customHeight="1">
      <c r="B40" s="44" t="inlineStr">
        <is>
          <t>發電度數(KWH)</t>
        </is>
      </c>
      <c r="C40" s="45" t="n">
        <v>0</v>
      </c>
      <c r="D40" s="46">
        <f>$D$10*0.99</f>
        <v/>
      </c>
      <c r="E40" s="46">
        <f>$D$10*0.986</f>
        <v/>
      </c>
      <c r="F40" s="46">
        <f>$D$10*0.982</f>
        <v/>
      </c>
      <c r="G40" s="46">
        <f>$D$10*0.978</f>
        <v/>
      </c>
      <c r="H40" s="46">
        <f>$D$10*0.974</f>
        <v/>
      </c>
      <c r="I40" s="46">
        <f>$D$10*0.97</f>
        <v/>
      </c>
      <c r="J40" s="46">
        <f>$D$10*0.966</f>
        <v/>
      </c>
      <c r="K40" s="46">
        <f>$D$10*0.962</f>
        <v/>
      </c>
      <c r="L40" s="46">
        <f>$D$10*0.958</f>
        <v/>
      </c>
      <c r="M40" s="46">
        <f>$D$10*0.954</f>
        <v/>
      </c>
      <c r="N40" s="46">
        <f>$D$10*0.95</f>
        <v/>
      </c>
      <c r="O40" s="46">
        <f>$D$10*0.946</f>
        <v/>
      </c>
      <c r="P40" s="46">
        <f>$D$10*0.942</f>
        <v/>
      </c>
      <c r="Q40" s="46">
        <f>$D$10*0.938</f>
        <v/>
      </c>
      <c r="R40" s="46">
        <f>$D$10*0.934</f>
        <v/>
      </c>
      <c r="S40" s="46">
        <f>$D$10*0.93</f>
        <v/>
      </c>
      <c r="T40" s="46">
        <f>$D$10*0.926</f>
        <v/>
      </c>
      <c r="U40" s="46">
        <f>$D$10*0.922</f>
        <v/>
      </c>
      <c r="V40" s="46">
        <f>$D$10*0.918</f>
        <v/>
      </c>
      <c r="W40" s="46">
        <f>$D$10*0.914</f>
        <v/>
      </c>
      <c r="X40" s="47" t="n"/>
    </row>
    <row r="41" ht="18.75" customHeight="1">
      <c r="B41" s="48" t="inlineStr">
        <is>
          <t>Inflow : 電費收入</t>
        </is>
      </c>
      <c r="C41" s="49" t="inlineStr">
        <is>
          <t>-</t>
        </is>
      </c>
      <c r="D41" s="50">
        <f>D40*$D$13</f>
        <v/>
      </c>
      <c r="E41" s="50">
        <f>E40*$D$13</f>
        <v/>
      </c>
      <c r="F41" s="50">
        <f>F40*$D$13</f>
        <v/>
      </c>
      <c r="G41" s="50">
        <f>G40*$D$13</f>
        <v/>
      </c>
      <c r="H41" s="50">
        <f>H40*$D$13</f>
        <v/>
      </c>
      <c r="I41" s="50">
        <f>I40*$D$13</f>
        <v/>
      </c>
      <c r="J41" s="50">
        <f>J40*$D$13</f>
        <v/>
      </c>
      <c r="K41" s="50">
        <f>K40*$D$13</f>
        <v/>
      </c>
      <c r="L41" s="50">
        <f>L40*$D$13</f>
        <v/>
      </c>
      <c r="M41" s="50">
        <f>M40*$D$13</f>
        <v/>
      </c>
      <c r="N41" s="50">
        <f>N40*$D$13</f>
        <v/>
      </c>
      <c r="O41" s="50">
        <f>O40*$D$13</f>
        <v/>
      </c>
      <c r="P41" s="50">
        <f>P40*$D$13</f>
        <v/>
      </c>
      <c r="Q41" s="50">
        <f>Q40*$D$13</f>
        <v/>
      </c>
      <c r="R41" s="50">
        <f>R40*$D$13</f>
        <v/>
      </c>
      <c r="S41" s="50">
        <f>S40*$D$13</f>
        <v/>
      </c>
      <c r="T41" s="50">
        <f>T40*$D$13</f>
        <v/>
      </c>
      <c r="U41" s="50">
        <f>U40*$D$13</f>
        <v/>
      </c>
      <c r="V41" s="50">
        <f>V40*$D$13</f>
        <v/>
      </c>
      <c r="W41" s="50">
        <f>W40*$D$13</f>
        <v/>
      </c>
      <c r="X41" s="51" t="n"/>
    </row>
    <row r="42" ht="18.75" customHeight="1">
      <c r="B42" s="52" t="inlineStr">
        <is>
          <t>Inflow : 政府補助</t>
        </is>
      </c>
      <c r="C42" s="53" t="inlineStr">
        <is>
          <t>-</t>
        </is>
      </c>
      <c r="D42" s="54" t="n"/>
      <c r="E42" s="54" t="n"/>
      <c r="F42" s="54" t="n"/>
      <c r="G42" s="54" t="inlineStr">
        <is>
          <t>-</t>
        </is>
      </c>
      <c r="H42" s="54" t="inlineStr">
        <is>
          <t>-</t>
        </is>
      </c>
      <c r="I42" s="54" t="inlineStr">
        <is>
          <t>-</t>
        </is>
      </c>
      <c r="J42" s="54" t="inlineStr">
        <is>
          <t>-</t>
        </is>
      </c>
      <c r="K42" s="54" t="inlineStr">
        <is>
          <t>-</t>
        </is>
      </c>
      <c r="L42" s="54" t="inlineStr">
        <is>
          <t>-</t>
        </is>
      </c>
      <c r="M42" s="54" t="inlineStr">
        <is>
          <t>-</t>
        </is>
      </c>
      <c r="N42" s="54" t="inlineStr">
        <is>
          <t>-</t>
        </is>
      </c>
      <c r="O42" s="54" t="inlineStr">
        <is>
          <t>-</t>
        </is>
      </c>
      <c r="P42" s="54" t="inlineStr">
        <is>
          <t>-</t>
        </is>
      </c>
      <c r="Q42" s="54" t="inlineStr">
        <is>
          <t>-</t>
        </is>
      </c>
      <c r="R42" s="54" t="inlineStr">
        <is>
          <t>-</t>
        </is>
      </c>
      <c r="S42" s="54" t="inlineStr">
        <is>
          <t>-</t>
        </is>
      </c>
      <c r="T42" s="54" t="inlineStr">
        <is>
          <t>-</t>
        </is>
      </c>
      <c r="U42" s="54" t="inlineStr">
        <is>
          <t>-</t>
        </is>
      </c>
      <c r="V42" s="54" t="inlineStr">
        <is>
          <t>-</t>
        </is>
      </c>
      <c r="W42" s="54" t="inlineStr">
        <is>
          <t>-</t>
        </is>
      </c>
      <c r="X42" s="55" t="n"/>
    </row>
    <row r="43" ht="18.75" customHeight="1">
      <c r="B43" s="56" t="inlineStr">
        <is>
          <t>Inflow : 銀行借款</t>
        </is>
      </c>
      <c r="C43" s="57" t="n"/>
      <c r="D43" s="58" t="n"/>
      <c r="E43" s="58" t="n"/>
      <c r="F43" s="58" t="n"/>
      <c r="G43" s="58" t="n"/>
      <c r="H43" s="58" t="n"/>
      <c r="I43" s="58" t="n"/>
      <c r="J43" s="58" t="n"/>
      <c r="K43" s="58" t="n"/>
      <c r="L43" s="58" t="n"/>
      <c r="M43" s="58" t="n"/>
      <c r="N43" s="58" t="n"/>
      <c r="O43" s="58" t="n"/>
      <c r="P43" s="58" t="n"/>
      <c r="Q43" s="58" t="n"/>
      <c r="R43" s="58" t="n"/>
      <c r="S43" s="58" t="n"/>
      <c r="T43" s="58" t="n"/>
      <c r="U43" s="58" t="n"/>
      <c r="V43" s="58" t="n"/>
      <c r="W43" s="58" t="n"/>
      <c r="X43" s="59" t="n"/>
    </row>
    <row r="44" ht="18.75" customHeight="1">
      <c r="B44" s="60" t="inlineStr">
        <is>
          <t>Outflow : 設備費用</t>
        </is>
      </c>
      <c r="C44" s="53">
        <f>-(D16/(1-D17)+D18)*C4</f>
        <v/>
      </c>
      <c r="D44" s="61" t="n"/>
      <c r="E44" s="54" t="n"/>
      <c r="F44" s="54" t="n"/>
      <c r="G44" s="54" t="n"/>
      <c r="H44" s="54" t="n"/>
      <c r="I44" s="54" t="n"/>
      <c r="J44" s="54" t="n"/>
      <c r="K44" s="54" t="n"/>
      <c r="L44" s="54" t="n"/>
      <c r="M44" s="54" t="n"/>
      <c r="N44" s="54" t="n"/>
      <c r="O44" s="54" t="n"/>
      <c r="P44" s="54" t="n"/>
      <c r="Q44" s="54" t="n"/>
      <c r="R44" s="54" t="n"/>
      <c r="S44" s="54" t="n"/>
      <c r="T44" s="54" t="n"/>
      <c r="U44" s="54" t="n"/>
      <c r="V44" s="54" t="n"/>
      <c r="W44" s="54" t="n"/>
      <c r="X44" s="55" t="n"/>
    </row>
    <row r="45" ht="18.75" customHeight="1">
      <c r="B45" s="60" t="inlineStr">
        <is>
          <t>Outflow : 設備放置區域租金</t>
        </is>
      </c>
      <c r="C45" s="53" t="inlineStr">
        <is>
          <t>-</t>
        </is>
      </c>
      <c r="D45" s="54" t="n">
        <v>0</v>
      </c>
      <c r="E45" s="54" t="n">
        <v>-290201.25</v>
      </c>
      <c r="F45" s="54" t="n">
        <v>-290201.25</v>
      </c>
      <c r="G45" s="54" t="n">
        <v>-290201.25</v>
      </c>
      <c r="H45" s="54" t="n">
        <v>-290201.25</v>
      </c>
      <c r="I45" s="54" t="n">
        <v>-290201.25</v>
      </c>
      <c r="J45" s="54" t="n">
        <v>-290201.25</v>
      </c>
      <c r="K45" s="54" t="n">
        <v>-290201.25</v>
      </c>
      <c r="L45" s="54" t="n">
        <v>-290201.25</v>
      </c>
      <c r="M45" s="54" t="n">
        <v>-290201.25</v>
      </c>
      <c r="N45" s="54" t="n">
        <v>-290201.25</v>
      </c>
      <c r="O45" s="54" t="n">
        <v>-290201.25</v>
      </c>
      <c r="P45" s="54" t="n">
        <v>-290201.25</v>
      </c>
      <c r="Q45" s="54" t="n">
        <v>-290201.25</v>
      </c>
      <c r="R45" s="54" t="n">
        <v>-290201.25</v>
      </c>
      <c r="S45" s="54" t="n">
        <v>-290201.25</v>
      </c>
      <c r="T45" s="54" t="n">
        <v>-290201.25</v>
      </c>
      <c r="U45" s="54" t="n">
        <v>-290201.25</v>
      </c>
      <c r="V45" s="54" t="n">
        <v>-290201.25</v>
      </c>
      <c r="W45" s="54" t="n">
        <v>-290201.25</v>
      </c>
      <c r="X45" s="55" t="n"/>
    </row>
    <row r="46" ht="18.75" customHeight="1">
      <c r="B46" s="60" t="inlineStr">
        <is>
          <t>Outflow : 返還借款</t>
        </is>
      </c>
      <c r="C46" s="53" t="n"/>
      <c r="D46" s="54" t="n"/>
      <c r="E46" s="54" t="n"/>
      <c r="F46" s="54" t="n"/>
      <c r="G46" s="54" t="n"/>
      <c r="H46" s="54" t="n"/>
      <c r="I46" s="54" t="n"/>
      <c r="J46" s="54" t="n"/>
      <c r="K46" s="54" t="n"/>
      <c r="L46" s="54" t="n"/>
      <c r="M46" s="54" t="n"/>
      <c r="N46" s="54" t="n"/>
      <c r="O46" s="54" t="n"/>
      <c r="P46" s="54" t="n"/>
      <c r="Q46" s="54" t="n"/>
      <c r="R46" s="54" t="n"/>
      <c r="S46" s="54" t="n"/>
      <c r="T46" s="54" t="n"/>
      <c r="U46" s="54" t="n"/>
      <c r="V46" s="54" t="n"/>
      <c r="W46" s="54" t="n"/>
      <c r="X46" s="55" t="n"/>
    </row>
    <row r="47" ht="18.75" customHeight="1">
      <c r="B47" s="60" t="inlineStr">
        <is>
          <t>Outflow : 利息費用</t>
        </is>
      </c>
      <c r="C47" s="53" t="inlineStr">
        <is>
          <t>-</t>
        </is>
      </c>
      <c r="D47" s="54" t="n"/>
      <c r="E47" s="54" t="n"/>
      <c r="F47" s="54" t="n"/>
      <c r="G47" s="54" t="n"/>
      <c r="H47" s="54" t="n"/>
      <c r="I47" s="54" t="n"/>
      <c r="J47" s="54" t="n"/>
      <c r="K47" s="54" t="n"/>
      <c r="L47" s="54" t="n"/>
      <c r="M47" s="54" t="n"/>
      <c r="N47" s="54" t="n"/>
      <c r="O47" s="54" t="n"/>
      <c r="P47" s="54" t="n"/>
      <c r="Q47" s="54" t="n"/>
      <c r="R47" s="54" t="n"/>
      <c r="S47" s="54" t="n"/>
      <c r="T47" s="54" t="n"/>
      <c r="U47" s="54" t="n"/>
      <c r="V47" s="54" t="n"/>
      <c r="W47" s="54" t="n"/>
      <c r="X47" s="55" t="n"/>
    </row>
    <row r="48" ht="18.75" customHeight="1">
      <c r="B48" s="60" t="inlineStr">
        <is>
          <t>Outflow : 維運費</t>
        </is>
      </c>
      <c r="C48" s="53" t="inlineStr">
        <is>
          <t>-</t>
        </is>
      </c>
      <c r="D48" s="54" t="n">
        <v>-174440</v>
      </c>
      <c r="E48" s="54" t="n">
        <v>-174440</v>
      </c>
      <c r="F48" s="54" t="n">
        <v>-174440</v>
      </c>
      <c r="G48" s="54" t="n">
        <v>-174440</v>
      </c>
      <c r="H48" s="54" t="n">
        <v>-174440</v>
      </c>
      <c r="I48" s="54" t="n">
        <v>-174440</v>
      </c>
      <c r="J48" s="54" t="n">
        <v>-174440</v>
      </c>
      <c r="K48" s="54" t="n">
        <v>-174440</v>
      </c>
      <c r="L48" s="54" t="n">
        <v>-174440</v>
      </c>
      <c r="M48" s="54" t="n">
        <v>-174440</v>
      </c>
      <c r="N48" s="54" t="n">
        <v>-174440</v>
      </c>
      <c r="O48" s="54" t="n">
        <v>-174440</v>
      </c>
      <c r="P48" s="54" t="n">
        <v>-174440</v>
      </c>
      <c r="Q48" s="54" t="n">
        <v>-174440</v>
      </c>
      <c r="R48" s="54" t="n">
        <v>-174440</v>
      </c>
      <c r="S48" s="54" t="n">
        <v>-174440</v>
      </c>
      <c r="T48" s="54" t="n">
        <v>-174440</v>
      </c>
      <c r="U48" s="54" t="n">
        <v>-174440</v>
      </c>
      <c r="V48" s="54" t="n">
        <v>-174440</v>
      </c>
      <c r="W48" s="54" t="n">
        <v>-174440</v>
      </c>
      <c r="X48" s="55" t="n"/>
    </row>
    <row r="49" ht="18.75" customHeight="1">
      <c r="B49" s="60" t="inlineStr">
        <is>
          <t>Outflow : 保險費</t>
        </is>
      </c>
      <c r="C49" s="53" t="inlineStr">
        <is>
          <t>-</t>
        </is>
      </c>
      <c r="D49" s="54" t="n">
        <v>-39249</v>
      </c>
      <c r="E49" s="54" t="n">
        <v>-39249</v>
      </c>
      <c r="F49" s="54" t="n">
        <v>-39249</v>
      </c>
      <c r="G49" s="54" t="n">
        <v>-39249</v>
      </c>
      <c r="H49" s="54" t="n">
        <v>-39249</v>
      </c>
      <c r="I49" s="54" t="n">
        <v>-39249</v>
      </c>
      <c r="J49" s="54" t="n">
        <v>-39249</v>
      </c>
      <c r="K49" s="54" t="n">
        <v>-39249</v>
      </c>
      <c r="L49" s="54" t="n">
        <v>-39249</v>
      </c>
      <c r="M49" s="54" t="n">
        <v>-39249</v>
      </c>
      <c r="N49" s="54" t="n">
        <v>-39249</v>
      </c>
      <c r="O49" s="54" t="n">
        <v>-39249</v>
      </c>
      <c r="P49" s="54" t="n">
        <v>-39249</v>
      </c>
      <c r="Q49" s="54" t="n">
        <v>-39249</v>
      </c>
      <c r="R49" s="54" t="n">
        <v>-39249</v>
      </c>
      <c r="S49" s="54" t="n">
        <v>-39249</v>
      </c>
      <c r="T49" s="54" t="n">
        <v>-39249</v>
      </c>
      <c r="U49" s="54" t="n">
        <v>-39249</v>
      </c>
      <c r="V49" s="54" t="n">
        <v>-39249</v>
      </c>
      <c r="W49" s="54" t="n">
        <v>-39249</v>
      </c>
      <c r="X49" s="55" t="n"/>
    </row>
    <row r="50" ht="18.75" customHeight="1">
      <c r="B50" s="60" t="inlineStr">
        <is>
          <t>Outflow : 模組回收費</t>
        </is>
      </c>
      <c r="C50" s="53" t="n"/>
      <c r="D50" s="54" t="n">
        <v>-43610</v>
      </c>
      <c r="E50" s="54" t="n">
        <v>-43610</v>
      </c>
      <c r="F50" s="54" t="n">
        <v>-43610</v>
      </c>
      <c r="G50" s="54" t="n">
        <v>-43610</v>
      </c>
      <c r="H50" s="54" t="n">
        <v>-43610</v>
      </c>
      <c r="I50" s="54" t="n">
        <v>-43610</v>
      </c>
      <c r="J50" s="54" t="n">
        <v>-43610</v>
      </c>
      <c r="K50" s="54" t="n">
        <v>-43610</v>
      </c>
      <c r="L50" s="54" t="n">
        <v>-43610</v>
      </c>
      <c r="M50" s="54" t="n">
        <v>-43610</v>
      </c>
      <c r="N50" s="54" t="n">
        <v>0</v>
      </c>
      <c r="O50" s="54" t="n">
        <v>0</v>
      </c>
      <c r="P50" s="54" t="n">
        <v>0</v>
      </c>
      <c r="Q50" s="54" t="n">
        <v>0</v>
      </c>
      <c r="R50" s="54" t="n">
        <v>0</v>
      </c>
      <c r="S50" s="54" t="n">
        <v>0</v>
      </c>
      <c r="T50" s="54" t="n">
        <v>0</v>
      </c>
      <c r="U50" s="54" t="n">
        <v>0</v>
      </c>
      <c r="V50" s="54" t="n">
        <v>0</v>
      </c>
      <c r="W50" s="54" t="n">
        <v>0</v>
      </c>
      <c r="X50" s="55" t="n"/>
    </row>
    <row r="51" ht="18.75" customHeight="1">
      <c r="B51" s="60" t="inlineStr">
        <is>
          <t>Outflow : 其它費用(人事薪資…等)</t>
        </is>
      </c>
      <c r="C51" s="62" t="n"/>
      <c r="D51" s="63" t="n"/>
      <c r="E51" s="64" t="n"/>
      <c r="F51" s="54" t="n"/>
      <c r="G51" s="54" t="n"/>
      <c r="H51" s="54" t="n"/>
      <c r="I51" s="54" t="n"/>
      <c r="J51" s="54" t="n"/>
      <c r="K51" s="54" t="n"/>
      <c r="L51" s="54" t="n"/>
      <c r="M51" s="54" t="n"/>
      <c r="N51" s="54" t="n"/>
      <c r="O51" s="54" t="n"/>
      <c r="P51" s="54" t="n"/>
      <c r="Q51" s="54" t="n"/>
      <c r="R51" s="54" t="n"/>
      <c r="S51" s="54" t="n"/>
      <c r="T51" s="54" t="n"/>
      <c r="U51" s="54" t="n"/>
      <c r="V51" s="54" t="n"/>
      <c r="W51" s="54" t="n"/>
      <c r="X51" s="55" t="n"/>
    </row>
    <row r="52" ht="18.75" customHeight="1">
      <c r="B52" s="60" t="inlineStr">
        <is>
          <t>1%管理費</t>
        </is>
      </c>
      <c r="C52" s="62" t="n"/>
      <c r="D52" s="54" t="n"/>
      <c r="E52" s="54" t="n"/>
      <c r="F52" s="54" t="n"/>
      <c r="G52" s="54" t="n"/>
      <c r="H52" s="54" t="n"/>
      <c r="I52" s="54" t="n"/>
      <c r="J52" s="54" t="n"/>
      <c r="K52" s="54" t="n"/>
      <c r="L52" s="54" t="n"/>
      <c r="M52" s="54" t="n"/>
      <c r="N52" s="54" t="n"/>
      <c r="O52" s="54" t="n"/>
      <c r="P52" s="54" t="n"/>
      <c r="Q52" s="54" t="n"/>
      <c r="R52" s="54" t="n"/>
      <c r="S52" s="54" t="n"/>
      <c r="T52" s="54" t="n"/>
      <c r="U52" s="54" t="n"/>
      <c r="V52" s="54" t="n"/>
      <c r="W52" s="54" t="n"/>
      <c r="X52" s="55" t="n"/>
    </row>
    <row r="53" ht="18.75" customHeight="1">
      <c r="B53" s="65" t="inlineStr">
        <is>
          <t>績效獎金</t>
        </is>
      </c>
      <c r="C53" s="62" t="n"/>
      <c r="D53" s="66" t="n"/>
      <c r="E53" s="66" t="n"/>
      <c r="F53" s="54" t="n"/>
      <c r="G53" s="54" t="n"/>
      <c r="H53" s="54" t="n"/>
      <c r="I53" s="54" t="n"/>
      <c r="J53" s="54" t="n"/>
      <c r="K53" s="54" t="n"/>
      <c r="L53" s="54" t="n"/>
      <c r="M53" s="54" t="n"/>
      <c r="N53" s="54" t="n"/>
      <c r="O53" s="54" t="n"/>
      <c r="P53" s="54" t="n"/>
      <c r="Q53" s="54" t="n"/>
      <c r="R53" s="54" t="n"/>
      <c r="S53" s="54" t="n"/>
      <c r="T53" s="54" t="n"/>
      <c r="U53" s="54" t="n"/>
      <c r="V53" s="54" t="n"/>
      <c r="W53" s="54" t="n"/>
      <c r="X53" s="55" t="n"/>
    </row>
    <row r="54" ht="18.75" customHeight="1">
      <c r="B54" s="65" t="inlineStr">
        <is>
          <t>所得稅20%</t>
        </is>
      </c>
      <c r="C54" s="62" t="n"/>
      <c r="D54" s="54">
        <f>-(D69+D72+D73+D76+D77+D78+D79)*0.2</f>
        <v/>
      </c>
      <c r="E54" s="54">
        <f>-(E69+E72+E73+E76+E77+E78+E79)*0.2</f>
        <v/>
      </c>
      <c r="F54" s="54">
        <f>-(F69+F72+F73+F76+F77+F78+F79)*0.2</f>
        <v/>
      </c>
      <c r="G54" s="54">
        <f>-(G69+G72+G73+G76+G77+G78+G79)*0.2</f>
        <v/>
      </c>
      <c r="H54" s="54">
        <f>-(H69+H72+H73+H76+H77+H78+H79)*0.2</f>
        <v/>
      </c>
      <c r="I54" s="54">
        <f>-(I69+I72+I73+I76+I77+I78+I79)*0.2</f>
        <v/>
      </c>
      <c r="J54" s="54">
        <f>-(J69+J72+J73+J76+J77+J78+J79)*0.2</f>
        <v/>
      </c>
      <c r="K54" s="54">
        <f>-(K69+K72+K73+K76+K77+K78+K79)*0.2</f>
        <v/>
      </c>
      <c r="L54" s="54">
        <f>-(L69+L72+L73+L76+L77+L78+L79)*0.2</f>
        <v/>
      </c>
      <c r="M54" s="54">
        <f>-(M69+M72+M73+M76+M77+M78+M79)*0.2</f>
        <v/>
      </c>
      <c r="N54" s="54">
        <f>-(N69+N72+N73+N76+N77+N78+N79)*0.2</f>
        <v/>
      </c>
      <c r="O54" s="54">
        <f>-(O69+O72+O73+O76+O77+O78+O79)*0.2</f>
        <v/>
      </c>
      <c r="P54" s="54">
        <f>-(P69+P72+P73+P76+P77+P78+P79)*0.2</f>
        <v/>
      </c>
      <c r="Q54" s="54">
        <f>-(Q69+Q72+Q73+Q76+Q77+Q78+Q79)*0.2</f>
        <v/>
      </c>
      <c r="R54" s="54">
        <f>-(R69+R72+R73+R76+R77+R78+R79)*0.2</f>
        <v/>
      </c>
      <c r="S54" s="54">
        <f>-(S69+S72+S73+S76+S77+S78+S79)*0.2</f>
        <v/>
      </c>
      <c r="T54" s="54">
        <f>-(T69+T72+T73+T76+T77+T78+T79)*0.2</f>
        <v/>
      </c>
      <c r="U54" s="54">
        <f>-(U69+U72+U73+U76+U77+U78+U79)*0.2</f>
        <v/>
      </c>
      <c r="V54" s="54">
        <f>-(V69+V72+V73+V76+V77+V78+V79)*0.2</f>
        <v/>
      </c>
      <c r="W54" s="54">
        <f>-(W69+W72+W73+W76+W77+W78+W79)*0.2</f>
        <v/>
      </c>
      <c r="X54" s="54" t="n"/>
    </row>
    <row r="55" ht="18.75" customHeight="1">
      <c r="B55" s="67" t="inlineStr">
        <is>
          <t>現金流</t>
        </is>
      </c>
      <c r="C55" s="68">
        <f>C44</f>
        <v/>
      </c>
      <c r="D55" s="69">
        <f>SUM(D41:D54)</f>
        <v/>
      </c>
      <c r="E55" s="69">
        <f>SUM(E41:E54)</f>
        <v/>
      </c>
      <c r="F55" s="69">
        <f>SUM(F41:F54)</f>
        <v/>
      </c>
      <c r="G55" s="69">
        <f>SUM(G41:G54)</f>
        <v/>
      </c>
      <c r="H55" s="69">
        <f>SUM(H41:H54)</f>
        <v/>
      </c>
      <c r="I55" s="69">
        <f>SUM(I41:I54)</f>
        <v/>
      </c>
      <c r="J55" s="69">
        <f>SUM(J41:J54)</f>
        <v/>
      </c>
      <c r="K55" s="69">
        <f>SUM(K41:K54)</f>
        <v/>
      </c>
      <c r="L55" s="69">
        <f>SUM(L41:L54)</f>
        <v/>
      </c>
      <c r="M55" s="69">
        <f>SUM(M41:M54)</f>
        <v/>
      </c>
      <c r="N55" s="69">
        <f>SUM(N41:N54)</f>
        <v/>
      </c>
      <c r="O55" s="69">
        <f>SUM(O41:O54)</f>
        <v/>
      </c>
      <c r="P55" s="69">
        <f>SUM(P41:P54)</f>
        <v/>
      </c>
      <c r="Q55" s="69">
        <f>SUM(Q41:Q54)</f>
        <v/>
      </c>
      <c r="R55" s="69">
        <f>SUM(R41:R54)</f>
        <v/>
      </c>
      <c r="S55" s="69">
        <f>SUM(S41:S54)</f>
        <v/>
      </c>
      <c r="T55" s="69">
        <f>SUM(T41:T54)</f>
        <v/>
      </c>
      <c r="U55" s="69">
        <f>SUM(U41:U54)</f>
        <v/>
      </c>
      <c r="V55" s="69">
        <f>SUM(V41:V54)</f>
        <v/>
      </c>
      <c r="W55" s="69">
        <f>SUM(W41:W54)</f>
        <v/>
      </c>
      <c r="X55" s="69" t="n"/>
      <c r="Y55" s="70" t="n"/>
      <c r="Z55" s="71" t="n"/>
      <c r="AA55" s="70" t="n"/>
      <c r="AB55" s="70" t="n"/>
      <c r="AC55" s="70" t="n"/>
      <c r="AD55" s="70" t="n"/>
      <c r="AE55" s="70" t="n"/>
      <c r="AF55" s="70" t="n"/>
      <c r="AG55" s="70" t="n"/>
      <c r="AH55" s="70" t="n"/>
      <c r="AI55" s="70" t="n"/>
      <c r="AJ55" s="70" t="n"/>
    </row>
    <row r="56" ht="18.75" customHeight="1">
      <c r="B56" s="72" t="inlineStr">
        <is>
          <t>累計現金流</t>
        </is>
      </c>
      <c r="D56" s="73">
        <f>C55+D55</f>
        <v/>
      </c>
      <c r="E56" s="73">
        <f>D56+E55</f>
        <v/>
      </c>
      <c r="F56" s="73">
        <f>E56+F55</f>
        <v/>
      </c>
      <c r="G56" s="73">
        <f>F56+G55</f>
        <v/>
      </c>
      <c r="H56" s="73">
        <f>G56+H55</f>
        <v/>
      </c>
      <c r="I56" s="73">
        <f>H56+I55</f>
        <v/>
      </c>
      <c r="J56" s="73">
        <f>I56+J55</f>
        <v/>
      </c>
      <c r="K56" s="73">
        <f>J56+K55</f>
        <v/>
      </c>
      <c r="L56" s="73">
        <f>K56+L55</f>
        <v/>
      </c>
      <c r="M56" s="73">
        <f>L56+M55</f>
        <v/>
      </c>
      <c r="N56" s="73">
        <f>M56+N55</f>
        <v/>
      </c>
      <c r="O56" s="73">
        <f>N56+O55</f>
        <v/>
      </c>
      <c r="P56" s="73">
        <f>O56+P55</f>
        <v/>
      </c>
      <c r="Q56" s="73">
        <f>P56+Q55</f>
        <v/>
      </c>
      <c r="R56" s="73">
        <f>Q56+R55</f>
        <v/>
      </c>
      <c r="S56" s="73">
        <f>R56+S55</f>
        <v/>
      </c>
      <c r="T56" s="73">
        <f>S56+T55</f>
        <v/>
      </c>
      <c r="U56" s="73">
        <f>T56+U55</f>
        <v/>
      </c>
      <c r="V56" s="73">
        <f>U56+V55</f>
        <v/>
      </c>
      <c r="W56" s="73">
        <f>V56+W55</f>
        <v/>
      </c>
      <c r="X56" s="73">
        <f>W56+X55</f>
        <v/>
      </c>
      <c r="Y56" s="70" t="n"/>
      <c r="Z56" s="70" t="n"/>
      <c r="AA56" s="70" t="n"/>
      <c r="AB56" s="70" t="n"/>
      <c r="AC56" s="70" t="n"/>
      <c r="AD56" s="70" t="n"/>
      <c r="AE56" s="70" t="n"/>
      <c r="AF56" s="70" t="n"/>
      <c r="AG56" s="70" t="n"/>
      <c r="AH56" s="70" t="n"/>
      <c r="AI56" s="70" t="n"/>
      <c r="AJ56" s="70" t="n"/>
    </row>
    <row r="57" ht="18.75" customHeight="1">
      <c r="B57" s="74" t="n"/>
      <c r="C57" s="75" t="n"/>
      <c r="D57" s="76" t="n"/>
      <c r="E57" s="76" t="n"/>
      <c r="F57" s="77" t="n"/>
      <c r="G57" s="77" t="n"/>
      <c r="H57" s="77" t="n"/>
      <c r="I57" s="77" t="n"/>
      <c r="J57" s="77" t="n"/>
      <c r="K57" s="77" t="n"/>
      <c r="L57" s="77" t="n"/>
      <c r="M57" s="77" t="n"/>
      <c r="N57" s="77" t="n"/>
      <c r="O57" s="77" t="n"/>
      <c r="P57" s="77" t="n"/>
      <c r="Q57" s="77" t="n"/>
      <c r="R57" s="77" t="n"/>
      <c r="S57" s="77" t="n"/>
      <c r="T57" s="77" t="n"/>
      <c r="U57" s="77" t="n"/>
      <c r="V57" s="77" t="n"/>
      <c r="W57" s="77" t="n"/>
      <c r="X57" s="78" t="n"/>
      <c r="Y57" s="70" t="n"/>
      <c r="Z57" s="70" t="n"/>
      <c r="AA57" s="70" t="n"/>
      <c r="AB57" s="70" t="n"/>
      <c r="AC57" s="70" t="n"/>
      <c r="AD57" s="70" t="n"/>
      <c r="AE57" s="70" t="n"/>
      <c r="AF57" s="70" t="n"/>
      <c r="AG57" s="70" t="n"/>
      <c r="AH57" s="70" t="n"/>
      <c r="AI57" s="70" t="n"/>
      <c r="AJ57" s="70" t="n"/>
    </row>
    <row r="58" ht="18.75" customHeight="1">
      <c r="B58" s="74" t="n"/>
      <c r="C58" s="79" t="n"/>
      <c r="D58" s="66" t="n"/>
      <c r="E58" s="66" t="n"/>
      <c r="F58" s="66" t="n"/>
      <c r="G58" s="66" t="n"/>
      <c r="H58" s="66" t="n"/>
      <c r="I58" s="66" t="n"/>
      <c r="J58" s="66" t="n"/>
      <c r="K58" s="66" t="n"/>
      <c r="L58" s="66" t="n"/>
      <c r="M58" s="66" t="n"/>
      <c r="N58" s="66" t="n"/>
      <c r="O58" s="66" t="n"/>
      <c r="P58" s="66" t="n"/>
      <c r="Q58" s="66" t="n"/>
      <c r="R58" s="66" t="n"/>
      <c r="S58" s="66" t="n"/>
      <c r="T58" s="66" t="n"/>
      <c r="U58" s="66" t="n"/>
      <c r="V58" s="66" t="n"/>
      <c r="W58" s="66" t="n"/>
      <c r="X58" s="80" t="n"/>
      <c r="Y58" s="70" t="n"/>
      <c r="Z58" s="70" t="n"/>
      <c r="AA58" s="70" t="n"/>
      <c r="AB58" s="70" t="n"/>
      <c r="AC58" s="70" t="n"/>
      <c r="AD58" s="70" t="n"/>
      <c r="AE58" s="70" t="n"/>
      <c r="AF58" s="70" t="n"/>
      <c r="AG58" s="70" t="n"/>
      <c r="AH58" s="70" t="n"/>
      <c r="AI58" s="70" t="n"/>
      <c r="AJ58" s="70" t="n"/>
    </row>
    <row r="59" ht="18.75" customHeight="1">
      <c r="B59" s="74" t="n"/>
      <c r="C59" s="79" t="n"/>
      <c r="D59" s="66" t="n"/>
      <c r="E59" s="66" t="n"/>
      <c r="F59" s="66" t="n"/>
      <c r="G59" s="66" t="n"/>
      <c r="H59" s="66" t="n"/>
      <c r="I59" s="66" t="n"/>
      <c r="J59" s="66" t="n"/>
      <c r="K59" s="66" t="n"/>
      <c r="L59" s="66" t="n"/>
      <c r="M59" s="66" t="n"/>
      <c r="N59" s="66" t="n"/>
      <c r="O59" s="66" t="n"/>
      <c r="P59" s="66" t="n"/>
      <c r="Q59" s="66" t="n"/>
      <c r="R59" s="66" t="n"/>
      <c r="S59" s="66" t="n"/>
      <c r="T59" s="66" t="n"/>
      <c r="U59" s="66" t="n"/>
      <c r="V59" s="66" t="n"/>
      <c r="W59" s="66" t="n"/>
      <c r="X59" s="80" t="n"/>
      <c r="Y59" s="70" t="n"/>
      <c r="Z59" s="70" t="n"/>
      <c r="AA59" s="70" t="n"/>
      <c r="AB59" s="70" t="n"/>
      <c r="AC59" s="70" t="n"/>
      <c r="AD59" s="70" t="n"/>
      <c r="AE59" s="70" t="n"/>
      <c r="AF59" s="70" t="n"/>
      <c r="AG59" s="70" t="n"/>
      <c r="AH59" s="70" t="n"/>
      <c r="AI59" s="70" t="n"/>
      <c r="AJ59" s="70" t="n"/>
    </row>
    <row r="60" ht="18.75" customHeight="1">
      <c r="B60" s="81" t="n"/>
      <c r="C60" s="82" t="n"/>
      <c r="D60" s="83" t="n"/>
      <c r="E60" s="83" t="n"/>
      <c r="F60" s="83" t="n"/>
      <c r="G60" s="83" t="n"/>
      <c r="H60" s="83" t="n"/>
      <c r="I60" s="83" t="n"/>
      <c r="J60" s="83" t="n"/>
      <c r="K60" s="83" t="n"/>
      <c r="L60" s="83" t="n"/>
      <c r="M60" s="83" t="n"/>
      <c r="N60" s="83" t="n"/>
      <c r="O60" s="83" t="n"/>
      <c r="P60" s="83" t="n"/>
      <c r="Q60" s="83" t="n"/>
      <c r="R60" s="83" t="n"/>
      <c r="S60" s="83" t="n"/>
      <c r="T60" s="83" t="n"/>
      <c r="U60" s="83" t="n"/>
      <c r="V60" s="83" t="n"/>
      <c r="W60" s="83" t="n"/>
      <c r="X60" s="84" t="n"/>
      <c r="Y60" s="70" t="n"/>
      <c r="Z60" s="70" t="n"/>
      <c r="AA60" s="70" t="n"/>
      <c r="AB60" s="70" t="n"/>
      <c r="AC60" s="70" t="n"/>
      <c r="AD60" s="70" t="n"/>
      <c r="AE60" s="70" t="n"/>
      <c r="AF60" s="70" t="n"/>
      <c r="AG60" s="70" t="n"/>
      <c r="AH60" s="70" t="n"/>
      <c r="AI60" s="70" t="n"/>
      <c r="AJ60" s="70" t="n"/>
    </row>
    <row r="61" ht="18.75" customHeight="1">
      <c r="B61" s="85" t="n"/>
      <c r="C61" s="86" t="n"/>
      <c r="D61" s="87" t="n"/>
      <c r="E61" s="87" t="n"/>
      <c r="F61" s="88" t="n"/>
      <c r="G61" s="88" t="n"/>
      <c r="H61" s="88" t="n"/>
      <c r="I61" s="88" t="n"/>
      <c r="J61" s="88" t="n"/>
      <c r="K61" s="88" t="n"/>
      <c r="L61" s="88" t="n"/>
      <c r="M61" s="88" t="n"/>
      <c r="N61" s="88" t="n"/>
      <c r="O61" s="88" t="n"/>
      <c r="P61" s="88" t="n"/>
      <c r="Q61" s="88" t="n"/>
      <c r="R61" s="88" t="n"/>
      <c r="S61" s="88" t="n"/>
      <c r="T61" s="88" t="n"/>
      <c r="U61" s="88" t="n"/>
      <c r="V61" s="88" t="n"/>
      <c r="W61" s="88" t="n"/>
      <c r="X61" s="89" t="n"/>
      <c r="Y61" s="70" t="n"/>
      <c r="Z61" s="70" t="n"/>
      <c r="AA61" s="70" t="n"/>
      <c r="AB61" s="70" t="n"/>
      <c r="AC61" s="70" t="n"/>
      <c r="AD61" s="70" t="n"/>
      <c r="AE61" s="70" t="n"/>
      <c r="AF61" s="70" t="n"/>
      <c r="AG61" s="70" t="n"/>
      <c r="AH61" s="70" t="n"/>
      <c r="AI61" s="70" t="n"/>
      <c r="AJ61" s="70" t="n"/>
    </row>
    <row r="62" ht="18.75" customHeight="1">
      <c r="B62" s="90" t="inlineStr">
        <is>
          <t>回收年限評估</t>
        </is>
      </c>
      <c r="C62" s="91" t="n"/>
      <c r="D62" s="92">
        <f>IF((D56)&gt;0,"回收","未回收")</f>
        <v/>
      </c>
      <c r="E62" s="92">
        <f>IF((E56)&gt;0,"回收","未回收")</f>
        <v/>
      </c>
      <c r="F62" s="92">
        <f>IF((F56)&gt;0,"回收","未回收")</f>
        <v/>
      </c>
      <c r="G62" s="92">
        <f>IF((G56)&gt;0,"回收","未回收")</f>
        <v/>
      </c>
      <c r="H62" s="92">
        <f>IF((H56)&gt;0,"回收","未回收")</f>
        <v/>
      </c>
      <c r="I62" s="92">
        <f>IF((I56)&gt;0,"回收","未回收")</f>
        <v/>
      </c>
      <c r="J62" s="92">
        <f>IF((J56)&gt;0,"回收","未回收")</f>
        <v/>
      </c>
      <c r="K62" s="92">
        <f>IF((K56)&gt;0,"回收","未回收")</f>
        <v/>
      </c>
      <c r="L62" s="92">
        <f>IF((L56)&gt;0,"回收","未回收")</f>
        <v/>
      </c>
      <c r="M62" s="92">
        <f>IF((M56)&gt;0,"回收","未回收")</f>
        <v/>
      </c>
      <c r="N62" s="92">
        <f>IF((N56)&gt;0,"回收","未回收")</f>
        <v/>
      </c>
      <c r="O62" s="92">
        <f>IF((O56)&gt;0,"回收","未回收")</f>
        <v/>
      </c>
      <c r="P62" s="92">
        <f>IF((P56)&gt;0,"回收","未回收")</f>
        <v/>
      </c>
      <c r="Q62" s="92">
        <f>IF((Q56)&gt;0,"回收","未回收")</f>
        <v/>
      </c>
      <c r="R62" s="92">
        <f>IF((R56)&gt;0,"回收","未回收")</f>
        <v/>
      </c>
      <c r="S62" s="92">
        <f>IF((S56)&gt;0,"回收","未回收")</f>
        <v/>
      </c>
      <c r="T62" s="92">
        <f>IF((T56)&gt;0,"回收","未回收")</f>
        <v/>
      </c>
      <c r="U62" s="92">
        <f>IF((U56)&gt;0,"回收","未回收")</f>
        <v/>
      </c>
      <c r="V62" s="92">
        <f>IF((V56)&gt;0,"回收","未回收")</f>
        <v/>
      </c>
      <c r="W62" s="92">
        <f>IF((W56)&gt;0,"回收","未回收")</f>
        <v/>
      </c>
      <c r="X62" s="92">
        <f>IF((X56)&gt;0,"回收","未回收")</f>
        <v/>
      </c>
      <c r="Y62" s="70" t="n"/>
      <c r="Z62" s="70" t="n"/>
      <c r="AA62" s="70" t="n"/>
      <c r="AB62" s="70" t="n"/>
      <c r="AC62" s="70" t="n"/>
      <c r="AD62" s="70" t="n"/>
      <c r="AE62" s="70" t="n"/>
      <c r="AF62" s="70" t="n"/>
      <c r="AG62" s="70" t="n"/>
      <c r="AH62" s="70" t="n"/>
      <c r="AI62" s="70" t="n"/>
      <c r="AJ62" s="70" t="n"/>
    </row>
    <row r="63" ht="18.75" customHeight="1">
      <c r="B63" s="93" t="inlineStr">
        <is>
          <t>專案法IRR</t>
        </is>
      </c>
      <c r="C63" s="94">
        <f>IRR(C55:W55)</f>
        <v/>
      </c>
      <c r="D63" s="95" t="n"/>
      <c r="E63" s="95" t="n"/>
      <c r="F63" s="96" t="n"/>
      <c r="G63" s="96" t="n"/>
      <c r="H63" s="96" t="n"/>
      <c r="I63" s="96" t="n"/>
      <c r="J63" s="96" t="n"/>
      <c r="K63" s="96" t="n"/>
      <c r="L63" s="96" t="n"/>
      <c r="M63" s="96" t="n"/>
      <c r="N63" s="96" t="n"/>
      <c r="O63" s="96" t="n"/>
      <c r="P63" s="96" t="n"/>
      <c r="Q63" s="96" t="n"/>
      <c r="R63" s="96" t="n"/>
      <c r="S63" s="96" t="n"/>
      <c r="T63" s="96" t="n"/>
      <c r="U63" s="96" t="n"/>
      <c r="V63" s="96" t="n"/>
      <c r="W63" s="96" t="n"/>
      <c r="X63" s="96" t="n"/>
      <c r="Y63" s="97" t="n"/>
      <c r="Z63" s="97" t="n"/>
      <c r="AA63" s="97" t="n"/>
      <c r="AB63" s="97" t="n"/>
      <c r="AC63" s="97" t="n"/>
      <c r="AD63" s="97" t="n"/>
      <c r="AE63" s="97" t="n"/>
      <c r="AF63" s="97" t="n"/>
      <c r="AG63" s="97" t="n"/>
      <c r="AH63" s="97" t="n"/>
      <c r="AI63" s="97" t="n"/>
      <c r="AJ63" s="97" t="n"/>
    </row>
    <row r="64" ht="18.75" customHeight="1">
      <c r="B64" s="96" t="n"/>
      <c r="C64" s="95" t="n"/>
      <c r="D64" s="95" t="n"/>
      <c r="E64" s="95" t="n"/>
      <c r="F64" s="96" t="n"/>
      <c r="G64" s="96" t="n"/>
      <c r="H64" s="96" t="n"/>
      <c r="I64" s="96" t="n"/>
      <c r="J64" s="96" t="n"/>
      <c r="K64" s="96" t="n"/>
      <c r="L64" s="96" t="n"/>
      <c r="M64" s="95" t="n"/>
      <c r="N64" s="96" t="n"/>
      <c r="O64" s="96" t="n"/>
      <c r="P64" s="96" t="n"/>
      <c r="Q64" s="96" t="n"/>
      <c r="R64" s="96" t="n"/>
      <c r="S64" s="96" t="n"/>
      <c r="T64" s="96" t="n"/>
      <c r="U64" s="96" t="n"/>
      <c r="V64" s="96" t="n"/>
      <c r="W64" s="96" t="n"/>
      <c r="X64" s="96" t="n"/>
      <c r="Y64" s="97" t="n"/>
      <c r="Z64" s="97" t="n"/>
      <c r="AA64" s="97" t="n"/>
      <c r="AB64" s="97" t="n"/>
      <c r="AC64" s="97" t="n"/>
      <c r="AD64" s="97" t="n"/>
      <c r="AE64" s="97" t="n"/>
      <c r="AF64" s="97" t="n"/>
      <c r="AG64" s="97" t="n"/>
      <c r="AH64" s="97" t="n"/>
      <c r="AI64" s="97" t="n"/>
      <c r="AJ64" s="97" t="n"/>
    </row>
    <row r="65" ht="18.75" customHeight="1">
      <c r="B65" s="30" t="n"/>
      <c r="C65" s="31" t="inlineStr">
        <is>
          <t>年份</t>
        </is>
      </c>
      <c r="D65" s="31">
        <f>D37</f>
        <v/>
      </c>
      <c r="E65" s="31">
        <f>E37</f>
        <v/>
      </c>
      <c r="F65" s="31">
        <f>F37</f>
        <v/>
      </c>
      <c r="G65" s="31">
        <f>G37</f>
        <v/>
      </c>
      <c r="H65" s="31">
        <f>H37</f>
        <v/>
      </c>
      <c r="I65" s="31">
        <f>I37</f>
        <v/>
      </c>
      <c r="J65" s="31">
        <f>J37</f>
        <v/>
      </c>
      <c r="K65" s="31">
        <f>K37</f>
        <v/>
      </c>
      <c r="L65" s="31">
        <f>L37</f>
        <v/>
      </c>
      <c r="M65" s="31">
        <f>M37</f>
        <v/>
      </c>
      <c r="N65" s="31">
        <f>N37</f>
        <v/>
      </c>
      <c r="O65" s="31">
        <f>O37</f>
        <v/>
      </c>
      <c r="P65" s="31">
        <f>P37</f>
        <v/>
      </c>
      <c r="Q65" s="31">
        <f>Q37</f>
        <v/>
      </c>
      <c r="R65" s="31">
        <f>R37</f>
        <v/>
      </c>
      <c r="S65" s="31">
        <f>S37</f>
        <v/>
      </c>
      <c r="T65" s="31">
        <f>T37</f>
        <v/>
      </c>
      <c r="U65" s="31">
        <f>U37</f>
        <v/>
      </c>
      <c r="V65" s="31">
        <f>V37</f>
        <v/>
      </c>
      <c r="W65" s="31">
        <f>W37</f>
        <v/>
      </c>
      <c r="X65" s="31" t="n"/>
      <c r="Y65" s="98" t="n"/>
      <c r="Z65" s="98" t="n"/>
      <c r="AA65" s="98" t="n"/>
      <c r="AB65" s="98" t="n"/>
      <c r="AC65" s="98" t="n"/>
      <c r="AD65" s="98" t="n"/>
      <c r="AE65" s="98" t="n"/>
      <c r="AF65" s="98" t="n"/>
      <c r="AG65" s="98" t="n"/>
      <c r="AH65" s="98" t="n"/>
      <c r="AI65" s="98" t="n"/>
      <c r="AJ65" s="98" t="n"/>
    </row>
    <row r="66" ht="18.75" customHeight="1">
      <c r="B66" s="32" t="n">
        <v>0</v>
      </c>
      <c r="C66" s="33" t="n"/>
      <c r="D66" s="34" t="n"/>
      <c r="E66" s="34" t="n"/>
      <c r="F66" s="35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99" t="inlineStr">
        <is>
          <t>償還年限</t>
        </is>
      </c>
      <c r="U66" s="36" t="n"/>
      <c r="V66" s="36" t="n"/>
      <c r="W66" s="36" t="n"/>
      <c r="X66" s="38" t="n"/>
    </row>
    <row r="67" ht="18.75" customHeight="1">
      <c r="B67" s="39" t="inlineStr">
        <is>
          <t>(Unit : Currency)</t>
        </is>
      </c>
      <c r="C67" s="40" t="n">
        <v>0</v>
      </c>
      <c r="D67" s="41" t="n">
        <v>1</v>
      </c>
      <c r="E67" s="41" t="n">
        <v>2</v>
      </c>
      <c r="F67" s="41" t="n">
        <v>3</v>
      </c>
      <c r="G67" s="41" t="n">
        <v>4</v>
      </c>
      <c r="H67" s="41" t="n">
        <v>5</v>
      </c>
      <c r="I67" s="41" t="n">
        <v>6</v>
      </c>
      <c r="J67" s="41" t="n">
        <v>7</v>
      </c>
      <c r="K67" s="41" t="n">
        <v>8</v>
      </c>
      <c r="L67" s="41" t="n">
        <v>9</v>
      </c>
      <c r="M67" s="41" t="n">
        <v>10</v>
      </c>
      <c r="N67" s="41" t="n">
        <v>11</v>
      </c>
      <c r="O67" s="41" t="n">
        <v>12</v>
      </c>
      <c r="P67" s="41" t="n">
        <v>13</v>
      </c>
      <c r="Q67" s="41" t="n">
        <v>14</v>
      </c>
      <c r="R67" s="41" t="n">
        <v>15</v>
      </c>
      <c r="S67" s="41" t="n">
        <v>16</v>
      </c>
      <c r="T67" s="100" t="n">
        <v>17</v>
      </c>
      <c r="U67" s="41" t="n">
        <v>18</v>
      </c>
      <c r="V67" s="41" t="n">
        <v>19</v>
      </c>
      <c r="W67" s="41" t="n">
        <v>20</v>
      </c>
      <c r="X67" s="43" t="n"/>
    </row>
    <row r="68" ht="18.75" customHeight="1">
      <c r="B68" s="44" t="inlineStr">
        <is>
          <t>發電度數(KWH)</t>
        </is>
      </c>
      <c r="C68" s="45" t="n">
        <v>0</v>
      </c>
      <c r="D68" s="46">
        <f>D40</f>
        <v/>
      </c>
      <c r="E68" s="46">
        <f>E40</f>
        <v/>
      </c>
      <c r="F68" s="46">
        <f>F40</f>
        <v/>
      </c>
      <c r="G68" s="46">
        <f>G40</f>
        <v/>
      </c>
      <c r="H68" s="46">
        <f>H40</f>
        <v/>
      </c>
      <c r="I68" s="46">
        <f>I40</f>
        <v/>
      </c>
      <c r="J68" s="46">
        <f>J40</f>
        <v/>
      </c>
      <c r="K68" s="46">
        <f>K40</f>
        <v/>
      </c>
      <c r="L68" s="46">
        <f>L40</f>
        <v/>
      </c>
      <c r="M68" s="46">
        <f>M40</f>
        <v/>
      </c>
      <c r="N68" s="46">
        <f>N40</f>
        <v/>
      </c>
      <c r="O68" s="46">
        <f>O40</f>
        <v/>
      </c>
      <c r="P68" s="46">
        <f>P40</f>
        <v/>
      </c>
      <c r="Q68" s="46">
        <f>Q40</f>
        <v/>
      </c>
      <c r="R68" s="46">
        <f>R40</f>
        <v/>
      </c>
      <c r="S68" s="46">
        <f>S40</f>
        <v/>
      </c>
      <c r="T68" s="46">
        <f>T40</f>
        <v/>
      </c>
      <c r="U68" s="46">
        <f>U40</f>
        <v/>
      </c>
      <c r="V68" s="46">
        <f>V40</f>
        <v/>
      </c>
      <c r="W68" s="46">
        <f>W40</f>
        <v/>
      </c>
      <c r="X68" s="47" t="n"/>
    </row>
    <row r="69" ht="18.75" customHeight="1">
      <c r="B69" s="48" t="inlineStr">
        <is>
          <t>Inflow : 電費收入</t>
        </is>
      </c>
      <c r="C69" s="49" t="inlineStr">
        <is>
          <t>-</t>
        </is>
      </c>
      <c r="D69" s="50">
        <f>D41</f>
        <v/>
      </c>
      <c r="E69" s="50">
        <f>E41</f>
        <v/>
      </c>
      <c r="F69" s="50">
        <f>F41</f>
        <v/>
      </c>
      <c r="G69" s="50">
        <f>G41</f>
        <v/>
      </c>
      <c r="H69" s="50">
        <f>H41</f>
        <v/>
      </c>
      <c r="I69" s="50">
        <f>I41</f>
        <v/>
      </c>
      <c r="J69" s="50">
        <f>J41</f>
        <v/>
      </c>
      <c r="K69" s="50">
        <f>K41</f>
        <v/>
      </c>
      <c r="L69" s="50">
        <f>L41</f>
        <v/>
      </c>
      <c r="M69" s="50">
        <f>M41</f>
        <v/>
      </c>
      <c r="N69" s="50">
        <f>N41</f>
        <v/>
      </c>
      <c r="O69" s="50">
        <f>O41</f>
        <v/>
      </c>
      <c r="P69" s="50">
        <f>P41</f>
        <v/>
      </c>
      <c r="Q69" s="50">
        <f>Q41</f>
        <v/>
      </c>
      <c r="R69" s="50">
        <f>R41</f>
        <v/>
      </c>
      <c r="S69" s="50">
        <f>S41</f>
        <v/>
      </c>
      <c r="T69" s="50">
        <f>T41</f>
        <v/>
      </c>
      <c r="U69" s="50">
        <f>U41</f>
        <v/>
      </c>
      <c r="V69" s="50">
        <f>V41</f>
        <v/>
      </c>
      <c r="W69" s="50">
        <f>W41</f>
        <v/>
      </c>
      <c r="X69" s="51" t="n"/>
    </row>
    <row r="70" ht="18.75" customHeight="1">
      <c r="B70" s="52" t="inlineStr">
        <is>
          <t>Inflow : 政府補助</t>
        </is>
      </c>
      <c r="C70" s="53" t="inlineStr">
        <is>
          <t>-</t>
        </is>
      </c>
      <c r="D70" s="54" t="n"/>
      <c r="E70" s="54" t="n"/>
      <c r="F70" s="54" t="n"/>
      <c r="G70" s="54" t="inlineStr">
        <is>
          <t>-</t>
        </is>
      </c>
      <c r="H70" s="54" t="inlineStr">
        <is>
          <t>-</t>
        </is>
      </c>
      <c r="I70" s="54" t="inlineStr">
        <is>
          <t>-</t>
        </is>
      </c>
      <c r="J70" s="54" t="inlineStr">
        <is>
          <t>-</t>
        </is>
      </c>
      <c r="K70" s="54" t="inlineStr">
        <is>
          <t>-</t>
        </is>
      </c>
      <c r="L70" s="54" t="inlineStr">
        <is>
          <t>-</t>
        </is>
      </c>
      <c r="M70" s="54" t="inlineStr">
        <is>
          <t>-</t>
        </is>
      </c>
      <c r="N70" s="54" t="inlineStr">
        <is>
          <t>-</t>
        </is>
      </c>
      <c r="O70" s="54" t="inlineStr">
        <is>
          <t>-</t>
        </is>
      </c>
      <c r="P70" s="54" t="inlineStr">
        <is>
          <t>-</t>
        </is>
      </c>
      <c r="Q70" s="54" t="inlineStr">
        <is>
          <t>-</t>
        </is>
      </c>
      <c r="R70" s="54" t="inlineStr">
        <is>
          <t>-</t>
        </is>
      </c>
      <c r="S70" s="54" t="inlineStr">
        <is>
          <t>-</t>
        </is>
      </c>
      <c r="T70" s="54" t="inlineStr">
        <is>
          <t>-</t>
        </is>
      </c>
      <c r="U70" s="54" t="inlineStr">
        <is>
          <t>-</t>
        </is>
      </c>
      <c r="V70" s="54" t="inlineStr">
        <is>
          <t>-</t>
        </is>
      </c>
      <c r="W70" s="54" t="inlineStr">
        <is>
          <t>-</t>
        </is>
      </c>
      <c r="X70" s="55" t="n"/>
    </row>
    <row r="71" ht="18.75" customHeight="1">
      <c r="B71" s="56" t="inlineStr">
        <is>
          <t>Inflow : 銀行借款</t>
        </is>
      </c>
      <c r="C71" s="57" t="n"/>
      <c r="D71" s="58" t="n"/>
      <c r="E71" s="58" t="n"/>
      <c r="F71" s="58" t="n"/>
      <c r="G71" s="58" t="n"/>
      <c r="H71" s="58" t="n"/>
      <c r="I71" s="58" t="n"/>
      <c r="J71" s="58" t="n"/>
      <c r="K71" s="58" t="n"/>
      <c r="L71" s="58" t="n"/>
      <c r="M71" s="58" t="n"/>
      <c r="N71" s="58" t="n"/>
      <c r="O71" s="58" t="n"/>
      <c r="P71" s="58" t="n"/>
      <c r="Q71" s="58" t="n"/>
      <c r="R71" s="58" t="n"/>
      <c r="S71" s="58" t="n"/>
      <c r="T71" s="58" t="n"/>
      <c r="U71" s="58" t="n"/>
      <c r="V71" s="58" t="n"/>
      <c r="W71" s="58" t="n"/>
      <c r="X71" s="59" t="n"/>
    </row>
    <row r="72" ht="18.75" customHeight="1">
      <c r="B72" s="60" t="inlineStr">
        <is>
          <t>Outflow : 設備折舊</t>
        </is>
      </c>
      <c r="C72" s="53" t="n"/>
      <c r="D72" s="61">
        <f>$C$44/$E$16</f>
        <v/>
      </c>
      <c r="E72" s="61">
        <f>$C$44/$E$16</f>
        <v/>
      </c>
      <c r="F72" s="61">
        <f>$C$44/$E$16</f>
        <v/>
      </c>
      <c r="G72" s="61">
        <f>$C$44/$E$16</f>
        <v/>
      </c>
      <c r="H72" s="61">
        <f>$C$44/$E$16</f>
        <v/>
      </c>
      <c r="I72" s="61">
        <f>$C$44/$E$16</f>
        <v/>
      </c>
      <c r="J72" s="61">
        <f>$C$44/$E$16</f>
        <v/>
      </c>
      <c r="K72" s="61">
        <f>$C$44/$E$16</f>
        <v/>
      </c>
      <c r="L72" s="61">
        <f>$C$44/$E$16</f>
        <v/>
      </c>
      <c r="M72" s="61">
        <f>$C$44/$E$16</f>
        <v/>
      </c>
      <c r="N72" s="61">
        <f>$C$44/$E$16</f>
        <v/>
      </c>
      <c r="O72" s="61">
        <f>$C$44/$E$16</f>
        <v/>
      </c>
      <c r="P72" s="61">
        <f>$C$44/$E$16</f>
        <v/>
      </c>
      <c r="Q72" s="61">
        <f>$C$44/$E$16</f>
        <v/>
      </c>
      <c r="R72" s="61">
        <f>$C$44/$E$16</f>
        <v/>
      </c>
      <c r="S72" s="61">
        <f>$C$44/$E$16</f>
        <v/>
      </c>
      <c r="T72" s="61">
        <f>$C$44/$E$16</f>
        <v/>
      </c>
      <c r="U72" s="61">
        <f>$C$44/$E$16</f>
        <v/>
      </c>
      <c r="V72" s="61">
        <f>$C$44/$E$16</f>
        <v/>
      </c>
      <c r="W72" s="61">
        <f>$C$44/$E$16</f>
        <v/>
      </c>
      <c r="X72" s="55" t="n"/>
    </row>
    <row r="73" ht="18.75" customHeight="1">
      <c r="B73" s="60" t="inlineStr">
        <is>
          <t>Outflow : 設備放置區域租金</t>
        </is>
      </c>
      <c r="C73" s="53" t="inlineStr">
        <is>
          <t>-</t>
        </is>
      </c>
      <c r="D73" s="54">
        <f>D45</f>
        <v/>
      </c>
      <c r="E73" s="54">
        <f>E45</f>
        <v/>
      </c>
      <c r="F73" s="54">
        <f>F45</f>
        <v/>
      </c>
      <c r="G73" s="54">
        <f>G45</f>
        <v/>
      </c>
      <c r="H73" s="54">
        <f>H45</f>
        <v/>
      </c>
      <c r="I73" s="54">
        <f>I45</f>
        <v/>
      </c>
      <c r="J73" s="54">
        <f>J45</f>
        <v/>
      </c>
      <c r="K73" s="54">
        <f>K45</f>
        <v/>
      </c>
      <c r="L73" s="54">
        <f>L45</f>
        <v/>
      </c>
      <c r="M73" s="54">
        <f>M45</f>
        <v/>
      </c>
      <c r="N73" s="54">
        <f>N45</f>
        <v/>
      </c>
      <c r="O73" s="54">
        <f>O45</f>
        <v/>
      </c>
      <c r="P73" s="54">
        <f>P45</f>
        <v/>
      </c>
      <c r="Q73" s="54">
        <f>Q45</f>
        <v/>
      </c>
      <c r="R73" s="54">
        <f>R45</f>
        <v/>
      </c>
      <c r="S73" s="54">
        <f>S45</f>
        <v/>
      </c>
      <c r="T73" s="54">
        <f>T45</f>
        <v/>
      </c>
      <c r="U73" s="54">
        <f>U45</f>
        <v/>
      </c>
      <c r="V73" s="54">
        <f>V45</f>
        <v/>
      </c>
      <c r="W73" s="54">
        <f>W45</f>
        <v/>
      </c>
      <c r="X73" s="55" t="n"/>
    </row>
    <row r="74" ht="18.75" customHeight="1">
      <c r="B74" s="60" t="inlineStr">
        <is>
          <t>Outflow : 返還借款</t>
        </is>
      </c>
      <c r="C74" s="53" t="n"/>
      <c r="D74" s="54" t="n"/>
      <c r="E74" s="54" t="n"/>
      <c r="F74" s="54" t="n"/>
      <c r="G74" s="54" t="n"/>
      <c r="H74" s="54" t="n"/>
      <c r="I74" s="54" t="n"/>
      <c r="J74" s="54" t="n"/>
      <c r="K74" s="54" t="n"/>
      <c r="L74" s="54" t="n"/>
      <c r="M74" s="54" t="n"/>
      <c r="N74" s="54" t="n"/>
      <c r="O74" s="54" t="n"/>
      <c r="P74" s="54" t="n"/>
      <c r="Q74" s="54" t="n"/>
      <c r="R74" s="54" t="n"/>
      <c r="S74" s="54" t="n"/>
      <c r="T74" s="54" t="n"/>
      <c r="U74" s="54" t="n"/>
      <c r="V74" s="54" t="n"/>
      <c r="W74" s="54" t="n"/>
      <c r="X74" s="55" t="n"/>
    </row>
    <row r="75" ht="18.75" customHeight="1">
      <c r="B75" s="60" t="inlineStr">
        <is>
          <t>Outflow : 利息費用</t>
        </is>
      </c>
      <c r="C75" s="53" t="inlineStr">
        <is>
          <t>-</t>
        </is>
      </c>
      <c r="D75" s="54" t="n">
        <v>-352718.5522</v>
      </c>
      <c r="E75" s="54" t="n">
        <v>-329203.9820533333</v>
      </c>
      <c r="F75" s="54" t="n">
        <v>-305689.4119066666</v>
      </c>
      <c r="G75" s="54" t="n">
        <v>-282174.84176</v>
      </c>
      <c r="H75" s="54" t="n">
        <v>-258660.2716133333</v>
      </c>
      <c r="I75" s="54" t="n">
        <v>-235145.7014666667</v>
      </c>
      <c r="J75" s="54" t="n">
        <v>-211631.13132</v>
      </c>
      <c r="K75" s="54" t="n">
        <v>-188116.5611733333</v>
      </c>
      <c r="L75" s="54" t="n">
        <v>-164601.9910266667</v>
      </c>
      <c r="M75" s="54" t="n">
        <v>-141087.42088</v>
      </c>
      <c r="N75" s="54" t="n">
        <v>-117572.8507333333</v>
      </c>
      <c r="O75" s="54" t="n">
        <v>-94058.28058666666</v>
      </c>
      <c r="P75" s="54" t="n">
        <v>-70543.71044</v>
      </c>
      <c r="Q75" s="54" t="n">
        <v>-47029.14029333333</v>
      </c>
      <c r="R75" s="54" t="n">
        <v>-23514.57014666667</v>
      </c>
      <c r="S75" s="54" t="n">
        <v>-4.19758e-22</v>
      </c>
      <c r="T75" s="54" t="n">
        <v>0</v>
      </c>
      <c r="U75" s="54" t="n">
        <v>0</v>
      </c>
      <c r="V75" s="54" t="n">
        <v>0</v>
      </c>
      <c r="W75" s="54" t="n">
        <v>0</v>
      </c>
      <c r="X75" s="55" t="n"/>
    </row>
    <row r="76" ht="18.75" customHeight="1">
      <c r="B76" s="60" t="inlineStr">
        <is>
          <t>Outflow : 維運費</t>
        </is>
      </c>
      <c r="C76" s="53" t="inlineStr">
        <is>
          <t>-</t>
        </is>
      </c>
      <c r="D76" s="54">
        <f>D48</f>
        <v/>
      </c>
      <c r="E76" s="54">
        <f>E48</f>
        <v/>
      </c>
      <c r="F76" s="54">
        <f>F48</f>
        <v/>
      </c>
      <c r="G76" s="54">
        <f>G48</f>
        <v/>
      </c>
      <c r="H76" s="54">
        <f>H48</f>
        <v/>
      </c>
      <c r="I76" s="54">
        <f>I48</f>
        <v/>
      </c>
      <c r="J76" s="54">
        <f>J48</f>
        <v/>
      </c>
      <c r="K76" s="54">
        <f>K48</f>
        <v/>
      </c>
      <c r="L76" s="54">
        <f>L48</f>
        <v/>
      </c>
      <c r="M76" s="54">
        <f>M48</f>
        <v/>
      </c>
      <c r="N76" s="54">
        <f>N48</f>
        <v/>
      </c>
      <c r="O76" s="54">
        <f>O48</f>
        <v/>
      </c>
      <c r="P76" s="54">
        <f>P48</f>
        <v/>
      </c>
      <c r="Q76" s="54">
        <f>Q48</f>
        <v/>
      </c>
      <c r="R76" s="54">
        <f>R48</f>
        <v/>
      </c>
      <c r="S76" s="54">
        <f>S48</f>
        <v/>
      </c>
      <c r="T76" s="54">
        <f>T48</f>
        <v/>
      </c>
      <c r="U76" s="54">
        <f>U48</f>
        <v/>
      </c>
      <c r="V76" s="54">
        <f>V48</f>
        <v/>
      </c>
      <c r="W76" s="54">
        <f>W48</f>
        <v/>
      </c>
      <c r="X76" s="55" t="n"/>
    </row>
    <row r="77" ht="18.75" customHeight="1">
      <c r="B77" s="60" t="inlineStr">
        <is>
          <t>Outflow : 保險費</t>
        </is>
      </c>
      <c r="C77" s="53" t="inlineStr">
        <is>
          <t>-</t>
        </is>
      </c>
      <c r="D77" s="54">
        <f>D49</f>
        <v/>
      </c>
      <c r="E77" s="54">
        <f>E49</f>
        <v/>
      </c>
      <c r="F77" s="54">
        <f>F49</f>
        <v/>
      </c>
      <c r="G77" s="54">
        <f>G49</f>
        <v/>
      </c>
      <c r="H77" s="54">
        <f>H49</f>
        <v/>
      </c>
      <c r="I77" s="54">
        <f>I49</f>
        <v/>
      </c>
      <c r="J77" s="54">
        <f>J49</f>
        <v/>
      </c>
      <c r="K77" s="54">
        <f>K49</f>
        <v/>
      </c>
      <c r="L77" s="54">
        <f>L49</f>
        <v/>
      </c>
      <c r="M77" s="54">
        <f>M49</f>
        <v/>
      </c>
      <c r="N77" s="54">
        <f>N49</f>
        <v/>
      </c>
      <c r="O77" s="54">
        <f>O49</f>
        <v/>
      </c>
      <c r="P77" s="54">
        <f>P49</f>
        <v/>
      </c>
      <c r="Q77" s="54">
        <f>Q49</f>
        <v/>
      </c>
      <c r="R77" s="54">
        <f>R49</f>
        <v/>
      </c>
      <c r="S77" s="54">
        <f>S49</f>
        <v/>
      </c>
      <c r="T77" s="54">
        <f>T49</f>
        <v/>
      </c>
      <c r="U77" s="54">
        <f>U49</f>
        <v/>
      </c>
      <c r="V77" s="54">
        <f>V49</f>
        <v/>
      </c>
      <c r="W77" s="54">
        <f>W49</f>
        <v/>
      </c>
      <c r="X77" s="55" t="n"/>
    </row>
    <row r="78" ht="18.75" customHeight="1">
      <c r="B78" s="60" t="inlineStr">
        <is>
          <t>Outflow : 模組回收費</t>
        </is>
      </c>
      <c r="C78" s="53" t="n"/>
      <c r="D78" s="54">
        <f>D50</f>
        <v/>
      </c>
      <c r="E78" s="54">
        <f>E50</f>
        <v/>
      </c>
      <c r="F78" s="54">
        <f>F50</f>
        <v/>
      </c>
      <c r="G78" s="54">
        <f>G50</f>
        <v/>
      </c>
      <c r="H78" s="54">
        <f>H50</f>
        <v/>
      </c>
      <c r="I78" s="54">
        <f>I50</f>
        <v/>
      </c>
      <c r="J78" s="54">
        <f>J50</f>
        <v/>
      </c>
      <c r="K78" s="54">
        <f>K50</f>
        <v/>
      </c>
      <c r="L78" s="54">
        <f>L50</f>
        <v/>
      </c>
      <c r="M78" s="54">
        <f>M50</f>
        <v/>
      </c>
      <c r="N78" s="54">
        <f>N50</f>
        <v/>
      </c>
      <c r="O78" s="54">
        <f>O50</f>
        <v/>
      </c>
      <c r="P78" s="54">
        <f>P50</f>
        <v/>
      </c>
      <c r="Q78" s="54">
        <f>Q50</f>
        <v/>
      </c>
      <c r="R78" s="54">
        <f>R50</f>
        <v/>
      </c>
      <c r="S78" s="54">
        <f>S50</f>
        <v/>
      </c>
      <c r="T78" s="54">
        <f>T50</f>
        <v/>
      </c>
      <c r="U78" s="54">
        <f>U50</f>
        <v/>
      </c>
      <c r="V78" s="54">
        <f>V50</f>
        <v/>
      </c>
      <c r="W78" s="54">
        <f>W50</f>
        <v/>
      </c>
      <c r="X78" s="55" t="n"/>
    </row>
    <row r="79" ht="18.75" customHeight="1">
      <c r="B79" s="60" t="inlineStr">
        <is>
          <t>Outflow : 其它費用(人事薪資…等)</t>
        </is>
      </c>
      <c r="C79" s="62" t="n"/>
      <c r="D79" s="63" t="n"/>
      <c r="E79" s="64" t="n"/>
      <c r="F79" s="54" t="n"/>
      <c r="G79" s="54" t="n"/>
      <c r="H79" s="54" t="n"/>
      <c r="I79" s="54" t="n"/>
      <c r="J79" s="54" t="n"/>
      <c r="K79" s="54" t="n"/>
      <c r="L79" s="54" t="n"/>
      <c r="M79" s="54" t="n"/>
      <c r="N79" s="54" t="n"/>
      <c r="O79" s="54" t="n"/>
      <c r="P79" s="54" t="n"/>
      <c r="Q79" s="54" t="n"/>
      <c r="R79" s="54" t="n"/>
      <c r="S79" s="54" t="n"/>
      <c r="T79" s="54" t="n"/>
      <c r="U79" s="54" t="n"/>
      <c r="V79" s="54" t="n"/>
      <c r="W79" s="54" t="n"/>
      <c r="X79" s="55" t="n"/>
    </row>
    <row r="80" ht="18.75" customHeight="1">
      <c r="B80" s="60" t="inlineStr">
        <is>
          <t>1%管理費</t>
        </is>
      </c>
      <c r="C80" s="62" t="n"/>
      <c r="D80" s="54" t="n"/>
      <c r="E80" s="54" t="n"/>
      <c r="F80" s="54" t="n"/>
      <c r="G80" s="54" t="n"/>
      <c r="H80" s="54" t="n"/>
      <c r="I80" s="54" t="n"/>
      <c r="J80" s="54" t="n"/>
      <c r="K80" s="54" t="n"/>
      <c r="L80" s="54" t="n"/>
      <c r="M80" s="54" t="n"/>
      <c r="N80" s="54" t="n"/>
      <c r="O80" s="54" t="n"/>
      <c r="P80" s="54" t="n"/>
      <c r="Q80" s="54" t="n"/>
      <c r="R80" s="54" t="n"/>
      <c r="S80" s="54" t="n"/>
      <c r="T80" s="54" t="n"/>
      <c r="U80" s="54" t="n"/>
      <c r="V80" s="54" t="n"/>
      <c r="W80" s="54" t="n"/>
      <c r="X80" s="55" t="n"/>
    </row>
    <row r="81" ht="18.75" customHeight="1">
      <c r="B81" s="67" t="inlineStr">
        <is>
          <t>稅前淨利</t>
        </is>
      </c>
      <c r="C81" s="101" t="n"/>
      <c r="D81" s="69">
        <f>SUM(D69:D80)</f>
        <v/>
      </c>
      <c r="E81" s="69">
        <f>SUM(E69:E80)</f>
        <v/>
      </c>
      <c r="F81" s="69">
        <f>SUM(F69:F80)</f>
        <v/>
      </c>
      <c r="G81" s="69">
        <f>SUM(G69:G80)</f>
        <v/>
      </c>
      <c r="H81" s="69">
        <f>SUM(H69:H80)</f>
        <v/>
      </c>
      <c r="I81" s="69">
        <f>SUM(I69:I80)</f>
        <v/>
      </c>
      <c r="J81" s="69">
        <f>SUM(J69:J80)</f>
        <v/>
      </c>
      <c r="K81" s="69">
        <f>SUM(K69:K80)</f>
        <v/>
      </c>
      <c r="L81" s="69">
        <f>SUM(L69:L80)</f>
        <v/>
      </c>
      <c r="M81" s="69">
        <f>SUM(M69:M80)</f>
        <v/>
      </c>
      <c r="N81" s="69">
        <f>SUM(N69:N80)</f>
        <v/>
      </c>
      <c r="O81" s="69">
        <f>SUM(O69:O80)</f>
        <v/>
      </c>
      <c r="P81" s="69">
        <f>SUM(P69:P80)</f>
        <v/>
      </c>
      <c r="Q81" s="69">
        <f>SUM(Q69:Q80)</f>
        <v/>
      </c>
      <c r="R81" s="69">
        <f>SUM(R69:R80)</f>
        <v/>
      </c>
      <c r="S81" s="69">
        <f>SUM(S69:S80)</f>
        <v/>
      </c>
      <c r="T81" s="69">
        <f>SUM(T69:T80)</f>
        <v/>
      </c>
      <c r="U81" s="69">
        <f>SUM(U69:U80)</f>
        <v/>
      </c>
      <c r="V81" s="69">
        <f>SUM(V69:V80)</f>
        <v/>
      </c>
      <c r="W81" s="69">
        <f>SUM(W69:W80)</f>
        <v/>
      </c>
      <c r="X81" s="69">
        <f>SUM(X69:X80)</f>
        <v/>
      </c>
    </row>
    <row r="82" ht="18.75" customHeight="1">
      <c r="B82" s="65" t="inlineStr">
        <is>
          <t>所得稅20%</t>
        </is>
      </c>
      <c r="C82" s="62" t="n"/>
      <c r="D82" s="54">
        <f>-D81*0.2</f>
        <v/>
      </c>
      <c r="E82" s="54">
        <f>-E81*0.2</f>
        <v/>
      </c>
      <c r="F82" s="54">
        <f>-F81*0.2</f>
        <v/>
      </c>
      <c r="G82" s="54">
        <f>-G81*0.2</f>
        <v/>
      </c>
      <c r="H82" s="54">
        <f>-H81*0.2</f>
        <v/>
      </c>
      <c r="I82" s="54">
        <f>-I81*0.2</f>
        <v/>
      </c>
      <c r="J82" s="54">
        <f>-J81*0.2</f>
        <v/>
      </c>
      <c r="K82" s="54">
        <f>-K81*0.2</f>
        <v/>
      </c>
      <c r="L82" s="54">
        <f>-L81*0.2</f>
        <v/>
      </c>
      <c r="M82" s="54">
        <f>-M81*0.2</f>
        <v/>
      </c>
      <c r="N82" s="54">
        <f>-N81*0.2</f>
        <v/>
      </c>
      <c r="O82" s="54">
        <f>-O81*0.2</f>
        <v/>
      </c>
      <c r="P82" s="54">
        <f>-P81*0.2</f>
        <v/>
      </c>
      <c r="Q82" s="54">
        <f>-Q81*0.2</f>
        <v/>
      </c>
      <c r="R82" s="54">
        <f>-R81*0.2</f>
        <v/>
      </c>
      <c r="S82" s="54">
        <f>-S81*0.2</f>
        <v/>
      </c>
      <c r="T82" s="54">
        <f>-T81*0.2</f>
        <v/>
      </c>
      <c r="U82" s="54">
        <f>-U81*0.2</f>
        <v/>
      </c>
      <c r="V82" s="54">
        <f>-V81*0.2</f>
        <v/>
      </c>
      <c r="W82" s="54">
        <f>-W81*0.2</f>
        <v/>
      </c>
      <c r="X82" s="54">
        <f>-X81*0.2</f>
        <v/>
      </c>
    </row>
    <row r="83">
      <c r="B83" s="102" t="inlineStr">
        <is>
          <t>稅後淨利</t>
        </is>
      </c>
      <c r="D83" s="54">
        <f>SUM(D81:D82)</f>
        <v/>
      </c>
      <c r="E83" s="54">
        <f>SUM(E81:E82)</f>
        <v/>
      </c>
      <c r="F83" s="54">
        <f>SUM(F81:F82)</f>
        <v/>
      </c>
      <c r="G83" s="54">
        <f>SUM(G81:G82)</f>
        <v/>
      </c>
      <c r="H83" s="54">
        <f>SUM(H81:H82)</f>
        <v/>
      </c>
      <c r="I83" s="54">
        <f>SUM(I81:I82)</f>
        <v/>
      </c>
      <c r="J83" s="54">
        <f>SUM(J81:J82)</f>
        <v/>
      </c>
      <c r="K83" s="54">
        <f>SUM(K81:K82)</f>
        <v/>
      </c>
      <c r="L83" s="54">
        <f>SUM(L81:L82)</f>
        <v/>
      </c>
      <c r="M83" s="54">
        <f>SUM(M81:M82)</f>
        <v/>
      </c>
      <c r="N83" s="54">
        <f>SUM(N81:N82)</f>
        <v/>
      </c>
      <c r="O83" s="54">
        <f>SUM(O81:O82)</f>
        <v/>
      </c>
      <c r="P83" s="54">
        <f>SUM(P81:P82)</f>
        <v/>
      </c>
      <c r="Q83" s="54">
        <f>SUM(Q81:Q82)</f>
        <v/>
      </c>
      <c r="R83" s="54">
        <f>SUM(R81:R82)</f>
        <v/>
      </c>
      <c r="S83" s="54">
        <f>SUM(S81:S82)</f>
        <v/>
      </c>
      <c r="T83" s="54">
        <f>SUM(T81:T82)</f>
        <v/>
      </c>
      <c r="U83" s="54">
        <f>SUM(U81:U82)</f>
        <v/>
      </c>
      <c r="V83" s="54">
        <f>SUM(V81:V82)</f>
        <v/>
      </c>
      <c r="W83" s="54">
        <f>SUM(W81:W82)</f>
        <v/>
      </c>
      <c r="X83" s="54">
        <f>SUM(X81:X82)</f>
        <v/>
      </c>
    </row>
    <row r="84" ht="18.75" customHeight="1">
      <c r="B84" s="72" t="inlineStr">
        <is>
          <t>累計現金流</t>
        </is>
      </c>
      <c r="C84" s="68" t="n"/>
      <c r="D84" s="73" t="n"/>
      <c r="E84" s="73" t="n"/>
      <c r="F84" s="73" t="n"/>
      <c r="G84" s="73" t="n"/>
      <c r="H84" s="73" t="n"/>
      <c r="I84" s="73" t="n"/>
      <c r="J84" s="73" t="n"/>
      <c r="K84" s="73" t="n"/>
      <c r="L84" s="73" t="n"/>
      <c r="M84" s="73" t="n"/>
      <c r="N84" s="73" t="n"/>
      <c r="O84" s="73" t="n"/>
      <c r="P84" s="73" t="n"/>
      <c r="Q84" s="73" t="n"/>
      <c r="R84" s="73" t="n"/>
      <c r="S84" s="73" t="n"/>
      <c r="T84" s="73" t="n"/>
      <c r="U84" s="73" t="n"/>
      <c r="V84" s="73" t="n"/>
      <c r="W84" s="73" t="n"/>
      <c r="X84" s="103" t="n"/>
    </row>
    <row r="85" ht="18.75" customHeight="1">
      <c r="B85" s="104" t="inlineStr">
        <is>
          <t>回收年限評估</t>
        </is>
      </c>
      <c r="C85" s="105" t="n"/>
      <c r="D85" s="106" t="n"/>
      <c r="E85" s="106" t="n"/>
      <c r="F85" s="106" t="n"/>
      <c r="G85" s="106" t="n"/>
      <c r="H85" s="106" t="n"/>
      <c r="I85" s="106" t="n"/>
      <c r="J85" s="106" t="n"/>
      <c r="K85" s="106" t="n"/>
      <c r="L85" s="106" t="n"/>
      <c r="M85" s="106" t="n"/>
      <c r="N85" s="106" t="n"/>
      <c r="O85" s="106" t="n"/>
      <c r="P85" s="106" t="n"/>
      <c r="Q85" s="106" t="n"/>
      <c r="R85" s="106" t="n"/>
      <c r="S85" s="106" t="n"/>
      <c r="T85" s="106" t="n"/>
      <c r="U85" s="106" t="n"/>
      <c r="V85" s="106" t="n"/>
      <c r="W85" s="106" t="n"/>
      <c r="X85" s="107" t="n"/>
    </row>
    <row r="86" ht="18.75" customHeight="1">
      <c r="B86" s="96" t="n"/>
      <c r="C86" s="95" t="n"/>
      <c r="D86" s="95" t="n"/>
      <c r="E86" s="95" t="n"/>
      <c r="F86" s="96" t="n"/>
      <c r="G86" s="96" t="n"/>
      <c r="H86" s="96" t="n"/>
      <c r="I86" s="96" t="n"/>
      <c r="J86" s="96" t="n"/>
      <c r="K86" s="96" t="n"/>
      <c r="L86" s="96" t="n"/>
      <c r="M86" s="95" t="n"/>
      <c r="N86" s="96" t="n"/>
      <c r="O86" s="96" t="n"/>
      <c r="P86" s="96" t="n"/>
      <c r="Q86" s="96" t="n"/>
      <c r="R86" s="96" t="n"/>
      <c r="S86" s="96" t="n"/>
      <c r="T86" s="96" t="n"/>
      <c r="U86" s="96" t="n"/>
      <c r="V86" s="96" t="n"/>
      <c r="W86" s="96" t="n"/>
      <c r="X86" s="96" t="n"/>
    </row>
    <row r="87" ht="18.75" customHeight="1">
      <c r="C87" s="108" t="inlineStr">
        <is>
          <t>年份</t>
        </is>
      </c>
      <c r="D87" s="109">
        <f>D37</f>
        <v/>
      </c>
      <c r="E87" s="109">
        <f>E37</f>
        <v/>
      </c>
      <c r="F87" s="109">
        <f>F37</f>
        <v/>
      </c>
      <c r="G87" s="109">
        <f>G37</f>
        <v/>
      </c>
      <c r="H87" s="109">
        <f>H37</f>
        <v/>
      </c>
      <c r="I87" s="109">
        <f>I37</f>
        <v/>
      </c>
      <c r="J87" s="109">
        <f>J37</f>
        <v/>
      </c>
      <c r="K87" s="109">
        <f>K37</f>
        <v/>
      </c>
      <c r="L87" s="109">
        <f>L37</f>
        <v/>
      </c>
      <c r="M87" s="109">
        <f>M37</f>
        <v/>
      </c>
      <c r="N87" s="109">
        <f>N37</f>
        <v/>
      </c>
      <c r="O87" s="109">
        <f>O37</f>
        <v/>
      </c>
      <c r="P87" s="109">
        <f>P37</f>
        <v/>
      </c>
      <c r="Q87" s="109">
        <f>Q37</f>
        <v/>
      </c>
      <c r="R87" s="109">
        <f>R37</f>
        <v/>
      </c>
      <c r="S87" s="109">
        <f>S37</f>
        <v/>
      </c>
      <c r="T87" s="109">
        <f>T37</f>
        <v/>
      </c>
      <c r="U87" s="109">
        <f>U37</f>
        <v/>
      </c>
      <c r="V87" s="109">
        <f>V37</f>
        <v/>
      </c>
      <c r="W87" s="109">
        <f>W37</f>
        <v/>
      </c>
      <c r="X87" s="110" t="n"/>
    </row>
    <row r="88" ht="18.75" customHeight="1">
      <c r="X88" s="111" t="n"/>
    </row>
    <row r="89" ht="18.75" customHeight="1">
      <c r="B89" s="112" t="inlineStr">
        <is>
          <t>(Unit : Currency)</t>
        </is>
      </c>
      <c r="C89" s="112" t="n">
        <v>0</v>
      </c>
      <c r="D89" s="112" t="n">
        <v>1</v>
      </c>
      <c r="E89" s="112" t="n">
        <v>2</v>
      </c>
      <c r="F89" s="112" t="n">
        <v>3</v>
      </c>
      <c r="G89" s="112" t="n">
        <v>4</v>
      </c>
      <c r="H89" s="112" t="n">
        <v>5</v>
      </c>
      <c r="I89" s="112" t="n">
        <v>6</v>
      </c>
      <c r="J89" s="112" t="n">
        <v>7</v>
      </c>
      <c r="K89" s="112" t="n">
        <v>8</v>
      </c>
      <c r="L89" s="112" t="n">
        <v>9</v>
      </c>
      <c r="M89" s="112" t="n">
        <v>10</v>
      </c>
      <c r="N89" s="112" t="n">
        <v>11</v>
      </c>
      <c r="O89" s="112" t="n">
        <v>12</v>
      </c>
      <c r="P89" s="112" t="n">
        <v>13</v>
      </c>
      <c r="Q89" s="112" t="n">
        <v>14</v>
      </c>
      <c r="R89" s="112" t="n">
        <v>15</v>
      </c>
      <c r="S89" s="112" t="n">
        <v>16</v>
      </c>
      <c r="T89" s="112" t="n">
        <v>17</v>
      </c>
      <c r="U89" s="112" t="n">
        <v>18</v>
      </c>
      <c r="V89" s="112" t="n">
        <v>19</v>
      </c>
      <c r="W89" s="112" t="n">
        <v>20</v>
      </c>
      <c r="X89" s="113" t="n"/>
    </row>
    <row r="90" ht="18.75" customHeight="1">
      <c r="B90" s="114" t="inlineStr">
        <is>
          <t>稅後淨利</t>
        </is>
      </c>
      <c r="C90" s="114" t="n"/>
      <c r="D90" s="115">
        <f>D83</f>
        <v/>
      </c>
      <c r="E90" s="115">
        <f>E83</f>
        <v/>
      </c>
      <c r="F90" s="115">
        <f>F83</f>
        <v/>
      </c>
      <c r="G90" s="115">
        <f>G83</f>
        <v/>
      </c>
      <c r="H90" s="115">
        <f>H83</f>
        <v/>
      </c>
      <c r="I90" s="115">
        <f>I83</f>
        <v/>
      </c>
      <c r="J90" s="115">
        <f>J83</f>
        <v/>
      </c>
      <c r="K90" s="115">
        <f>K83</f>
        <v/>
      </c>
      <c r="L90" s="115">
        <f>L83</f>
        <v/>
      </c>
      <c r="M90" s="115">
        <f>M83</f>
        <v/>
      </c>
      <c r="N90" s="115">
        <f>N83</f>
        <v/>
      </c>
      <c r="O90" s="115">
        <f>O83</f>
        <v/>
      </c>
      <c r="P90" s="115">
        <f>P83</f>
        <v/>
      </c>
      <c r="Q90" s="115">
        <f>Q83</f>
        <v/>
      </c>
      <c r="R90" s="115">
        <f>R83</f>
        <v/>
      </c>
      <c r="S90" s="115">
        <f>S83</f>
        <v/>
      </c>
      <c r="T90" s="115">
        <f>T83</f>
        <v/>
      </c>
      <c r="U90" s="115">
        <f>U83</f>
        <v/>
      </c>
      <c r="V90" s="115">
        <f>V83</f>
        <v/>
      </c>
      <c r="W90" s="115">
        <f>W83</f>
        <v/>
      </c>
      <c r="X90" s="114" t="n"/>
      <c r="Y90" s="114" t="n"/>
    </row>
    <row r="91">
      <c r="B91" s="114" t="inlineStr">
        <is>
          <t>設備折舊</t>
        </is>
      </c>
      <c r="C91" s="114" t="n"/>
      <c r="D91" s="116">
        <f>-D72</f>
        <v/>
      </c>
      <c r="E91" s="116">
        <f>-E72</f>
        <v/>
      </c>
      <c r="F91" s="116">
        <f>-F72</f>
        <v/>
      </c>
      <c r="G91" s="116">
        <f>-G72</f>
        <v/>
      </c>
      <c r="H91" s="116">
        <f>-H72</f>
        <v/>
      </c>
      <c r="I91" s="116">
        <f>-I72</f>
        <v/>
      </c>
      <c r="J91" s="116">
        <f>-J72</f>
        <v/>
      </c>
      <c r="K91" s="116">
        <f>-K72</f>
        <v/>
      </c>
      <c r="L91" s="116">
        <f>-L72</f>
        <v/>
      </c>
      <c r="M91" s="116">
        <f>-M72</f>
        <v/>
      </c>
      <c r="N91" s="116">
        <f>-N72</f>
        <v/>
      </c>
      <c r="O91" s="116">
        <f>-O72</f>
        <v/>
      </c>
      <c r="P91" s="116">
        <f>-P72</f>
        <v/>
      </c>
      <c r="Q91" s="116">
        <f>-Q72</f>
        <v/>
      </c>
      <c r="R91" s="116">
        <f>-R72</f>
        <v/>
      </c>
      <c r="S91" s="116">
        <f>-S72</f>
        <v/>
      </c>
      <c r="T91" s="116">
        <f>-T72</f>
        <v/>
      </c>
      <c r="U91" s="116">
        <f>-U72</f>
        <v/>
      </c>
      <c r="V91" s="116">
        <f>-V72</f>
        <v/>
      </c>
      <c r="W91" s="116">
        <f>-W72</f>
        <v/>
      </c>
      <c r="X91" s="77" t="n"/>
    </row>
    <row r="92">
      <c r="B92" s="114" t="inlineStr">
        <is>
          <t>營運活動現金流量</t>
        </is>
      </c>
      <c r="C92" s="114" t="n"/>
      <c r="D92" s="117">
        <f>SUM(D90:D91)</f>
        <v/>
      </c>
      <c r="E92" s="117">
        <f>SUM(E90:E91)</f>
        <v/>
      </c>
      <c r="F92" s="117">
        <f>SUM(F90:F91)</f>
        <v/>
      </c>
      <c r="G92" s="117">
        <f>SUM(G90:G91)</f>
        <v/>
      </c>
      <c r="H92" s="117">
        <f>SUM(H90:H91)</f>
        <v/>
      </c>
      <c r="I92" s="117">
        <f>SUM(I90:I91)</f>
        <v/>
      </c>
      <c r="J92" s="117">
        <f>SUM(J90:J91)</f>
        <v/>
      </c>
      <c r="K92" s="117">
        <f>SUM(K90:K91)</f>
        <v/>
      </c>
      <c r="L92" s="117">
        <f>SUM(L90:L91)</f>
        <v/>
      </c>
      <c r="M92" s="117">
        <f>SUM(M90:M91)</f>
        <v/>
      </c>
      <c r="N92" s="117">
        <f>SUM(N90:N91)</f>
        <v/>
      </c>
      <c r="O92" s="117">
        <f>SUM(O90:O91)</f>
        <v/>
      </c>
      <c r="P92" s="117">
        <f>SUM(P90:P91)</f>
        <v/>
      </c>
      <c r="Q92" s="117">
        <f>SUM(Q90:Q91)</f>
        <v/>
      </c>
      <c r="R92" s="117">
        <f>SUM(R90:R91)</f>
        <v/>
      </c>
      <c r="S92" s="117">
        <f>SUM(S90:S91)</f>
        <v/>
      </c>
      <c r="T92" s="117">
        <f>SUM(T90:T91)</f>
        <v/>
      </c>
      <c r="U92" s="117">
        <f>SUM(U90:U91)</f>
        <v/>
      </c>
      <c r="V92" s="117">
        <f>SUM(V90:V91)</f>
        <v/>
      </c>
      <c r="W92" s="117">
        <f>SUM(W90:W91)</f>
        <v/>
      </c>
      <c r="X92" s="118" t="n"/>
    </row>
    <row r="93">
      <c r="B93" s="114" t="n"/>
      <c r="C93" s="114" t="n"/>
      <c r="D93" s="114" t="n"/>
      <c r="E93" s="114" t="n"/>
      <c r="F93" s="119" t="n"/>
      <c r="G93" s="119" t="n"/>
      <c r="H93" s="119" t="n"/>
      <c r="I93" s="119" t="n"/>
      <c r="J93" s="119" t="n"/>
      <c r="K93" s="119" t="n"/>
      <c r="L93" s="119" t="n"/>
      <c r="M93" s="119" t="n"/>
      <c r="N93" s="119" t="n"/>
      <c r="O93" s="119" t="n"/>
      <c r="P93" s="119" t="n"/>
      <c r="Q93" s="119" t="n"/>
      <c r="R93" s="119" t="n"/>
      <c r="S93" s="119" t="n"/>
      <c r="T93" s="119" t="n"/>
      <c r="U93" s="119" t="n"/>
      <c r="V93" s="119" t="n"/>
      <c r="W93" s="119" t="n"/>
      <c r="X93" s="120" t="n"/>
    </row>
    <row r="94">
      <c r="B94" s="121" t="inlineStr">
        <is>
          <t>投資活動-設備支出</t>
        </is>
      </c>
      <c r="C94" s="122" t="n"/>
      <c r="D94" s="123">
        <f>C44</f>
        <v/>
      </c>
      <c r="E94" s="122" t="n"/>
      <c r="F94" s="122" t="n"/>
      <c r="G94" s="122" t="n"/>
      <c r="H94" s="122" t="n"/>
      <c r="I94" s="122" t="n"/>
      <c r="J94" s="122" t="n"/>
      <c r="K94" s="122" t="n"/>
      <c r="L94" s="122" t="n"/>
      <c r="M94" s="122" t="n"/>
      <c r="N94" s="122" t="n"/>
      <c r="O94" s="122" t="n"/>
      <c r="P94" s="122" t="n"/>
      <c r="Q94" s="122" t="n"/>
      <c r="R94" s="122" t="n"/>
      <c r="S94" s="122" t="n"/>
      <c r="T94" s="122" t="n"/>
      <c r="U94" s="122" t="n"/>
      <c r="V94" s="122" t="n"/>
      <c r="W94" s="122" t="n"/>
      <c r="X94" s="77" t="n"/>
    </row>
    <row r="95">
      <c r="B95" s="114" t="n"/>
      <c r="C95" s="114" t="n"/>
      <c r="D95" s="114" t="n"/>
      <c r="E95" s="114" t="n"/>
      <c r="F95" s="119" t="n"/>
      <c r="G95" s="119" t="n"/>
      <c r="H95" s="119" t="n"/>
      <c r="I95" s="119" t="n"/>
      <c r="J95" s="119" t="n"/>
      <c r="K95" s="119" t="n"/>
      <c r="L95" s="119" t="n"/>
      <c r="M95" s="119" t="n"/>
      <c r="N95" s="119" t="n"/>
      <c r="O95" s="119" t="n"/>
      <c r="P95" s="119" t="n"/>
      <c r="Q95" s="119" t="n"/>
      <c r="R95" s="119" t="n"/>
      <c r="S95" s="119" t="n"/>
      <c r="T95" s="119" t="n"/>
      <c r="U95" s="119" t="n"/>
      <c r="V95" s="119" t="n"/>
      <c r="W95" s="119" t="n"/>
      <c r="X95" s="120" t="n"/>
    </row>
    <row r="96">
      <c r="B96" s="114" t="n"/>
      <c r="C96" s="114" t="n"/>
      <c r="D96" s="114" t="n"/>
      <c r="E96" s="114" t="n"/>
      <c r="F96" s="119" t="n"/>
      <c r="G96" s="119" t="n"/>
      <c r="H96" s="119" t="n"/>
      <c r="I96" s="119" t="n"/>
      <c r="J96" s="119" t="n"/>
      <c r="K96" s="119" t="n"/>
      <c r="L96" s="119" t="n"/>
      <c r="M96" s="119" t="n"/>
      <c r="N96" s="119" t="n"/>
      <c r="O96" s="119" t="n"/>
      <c r="P96" s="119" t="n"/>
      <c r="Q96" s="119" t="n"/>
      <c r="R96" s="119" t="n"/>
      <c r="S96" s="119" t="n"/>
      <c r="T96" s="119" t="n"/>
      <c r="U96" s="119" t="n"/>
      <c r="V96" s="119" t="n"/>
      <c r="W96" s="119" t="n"/>
      <c r="X96" s="120" t="n"/>
    </row>
    <row r="97">
      <c r="B97" s="121" t="inlineStr">
        <is>
          <t>理財活動-借款</t>
        </is>
      </c>
      <c r="C97" s="122" t="n"/>
      <c r="D97" s="123">
        <f>-D94*D31</f>
        <v/>
      </c>
      <c r="E97" s="122" t="n"/>
      <c r="F97" s="122" t="n"/>
      <c r="G97" s="122" t="n"/>
      <c r="H97" s="122" t="n"/>
      <c r="I97" s="122" t="n"/>
      <c r="J97" s="122" t="n"/>
      <c r="K97" s="122" t="n"/>
      <c r="L97" s="122" t="n"/>
      <c r="M97" s="122" t="n"/>
      <c r="N97" s="122" t="n"/>
      <c r="O97" s="122" t="n"/>
      <c r="P97" s="122" t="n"/>
      <c r="Q97" s="122" t="n"/>
      <c r="R97" s="122" t="n"/>
      <c r="S97" s="122" t="n"/>
      <c r="T97" s="122" t="n"/>
      <c r="U97" s="122" t="n"/>
      <c r="V97" s="122" t="n"/>
      <c r="W97" s="122" t="n"/>
      <c r="X97" s="120" t="n"/>
    </row>
    <row r="98">
      <c r="B98" s="114" t="inlineStr">
        <is>
          <t>理財活動-還款</t>
        </is>
      </c>
      <c r="C98" s="114" t="n"/>
      <c r="D98" s="114" t="n"/>
      <c r="E98" s="114" t="n">
        <v>-918717.3333333334</v>
      </c>
      <c r="F98" s="114" t="n">
        <v>-918717.3333333334</v>
      </c>
      <c r="G98" s="114" t="n">
        <v>-918717.3333333334</v>
      </c>
      <c r="H98" s="114" t="n">
        <v>-918717.3333333334</v>
      </c>
      <c r="I98" s="114" t="n">
        <v>-918717.3333333334</v>
      </c>
      <c r="J98" s="114" t="n">
        <v>-918717.3333333334</v>
      </c>
      <c r="K98" s="114" t="n">
        <v>-918717.3333333334</v>
      </c>
      <c r="L98" s="114" t="n">
        <v>-918717.3333333334</v>
      </c>
      <c r="M98" s="114" t="n">
        <v>-918717.3333333334</v>
      </c>
      <c r="N98" s="114" t="n">
        <v>-918717.3333333334</v>
      </c>
      <c r="O98" s="114" t="n">
        <v>-918717.3333333334</v>
      </c>
      <c r="P98" s="114" t="n">
        <v>-918717.3333333334</v>
      </c>
      <c r="Q98" s="114" t="n">
        <v>-918717.3333333334</v>
      </c>
      <c r="R98" s="114" t="n">
        <v>-918717.3333333334</v>
      </c>
      <c r="S98" s="114" t="n">
        <v>-918717.3333333334</v>
      </c>
      <c r="T98" s="119" t="n">
        <v>0</v>
      </c>
      <c r="U98" s="119" t="n">
        <v>0</v>
      </c>
      <c r="V98" s="119" t="n">
        <v>0</v>
      </c>
      <c r="W98" s="119" t="n">
        <v>0</v>
      </c>
      <c r="X98" s="77" t="n"/>
    </row>
    <row r="99">
      <c r="B99" s="114" t="inlineStr">
        <is>
          <t>理財活動-現金增資</t>
        </is>
      </c>
      <c r="C99" s="119" t="n"/>
      <c r="D99" s="115">
        <f>-D94*(1-D31)</f>
        <v/>
      </c>
      <c r="E99" s="119" t="n"/>
      <c r="F99" s="119" t="n"/>
      <c r="G99" s="119" t="n"/>
      <c r="H99" s="119" t="n"/>
      <c r="I99" s="119" t="n"/>
      <c r="J99" s="119" t="n"/>
      <c r="K99" s="119" t="n"/>
      <c r="L99" s="119" t="n"/>
      <c r="M99" s="119" t="n"/>
      <c r="N99" s="119" t="n"/>
      <c r="O99" s="119" t="n"/>
      <c r="P99" s="119" t="n"/>
      <c r="Q99" s="119" t="n"/>
      <c r="R99" s="119" t="n"/>
      <c r="S99" s="119" t="n"/>
      <c r="T99" s="119" t="n"/>
      <c r="U99" s="119" t="n"/>
      <c r="V99" s="119" t="n"/>
      <c r="W99" s="119" t="n"/>
      <c r="X99" s="118" t="n"/>
    </row>
    <row r="100">
      <c r="B100" s="114" t="inlineStr">
        <is>
          <t>現金股利</t>
        </is>
      </c>
      <c r="C100" s="119" t="n"/>
      <c r="D100" s="119" t="n"/>
      <c r="E100" s="124">
        <f>-D90*$D$33</f>
        <v/>
      </c>
      <c r="F100" s="124">
        <f>-E90*$D$33</f>
        <v/>
      </c>
      <c r="G100" s="124">
        <f>-F90*$D$33</f>
        <v/>
      </c>
      <c r="H100" s="124">
        <f>-G90*$D$33</f>
        <v/>
      </c>
      <c r="I100" s="124">
        <f>-H90*$D$33</f>
        <v/>
      </c>
      <c r="J100" s="124">
        <f>-I90*$D$33</f>
        <v/>
      </c>
      <c r="K100" s="124">
        <f>-J90*$D$33</f>
        <v/>
      </c>
      <c r="L100" s="124">
        <f>-K90*$D$33</f>
        <v/>
      </c>
      <c r="M100" s="124">
        <f>-L90*$D$33</f>
        <v/>
      </c>
      <c r="N100" s="124">
        <f>-M90*$D$33</f>
        <v/>
      </c>
      <c r="O100" s="124">
        <f>-N90*$D$33</f>
        <v/>
      </c>
      <c r="P100" s="124">
        <f>-O90*$D$33</f>
        <v/>
      </c>
      <c r="Q100" s="124">
        <f>-P90*$D$33</f>
        <v/>
      </c>
      <c r="R100" s="124">
        <f>-Q90*$D$33</f>
        <v/>
      </c>
      <c r="S100" s="124">
        <f>-R90*$D$33</f>
        <v/>
      </c>
      <c r="T100" s="124">
        <f>-S90*$D$33</f>
        <v/>
      </c>
      <c r="U100" s="124">
        <f>-T90*$D$33</f>
        <v/>
      </c>
      <c r="V100" s="124">
        <f>-U90*$D$33</f>
        <v/>
      </c>
      <c r="W100" s="124">
        <f>-V90*$D$33</f>
        <v/>
      </c>
      <c r="X100" s="125">
        <f>-W90</f>
        <v/>
      </c>
    </row>
    <row r="101">
      <c r="B101" s="126" t="inlineStr">
        <is>
          <t>年底減資</t>
        </is>
      </c>
      <c r="C101" s="127" t="n"/>
      <c r="D101" s="127" t="n">
        <v>0</v>
      </c>
      <c r="E101" s="128" t="n">
        <v>0</v>
      </c>
      <c r="F101" s="128" t="n">
        <v>0</v>
      </c>
      <c r="G101" s="128" t="n">
        <v>0</v>
      </c>
      <c r="H101" s="128" t="n">
        <v>0</v>
      </c>
      <c r="I101" s="128" t="n">
        <v>0</v>
      </c>
      <c r="J101" s="128" t="n">
        <v>0</v>
      </c>
      <c r="K101" s="128" t="n">
        <v>0</v>
      </c>
      <c r="L101" s="128" t="n">
        <v>0</v>
      </c>
      <c r="M101" s="128" t="n">
        <v>0</v>
      </c>
      <c r="N101" s="128" t="n">
        <v>0</v>
      </c>
      <c r="O101" s="128" t="n">
        <v>0</v>
      </c>
      <c r="P101" s="128" t="n">
        <v>0</v>
      </c>
      <c r="Q101" s="128" t="n">
        <v>0</v>
      </c>
      <c r="R101" s="129" t="n">
        <v>0</v>
      </c>
      <c r="S101" s="129" t="n">
        <v>0</v>
      </c>
      <c r="T101" s="129" t="n">
        <v>-861297.5</v>
      </c>
      <c r="U101" s="129" t="n">
        <v>-861297.5</v>
      </c>
      <c r="V101" s="128" t="n">
        <v>-861297.5</v>
      </c>
      <c r="W101" s="128" t="n">
        <v>-861297.5</v>
      </c>
      <c r="X101" s="125">
        <f>-W106-X100</f>
        <v/>
      </c>
    </row>
    <row r="102">
      <c r="B102" s="119" t="n"/>
      <c r="C102" s="119" t="n"/>
      <c r="D102" s="119" t="n"/>
      <c r="E102" s="119" t="n"/>
      <c r="F102" s="119" t="n"/>
      <c r="G102" s="119" t="n"/>
      <c r="H102" s="119" t="n"/>
      <c r="I102" s="119" t="n"/>
      <c r="J102" s="119" t="n"/>
      <c r="K102" s="119" t="n"/>
      <c r="L102" s="119" t="n"/>
      <c r="M102" s="119" t="n"/>
      <c r="N102" s="119" t="n"/>
      <c r="O102" s="119" t="n"/>
      <c r="P102" s="119" t="n"/>
      <c r="Q102" s="119" t="n"/>
      <c r="R102" s="119" t="n"/>
      <c r="S102" s="119" t="n"/>
      <c r="T102" s="119" t="n"/>
      <c r="U102" s="119" t="n"/>
      <c r="V102" s="119" t="n"/>
      <c r="W102" s="119" t="n"/>
      <c r="X102" s="118" t="n"/>
    </row>
    <row r="103">
      <c r="B103" s="119" t="n"/>
      <c r="C103" s="119" t="n"/>
      <c r="D103" s="119" t="n"/>
      <c r="E103" s="119" t="n"/>
      <c r="F103" s="119" t="n"/>
      <c r="G103" s="119" t="n"/>
      <c r="H103" s="119" t="n"/>
      <c r="I103" s="119" t="n"/>
      <c r="J103" s="119" t="n"/>
      <c r="K103" s="119" t="n"/>
      <c r="L103" s="119" t="n"/>
      <c r="M103" s="119" t="n"/>
      <c r="N103" s="119" t="n"/>
      <c r="O103" s="119" t="n"/>
      <c r="P103" s="119" t="n"/>
      <c r="Q103" s="119" t="n"/>
      <c r="R103" s="119" t="n"/>
      <c r="S103" s="119" t="n"/>
      <c r="T103" s="119" t="n"/>
      <c r="U103" s="119" t="n"/>
      <c r="V103" s="119" t="n"/>
      <c r="W103" s="119" t="n"/>
      <c r="X103" s="118" t="n"/>
    </row>
    <row r="104" ht="16.5" customHeight="1">
      <c r="B104" s="114" t="inlineStr">
        <is>
          <t>現金淨流入(出 )</t>
        </is>
      </c>
      <c r="C104" s="130" t="n">
        <v>0</v>
      </c>
      <c r="D104" s="115">
        <f>SUM(D92:D101)</f>
        <v/>
      </c>
      <c r="E104" s="115">
        <f>SUM(E92:E101)</f>
        <v/>
      </c>
      <c r="F104" s="115">
        <f>SUM(F92:F101)</f>
        <v/>
      </c>
      <c r="G104" s="115">
        <f>SUM(G92:G101)</f>
        <v/>
      </c>
      <c r="H104" s="115">
        <f>SUM(H92:H101)</f>
        <v/>
      </c>
      <c r="I104" s="115">
        <f>SUM(I92:I101)</f>
        <v/>
      </c>
      <c r="J104" s="115">
        <f>SUM(J92:J101)</f>
        <v/>
      </c>
      <c r="K104" s="115">
        <f>SUM(K92:K101)</f>
        <v/>
      </c>
      <c r="L104" s="115">
        <f>SUM(L92:L101)</f>
        <v/>
      </c>
      <c r="M104" s="115">
        <f>SUM(M92:M101)</f>
        <v/>
      </c>
      <c r="N104" s="115">
        <f>SUM(N92:N101)</f>
        <v/>
      </c>
      <c r="O104" s="115">
        <f>SUM(O92:O101)</f>
        <v/>
      </c>
      <c r="P104" s="115">
        <f>SUM(P92:P101)</f>
        <v/>
      </c>
      <c r="Q104" s="115">
        <f>SUM(Q92:Q101)</f>
        <v/>
      </c>
      <c r="R104" s="115">
        <f>SUM(R92:R101)</f>
        <v/>
      </c>
      <c r="S104" s="115">
        <f>SUM(S92:S101)</f>
        <v/>
      </c>
      <c r="T104" s="115">
        <f>SUM(T92:T101)</f>
        <v/>
      </c>
      <c r="U104" s="115">
        <f>SUM(U92:U101)</f>
        <v/>
      </c>
      <c r="V104" s="115">
        <f>SUM(V92:V101)</f>
        <v/>
      </c>
      <c r="W104" s="115">
        <f>SUM(W92:W101)</f>
        <v/>
      </c>
      <c r="X104" s="118" t="n"/>
    </row>
    <row r="105">
      <c r="B105" s="114" t="inlineStr">
        <is>
          <t>期初淨現金</t>
        </is>
      </c>
      <c r="C105" s="115" t="n">
        <v>0</v>
      </c>
      <c r="D105" s="115">
        <f>C106</f>
        <v/>
      </c>
      <c r="E105" s="115">
        <f>D106</f>
        <v/>
      </c>
      <c r="F105" s="115">
        <f>E106</f>
        <v/>
      </c>
      <c r="G105" s="115">
        <f>F106</f>
        <v/>
      </c>
      <c r="H105" s="115">
        <f>G106</f>
        <v/>
      </c>
      <c r="I105" s="115">
        <f>H106</f>
        <v/>
      </c>
      <c r="J105" s="115">
        <f>I106</f>
        <v/>
      </c>
      <c r="K105" s="115">
        <f>J106</f>
        <v/>
      </c>
      <c r="L105" s="115">
        <f>K106</f>
        <v/>
      </c>
      <c r="M105" s="115">
        <f>L106</f>
        <v/>
      </c>
      <c r="N105" s="115">
        <f>M106</f>
        <v/>
      </c>
      <c r="O105" s="115">
        <f>N106</f>
        <v/>
      </c>
      <c r="P105" s="115">
        <f>O106</f>
        <v/>
      </c>
      <c r="Q105" s="115">
        <f>P106</f>
        <v/>
      </c>
      <c r="R105" s="115">
        <f>Q106</f>
        <v/>
      </c>
      <c r="S105" s="115">
        <f>R106</f>
        <v/>
      </c>
      <c r="T105" s="115">
        <f>S106</f>
        <v/>
      </c>
      <c r="U105" s="115">
        <f>T106</f>
        <v/>
      </c>
      <c r="V105" s="115">
        <f>U106</f>
        <v/>
      </c>
      <c r="W105" s="115">
        <f>V106</f>
        <v/>
      </c>
      <c r="X105" s="120" t="n"/>
    </row>
    <row r="106">
      <c r="B106" s="114" t="inlineStr">
        <is>
          <t>期未淨現金</t>
        </is>
      </c>
      <c r="C106" s="115" t="n">
        <v>0</v>
      </c>
      <c r="D106" s="115">
        <f>D104+D105</f>
        <v/>
      </c>
      <c r="E106" s="115">
        <f>E104+E105</f>
        <v/>
      </c>
      <c r="F106" s="115">
        <f>F104+F105</f>
        <v/>
      </c>
      <c r="G106" s="115">
        <f>G104+G105</f>
        <v/>
      </c>
      <c r="H106" s="115">
        <f>H104+H105</f>
        <v/>
      </c>
      <c r="I106" s="115">
        <f>I104+I105</f>
        <v/>
      </c>
      <c r="J106" s="115">
        <f>J104+J105</f>
        <v/>
      </c>
      <c r="K106" s="115">
        <f>K104+K105</f>
        <v/>
      </c>
      <c r="L106" s="115">
        <f>L104+L105</f>
        <v/>
      </c>
      <c r="M106" s="115">
        <f>M104+M105</f>
        <v/>
      </c>
      <c r="N106" s="115">
        <f>N104+N105</f>
        <v/>
      </c>
      <c r="O106" s="115">
        <f>O104+O105</f>
        <v/>
      </c>
      <c r="P106" s="115">
        <f>P104+P105</f>
        <v/>
      </c>
      <c r="Q106" s="115">
        <f>Q104+Q105</f>
        <v/>
      </c>
      <c r="R106" s="115">
        <f>R104+R105</f>
        <v/>
      </c>
      <c r="S106" s="115">
        <f>S104+S105</f>
        <v/>
      </c>
      <c r="T106" s="115">
        <f>T104+T105</f>
        <v/>
      </c>
      <c r="U106" s="115">
        <f>U104+U105</f>
        <v/>
      </c>
      <c r="V106" s="115">
        <f>V104+V105</f>
        <v/>
      </c>
      <c r="W106" s="115">
        <f>W104+W105</f>
        <v/>
      </c>
      <c r="X106" s="120" t="n"/>
    </row>
    <row r="107">
      <c r="B107" s="114" t="n"/>
      <c r="C107" s="114" t="n"/>
      <c r="D107" s="114" t="n"/>
      <c r="E107" s="114" t="n"/>
      <c r="F107" s="114" t="n"/>
      <c r="G107" s="114" t="n"/>
      <c r="H107" s="114" t="n"/>
      <c r="I107" s="114" t="n"/>
      <c r="J107" s="114" t="n"/>
      <c r="K107" s="114" t="n"/>
      <c r="L107" s="114" t="n"/>
      <c r="M107" s="114" t="n"/>
      <c r="N107" s="114" t="n"/>
      <c r="O107" s="114" t="n"/>
      <c r="P107" s="114" t="n"/>
      <c r="Q107" s="114" t="n"/>
      <c r="R107" s="114" t="n"/>
      <c r="S107" s="114" t="n"/>
      <c r="T107" s="114" t="n"/>
      <c r="U107" s="114" t="n"/>
      <c r="V107" s="114" t="n"/>
      <c r="W107" s="114" t="n"/>
      <c r="X107" s="114" t="n"/>
    </row>
    <row r="108">
      <c r="B108" s="114" t="n"/>
      <c r="C108" s="114" t="n"/>
      <c r="D108" s="114" t="n"/>
      <c r="E108" s="114" t="n"/>
      <c r="F108" s="119" t="n"/>
      <c r="G108" s="114" t="n"/>
      <c r="H108" s="114" t="n"/>
      <c r="I108" s="114" t="n"/>
      <c r="J108" s="114" t="n"/>
      <c r="K108" s="114" t="n"/>
      <c r="L108" s="114" t="n"/>
      <c r="M108" s="114" t="n"/>
      <c r="N108" s="114" t="n"/>
      <c r="O108" s="114" t="n"/>
      <c r="P108" s="114" t="n"/>
      <c r="Q108" s="114" t="n"/>
      <c r="R108" s="114" t="n"/>
      <c r="S108" s="114" t="n"/>
      <c r="T108" s="114" t="n"/>
      <c r="U108" s="114" t="n"/>
      <c r="V108" s="114" t="n"/>
      <c r="W108" s="114" t="n"/>
      <c r="X108" s="114" t="n"/>
    </row>
    <row r="109">
      <c r="B109" s="131" t="inlineStr">
        <is>
          <t>成本法實際現金流</t>
        </is>
      </c>
      <c r="C109" s="132" t="n"/>
      <c r="D109" s="133">
        <f>-D99</f>
        <v/>
      </c>
      <c r="E109" s="117">
        <f>-E100-E101</f>
        <v/>
      </c>
      <c r="F109" s="117">
        <f>-F100-F101</f>
        <v/>
      </c>
      <c r="G109" s="117">
        <f>-G100-G101</f>
        <v/>
      </c>
      <c r="H109" s="117">
        <f>-H100-H101</f>
        <v/>
      </c>
      <c r="I109" s="117">
        <f>-I100-I101</f>
        <v/>
      </c>
      <c r="J109" s="117">
        <f>-J100-J101</f>
        <v/>
      </c>
      <c r="K109" s="117">
        <f>-K100-K101</f>
        <v/>
      </c>
      <c r="L109" s="117">
        <f>-L100-L101</f>
        <v/>
      </c>
      <c r="M109" s="117">
        <f>-M100-M101</f>
        <v/>
      </c>
      <c r="N109" s="117">
        <f>-N100-N101</f>
        <v/>
      </c>
      <c r="O109" s="117">
        <f>-O100-O101</f>
        <v/>
      </c>
      <c r="P109" s="117">
        <f>-P100-P101</f>
        <v/>
      </c>
      <c r="Q109" s="117">
        <f>-Q100-Q101</f>
        <v/>
      </c>
      <c r="R109" s="117">
        <f>-R100-R101</f>
        <v/>
      </c>
      <c r="S109" s="117">
        <f>-S100-S101</f>
        <v/>
      </c>
      <c r="T109" s="117">
        <f>-T100-T101</f>
        <v/>
      </c>
      <c r="U109" s="117">
        <f>-U100-U101</f>
        <v/>
      </c>
      <c r="V109" s="117">
        <f>-V100-V101</f>
        <v/>
      </c>
      <c r="W109" s="117">
        <f>-W100-W101</f>
        <v/>
      </c>
      <c r="X109" s="117">
        <f>-X100-X101</f>
        <v/>
      </c>
    </row>
    <row r="110">
      <c r="B110" s="114" t="inlineStr">
        <is>
          <t>成本法IRR</t>
        </is>
      </c>
      <c r="C110" s="134">
        <f>IRR(D109:X109)</f>
        <v/>
      </c>
      <c r="D110" s="119" t="n"/>
      <c r="E110" s="119" t="n"/>
      <c r="F110" s="114" t="n"/>
      <c r="G110" s="114" t="n"/>
      <c r="H110" s="114" t="n"/>
      <c r="I110" s="114" t="n"/>
      <c r="J110" s="114" t="n"/>
      <c r="K110" s="114" t="n"/>
      <c r="L110" s="114" t="n"/>
      <c r="M110" s="114" t="n"/>
      <c r="N110" s="114" t="n"/>
      <c r="O110" s="114" t="n"/>
      <c r="P110" s="114" t="n"/>
      <c r="Q110" s="114" t="n"/>
      <c r="R110" s="114" t="n"/>
      <c r="S110" s="114" t="n"/>
      <c r="T110" s="114" t="n"/>
      <c r="U110" s="114" t="n"/>
      <c r="V110" s="114" t="n"/>
      <c r="W110" s="114" t="n"/>
      <c r="X110" s="114" t="n"/>
    </row>
    <row r="111">
      <c r="B111" s="131" t="inlineStr">
        <is>
          <t>權益法實際現金流</t>
        </is>
      </c>
      <c r="C111" s="132" t="n"/>
      <c r="D111" s="133">
        <f>D90-D99</f>
        <v/>
      </c>
      <c r="E111" s="117">
        <f>E90</f>
        <v/>
      </c>
      <c r="F111" s="117">
        <f>F90-F101</f>
        <v/>
      </c>
      <c r="G111" s="117">
        <f>G90-G101</f>
        <v/>
      </c>
      <c r="H111" s="117">
        <f>H90-H101</f>
        <v/>
      </c>
      <c r="I111" s="117">
        <f>I90-I101</f>
        <v/>
      </c>
      <c r="J111" s="117">
        <f>J90-J101</f>
        <v/>
      </c>
      <c r="K111" s="117">
        <f>K90-K101</f>
        <v/>
      </c>
      <c r="L111" s="117">
        <f>L90-L101</f>
        <v/>
      </c>
      <c r="M111" s="117">
        <f>M90-M101</f>
        <v/>
      </c>
      <c r="N111" s="117">
        <f>N90-N101</f>
        <v/>
      </c>
      <c r="O111" s="117">
        <f>O90-O101</f>
        <v/>
      </c>
      <c r="P111" s="117">
        <f>P90-P101</f>
        <v/>
      </c>
      <c r="Q111" s="117">
        <f>Q90-Q101</f>
        <v/>
      </c>
      <c r="R111" s="117">
        <f>R90-R101</f>
        <v/>
      </c>
      <c r="S111" s="117">
        <f>S90-S101</f>
        <v/>
      </c>
      <c r="T111" s="117">
        <f>T90-T101</f>
        <v/>
      </c>
      <c r="U111" s="117">
        <f>U90-U101</f>
        <v/>
      </c>
      <c r="V111" s="117">
        <f>V90-V101</f>
        <v/>
      </c>
      <c r="W111" s="117">
        <f>W90-W101</f>
        <v/>
      </c>
      <c r="X111" s="77" t="n"/>
    </row>
    <row r="112">
      <c r="B112" s="131" t="inlineStr">
        <is>
          <t>權益法IRR</t>
        </is>
      </c>
      <c r="C112" s="135">
        <f>IRR(D111:W111)</f>
        <v/>
      </c>
      <c r="D112" s="119" t="n"/>
      <c r="E112" s="119" t="n"/>
      <c r="F112" s="114" t="n"/>
      <c r="G112" s="114" t="n"/>
      <c r="H112" s="114" t="n"/>
      <c r="I112" s="114" t="n"/>
      <c r="J112" s="114" t="n"/>
      <c r="K112" s="114" t="n"/>
      <c r="L112" s="114" t="n"/>
      <c r="M112" s="114" t="n"/>
      <c r="N112" s="114" t="n"/>
      <c r="O112" s="114" t="n"/>
      <c r="P112" s="114" t="n"/>
      <c r="Q112" s="114" t="n"/>
      <c r="R112" s="114" t="n"/>
      <c r="S112" s="114" t="n"/>
      <c r="T112" s="114" t="n"/>
      <c r="U112" s="114" t="n"/>
      <c r="V112" s="114" t="n"/>
      <c r="W112" s="114" t="n"/>
      <c r="X112" s="114" t="n"/>
    </row>
    <row r="113">
      <c r="B113" s="114" t="n"/>
      <c r="C113" s="114" t="n"/>
      <c r="D113" s="114" t="n"/>
      <c r="E113" s="114" t="n"/>
      <c r="F113" s="114" t="n"/>
      <c r="G113" s="114" t="n"/>
      <c r="H113" s="114" t="n"/>
      <c r="I113" s="114" t="n"/>
      <c r="J113" s="114" t="n"/>
      <c r="K113" s="114" t="n"/>
      <c r="L113" s="114" t="n"/>
      <c r="M113" s="114" t="n"/>
      <c r="N113" s="114" t="n"/>
      <c r="O113" s="114" t="n"/>
      <c r="P113" s="114" t="n"/>
      <c r="Q113" s="114" t="n"/>
      <c r="R113" s="114" t="n"/>
      <c r="S113" s="114" t="n"/>
      <c r="T113" s="114" t="n"/>
      <c r="U113" s="114" t="n"/>
      <c r="V113" s="114" t="n"/>
      <c r="W113" s="114" t="n"/>
      <c r="X113" s="114" t="n"/>
    </row>
    <row r="114">
      <c r="B114" s="114" t="inlineStr">
        <is>
          <t>借款餘額</t>
        </is>
      </c>
      <c r="C114" s="115" t="n">
        <v>0</v>
      </c>
      <c r="D114" s="115">
        <f>D97</f>
        <v/>
      </c>
      <c r="E114" s="115">
        <f>D114+E98</f>
        <v/>
      </c>
      <c r="F114" s="115">
        <f>E114+F98</f>
        <v/>
      </c>
      <c r="G114" s="115">
        <f>F114+G98</f>
        <v/>
      </c>
      <c r="H114" s="115">
        <f>G114+H98</f>
        <v/>
      </c>
      <c r="I114" s="115">
        <f>H114+I98</f>
        <v/>
      </c>
      <c r="J114" s="115">
        <f>I114+J98</f>
        <v/>
      </c>
      <c r="K114" s="115">
        <f>J114+K98</f>
        <v/>
      </c>
      <c r="L114" s="115">
        <f>K114+L98</f>
        <v/>
      </c>
      <c r="M114" s="115">
        <f>L114+M98</f>
        <v/>
      </c>
      <c r="N114" s="115">
        <f>M114+N98</f>
        <v/>
      </c>
      <c r="O114" s="115">
        <f>N114+O98</f>
        <v/>
      </c>
      <c r="P114" s="115">
        <f>O114+P98</f>
        <v/>
      </c>
      <c r="Q114" s="115">
        <f>P114+Q98</f>
        <v/>
      </c>
      <c r="R114" s="115">
        <f>Q114+R98</f>
        <v/>
      </c>
      <c r="S114" s="115">
        <f>R114+S98</f>
        <v/>
      </c>
      <c r="T114" s="115">
        <f>S114+T98</f>
        <v/>
      </c>
      <c r="U114" s="115">
        <f>T114+U98</f>
        <v/>
      </c>
      <c r="V114" s="115">
        <f>U114+V98</f>
        <v/>
      </c>
      <c r="W114" s="115">
        <f>V114+W98</f>
        <v/>
      </c>
      <c r="X114" s="119" t="n"/>
    </row>
    <row r="115"/>
    <row r="116">
      <c r="B116" s="136" t="n"/>
    </row>
    <row r="117" ht="16.5" customHeight="1">
      <c r="G117" s="13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17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" t="inlineStr">
        <is>
          <t>電站基本資料</t>
        </is>
      </c>
      <c r="C1" s="2" t="n"/>
      <c r="D1" s="2" t="n"/>
      <c r="E1" s="3" t="n"/>
    </row>
    <row r="2" ht="21.75" customHeight="1">
      <c r="B2" s="4" t="inlineStr">
        <is>
          <t>電站名稱</t>
        </is>
      </c>
      <c r="C2" s="5" t="inlineStr">
        <is>
          <t>淡江大學-財務模擬案場</t>
        </is>
      </c>
      <c r="D2" s="6" t="inlineStr">
        <is>
          <t>-</t>
        </is>
      </c>
      <c r="E2" s="6" t="inlineStr">
        <is>
          <t>-</t>
        </is>
      </c>
    </row>
    <row r="3" ht="21.75" customHeight="1">
      <c r="B3" s="7" t="inlineStr">
        <is>
          <t>電站壽命</t>
        </is>
      </c>
      <c r="C3" s="8" t="n">
        <v>20</v>
      </c>
      <c r="D3" s="9" t="inlineStr">
        <is>
          <t>-</t>
        </is>
      </c>
      <c r="E3" s="9" t="inlineStr">
        <is>
          <t>-</t>
        </is>
      </c>
    </row>
    <row r="4" ht="21.75" customHeight="1">
      <c r="B4" s="7" t="inlineStr">
        <is>
          <t>建置量(kWp)</t>
        </is>
      </c>
      <c r="C4" s="8" t="n">
        <v>436.1</v>
      </c>
      <c r="D4" s="9" t="inlineStr">
        <is>
          <t>-</t>
        </is>
      </c>
      <c r="E4" s="9" t="inlineStr">
        <is>
          <t>-</t>
        </is>
      </c>
      <c r="M4" t="inlineStr">
        <is>
          <t>滾算紀錄編號: 2</t>
        </is>
      </c>
    </row>
    <row r="5" ht="22.5" customHeight="1">
      <c r="B5" s="8" t="inlineStr">
        <is>
          <t>起始年度</t>
        </is>
      </c>
      <c r="C5" s="8" t="n">
        <v>2020</v>
      </c>
      <c r="D5" s="8" t="inlineStr">
        <is>
          <t>結束年度</t>
        </is>
      </c>
      <c r="E5" s="8" t="n">
        <v>2039</v>
      </c>
      <c r="M5" t="inlineStr">
        <is>
          <t>第1次滾算摘要</t>
        </is>
      </c>
    </row>
    <row r="6" ht="20.25" customHeight="1">
      <c r="B6" s="10" t="n"/>
      <c r="C6" s="10" t="n"/>
      <c r="D6" s="10" t="n"/>
      <c r="E6" s="10" t="n"/>
      <c r="M6" t="inlineStr">
        <is>
          <t>價金: 28000</t>
        </is>
      </c>
    </row>
    <row r="7" ht="22.5" customHeight="1">
      <c r="B7" s="11" t="inlineStr">
        <is>
          <t>綜合損益表</t>
        </is>
      </c>
      <c r="C7" s="2" t="n"/>
      <c r="D7" s="2" t="n"/>
      <c r="E7" s="3" t="n"/>
      <c r="M7" t="inlineStr">
        <is>
          <t>專案IRR: 4.98</t>
        </is>
      </c>
    </row>
    <row r="8" ht="22.5" customHeight="1">
      <c r="B8" s="12" t="inlineStr">
        <is>
          <t>收入</t>
        </is>
      </c>
      <c r="C8" s="13" t="n"/>
      <c r="D8" s="13" t="n"/>
      <c r="E8" s="14" t="n"/>
      <c r="M8" t="inlineStr">
        <is>
          <t>權益法IRR: 13.18</t>
        </is>
      </c>
    </row>
    <row r="9" ht="22.5" customHeight="1">
      <c r="B9" s="15" t="inlineStr">
        <is>
          <t>收支項目</t>
        </is>
      </c>
      <c r="C9" s="16" t="inlineStr">
        <is>
          <t>相關參數</t>
        </is>
      </c>
      <c r="D9" s="16" t="inlineStr">
        <is>
          <t>參數數值</t>
        </is>
      </c>
      <c r="E9" s="17" t="inlineStr">
        <is>
          <t>年限</t>
        </is>
      </c>
      <c r="M9" t="inlineStr">
        <is>
          <t>利潤率: 20.00%</t>
        </is>
      </c>
    </row>
    <row r="10" ht="21.75" customHeight="1">
      <c r="B10" s="18" t="inlineStr">
        <is>
          <t>電費收入</t>
        </is>
      </c>
      <c r="C10" s="5" t="inlineStr">
        <is>
          <t>年度AC併網總發電量</t>
        </is>
      </c>
      <c r="D10" s="5" t="n">
        <v>547002</v>
      </c>
      <c r="E10" s="18" t="n">
        <v>20</v>
      </c>
      <c r="M10" t="inlineStr">
        <is>
          <t>第1次滾算，減少 2000 元 - 現金模式，每次減少 2000 元</t>
        </is>
      </c>
    </row>
    <row r="11" ht="21.75" customHeight="1">
      <c r="B11" s="19" t="n"/>
      <c r="C11" s="8" t="inlineStr">
        <is>
          <t>首年衰退率</t>
        </is>
      </c>
      <c r="D11" s="8" t="n">
        <v>0.01</v>
      </c>
      <c r="E11" s="19" t="n"/>
    </row>
    <row r="12" ht="21.75" customHeight="1">
      <c r="B12" s="19" t="n"/>
      <c r="C12" s="8" t="inlineStr">
        <is>
          <t>次年衰退率</t>
        </is>
      </c>
      <c r="D12" s="8" t="n">
        <v>0.004</v>
      </c>
      <c r="E12" s="19" t="n"/>
    </row>
    <row r="13" ht="22.5" customHeight="1">
      <c r="B13" s="19" t="n"/>
      <c r="C13" s="20" t="inlineStr">
        <is>
          <t>躉售費率(FIT)</t>
        </is>
      </c>
      <c r="D13" s="20" t="n">
        <v>3.7152</v>
      </c>
      <c r="E13" s="19" t="n"/>
    </row>
    <row r="14" ht="22.5" customHeight="1">
      <c r="B14" s="21" t="inlineStr">
        <is>
          <t>支出</t>
        </is>
      </c>
      <c r="C14" s="2" t="n"/>
      <c r="D14" s="2" t="n"/>
      <c r="E14" s="3" t="n"/>
    </row>
    <row r="15" ht="22.5" customHeight="1">
      <c r="B15" s="15" t="inlineStr">
        <is>
          <t>收支項目</t>
        </is>
      </c>
      <c r="C15" s="16" t="inlineStr">
        <is>
          <t>相關參數</t>
        </is>
      </c>
      <c r="D15" s="16" t="inlineStr">
        <is>
          <t>參數數值</t>
        </is>
      </c>
      <c r="E15" s="22" t="inlineStr">
        <is>
          <t>攤提年限</t>
        </is>
      </c>
    </row>
    <row r="16" ht="21.75" customHeight="1">
      <c r="B16" s="23" t="inlineStr">
        <is>
          <t>設備費用(價金)</t>
        </is>
      </c>
      <c r="C16" s="4" t="inlineStr">
        <is>
          <t>每kWp設備成本</t>
        </is>
      </c>
      <c r="D16" s="5" t="n">
        <v>28000</v>
      </c>
      <c r="E16" s="24" t="n">
        <v>20</v>
      </c>
    </row>
    <row r="17" ht="21.75" customHeight="1">
      <c r="B17" s="19" t="n"/>
      <c r="C17" s="8" t="inlineStr">
        <is>
          <t>信邦利潤率</t>
        </is>
      </c>
      <c r="D17" s="8" t="n">
        <v>0.2</v>
      </c>
      <c r="E17" s="19" t="n"/>
    </row>
    <row r="18" ht="21.75" customHeight="1">
      <c r="B18" s="25" t="n"/>
      <c r="C18" s="8" t="inlineStr">
        <is>
          <t>開發費</t>
        </is>
      </c>
      <c r="D18" s="8" t="n">
        <v>2000</v>
      </c>
      <c r="E18" s="25" t="n"/>
    </row>
    <row r="19" ht="54" customHeight="1">
      <c r="B19" s="26" t="inlineStr">
        <is>
          <t>租金費用</t>
        </is>
      </c>
      <c r="C19" s="27" t="inlineStr">
        <is>
          <t>租金計算方式
(1=固定攤提/2=電費抽成)</t>
        </is>
      </c>
      <c r="D19" s="8" t="n">
        <v>1</v>
      </c>
      <c r="E19" s="6" t="n">
        <v>0</v>
      </c>
    </row>
    <row r="20" ht="20.25" customHeight="1">
      <c r="B20" s="19" t="n"/>
      <c r="C20" s="28" t="inlineStr">
        <is>
          <t>【方式1參數】租金總額</t>
        </is>
      </c>
      <c r="D20" s="8" t="n">
        <v>5804025</v>
      </c>
      <c r="E20" s="6" t="n">
        <v>20</v>
      </c>
    </row>
    <row r="21" ht="21.75" customHeight="1">
      <c r="B21" s="25" t="n"/>
      <c r="C21" s="8" t="inlineStr">
        <is>
          <t>【方式2參數】抽成比率</t>
        </is>
      </c>
      <c r="D21" s="8" t="n">
        <v>0</v>
      </c>
      <c r="E21" s="9" t="n">
        <v>0</v>
      </c>
    </row>
    <row r="22" ht="21.75" customHeight="1">
      <c r="B22" s="8" t="inlineStr">
        <is>
          <t>運維費用</t>
        </is>
      </c>
      <c r="C22" s="8" t="inlineStr">
        <is>
          <t>每kw運維成本</t>
        </is>
      </c>
      <c r="D22" s="8" t="n">
        <v>400</v>
      </c>
      <c r="E22" s="9" t="n">
        <v>20</v>
      </c>
    </row>
    <row r="23" ht="21.75" customHeight="1">
      <c r="B23" s="8" t="inlineStr">
        <is>
          <t>保險費用</t>
        </is>
      </c>
      <c r="C23" s="7" t="inlineStr">
        <is>
          <t>占整體設備費用比例</t>
        </is>
      </c>
      <c r="D23" s="8" t="n">
        <v>0.003</v>
      </c>
      <c r="E23" s="9" t="n">
        <v>20</v>
      </c>
    </row>
    <row r="24" ht="21.75" customHeight="1">
      <c r="B24" s="8" t="inlineStr">
        <is>
          <t>模組回收費用</t>
        </is>
      </c>
      <c r="C24" s="8" t="inlineStr">
        <is>
          <t>每kw模組回收成本</t>
        </is>
      </c>
      <c r="D24" s="8" t="n">
        <v>1000</v>
      </c>
      <c r="E24" s="9" t="n">
        <v>10</v>
      </c>
    </row>
    <row r="25" ht="21.75" customHeight="1">
      <c r="B25" s="8" t="inlineStr">
        <is>
          <t>利息費用</t>
        </is>
      </c>
      <c r="C25" s="8" t="inlineStr">
        <is>
          <t>銀行利率</t>
        </is>
      </c>
      <c r="D25" s="29" t="n">
        <v>0.025595</v>
      </c>
      <c r="E25" s="9" t="n">
        <v>0</v>
      </c>
    </row>
    <row r="26" ht="22.5" customHeight="1">
      <c r="B26" s="8" t="inlineStr">
        <is>
          <t>所得稅</t>
        </is>
      </c>
      <c r="C26" s="8" t="inlineStr">
        <is>
          <t>所得稅率</t>
        </is>
      </c>
      <c r="D26" s="8" t="n">
        <v>0.2</v>
      </c>
      <c r="E26" s="9" t="n">
        <v>0</v>
      </c>
    </row>
    <row r="27" ht="20.25" customHeight="1">
      <c r="B27" s="10" t="n"/>
      <c r="C27" s="10" t="n"/>
      <c r="D27" s="10" t="n"/>
      <c r="E27" s="10" t="n"/>
    </row>
    <row r="28" ht="20.25" customHeight="1">
      <c r="B28" s="10" t="n"/>
      <c r="C28" s="10" t="n"/>
      <c r="D28" s="10" t="n"/>
      <c r="E28" s="10" t="n"/>
    </row>
    <row r="29" ht="22.5" customHeight="1">
      <c r="B29" s="11" t="inlineStr">
        <is>
          <t>現金流量表</t>
        </is>
      </c>
      <c r="C29" s="2" t="n"/>
      <c r="D29" s="3" t="n"/>
      <c r="E29" s="10" t="n"/>
    </row>
    <row r="30" ht="22.5" customHeight="1">
      <c r="B30" s="15" t="inlineStr">
        <is>
          <t>金流項目</t>
        </is>
      </c>
      <c r="C30" s="16" t="inlineStr">
        <is>
          <t>相關參數</t>
        </is>
      </c>
      <c r="D30" s="22" t="inlineStr">
        <is>
          <t>參數數值</t>
        </is>
      </c>
      <c r="E30" s="10" t="n"/>
    </row>
    <row r="31" ht="18.75" customHeight="1">
      <c r="B31" s="4" t="inlineStr">
        <is>
          <t>貸款成數</t>
        </is>
      </c>
      <c r="C31" s="4" t="inlineStr">
        <is>
          <t>占總設備費用比例</t>
        </is>
      </c>
      <c r="D31" s="5" t="n">
        <v>0.8</v>
      </c>
      <c r="E31" s="10" t="n"/>
    </row>
    <row r="32" ht="18.75" customHeight="1">
      <c r="B32" s="5" t="inlineStr">
        <is>
          <t>貸款還款</t>
        </is>
      </c>
      <c r="C32" s="5" t="inlineStr">
        <is>
          <t>攤還期數</t>
        </is>
      </c>
      <c r="D32" s="5" t="n">
        <v>15</v>
      </c>
      <c r="E32" s="10" t="n"/>
    </row>
    <row r="33" ht="18.75" customHeight="1">
      <c r="B33" s="8" t="inlineStr">
        <is>
          <t>現金股利</t>
        </is>
      </c>
      <c r="C33" s="8" t="inlineStr">
        <is>
          <t>股利比率</t>
        </is>
      </c>
      <c r="D33" s="8" t="n">
        <v>0.9</v>
      </c>
      <c r="E33" s="10" t="n"/>
    </row>
    <row r="34" ht="18.75" customHeight="1">
      <c r="B34" s="8" t="inlineStr">
        <is>
          <t>年底減資</t>
        </is>
      </c>
      <c r="C34" s="8" t="inlineStr">
        <is>
          <t>攤還期數</t>
        </is>
      </c>
      <c r="D34" s="8" t="n">
        <v>4</v>
      </c>
      <c r="E34" s="10" t="n"/>
    </row>
    <row r="35" ht="18.75" customHeight="1"/>
    <row r="36" ht="18.75" customHeight="1"/>
    <row r="37" ht="18.75" customHeight="1">
      <c r="B37" s="30" t="n"/>
      <c r="C37" s="31" t="inlineStr">
        <is>
          <t>年份</t>
        </is>
      </c>
      <c r="D37" s="31" t="n">
        <v>2020</v>
      </c>
      <c r="E37" s="31" t="n">
        <v>2021</v>
      </c>
      <c r="F37" s="31" t="n">
        <v>2022</v>
      </c>
      <c r="G37" s="31" t="n">
        <v>2023</v>
      </c>
      <c r="H37" s="31" t="n">
        <v>2024</v>
      </c>
      <c r="I37" s="31" t="n">
        <v>2025</v>
      </c>
      <c r="J37" s="31" t="n">
        <v>2026</v>
      </c>
      <c r="K37" s="31" t="n">
        <v>2027</v>
      </c>
      <c r="L37" s="31" t="n">
        <v>2028</v>
      </c>
      <c r="M37" s="31" t="n">
        <v>2029</v>
      </c>
      <c r="N37" s="31" t="n">
        <v>2030</v>
      </c>
      <c r="O37" s="31" t="n">
        <v>2031</v>
      </c>
      <c r="P37" s="31" t="n">
        <v>2032</v>
      </c>
      <c r="Q37" s="31" t="n">
        <v>2033</v>
      </c>
      <c r="R37" s="31" t="n">
        <v>2034</v>
      </c>
      <c r="S37" s="31" t="n">
        <v>2035</v>
      </c>
      <c r="T37" s="31" t="n">
        <v>2036</v>
      </c>
      <c r="U37" s="31" t="n">
        <v>2037</v>
      </c>
      <c r="V37" s="31" t="n">
        <v>2038</v>
      </c>
      <c r="W37" s="31" t="n">
        <v>2039</v>
      </c>
      <c r="X37" s="31" t="n"/>
    </row>
    <row r="38" ht="18.75" customHeight="1">
      <c r="B38" s="32" t="n">
        <v>0</v>
      </c>
      <c r="C38" s="33" t="n"/>
      <c r="D38" s="34" t="n"/>
      <c r="E38" s="34" t="n"/>
      <c r="F38" s="35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7" t="n"/>
      <c r="U38" s="36" t="n"/>
      <c r="V38" s="36" t="n"/>
      <c r="W38" s="36" t="n"/>
      <c r="X38" s="38" t="n"/>
    </row>
    <row r="39" ht="18.75" customHeight="1">
      <c r="B39" s="39" t="inlineStr">
        <is>
          <t>(Unit : Currency)</t>
        </is>
      </c>
      <c r="C39" s="40" t="n">
        <v>0</v>
      </c>
      <c r="D39" s="41" t="n">
        <v>1</v>
      </c>
      <c r="E39" s="41" t="n">
        <v>2</v>
      </c>
      <c r="F39" s="41" t="n">
        <v>3</v>
      </c>
      <c r="G39" s="41" t="n">
        <v>4</v>
      </c>
      <c r="H39" s="41" t="n">
        <v>5</v>
      </c>
      <c r="I39" s="41" t="n">
        <v>6</v>
      </c>
      <c r="J39" s="41" t="n">
        <v>7</v>
      </c>
      <c r="K39" s="41" t="n">
        <v>8</v>
      </c>
      <c r="L39" s="41" t="n">
        <v>9</v>
      </c>
      <c r="M39" s="41" t="n">
        <v>10</v>
      </c>
      <c r="N39" s="41" t="n">
        <v>11</v>
      </c>
      <c r="O39" s="41" t="n">
        <v>12</v>
      </c>
      <c r="P39" s="41" t="n">
        <v>13</v>
      </c>
      <c r="Q39" s="41" t="n">
        <v>14</v>
      </c>
      <c r="R39" s="41" t="n">
        <v>15</v>
      </c>
      <c r="S39" s="41" t="n">
        <v>16</v>
      </c>
      <c r="T39" s="42" t="n">
        <v>17</v>
      </c>
      <c r="U39" s="41" t="n">
        <v>18</v>
      </c>
      <c r="V39" s="41" t="n">
        <v>19</v>
      </c>
      <c r="W39" s="41" t="n">
        <v>20</v>
      </c>
      <c r="X39" s="43" t="n"/>
    </row>
    <row r="40" ht="18.75" customHeight="1">
      <c r="B40" s="44" t="inlineStr">
        <is>
          <t>發電度數(KWH)</t>
        </is>
      </c>
      <c r="C40" s="45" t="n">
        <v>0</v>
      </c>
      <c r="D40" s="46">
        <f>$D$10*0.99</f>
        <v/>
      </c>
      <c r="E40" s="46">
        <f>$D$10*0.986</f>
        <v/>
      </c>
      <c r="F40" s="46">
        <f>$D$10*0.982</f>
        <v/>
      </c>
      <c r="G40" s="46">
        <f>$D$10*0.978</f>
        <v/>
      </c>
      <c r="H40" s="46">
        <f>$D$10*0.974</f>
        <v/>
      </c>
      <c r="I40" s="46">
        <f>$D$10*0.97</f>
        <v/>
      </c>
      <c r="J40" s="46">
        <f>$D$10*0.966</f>
        <v/>
      </c>
      <c r="K40" s="46">
        <f>$D$10*0.962</f>
        <v/>
      </c>
      <c r="L40" s="46">
        <f>$D$10*0.958</f>
        <v/>
      </c>
      <c r="M40" s="46">
        <f>$D$10*0.954</f>
        <v/>
      </c>
      <c r="N40" s="46">
        <f>$D$10*0.95</f>
        <v/>
      </c>
      <c r="O40" s="46">
        <f>$D$10*0.946</f>
        <v/>
      </c>
      <c r="P40" s="46">
        <f>$D$10*0.942</f>
        <v/>
      </c>
      <c r="Q40" s="46">
        <f>$D$10*0.938</f>
        <v/>
      </c>
      <c r="R40" s="46">
        <f>$D$10*0.934</f>
        <v/>
      </c>
      <c r="S40" s="46">
        <f>$D$10*0.93</f>
        <v/>
      </c>
      <c r="T40" s="46">
        <f>$D$10*0.926</f>
        <v/>
      </c>
      <c r="U40" s="46">
        <f>$D$10*0.922</f>
        <v/>
      </c>
      <c r="V40" s="46">
        <f>$D$10*0.918</f>
        <v/>
      </c>
      <c r="W40" s="46">
        <f>$D$10*0.914</f>
        <v/>
      </c>
      <c r="X40" s="47" t="n"/>
    </row>
    <row r="41" ht="18.75" customHeight="1">
      <c r="B41" s="48" t="inlineStr">
        <is>
          <t>Inflow : 電費收入</t>
        </is>
      </c>
      <c r="C41" s="49" t="inlineStr">
        <is>
          <t>-</t>
        </is>
      </c>
      <c r="D41" s="50">
        <f>D40*$D$13</f>
        <v/>
      </c>
      <c r="E41" s="50">
        <f>E40*$D$13</f>
        <v/>
      </c>
      <c r="F41" s="50">
        <f>F40*$D$13</f>
        <v/>
      </c>
      <c r="G41" s="50">
        <f>G40*$D$13</f>
        <v/>
      </c>
      <c r="H41" s="50">
        <f>H40*$D$13</f>
        <v/>
      </c>
      <c r="I41" s="50">
        <f>I40*$D$13</f>
        <v/>
      </c>
      <c r="J41" s="50">
        <f>J40*$D$13</f>
        <v/>
      </c>
      <c r="K41" s="50">
        <f>K40*$D$13</f>
        <v/>
      </c>
      <c r="L41" s="50">
        <f>L40*$D$13</f>
        <v/>
      </c>
      <c r="M41" s="50">
        <f>M40*$D$13</f>
        <v/>
      </c>
      <c r="N41" s="50">
        <f>N40*$D$13</f>
        <v/>
      </c>
      <c r="O41" s="50">
        <f>O40*$D$13</f>
        <v/>
      </c>
      <c r="P41" s="50">
        <f>P40*$D$13</f>
        <v/>
      </c>
      <c r="Q41" s="50">
        <f>Q40*$D$13</f>
        <v/>
      </c>
      <c r="R41" s="50">
        <f>R40*$D$13</f>
        <v/>
      </c>
      <c r="S41" s="50">
        <f>S40*$D$13</f>
        <v/>
      </c>
      <c r="T41" s="50">
        <f>T40*$D$13</f>
        <v/>
      </c>
      <c r="U41" s="50">
        <f>U40*$D$13</f>
        <v/>
      </c>
      <c r="V41" s="50">
        <f>V40*$D$13</f>
        <v/>
      </c>
      <c r="W41" s="50">
        <f>W40*$D$13</f>
        <v/>
      </c>
      <c r="X41" s="51" t="n"/>
    </row>
    <row r="42" ht="18.75" customHeight="1">
      <c r="B42" s="52" t="inlineStr">
        <is>
          <t>Inflow : 政府補助</t>
        </is>
      </c>
      <c r="C42" s="53" t="inlineStr">
        <is>
          <t>-</t>
        </is>
      </c>
      <c r="D42" s="54" t="n"/>
      <c r="E42" s="54" t="n"/>
      <c r="F42" s="54" t="n"/>
      <c r="G42" s="54" t="inlineStr">
        <is>
          <t>-</t>
        </is>
      </c>
      <c r="H42" s="54" t="inlineStr">
        <is>
          <t>-</t>
        </is>
      </c>
      <c r="I42" s="54" t="inlineStr">
        <is>
          <t>-</t>
        </is>
      </c>
      <c r="J42" s="54" t="inlineStr">
        <is>
          <t>-</t>
        </is>
      </c>
      <c r="K42" s="54" t="inlineStr">
        <is>
          <t>-</t>
        </is>
      </c>
      <c r="L42" s="54" t="inlineStr">
        <is>
          <t>-</t>
        </is>
      </c>
      <c r="M42" s="54" t="inlineStr">
        <is>
          <t>-</t>
        </is>
      </c>
      <c r="N42" s="54" t="inlineStr">
        <is>
          <t>-</t>
        </is>
      </c>
      <c r="O42" s="54" t="inlineStr">
        <is>
          <t>-</t>
        </is>
      </c>
      <c r="P42" s="54" t="inlineStr">
        <is>
          <t>-</t>
        </is>
      </c>
      <c r="Q42" s="54" t="inlineStr">
        <is>
          <t>-</t>
        </is>
      </c>
      <c r="R42" s="54" t="inlineStr">
        <is>
          <t>-</t>
        </is>
      </c>
      <c r="S42" s="54" t="inlineStr">
        <is>
          <t>-</t>
        </is>
      </c>
      <c r="T42" s="54" t="inlineStr">
        <is>
          <t>-</t>
        </is>
      </c>
      <c r="U42" s="54" t="inlineStr">
        <is>
          <t>-</t>
        </is>
      </c>
      <c r="V42" s="54" t="inlineStr">
        <is>
          <t>-</t>
        </is>
      </c>
      <c r="W42" s="54" t="inlineStr">
        <is>
          <t>-</t>
        </is>
      </c>
      <c r="X42" s="55" t="n"/>
    </row>
    <row r="43" ht="18.75" customHeight="1">
      <c r="B43" s="56" t="inlineStr">
        <is>
          <t>Inflow : 銀行借款</t>
        </is>
      </c>
      <c r="C43" s="57" t="n"/>
      <c r="D43" s="58" t="n"/>
      <c r="E43" s="58" t="n"/>
      <c r="F43" s="58" t="n"/>
      <c r="G43" s="58" t="n"/>
      <c r="H43" s="58" t="n"/>
      <c r="I43" s="58" t="n"/>
      <c r="J43" s="58" t="n"/>
      <c r="K43" s="58" t="n"/>
      <c r="L43" s="58" t="n"/>
      <c r="M43" s="58" t="n"/>
      <c r="N43" s="58" t="n"/>
      <c r="O43" s="58" t="n"/>
      <c r="P43" s="58" t="n"/>
      <c r="Q43" s="58" t="n"/>
      <c r="R43" s="58" t="n"/>
      <c r="S43" s="58" t="n"/>
      <c r="T43" s="58" t="n"/>
      <c r="U43" s="58" t="n"/>
      <c r="V43" s="58" t="n"/>
      <c r="W43" s="58" t="n"/>
      <c r="X43" s="59" t="n"/>
    </row>
    <row r="44" ht="18.75" customHeight="1">
      <c r="B44" s="60" t="inlineStr">
        <is>
          <t>Outflow : 設備費用</t>
        </is>
      </c>
      <c r="C44" s="53">
        <f>-(D16/(1-D17)+D18)*C4</f>
        <v/>
      </c>
      <c r="D44" s="61" t="n"/>
      <c r="E44" s="54" t="n"/>
      <c r="F44" s="54" t="n"/>
      <c r="G44" s="54" t="n"/>
      <c r="H44" s="54" t="n"/>
      <c r="I44" s="54" t="n"/>
      <c r="J44" s="54" t="n"/>
      <c r="K44" s="54" t="n"/>
      <c r="L44" s="54" t="n"/>
      <c r="M44" s="54" t="n"/>
      <c r="N44" s="54" t="n"/>
      <c r="O44" s="54" t="n"/>
      <c r="P44" s="54" t="n"/>
      <c r="Q44" s="54" t="n"/>
      <c r="R44" s="54" t="n"/>
      <c r="S44" s="54" t="n"/>
      <c r="T44" s="54" t="n"/>
      <c r="U44" s="54" t="n"/>
      <c r="V44" s="54" t="n"/>
      <c r="W44" s="54" t="n"/>
      <c r="X44" s="55" t="n"/>
    </row>
    <row r="45" ht="18.75" customHeight="1">
      <c r="B45" s="60" t="inlineStr">
        <is>
          <t>Outflow : 設備放置區域租金</t>
        </is>
      </c>
      <c r="C45" s="53" t="inlineStr">
        <is>
          <t>-</t>
        </is>
      </c>
      <c r="D45" s="54" t="n">
        <v>0</v>
      </c>
      <c r="E45" s="54" t="n">
        <v>-290201.25</v>
      </c>
      <c r="F45" s="54" t="n">
        <v>-290201.25</v>
      </c>
      <c r="G45" s="54" t="n">
        <v>-290201.25</v>
      </c>
      <c r="H45" s="54" t="n">
        <v>-290201.25</v>
      </c>
      <c r="I45" s="54" t="n">
        <v>-290201.25</v>
      </c>
      <c r="J45" s="54" t="n">
        <v>-290201.25</v>
      </c>
      <c r="K45" s="54" t="n">
        <v>-290201.25</v>
      </c>
      <c r="L45" s="54" t="n">
        <v>-290201.25</v>
      </c>
      <c r="M45" s="54" t="n">
        <v>-290201.25</v>
      </c>
      <c r="N45" s="54" t="n">
        <v>-290201.25</v>
      </c>
      <c r="O45" s="54" t="n">
        <v>-290201.25</v>
      </c>
      <c r="P45" s="54" t="n">
        <v>-290201.25</v>
      </c>
      <c r="Q45" s="54" t="n">
        <v>-290201.25</v>
      </c>
      <c r="R45" s="54" t="n">
        <v>-290201.25</v>
      </c>
      <c r="S45" s="54" t="n">
        <v>-290201.25</v>
      </c>
      <c r="T45" s="54" t="n">
        <v>-290201.25</v>
      </c>
      <c r="U45" s="54" t="n">
        <v>-290201.25</v>
      </c>
      <c r="V45" s="54" t="n">
        <v>-290201.25</v>
      </c>
      <c r="W45" s="54" t="n">
        <v>-290201.25</v>
      </c>
      <c r="X45" s="55" t="n"/>
    </row>
    <row r="46" ht="18.75" customHeight="1">
      <c r="B46" s="60" t="inlineStr">
        <is>
          <t>Outflow : 返還借款</t>
        </is>
      </c>
      <c r="C46" s="53" t="n"/>
      <c r="D46" s="54" t="n"/>
      <c r="E46" s="54" t="n"/>
      <c r="F46" s="54" t="n"/>
      <c r="G46" s="54" t="n"/>
      <c r="H46" s="54" t="n"/>
      <c r="I46" s="54" t="n"/>
      <c r="J46" s="54" t="n"/>
      <c r="K46" s="54" t="n"/>
      <c r="L46" s="54" t="n"/>
      <c r="M46" s="54" t="n"/>
      <c r="N46" s="54" t="n"/>
      <c r="O46" s="54" t="n"/>
      <c r="P46" s="54" t="n"/>
      <c r="Q46" s="54" t="n"/>
      <c r="R46" s="54" t="n"/>
      <c r="S46" s="54" t="n"/>
      <c r="T46" s="54" t="n"/>
      <c r="U46" s="54" t="n"/>
      <c r="V46" s="54" t="n"/>
      <c r="W46" s="54" t="n"/>
      <c r="X46" s="55" t="n"/>
    </row>
    <row r="47" ht="18.75" customHeight="1">
      <c r="B47" s="60" t="inlineStr">
        <is>
          <t>Outflow : 利息費用</t>
        </is>
      </c>
      <c r="C47" s="53" t="inlineStr">
        <is>
          <t>-</t>
        </is>
      </c>
      <c r="D47" s="54" t="n"/>
      <c r="E47" s="54" t="n"/>
      <c r="F47" s="54" t="n"/>
      <c r="G47" s="54" t="n"/>
      <c r="H47" s="54" t="n"/>
      <c r="I47" s="54" t="n"/>
      <c r="J47" s="54" t="n"/>
      <c r="K47" s="54" t="n"/>
      <c r="L47" s="54" t="n"/>
      <c r="M47" s="54" t="n"/>
      <c r="N47" s="54" t="n"/>
      <c r="O47" s="54" t="n"/>
      <c r="P47" s="54" t="n"/>
      <c r="Q47" s="54" t="n"/>
      <c r="R47" s="54" t="n"/>
      <c r="S47" s="54" t="n"/>
      <c r="T47" s="54" t="n"/>
      <c r="U47" s="54" t="n"/>
      <c r="V47" s="54" t="n"/>
      <c r="W47" s="54" t="n"/>
      <c r="X47" s="55" t="n"/>
    </row>
    <row r="48" ht="18.75" customHeight="1">
      <c r="B48" s="60" t="inlineStr">
        <is>
          <t>Outflow : 維運費</t>
        </is>
      </c>
      <c r="C48" s="53" t="inlineStr">
        <is>
          <t>-</t>
        </is>
      </c>
      <c r="D48" s="54" t="n">
        <v>-174440</v>
      </c>
      <c r="E48" s="54" t="n">
        <v>-174440</v>
      </c>
      <c r="F48" s="54" t="n">
        <v>-174440</v>
      </c>
      <c r="G48" s="54" t="n">
        <v>-174440</v>
      </c>
      <c r="H48" s="54" t="n">
        <v>-174440</v>
      </c>
      <c r="I48" s="54" t="n">
        <v>-174440</v>
      </c>
      <c r="J48" s="54" t="n">
        <v>-174440</v>
      </c>
      <c r="K48" s="54" t="n">
        <v>-174440</v>
      </c>
      <c r="L48" s="54" t="n">
        <v>-174440</v>
      </c>
      <c r="M48" s="54" t="n">
        <v>-174440</v>
      </c>
      <c r="N48" s="54" t="n">
        <v>-174440</v>
      </c>
      <c r="O48" s="54" t="n">
        <v>-174440</v>
      </c>
      <c r="P48" s="54" t="n">
        <v>-174440</v>
      </c>
      <c r="Q48" s="54" t="n">
        <v>-174440</v>
      </c>
      <c r="R48" s="54" t="n">
        <v>-174440</v>
      </c>
      <c r="S48" s="54" t="n">
        <v>-174440</v>
      </c>
      <c r="T48" s="54" t="n">
        <v>-174440</v>
      </c>
      <c r="U48" s="54" t="n">
        <v>-174440</v>
      </c>
      <c r="V48" s="54" t="n">
        <v>-174440</v>
      </c>
      <c r="W48" s="54" t="n">
        <v>-174440</v>
      </c>
      <c r="X48" s="55" t="n"/>
    </row>
    <row r="49" ht="18.75" customHeight="1">
      <c r="B49" s="60" t="inlineStr">
        <is>
          <t>Outflow : 保險費</t>
        </is>
      </c>
      <c r="C49" s="53" t="inlineStr">
        <is>
          <t>-</t>
        </is>
      </c>
      <c r="D49" s="54" t="n">
        <v>-36632.4</v>
      </c>
      <c r="E49" s="54" t="n">
        <v>-36632.4</v>
      </c>
      <c r="F49" s="54" t="n">
        <v>-36632.4</v>
      </c>
      <c r="G49" s="54" t="n">
        <v>-36632.4</v>
      </c>
      <c r="H49" s="54" t="n">
        <v>-36632.4</v>
      </c>
      <c r="I49" s="54" t="n">
        <v>-36632.4</v>
      </c>
      <c r="J49" s="54" t="n">
        <v>-36632.4</v>
      </c>
      <c r="K49" s="54" t="n">
        <v>-36632.4</v>
      </c>
      <c r="L49" s="54" t="n">
        <v>-36632.4</v>
      </c>
      <c r="M49" s="54" t="n">
        <v>-36632.4</v>
      </c>
      <c r="N49" s="54" t="n">
        <v>-36632.4</v>
      </c>
      <c r="O49" s="54" t="n">
        <v>-36632.4</v>
      </c>
      <c r="P49" s="54" t="n">
        <v>-36632.4</v>
      </c>
      <c r="Q49" s="54" t="n">
        <v>-36632.4</v>
      </c>
      <c r="R49" s="54" t="n">
        <v>-36632.4</v>
      </c>
      <c r="S49" s="54" t="n">
        <v>-36632.4</v>
      </c>
      <c r="T49" s="54" t="n">
        <v>-36632.4</v>
      </c>
      <c r="U49" s="54" t="n">
        <v>-36632.4</v>
      </c>
      <c r="V49" s="54" t="n">
        <v>-36632.4</v>
      </c>
      <c r="W49" s="54" t="n">
        <v>-36632.4</v>
      </c>
      <c r="X49" s="55" t="n"/>
    </row>
    <row r="50" ht="18.75" customHeight="1">
      <c r="B50" s="60" t="inlineStr">
        <is>
          <t>Outflow : 模組回收費</t>
        </is>
      </c>
      <c r="C50" s="53" t="n"/>
      <c r="D50" s="54" t="n">
        <v>-43610</v>
      </c>
      <c r="E50" s="54" t="n">
        <v>-43610</v>
      </c>
      <c r="F50" s="54" t="n">
        <v>-43610</v>
      </c>
      <c r="G50" s="54" t="n">
        <v>-43610</v>
      </c>
      <c r="H50" s="54" t="n">
        <v>-43610</v>
      </c>
      <c r="I50" s="54" t="n">
        <v>-43610</v>
      </c>
      <c r="J50" s="54" t="n">
        <v>-43610</v>
      </c>
      <c r="K50" s="54" t="n">
        <v>-43610</v>
      </c>
      <c r="L50" s="54" t="n">
        <v>-43610</v>
      </c>
      <c r="M50" s="54" t="n">
        <v>-43610</v>
      </c>
      <c r="N50" s="54" t="n">
        <v>0</v>
      </c>
      <c r="O50" s="54" t="n">
        <v>0</v>
      </c>
      <c r="P50" s="54" t="n">
        <v>0</v>
      </c>
      <c r="Q50" s="54" t="n">
        <v>0</v>
      </c>
      <c r="R50" s="54" t="n">
        <v>0</v>
      </c>
      <c r="S50" s="54" t="n">
        <v>0</v>
      </c>
      <c r="T50" s="54" t="n">
        <v>0</v>
      </c>
      <c r="U50" s="54" t="n">
        <v>0</v>
      </c>
      <c r="V50" s="54" t="n">
        <v>0</v>
      </c>
      <c r="W50" s="54" t="n">
        <v>0</v>
      </c>
      <c r="X50" s="55" t="n"/>
    </row>
    <row r="51" ht="18.75" customHeight="1">
      <c r="B51" s="60" t="inlineStr">
        <is>
          <t>Outflow : 其它費用(人事薪資…等)</t>
        </is>
      </c>
      <c r="C51" s="62" t="n"/>
      <c r="D51" s="63" t="n"/>
      <c r="E51" s="64" t="n"/>
      <c r="F51" s="54" t="n"/>
      <c r="G51" s="54" t="n"/>
      <c r="H51" s="54" t="n"/>
      <c r="I51" s="54" t="n"/>
      <c r="J51" s="54" t="n"/>
      <c r="K51" s="54" t="n"/>
      <c r="L51" s="54" t="n"/>
      <c r="M51" s="54" t="n"/>
      <c r="N51" s="54" t="n"/>
      <c r="O51" s="54" t="n"/>
      <c r="P51" s="54" t="n"/>
      <c r="Q51" s="54" t="n"/>
      <c r="R51" s="54" t="n"/>
      <c r="S51" s="54" t="n"/>
      <c r="T51" s="54" t="n"/>
      <c r="U51" s="54" t="n"/>
      <c r="V51" s="54" t="n"/>
      <c r="W51" s="54" t="n"/>
      <c r="X51" s="55" t="n"/>
    </row>
    <row r="52" ht="18.75" customHeight="1">
      <c r="B52" s="60" t="inlineStr">
        <is>
          <t>1%管理費</t>
        </is>
      </c>
      <c r="C52" s="62" t="n"/>
      <c r="D52" s="54" t="n"/>
      <c r="E52" s="54" t="n"/>
      <c r="F52" s="54" t="n"/>
      <c r="G52" s="54" t="n"/>
      <c r="H52" s="54" t="n"/>
      <c r="I52" s="54" t="n"/>
      <c r="J52" s="54" t="n"/>
      <c r="K52" s="54" t="n"/>
      <c r="L52" s="54" t="n"/>
      <c r="M52" s="54" t="n"/>
      <c r="N52" s="54" t="n"/>
      <c r="O52" s="54" t="n"/>
      <c r="P52" s="54" t="n"/>
      <c r="Q52" s="54" t="n"/>
      <c r="R52" s="54" t="n"/>
      <c r="S52" s="54" t="n"/>
      <c r="T52" s="54" t="n"/>
      <c r="U52" s="54" t="n"/>
      <c r="V52" s="54" t="n"/>
      <c r="W52" s="54" t="n"/>
      <c r="X52" s="55" t="n"/>
    </row>
    <row r="53" ht="18.75" customHeight="1">
      <c r="B53" s="65" t="inlineStr">
        <is>
          <t>績效獎金</t>
        </is>
      </c>
      <c r="C53" s="62" t="n"/>
      <c r="D53" s="66" t="n"/>
      <c r="E53" s="66" t="n"/>
      <c r="F53" s="54" t="n"/>
      <c r="G53" s="54" t="n"/>
      <c r="H53" s="54" t="n"/>
      <c r="I53" s="54" t="n"/>
      <c r="J53" s="54" t="n"/>
      <c r="K53" s="54" t="n"/>
      <c r="L53" s="54" t="n"/>
      <c r="M53" s="54" t="n"/>
      <c r="N53" s="54" t="n"/>
      <c r="O53" s="54" t="n"/>
      <c r="P53" s="54" t="n"/>
      <c r="Q53" s="54" t="n"/>
      <c r="R53" s="54" t="n"/>
      <c r="S53" s="54" t="n"/>
      <c r="T53" s="54" t="n"/>
      <c r="U53" s="54" t="n"/>
      <c r="V53" s="54" t="n"/>
      <c r="W53" s="54" t="n"/>
      <c r="X53" s="55" t="n"/>
    </row>
    <row r="54" ht="18.75" customHeight="1">
      <c r="B54" s="65" t="inlineStr">
        <is>
          <t>所得稅20%</t>
        </is>
      </c>
      <c r="C54" s="62" t="n"/>
      <c r="D54" s="54">
        <f>-(D69+D72+D73+D76+D77+D78+D79)*0.2</f>
        <v/>
      </c>
      <c r="E54" s="54">
        <f>-(E69+E72+E73+E76+E77+E78+E79)*0.2</f>
        <v/>
      </c>
      <c r="F54" s="54">
        <f>-(F69+F72+F73+F76+F77+F78+F79)*0.2</f>
        <v/>
      </c>
      <c r="G54" s="54">
        <f>-(G69+G72+G73+G76+G77+G78+G79)*0.2</f>
        <v/>
      </c>
      <c r="H54" s="54">
        <f>-(H69+H72+H73+H76+H77+H78+H79)*0.2</f>
        <v/>
      </c>
      <c r="I54" s="54">
        <f>-(I69+I72+I73+I76+I77+I78+I79)*0.2</f>
        <v/>
      </c>
      <c r="J54" s="54">
        <f>-(J69+J72+J73+J76+J77+J78+J79)*0.2</f>
        <v/>
      </c>
      <c r="K54" s="54">
        <f>-(K69+K72+K73+K76+K77+K78+K79)*0.2</f>
        <v/>
      </c>
      <c r="L54" s="54">
        <f>-(L69+L72+L73+L76+L77+L78+L79)*0.2</f>
        <v/>
      </c>
      <c r="M54" s="54">
        <f>-(M69+M72+M73+M76+M77+M78+M79)*0.2</f>
        <v/>
      </c>
      <c r="N54" s="54">
        <f>-(N69+N72+N73+N76+N77+N78+N79)*0.2</f>
        <v/>
      </c>
      <c r="O54" s="54">
        <f>-(O69+O72+O73+O76+O77+O78+O79)*0.2</f>
        <v/>
      </c>
      <c r="P54" s="54">
        <f>-(P69+P72+P73+P76+P77+P78+P79)*0.2</f>
        <v/>
      </c>
      <c r="Q54" s="54">
        <f>-(Q69+Q72+Q73+Q76+Q77+Q78+Q79)*0.2</f>
        <v/>
      </c>
      <c r="R54" s="54">
        <f>-(R69+R72+R73+R76+R77+R78+R79)*0.2</f>
        <v/>
      </c>
      <c r="S54" s="54">
        <f>-(S69+S72+S73+S76+S77+S78+S79)*0.2</f>
        <v/>
      </c>
      <c r="T54" s="54">
        <f>-(T69+T72+T73+T76+T77+T78+T79)*0.2</f>
        <v/>
      </c>
      <c r="U54" s="54">
        <f>-(U69+U72+U73+U76+U77+U78+U79)*0.2</f>
        <v/>
      </c>
      <c r="V54" s="54">
        <f>-(V69+V72+V73+V76+V77+V78+V79)*0.2</f>
        <v/>
      </c>
      <c r="W54" s="54">
        <f>-(W69+W72+W73+W76+W77+W78+W79)*0.2</f>
        <v/>
      </c>
      <c r="X54" s="54" t="n"/>
    </row>
    <row r="55" ht="18.75" customHeight="1">
      <c r="B55" s="67" t="inlineStr">
        <is>
          <t>現金流</t>
        </is>
      </c>
      <c r="C55" s="68">
        <f>C44</f>
        <v/>
      </c>
      <c r="D55" s="69">
        <f>SUM(D41:D54)</f>
        <v/>
      </c>
      <c r="E55" s="69">
        <f>SUM(E41:E54)</f>
        <v/>
      </c>
      <c r="F55" s="69">
        <f>SUM(F41:F54)</f>
        <v/>
      </c>
      <c r="G55" s="69">
        <f>SUM(G41:G54)</f>
        <v/>
      </c>
      <c r="H55" s="69">
        <f>SUM(H41:H54)</f>
        <v/>
      </c>
      <c r="I55" s="69">
        <f>SUM(I41:I54)</f>
        <v/>
      </c>
      <c r="J55" s="69">
        <f>SUM(J41:J54)</f>
        <v/>
      </c>
      <c r="K55" s="69">
        <f>SUM(K41:K54)</f>
        <v/>
      </c>
      <c r="L55" s="69">
        <f>SUM(L41:L54)</f>
        <v/>
      </c>
      <c r="M55" s="69">
        <f>SUM(M41:M54)</f>
        <v/>
      </c>
      <c r="N55" s="69">
        <f>SUM(N41:N54)</f>
        <v/>
      </c>
      <c r="O55" s="69">
        <f>SUM(O41:O54)</f>
        <v/>
      </c>
      <c r="P55" s="69">
        <f>SUM(P41:P54)</f>
        <v/>
      </c>
      <c r="Q55" s="69">
        <f>SUM(Q41:Q54)</f>
        <v/>
      </c>
      <c r="R55" s="69">
        <f>SUM(R41:R54)</f>
        <v/>
      </c>
      <c r="S55" s="69">
        <f>SUM(S41:S54)</f>
        <v/>
      </c>
      <c r="T55" s="69">
        <f>SUM(T41:T54)</f>
        <v/>
      </c>
      <c r="U55" s="69">
        <f>SUM(U41:U54)</f>
        <v/>
      </c>
      <c r="V55" s="69">
        <f>SUM(V41:V54)</f>
        <v/>
      </c>
      <c r="W55" s="69">
        <f>SUM(W41:W54)</f>
        <v/>
      </c>
      <c r="X55" s="69" t="n"/>
      <c r="Y55" s="70" t="n"/>
      <c r="Z55" s="71" t="n"/>
      <c r="AA55" s="70" t="n"/>
      <c r="AB55" s="70" t="n"/>
      <c r="AC55" s="70" t="n"/>
      <c r="AD55" s="70" t="n"/>
      <c r="AE55" s="70" t="n"/>
      <c r="AF55" s="70" t="n"/>
      <c r="AG55" s="70" t="n"/>
      <c r="AH55" s="70" t="n"/>
      <c r="AI55" s="70" t="n"/>
      <c r="AJ55" s="70" t="n"/>
    </row>
    <row r="56" ht="18.75" customHeight="1">
      <c r="B56" s="72" t="inlineStr">
        <is>
          <t>累計現金流</t>
        </is>
      </c>
      <c r="D56" s="73">
        <f>C55+D55</f>
        <v/>
      </c>
      <c r="E56" s="73">
        <f>D56+E55</f>
        <v/>
      </c>
      <c r="F56" s="73">
        <f>E56+F55</f>
        <v/>
      </c>
      <c r="G56" s="73">
        <f>F56+G55</f>
        <v/>
      </c>
      <c r="H56" s="73">
        <f>G56+H55</f>
        <v/>
      </c>
      <c r="I56" s="73">
        <f>H56+I55</f>
        <v/>
      </c>
      <c r="J56" s="73">
        <f>I56+J55</f>
        <v/>
      </c>
      <c r="K56" s="73">
        <f>J56+K55</f>
        <v/>
      </c>
      <c r="L56" s="73">
        <f>K56+L55</f>
        <v/>
      </c>
      <c r="M56" s="73">
        <f>L56+M55</f>
        <v/>
      </c>
      <c r="N56" s="73">
        <f>M56+N55</f>
        <v/>
      </c>
      <c r="O56" s="73">
        <f>N56+O55</f>
        <v/>
      </c>
      <c r="P56" s="73">
        <f>O56+P55</f>
        <v/>
      </c>
      <c r="Q56" s="73">
        <f>P56+Q55</f>
        <v/>
      </c>
      <c r="R56" s="73">
        <f>Q56+R55</f>
        <v/>
      </c>
      <c r="S56" s="73">
        <f>R56+S55</f>
        <v/>
      </c>
      <c r="T56" s="73">
        <f>S56+T55</f>
        <v/>
      </c>
      <c r="U56" s="73">
        <f>T56+U55</f>
        <v/>
      </c>
      <c r="V56" s="73">
        <f>U56+V55</f>
        <v/>
      </c>
      <c r="W56" s="73">
        <f>V56+W55</f>
        <v/>
      </c>
      <c r="X56" s="73">
        <f>W56+X55</f>
        <v/>
      </c>
      <c r="Y56" s="70" t="n"/>
      <c r="Z56" s="70" t="n"/>
      <c r="AA56" s="70" t="n"/>
      <c r="AB56" s="70" t="n"/>
      <c r="AC56" s="70" t="n"/>
      <c r="AD56" s="70" t="n"/>
      <c r="AE56" s="70" t="n"/>
      <c r="AF56" s="70" t="n"/>
      <c r="AG56" s="70" t="n"/>
      <c r="AH56" s="70" t="n"/>
      <c r="AI56" s="70" t="n"/>
      <c r="AJ56" s="70" t="n"/>
    </row>
    <row r="57" ht="18.75" customHeight="1">
      <c r="B57" s="74" t="n"/>
      <c r="C57" s="75" t="n"/>
      <c r="D57" s="76" t="n"/>
      <c r="E57" s="76" t="n"/>
      <c r="F57" s="77" t="n"/>
      <c r="G57" s="77" t="n"/>
      <c r="H57" s="77" t="n"/>
      <c r="I57" s="77" t="n"/>
      <c r="J57" s="77" t="n"/>
      <c r="K57" s="77" t="n"/>
      <c r="L57" s="77" t="n"/>
      <c r="M57" s="77" t="n"/>
      <c r="N57" s="77" t="n"/>
      <c r="O57" s="77" t="n"/>
      <c r="P57" s="77" t="n"/>
      <c r="Q57" s="77" t="n"/>
      <c r="R57" s="77" t="n"/>
      <c r="S57" s="77" t="n"/>
      <c r="T57" s="77" t="n"/>
      <c r="U57" s="77" t="n"/>
      <c r="V57" s="77" t="n"/>
      <c r="W57" s="77" t="n"/>
      <c r="X57" s="78" t="n"/>
      <c r="Y57" s="70" t="n"/>
      <c r="Z57" s="70" t="n"/>
      <c r="AA57" s="70" t="n"/>
      <c r="AB57" s="70" t="n"/>
      <c r="AC57" s="70" t="n"/>
      <c r="AD57" s="70" t="n"/>
      <c r="AE57" s="70" t="n"/>
      <c r="AF57" s="70" t="n"/>
      <c r="AG57" s="70" t="n"/>
      <c r="AH57" s="70" t="n"/>
      <c r="AI57" s="70" t="n"/>
      <c r="AJ57" s="70" t="n"/>
    </row>
    <row r="58" ht="18.75" customHeight="1">
      <c r="B58" s="74" t="n"/>
      <c r="C58" s="79" t="n"/>
      <c r="D58" s="66" t="n"/>
      <c r="E58" s="66" t="n"/>
      <c r="F58" s="66" t="n"/>
      <c r="G58" s="66" t="n"/>
      <c r="H58" s="66" t="n"/>
      <c r="I58" s="66" t="n"/>
      <c r="J58" s="66" t="n"/>
      <c r="K58" s="66" t="n"/>
      <c r="L58" s="66" t="n"/>
      <c r="M58" s="66" t="n"/>
      <c r="N58" s="66" t="n"/>
      <c r="O58" s="66" t="n"/>
      <c r="P58" s="66" t="n"/>
      <c r="Q58" s="66" t="n"/>
      <c r="R58" s="66" t="n"/>
      <c r="S58" s="66" t="n"/>
      <c r="T58" s="66" t="n"/>
      <c r="U58" s="66" t="n"/>
      <c r="V58" s="66" t="n"/>
      <c r="W58" s="66" t="n"/>
      <c r="X58" s="80" t="n"/>
      <c r="Y58" s="70" t="n"/>
      <c r="Z58" s="70" t="n"/>
      <c r="AA58" s="70" t="n"/>
      <c r="AB58" s="70" t="n"/>
      <c r="AC58" s="70" t="n"/>
      <c r="AD58" s="70" t="n"/>
      <c r="AE58" s="70" t="n"/>
      <c r="AF58" s="70" t="n"/>
      <c r="AG58" s="70" t="n"/>
      <c r="AH58" s="70" t="n"/>
      <c r="AI58" s="70" t="n"/>
      <c r="AJ58" s="70" t="n"/>
    </row>
    <row r="59" ht="18.75" customHeight="1">
      <c r="B59" s="74" t="n"/>
      <c r="C59" s="79" t="n"/>
      <c r="D59" s="66" t="n"/>
      <c r="E59" s="66" t="n"/>
      <c r="F59" s="66" t="n"/>
      <c r="G59" s="66" t="n"/>
      <c r="H59" s="66" t="n"/>
      <c r="I59" s="66" t="n"/>
      <c r="J59" s="66" t="n"/>
      <c r="K59" s="66" t="n"/>
      <c r="L59" s="66" t="n"/>
      <c r="M59" s="66" t="n"/>
      <c r="N59" s="66" t="n"/>
      <c r="O59" s="66" t="n"/>
      <c r="P59" s="66" t="n"/>
      <c r="Q59" s="66" t="n"/>
      <c r="R59" s="66" t="n"/>
      <c r="S59" s="66" t="n"/>
      <c r="T59" s="66" t="n"/>
      <c r="U59" s="66" t="n"/>
      <c r="V59" s="66" t="n"/>
      <c r="W59" s="66" t="n"/>
      <c r="X59" s="80" t="n"/>
      <c r="Y59" s="70" t="n"/>
      <c r="Z59" s="70" t="n"/>
      <c r="AA59" s="70" t="n"/>
      <c r="AB59" s="70" t="n"/>
      <c r="AC59" s="70" t="n"/>
      <c r="AD59" s="70" t="n"/>
      <c r="AE59" s="70" t="n"/>
      <c r="AF59" s="70" t="n"/>
      <c r="AG59" s="70" t="n"/>
      <c r="AH59" s="70" t="n"/>
      <c r="AI59" s="70" t="n"/>
      <c r="AJ59" s="70" t="n"/>
    </row>
    <row r="60" ht="18.75" customHeight="1">
      <c r="B60" s="81" t="n"/>
      <c r="C60" s="82" t="n"/>
      <c r="D60" s="83" t="n"/>
      <c r="E60" s="83" t="n"/>
      <c r="F60" s="83" t="n"/>
      <c r="G60" s="83" t="n"/>
      <c r="H60" s="83" t="n"/>
      <c r="I60" s="83" t="n"/>
      <c r="J60" s="83" t="n"/>
      <c r="K60" s="83" t="n"/>
      <c r="L60" s="83" t="n"/>
      <c r="M60" s="83" t="n"/>
      <c r="N60" s="83" t="n"/>
      <c r="O60" s="83" t="n"/>
      <c r="P60" s="83" t="n"/>
      <c r="Q60" s="83" t="n"/>
      <c r="R60" s="83" t="n"/>
      <c r="S60" s="83" t="n"/>
      <c r="T60" s="83" t="n"/>
      <c r="U60" s="83" t="n"/>
      <c r="V60" s="83" t="n"/>
      <c r="W60" s="83" t="n"/>
      <c r="X60" s="84" t="n"/>
      <c r="Y60" s="70" t="n"/>
      <c r="Z60" s="70" t="n"/>
      <c r="AA60" s="70" t="n"/>
      <c r="AB60" s="70" t="n"/>
      <c r="AC60" s="70" t="n"/>
      <c r="AD60" s="70" t="n"/>
      <c r="AE60" s="70" t="n"/>
      <c r="AF60" s="70" t="n"/>
      <c r="AG60" s="70" t="n"/>
      <c r="AH60" s="70" t="n"/>
      <c r="AI60" s="70" t="n"/>
      <c r="AJ60" s="70" t="n"/>
    </row>
    <row r="61" ht="18.75" customHeight="1">
      <c r="B61" s="85" t="n"/>
      <c r="C61" s="86" t="n"/>
      <c r="D61" s="87" t="n"/>
      <c r="E61" s="87" t="n"/>
      <c r="F61" s="88" t="n"/>
      <c r="G61" s="88" t="n"/>
      <c r="H61" s="88" t="n"/>
      <c r="I61" s="88" t="n"/>
      <c r="J61" s="88" t="n"/>
      <c r="K61" s="88" t="n"/>
      <c r="L61" s="88" t="n"/>
      <c r="M61" s="88" t="n"/>
      <c r="N61" s="88" t="n"/>
      <c r="O61" s="88" t="n"/>
      <c r="P61" s="88" t="n"/>
      <c r="Q61" s="88" t="n"/>
      <c r="R61" s="88" t="n"/>
      <c r="S61" s="88" t="n"/>
      <c r="T61" s="88" t="n"/>
      <c r="U61" s="88" t="n"/>
      <c r="V61" s="88" t="n"/>
      <c r="W61" s="88" t="n"/>
      <c r="X61" s="89" t="n"/>
      <c r="Y61" s="70" t="n"/>
      <c r="Z61" s="70" t="n"/>
      <c r="AA61" s="70" t="n"/>
      <c r="AB61" s="70" t="n"/>
      <c r="AC61" s="70" t="n"/>
      <c r="AD61" s="70" t="n"/>
      <c r="AE61" s="70" t="n"/>
      <c r="AF61" s="70" t="n"/>
      <c r="AG61" s="70" t="n"/>
      <c r="AH61" s="70" t="n"/>
      <c r="AI61" s="70" t="n"/>
      <c r="AJ61" s="70" t="n"/>
    </row>
    <row r="62" ht="18.75" customHeight="1">
      <c r="B62" s="90" t="inlineStr">
        <is>
          <t>回收年限評估</t>
        </is>
      </c>
      <c r="C62" s="91" t="n"/>
      <c r="D62" s="92">
        <f>IF((D56)&gt;0,"回收","未回收")</f>
        <v/>
      </c>
      <c r="E62" s="92">
        <f>IF((E56)&gt;0,"回收","未回收")</f>
        <v/>
      </c>
      <c r="F62" s="92">
        <f>IF((F56)&gt;0,"回收","未回收")</f>
        <v/>
      </c>
      <c r="G62" s="92">
        <f>IF((G56)&gt;0,"回收","未回收")</f>
        <v/>
      </c>
      <c r="H62" s="92">
        <f>IF((H56)&gt;0,"回收","未回收")</f>
        <v/>
      </c>
      <c r="I62" s="92">
        <f>IF((I56)&gt;0,"回收","未回收")</f>
        <v/>
      </c>
      <c r="J62" s="92">
        <f>IF((J56)&gt;0,"回收","未回收")</f>
        <v/>
      </c>
      <c r="K62" s="92">
        <f>IF((K56)&gt;0,"回收","未回收")</f>
        <v/>
      </c>
      <c r="L62" s="92">
        <f>IF((L56)&gt;0,"回收","未回收")</f>
        <v/>
      </c>
      <c r="M62" s="92">
        <f>IF((M56)&gt;0,"回收","未回收")</f>
        <v/>
      </c>
      <c r="N62" s="92">
        <f>IF((N56)&gt;0,"回收","未回收")</f>
        <v/>
      </c>
      <c r="O62" s="92">
        <f>IF((O56)&gt;0,"回收","未回收")</f>
        <v/>
      </c>
      <c r="P62" s="92">
        <f>IF((P56)&gt;0,"回收","未回收")</f>
        <v/>
      </c>
      <c r="Q62" s="92">
        <f>IF((Q56)&gt;0,"回收","未回收")</f>
        <v/>
      </c>
      <c r="R62" s="92">
        <f>IF((R56)&gt;0,"回收","未回收")</f>
        <v/>
      </c>
      <c r="S62" s="92">
        <f>IF((S56)&gt;0,"回收","未回收")</f>
        <v/>
      </c>
      <c r="T62" s="92">
        <f>IF((T56)&gt;0,"回收","未回收")</f>
        <v/>
      </c>
      <c r="U62" s="92">
        <f>IF((U56)&gt;0,"回收","未回收")</f>
        <v/>
      </c>
      <c r="V62" s="92">
        <f>IF((V56)&gt;0,"回收","未回收")</f>
        <v/>
      </c>
      <c r="W62" s="92">
        <f>IF((W56)&gt;0,"回收","未回收")</f>
        <v/>
      </c>
      <c r="X62" s="92">
        <f>IF((X56)&gt;0,"回收","未回收")</f>
        <v/>
      </c>
      <c r="Y62" s="70" t="n"/>
      <c r="Z62" s="70" t="n"/>
      <c r="AA62" s="70" t="n"/>
      <c r="AB62" s="70" t="n"/>
      <c r="AC62" s="70" t="n"/>
      <c r="AD62" s="70" t="n"/>
      <c r="AE62" s="70" t="n"/>
      <c r="AF62" s="70" t="n"/>
      <c r="AG62" s="70" t="n"/>
      <c r="AH62" s="70" t="n"/>
      <c r="AI62" s="70" t="n"/>
      <c r="AJ62" s="70" t="n"/>
    </row>
    <row r="63" ht="18.75" customHeight="1">
      <c r="B63" s="93" t="inlineStr">
        <is>
          <t>專案法IRR</t>
        </is>
      </c>
      <c r="C63" s="94">
        <f>IRR(C55:W55)</f>
        <v/>
      </c>
      <c r="D63" s="95" t="n"/>
      <c r="E63" s="95" t="n"/>
      <c r="F63" s="96" t="n"/>
      <c r="G63" s="96" t="n"/>
      <c r="H63" s="96" t="n"/>
      <c r="I63" s="96" t="n"/>
      <c r="J63" s="96" t="n"/>
      <c r="K63" s="96" t="n"/>
      <c r="L63" s="96" t="n"/>
      <c r="M63" s="96" t="n"/>
      <c r="N63" s="96" t="n"/>
      <c r="O63" s="96" t="n"/>
      <c r="P63" s="96" t="n"/>
      <c r="Q63" s="96" t="n"/>
      <c r="R63" s="96" t="n"/>
      <c r="S63" s="96" t="n"/>
      <c r="T63" s="96" t="n"/>
      <c r="U63" s="96" t="n"/>
      <c r="V63" s="96" t="n"/>
      <c r="W63" s="96" t="n"/>
      <c r="X63" s="96" t="n"/>
      <c r="Y63" s="97" t="n"/>
      <c r="Z63" s="97" t="n"/>
      <c r="AA63" s="97" t="n"/>
      <c r="AB63" s="97" t="n"/>
      <c r="AC63" s="97" t="n"/>
      <c r="AD63" s="97" t="n"/>
      <c r="AE63" s="97" t="n"/>
      <c r="AF63" s="97" t="n"/>
      <c r="AG63" s="97" t="n"/>
      <c r="AH63" s="97" t="n"/>
      <c r="AI63" s="97" t="n"/>
      <c r="AJ63" s="97" t="n"/>
    </row>
    <row r="64" ht="18.75" customHeight="1">
      <c r="B64" s="96" t="n"/>
      <c r="C64" s="95" t="n"/>
      <c r="D64" s="95" t="n"/>
      <c r="E64" s="95" t="n"/>
      <c r="F64" s="96" t="n"/>
      <c r="G64" s="96" t="n"/>
      <c r="H64" s="96" t="n"/>
      <c r="I64" s="96" t="n"/>
      <c r="J64" s="96" t="n"/>
      <c r="K64" s="96" t="n"/>
      <c r="L64" s="96" t="n"/>
      <c r="M64" s="95" t="n"/>
      <c r="N64" s="96" t="n"/>
      <c r="O64" s="96" t="n"/>
      <c r="P64" s="96" t="n"/>
      <c r="Q64" s="96" t="n"/>
      <c r="R64" s="96" t="n"/>
      <c r="S64" s="96" t="n"/>
      <c r="T64" s="96" t="n"/>
      <c r="U64" s="96" t="n"/>
      <c r="V64" s="96" t="n"/>
      <c r="W64" s="96" t="n"/>
      <c r="X64" s="96" t="n"/>
      <c r="Y64" s="97" t="n"/>
      <c r="Z64" s="97" t="n"/>
      <c r="AA64" s="97" t="n"/>
      <c r="AB64" s="97" t="n"/>
      <c r="AC64" s="97" t="n"/>
      <c r="AD64" s="97" t="n"/>
      <c r="AE64" s="97" t="n"/>
      <c r="AF64" s="97" t="n"/>
      <c r="AG64" s="97" t="n"/>
      <c r="AH64" s="97" t="n"/>
      <c r="AI64" s="97" t="n"/>
      <c r="AJ64" s="97" t="n"/>
    </row>
    <row r="65" ht="18.75" customHeight="1">
      <c r="B65" s="30" t="n"/>
      <c r="C65" s="31" t="inlineStr">
        <is>
          <t>年份</t>
        </is>
      </c>
      <c r="D65" s="31">
        <f>D37</f>
        <v/>
      </c>
      <c r="E65" s="31">
        <f>E37</f>
        <v/>
      </c>
      <c r="F65" s="31">
        <f>F37</f>
        <v/>
      </c>
      <c r="G65" s="31">
        <f>G37</f>
        <v/>
      </c>
      <c r="H65" s="31">
        <f>H37</f>
        <v/>
      </c>
      <c r="I65" s="31">
        <f>I37</f>
        <v/>
      </c>
      <c r="J65" s="31">
        <f>J37</f>
        <v/>
      </c>
      <c r="K65" s="31">
        <f>K37</f>
        <v/>
      </c>
      <c r="L65" s="31">
        <f>L37</f>
        <v/>
      </c>
      <c r="M65" s="31">
        <f>M37</f>
        <v/>
      </c>
      <c r="N65" s="31">
        <f>N37</f>
        <v/>
      </c>
      <c r="O65" s="31">
        <f>O37</f>
        <v/>
      </c>
      <c r="P65" s="31">
        <f>P37</f>
        <v/>
      </c>
      <c r="Q65" s="31">
        <f>Q37</f>
        <v/>
      </c>
      <c r="R65" s="31">
        <f>R37</f>
        <v/>
      </c>
      <c r="S65" s="31">
        <f>S37</f>
        <v/>
      </c>
      <c r="T65" s="31">
        <f>T37</f>
        <v/>
      </c>
      <c r="U65" s="31">
        <f>U37</f>
        <v/>
      </c>
      <c r="V65" s="31">
        <f>V37</f>
        <v/>
      </c>
      <c r="W65" s="31">
        <f>W37</f>
        <v/>
      </c>
      <c r="X65" s="31" t="n"/>
      <c r="Y65" s="98" t="n"/>
      <c r="Z65" s="98" t="n"/>
      <c r="AA65" s="98" t="n"/>
      <c r="AB65" s="98" t="n"/>
      <c r="AC65" s="98" t="n"/>
      <c r="AD65" s="98" t="n"/>
      <c r="AE65" s="98" t="n"/>
      <c r="AF65" s="98" t="n"/>
      <c r="AG65" s="98" t="n"/>
      <c r="AH65" s="98" t="n"/>
      <c r="AI65" s="98" t="n"/>
      <c r="AJ65" s="98" t="n"/>
    </row>
    <row r="66" ht="18.75" customHeight="1">
      <c r="B66" s="32" t="n">
        <v>0</v>
      </c>
      <c r="C66" s="33" t="n"/>
      <c r="D66" s="34" t="n"/>
      <c r="E66" s="34" t="n"/>
      <c r="F66" s="35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99" t="inlineStr">
        <is>
          <t>償還年限</t>
        </is>
      </c>
      <c r="U66" s="36" t="n"/>
      <c r="V66" s="36" t="n"/>
      <c r="W66" s="36" t="n"/>
      <c r="X66" s="38" t="n"/>
    </row>
    <row r="67" ht="18.75" customHeight="1">
      <c r="B67" s="39" t="inlineStr">
        <is>
          <t>(Unit : Currency)</t>
        </is>
      </c>
      <c r="C67" s="40" t="n">
        <v>0</v>
      </c>
      <c r="D67" s="41" t="n">
        <v>1</v>
      </c>
      <c r="E67" s="41" t="n">
        <v>2</v>
      </c>
      <c r="F67" s="41" t="n">
        <v>3</v>
      </c>
      <c r="G67" s="41" t="n">
        <v>4</v>
      </c>
      <c r="H67" s="41" t="n">
        <v>5</v>
      </c>
      <c r="I67" s="41" t="n">
        <v>6</v>
      </c>
      <c r="J67" s="41" t="n">
        <v>7</v>
      </c>
      <c r="K67" s="41" t="n">
        <v>8</v>
      </c>
      <c r="L67" s="41" t="n">
        <v>9</v>
      </c>
      <c r="M67" s="41" t="n">
        <v>10</v>
      </c>
      <c r="N67" s="41" t="n">
        <v>11</v>
      </c>
      <c r="O67" s="41" t="n">
        <v>12</v>
      </c>
      <c r="P67" s="41" t="n">
        <v>13</v>
      </c>
      <c r="Q67" s="41" t="n">
        <v>14</v>
      </c>
      <c r="R67" s="41" t="n">
        <v>15</v>
      </c>
      <c r="S67" s="41" t="n">
        <v>16</v>
      </c>
      <c r="T67" s="100" t="n">
        <v>17</v>
      </c>
      <c r="U67" s="41" t="n">
        <v>18</v>
      </c>
      <c r="V67" s="41" t="n">
        <v>19</v>
      </c>
      <c r="W67" s="41" t="n">
        <v>20</v>
      </c>
      <c r="X67" s="43" t="n"/>
    </row>
    <row r="68" ht="18.75" customHeight="1">
      <c r="B68" s="44" t="inlineStr">
        <is>
          <t>發電度數(KWH)</t>
        </is>
      </c>
      <c r="C68" s="45" t="n">
        <v>0</v>
      </c>
      <c r="D68" s="46">
        <f>D40</f>
        <v/>
      </c>
      <c r="E68" s="46">
        <f>E40</f>
        <v/>
      </c>
      <c r="F68" s="46">
        <f>F40</f>
        <v/>
      </c>
      <c r="G68" s="46">
        <f>G40</f>
        <v/>
      </c>
      <c r="H68" s="46">
        <f>H40</f>
        <v/>
      </c>
      <c r="I68" s="46">
        <f>I40</f>
        <v/>
      </c>
      <c r="J68" s="46">
        <f>J40</f>
        <v/>
      </c>
      <c r="K68" s="46">
        <f>K40</f>
        <v/>
      </c>
      <c r="L68" s="46">
        <f>L40</f>
        <v/>
      </c>
      <c r="M68" s="46">
        <f>M40</f>
        <v/>
      </c>
      <c r="N68" s="46">
        <f>N40</f>
        <v/>
      </c>
      <c r="O68" s="46">
        <f>O40</f>
        <v/>
      </c>
      <c r="P68" s="46">
        <f>P40</f>
        <v/>
      </c>
      <c r="Q68" s="46">
        <f>Q40</f>
        <v/>
      </c>
      <c r="R68" s="46">
        <f>R40</f>
        <v/>
      </c>
      <c r="S68" s="46">
        <f>S40</f>
        <v/>
      </c>
      <c r="T68" s="46">
        <f>T40</f>
        <v/>
      </c>
      <c r="U68" s="46">
        <f>U40</f>
        <v/>
      </c>
      <c r="V68" s="46">
        <f>V40</f>
        <v/>
      </c>
      <c r="W68" s="46">
        <f>W40</f>
        <v/>
      </c>
      <c r="X68" s="47" t="n"/>
    </row>
    <row r="69" ht="18.75" customHeight="1">
      <c r="B69" s="48" t="inlineStr">
        <is>
          <t>Inflow : 電費收入</t>
        </is>
      </c>
      <c r="C69" s="49" t="inlineStr">
        <is>
          <t>-</t>
        </is>
      </c>
      <c r="D69" s="50">
        <f>D41</f>
        <v/>
      </c>
      <c r="E69" s="50">
        <f>E41</f>
        <v/>
      </c>
      <c r="F69" s="50">
        <f>F41</f>
        <v/>
      </c>
      <c r="G69" s="50">
        <f>G41</f>
        <v/>
      </c>
      <c r="H69" s="50">
        <f>H41</f>
        <v/>
      </c>
      <c r="I69" s="50">
        <f>I41</f>
        <v/>
      </c>
      <c r="J69" s="50">
        <f>J41</f>
        <v/>
      </c>
      <c r="K69" s="50">
        <f>K41</f>
        <v/>
      </c>
      <c r="L69" s="50">
        <f>L41</f>
        <v/>
      </c>
      <c r="M69" s="50">
        <f>M41</f>
        <v/>
      </c>
      <c r="N69" s="50">
        <f>N41</f>
        <v/>
      </c>
      <c r="O69" s="50">
        <f>O41</f>
        <v/>
      </c>
      <c r="P69" s="50">
        <f>P41</f>
        <v/>
      </c>
      <c r="Q69" s="50">
        <f>Q41</f>
        <v/>
      </c>
      <c r="R69" s="50">
        <f>R41</f>
        <v/>
      </c>
      <c r="S69" s="50">
        <f>S41</f>
        <v/>
      </c>
      <c r="T69" s="50">
        <f>T41</f>
        <v/>
      </c>
      <c r="U69" s="50">
        <f>U41</f>
        <v/>
      </c>
      <c r="V69" s="50">
        <f>V41</f>
        <v/>
      </c>
      <c r="W69" s="50">
        <f>W41</f>
        <v/>
      </c>
      <c r="X69" s="51" t="n"/>
    </row>
    <row r="70" ht="18.75" customHeight="1">
      <c r="B70" s="52" t="inlineStr">
        <is>
          <t>Inflow : 政府補助</t>
        </is>
      </c>
      <c r="C70" s="53" t="inlineStr">
        <is>
          <t>-</t>
        </is>
      </c>
      <c r="D70" s="54" t="n"/>
      <c r="E70" s="54" t="n"/>
      <c r="F70" s="54" t="n"/>
      <c r="G70" s="54" t="inlineStr">
        <is>
          <t>-</t>
        </is>
      </c>
      <c r="H70" s="54" t="inlineStr">
        <is>
          <t>-</t>
        </is>
      </c>
      <c r="I70" s="54" t="inlineStr">
        <is>
          <t>-</t>
        </is>
      </c>
      <c r="J70" s="54" t="inlineStr">
        <is>
          <t>-</t>
        </is>
      </c>
      <c r="K70" s="54" t="inlineStr">
        <is>
          <t>-</t>
        </is>
      </c>
      <c r="L70" s="54" t="inlineStr">
        <is>
          <t>-</t>
        </is>
      </c>
      <c r="M70" s="54" t="inlineStr">
        <is>
          <t>-</t>
        </is>
      </c>
      <c r="N70" s="54" t="inlineStr">
        <is>
          <t>-</t>
        </is>
      </c>
      <c r="O70" s="54" t="inlineStr">
        <is>
          <t>-</t>
        </is>
      </c>
      <c r="P70" s="54" t="inlineStr">
        <is>
          <t>-</t>
        </is>
      </c>
      <c r="Q70" s="54" t="inlineStr">
        <is>
          <t>-</t>
        </is>
      </c>
      <c r="R70" s="54" t="inlineStr">
        <is>
          <t>-</t>
        </is>
      </c>
      <c r="S70" s="54" t="inlineStr">
        <is>
          <t>-</t>
        </is>
      </c>
      <c r="T70" s="54" t="inlineStr">
        <is>
          <t>-</t>
        </is>
      </c>
      <c r="U70" s="54" t="inlineStr">
        <is>
          <t>-</t>
        </is>
      </c>
      <c r="V70" s="54" t="inlineStr">
        <is>
          <t>-</t>
        </is>
      </c>
      <c r="W70" s="54" t="inlineStr">
        <is>
          <t>-</t>
        </is>
      </c>
      <c r="X70" s="55" t="n"/>
    </row>
    <row r="71" ht="18.75" customHeight="1">
      <c r="B71" s="56" t="inlineStr">
        <is>
          <t>Inflow : 銀行借款</t>
        </is>
      </c>
      <c r="C71" s="57" t="n"/>
      <c r="D71" s="58" t="n"/>
      <c r="E71" s="58" t="n"/>
      <c r="F71" s="58" t="n"/>
      <c r="G71" s="58" t="n"/>
      <c r="H71" s="58" t="n"/>
      <c r="I71" s="58" t="n"/>
      <c r="J71" s="58" t="n"/>
      <c r="K71" s="58" t="n"/>
      <c r="L71" s="58" t="n"/>
      <c r="M71" s="58" t="n"/>
      <c r="N71" s="58" t="n"/>
      <c r="O71" s="58" t="n"/>
      <c r="P71" s="58" t="n"/>
      <c r="Q71" s="58" t="n"/>
      <c r="R71" s="58" t="n"/>
      <c r="S71" s="58" t="n"/>
      <c r="T71" s="58" t="n"/>
      <c r="U71" s="58" t="n"/>
      <c r="V71" s="58" t="n"/>
      <c r="W71" s="58" t="n"/>
      <c r="X71" s="59" t="n"/>
    </row>
    <row r="72" ht="18.75" customHeight="1">
      <c r="B72" s="60" t="inlineStr">
        <is>
          <t>Outflow : 設備折舊</t>
        </is>
      </c>
      <c r="C72" s="53" t="n"/>
      <c r="D72" s="61">
        <f>$C$44/$E$16</f>
        <v/>
      </c>
      <c r="E72" s="61">
        <f>$C$44/$E$16</f>
        <v/>
      </c>
      <c r="F72" s="61">
        <f>$C$44/$E$16</f>
        <v/>
      </c>
      <c r="G72" s="61">
        <f>$C$44/$E$16</f>
        <v/>
      </c>
      <c r="H72" s="61">
        <f>$C$44/$E$16</f>
        <v/>
      </c>
      <c r="I72" s="61">
        <f>$C$44/$E$16</f>
        <v/>
      </c>
      <c r="J72" s="61">
        <f>$C$44/$E$16</f>
        <v/>
      </c>
      <c r="K72" s="61">
        <f>$C$44/$E$16</f>
        <v/>
      </c>
      <c r="L72" s="61">
        <f>$C$44/$E$16</f>
        <v/>
      </c>
      <c r="M72" s="61">
        <f>$C$44/$E$16</f>
        <v/>
      </c>
      <c r="N72" s="61">
        <f>$C$44/$E$16</f>
        <v/>
      </c>
      <c r="O72" s="61">
        <f>$C$44/$E$16</f>
        <v/>
      </c>
      <c r="P72" s="61">
        <f>$C$44/$E$16</f>
        <v/>
      </c>
      <c r="Q72" s="61">
        <f>$C$44/$E$16</f>
        <v/>
      </c>
      <c r="R72" s="61">
        <f>$C$44/$E$16</f>
        <v/>
      </c>
      <c r="S72" s="61">
        <f>$C$44/$E$16</f>
        <v/>
      </c>
      <c r="T72" s="61">
        <f>$C$44/$E$16</f>
        <v/>
      </c>
      <c r="U72" s="61">
        <f>$C$44/$E$16</f>
        <v/>
      </c>
      <c r="V72" s="61">
        <f>$C$44/$E$16</f>
        <v/>
      </c>
      <c r="W72" s="61">
        <f>$C$44/$E$16</f>
        <v/>
      </c>
      <c r="X72" s="55" t="n"/>
    </row>
    <row r="73" ht="18.75" customHeight="1">
      <c r="B73" s="60" t="inlineStr">
        <is>
          <t>Outflow : 設備放置區域租金</t>
        </is>
      </c>
      <c r="C73" s="53" t="inlineStr">
        <is>
          <t>-</t>
        </is>
      </c>
      <c r="D73" s="54">
        <f>D45</f>
        <v/>
      </c>
      <c r="E73" s="54">
        <f>E45</f>
        <v/>
      </c>
      <c r="F73" s="54">
        <f>F45</f>
        <v/>
      </c>
      <c r="G73" s="54">
        <f>G45</f>
        <v/>
      </c>
      <c r="H73" s="54">
        <f>H45</f>
        <v/>
      </c>
      <c r="I73" s="54">
        <f>I45</f>
        <v/>
      </c>
      <c r="J73" s="54">
        <f>J45</f>
        <v/>
      </c>
      <c r="K73" s="54">
        <f>K45</f>
        <v/>
      </c>
      <c r="L73" s="54">
        <f>L45</f>
        <v/>
      </c>
      <c r="M73" s="54">
        <f>M45</f>
        <v/>
      </c>
      <c r="N73" s="54">
        <f>N45</f>
        <v/>
      </c>
      <c r="O73" s="54">
        <f>O45</f>
        <v/>
      </c>
      <c r="P73" s="54">
        <f>P45</f>
        <v/>
      </c>
      <c r="Q73" s="54">
        <f>Q45</f>
        <v/>
      </c>
      <c r="R73" s="54">
        <f>R45</f>
        <v/>
      </c>
      <c r="S73" s="54">
        <f>S45</f>
        <v/>
      </c>
      <c r="T73" s="54">
        <f>T45</f>
        <v/>
      </c>
      <c r="U73" s="54">
        <f>U45</f>
        <v/>
      </c>
      <c r="V73" s="54">
        <f>V45</f>
        <v/>
      </c>
      <c r="W73" s="54">
        <f>W45</f>
        <v/>
      </c>
      <c r="X73" s="55" t="n"/>
    </row>
    <row r="74" ht="18.75" customHeight="1">
      <c r="B74" s="60" t="inlineStr">
        <is>
          <t>Outflow : 返還借款</t>
        </is>
      </c>
      <c r="C74" s="53" t="n"/>
      <c r="D74" s="54" t="n"/>
      <c r="E74" s="54" t="n"/>
      <c r="F74" s="54" t="n"/>
      <c r="G74" s="54" t="n"/>
      <c r="H74" s="54" t="n"/>
      <c r="I74" s="54" t="n"/>
      <c r="J74" s="54" t="n"/>
      <c r="K74" s="54" t="n"/>
      <c r="L74" s="54" t="n"/>
      <c r="M74" s="54" t="n"/>
      <c r="N74" s="54" t="n"/>
      <c r="O74" s="54" t="n"/>
      <c r="P74" s="54" t="n"/>
      <c r="Q74" s="54" t="n"/>
      <c r="R74" s="54" t="n"/>
      <c r="S74" s="54" t="n"/>
      <c r="T74" s="54" t="n"/>
      <c r="U74" s="54" t="n"/>
      <c r="V74" s="54" t="n"/>
      <c r="W74" s="54" t="n"/>
      <c r="X74" s="55" t="n"/>
    </row>
    <row r="75" ht="18.75" customHeight="1">
      <c r="B75" s="60" t="inlineStr">
        <is>
          <t>Outflow : 利息費用</t>
        </is>
      </c>
      <c r="C75" s="53" t="inlineStr">
        <is>
          <t>-</t>
        </is>
      </c>
      <c r="D75" s="54" t="n">
        <v>-330394.5932</v>
      </c>
      <c r="E75" s="54" t="n">
        <v>-308368.2869866667</v>
      </c>
      <c r="F75" s="54" t="n">
        <v>-286341.9807733333</v>
      </c>
      <c r="G75" s="54" t="n">
        <v>-264315.67456</v>
      </c>
      <c r="H75" s="54" t="n">
        <v>-242289.3683466667</v>
      </c>
      <c r="I75" s="54" t="n">
        <v>-220263.0621333333</v>
      </c>
      <c r="J75" s="54" t="n">
        <v>-198236.75592</v>
      </c>
      <c r="K75" s="54" t="n">
        <v>-176210.4497066667</v>
      </c>
      <c r="L75" s="54" t="n">
        <v>-154184.1434933333</v>
      </c>
      <c r="M75" s="54" t="n">
        <v>-132157.83728</v>
      </c>
      <c r="N75" s="54" t="n">
        <v>-110131.5310666667</v>
      </c>
      <c r="O75" s="54" t="n">
        <v>-88105.22485333333</v>
      </c>
      <c r="P75" s="54" t="n">
        <v>-66078.91864</v>
      </c>
      <c r="Q75" s="54" t="n">
        <v>-44052.61242666667</v>
      </c>
      <c r="R75" s="54" t="n">
        <v>-22026.30621333333</v>
      </c>
      <c r="S75" s="54" t="n">
        <v>0</v>
      </c>
      <c r="T75" s="54" t="n">
        <v>0</v>
      </c>
      <c r="U75" s="54" t="n">
        <v>0</v>
      </c>
      <c r="V75" s="54" t="n">
        <v>0</v>
      </c>
      <c r="W75" s="54" t="n">
        <v>0</v>
      </c>
      <c r="X75" s="55" t="n"/>
    </row>
    <row r="76" ht="18.75" customHeight="1">
      <c r="B76" s="60" t="inlineStr">
        <is>
          <t>Outflow : 維運費</t>
        </is>
      </c>
      <c r="C76" s="53" t="inlineStr">
        <is>
          <t>-</t>
        </is>
      </c>
      <c r="D76" s="54">
        <f>D48</f>
        <v/>
      </c>
      <c r="E76" s="54">
        <f>E48</f>
        <v/>
      </c>
      <c r="F76" s="54">
        <f>F48</f>
        <v/>
      </c>
      <c r="G76" s="54">
        <f>G48</f>
        <v/>
      </c>
      <c r="H76" s="54">
        <f>H48</f>
        <v/>
      </c>
      <c r="I76" s="54">
        <f>I48</f>
        <v/>
      </c>
      <c r="J76" s="54">
        <f>J48</f>
        <v/>
      </c>
      <c r="K76" s="54">
        <f>K48</f>
        <v/>
      </c>
      <c r="L76" s="54">
        <f>L48</f>
        <v/>
      </c>
      <c r="M76" s="54">
        <f>M48</f>
        <v/>
      </c>
      <c r="N76" s="54">
        <f>N48</f>
        <v/>
      </c>
      <c r="O76" s="54">
        <f>O48</f>
        <v/>
      </c>
      <c r="P76" s="54">
        <f>P48</f>
        <v/>
      </c>
      <c r="Q76" s="54">
        <f>Q48</f>
        <v/>
      </c>
      <c r="R76" s="54">
        <f>R48</f>
        <v/>
      </c>
      <c r="S76" s="54">
        <f>S48</f>
        <v/>
      </c>
      <c r="T76" s="54">
        <f>T48</f>
        <v/>
      </c>
      <c r="U76" s="54">
        <f>U48</f>
        <v/>
      </c>
      <c r="V76" s="54">
        <f>V48</f>
        <v/>
      </c>
      <c r="W76" s="54">
        <f>W48</f>
        <v/>
      </c>
      <c r="X76" s="55" t="n"/>
    </row>
    <row r="77" ht="18.75" customHeight="1">
      <c r="B77" s="60" t="inlineStr">
        <is>
          <t>Outflow : 保險費</t>
        </is>
      </c>
      <c r="C77" s="53" t="inlineStr">
        <is>
          <t>-</t>
        </is>
      </c>
      <c r="D77" s="54">
        <f>D49</f>
        <v/>
      </c>
      <c r="E77" s="54">
        <f>E49</f>
        <v/>
      </c>
      <c r="F77" s="54">
        <f>F49</f>
        <v/>
      </c>
      <c r="G77" s="54">
        <f>G49</f>
        <v/>
      </c>
      <c r="H77" s="54">
        <f>H49</f>
        <v/>
      </c>
      <c r="I77" s="54">
        <f>I49</f>
        <v/>
      </c>
      <c r="J77" s="54">
        <f>J49</f>
        <v/>
      </c>
      <c r="K77" s="54">
        <f>K49</f>
        <v/>
      </c>
      <c r="L77" s="54">
        <f>L49</f>
        <v/>
      </c>
      <c r="M77" s="54">
        <f>M49</f>
        <v/>
      </c>
      <c r="N77" s="54">
        <f>N49</f>
        <v/>
      </c>
      <c r="O77" s="54">
        <f>O49</f>
        <v/>
      </c>
      <c r="P77" s="54">
        <f>P49</f>
        <v/>
      </c>
      <c r="Q77" s="54">
        <f>Q49</f>
        <v/>
      </c>
      <c r="R77" s="54">
        <f>R49</f>
        <v/>
      </c>
      <c r="S77" s="54">
        <f>S49</f>
        <v/>
      </c>
      <c r="T77" s="54">
        <f>T49</f>
        <v/>
      </c>
      <c r="U77" s="54">
        <f>U49</f>
        <v/>
      </c>
      <c r="V77" s="54">
        <f>V49</f>
        <v/>
      </c>
      <c r="W77" s="54">
        <f>W49</f>
        <v/>
      </c>
      <c r="X77" s="55" t="n"/>
    </row>
    <row r="78" ht="18.75" customHeight="1">
      <c r="B78" s="60" t="inlineStr">
        <is>
          <t>Outflow : 模組回收費</t>
        </is>
      </c>
      <c r="C78" s="53" t="n"/>
      <c r="D78" s="54">
        <f>D50</f>
        <v/>
      </c>
      <c r="E78" s="54">
        <f>E50</f>
        <v/>
      </c>
      <c r="F78" s="54">
        <f>F50</f>
        <v/>
      </c>
      <c r="G78" s="54">
        <f>G50</f>
        <v/>
      </c>
      <c r="H78" s="54">
        <f>H50</f>
        <v/>
      </c>
      <c r="I78" s="54">
        <f>I50</f>
        <v/>
      </c>
      <c r="J78" s="54">
        <f>J50</f>
        <v/>
      </c>
      <c r="K78" s="54">
        <f>K50</f>
        <v/>
      </c>
      <c r="L78" s="54">
        <f>L50</f>
        <v/>
      </c>
      <c r="M78" s="54">
        <f>M50</f>
        <v/>
      </c>
      <c r="N78" s="54">
        <f>N50</f>
        <v/>
      </c>
      <c r="O78" s="54">
        <f>O50</f>
        <v/>
      </c>
      <c r="P78" s="54">
        <f>P50</f>
        <v/>
      </c>
      <c r="Q78" s="54">
        <f>Q50</f>
        <v/>
      </c>
      <c r="R78" s="54">
        <f>R50</f>
        <v/>
      </c>
      <c r="S78" s="54">
        <f>S50</f>
        <v/>
      </c>
      <c r="T78" s="54">
        <f>T50</f>
        <v/>
      </c>
      <c r="U78" s="54">
        <f>U50</f>
        <v/>
      </c>
      <c r="V78" s="54">
        <f>V50</f>
        <v/>
      </c>
      <c r="W78" s="54">
        <f>W50</f>
        <v/>
      </c>
      <c r="X78" s="55" t="n"/>
    </row>
    <row r="79" ht="18.75" customHeight="1">
      <c r="B79" s="60" t="inlineStr">
        <is>
          <t>Outflow : 其它費用(人事薪資…等)</t>
        </is>
      </c>
      <c r="C79" s="62" t="n"/>
      <c r="D79" s="63" t="n"/>
      <c r="E79" s="64" t="n"/>
      <c r="F79" s="54" t="n"/>
      <c r="G79" s="54" t="n"/>
      <c r="H79" s="54" t="n"/>
      <c r="I79" s="54" t="n"/>
      <c r="J79" s="54" t="n"/>
      <c r="K79" s="54" t="n"/>
      <c r="L79" s="54" t="n"/>
      <c r="M79" s="54" t="n"/>
      <c r="N79" s="54" t="n"/>
      <c r="O79" s="54" t="n"/>
      <c r="P79" s="54" t="n"/>
      <c r="Q79" s="54" t="n"/>
      <c r="R79" s="54" t="n"/>
      <c r="S79" s="54" t="n"/>
      <c r="T79" s="54" t="n"/>
      <c r="U79" s="54" t="n"/>
      <c r="V79" s="54" t="n"/>
      <c r="W79" s="54" t="n"/>
      <c r="X79" s="55" t="n"/>
    </row>
    <row r="80" ht="18.75" customHeight="1">
      <c r="B80" s="60" t="inlineStr">
        <is>
          <t>1%管理費</t>
        </is>
      </c>
      <c r="C80" s="62" t="n"/>
      <c r="D80" s="54" t="n"/>
      <c r="E80" s="54" t="n"/>
      <c r="F80" s="54" t="n"/>
      <c r="G80" s="54" t="n"/>
      <c r="H80" s="54" t="n"/>
      <c r="I80" s="54" t="n"/>
      <c r="J80" s="54" t="n"/>
      <c r="K80" s="54" t="n"/>
      <c r="L80" s="54" t="n"/>
      <c r="M80" s="54" t="n"/>
      <c r="N80" s="54" t="n"/>
      <c r="O80" s="54" t="n"/>
      <c r="P80" s="54" t="n"/>
      <c r="Q80" s="54" t="n"/>
      <c r="R80" s="54" t="n"/>
      <c r="S80" s="54" t="n"/>
      <c r="T80" s="54" t="n"/>
      <c r="U80" s="54" t="n"/>
      <c r="V80" s="54" t="n"/>
      <c r="W80" s="54" t="n"/>
      <c r="X80" s="55" t="n"/>
    </row>
    <row r="81" ht="18.75" customHeight="1">
      <c r="B81" s="67" t="inlineStr">
        <is>
          <t>稅前淨利</t>
        </is>
      </c>
      <c r="C81" s="101" t="n"/>
      <c r="D81" s="69">
        <f>SUM(D69:D80)</f>
        <v/>
      </c>
      <c r="E81" s="69">
        <f>SUM(E69:E80)</f>
        <v/>
      </c>
      <c r="F81" s="69">
        <f>SUM(F69:F80)</f>
        <v/>
      </c>
      <c r="G81" s="69">
        <f>SUM(G69:G80)</f>
        <v/>
      </c>
      <c r="H81" s="69">
        <f>SUM(H69:H80)</f>
        <v/>
      </c>
      <c r="I81" s="69">
        <f>SUM(I69:I80)</f>
        <v/>
      </c>
      <c r="J81" s="69">
        <f>SUM(J69:J80)</f>
        <v/>
      </c>
      <c r="K81" s="69">
        <f>SUM(K69:K80)</f>
        <v/>
      </c>
      <c r="L81" s="69">
        <f>SUM(L69:L80)</f>
        <v/>
      </c>
      <c r="M81" s="69">
        <f>SUM(M69:M80)</f>
        <v/>
      </c>
      <c r="N81" s="69">
        <f>SUM(N69:N80)</f>
        <v/>
      </c>
      <c r="O81" s="69">
        <f>SUM(O69:O80)</f>
        <v/>
      </c>
      <c r="P81" s="69">
        <f>SUM(P69:P80)</f>
        <v/>
      </c>
      <c r="Q81" s="69">
        <f>SUM(Q69:Q80)</f>
        <v/>
      </c>
      <c r="R81" s="69">
        <f>SUM(R69:R80)</f>
        <v/>
      </c>
      <c r="S81" s="69">
        <f>SUM(S69:S80)</f>
        <v/>
      </c>
      <c r="T81" s="69">
        <f>SUM(T69:T80)</f>
        <v/>
      </c>
      <c r="U81" s="69">
        <f>SUM(U69:U80)</f>
        <v/>
      </c>
      <c r="V81" s="69">
        <f>SUM(V69:V80)</f>
        <v/>
      </c>
      <c r="W81" s="69">
        <f>SUM(W69:W80)</f>
        <v/>
      </c>
      <c r="X81" s="69">
        <f>SUM(X69:X80)</f>
        <v/>
      </c>
    </row>
    <row r="82" ht="18.75" customHeight="1">
      <c r="B82" s="65" t="inlineStr">
        <is>
          <t>所得稅20%</t>
        </is>
      </c>
      <c r="C82" s="62" t="n"/>
      <c r="D82" s="54">
        <f>-D81*0.2</f>
        <v/>
      </c>
      <c r="E82" s="54">
        <f>-E81*0.2</f>
        <v/>
      </c>
      <c r="F82" s="54">
        <f>-F81*0.2</f>
        <v/>
      </c>
      <c r="G82" s="54">
        <f>-G81*0.2</f>
        <v/>
      </c>
      <c r="H82" s="54">
        <f>-H81*0.2</f>
        <v/>
      </c>
      <c r="I82" s="54">
        <f>-I81*0.2</f>
        <v/>
      </c>
      <c r="J82" s="54">
        <f>-J81*0.2</f>
        <v/>
      </c>
      <c r="K82" s="54">
        <f>-K81*0.2</f>
        <v/>
      </c>
      <c r="L82" s="54">
        <f>-L81*0.2</f>
        <v/>
      </c>
      <c r="M82" s="54">
        <f>-M81*0.2</f>
        <v/>
      </c>
      <c r="N82" s="54">
        <f>-N81*0.2</f>
        <v/>
      </c>
      <c r="O82" s="54">
        <f>-O81*0.2</f>
        <v/>
      </c>
      <c r="P82" s="54">
        <f>-P81*0.2</f>
        <v/>
      </c>
      <c r="Q82" s="54">
        <f>-Q81*0.2</f>
        <v/>
      </c>
      <c r="R82" s="54">
        <f>-R81*0.2</f>
        <v/>
      </c>
      <c r="S82" s="54">
        <f>-S81*0.2</f>
        <v/>
      </c>
      <c r="T82" s="54">
        <f>-T81*0.2</f>
        <v/>
      </c>
      <c r="U82" s="54">
        <f>-U81*0.2</f>
        <v/>
      </c>
      <c r="V82" s="54">
        <f>-V81*0.2</f>
        <v/>
      </c>
      <c r="W82" s="54">
        <f>-W81*0.2</f>
        <v/>
      </c>
      <c r="X82" s="54">
        <f>-X81*0.2</f>
        <v/>
      </c>
    </row>
    <row r="83">
      <c r="B83" s="102" t="inlineStr">
        <is>
          <t>稅後淨利</t>
        </is>
      </c>
      <c r="D83" s="54">
        <f>SUM(D81:D82)</f>
        <v/>
      </c>
      <c r="E83" s="54">
        <f>SUM(E81:E82)</f>
        <v/>
      </c>
      <c r="F83" s="54">
        <f>SUM(F81:F82)</f>
        <v/>
      </c>
      <c r="G83" s="54">
        <f>SUM(G81:G82)</f>
        <v/>
      </c>
      <c r="H83" s="54">
        <f>SUM(H81:H82)</f>
        <v/>
      </c>
      <c r="I83" s="54">
        <f>SUM(I81:I82)</f>
        <v/>
      </c>
      <c r="J83" s="54">
        <f>SUM(J81:J82)</f>
        <v/>
      </c>
      <c r="K83" s="54">
        <f>SUM(K81:K82)</f>
        <v/>
      </c>
      <c r="L83" s="54">
        <f>SUM(L81:L82)</f>
        <v/>
      </c>
      <c r="M83" s="54">
        <f>SUM(M81:M82)</f>
        <v/>
      </c>
      <c r="N83" s="54">
        <f>SUM(N81:N82)</f>
        <v/>
      </c>
      <c r="O83" s="54">
        <f>SUM(O81:O82)</f>
        <v/>
      </c>
      <c r="P83" s="54">
        <f>SUM(P81:P82)</f>
        <v/>
      </c>
      <c r="Q83" s="54">
        <f>SUM(Q81:Q82)</f>
        <v/>
      </c>
      <c r="R83" s="54">
        <f>SUM(R81:R82)</f>
        <v/>
      </c>
      <c r="S83" s="54">
        <f>SUM(S81:S82)</f>
        <v/>
      </c>
      <c r="T83" s="54">
        <f>SUM(T81:T82)</f>
        <v/>
      </c>
      <c r="U83" s="54">
        <f>SUM(U81:U82)</f>
        <v/>
      </c>
      <c r="V83" s="54">
        <f>SUM(V81:V82)</f>
        <v/>
      </c>
      <c r="W83" s="54">
        <f>SUM(W81:W82)</f>
        <v/>
      </c>
      <c r="X83" s="54">
        <f>SUM(X81:X82)</f>
        <v/>
      </c>
    </row>
    <row r="84" ht="18.75" customHeight="1">
      <c r="B84" s="72" t="inlineStr">
        <is>
          <t>累計現金流</t>
        </is>
      </c>
      <c r="C84" s="68" t="n"/>
      <c r="D84" s="73" t="n"/>
      <c r="E84" s="73" t="n"/>
      <c r="F84" s="73" t="n"/>
      <c r="G84" s="73" t="n"/>
      <c r="H84" s="73" t="n"/>
      <c r="I84" s="73" t="n"/>
      <c r="J84" s="73" t="n"/>
      <c r="K84" s="73" t="n"/>
      <c r="L84" s="73" t="n"/>
      <c r="M84" s="73" t="n"/>
      <c r="N84" s="73" t="n"/>
      <c r="O84" s="73" t="n"/>
      <c r="P84" s="73" t="n"/>
      <c r="Q84" s="73" t="n"/>
      <c r="R84" s="73" t="n"/>
      <c r="S84" s="73" t="n"/>
      <c r="T84" s="73" t="n"/>
      <c r="U84" s="73" t="n"/>
      <c r="V84" s="73" t="n"/>
      <c r="W84" s="73" t="n"/>
      <c r="X84" s="103" t="n"/>
    </row>
    <row r="85" ht="18.75" customHeight="1">
      <c r="B85" s="104" t="inlineStr">
        <is>
          <t>回收年限評估</t>
        </is>
      </c>
      <c r="C85" s="105" t="n"/>
      <c r="D85" s="106" t="n"/>
      <c r="E85" s="106" t="n"/>
      <c r="F85" s="106" t="n"/>
      <c r="G85" s="106" t="n"/>
      <c r="H85" s="106" t="n"/>
      <c r="I85" s="106" t="n"/>
      <c r="J85" s="106" t="n"/>
      <c r="K85" s="106" t="n"/>
      <c r="L85" s="106" t="n"/>
      <c r="M85" s="106" t="n"/>
      <c r="N85" s="106" t="n"/>
      <c r="O85" s="106" t="n"/>
      <c r="P85" s="106" t="n"/>
      <c r="Q85" s="106" t="n"/>
      <c r="R85" s="106" t="n"/>
      <c r="S85" s="106" t="n"/>
      <c r="T85" s="106" t="n"/>
      <c r="U85" s="106" t="n"/>
      <c r="V85" s="106" t="n"/>
      <c r="W85" s="106" t="n"/>
      <c r="X85" s="107" t="n"/>
    </row>
    <row r="86" ht="18.75" customHeight="1">
      <c r="B86" s="96" t="n"/>
      <c r="C86" s="95" t="n"/>
      <c r="D86" s="95" t="n"/>
      <c r="E86" s="95" t="n"/>
      <c r="F86" s="96" t="n"/>
      <c r="G86" s="96" t="n"/>
      <c r="H86" s="96" t="n"/>
      <c r="I86" s="96" t="n"/>
      <c r="J86" s="96" t="n"/>
      <c r="K86" s="96" t="n"/>
      <c r="L86" s="96" t="n"/>
      <c r="M86" s="95" t="n"/>
      <c r="N86" s="96" t="n"/>
      <c r="O86" s="96" t="n"/>
      <c r="P86" s="96" t="n"/>
      <c r="Q86" s="96" t="n"/>
      <c r="R86" s="96" t="n"/>
      <c r="S86" s="96" t="n"/>
      <c r="T86" s="96" t="n"/>
      <c r="U86" s="96" t="n"/>
      <c r="V86" s="96" t="n"/>
      <c r="W86" s="96" t="n"/>
      <c r="X86" s="96" t="n"/>
    </row>
    <row r="87" ht="18.75" customHeight="1">
      <c r="C87" s="108" t="inlineStr">
        <is>
          <t>年份</t>
        </is>
      </c>
      <c r="D87" s="109">
        <f>D37</f>
        <v/>
      </c>
      <c r="E87" s="109">
        <f>E37</f>
        <v/>
      </c>
      <c r="F87" s="109">
        <f>F37</f>
        <v/>
      </c>
      <c r="G87" s="109">
        <f>G37</f>
        <v/>
      </c>
      <c r="H87" s="109">
        <f>H37</f>
        <v/>
      </c>
      <c r="I87" s="109">
        <f>I37</f>
        <v/>
      </c>
      <c r="J87" s="109">
        <f>J37</f>
        <v/>
      </c>
      <c r="K87" s="109">
        <f>K37</f>
        <v/>
      </c>
      <c r="L87" s="109">
        <f>L37</f>
        <v/>
      </c>
      <c r="M87" s="109">
        <f>M37</f>
        <v/>
      </c>
      <c r="N87" s="109">
        <f>N37</f>
        <v/>
      </c>
      <c r="O87" s="109">
        <f>O37</f>
        <v/>
      </c>
      <c r="P87" s="109">
        <f>P37</f>
        <v/>
      </c>
      <c r="Q87" s="109">
        <f>Q37</f>
        <v/>
      </c>
      <c r="R87" s="109">
        <f>R37</f>
        <v/>
      </c>
      <c r="S87" s="109">
        <f>S37</f>
        <v/>
      </c>
      <c r="T87" s="109">
        <f>T37</f>
        <v/>
      </c>
      <c r="U87" s="109">
        <f>U37</f>
        <v/>
      </c>
      <c r="V87" s="109">
        <f>V37</f>
        <v/>
      </c>
      <c r="W87" s="109">
        <f>W37</f>
        <v/>
      </c>
      <c r="X87" s="110" t="n"/>
    </row>
    <row r="88" ht="18.75" customHeight="1">
      <c r="X88" s="111" t="n"/>
    </row>
    <row r="89" ht="18.75" customHeight="1">
      <c r="B89" s="112" t="inlineStr">
        <is>
          <t>(Unit : Currency)</t>
        </is>
      </c>
      <c r="C89" s="112" t="n">
        <v>0</v>
      </c>
      <c r="D89" s="112" t="n">
        <v>1</v>
      </c>
      <c r="E89" s="112" t="n">
        <v>2</v>
      </c>
      <c r="F89" s="112" t="n">
        <v>3</v>
      </c>
      <c r="G89" s="112" t="n">
        <v>4</v>
      </c>
      <c r="H89" s="112" t="n">
        <v>5</v>
      </c>
      <c r="I89" s="112" t="n">
        <v>6</v>
      </c>
      <c r="J89" s="112" t="n">
        <v>7</v>
      </c>
      <c r="K89" s="112" t="n">
        <v>8</v>
      </c>
      <c r="L89" s="112" t="n">
        <v>9</v>
      </c>
      <c r="M89" s="112" t="n">
        <v>10</v>
      </c>
      <c r="N89" s="112" t="n">
        <v>11</v>
      </c>
      <c r="O89" s="112" t="n">
        <v>12</v>
      </c>
      <c r="P89" s="112" t="n">
        <v>13</v>
      </c>
      <c r="Q89" s="112" t="n">
        <v>14</v>
      </c>
      <c r="R89" s="112" t="n">
        <v>15</v>
      </c>
      <c r="S89" s="112" t="n">
        <v>16</v>
      </c>
      <c r="T89" s="112" t="n">
        <v>17</v>
      </c>
      <c r="U89" s="112" t="n">
        <v>18</v>
      </c>
      <c r="V89" s="112" t="n">
        <v>19</v>
      </c>
      <c r="W89" s="112" t="n">
        <v>20</v>
      </c>
      <c r="X89" s="113" t="n"/>
    </row>
    <row r="90" ht="18.75" customHeight="1">
      <c r="B90" s="114" t="inlineStr">
        <is>
          <t>稅後淨利</t>
        </is>
      </c>
      <c r="C90" s="114" t="n"/>
      <c r="D90" s="115">
        <f>D83</f>
        <v/>
      </c>
      <c r="E90" s="115">
        <f>E83</f>
        <v/>
      </c>
      <c r="F90" s="115">
        <f>F83</f>
        <v/>
      </c>
      <c r="G90" s="115">
        <f>G83</f>
        <v/>
      </c>
      <c r="H90" s="115">
        <f>H83</f>
        <v/>
      </c>
      <c r="I90" s="115">
        <f>I83</f>
        <v/>
      </c>
      <c r="J90" s="115">
        <f>J83</f>
        <v/>
      </c>
      <c r="K90" s="115">
        <f>K83</f>
        <v/>
      </c>
      <c r="L90" s="115">
        <f>L83</f>
        <v/>
      </c>
      <c r="M90" s="115">
        <f>M83</f>
        <v/>
      </c>
      <c r="N90" s="115">
        <f>N83</f>
        <v/>
      </c>
      <c r="O90" s="115">
        <f>O83</f>
        <v/>
      </c>
      <c r="P90" s="115">
        <f>P83</f>
        <v/>
      </c>
      <c r="Q90" s="115">
        <f>Q83</f>
        <v/>
      </c>
      <c r="R90" s="115">
        <f>R83</f>
        <v/>
      </c>
      <c r="S90" s="115">
        <f>S83</f>
        <v/>
      </c>
      <c r="T90" s="115">
        <f>T83</f>
        <v/>
      </c>
      <c r="U90" s="115">
        <f>U83</f>
        <v/>
      </c>
      <c r="V90" s="115">
        <f>V83</f>
        <v/>
      </c>
      <c r="W90" s="115">
        <f>W83</f>
        <v/>
      </c>
      <c r="X90" s="114" t="n"/>
      <c r="Y90" s="114" t="n"/>
    </row>
    <row r="91">
      <c r="B91" s="114" t="inlineStr">
        <is>
          <t>設備折舊</t>
        </is>
      </c>
      <c r="C91" s="114" t="n"/>
      <c r="D91" s="116">
        <f>-D72</f>
        <v/>
      </c>
      <c r="E91" s="116">
        <f>-E72</f>
        <v/>
      </c>
      <c r="F91" s="116">
        <f>-F72</f>
        <v/>
      </c>
      <c r="G91" s="116">
        <f>-G72</f>
        <v/>
      </c>
      <c r="H91" s="116">
        <f>-H72</f>
        <v/>
      </c>
      <c r="I91" s="116">
        <f>-I72</f>
        <v/>
      </c>
      <c r="J91" s="116">
        <f>-J72</f>
        <v/>
      </c>
      <c r="K91" s="116">
        <f>-K72</f>
        <v/>
      </c>
      <c r="L91" s="116">
        <f>-L72</f>
        <v/>
      </c>
      <c r="M91" s="116">
        <f>-M72</f>
        <v/>
      </c>
      <c r="N91" s="116">
        <f>-N72</f>
        <v/>
      </c>
      <c r="O91" s="116">
        <f>-O72</f>
        <v/>
      </c>
      <c r="P91" s="116">
        <f>-P72</f>
        <v/>
      </c>
      <c r="Q91" s="116">
        <f>-Q72</f>
        <v/>
      </c>
      <c r="R91" s="116">
        <f>-R72</f>
        <v/>
      </c>
      <c r="S91" s="116">
        <f>-S72</f>
        <v/>
      </c>
      <c r="T91" s="116">
        <f>-T72</f>
        <v/>
      </c>
      <c r="U91" s="116">
        <f>-U72</f>
        <v/>
      </c>
      <c r="V91" s="116">
        <f>-V72</f>
        <v/>
      </c>
      <c r="W91" s="116">
        <f>-W72</f>
        <v/>
      </c>
      <c r="X91" s="77" t="n"/>
    </row>
    <row r="92">
      <c r="B92" s="114" t="inlineStr">
        <is>
          <t>營運活動現金流量</t>
        </is>
      </c>
      <c r="C92" s="114" t="n"/>
      <c r="D92" s="117">
        <f>SUM(D90:D91)</f>
        <v/>
      </c>
      <c r="E92" s="117">
        <f>SUM(E90:E91)</f>
        <v/>
      </c>
      <c r="F92" s="117">
        <f>SUM(F90:F91)</f>
        <v/>
      </c>
      <c r="G92" s="117">
        <f>SUM(G90:G91)</f>
        <v/>
      </c>
      <c r="H92" s="117">
        <f>SUM(H90:H91)</f>
        <v/>
      </c>
      <c r="I92" s="117">
        <f>SUM(I90:I91)</f>
        <v/>
      </c>
      <c r="J92" s="117">
        <f>SUM(J90:J91)</f>
        <v/>
      </c>
      <c r="K92" s="117">
        <f>SUM(K90:K91)</f>
        <v/>
      </c>
      <c r="L92" s="117">
        <f>SUM(L90:L91)</f>
        <v/>
      </c>
      <c r="M92" s="117">
        <f>SUM(M90:M91)</f>
        <v/>
      </c>
      <c r="N92" s="117">
        <f>SUM(N90:N91)</f>
        <v/>
      </c>
      <c r="O92" s="117">
        <f>SUM(O90:O91)</f>
        <v/>
      </c>
      <c r="P92" s="117">
        <f>SUM(P90:P91)</f>
        <v/>
      </c>
      <c r="Q92" s="117">
        <f>SUM(Q90:Q91)</f>
        <v/>
      </c>
      <c r="R92" s="117">
        <f>SUM(R90:R91)</f>
        <v/>
      </c>
      <c r="S92" s="117">
        <f>SUM(S90:S91)</f>
        <v/>
      </c>
      <c r="T92" s="117">
        <f>SUM(T90:T91)</f>
        <v/>
      </c>
      <c r="U92" s="117">
        <f>SUM(U90:U91)</f>
        <v/>
      </c>
      <c r="V92" s="117">
        <f>SUM(V90:V91)</f>
        <v/>
      </c>
      <c r="W92" s="117">
        <f>SUM(W90:W91)</f>
        <v/>
      </c>
      <c r="X92" s="118" t="n"/>
    </row>
    <row r="93">
      <c r="B93" s="114" t="n"/>
      <c r="C93" s="114" t="n"/>
      <c r="D93" s="114" t="n"/>
      <c r="E93" s="114" t="n"/>
      <c r="F93" s="119" t="n"/>
      <c r="G93" s="119" t="n"/>
      <c r="H93" s="119" t="n"/>
      <c r="I93" s="119" t="n"/>
      <c r="J93" s="119" t="n"/>
      <c r="K93" s="119" t="n"/>
      <c r="L93" s="119" t="n"/>
      <c r="M93" s="119" t="n"/>
      <c r="N93" s="119" t="n"/>
      <c r="O93" s="119" t="n"/>
      <c r="P93" s="119" t="n"/>
      <c r="Q93" s="119" t="n"/>
      <c r="R93" s="119" t="n"/>
      <c r="S93" s="119" t="n"/>
      <c r="T93" s="119" t="n"/>
      <c r="U93" s="119" t="n"/>
      <c r="V93" s="119" t="n"/>
      <c r="W93" s="119" t="n"/>
      <c r="X93" s="120" t="n"/>
    </row>
    <row r="94">
      <c r="B94" s="121" t="inlineStr">
        <is>
          <t>投資活動-設備支出</t>
        </is>
      </c>
      <c r="C94" s="122" t="n"/>
      <c r="D94" s="123">
        <f>C44</f>
        <v/>
      </c>
      <c r="E94" s="122" t="n"/>
      <c r="F94" s="122" t="n"/>
      <c r="G94" s="122" t="n"/>
      <c r="H94" s="122" t="n"/>
      <c r="I94" s="122" t="n"/>
      <c r="J94" s="122" t="n"/>
      <c r="K94" s="122" t="n"/>
      <c r="L94" s="122" t="n"/>
      <c r="M94" s="122" t="n"/>
      <c r="N94" s="122" t="n"/>
      <c r="O94" s="122" t="n"/>
      <c r="P94" s="122" t="n"/>
      <c r="Q94" s="122" t="n"/>
      <c r="R94" s="122" t="n"/>
      <c r="S94" s="122" t="n"/>
      <c r="T94" s="122" t="n"/>
      <c r="U94" s="122" t="n"/>
      <c r="V94" s="122" t="n"/>
      <c r="W94" s="122" t="n"/>
      <c r="X94" s="77" t="n"/>
    </row>
    <row r="95">
      <c r="B95" s="114" t="n"/>
      <c r="C95" s="114" t="n"/>
      <c r="D95" s="114" t="n"/>
      <c r="E95" s="114" t="n"/>
      <c r="F95" s="119" t="n"/>
      <c r="G95" s="119" t="n"/>
      <c r="H95" s="119" t="n"/>
      <c r="I95" s="119" t="n"/>
      <c r="J95" s="119" t="n"/>
      <c r="K95" s="119" t="n"/>
      <c r="L95" s="119" t="n"/>
      <c r="M95" s="119" t="n"/>
      <c r="N95" s="119" t="n"/>
      <c r="O95" s="119" t="n"/>
      <c r="P95" s="119" t="n"/>
      <c r="Q95" s="119" t="n"/>
      <c r="R95" s="119" t="n"/>
      <c r="S95" s="119" t="n"/>
      <c r="T95" s="119" t="n"/>
      <c r="U95" s="119" t="n"/>
      <c r="V95" s="119" t="n"/>
      <c r="W95" s="119" t="n"/>
      <c r="X95" s="120" t="n"/>
    </row>
    <row r="96">
      <c r="B96" s="114" t="n"/>
      <c r="C96" s="114" t="n"/>
      <c r="D96" s="114" t="n"/>
      <c r="E96" s="114" t="n"/>
      <c r="F96" s="119" t="n"/>
      <c r="G96" s="119" t="n"/>
      <c r="H96" s="119" t="n"/>
      <c r="I96" s="119" t="n"/>
      <c r="J96" s="119" t="n"/>
      <c r="K96" s="119" t="n"/>
      <c r="L96" s="119" t="n"/>
      <c r="M96" s="119" t="n"/>
      <c r="N96" s="119" t="n"/>
      <c r="O96" s="119" t="n"/>
      <c r="P96" s="119" t="n"/>
      <c r="Q96" s="119" t="n"/>
      <c r="R96" s="119" t="n"/>
      <c r="S96" s="119" t="n"/>
      <c r="T96" s="119" t="n"/>
      <c r="U96" s="119" t="n"/>
      <c r="V96" s="119" t="n"/>
      <c r="W96" s="119" t="n"/>
      <c r="X96" s="120" t="n"/>
    </row>
    <row r="97">
      <c r="B97" s="121" t="inlineStr">
        <is>
          <t>理財活動-借款</t>
        </is>
      </c>
      <c r="C97" s="122" t="n"/>
      <c r="D97" s="123">
        <f>-D94*D31</f>
        <v/>
      </c>
      <c r="E97" s="122" t="n"/>
      <c r="F97" s="122" t="n"/>
      <c r="G97" s="122" t="n"/>
      <c r="H97" s="122" t="n"/>
      <c r="I97" s="122" t="n"/>
      <c r="J97" s="122" t="n"/>
      <c r="K97" s="122" t="n"/>
      <c r="L97" s="122" t="n"/>
      <c r="M97" s="122" t="n"/>
      <c r="N97" s="122" t="n"/>
      <c r="O97" s="122" t="n"/>
      <c r="P97" s="122" t="n"/>
      <c r="Q97" s="122" t="n"/>
      <c r="R97" s="122" t="n"/>
      <c r="S97" s="122" t="n"/>
      <c r="T97" s="122" t="n"/>
      <c r="U97" s="122" t="n"/>
      <c r="V97" s="122" t="n"/>
      <c r="W97" s="122" t="n"/>
      <c r="X97" s="120" t="n"/>
    </row>
    <row r="98">
      <c r="B98" s="114" t="inlineStr">
        <is>
          <t>理財活動-還款</t>
        </is>
      </c>
      <c r="C98" s="114" t="n"/>
      <c r="D98" s="114" t="n"/>
      <c r="E98" s="114" t="n">
        <v>-860570.6666666666</v>
      </c>
      <c r="F98" s="114" t="n">
        <v>-860570.6666666666</v>
      </c>
      <c r="G98" s="114" t="n">
        <v>-860570.6666666666</v>
      </c>
      <c r="H98" s="114" t="n">
        <v>-860570.6666666666</v>
      </c>
      <c r="I98" s="114" t="n">
        <v>-860570.6666666666</v>
      </c>
      <c r="J98" s="114" t="n">
        <v>-860570.6666666666</v>
      </c>
      <c r="K98" s="114" t="n">
        <v>-860570.6666666666</v>
      </c>
      <c r="L98" s="114" t="n">
        <v>-860570.6666666666</v>
      </c>
      <c r="M98" s="114" t="n">
        <v>-860570.6666666666</v>
      </c>
      <c r="N98" s="114" t="n">
        <v>-860570.6666666666</v>
      </c>
      <c r="O98" s="114" t="n">
        <v>-860570.6666666666</v>
      </c>
      <c r="P98" s="114" t="n">
        <v>-860570.6666666666</v>
      </c>
      <c r="Q98" s="114" t="n">
        <v>-860570.6666666666</v>
      </c>
      <c r="R98" s="114" t="n">
        <v>-860570.6666666666</v>
      </c>
      <c r="S98" s="114" t="n">
        <v>-860570.6666666666</v>
      </c>
      <c r="T98" s="119" t="n">
        <v>0</v>
      </c>
      <c r="U98" s="119" t="n">
        <v>0</v>
      </c>
      <c r="V98" s="119" t="n">
        <v>0</v>
      </c>
      <c r="W98" s="119" t="n">
        <v>0</v>
      </c>
      <c r="X98" s="77" t="n"/>
    </row>
    <row r="99">
      <c r="B99" s="114" t="inlineStr">
        <is>
          <t>理財活動-現金增資</t>
        </is>
      </c>
      <c r="C99" s="119" t="n"/>
      <c r="D99" s="115">
        <f>-D94*(1-D31)</f>
        <v/>
      </c>
      <c r="E99" s="119" t="n"/>
      <c r="F99" s="119" t="n"/>
      <c r="G99" s="119" t="n"/>
      <c r="H99" s="119" t="n"/>
      <c r="I99" s="119" t="n"/>
      <c r="J99" s="119" t="n"/>
      <c r="K99" s="119" t="n"/>
      <c r="L99" s="119" t="n"/>
      <c r="M99" s="119" t="n"/>
      <c r="N99" s="119" t="n"/>
      <c r="O99" s="119" t="n"/>
      <c r="P99" s="119" t="n"/>
      <c r="Q99" s="119" t="n"/>
      <c r="R99" s="119" t="n"/>
      <c r="S99" s="119" t="n"/>
      <c r="T99" s="119" t="n"/>
      <c r="U99" s="119" t="n"/>
      <c r="V99" s="119" t="n"/>
      <c r="W99" s="119" t="n"/>
      <c r="X99" s="118" t="n"/>
    </row>
    <row r="100">
      <c r="B100" s="114" t="inlineStr">
        <is>
          <t>現金股利</t>
        </is>
      </c>
      <c r="C100" s="119" t="n"/>
      <c r="D100" s="119" t="n"/>
      <c r="E100" s="124">
        <f>-D90*$D$33</f>
        <v/>
      </c>
      <c r="F100" s="124">
        <f>-E90*$D$33</f>
        <v/>
      </c>
      <c r="G100" s="124">
        <f>-F90*$D$33</f>
        <v/>
      </c>
      <c r="H100" s="124">
        <f>-G90*$D$33</f>
        <v/>
      </c>
      <c r="I100" s="124">
        <f>-H90*$D$33</f>
        <v/>
      </c>
      <c r="J100" s="124">
        <f>-I90*$D$33</f>
        <v/>
      </c>
      <c r="K100" s="124">
        <f>-J90*$D$33</f>
        <v/>
      </c>
      <c r="L100" s="124">
        <f>-K90*$D$33</f>
        <v/>
      </c>
      <c r="M100" s="124">
        <f>-L90*$D$33</f>
        <v/>
      </c>
      <c r="N100" s="124">
        <f>-M90*$D$33</f>
        <v/>
      </c>
      <c r="O100" s="124">
        <f>-N90*$D$33</f>
        <v/>
      </c>
      <c r="P100" s="124">
        <f>-O90*$D$33</f>
        <v/>
      </c>
      <c r="Q100" s="124">
        <f>-P90*$D$33</f>
        <v/>
      </c>
      <c r="R100" s="124">
        <f>-Q90*$D$33</f>
        <v/>
      </c>
      <c r="S100" s="124">
        <f>-R90*$D$33</f>
        <v/>
      </c>
      <c r="T100" s="124">
        <f>-S90*$D$33</f>
        <v/>
      </c>
      <c r="U100" s="124">
        <f>-T90*$D$33</f>
        <v/>
      </c>
      <c r="V100" s="124">
        <f>-U90*$D$33</f>
        <v/>
      </c>
      <c r="W100" s="124">
        <f>-V90*$D$33</f>
        <v/>
      </c>
      <c r="X100" s="125">
        <f>-W90</f>
        <v/>
      </c>
    </row>
    <row r="101">
      <c r="B101" s="126" t="inlineStr">
        <is>
          <t>年底減資</t>
        </is>
      </c>
      <c r="C101" s="127" t="n"/>
      <c r="D101" s="127" t="n">
        <v>0</v>
      </c>
      <c r="E101" s="128" t="n">
        <v>0</v>
      </c>
      <c r="F101" s="128" t="n">
        <v>0</v>
      </c>
      <c r="G101" s="128" t="n">
        <v>0</v>
      </c>
      <c r="H101" s="128" t="n">
        <v>0</v>
      </c>
      <c r="I101" s="128" t="n">
        <v>0</v>
      </c>
      <c r="J101" s="128" t="n">
        <v>0</v>
      </c>
      <c r="K101" s="128" t="n">
        <v>0</v>
      </c>
      <c r="L101" s="128" t="n">
        <v>0</v>
      </c>
      <c r="M101" s="128" t="n">
        <v>0</v>
      </c>
      <c r="N101" s="128" t="n">
        <v>0</v>
      </c>
      <c r="O101" s="128" t="n">
        <v>0</v>
      </c>
      <c r="P101" s="128" t="n">
        <v>0</v>
      </c>
      <c r="Q101" s="128" t="n">
        <v>0</v>
      </c>
      <c r="R101" s="129" t="n">
        <v>0</v>
      </c>
      <c r="S101" s="129" t="n">
        <v>0</v>
      </c>
      <c r="T101" s="129" t="n">
        <v>-806785</v>
      </c>
      <c r="U101" s="129" t="n">
        <v>-806785</v>
      </c>
      <c r="V101" s="128" t="n">
        <v>-806785</v>
      </c>
      <c r="W101" s="128" t="n">
        <v>-806785</v>
      </c>
      <c r="X101" s="125">
        <f>-W106-X100</f>
        <v/>
      </c>
    </row>
    <row r="102">
      <c r="B102" s="119" t="n"/>
      <c r="C102" s="119" t="n"/>
      <c r="D102" s="119" t="n"/>
      <c r="E102" s="119" t="n"/>
      <c r="F102" s="119" t="n"/>
      <c r="G102" s="119" t="n"/>
      <c r="H102" s="119" t="n"/>
      <c r="I102" s="119" t="n"/>
      <c r="J102" s="119" t="n"/>
      <c r="K102" s="119" t="n"/>
      <c r="L102" s="119" t="n"/>
      <c r="M102" s="119" t="n"/>
      <c r="N102" s="119" t="n"/>
      <c r="O102" s="119" t="n"/>
      <c r="P102" s="119" t="n"/>
      <c r="Q102" s="119" t="n"/>
      <c r="R102" s="119" t="n"/>
      <c r="S102" s="119" t="n"/>
      <c r="T102" s="119" t="n"/>
      <c r="U102" s="119" t="n"/>
      <c r="V102" s="119" t="n"/>
      <c r="W102" s="119" t="n"/>
      <c r="X102" s="118" t="n"/>
    </row>
    <row r="103">
      <c r="B103" s="119" t="n"/>
      <c r="C103" s="119" t="n"/>
      <c r="D103" s="119" t="n"/>
      <c r="E103" s="119" t="n"/>
      <c r="F103" s="119" t="n"/>
      <c r="G103" s="119" t="n"/>
      <c r="H103" s="119" t="n"/>
      <c r="I103" s="119" t="n"/>
      <c r="J103" s="119" t="n"/>
      <c r="K103" s="119" t="n"/>
      <c r="L103" s="119" t="n"/>
      <c r="M103" s="119" t="n"/>
      <c r="N103" s="119" t="n"/>
      <c r="O103" s="119" t="n"/>
      <c r="P103" s="119" t="n"/>
      <c r="Q103" s="119" t="n"/>
      <c r="R103" s="119" t="n"/>
      <c r="S103" s="119" t="n"/>
      <c r="T103" s="119" t="n"/>
      <c r="U103" s="119" t="n"/>
      <c r="V103" s="119" t="n"/>
      <c r="W103" s="119" t="n"/>
      <c r="X103" s="118" t="n"/>
    </row>
    <row r="104" ht="16.5" customHeight="1">
      <c r="B104" s="114" t="inlineStr">
        <is>
          <t>現金淨流入(出 )</t>
        </is>
      </c>
      <c r="C104" s="130" t="n">
        <v>0</v>
      </c>
      <c r="D104" s="115">
        <f>SUM(D92:D101)</f>
        <v/>
      </c>
      <c r="E104" s="115">
        <f>SUM(E92:E101)</f>
        <v/>
      </c>
      <c r="F104" s="115">
        <f>SUM(F92:F101)</f>
        <v/>
      </c>
      <c r="G104" s="115">
        <f>SUM(G92:G101)</f>
        <v/>
      </c>
      <c r="H104" s="115">
        <f>SUM(H92:H101)</f>
        <v/>
      </c>
      <c r="I104" s="115">
        <f>SUM(I92:I101)</f>
        <v/>
      </c>
      <c r="J104" s="115">
        <f>SUM(J92:J101)</f>
        <v/>
      </c>
      <c r="K104" s="115">
        <f>SUM(K92:K101)</f>
        <v/>
      </c>
      <c r="L104" s="115">
        <f>SUM(L92:L101)</f>
        <v/>
      </c>
      <c r="M104" s="115">
        <f>SUM(M92:M101)</f>
        <v/>
      </c>
      <c r="N104" s="115">
        <f>SUM(N92:N101)</f>
        <v/>
      </c>
      <c r="O104" s="115">
        <f>SUM(O92:O101)</f>
        <v/>
      </c>
      <c r="P104" s="115">
        <f>SUM(P92:P101)</f>
        <v/>
      </c>
      <c r="Q104" s="115">
        <f>SUM(Q92:Q101)</f>
        <v/>
      </c>
      <c r="R104" s="115">
        <f>SUM(R92:R101)</f>
        <v/>
      </c>
      <c r="S104" s="115">
        <f>SUM(S92:S101)</f>
        <v/>
      </c>
      <c r="T104" s="115">
        <f>SUM(T92:T101)</f>
        <v/>
      </c>
      <c r="U104" s="115">
        <f>SUM(U92:U101)</f>
        <v/>
      </c>
      <c r="V104" s="115">
        <f>SUM(V92:V101)</f>
        <v/>
      </c>
      <c r="W104" s="115">
        <f>SUM(W92:W101)</f>
        <v/>
      </c>
      <c r="X104" s="118" t="n"/>
    </row>
    <row r="105">
      <c r="B105" s="114" t="inlineStr">
        <is>
          <t>期初淨現金</t>
        </is>
      </c>
      <c r="C105" s="115" t="n">
        <v>0</v>
      </c>
      <c r="D105" s="115">
        <f>C106</f>
        <v/>
      </c>
      <c r="E105" s="115">
        <f>D106</f>
        <v/>
      </c>
      <c r="F105" s="115">
        <f>E106</f>
        <v/>
      </c>
      <c r="G105" s="115">
        <f>F106</f>
        <v/>
      </c>
      <c r="H105" s="115">
        <f>G106</f>
        <v/>
      </c>
      <c r="I105" s="115">
        <f>H106</f>
        <v/>
      </c>
      <c r="J105" s="115">
        <f>I106</f>
        <v/>
      </c>
      <c r="K105" s="115">
        <f>J106</f>
        <v/>
      </c>
      <c r="L105" s="115">
        <f>K106</f>
        <v/>
      </c>
      <c r="M105" s="115">
        <f>L106</f>
        <v/>
      </c>
      <c r="N105" s="115">
        <f>M106</f>
        <v/>
      </c>
      <c r="O105" s="115">
        <f>N106</f>
        <v/>
      </c>
      <c r="P105" s="115">
        <f>O106</f>
        <v/>
      </c>
      <c r="Q105" s="115">
        <f>P106</f>
        <v/>
      </c>
      <c r="R105" s="115">
        <f>Q106</f>
        <v/>
      </c>
      <c r="S105" s="115">
        <f>R106</f>
        <v/>
      </c>
      <c r="T105" s="115">
        <f>S106</f>
        <v/>
      </c>
      <c r="U105" s="115">
        <f>T106</f>
        <v/>
      </c>
      <c r="V105" s="115">
        <f>U106</f>
        <v/>
      </c>
      <c r="W105" s="115">
        <f>V106</f>
        <v/>
      </c>
      <c r="X105" s="120" t="n"/>
    </row>
    <row r="106">
      <c r="B106" s="114" t="inlineStr">
        <is>
          <t>期未淨現金</t>
        </is>
      </c>
      <c r="C106" s="115" t="n">
        <v>0</v>
      </c>
      <c r="D106" s="115">
        <f>D104+D105</f>
        <v/>
      </c>
      <c r="E106" s="115">
        <f>E104+E105</f>
        <v/>
      </c>
      <c r="F106" s="115">
        <f>F104+F105</f>
        <v/>
      </c>
      <c r="G106" s="115">
        <f>G104+G105</f>
        <v/>
      </c>
      <c r="H106" s="115">
        <f>H104+H105</f>
        <v/>
      </c>
      <c r="I106" s="115">
        <f>I104+I105</f>
        <v/>
      </c>
      <c r="J106" s="115">
        <f>J104+J105</f>
        <v/>
      </c>
      <c r="K106" s="115">
        <f>K104+K105</f>
        <v/>
      </c>
      <c r="L106" s="115">
        <f>L104+L105</f>
        <v/>
      </c>
      <c r="M106" s="115">
        <f>M104+M105</f>
        <v/>
      </c>
      <c r="N106" s="115">
        <f>N104+N105</f>
        <v/>
      </c>
      <c r="O106" s="115">
        <f>O104+O105</f>
        <v/>
      </c>
      <c r="P106" s="115">
        <f>P104+P105</f>
        <v/>
      </c>
      <c r="Q106" s="115">
        <f>Q104+Q105</f>
        <v/>
      </c>
      <c r="R106" s="115">
        <f>R104+R105</f>
        <v/>
      </c>
      <c r="S106" s="115">
        <f>S104+S105</f>
        <v/>
      </c>
      <c r="T106" s="115">
        <f>T104+T105</f>
        <v/>
      </c>
      <c r="U106" s="115">
        <f>U104+U105</f>
        <v/>
      </c>
      <c r="V106" s="115">
        <f>V104+V105</f>
        <v/>
      </c>
      <c r="W106" s="115">
        <f>W104+W105</f>
        <v/>
      </c>
      <c r="X106" s="120" t="n"/>
    </row>
    <row r="107">
      <c r="B107" s="114" t="n"/>
      <c r="C107" s="114" t="n"/>
      <c r="D107" s="114" t="n"/>
      <c r="E107" s="114" t="n"/>
      <c r="F107" s="114" t="n"/>
      <c r="G107" s="114" t="n"/>
      <c r="H107" s="114" t="n"/>
      <c r="I107" s="114" t="n"/>
      <c r="J107" s="114" t="n"/>
      <c r="K107" s="114" t="n"/>
      <c r="L107" s="114" t="n"/>
      <c r="M107" s="114" t="n"/>
      <c r="N107" s="114" t="n"/>
      <c r="O107" s="114" t="n"/>
      <c r="P107" s="114" t="n"/>
      <c r="Q107" s="114" t="n"/>
      <c r="R107" s="114" t="n"/>
      <c r="S107" s="114" t="n"/>
      <c r="T107" s="114" t="n"/>
      <c r="U107" s="114" t="n"/>
      <c r="V107" s="114" t="n"/>
      <c r="W107" s="114" t="n"/>
      <c r="X107" s="114" t="n"/>
    </row>
    <row r="108">
      <c r="B108" s="114" t="n"/>
      <c r="C108" s="114" t="n"/>
      <c r="D108" s="114" t="n"/>
      <c r="E108" s="114" t="n"/>
      <c r="F108" s="119" t="n"/>
      <c r="G108" s="114" t="n"/>
      <c r="H108" s="114" t="n"/>
      <c r="I108" s="114" t="n"/>
      <c r="J108" s="114" t="n"/>
      <c r="K108" s="114" t="n"/>
      <c r="L108" s="114" t="n"/>
      <c r="M108" s="114" t="n"/>
      <c r="N108" s="114" t="n"/>
      <c r="O108" s="114" t="n"/>
      <c r="P108" s="114" t="n"/>
      <c r="Q108" s="114" t="n"/>
      <c r="R108" s="114" t="n"/>
      <c r="S108" s="114" t="n"/>
      <c r="T108" s="114" t="n"/>
      <c r="U108" s="114" t="n"/>
      <c r="V108" s="114" t="n"/>
      <c r="W108" s="114" t="n"/>
      <c r="X108" s="114" t="n"/>
    </row>
    <row r="109">
      <c r="B109" s="131" t="inlineStr">
        <is>
          <t>成本法實際現金流</t>
        </is>
      </c>
      <c r="C109" s="132" t="n"/>
      <c r="D109" s="133">
        <f>-D99</f>
        <v/>
      </c>
      <c r="E109" s="117">
        <f>-E100-E101</f>
        <v/>
      </c>
      <c r="F109" s="117">
        <f>-F100-F101</f>
        <v/>
      </c>
      <c r="G109" s="117">
        <f>-G100-G101</f>
        <v/>
      </c>
      <c r="H109" s="117">
        <f>-H100-H101</f>
        <v/>
      </c>
      <c r="I109" s="117">
        <f>-I100-I101</f>
        <v/>
      </c>
      <c r="J109" s="117">
        <f>-J100-J101</f>
        <v/>
      </c>
      <c r="K109" s="117">
        <f>-K100-K101</f>
        <v/>
      </c>
      <c r="L109" s="117">
        <f>-L100-L101</f>
        <v/>
      </c>
      <c r="M109" s="117">
        <f>-M100-M101</f>
        <v/>
      </c>
      <c r="N109" s="117">
        <f>-N100-N101</f>
        <v/>
      </c>
      <c r="O109" s="117">
        <f>-O100-O101</f>
        <v/>
      </c>
      <c r="P109" s="117">
        <f>-P100-P101</f>
        <v/>
      </c>
      <c r="Q109" s="117">
        <f>-Q100-Q101</f>
        <v/>
      </c>
      <c r="R109" s="117">
        <f>-R100-R101</f>
        <v/>
      </c>
      <c r="S109" s="117">
        <f>-S100-S101</f>
        <v/>
      </c>
      <c r="T109" s="117">
        <f>-T100-T101</f>
        <v/>
      </c>
      <c r="U109" s="117">
        <f>-U100-U101</f>
        <v/>
      </c>
      <c r="V109" s="117">
        <f>-V100-V101</f>
        <v/>
      </c>
      <c r="W109" s="117">
        <f>-W100-W101</f>
        <v/>
      </c>
      <c r="X109" s="117">
        <f>-X100-X101</f>
        <v/>
      </c>
    </row>
    <row r="110">
      <c r="B110" s="114" t="inlineStr">
        <is>
          <t>成本法IRR</t>
        </is>
      </c>
      <c r="C110" s="134">
        <f>IRR(D109:X109)</f>
        <v/>
      </c>
      <c r="D110" s="119" t="n"/>
      <c r="E110" s="119" t="n"/>
      <c r="F110" s="114" t="n"/>
      <c r="G110" s="114" t="n"/>
      <c r="H110" s="114" t="n"/>
      <c r="I110" s="114" t="n"/>
      <c r="J110" s="114" t="n"/>
      <c r="K110" s="114" t="n"/>
      <c r="L110" s="114" t="n"/>
      <c r="M110" s="114" t="n"/>
      <c r="N110" s="114" t="n"/>
      <c r="O110" s="114" t="n"/>
      <c r="P110" s="114" t="n"/>
      <c r="Q110" s="114" t="n"/>
      <c r="R110" s="114" t="n"/>
      <c r="S110" s="114" t="n"/>
      <c r="T110" s="114" t="n"/>
      <c r="U110" s="114" t="n"/>
      <c r="V110" s="114" t="n"/>
      <c r="W110" s="114" t="n"/>
      <c r="X110" s="114" t="n"/>
    </row>
    <row r="111">
      <c r="B111" s="131" t="inlineStr">
        <is>
          <t>權益法實際現金流</t>
        </is>
      </c>
      <c r="C111" s="132" t="n"/>
      <c r="D111" s="133">
        <f>D90-D99</f>
        <v/>
      </c>
      <c r="E111" s="117">
        <f>E90</f>
        <v/>
      </c>
      <c r="F111" s="117">
        <f>F90-F101</f>
        <v/>
      </c>
      <c r="G111" s="117">
        <f>G90-G101</f>
        <v/>
      </c>
      <c r="H111" s="117">
        <f>H90-H101</f>
        <v/>
      </c>
      <c r="I111" s="117">
        <f>I90-I101</f>
        <v/>
      </c>
      <c r="J111" s="117">
        <f>J90-J101</f>
        <v/>
      </c>
      <c r="K111" s="117">
        <f>K90-K101</f>
        <v/>
      </c>
      <c r="L111" s="117">
        <f>L90-L101</f>
        <v/>
      </c>
      <c r="M111" s="117">
        <f>M90-M101</f>
        <v/>
      </c>
      <c r="N111" s="117">
        <f>N90-N101</f>
        <v/>
      </c>
      <c r="O111" s="117">
        <f>O90-O101</f>
        <v/>
      </c>
      <c r="P111" s="117">
        <f>P90-P101</f>
        <v/>
      </c>
      <c r="Q111" s="117">
        <f>Q90-Q101</f>
        <v/>
      </c>
      <c r="R111" s="117">
        <f>R90-R101</f>
        <v/>
      </c>
      <c r="S111" s="117">
        <f>S90-S101</f>
        <v/>
      </c>
      <c r="T111" s="117">
        <f>T90-T101</f>
        <v/>
      </c>
      <c r="U111" s="117">
        <f>U90-U101</f>
        <v/>
      </c>
      <c r="V111" s="117">
        <f>V90-V101</f>
        <v/>
      </c>
      <c r="W111" s="117">
        <f>W90-W101</f>
        <v/>
      </c>
      <c r="X111" s="77" t="n"/>
    </row>
    <row r="112">
      <c r="B112" s="131" t="inlineStr">
        <is>
          <t>權益法IRR</t>
        </is>
      </c>
      <c r="C112" s="135">
        <f>IRR(D111:W111)</f>
        <v/>
      </c>
      <c r="D112" s="119" t="n"/>
      <c r="E112" s="119" t="n"/>
      <c r="F112" s="114" t="n"/>
      <c r="G112" s="114" t="n"/>
      <c r="H112" s="114" t="n"/>
      <c r="I112" s="114" t="n"/>
      <c r="J112" s="114" t="n"/>
      <c r="K112" s="114" t="n"/>
      <c r="L112" s="114" t="n"/>
      <c r="M112" s="114" t="n"/>
      <c r="N112" s="114" t="n"/>
      <c r="O112" s="114" t="n"/>
      <c r="P112" s="114" t="n"/>
      <c r="Q112" s="114" t="n"/>
      <c r="R112" s="114" t="n"/>
      <c r="S112" s="114" t="n"/>
      <c r="T112" s="114" t="n"/>
      <c r="U112" s="114" t="n"/>
      <c r="V112" s="114" t="n"/>
      <c r="W112" s="114" t="n"/>
      <c r="X112" s="114" t="n"/>
    </row>
    <row r="113">
      <c r="B113" s="114" t="n"/>
      <c r="C113" s="114" t="n"/>
      <c r="D113" s="114" t="n"/>
      <c r="E113" s="114" t="n"/>
      <c r="F113" s="114" t="n"/>
      <c r="G113" s="114" t="n"/>
      <c r="H113" s="114" t="n"/>
      <c r="I113" s="114" t="n"/>
      <c r="J113" s="114" t="n"/>
      <c r="K113" s="114" t="n"/>
      <c r="L113" s="114" t="n"/>
      <c r="M113" s="114" t="n"/>
      <c r="N113" s="114" t="n"/>
      <c r="O113" s="114" t="n"/>
      <c r="P113" s="114" t="n"/>
      <c r="Q113" s="114" t="n"/>
      <c r="R113" s="114" t="n"/>
      <c r="S113" s="114" t="n"/>
      <c r="T113" s="114" t="n"/>
      <c r="U113" s="114" t="n"/>
      <c r="V113" s="114" t="n"/>
      <c r="W113" s="114" t="n"/>
      <c r="X113" s="114" t="n"/>
    </row>
    <row r="114">
      <c r="B114" s="114" t="inlineStr">
        <is>
          <t>借款餘額</t>
        </is>
      </c>
      <c r="C114" s="115" t="n">
        <v>0</v>
      </c>
      <c r="D114" s="115">
        <f>D97</f>
        <v/>
      </c>
      <c r="E114" s="115">
        <f>D114+E98</f>
        <v/>
      </c>
      <c r="F114" s="115">
        <f>E114+F98</f>
        <v/>
      </c>
      <c r="G114" s="115">
        <f>F114+G98</f>
        <v/>
      </c>
      <c r="H114" s="115">
        <f>G114+H98</f>
        <v/>
      </c>
      <c r="I114" s="115">
        <f>H114+I98</f>
        <v/>
      </c>
      <c r="J114" s="115">
        <f>I114+J98</f>
        <v/>
      </c>
      <c r="K114" s="115">
        <f>J114+K98</f>
        <v/>
      </c>
      <c r="L114" s="115">
        <f>K114+L98</f>
        <v/>
      </c>
      <c r="M114" s="115">
        <f>L114+M98</f>
        <v/>
      </c>
      <c r="N114" s="115">
        <f>M114+N98</f>
        <v/>
      </c>
      <c r="O114" s="115">
        <f>N114+O98</f>
        <v/>
      </c>
      <c r="P114" s="115">
        <f>O114+P98</f>
        <v/>
      </c>
      <c r="Q114" s="115">
        <f>P114+Q98</f>
        <v/>
      </c>
      <c r="R114" s="115">
        <f>Q114+R98</f>
        <v/>
      </c>
      <c r="S114" s="115">
        <f>R114+S98</f>
        <v/>
      </c>
      <c r="T114" s="115">
        <f>S114+T98</f>
        <v/>
      </c>
      <c r="U114" s="115">
        <f>T114+U98</f>
        <v/>
      </c>
      <c r="V114" s="115">
        <f>U114+V98</f>
        <v/>
      </c>
      <c r="W114" s="115">
        <f>V114+W98</f>
        <v/>
      </c>
      <c r="X114" s="119" t="n"/>
    </row>
    <row r="115"/>
    <row r="116">
      <c r="B116" s="136" t="n"/>
    </row>
    <row r="117" ht="16.5" customHeight="1">
      <c r="G117" s="13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117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" t="inlineStr">
        <is>
          <t>電站基本資料</t>
        </is>
      </c>
      <c r="C1" s="2" t="n"/>
      <c r="D1" s="2" t="n"/>
      <c r="E1" s="3" t="n"/>
    </row>
    <row r="2" ht="21.75" customHeight="1">
      <c r="B2" s="4" t="inlineStr">
        <is>
          <t>電站名稱</t>
        </is>
      </c>
      <c r="C2" s="5" t="inlineStr">
        <is>
          <t>淡江大學-財務模擬案場</t>
        </is>
      </c>
      <c r="D2" s="6" t="inlineStr">
        <is>
          <t>-</t>
        </is>
      </c>
      <c r="E2" s="6" t="inlineStr">
        <is>
          <t>-</t>
        </is>
      </c>
    </row>
    <row r="3" ht="21.75" customHeight="1">
      <c r="B3" s="7" t="inlineStr">
        <is>
          <t>電站壽命</t>
        </is>
      </c>
      <c r="C3" s="8" t="n">
        <v>20</v>
      </c>
      <c r="D3" s="9" t="inlineStr">
        <is>
          <t>-</t>
        </is>
      </c>
      <c r="E3" s="9" t="inlineStr">
        <is>
          <t>-</t>
        </is>
      </c>
    </row>
    <row r="4" ht="21.75" customHeight="1">
      <c r="B4" s="7" t="inlineStr">
        <is>
          <t>建置量(kWp)</t>
        </is>
      </c>
      <c r="C4" s="8" t="n">
        <v>436.1</v>
      </c>
      <c r="D4" s="9" t="inlineStr">
        <is>
          <t>-</t>
        </is>
      </c>
      <c r="E4" s="9" t="inlineStr">
        <is>
          <t>-</t>
        </is>
      </c>
      <c r="M4" t="inlineStr">
        <is>
          <t>滾算紀錄編號: 3</t>
        </is>
      </c>
    </row>
    <row r="5" ht="22.5" customHeight="1">
      <c r="B5" s="8" t="inlineStr">
        <is>
          <t>起始年度</t>
        </is>
      </c>
      <c r="C5" s="8" t="n">
        <v>2020</v>
      </c>
      <c r="D5" s="8" t="inlineStr">
        <is>
          <t>結束年度</t>
        </is>
      </c>
      <c r="E5" s="8" t="n">
        <v>2039</v>
      </c>
      <c r="M5" t="inlineStr">
        <is>
          <t>第2次滾算摘要</t>
        </is>
      </c>
    </row>
    <row r="6" ht="20.25" customHeight="1">
      <c r="B6" s="10" t="n"/>
      <c r="C6" s="10" t="n"/>
      <c r="D6" s="10" t="n"/>
      <c r="E6" s="10" t="n"/>
      <c r="M6" t="inlineStr">
        <is>
          <t>價金: 26000</t>
        </is>
      </c>
    </row>
    <row r="7" ht="22.5" customHeight="1">
      <c r="B7" s="11" t="inlineStr">
        <is>
          <t>綜合損益表</t>
        </is>
      </c>
      <c r="C7" s="2" t="n"/>
      <c r="D7" s="2" t="n"/>
      <c r="E7" s="3" t="n"/>
      <c r="M7" t="inlineStr">
        <is>
          <t>專案IRR: 5.74</t>
        </is>
      </c>
    </row>
    <row r="8" ht="22.5" customHeight="1">
      <c r="B8" s="12" t="inlineStr">
        <is>
          <t>收入</t>
        </is>
      </c>
      <c r="C8" s="13" t="n"/>
      <c r="D8" s="13" t="n"/>
      <c r="E8" s="14" t="n"/>
      <c r="M8" t="inlineStr">
        <is>
          <t>權益法IRR: 16.54</t>
        </is>
      </c>
    </row>
    <row r="9" ht="22.5" customHeight="1">
      <c r="B9" s="15" t="inlineStr">
        <is>
          <t>收支項目</t>
        </is>
      </c>
      <c r="C9" s="16" t="inlineStr">
        <is>
          <t>相關參數</t>
        </is>
      </c>
      <c r="D9" s="16" t="inlineStr">
        <is>
          <t>參數數值</t>
        </is>
      </c>
      <c r="E9" s="17" t="inlineStr">
        <is>
          <t>年限</t>
        </is>
      </c>
      <c r="M9" t="inlineStr">
        <is>
          <t>利潤率: 20.00%</t>
        </is>
      </c>
    </row>
    <row r="10" ht="21.75" customHeight="1">
      <c r="B10" s="18" t="inlineStr">
        <is>
          <t>電費收入</t>
        </is>
      </c>
      <c r="C10" s="5" t="inlineStr">
        <is>
          <t>年度AC併網總發電量</t>
        </is>
      </c>
      <c r="D10" s="5" t="n">
        <v>547002</v>
      </c>
      <c r="E10" s="18" t="n">
        <v>20</v>
      </c>
      <c r="M10" t="inlineStr">
        <is>
          <t>第2次滾算，減少 2000 元 - 現金模式，每次減少 2000 元</t>
        </is>
      </c>
    </row>
    <row r="11" ht="21.75" customHeight="1">
      <c r="B11" s="19" t="n"/>
      <c r="C11" s="8" t="inlineStr">
        <is>
          <t>首年衰退率</t>
        </is>
      </c>
      <c r="D11" s="8" t="n">
        <v>0.01</v>
      </c>
      <c r="E11" s="19" t="n"/>
    </row>
    <row r="12" ht="21.75" customHeight="1">
      <c r="B12" s="19" t="n"/>
      <c r="C12" s="8" t="inlineStr">
        <is>
          <t>次年衰退率</t>
        </is>
      </c>
      <c r="D12" s="8" t="n">
        <v>0.004</v>
      </c>
      <c r="E12" s="19" t="n"/>
    </row>
    <row r="13" ht="22.5" customHeight="1">
      <c r="B13" s="19" t="n"/>
      <c r="C13" s="20" t="inlineStr">
        <is>
          <t>躉售費率(FIT)</t>
        </is>
      </c>
      <c r="D13" s="20" t="n">
        <v>3.7152</v>
      </c>
      <c r="E13" s="19" t="n"/>
    </row>
    <row r="14" ht="22.5" customHeight="1">
      <c r="B14" s="21" t="inlineStr">
        <is>
          <t>支出</t>
        </is>
      </c>
      <c r="C14" s="2" t="n"/>
      <c r="D14" s="2" t="n"/>
      <c r="E14" s="3" t="n"/>
    </row>
    <row r="15" ht="22.5" customHeight="1">
      <c r="B15" s="15" t="inlineStr">
        <is>
          <t>收支項目</t>
        </is>
      </c>
      <c r="C15" s="16" t="inlineStr">
        <is>
          <t>相關參數</t>
        </is>
      </c>
      <c r="D15" s="16" t="inlineStr">
        <is>
          <t>參數數值</t>
        </is>
      </c>
      <c r="E15" s="22" t="inlineStr">
        <is>
          <t>攤提年限</t>
        </is>
      </c>
    </row>
    <row r="16" ht="21.75" customHeight="1">
      <c r="B16" s="23" t="inlineStr">
        <is>
          <t>設備費用(價金)</t>
        </is>
      </c>
      <c r="C16" s="4" t="inlineStr">
        <is>
          <t>每kWp設備成本</t>
        </is>
      </c>
      <c r="D16" s="5" t="n">
        <v>26000</v>
      </c>
      <c r="E16" s="24" t="n">
        <v>20</v>
      </c>
    </row>
    <row r="17" ht="21.75" customHeight="1">
      <c r="B17" s="19" t="n"/>
      <c r="C17" s="8" t="inlineStr">
        <is>
          <t>信邦利潤率</t>
        </is>
      </c>
      <c r="D17" s="8" t="n">
        <v>0.2</v>
      </c>
      <c r="E17" s="19" t="n"/>
    </row>
    <row r="18" ht="21.75" customHeight="1">
      <c r="B18" s="25" t="n"/>
      <c r="C18" s="8" t="inlineStr">
        <is>
          <t>開發費</t>
        </is>
      </c>
      <c r="D18" s="8" t="n">
        <v>2000</v>
      </c>
      <c r="E18" s="25" t="n"/>
    </row>
    <row r="19" ht="54" customHeight="1">
      <c r="B19" s="26" t="inlineStr">
        <is>
          <t>租金費用</t>
        </is>
      </c>
      <c r="C19" s="27" t="inlineStr">
        <is>
          <t>租金計算方式
(1=固定攤提/2=電費抽成)</t>
        </is>
      </c>
      <c r="D19" s="8" t="n">
        <v>1</v>
      </c>
      <c r="E19" s="6" t="n">
        <v>0</v>
      </c>
    </row>
    <row r="20" ht="20.25" customHeight="1">
      <c r="B20" s="19" t="n"/>
      <c r="C20" s="28" t="inlineStr">
        <is>
          <t>【方式1參數】租金總額</t>
        </is>
      </c>
      <c r="D20" s="8" t="n">
        <v>5804025</v>
      </c>
      <c r="E20" s="6" t="n">
        <v>20</v>
      </c>
    </row>
    <row r="21" ht="21.75" customHeight="1">
      <c r="B21" s="25" t="n"/>
      <c r="C21" s="8" t="inlineStr">
        <is>
          <t>【方式2參數】抽成比率</t>
        </is>
      </c>
      <c r="D21" s="8" t="n">
        <v>0</v>
      </c>
      <c r="E21" s="9" t="n">
        <v>0</v>
      </c>
    </row>
    <row r="22" ht="21.75" customHeight="1">
      <c r="B22" s="8" t="inlineStr">
        <is>
          <t>運維費用</t>
        </is>
      </c>
      <c r="C22" s="8" t="inlineStr">
        <is>
          <t>每kw運維成本</t>
        </is>
      </c>
      <c r="D22" s="8" t="n">
        <v>400</v>
      </c>
      <c r="E22" s="9" t="n">
        <v>20</v>
      </c>
    </row>
    <row r="23" ht="21.75" customHeight="1">
      <c r="B23" s="8" t="inlineStr">
        <is>
          <t>保險費用</t>
        </is>
      </c>
      <c r="C23" s="7" t="inlineStr">
        <is>
          <t>占整體設備費用比例</t>
        </is>
      </c>
      <c r="D23" s="8" t="n">
        <v>0.003</v>
      </c>
      <c r="E23" s="9" t="n">
        <v>20</v>
      </c>
    </row>
    <row r="24" ht="21.75" customHeight="1">
      <c r="B24" s="8" t="inlineStr">
        <is>
          <t>模組回收費用</t>
        </is>
      </c>
      <c r="C24" s="8" t="inlineStr">
        <is>
          <t>每kw模組回收成本</t>
        </is>
      </c>
      <c r="D24" s="8" t="n">
        <v>1000</v>
      </c>
      <c r="E24" s="9" t="n">
        <v>10</v>
      </c>
    </row>
    <row r="25" ht="21.75" customHeight="1">
      <c r="B25" s="8" t="inlineStr">
        <is>
          <t>利息費用</t>
        </is>
      </c>
      <c r="C25" s="8" t="inlineStr">
        <is>
          <t>銀行利率</t>
        </is>
      </c>
      <c r="D25" s="29" t="n">
        <v>0.025595</v>
      </c>
      <c r="E25" s="9" t="n">
        <v>0</v>
      </c>
    </row>
    <row r="26" ht="22.5" customHeight="1">
      <c r="B26" s="8" t="inlineStr">
        <is>
          <t>所得稅</t>
        </is>
      </c>
      <c r="C26" s="8" t="inlineStr">
        <is>
          <t>所得稅率</t>
        </is>
      </c>
      <c r="D26" s="8" t="n">
        <v>0.2</v>
      </c>
      <c r="E26" s="9" t="n">
        <v>0</v>
      </c>
    </row>
    <row r="27" ht="20.25" customHeight="1">
      <c r="B27" s="10" t="n"/>
      <c r="C27" s="10" t="n"/>
      <c r="D27" s="10" t="n"/>
      <c r="E27" s="10" t="n"/>
    </row>
    <row r="28" ht="20.25" customHeight="1">
      <c r="B28" s="10" t="n"/>
      <c r="C28" s="10" t="n"/>
      <c r="D28" s="10" t="n"/>
      <c r="E28" s="10" t="n"/>
    </row>
    <row r="29" ht="22.5" customHeight="1">
      <c r="B29" s="11" t="inlineStr">
        <is>
          <t>現金流量表</t>
        </is>
      </c>
      <c r="C29" s="2" t="n"/>
      <c r="D29" s="3" t="n"/>
      <c r="E29" s="10" t="n"/>
    </row>
    <row r="30" ht="22.5" customHeight="1">
      <c r="B30" s="15" t="inlineStr">
        <is>
          <t>金流項目</t>
        </is>
      </c>
      <c r="C30" s="16" t="inlineStr">
        <is>
          <t>相關參數</t>
        </is>
      </c>
      <c r="D30" s="22" t="inlineStr">
        <is>
          <t>參數數值</t>
        </is>
      </c>
      <c r="E30" s="10" t="n"/>
    </row>
    <row r="31" ht="18.75" customHeight="1">
      <c r="B31" s="4" t="inlineStr">
        <is>
          <t>貸款成數</t>
        </is>
      </c>
      <c r="C31" s="4" t="inlineStr">
        <is>
          <t>占總設備費用比例</t>
        </is>
      </c>
      <c r="D31" s="5" t="n">
        <v>0.8</v>
      </c>
      <c r="E31" s="10" t="n"/>
    </row>
    <row r="32" ht="18.75" customHeight="1">
      <c r="B32" s="5" t="inlineStr">
        <is>
          <t>貸款還款</t>
        </is>
      </c>
      <c r="C32" s="5" t="inlineStr">
        <is>
          <t>攤還期數</t>
        </is>
      </c>
      <c r="D32" s="5" t="n">
        <v>15</v>
      </c>
      <c r="E32" s="10" t="n"/>
    </row>
    <row r="33" ht="18.75" customHeight="1">
      <c r="B33" s="8" t="inlineStr">
        <is>
          <t>現金股利</t>
        </is>
      </c>
      <c r="C33" s="8" t="inlineStr">
        <is>
          <t>股利比率</t>
        </is>
      </c>
      <c r="D33" s="8" t="n">
        <v>0.9</v>
      </c>
      <c r="E33" s="10" t="n"/>
    </row>
    <row r="34" ht="18.75" customHeight="1">
      <c r="B34" s="8" t="inlineStr">
        <is>
          <t>年底減資</t>
        </is>
      </c>
      <c r="C34" s="8" t="inlineStr">
        <is>
          <t>攤還期數</t>
        </is>
      </c>
      <c r="D34" s="8" t="n">
        <v>4</v>
      </c>
      <c r="E34" s="10" t="n"/>
    </row>
    <row r="35" ht="18.75" customHeight="1"/>
    <row r="36" ht="18.75" customHeight="1"/>
    <row r="37" ht="18.75" customHeight="1">
      <c r="B37" s="30" t="n"/>
      <c r="C37" s="31" t="inlineStr">
        <is>
          <t>年份</t>
        </is>
      </c>
      <c r="D37" s="31" t="n">
        <v>2020</v>
      </c>
      <c r="E37" s="31" t="n">
        <v>2021</v>
      </c>
      <c r="F37" s="31" t="n">
        <v>2022</v>
      </c>
      <c r="G37" s="31" t="n">
        <v>2023</v>
      </c>
      <c r="H37" s="31" t="n">
        <v>2024</v>
      </c>
      <c r="I37" s="31" t="n">
        <v>2025</v>
      </c>
      <c r="J37" s="31" t="n">
        <v>2026</v>
      </c>
      <c r="K37" s="31" t="n">
        <v>2027</v>
      </c>
      <c r="L37" s="31" t="n">
        <v>2028</v>
      </c>
      <c r="M37" s="31" t="n">
        <v>2029</v>
      </c>
      <c r="N37" s="31" t="n">
        <v>2030</v>
      </c>
      <c r="O37" s="31" t="n">
        <v>2031</v>
      </c>
      <c r="P37" s="31" t="n">
        <v>2032</v>
      </c>
      <c r="Q37" s="31" t="n">
        <v>2033</v>
      </c>
      <c r="R37" s="31" t="n">
        <v>2034</v>
      </c>
      <c r="S37" s="31" t="n">
        <v>2035</v>
      </c>
      <c r="T37" s="31" t="n">
        <v>2036</v>
      </c>
      <c r="U37" s="31" t="n">
        <v>2037</v>
      </c>
      <c r="V37" s="31" t="n">
        <v>2038</v>
      </c>
      <c r="W37" s="31" t="n">
        <v>2039</v>
      </c>
      <c r="X37" s="31" t="n"/>
    </row>
    <row r="38" ht="18.75" customHeight="1">
      <c r="B38" s="32" t="n">
        <v>0</v>
      </c>
      <c r="C38" s="33" t="n"/>
      <c r="D38" s="34" t="n"/>
      <c r="E38" s="34" t="n"/>
      <c r="F38" s="35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7" t="n"/>
      <c r="U38" s="36" t="n"/>
      <c r="V38" s="36" t="n"/>
      <c r="W38" s="36" t="n"/>
      <c r="X38" s="38" t="n"/>
    </row>
    <row r="39" ht="18.75" customHeight="1">
      <c r="B39" s="39" t="inlineStr">
        <is>
          <t>(Unit : Currency)</t>
        </is>
      </c>
      <c r="C39" s="40" t="n">
        <v>0</v>
      </c>
      <c r="D39" s="41" t="n">
        <v>1</v>
      </c>
      <c r="E39" s="41" t="n">
        <v>2</v>
      </c>
      <c r="F39" s="41" t="n">
        <v>3</v>
      </c>
      <c r="G39" s="41" t="n">
        <v>4</v>
      </c>
      <c r="H39" s="41" t="n">
        <v>5</v>
      </c>
      <c r="I39" s="41" t="n">
        <v>6</v>
      </c>
      <c r="J39" s="41" t="n">
        <v>7</v>
      </c>
      <c r="K39" s="41" t="n">
        <v>8</v>
      </c>
      <c r="L39" s="41" t="n">
        <v>9</v>
      </c>
      <c r="M39" s="41" t="n">
        <v>10</v>
      </c>
      <c r="N39" s="41" t="n">
        <v>11</v>
      </c>
      <c r="O39" s="41" t="n">
        <v>12</v>
      </c>
      <c r="P39" s="41" t="n">
        <v>13</v>
      </c>
      <c r="Q39" s="41" t="n">
        <v>14</v>
      </c>
      <c r="R39" s="41" t="n">
        <v>15</v>
      </c>
      <c r="S39" s="41" t="n">
        <v>16</v>
      </c>
      <c r="T39" s="42" t="n">
        <v>17</v>
      </c>
      <c r="U39" s="41" t="n">
        <v>18</v>
      </c>
      <c r="V39" s="41" t="n">
        <v>19</v>
      </c>
      <c r="W39" s="41" t="n">
        <v>20</v>
      </c>
      <c r="X39" s="43" t="n"/>
    </row>
    <row r="40" ht="18.75" customHeight="1">
      <c r="B40" s="44" t="inlineStr">
        <is>
          <t>發電度數(KWH)</t>
        </is>
      </c>
      <c r="C40" s="45" t="n">
        <v>0</v>
      </c>
      <c r="D40" s="46">
        <f>$D$10*0.99</f>
        <v/>
      </c>
      <c r="E40" s="46">
        <f>$D$10*0.986</f>
        <v/>
      </c>
      <c r="F40" s="46">
        <f>$D$10*0.982</f>
        <v/>
      </c>
      <c r="G40" s="46">
        <f>$D$10*0.978</f>
        <v/>
      </c>
      <c r="H40" s="46">
        <f>$D$10*0.974</f>
        <v/>
      </c>
      <c r="I40" s="46">
        <f>$D$10*0.97</f>
        <v/>
      </c>
      <c r="J40" s="46">
        <f>$D$10*0.966</f>
        <v/>
      </c>
      <c r="K40" s="46">
        <f>$D$10*0.962</f>
        <v/>
      </c>
      <c r="L40" s="46">
        <f>$D$10*0.958</f>
        <v/>
      </c>
      <c r="M40" s="46">
        <f>$D$10*0.954</f>
        <v/>
      </c>
      <c r="N40" s="46">
        <f>$D$10*0.95</f>
        <v/>
      </c>
      <c r="O40" s="46">
        <f>$D$10*0.946</f>
        <v/>
      </c>
      <c r="P40" s="46">
        <f>$D$10*0.942</f>
        <v/>
      </c>
      <c r="Q40" s="46">
        <f>$D$10*0.938</f>
        <v/>
      </c>
      <c r="R40" s="46">
        <f>$D$10*0.934</f>
        <v/>
      </c>
      <c r="S40" s="46">
        <f>$D$10*0.93</f>
        <v/>
      </c>
      <c r="T40" s="46">
        <f>$D$10*0.926</f>
        <v/>
      </c>
      <c r="U40" s="46">
        <f>$D$10*0.922</f>
        <v/>
      </c>
      <c r="V40" s="46">
        <f>$D$10*0.918</f>
        <v/>
      </c>
      <c r="W40" s="46">
        <f>$D$10*0.914</f>
        <v/>
      </c>
      <c r="X40" s="47" t="n"/>
    </row>
    <row r="41" ht="18.75" customHeight="1">
      <c r="B41" s="48" t="inlineStr">
        <is>
          <t>Inflow : 電費收入</t>
        </is>
      </c>
      <c r="C41" s="49" t="inlineStr">
        <is>
          <t>-</t>
        </is>
      </c>
      <c r="D41" s="50">
        <f>D40*$D$13</f>
        <v/>
      </c>
      <c r="E41" s="50">
        <f>E40*$D$13</f>
        <v/>
      </c>
      <c r="F41" s="50">
        <f>F40*$D$13</f>
        <v/>
      </c>
      <c r="G41" s="50">
        <f>G40*$D$13</f>
        <v/>
      </c>
      <c r="H41" s="50">
        <f>H40*$D$13</f>
        <v/>
      </c>
      <c r="I41" s="50">
        <f>I40*$D$13</f>
        <v/>
      </c>
      <c r="J41" s="50">
        <f>J40*$D$13</f>
        <v/>
      </c>
      <c r="K41" s="50">
        <f>K40*$D$13</f>
        <v/>
      </c>
      <c r="L41" s="50">
        <f>L40*$D$13</f>
        <v/>
      </c>
      <c r="M41" s="50">
        <f>M40*$D$13</f>
        <v/>
      </c>
      <c r="N41" s="50">
        <f>N40*$D$13</f>
        <v/>
      </c>
      <c r="O41" s="50">
        <f>O40*$D$13</f>
        <v/>
      </c>
      <c r="P41" s="50">
        <f>P40*$D$13</f>
        <v/>
      </c>
      <c r="Q41" s="50">
        <f>Q40*$D$13</f>
        <v/>
      </c>
      <c r="R41" s="50">
        <f>R40*$D$13</f>
        <v/>
      </c>
      <c r="S41" s="50">
        <f>S40*$D$13</f>
        <v/>
      </c>
      <c r="T41" s="50">
        <f>T40*$D$13</f>
        <v/>
      </c>
      <c r="U41" s="50">
        <f>U40*$D$13</f>
        <v/>
      </c>
      <c r="V41" s="50">
        <f>V40*$D$13</f>
        <v/>
      </c>
      <c r="W41" s="50">
        <f>W40*$D$13</f>
        <v/>
      </c>
      <c r="X41" s="51" t="n"/>
    </row>
    <row r="42" ht="18.75" customHeight="1">
      <c r="B42" s="52" t="inlineStr">
        <is>
          <t>Inflow : 政府補助</t>
        </is>
      </c>
      <c r="C42" s="53" t="inlineStr">
        <is>
          <t>-</t>
        </is>
      </c>
      <c r="D42" s="54" t="n"/>
      <c r="E42" s="54" t="n"/>
      <c r="F42" s="54" t="n"/>
      <c r="G42" s="54" t="inlineStr">
        <is>
          <t>-</t>
        </is>
      </c>
      <c r="H42" s="54" t="inlineStr">
        <is>
          <t>-</t>
        </is>
      </c>
      <c r="I42" s="54" t="inlineStr">
        <is>
          <t>-</t>
        </is>
      </c>
      <c r="J42" s="54" t="inlineStr">
        <is>
          <t>-</t>
        </is>
      </c>
      <c r="K42" s="54" t="inlineStr">
        <is>
          <t>-</t>
        </is>
      </c>
      <c r="L42" s="54" t="inlineStr">
        <is>
          <t>-</t>
        </is>
      </c>
      <c r="M42" s="54" t="inlineStr">
        <is>
          <t>-</t>
        </is>
      </c>
      <c r="N42" s="54" t="inlineStr">
        <is>
          <t>-</t>
        </is>
      </c>
      <c r="O42" s="54" t="inlineStr">
        <is>
          <t>-</t>
        </is>
      </c>
      <c r="P42" s="54" t="inlineStr">
        <is>
          <t>-</t>
        </is>
      </c>
      <c r="Q42" s="54" t="inlineStr">
        <is>
          <t>-</t>
        </is>
      </c>
      <c r="R42" s="54" t="inlineStr">
        <is>
          <t>-</t>
        </is>
      </c>
      <c r="S42" s="54" t="inlineStr">
        <is>
          <t>-</t>
        </is>
      </c>
      <c r="T42" s="54" t="inlineStr">
        <is>
          <t>-</t>
        </is>
      </c>
      <c r="U42" s="54" t="inlineStr">
        <is>
          <t>-</t>
        </is>
      </c>
      <c r="V42" s="54" t="inlineStr">
        <is>
          <t>-</t>
        </is>
      </c>
      <c r="W42" s="54" t="inlineStr">
        <is>
          <t>-</t>
        </is>
      </c>
      <c r="X42" s="55" t="n"/>
    </row>
    <row r="43" ht="18.75" customHeight="1">
      <c r="B43" s="56" t="inlineStr">
        <is>
          <t>Inflow : 銀行借款</t>
        </is>
      </c>
      <c r="C43" s="57" t="n"/>
      <c r="D43" s="58" t="n"/>
      <c r="E43" s="58" t="n"/>
      <c r="F43" s="58" t="n"/>
      <c r="G43" s="58" t="n"/>
      <c r="H43" s="58" t="n"/>
      <c r="I43" s="58" t="n"/>
      <c r="J43" s="58" t="n"/>
      <c r="K43" s="58" t="n"/>
      <c r="L43" s="58" t="n"/>
      <c r="M43" s="58" t="n"/>
      <c r="N43" s="58" t="n"/>
      <c r="O43" s="58" t="n"/>
      <c r="P43" s="58" t="n"/>
      <c r="Q43" s="58" t="n"/>
      <c r="R43" s="58" t="n"/>
      <c r="S43" s="58" t="n"/>
      <c r="T43" s="58" t="n"/>
      <c r="U43" s="58" t="n"/>
      <c r="V43" s="58" t="n"/>
      <c r="W43" s="58" t="n"/>
      <c r="X43" s="59" t="n"/>
    </row>
    <row r="44" ht="18.75" customHeight="1">
      <c r="B44" s="60" t="inlineStr">
        <is>
          <t>Outflow : 設備費用</t>
        </is>
      </c>
      <c r="C44" s="53">
        <f>-(D16/(1-D17)+D18)*C4</f>
        <v/>
      </c>
      <c r="D44" s="61" t="n"/>
      <c r="E44" s="54" t="n"/>
      <c r="F44" s="54" t="n"/>
      <c r="G44" s="54" t="n"/>
      <c r="H44" s="54" t="n"/>
      <c r="I44" s="54" t="n"/>
      <c r="J44" s="54" t="n"/>
      <c r="K44" s="54" t="n"/>
      <c r="L44" s="54" t="n"/>
      <c r="M44" s="54" t="n"/>
      <c r="N44" s="54" t="n"/>
      <c r="O44" s="54" t="n"/>
      <c r="P44" s="54" t="n"/>
      <c r="Q44" s="54" t="n"/>
      <c r="R44" s="54" t="n"/>
      <c r="S44" s="54" t="n"/>
      <c r="T44" s="54" t="n"/>
      <c r="U44" s="54" t="n"/>
      <c r="V44" s="54" t="n"/>
      <c r="W44" s="54" t="n"/>
      <c r="X44" s="55" t="n"/>
    </row>
    <row r="45" ht="18.75" customHeight="1">
      <c r="B45" s="60" t="inlineStr">
        <is>
          <t>Outflow : 設備放置區域租金</t>
        </is>
      </c>
      <c r="C45" s="53" t="inlineStr">
        <is>
          <t>-</t>
        </is>
      </c>
      <c r="D45" s="54" t="n">
        <v>0</v>
      </c>
      <c r="E45" s="54" t="n">
        <v>-290201.25</v>
      </c>
      <c r="F45" s="54" t="n">
        <v>-290201.25</v>
      </c>
      <c r="G45" s="54" t="n">
        <v>-290201.25</v>
      </c>
      <c r="H45" s="54" t="n">
        <v>-290201.25</v>
      </c>
      <c r="I45" s="54" t="n">
        <v>-290201.25</v>
      </c>
      <c r="J45" s="54" t="n">
        <v>-290201.25</v>
      </c>
      <c r="K45" s="54" t="n">
        <v>-290201.25</v>
      </c>
      <c r="L45" s="54" t="n">
        <v>-290201.25</v>
      </c>
      <c r="M45" s="54" t="n">
        <v>-290201.25</v>
      </c>
      <c r="N45" s="54" t="n">
        <v>-290201.25</v>
      </c>
      <c r="O45" s="54" t="n">
        <v>-290201.25</v>
      </c>
      <c r="P45" s="54" t="n">
        <v>-290201.25</v>
      </c>
      <c r="Q45" s="54" t="n">
        <v>-290201.25</v>
      </c>
      <c r="R45" s="54" t="n">
        <v>-290201.25</v>
      </c>
      <c r="S45" s="54" t="n">
        <v>-290201.25</v>
      </c>
      <c r="T45" s="54" t="n">
        <v>-290201.25</v>
      </c>
      <c r="U45" s="54" t="n">
        <v>-290201.25</v>
      </c>
      <c r="V45" s="54" t="n">
        <v>-290201.25</v>
      </c>
      <c r="W45" s="54" t="n">
        <v>-290201.25</v>
      </c>
      <c r="X45" s="55" t="n"/>
    </row>
    <row r="46" ht="18.75" customHeight="1">
      <c r="B46" s="60" t="inlineStr">
        <is>
          <t>Outflow : 返還借款</t>
        </is>
      </c>
      <c r="C46" s="53" t="n"/>
      <c r="D46" s="54" t="n"/>
      <c r="E46" s="54" t="n"/>
      <c r="F46" s="54" t="n"/>
      <c r="G46" s="54" t="n"/>
      <c r="H46" s="54" t="n"/>
      <c r="I46" s="54" t="n"/>
      <c r="J46" s="54" t="n"/>
      <c r="K46" s="54" t="n"/>
      <c r="L46" s="54" t="n"/>
      <c r="M46" s="54" t="n"/>
      <c r="N46" s="54" t="n"/>
      <c r="O46" s="54" t="n"/>
      <c r="P46" s="54" t="n"/>
      <c r="Q46" s="54" t="n"/>
      <c r="R46" s="54" t="n"/>
      <c r="S46" s="54" t="n"/>
      <c r="T46" s="54" t="n"/>
      <c r="U46" s="54" t="n"/>
      <c r="V46" s="54" t="n"/>
      <c r="W46" s="54" t="n"/>
      <c r="X46" s="55" t="n"/>
    </row>
    <row r="47" ht="18.75" customHeight="1">
      <c r="B47" s="60" t="inlineStr">
        <is>
          <t>Outflow : 利息費用</t>
        </is>
      </c>
      <c r="C47" s="53" t="inlineStr">
        <is>
          <t>-</t>
        </is>
      </c>
      <c r="D47" s="54" t="n"/>
      <c r="E47" s="54" t="n"/>
      <c r="F47" s="54" t="n"/>
      <c r="G47" s="54" t="n"/>
      <c r="H47" s="54" t="n"/>
      <c r="I47" s="54" t="n"/>
      <c r="J47" s="54" t="n"/>
      <c r="K47" s="54" t="n"/>
      <c r="L47" s="54" t="n"/>
      <c r="M47" s="54" t="n"/>
      <c r="N47" s="54" t="n"/>
      <c r="O47" s="54" t="n"/>
      <c r="P47" s="54" t="n"/>
      <c r="Q47" s="54" t="n"/>
      <c r="R47" s="54" t="n"/>
      <c r="S47" s="54" t="n"/>
      <c r="T47" s="54" t="n"/>
      <c r="U47" s="54" t="n"/>
      <c r="V47" s="54" t="n"/>
      <c r="W47" s="54" t="n"/>
      <c r="X47" s="55" t="n"/>
    </row>
    <row r="48" ht="18.75" customHeight="1">
      <c r="B48" s="60" t="inlineStr">
        <is>
          <t>Outflow : 維運費</t>
        </is>
      </c>
      <c r="C48" s="53" t="inlineStr">
        <is>
          <t>-</t>
        </is>
      </c>
      <c r="D48" s="54" t="n">
        <v>-174440</v>
      </c>
      <c r="E48" s="54" t="n">
        <v>-174440</v>
      </c>
      <c r="F48" s="54" t="n">
        <v>-174440</v>
      </c>
      <c r="G48" s="54" t="n">
        <v>-174440</v>
      </c>
      <c r="H48" s="54" t="n">
        <v>-174440</v>
      </c>
      <c r="I48" s="54" t="n">
        <v>-174440</v>
      </c>
      <c r="J48" s="54" t="n">
        <v>-174440</v>
      </c>
      <c r="K48" s="54" t="n">
        <v>-174440</v>
      </c>
      <c r="L48" s="54" t="n">
        <v>-174440</v>
      </c>
      <c r="M48" s="54" t="n">
        <v>-174440</v>
      </c>
      <c r="N48" s="54" t="n">
        <v>-174440</v>
      </c>
      <c r="O48" s="54" t="n">
        <v>-174440</v>
      </c>
      <c r="P48" s="54" t="n">
        <v>-174440</v>
      </c>
      <c r="Q48" s="54" t="n">
        <v>-174440</v>
      </c>
      <c r="R48" s="54" t="n">
        <v>-174440</v>
      </c>
      <c r="S48" s="54" t="n">
        <v>-174440</v>
      </c>
      <c r="T48" s="54" t="n">
        <v>-174440</v>
      </c>
      <c r="U48" s="54" t="n">
        <v>-174440</v>
      </c>
      <c r="V48" s="54" t="n">
        <v>-174440</v>
      </c>
      <c r="W48" s="54" t="n">
        <v>-174440</v>
      </c>
      <c r="X48" s="55" t="n"/>
    </row>
    <row r="49" ht="18.75" customHeight="1">
      <c r="B49" s="60" t="inlineStr">
        <is>
          <t>Outflow : 保險費</t>
        </is>
      </c>
      <c r="C49" s="53" t="inlineStr">
        <is>
          <t>-</t>
        </is>
      </c>
      <c r="D49" s="54" t="n">
        <v>-34015.8</v>
      </c>
      <c r="E49" s="54" t="n">
        <v>-34015.8</v>
      </c>
      <c r="F49" s="54" t="n">
        <v>-34015.8</v>
      </c>
      <c r="G49" s="54" t="n">
        <v>-34015.8</v>
      </c>
      <c r="H49" s="54" t="n">
        <v>-34015.8</v>
      </c>
      <c r="I49" s="54" t="n">
        <v>-34015.8</v>
      </c>
      <c r="J49" s="54" t="n">
        <v>-34015.8</v>
      </c>
      <c r="K49" s="54" t="n">
        <v>-34015.8</v>
      </c>
      <c r="L49" s="54" t="n">
        <v>-34015.8</v>
      </c>
      <c r="M49" s="54" t="n">
        <v>-34015.8</v>
      </c>
      <c r="N49" s="54" t="n">
        <v>-34015.8</v>
      </c>
      <c r="O49" s="54" t="n">
        <v>-34015.8</v>
      </c>
      <c r="P49" s="54" t="n">
        <v>-34015.8</v>
      </c>
      <c r="Q49" s="54" t="n">
        <v>-34015.8</v>
      </c>
      <c r="R49" s="54" t="n">
        <v>-34015.8</v>
      </c>
      <c r="S49" s="54" t="n">
        <v>-34015.8</v>
      </c>
      <c r="T49" s="54" t="n">
        <v>-34015.8</v>
      </c>
      <c r="U49" s="54" t="n">
        <v>-34015.8</v>
      </c>
      <c r="V49" s="54" t="n">
        <v>-34015.8</v>
      </c>
      <c r="W49" s="54" t="n">
        <v>-34015.8</v>
      </c>
      <c r="X49" s="55" t="n"/>
    </row>
    <row r="50" ht="18.75" customHeight="1">
      <c r="B50" s="60" t="inlineStr">
        <is>
          <t>Outflow : 模組回收費</t>
        </is>
      </c>
      <c r="C50" s="53" t="n"/>
      <c r="D50" s="54" t="n">
        <v>-43610</v>
      </c>
      <c r="E50" s="54" t="n">
        <v>-43610</v>
      </c>
      <c r="F50" s="54" t="n">
        <v>-43610</v>
      </c>
      <c r="G50" s="54" t="n">
        <v>-43610</v>
      </c>
      <c r="H50" s="54" t="n">
        <v>-43610</v>
      </c>
      <c r="I50" s="54" t="n">
        <v>-43610</v>
      </c>
      <c r="J50" s="54" t="n">
        <v>-43610</v>
      </c>
      <c r="K50" s="54" t="n">
        <v>-43610</v>
      </c>
      <c r="L50" s="54" t="n">
        <v>-43610</v>
      </c>
      <c r="M50" s="54" t="n">
        <v>-43610</v>
      </c>
      <c r="N50" s="54" t="n">
        <v>0</v>
      </c>
      <c r="O50" s="54" t="n">
        <v>0</v>
      </c>
      <c r="P50" s="54" t="n">
        <v>0</v>
      </c>
      <c r="Q50" s="54" t="n">
        <v>0</v>
      </c>
      <c r="R50" s="54" t="n">
        <v>0</v>
      </c>
      <c r="S50" s="54" t="n">
        <v>0</v>
      </c>
      <c r="T50" s="54" t="n">
        <v>0</v>
      </c>
      <c r="U50" s="54" t="n">
        <v>0</v>
      </c>
      <c r="V50" s="54" t="n">
        <v>0</v>
      </c>
      <c r="W50" s="54" t="n">
        <v>0</v>
      </c>
      <c r="X50" s="55" t="n"/>
    </row>
    <row r="51" ht="18.75" customHeight="1">
      <c r="B51" s="60" t="inlineStr">
        <is>
          <t>Outflow : 其它費用(人事薪資…等)</t>
        </is>
      </c>
      <c r="C51" s="62" t="n"/>
      <c r="D51" s="63" t="n"/>
      <c r="E51" s="64" t="n"/>
      <c r="F51" s="54" t="n"/>
      <c r="G51" s="54" t="n"/>
      <c r="H51" s="54" t="n"/>
      <c r="I51" s="54" t="n"/>
      <c r="J51" s="54" t="n"/>
      <c r="K51" s="54" t="n"/>
      <c r="L51" s="54" t="n"/>
      <c r="M51" s="54" t="n"/>
      <c r="N51" s="54" t="n"/>
      <c r="O51" s="54" t="n"/>
      <c r="P51" s="54" t="n"/>
      <c r="Q51" s="54" t="n"/>
      <c r="R51" s="54" t="n"/>
      <c r="S51" s="54" t="n"/>
      <c r="T51" s="54" t="n"/>
      <c r="U51" s="54" t="n"/>
      <c r="V51" s="54" t="n"/>
      <c r="W51" s="54" t="n"/>
      <c r="X51" s="55" t="n"/>
    </row>
    <row r="52" ht="18.75" customHeight="1">
      <c r="B52" s="60" t="inlineStr">
        <is>
          <t>1%管理費</t>
        </is>
      </c>
      <c r="C52" s="62" t="n"/>
      <c r="D52" s="54" t="n"/>
      <c r="E52" s="54" t="n"/>
      <c r="F52" s="54" t="n"/>
      <c r="G52" s="54" t="n"/>
      <c r="H52" s="54" t="n"/>
      <c r="I52" s="54" t="n"/>
      <c r="J52" s="54" t="n"/>
      <c r="K52" s="54" t="n"/>
      <c r="L52" s="54" t="n"/>
      <c r="M52" s="54" t="n"/>
      <c r="N52" s="54" t="n"/>
      <c r="O52" s="54" t="n"/>
      <c r="P52" s="54" t="n"/>
      <c r="Q52" s="54" t="n"/>
      <c r="R52" s="54" t="n"/>
      <c r="S52" s="54" t="n"/>
      <c r="T52" s="54" t="n"/>
      <c r="U52" s="54" t="n"/>
      <c r="V52" s="54" t="n"/>
      <c r="W52" s="54" t="n"/>
      <c r="X52" s="55" t="n"/>
    </row>
    <row r="53" ht="18.75" customHeight="1">
      <c r="B53" s="65" t="inlineStr">
        <is>
          <t>績效獎金</t>
        </is>
      </c>
      <c r="C53" s="62" t="n"/>
      <c r="D53" s="66" t="n"/>
      <c r="E53" s="66" t="n"/>
      <c r="F53" s="54" t="n"/>
      <c r="G53" s="54" t="n"/>
      <c r="H53" s="54" t="n"/>
      <c r="I53" s="54" t="n"/>
      <c r="J53" s="54" t="n"/>
      <c r="K53" s="54" t="n"/>
      <c r="L53" s="54" t="n"/>
      <c r="M53" s="54" t="n"/>
      <c r="N53" s="54" t="n"/>
      <c r="O53" s="54" t="n"/>
      <c r="P53" s="54" t="n"/>
      <c r="Q53" s="54" t="n"/>
      <c r="R53" s="54" t="n"/>
      <c r="S53" s="54" t="n"/>
      <c r="T53" s="54" t="n"/>
      <c r="U53" s="54" t="n"/>
      <c r="V53" s="54" t="n"/>
      <c r="W53" s="54" t="n"/>
      <c r="X53" s="55" t="n"/>
    </row>
    <row r="54" ht="18.75" customHeight="1">
      <c r="B54" s="65" t="inlineStr">
        <is>
          <t>所得稅20%</t>
        </is>
      </c>
      <c r="C54" s="62" t="n"/>
      <c r="D54" s="54">
        <f>-(D69+D72+D73+D76+D77+D78+D79)*0.2</f>
        <v/>
      </c>
      <c r="E54" s="54">
        <f>-(E69+E72+E73+E76+E77+E78+E79)*0.2</f>
        <v/>
      </c>
      <c r="F54" s="54">
        <f>-(F69+F72+F73+F76+F77+F78+F79)*0.2</f>
        <v/>
      </c>
      <c r="G54" s="54">
        <f>-(G69+G72+G73+G76+G77+G78+G79)*0.2</f>
        <v/>
      </c>
      <c r="H54" s="54">
        <f>-(H69+H72+H73+H76+H77+H78+H79)*0.2</f>
        <v/>
      </c>
      <c r="I54" s="54">
        <f>-(I69+I72+I73+I76+I77+I78+I79)*0.2</f>
        <v/>
      </c>
      <c r="J54" s="54">
        <f>-(J69+J72+J73+J76+J77+J78+J79)*0.2</f>
        <v/>
      </c>
      <c r="K54" s="54">
        <f>-(K69+K72+K73+K76+K77+K78+K79)*0.2</f>
        <v/>
      </c>
      <c r="L54" s="54">
        <f>-(L69+L72+L73+L76+L77+L78+L79)*0.2</f>
        <v/>
      </c>
      <c r="M54" s="54">
        <f>-(M69+M72+M73+M76+M77+M78+M79)*0.2</f>
        <v/>
      </c>
      <c r="N54" s="54">
        <f>-(N69+N72+N73+N76+N77+N78+N79)*0.2</f>
        <v/>
      </c>
      <c r="O54" s="54">
        <f>-(O69+O72+O73+O76+O77+O78+O79)*0.2</f>
        <v/>
      </c>
      <c r="P54" s="54">
        <f>-(P69+P72+P73+P76+P77+P78+P79)*0.2</f>
        <v/>
      </c>
      <c r="Q54" s="54">
        <f>-(Q69+Q72+Q73+Q76+Q77+Q78+Q79)*0.2</f>
        <v/>
      </c>
      <c r="R54" s="54">
        <f>-(R69+R72+R73+R76+R77+R78+R79)*0.2</f>
        <v/>
      </c>
      <c r="S54" s="54">
        <f>-(S69+S72+S73+S76+S77+S78+S79)*0.2</f>
        <v/>
      </c>
      <c r="T54" s="54">
        <f>-(T69+T72+T73+T76+T77+T78+T79)*0.2</f>
        <v/>
      </c>
      <c r="U54" s="54">
        <f>-(U69+U72+U73+U76+U77+U78+U79)*0.2</f>
        <v/>
      </c>
      <c r="V54" s="54">
        <f>-(V69+V72+V73+V76+V77+V78+V79)*0.2</f>
        <v/>
      </c>
      <c r="W54" s="54">
        <f>-(W69+W72+W73+W76+W77+W78+W79)*0.2</f>
        <v/>
      </c>
      <c r="X54" s="54" t="n"/>
    </row>
    <row r="55" ht="18.75" customHeight="1">
      <c r="B55" s="67" t="inlineStr">
        <is>
          <t>現金流</t>
        </is>
      </c>
      <c r="C55" s="68">
        <f>C44</f>
        <v/>
      </c>
      <c r="D55" s="69">
        <f>SUM(D41:D54)</f>
        <v/>
      </c>
      <c r="E55" s="69">
        <f>SUM(E41:E54)</f>
        <v/>
      </c>
      <c r="F55" s="69">
        <f>SUM(F41:F54)</f>
        <v/>
      </c>
      <c r="G55" s="69">
        <f>SUM(G41:G54)</f>
        <v/>
      </c>
      <c r="H55" s="69">
        <f>SUM(H41:H54)</f>
        <v/>
      </c>
      <c r="I55" s="69">
        <f>SUM(I41:I54)</f>
        <v/>
      </c>
      <c r="J55" s="69">
        <f>SUM(J41:J54)</f>
        <v/>
      </c>
      <c r="K55" s="69">
        <f>SUM(K41:K54)</f>
        <v/>
      </c>
      <c r="L55" s="69">
        <f>SUM(L41:L54)</f>
        <v/>
      </c>
      <c r="M55" s="69">
        <f>SUM(M41:M54)</f>
        <v/>
      </c>
      <c r="N55" s="69">
        <f>SUM(N41:N54)</f>
        <v/>
      </c>
      <c r="O55" s="69">
        <f>SUM(O41:O54)</f>
        <v/>
      </c>
      <c r="P55" s="69">
        <f>SUM(P41:P54)</f>
        <v/>
      </c>
      <c r="Q55" s="69">
        <f>SUM(Q41:Q54)</f>
        <v/>
      </c>
      <c r="R55" s="69">
        <f>SUM(R41:R54)</f>
        <v/>
      </c>
      <c r="S55" s="69">
        <f>SUM(S41:S54)</f>
        <v/>
      </c>
      <c r="T55" s="69">
        <f>SUM(T41:T54)</f>
        <v/>
      </c>
      <c r="U55" s="69">
        <f>SUM(U41:U54)</f>
        <v/>
      </c>
      <c r="V55" s="69">
        <f>SUM(V41:V54)</f>
        <v/>
      </c>
      <c r="W55" s="69">
        <f>SUM(W41:W54)</f>
        <v/>
      </c>
      <c r="X55" s="69" t="n"/>
      <c r="Y55" s="70" t="n"/>
      <c r="Z55" s="71" t="n"/>
      <c r="AA55" s="70" t="n"/>
      <c r="AB55" s="70" t="n"/>
      <c r="AC55" s="70" t="n"/>
      <c r="AD55" s="70" t="n"/>
      <c r="AE55" s="70" t="n"/>
      <c r="AF55" s="70" t="n"/>
      <c r="AG55" s="70" t="n"/>
      <c r="AH55" s="70" t="n"/>
      <c r="AI55" s="70" t="n"/>
      <c r="AJ55" s="70" t="n"/>
    </row>
    <row r="56" ht="18.75" customHeight="1">
      <c r="B56" s="72" t="inlineStr">
        <is>
          <t>累計現金流</t>
        </is>
      </c>
      <c r="D56" s="73">
        <f>C55+D55</f>
        <v/>
      </c>
      <c r="E56" s="73">
        <f>D56+E55</f>
        <v/>
      </c>
      <c r="F56" s="73">
        <f>E56+F55</f>
        <v/>
      </c>
      <c r="G56" s="73">
        <f>F56+G55</f>
        <v/>
      </c>
      <c r="H56" s="73">
        <f>G56+H55</f>
        <v/>
      </c>
      <c r="I56" s="73">
        <f>H56+I55</f>
        <v/>
      </c>
      <c r="J56" s="73">
        <f>I56+J55</f>
        <v/>
      </c>
      <c r="K56" s="73">
        <f>J56+K55</f>
        <v/>
      </c>
      <c r="L56" s="73">
        <f>K56+L55</f>
        <v/>
      </c>
      <c r="M56" s="73">
        <f>L56+M55</f>
        <v/>
      </c>
      <c r="N56" s="73">
        <f>M56+N55</f>
        <v/>
      </c>
      <c r="O56" s="73">
        <f>N56+O55</f>
        <v/>
      </c>
      <c r="P56" s="73">
        <f>O56+P55</f>
        <v/>
      </c>
      <c r="Q56" s="73">
        <f>P56+Q55</f>
        <v/>
      </c>
      <c r="R56" s="73">
        <f>Q56+R55</f>
        <v/>
      </c>
      <c r="S56" s="73">
        <f>R56+S55</f>
        <v/>
      </c>
      <c r="T56" s="73">
        <f>S56+T55</f>
        <v/>
      </c>
      <c r="U56" s="73">
        <f>T56+U55</f>
        <v/>
      </c>
      <c r="V56" s="73">
        <f>U56+V55</f>
        <v/>
      </c>
      <c r="W56" s="73">
        <f>V56+W55</f>
        <v/>
      </c>
      <c r="X56" s="73">
        <f>W56+X55</f>
        <v/>
      </c>
      <c r="Y56" s="70" t="n"/>
      <c r="Z56" s="70" t="n"/>
      <c r="AA56" s="70" t="n"/>
      <c r="AB56" s="70" t="n"/>
      <c r="AC56" s="70" t="n"/>
      <c r="AD56" s="70" t="n"/>
      <c r="AE56" s="70" t="n"/>
      <c r="AF56" s="70" t="n"/>
      <c r="AG56" s="70" t="n"/>
      <c r="AH56" s="70" t="n"/>
      <c r="AI56" s="70" t="n"/>
      <c r="AJ56" s="70" t="n"/>
    </row>
    <row r="57" ht="18.75" customHeight="1">
      <c r="B57" s="74" t="n"/>
      <c r="C57" s="75" t="n"/>
      <c r="D57" s="76" t="n"/>
      <c r="E57" s="76" t="n"/>
      <c r="F57" s="77" t="n"/>
      <c r="G57" s="77" t="n"/>
      <c r="H57" s="77" t="n"/>
      <c r="I57" s="77" t="n"/>
      <c r="J57" s="77" t="n"/>
      <c r="K57" s="77" t="n"/>
      <c r="L57" s="77" t="n"/>
      <c r="M57" s="77" t="n"/>
      <c r="N57" s="77" t="n"/>
      <c r="O57" s="77" t="n"/>
      <c r="P57" s="77" t="n"/>
      <c r="Q57" s="77" t="n"/>
      <c r="R57" s="77" t="n"/>
      <c r="S57" s="77" t="n"/>
      <c r="T57" s="77" t="n"/>
      <c r="U57" s="77" t="n"/>
      <c r="V57" s="77" t="n"/>
      <c r="W57" s="77" t="n"/>
      <c r="X57" s="78" t="n"/>
      <c r="Y57" s="70" t="n"/>
      <c r="Z57" s="70" t="n"/>
      <c r="AA57" s="70" t="n"/>
      <c r="AB57" s="70" t="n"/>
      <c r="AC57" s="70" t="n"/>
      <c r="AD57" s="70" t="n"/>
      <c r="AE57" s="70" t="n"/>
      <c r="AF57" s="70" t="n"/>
      <c r="AG57" s="70" t="n"/>
      <c r="AH57" s="70" t="n"/>
      <c r="AI57" s="70" t="n"/>
      <c r="AJ57" s="70" t="n"/>
    </row>
    <row r="58" ht="18.75" customHeight="1">
      <c r="B58" s="74" t="n"/>
      <c r="C58" s="79" t="n"/>
      <c r="D58" s="66" t="n"/>
      <c r="E58" s="66" t="n"/>
      <c r="F58" s="66" t="n"/>
      <c r="G58" s="66" t="n"/>
      <c r="H58" s="66" t="n"/>
      <c r="I58" s="66" t="n"/>
      <c r="J58" s="66" t="n"/>
      <c r="K58" s="66" t="n"/>
      <c r="L58" s="66" t="n"/>
      <c r="M58" s="66" t="n"/>
      <c r="N58" s="66" t="n"/>
      <c r="O58" s="66" t="n"/>
      <c r="P58" s="66" t="n"/>
      <c r="Q58" s="66" t="n"/>
      <c r="R58" s="66" t="n"/>
      <c r="S58" s="66" t="n"/>
      <c r="T58" s="66" t="n"/>
      <c r="U58" s="66" t="n"/>
      <c r="V58" s="66" t="n"/>
      <c r="W58" s="66" t="n"/>
      <c r="X58" s="80" t="n"/>
      <c r="Y58" s="70" t="n"/>
      <c r="Z58" s="70" t="n"/>
      <c r="AA58" s="70" t="n"/>
      <c r="AB58" s="70" t="n"/>
      <c r="AC58" s="70" t="n"/>
      <c r="AD58" s="70" t="n"/>
      <c r="AE58" s="70" t="n"/>
      <c r="AF58" s="70" t="n"/>
      <c r="AG58" s="70" t="n"/>
      <c r="AH58" s="70" t="n"/>
      <c r="AI58" s="70" t="n"/>
      <c r="AJ58" s="70" t="n"/>
    </row>
    <row r="59" ht="18.75" customHeight="1">
      <c r="B59" s="74" t="n"/>
      <c r="C59" s="79" t="n"/>
      <c r="D59" s="66" t="n"/>
      <c r="E59" s="66" t="n"/>
      <c r="F59" s="66" t="n"/>
      <c r="G59" s="66" t="n"/>
      <c r="H59" s="66" t="n"/>
      <c r="I59" s="66" t="n"/>
      <c r="J59" s="66" t="n"/>
      <c r="K59" s="66" t="n"/>
      <c r="L59" s="66" t="n"/>
      <c r="M59" s="66" t="n"/>
      <c r="N59" s="66" t="n"/>
      <c r="O59" s="66" t="n"/>
      <c r="P59" s="66" t="n"/>
      <c r="Q59" s="66" t="n"/>
      <c r="R59" s="66" t="n"/>
      <c r="S59" s="66" t="n"/>
      <c r="T59" s="66" t="n"/>
      <c r="U59" s="66" t="n"/>
      <c r="V59" s="66" t="n"/>
      <c r="W59" s="66" t="n"/>
      <c r="X59" s="80" t="n"/>
      <c r="Y59" s="70" t="n"/>
      <c r="Z59" s="70" t="n"/>
      <c r="AA59" s="70" t="n"/>
      <c r="AB59" s="70" t="n"/>
      <c r="AC59" s="70" t="n"/>
      <c r="AD59" s="70" t="n"/>
      <c r="AE59" s="70" t="n"/>
      <c r="AF59" s="70" t="n"/>
      <c r="AG59" s="70" t="n"/>
      <c r="AH59" s="70" t="n"/>
      <c r="AI59" s="70" t="n"/>
      <c r="AJ59" s="70" t="n"/>
    </row>
    <row r="60" ht="18.75" customHeight="1">
      <c r="B60" s="81" t="n"/>
      <c r="C60" s="82" t="n"/>
      <c r="D60" s="83" t="n"/>
      <c r="E60" s="83" t="n"/>
      <c r="F60" s="83" t="n"/>
      <c r="G60" s="83" t="n"/>
      <c r="H60" s="83" t="n"/>
      <c r="I60" s="83" t="n"/>
      <c r="J60" s="83" t="n"/>
      <c r="K60" s="83" t="n"/>
      <c r="L60" s="83" t="n"/>
      <c r="M60" s="83" t="n"/>
      <c r="N60" s="83" t="n"/>
      <c r="O60" s="83" t="n"/>
      <c r="P60" s="83" t="n"/>
      <c r="Q60" s="83" t="n"/>
      <c r="R60" s="83" t="n"/>
      <c r="S60" s="83" t="n"/>
      <c r="T60" s="83" t="n"/>
      <c r="U60" s="83" t="n"/>
      <c r="V60" s="83" t="n"/>
      <c r="W60" s="83" t="n"/>
      <c r="X60" s="84" t="n"/>
      <c r="Y60" s="70" t="n"/>
      <c r="Z60" s="70" t="n"/>
      <c r="AA60" s="70" t="n"/>
      <c r="AB60" s="70" t="n"/>
      <c r="AC60" s="70" t="n"/>
      <c r="AD60" s="70" t="n"/>
      <c r="AE60" s="70" t="n"/>
      <c r="AF60" s="70" t="n"/>
      <c r="AG60" s="70" t="n"/>
      <c r="AH60" s="70" t="n"/>
      <c r="AI60" s="70" t="n"/>
      <c r="AJ60" s="70" t="n"/>
    </row>
    <row r="61" ht="18.75" customHeight="1">
      <c r="B61" s="85" t="n"/>
      <c r="C61" s="86" t="n"/>
      <c r="D61" s="87" t="n"/>
      <c r="E61" s="87" t="n"/>
      <c r="F61" s="88" t="n"/>
      <c r="G61" s="88" t="n"/>
      <c r="H61" s="88" t="n"/>
      <c r="I61" s="88" t="n"/>
      <c r="J61" s="88" t="n"/>
      <c r="K61" s="88" t="n"/>
      <c r="L61" s="88" t="n"/>
      <c r="M61" s="88" t="n"/>
      <c r="N61" s="88" t="n"/>
      <c r="O61" s="88" t="n"/>
      <c r="P61" s="88" t="n"/>
      <c r="Q61" s="88" t="n"/>
      <c r="R61" s="88" t="n"/>
      <c r="S61" s="88" t="n"/>
      <c r="T61" s="88" t="n"/>
      <c r="U61" s="88" t="n"/>
      <c r="V61" s="88" t="n"/>
      <c r="W61" s="88" t="n"/>
      <c r="X61" s="89" t="n"/>
      <c r="Y61" s="70" t="n"/>
      <c r="Z61" s="70" t="n"/>
      <c r="AA61" s="70" t="n"/>
      <c r="AB61" s="70" t="n"/>
      <c r="AC61" s="70" t="n"/>
      <c r="AD61" s="70" t="n"/>
      <c r="AE61" s="70" t="n"/>
      <c r="AF61" s="70" t="n"/>
      <c r="AG61" s="70" t="n"/>
      <c r="AH61" s="70" t="n"/>
      <c r="AI61" s="70" t="n"/>
      <c r="AJ61" s="70" t="n"/>
    </row>
    <row r="62" ht="18.75" customHeight="1">
      <c r="B62" s="90" t="inlineStr">
        <is>
          <t>回收年限評估</t>
        </is>
      </c>
      <c r="C62" s="91" t="n"/>
      <c r="D62" s="92">
        <f>IF((D56)&gt;0,"回收","未回收")</f>
        <v/>
      </c>
      <c r="E62" s="92">
        <f>IF((E56)&gt;0,"回收","未回收")</f>
        <v/>
      </c>
      <c r="F62" s="92">
        <f>IF((F56)&gt;0,"回收","未回收")</f>
        <v/>
      </c>
      <c r="G62" s="92">
        <f>IF((G56)&gt;0,"回收","未回收")</f>
        <v/>
      </c>
      <c r="H62" s="92">
        <f>IF((H56)&gt;0,"回收","未回收")</f>
        <v/>
      </c>
      <c r="I62" s="92">
        <f>IF((I56)&gt;0,"回收","未回收")</f>
        <v/>
      </c>
      <c r="J62" s="92">
        <f>IF((J56)&gt;0,"回收","未回收")</f>
        <v/>
      </c>
      <c r="K62" s="92">
        <f>IF((K56)&gt;0,"回收","未回收")</f>
        <v/>
      </c>
      <c r="L62" s="92">
        <f>IF((L56)&gt;0,"回收","未回收")</f>
        <v/>
      </c>
      <c r="M62" s="92">
        <f>IF((M56)&gt;0,"回收","未回收")</f>
        <v/>
      </c>
      <c r="N62" s="92">
        <f>IF((N56)&gt;0,"回收","未回收")</f>
        <v/>
      </c>
      <c r="O62" s="92">
        <f>IF((O56)&gt;0,"回收","未回收")</f>
        <v/>
      </c>
      <c r="P62" s="92">
        <f>IF((P56)&gt;0,"回收","未回收")</f>
        <v/>
      </c>
      <c r="Q62" s="92">
        <f>IF((Q56)&gt;0,"回收","未回收")</f>
        <v/>
      </c>
      <c r="R62" s="92">
        <f>IF((R56)&gt;0,"回收","未回收")</f>
        <v/>
      </c>
      <c r="S62" s="92">
        <f>IF((S56)&gt;0,"回收","未回收")</f>
        <v/>
      </c>
      <c r="T62" s="92">
        <f>IF((T56)&gt;0,"回收","未回收")</f>
        <v/>
      </c>
      <c r="U62" s="92">
        <f>IF((U56)&gt;0,"回收","未回收")</f>
        <v/>
      </c>
      <c r="V62" s="92">
        <f>IF((V56)&gt;0,"回收","未回收")</f>
        <v/>
      </c>
      <c r="W62" s="92">
        <f>IF((W56)&gt;0,"回收","未回收")</f>
        <v/>
      </c>
      <c r="X62" s="92">
        <f>IF((X56)&gt;0,"回收","未回收")</f>
        <v/>
      </c>
      <c r="Y62" s="70" t="n"/>
      <c r="Z62" s="70" t="n"/>
      <c r="AA62" s="70" t="n"/>
      <c r="AB62" s="70" t="n"/>
      <c r="AC62" s="70" t="n"/>
      <c r="AD62" s="70" t="n"/>
      <c r="AE62" s="70" t="n"/>
      <c r="AF62" s="70" t="n"/>
      <c r="AG62" s="70" t="n"/>
      <c r="AH62" s="70" t="n"/>
      <c r="AI62" s="70" t="n"/>
      <c r="AJ62" s="70" t="n"/>
    </row>
    <row r="63" ht="18.75" customHeight="1">
      <c r="B63" s="93" t="inlineStr">
        <is>
          <t>專案法IRR</t>
        </is>
      </c>
      <c r="C63" s="94">
        <f>IRR(C55:W55)</f>
        <v/>
      </c>
      <c r="D63" s="95" t="n"/>
      <c r="E63" s="95" t="n"/>
      <c r="F63" s="96" t="n"/>
      <c r="G63" s="96" t="n"/>
      <c r="H63" s="96" t="n"/>
      <c r="I63" s="96" t="n"/>
      <c r="J63" s="96" t="n"/>
      <c r="K63" s="96" t="n"/>
      <c r="L63" s="96" t="n"/>
      <c r="M63" s="96" t="n"/>
      <c r="N63" s="96" t="n"/>
      <c r="O63" s="96" t="n"/>
      <c r="P63" s="96" t="n"/>
      <c r="Q63" s="96" t="n"/>
      <c r="R63" s="96" t="n"/>
      <c r="S63" s="96" t="n"/>
      <c r="T63" s="96" t="n"/>
      <c r="U63" s="96" t="n"/>
      <c r="V63" s="96" t="n"/>
      <c r="W63" s="96" t="n"/>
      <c r="X63" s="96" t="n"/>
      <c r="Y63" s="97" t="n"/>
      <c r="Z63" s="97" t="n"/>
      <c r="AA63" s="97" t="n"/>
      <c r="AB63" s="97" t="n"/>
      <c r="AC63" s="97" t="n"/>
      <c r="AD63" s="97" t="n"/>
      <c r="AE63" s="97" t="n"/>
      <c r="AF63" s="97" t="n"/>
      <c r="AG63" s="97" t="n"/>
      <c r="AH63" s="97" t="n"/>
      <c r="AI63" s="97" t="n"/>
      <c r="AJ63" s="97" t="n"/>
    </row>
    <row r="64" ht="18.75" customHeight="1">
      <c r="B64" s="96" t="n"/>
      <c r="C64" s="95" t="n"/>
      <c r="D64" s="95" t="n"/>
      <c r="E64" s="95" t="n"/>
      <c r="F64" s="96" t="n"/>
      <c r="G64" s="96" t="n"/>
      <c r="H64" s="96" t="n"/>
      <c r="I64" s="96" t="n"/>
      <c r="J64" s="96" t="n"/>
      <c r="K64" s="96" t="n"/>
      <c r="L64" s="96" t="n"/>
      <c r="M64" s="95" t="n"/>
      <c r="N64" s="96" t="n"/>
      <c r="O64" s="96" t="n"/>
      <c r="P64" s="96" t="n"/>
      <c r="Q64" s="96" t="n"/>
      <c r="R64" s="96" t="n"/>
      <c r="S64" s="96" t="n"/>
      <c r="T64" s="96" t="n"/>
      <c r="U64" s="96" t="n"/>
      <c r="V64" s="96" t="n"/>
      <c r="W64" s="96" t="n"/>
      <c r="X64" s="96" t="n"/>
      <c r="Y64" s="97" t="n"/>
      <c r="Z64" s="97" t="n"/>
      <c r="AA64" s="97" t="n"/>
      <c r="AB64" s="97" t="n"/>
      <c r="AC64" s="97" t="n"/>
      <c r="AD64" s="97" t="n"/>
      <c r="AE64" s="97" t="n"/>
      <c r="AF64" s="97" t="n"/>
      <c r="AG64" s="97" t="n"/>
      <c r="AH64" s="97" t="n"/>
      <c r="AI64" s="97" t="n"/>
      <c r="AJ64" s="97" t="n"/>
    </row>
    <row r="65" ht="18.75" customHeight="1">
      <c r="B65" s="30" t="n"/>
      <c r="C65" s="31" t="inlineStr">
        <is>
          <t>年份</t>
        </is>
      </c>
      <c r="D65" s="31">
        <f>D37</f>
        <v/>
      </c>
      <c r="E65" s="31">
        <f>E37</f>
        <v/>
      </c>
      <c r="F65" s="31">
        <f>F37</f>
        <v/>
      </c>
      <c r="G65" s="31">
        <f>G37</f>
        <v/>
      </c>
      <c r="H65" s="31">
        <f>H37</f>
        <v/>
      </c>
      <c r="I65" s="31">
        <f>I37</f>
        <v/>
      </c>
      <c r="J65" s="31">
        <f>J37</f>
        <v/>
      </c>
      <c r="K65" s="31">
        <f>K37</f>
        <v/>
      </c>
      <c r="L65" s="31">
        <f>L37</f>
        <v/>
      </c>
      <c r="M65" s="31">
        <f>M37</f>
        <v/>
      </c>
      <c r="N65" s="31">
        <f>N37</f>
        <v/>
      </c>
      <c r="O65" s="31">
        <f>O37</f>
        <v/>
      </c>
      <c r="P65" s="31">
        <f>P37</f>
        <v/>
      </c>
      <c r="Q65" s="31">
        <f>Q37</f>
        <v/>
      </c>
      <c r="R65" s="31">
        <f>R37</f>
        <v/>
      </c>
      <c r="S65" s="31">
        <f>S37</f>
        <v/>
      </c>
      <c r="T65" s="31">
        <f>T37</f>
        <v/>
      </c>
      <c r="U65" s="31">
        <f>U37</f>
        <v/>
      </c>
      <c r="V65" s="31">
        <f>V37</f>
        <v/>
      </c>
      <c r="W65" s="31">
        <f>W37</f>
        <v/>
      </c>
      <c r="X65" s="31" t="n"/>
      <c r="Y65" s="98" t="n"/>
      <c r="Z65" s="98" t="n"/>
      <c r="AA65" s="98" t="n"/>
      <c r="AB65" s="98" t="n"/>
      <c r="AC65" s="98" t="n"/>
      <c r="AD65" s="98" t="n"/>
      <c r="AE65" s="98" t="n"/>
      <c r="AF65" s="98" t="n"/>
      <c r="AG65" s="98" t="n"/>
      <c r="AH65" s="98" t="n"/>
      <c r="AI65" s="98" t="n"/>
      <c r="AJ65" s="98" t="n"/>
    </row>
    <row r="66" ht="18.75" customHeight="1">
      <c r="B66" s="32" t="n">
        <v>0</v>
      </c>
      <c r="C66" s="33" t="n"/>
      <c r="D66" s="34" t="n"/>
      <c r="E66" s="34" t="n"/>
      <c r="F66" s="35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99" t="inlineStr">
        <is>
          <t>償還年限</t>
        </is>
      </c>
      <c r="U66" s="36" t="n"/>
      <c r="V66" s="36" t="n"/>
      <c r="W66" s="36" t="n"/>
      <c r="X66" s="38" t="n"/>
    </row>
    <row r="67" ht="18.75" customHeight="1">
      <c r="B67" s="39" t="inlineStr">
        <is>
          <t>(Unit : Currency)</t>
        </is>
      </c>
      <c r="C67" s="40" t="n">
        <v>0</v>
      </c>
      <c r="D67" s="41" t="n">
        <v>1</v>
      </c>
      <c r="E67" s="41" t="n">
        <v>2</v>
      </c>
      <c r="F67" s="41" t="n">
        <v>3</v>
      </c>
      <c r="G67" s="41" t="n">
        <v>4</v>
      </c>
      <c r="H67" s="41" t="n">
        <v>5</v>
      </c>
      <c r="I67" s="41" t="n">
        <v>6</v>
      </c>
      <c r="J67" s="41" t="n">
        <v>7</v>
      </c>
      <c r="K67" s="41" t="n">
        <v>8</v>
      </c>
      <c r="L67" s="41" t="n">
        <v>9</v>
      </c>
      <c r="M67" s="41" t="n">
        <v>10</v>
      </c>
      <c r="N67" s="41" t="n">
        <v>11</v>
      </c>
      <c r="O67" s="41" t="n">
        <v>12</v>
      </c>
      <c r="P67" s="41" t="n">
        <v>13</v>
      </c>
      <c r="Q67" s="41" t="n">
        <v>14</v>
      </c>
      <c r="R67" s="41" t="n">
        <v>15</v>
      </c>
      <c r="S67" s="41" t="n">
        <v>16</v>
      </c>
      <c r="T67" s="100" t="n">
        <v>17</v>
      </c>
      <c r="U67" s="41" t="n">
        <v>18</v>
      </c>
      <c r="V67" s="41" t="n">
        <v>19</v>
      </c>
      <c r="W67" s="41" t="n">
        <v>20</v>
      </c>
      <c r="X67" s="43" t="n"/>
    </row>
    <row r="68" ht="18.75" customHeight="1">
      <c r="B68" s="44" t="inlineStr">
        <is>
          <t>發電度數(KWH)</t>
        </is>
      </c>
      <c r="C68" s="45" t="n">
        <v>0</v>
      </c>
      <c r="D68" s="46">
        <f>D40</f>
        <v/>
      </c>
      <c r="E68" s="46">
        <f>E40</f>
        <v/>
      </c>
      <c r="F68" s="46">
        <f>F40</f>
        <v/>
      </c>
      <c r="G68" s="46">
        <f>G40</f>
        <v/>
      </c>
      <c r="H68" s="46">
        <f>H40</f>
        <v/>
      </c>
      <c r="I68" s="46">
        <f>I40</f>
        <v/>
      </c>
      <c r="J68" s="46">
        <f>J40</f>
        <v/>
      </c>
      <c r="K68" s="46">
        <f>K40</f>
        <v/>
      </c>
      <c r="L68" s="46">
        <f>L40</f>
        <v/>
      </c>
      <c r="M68" s="46">
        <f>M40</f>
        <v/>
      </c>
      <c r="N68" s="46">
        <f>N40</f>
        <v/>
      </c>
      <c r="O68" s="46">
        <f>O40</f>
        <v/>
      </c>
      <c r="P68" s="46">
        <f>P40</f>
        <v/>
      </c>
      <c r="Q68" s="46">
        <f>Q40</f>
        <v/>
      </c>
      <c r="R68" s="46">
        <f>R40</f>
        <v/>
      </c>
      <c r="S68" s="46">
        <f>S40</f>
        <v/>
      </c>
      <c r="T68" s="46">
        <f>T40</f>
        <v/>
      </c>
      <c r="U68" s="46">
        <f>U40</f>
        <v/>
      </c>
      <c r="V68" s="46">
        <f>V40</f>
        <v/>
      </c>
      <c r="W68" s="46">
        <f>W40</f>
        <v/>
      </c>
      <c r="X68" s="47" t="n"/>
    </row>
    <row r="69" ht="18.75" customHeight="1">
      <c r="B69" s="48" t="inlineStr">
        <is>
          <t>Inflow : 電費收入</t>
        </is>
      </c>
      <c r="C69" s="49" t="inlineStr">
        <is>
          <t>-</t>
        </is>
      </c>
      <c r="D69" s="50">
        <f>D41</f>
        <v/>
      </c>
      <c r="E69" s="50">
        <f>E41</f>
        <v/>
      </c>
      <c r="F69" s="50">
        <f>F41</f>
        <v/>
      </c>
      <c r="G69" s="50">
        <f>G41</f>
        <v/>
      </c>
      <c r="H69" s="50">
        <f>H41</f>
        <v/>
      </c>
      <c r="I69" s="50">
        <f>I41</f>
        <v/>
      </c>
      <c r="J69" s="50">
        <f>J41</f>
        <v/>
      </c>
      <c r="K69" s="50">
        <f>K41</f>
        <v/>
      </c>
      <c r="L69" s="50">
        <f>L41</f>
        <v/>
      </c>
      <c r="M69" s="50">
        <f>M41</f>
        <v/>
      </c>
      <c r="N69" s="50">
        <f>N41</f>
        <v/>
      </c>
      <c r="O69" s="50">
        <f>O41</f>
        <v/>
      </c>
      <c r="P69" s="50">
        <f>P41</f>
        <v/>
      </c>
      <c r="Q69" s="50">
        <f>Q41</f>
        <v/>
      </c>
      <c r="R69" s="50">
        <f>R41</f>
        <v/>
      </c>
      <c r="S69" s="50">
        <f>S41</f>
        <v/>
      </c>
      <c r="T69" s="50">
        <f>T41</f>
        <v/>
      </c>
      <c r="U69" s="50">
        <f>U41</f>
        <v/>
      </c>
      <c r="V69" s="50">
        <f>V41</f>
        <v/>
      </c>
      <c r="W69" s="50">
        <f>W41</f>
        <v/>
      </c>
      <c r="X69" s="51" t="n"/>
    </row>
    <row r="70" ht="18.75" customHeight="1">
      <c r="B70" s="52" t="inlineStr">
        <is>
          <t>Inflow : 政府補助</t>
        </is>
      </c>
      <c r="C70" s="53" t="inlineStr">
        <is>
          <t>-</t>
        </is>
      </c>
      <c r="D70" s="54" t="n"/>
      <c r="E70" s="54" t="n"/>
      <c r="F70" s="54" t="n"/>
      <c r="G70" s="54" t="inlineStr">
        <is>
          <t>-</t>
        </is>
      </c>
      <c r="H70" s="54" t="inlineStr">
        <is>
          <t>-</t>
        </is>
      </c>
      <c r="I70" s="54" t="inlineStr">
        <is>
          <t>-</t>
        </is>
      </c>
      <c r="J70" s="54" t="inlineStr">
        <is>
          <t>-</t>
        </is>
      </c>
      <c r="K70" s="54" t="inlineStr">
        <is>
          <t>-</t>
        </is>
      </c>
      <c r="L70" s="54" t="inlineStr">
        <is>
          <t>-</t>
        </is>
      </c>
      <c r="M70" s="54" t="inlineStr">
        <is>
          <t>-</t>
        </is>
      </c>
      <c r="N70" s="54" t="inlineStr">
        <is>
          <t>-</t>
        </is>
      </c>
      <c r="O70" s="54" t="inlineStr">
        <is>
          <t>-</t>
        </is>
      </c>
      <c r="P70" s="54" t="inlineStr">
        <is>
          <t>-</t>
        </is>
      </c>
      <c r="Q70" s="54" t="inlineStr">
        <is>
          <t>-</t>
        </is>
      </c>
      <c r="R70" s="54" t="inlineStr">
        <is>
          <t>-</t>
        </is>
      </c>
      <c r="S70" s="54" t="inlineStr">
        <is>
          <t>-</t>
        </is>
      </c>
      <c r="T70" s="54" t="inlineStr">
        <is>
          <t>-</t>
        </is>
      </c>
      <c r="U70" s="54" t="inlineStr">
        <is>
          <t>-</t>
        </is>
      </c>
      <c r="V70" s="54" t="inlineStr">
        <is>
          <t>-</t>
        </is>
      </c>
      <c r="W70" s="54" t="inlineStr">
        <is>
          <t>-</t>
        </is>
      </c>
      <c r="X70" s="55" t="n"/>
    </row>
    <row r="71" ht="18.75" customHeight="1">
      <c r="B71" s="56" t="inlineStr">
        <is>
          <t>Inflow : 銀行借款</t>
        </is>
      </c>
      <c r="C71" s="57" t="n"/>
      <c r="D71" s="58" t="n"/>
      <c r="E71" s="58" t="n"/>
      <c r="F71" s="58" t="n"/>
      <c r="G71" s="58" t="n"/>
      <c r="H71" s="58" t="n"/>
      <c r="I71" s="58" t="n"/>
      <c r="J71" s="58" t="n"/>
      <c r="K71" s="58" t="n"/>
      <c r="L71" s="58" t="n"/>
      <c r="M71" s="58" t="n"/>
      <c r="N71" s="58" t="n"/>
      <c r="O71" s="58" t="n"/>
      <c r="P71" s="58" t="n"/>
      <c r="Q71" s="58" t="n"/>
      <c r="R71" s="58" t="n"/>
      <c r="S71" s="58" t="n"/>
      <c r="T71" s="58" t="n"/>
      <c r="U71" s="58" t="n"/>
      <c r="V71" s="58" t="n"/>
      <c r="W71" s="58" t="n"/>
      <c r="X71" s="59" t="n"/>
    </row>
    <row r="72" ht="18.75" customHeight="1">
      <c r="B72" s="60" t="inlineStr">
        <is>
          <t>Outflow : 設備折舊</t>
        </is>
      </c>
      <c r="C72" s="53" t="n"/>
      <c r="D72" s="61">
        <f>$C$44/$E$16</f>
        <v/>
      </c>
      <c r="E72" s="61">
        <f>$C$44/$E$16</f>
        <v/>
      </c>
      <c r="F72" s="61">
        <f>$C$44/$E$16</f>
        <v/>
      </c>
      <c r="G72" s="61">
        <f>$C$44/$E$16</f>
        <v/>
      </c>
      <c r="H72" s="61">
        <f>$C$44/$E$16</f>
        <v/>
      </c>
      <c r="I72" s="61">
        <f>$C$44/$E$16</f>
        <v/>
      </c>
      <c r="J72" s="61">
        <f>$C$44/$E$16</f>
        <v/>
      </c>
      <c r="K72" s="61">
        <f>$C$44/$E$16</f>
        <v/>
      </c>
      <c r="L72" s="61">
        <f>$C$44/$E$16</f>
        <v/>
      </c>
      <c r="M72" s="61">
        <f>$C$44/$E$16</f>
        <v/>
      </c>
      <c r="N72" s="61">
        <f>$C$44/$E$16</f>
        <v/>
      </c>
      <c r="O72" s="61">
        <f>$C$44/$E$16</f>
        <v/>
      </c>
      <c r="P72" s="61">
        <f>$C$44/$E$16</f>
        <v/>
      </c>
      <c r="Q72" s="61">
        <f>$C$44/$E$16</f>
        <v/>
      </c>
      <c r="R72" s="61">
        <f>$C$44/$E$16</f>
        <v/>
      </c>
      <c r="S72" s="61">
        <f>$C$44/$E$16</f>
        <v/>
      </c>
      <c r="T72" s="61">
        <f>$C$44/$E$16</f>
        <v/>
      </c>
      <c r="U72" s="61">
        <f>$C$44/$E$16</f>
        <v/>
      </c>
      <c r="V72" s="61">
        <f>$C$44/$E$16</f>
        <v/>
      </c>
      <c r="W72" s="61">
        <f>$C$44/$E$16</f>
        <v/>
      </c>
      <c r="X72" s="55" t="n"/>
    </row>
    <row r="73" ht="18.75" customHeight="1">
      <c r="B73" s="60" t="inlineStr">
        <is>
          <t>Outflow : 設備放置區域租金</t>
        </is>
      </c>
      <c r="C73" s="53" t="inlineStr">
        <is>
          <t>-</t>
        </is>
      </c>
      <c r="D73" s="54">
        <f>D45</f>
        <v/>
      </c>
      <c r="E73" s="54">
        <f>E45</f>
        <v/>
      </c>
      <c r="F73" s="54">
        <f>F45</f>
        <v/>
      </c>
      <c r="G73" s="54">
        <f>G45</f>
        <v/>
      </c>
      <c r="H73" s="54">
        <f>H45</f>
        <v/>
      </c>
      <c r="I73" s="54">
        <f>I45</f>
        <v/>
      </c>
      <c r="J73" s="54">
        <f>J45</f>
        <v/>
      </c>
      <c r="K73" s="54">
        <f>K45</f>
        <v/>
      </c>
      <c r="L73" s="54">
        <f>L45</f>
        <v/>
      </c>
      <c r="M73" s="54">
        <f>M45</f>
        <v/>
      </c>
      <c r="N73" s="54">
        <f>N45</f>
        <v/>
      </c>
      <c r="O73" s="54">
        <f>O45</f>
        <v/>
      </c>
      <c r="P73" s="54">
        <f>P45</f>
        <v/>
      </c>
      <c r="Q73" s="54">
        <f>Q45</f>
        <v/>
      </c>
      <c r="R73" s="54">
        <f>R45</f>
        <v/>
      </c>
      <c r="S73" s="54">
        <f>S45</f>
        <v/>
      </c>
      <c r="T73" s="54">
        <f>T45</f>
        <v/>
      </c>
      <c r="U73" s="54">
        <f>U45</f>
        <v/>
      </c>
      <c r="V73" s="54">
        <f>V45</f>
        <v/>
      </c>
      <c r="W73" s="54">
        <f>W45</f>
        <v/>
      </c>
      <c r="X73" s="55" t="n"/>
    </row>
    <row r="74" ht="18.75" customHeight="1">
      <c r="B74" s="60" t="inlineStr">
        <is>
          <t>Outflow : 返還借款</t>
        </is>
      </c>
      <c r="C74" s="53" t="n"/>
      <c r="D74" s="54" t="n"/>
      <c r="E74" s="54" t="n"/>
      <c r="F74" s="54" t="n"/>
      <c r="G74" s="54" t="n"/>
      <c r="H74" s="54" t="n"/>
      <c r="I74" s="54" t="n"/>
      <c r="J74" s="54" t="n"/>
      <c r="K74" s="54" t="n"/>
      <c r="L74" s="54" t="n"/>
      <c r="M74" s="54" t="n"/>
      <c r="N74" s="54" t="n"/>
      <c r="O74" s="54" t="n"/>
      <c r="P74" s="54" t="n"/>
      <c r="Q74" s="54" t="n"/>
      <c r="R74" s="54" t="n"/>
      <c r="S74" s="54" t="n"/>
      <c r="T74" s="54" t="n"/>
      <c r="U74" s="54" t="n"/>
      <c r="V74" s="54" t="n"/>
      <c r="W74" s="54" t="n"/>
      <c r="X74" s="55" t="n"/>
    </row>
    <row r="75" ht="18.75" customHeight="1">
      <c r="B75" s="60" t="inlineStr">
        <is>
          <t>Outflow : 利息費用</t>
        </is>
      </c>
      <c r="C75" s="53" t="inlineStr">
        <is>
          <t>-</t>
        </is>
      </c>
      <c r="D75" s="54" t="n">
        <v>-308070.6342</v>
      </c>
      <c r="E75" s="54" t="n">
        <v>-287532.59192</v>
      </c>
      <c r="F75" s="54" t="n">
        <v>-266994.54964</v>
      </c>
      <c r="G75" s="54" t="n">
        <v>-246456.50736</v>
      </c>
      <c r="H75" s="54" t="n">
        <v>-225918.46508</v>
      </c>
      <c r="I75" s="54" t="n">
        <v>-205380.4228</v>
      </c>
      <c r="J75" s="54" t="n">
        <v>-184842.38052</v>
      </c>
      <c r="K75" s="54" t="n">
        <v>-164304.33824</v>
      </c>
      <c r="L75" s="54" t="n">
        <v>-143766.29596</v>
      </c>
      <c r="M75" s="54" t="n">
        <v>-123228.25368</v>
      </c>
      <c r="N75" s="54" t="n">
        <v>-102690.2114</v>
      </c>
      <c r="O75" s="54" t="n">
        <v>-82152.16912000001</v>
      </c>
      <c r="P75" s="54" t="n">
        <v>-61614.12684</v>
      </c>
      <c r="Q75" s="54" t="n">
        <v>-41076.08456</v>
      </c>
      <c r="R75" s="54" t="n">
        <v>-20538.04228</v>
      </c>
      <c r="S75" s="54" t="n">
        <v>0</v>
      </c>
      <c r="T75" s="54" t="n">
        <v>0</v>
      </c>
      <c r="U75" s="54" t="n">
        <v>0</v>
      </c>
      <c r="V75" s="54" t="n">
        <v>0</v>
      </c>
      <c r="W75" s="54" t="n">
        <v>0</v>
      </c>
      <c r="X75" s="55" t="n"/>
    </row>
    <row r="76" ht="18.75" customHeight="1">
      <c r="B76" s="60" t="inlineStr">
        <is>
          <t>Outflow : 維運費</t>
        </is>
      </c>
      <c r="C76" s="53" t="inlineStr">
        <is>
          <t>-</t>
        </is>
      </c>
      <c r="D76" s="54">
        <f>D48</f>
        <v/>
      </c>
      <c r="E76" s="54">
        <f>E48</f>
        <v/>
      </c>
      <c r="F76" s="54">
        <f>F48</f>
        <v/>
      </c>
      <c r="G76" s="54">
        <f>G48</f>
        <v/>
      </c>
      <c r="H76" s="54">
        <f>H48</f>
        <v/>
      </c>
      <c r="I76" s="54">
        <f>I48</f>
        <v/>
      </c>
      <c r="J76" s="54">
        <f>J48</f>
        <v/>
      </c>
      <c r="K76" s="54">
        <f>K48</f>
        <v/>
      </c>
      <c r="L76" s="54">
        <f>L48</f>
        <v/>
      </c>
      <c r="M76" s="54">
        <f>M48</f>
        <v/>
      </c>
      <c r="N76" s="54">
        <f>N48</f>
        <v/>
      </c>
      <c r="O76" s="54">
        <f>O48</f>
        <v/>
      </c>
      <c r="P76" s="54">
        <f>P48</f>
        <v/>
      </c>
      <c r="Q76" s="54">
        <f>Q48</f>
        <v/>
      </c>
      <c r="R76" s="54">
        <f>R48</f>
        <v/>
      </c>
      <c r="S76" s="54">
        <f>S48</f>
        <v/>
      </c>
      <c r="T76" s="54">
        <f>T48</f>
        <v/>
      </c>
      <c r="U76" s="54">
        <f>U48</f>
        <v/>
      </c>
      <c r="V76" s="54">
        <f>V48</f>
        <v/>
      </c>
      <c r="W76" s="54">
        <f>W48</f>
        <v/>
      </c>
      <c r="X76" s="55" t="n"/>
    </row>
    <row r="77" ht="18.75" customHeight="1">
      <c r="B77" s="60" t="inlineStr">
        <is>
          <t>Outflow : 保險費</t>
        </is>
      </c>
      <c r="C77" s="53" t="inlineStr">
        <is>
          <t>-</t>
        </is>
      </c>
      <c r="D77" s="54">
        <f>D49</f>
        <v/>
      </c>
      <c r="E77" s="54">
        <f>E49</f>
        <v/>
      </c>
      <c r="F77" s="54">
        <f>F49</f>
        <v/>
      </c>
      <c r="G77" s="54">
        <f>G49</f>
        <v/>
      </c>
      <c r="H77" s="54">
        <f>H49</f>
        <v/>
      </c>
      <c r="I77" s="54">
        <f>I49</f>
        <v/>
      </c>
      <c r="J77" s="54">
        <f>J49</f>
        <v/>
      </c>
      <c r="K77" s="54">
        <f>K49</f>
        <v/>
      </c>
      <c r="L77" s="54">
        <f>L49</f>
        <v/>
      </c>
      <c r="M77" s="54">
        <f>M49</f>
        <v/>
      </c>
      <c r="N77" s="54">
        <f>N49</f>
        <v/>
      </c>
      <c r="O77" s="54">
        <f>O49</f>
        <v/>
      </c>
      <c r="P77" s="54">
        <f>P49</f>
        <v/>
      </c>
      <c r="Q77" s="54">
        <f>Q49</f>
        <v/>
      </c>
      <c r="R77" s="54">
        <f>R49</f>
        <v/>
      </c>
      <c r="S77" s="54">
        <f>S49</f>
        <v/>
      </c>
      <c r="T77" s="54">
        <f>T49</f>
        <v/>
      </c>
      <c r="U77" s="54">
        <f>U49</f>
        <v/>
      </c>
      <c r="V77" s="54">
        <f>V49</f>
        <v/>
      </c>
      <c r="W77" s="54">
        <f>W49</f>
        <v/>
      </c>
      <c r="X77" s="55" t="n"/>
    </row>
    <row r="78" ht="18.75" customHeight="1">
      <c r="B78" s="60" t="inlineStr">
        <is>
          <t>Outflow : 模組回收費</t>
        </is>
      </c>
      <c r="C78" s="53" t="n"/>
      <c r="D78" s="54">
        <f>D50</f>
        <v/>
      </c>
      <c r="E78" s="54">
        <f>E50</f>
        <v/>
      </c>
      <c r="F78" s="54">
        <f>F50</f>
        <v/>
      </c>
      <c r="G78" s="54">
        <f>G50</f>
        <v/>
      </c>
      <c r="H78" s="54">
        <f>H50</f>
        <v/>
      </c>
      <c r="I78" s="54">
        <f>I50</f>
        <v/>
      </c>
      <c r="J78" s="54">
        <f>J50</f>
        <v/>
      </c>
      <c r="K78" s="54">
        <f>K50</f>
        <v/>
      </c>
      <c r="L78" s="54">
        <f>L50</f>
        <v/>
      </c>
      <c r="M78" s="54">
        <f>M50</f>
        <v/>
      </c>
      <c r="N78" s="54">
        <f>N50</f>
        <v/>
      </c>
      <c r="O78" s="54">
        <f>O50</f>
        <v/>
      </c>
      <c r="P78" s="54">
        <f>P50</f>
        <v/>
      </c>
      <c r="Q78" s="54">
        <f>Q50</f>
        <v/>
      </c>
      <c r="R78" s="54">
        <f>R50</f>
        <v/>
      </c>
      <c r="S78" s="54">
        <f>S50</f>
        <v/>
      </c>
      <c r="T78" s="54">
        <f>T50</f>
        <v/>
      </c>
      <c r="U78" s="54">
        <f>U50</f>
        <v/>
      </c>
      <c r="V78" s="54">
        <f>V50</f>
        <v/>
      </c>
      <c r="W78" s="54">
        <f>W50</f>
        <v/>
      </c>
      <c r="X78" s="55" t="n"/>
    </row>
    <row r="79" ht="18.75" customHeight="1">
      <c r="B79" s="60" t="inlineStr">
        <is>
          <t>Outflow : 其它費用(人事薪資…等)</t>
        </is>
      </c>
      <c r="C79" s="62" t="n"/>
      <c r="D79" s="63" t="n"/>
      <c r="E79" s="64" t="n"/>
      <c r="F79" s="54" t="n"/>
      <c r="G79" s="54" t="n"/>
      <c r="H79" s="54" t="n"/>
      <c r="I79" s="54" t="n"/>
      <c r="J79" s="54" t="n"/>
      <c r="K79" s="54" t="n"/>
      <c r="L79" s="54" t="n"/>
      <c r="M79" s="54" t="n"/>
      <c r="N79" s="54" t="n"/>
      <c r="O79" s="54" t="n"/>
      <c r="P79" s="54" t="n"/>
      <c r="Q79" s="54" t="n"/>
      <c r="R79" s="54" t="n"/>
      <c r="S79" s="54" t="n"/>
      <c r="T79" s="54" t="n"/>
      <c r="U79" s="54" t="n"/>
      <c r="V79" s="54" t="n"/>
      <c r="W79" s="54" t="n"/>
      <c r="X79" s="55" t="n"/>
    </row>
    <row r="80" ht="18.75" customHeight="1">
      <c r="B80" s="60" t="inlineStr">
        <is>
          <t>1%管理費</t>
        </is>
      </c>
      <c r="C80" s="62" t="n"/>
      <c r="D80" s="54" t="n"/>
      <c r="E80" s="54" t="n"/>
      <c r="F80" s="54" t="n"/>
      <c r="G80" s="54" t="n"/>
      <c r="H80" s="54" t="n"/>
      <c r="I80" s="54" t="n"/>
      <c r="J80" s="54" t="n"/>
      <c r="K80" s="54" t="n"/>
      <c r="L80" s="54" t="n"/>
      <c r="M80" s="54" t="n"/>
      <c r="N80" s="54" t="n"/>
      <c r="O80" s="54" t="n"/>
      <c r="P80" s="54" t="n"/>
      <c r="Q80" s="54" t="n"/>
      <c r="R80" s="54" t="n"/>
      <c r="S80" s="54" t="n"/>
      <c r="T80" s="54" t="n"/>
      <c r="U80" s="54" t="n"/>
      <c r="V80" s="54" t="n"/>
      <c r="W80" s="54" t="n"/>
      <c r="X80" s="55" t="n"/>
    </row>
    <row r="81" ht="18.75" customHeight="1">
      <c r="B81" s="67" t="inlineStr">
        <is>
          <t>稅前淨利</t>
        </is>
      </c>
      <c r="C81" s="101" t="n"/>
      <c r="D81" s="69">
        <f>SUM(D69:D80)</f>
        <v/>
      </c>
      <c r="E81" s="69">
        <f>SUM(E69:E80)</f>
        <v/>
      </c>
      <c r="F81" s="69">
        <f>SUM(F69:F80)</f>
        <v/>
      </c>
      <c r="G81" s="69">
        <f>SUM(G69:G80)</f>
        <v/>
      </c>
      <c r="H81" s="69">
        <f>SUM(H69:H80)</f>
        <v/>
      </c>
      <c r="I81" s="69">
        <f>SUM(I69:I80)</f>
        <v/>
      </c>
      <c r="J81" s="69">
        <f>SUM(J69:J80)</f>
        <v/>
      </c>
      <c r="K81" s="69">
        <f>SUM(K69:K80)</f>
        <v/>
      </c>
      <c r="L81" s="69">
        <f>SUM(L69:L80)</f>
        <v/>
      </c>
      <c r="M81" s="69">
        <f>SUM(M69:M80)</f>
        <v/>
      </c>
      <c r="N81" s="69">
        <f>SUM(N69:N80)</f>
        <v/>
      </c>
      <c r="O81" s="69">
        <f>SUM(O69:O80)</f>
        <v/>
      </c>
      <c r="P81" s="69">
        <f>SUM(P69:P80)</f>
        <v/>
      </c>
      <c r="Q81" s="69">
        <f>SUM(Q69:Q80)</f>
        <v/>
      </c>
      <c r="R81" s="69">
        <f>SUM(R69:R80)</f>
        <v/>
      </c>
      <c r="S81" s="69">
        <f>SUM(S69:S80)</f>
        <v/>
      </c>
      <c r="T81" s="69">
        <f>SUM(T69:T80)</f>
        <v/>
      </c>
      <c r="U81" s="69">
        <f>SUM(U69:U80)</f>
        <v/>
      </c>
      <c r="V81" s="69">
        <f>SUM(V69:V80)</f>
        <v/>
      </c>
      <c r="W81" s="69">
        <f>SUM(W69:W80)</f>
        <v/>
      </c>
      <c r="X81" s="69">
        <f>SUM(X69:X80)</f>
        <v/>
      </c>
    </row>
    <row r="82" ht="18.75" customHeight="1">
      <c r="B82" s="65" t="inlineStr">
        <is>
          <t>所得稅20%</t>
        </is>
      </c>
      <c r="C82" s="62" t="n"/>
      <c r="D82" s="54">
        <f>-D81*0.2</f>
        <v/>
      </c>
      <c r="E82" s="54">
        <f>-E81*0.2</f>
        <v/>
      </c>
      <c r="F82" s="54">
        <f>-F81*0.2</f>
        <v/>
      </c>
      <c r="G82" s="54">
        <f>-G81*0.2</f>
        <v/>
      </c>
      <c r="H82" s="54">
        <f>-H81*0.2</f>
        <v/>
      </c>
      <c r="I82" s="54">
        <f>-I81*0.2</f>
        <v/>
      </c>
      <c r="J82" s="54">
        <f>-J81*0.2</f>
        <v/>
      </c>
      <c r="K82" s="54">
        <f>-K81*0.2</f>
        <v/>
      </c>
      <c r="L82" s="54">
        <f>-L81*0.2</f>
        <v/>
      </c>
      <c r="M82" s="54">
        <f>-M81*0.2</f>
        <v/>
      </c>
      <c r="N82" s="54">
        <f>-N81*0.2</f>
        <v/>
      </c>
      <c r="O82" s="54">
        <f>-O81*0.2</f>
        <v/>
      </c>
      <c r="P82" s="54">
        <f>-P81*0.2</f>
        <v/>
      </c>
      <c r="Q82" s="54">
        <f>-Q81*0.2</f>
        <v/>
      </c>
      <c r="R82" s="54">
        <f>-R81*0.2</f>
        <v/>
      </c>
      <c r="S82" s="54">
        <f>-S81*0.2</f>
        <v/>
      </c>
      <c r="T82" s="54">
        <f>-T81*0.2</f>
        <v/>
      </c>
      <c r="U82" s="54">
        <f>-U81*0.2</f>
        <v/>
      </c>
      <c r="V82" s="54">
        <f>-V81*0.2</f>
        <v/>
      </c>
      <c r="W82" s="54">
        <f>-W81*0.2</f>
        <v/>
      </c>
      <c r="X82" s="54">
        <f>-X81*0.2</f>
        <v/>
      </c>
    </row>
    <row r="83">
      <c r="B83" s="102" t="inlineStr">
        <is>
          <t>稅後淨利</t>
        </is>
      </c>
      <c r="D83" s="54">
        <f>SUM(D81:D82)</f>
        <v/>
      </c>
      <c r="E83" s="54">
        <f>SUM(E81:E82)</f>
        <v/>
      </c>
      <c r="F83" s="54">
        <f>SUM(F81:F82)</f>
        <v/>
      </c>
      <c r="G83" s="54">
        <f>SUM(G81:G82)</f>
        <v/>
      </c>
      <c r="H83" s="54">
        <f>SUM(H81:H82)</f>
        <v/>
      </c>
      <c r="I83" s="54">
        <f>SUM(I81:I82)</f>
        <v/>
      </c>
      <c r="J83" s="54">
        <f>SUM(J81:J82)</f>
        <v/>
      </c>
      <c r="K83" s="54">
        <f>SUM(K81:K82)</f>
        <v/>
      </c>
      <c r="L83" s="54">
        <f>SUM(L81:L82)</f>
        <v/>
      </c>
      <c r="M83" s="54">
        <f>SUM(M81:M82)</f>
        <v/>
      </c>
      <c r="N83" s="54">
        <f>SUM(N81:N82)</f>
        <v/>
      </c>
      <c r="O83" s="54">
        <f>SUM(O81:O82)</f>
        <v/>
      </c>
      <c r="P83" s="54">
        <f>SUM(P81:P82)</f>
        <v/>
      </c>
      <c r="Q83" s="54">
        <f>SUM(Q81:Q82)</f>
        <v/>
      </c>
      <c r="R83" s="54">
        <f>SUM(R81:R82)</f>
        <v/>
      </c>
      <c r="S83" s="54">
        <f>SUM(S81:S82)</f>
        <v/>
      </c>
      <c r="T83" s="54">
        <f>SUM(T81:T82)</f>
        <v/>
      </c>
      <c r="U83" s="54">
        <f>SUM(U81:U82)</f>
        <v/>
      </c>
      <c r="V83" s="54">
        <f>SUM(V81:V82)</f>
        <v/>
      </c>
      <c r="W83" s="54">
        <f>SUM(W81:W82)</f>
        <v/>
      </c>
      <c r="X83" s="54">
        <f>SUM(X81:X82)</f>
        <v/>
      </c>
    </row>
    <row r="84" ht="18.75" customHeight="1">
      <c r="B84" s="72" t="inlineStr">
        <is>
          <t>累計現金流</t>
        </is>
      </c>
      <c r="C84" s="68" t="n"/>
      <c r="D84" s="73" t="n"/>
      <c r="E84" s="73" t="n"/>
      <c r="F84" s="73" t="n"/>
      <c r="G84" s="73" t="n"/>
      <c r="H84" s="73" t="n"/>
      <c r="I84" s="73" t="n"/>
      <c r="J84" s="73" t="n"/>
      <c r="K84" s="73" t="n"/>
      <c r="L84" s="73" t="n"/>
      <c r="M84" s="73" t="n"/>
      <c r="N84" s="73" t="n"/>
      <c r="O84" s="73" t="n"/>
      <c r="P84" s="73" t="n"/>
      <c r="Q84" s="73" t="n"/>
      <c r="R84" s="73" t="n"/>
      <c r="S84" s="73" t="n"/>
      <c r="T84" s="73" t="n"/>
      <c r="U84" s="73" t="n"/>
      <c r="V84" s="73" t="n"/>
      <c r="W84" s="73" t="n"/>
      <c r="X84" s="103" t="n"/>
    </row>
    <row r="85" ht="18.75" customHeight="1">
      <c r="B85" s="104" t="inlineStr">
        <is>
          <t>回收年限評估</t>
        </is>
      </c>
      <c r="C85" s="105" t="n"/>
      <c r="D85" s="106" t="n"/>
      <c r="E85" s="106" t="n"/>
      <c r="F85" s="106" t="n"/>
      <c r="G85" s="106" t="n"/>
      <c r="H85" s="106" t="n"/>
      <c r="I85" s="106" t="n"/>
      <c r="J85" s="106" t="n"/>
      <c r="K85" s="106" t="n"/>
      <c r="L85" s="106" t="n"/>
      <c r="M85" s="106" t="n"/>
      <c r="N85" s="106" t="n"/>
      <c r="O85" s="106" t="n"/>
      <c r="P85" s="106" t="n"/>
      <c r="Q85" s="106" t="n"/>
      <c r="R85" s="106" t="n"/>
      <c r="S85" s="106" t="n"/>
      <c r="T85" s="106" t="n"/>
      <c r="U85" s="106" t="n"/>
      <c r="V85" s="106" t="n"/>
      <c r="W85" s="106" t="n"/>
      <c r="X85" s="107" t="n"/>
    </row>
    <row r="86" ht="18.75" customHeight="1">
      <c r="B86" s="96" t="n"/>
      <c r="C86" s="95" t="n"/>
      <c r="D86" s="95" t="n"/>
      <c r="E86" s="95" t="n"/>
      <c r="F86" s="96" t="n"/>
      <c r="G86" s="96" t="n"/>
      <c r="H86" s="96" t="n"/>
      <c r="I86" s="96" t="n"/>
      <c r="J86" s="96" t="n"/>
      <c r="K86" s="96" t="n"/>
      <c r="L86" s="96" t="n"/>
      <c r="M86" s="95" t="n"/>
      <c r="N86" s="96" t="n"/>
      <c r="O86" s="96" t="n"/>
      <c r="P86" s="96" t="n"/>
      <c r="Q86" s="96" t="n"/>
      <c r="R86" s="96" t="n"/>
      <c r="S86" s="96" t="n"/>
      <c r="T86" s="96" t="n"/>
      <c r="U86" s="96" t="n"/>
      <c r="V86" s="96" t="n"/>
      <c r="W86" s="96" t="n"/>
      <c r="X86" s="96" t="n"/>
    </row>
    <row r="87" ht="18.75" customHeight="1">
      <c r="C87" s="108" t="inlineStr">
        <is>
          <t>年份</t>
        </is>
      </c>
      <c r="D87" s="109">
        <f>D37</f>
        <v/>
      </c>
      <c r="E87" s="109">
        <f>E37</f>
        <v/>
      </c>
      <c r="F87" s="109">
        <f>F37</f>
        <v/>
      </c>
      <c r="G87" s="109">
        <f>G37</f>
        <v/>
      </c>
      <c r="H87" s="109">
        <f>H37</f>
        <v/>
      </c>
      <c r="I87" s="109">
        <f>I37</f>
        <v/>
      </c>
      <c r="J87" s="109">
        <f>J37</f>
        <v/>
      </c>
      <c r="K87" s="109">
        <f>K37</f>
        <v/>
      </c>
      <c r="L87" s="109">
        <f>L37</f>
        <v/>
      </c>
      <c r="M87" s="109">
        <f>M37</f>
        <v/>
      </c>
      <c r="N87" s="109">
        <f>N37</f>
        <v/>
      </c>
      <c r="O87" s="109">
        <f>O37</f>
        <v/>
      </c>
      <c r="P87" s="109">
        <f>P37</f>
        <v/>
      </c>
      <c r="Q87" s="109">
        <f>Q37</f>
        <v/>
      </c>
      <c r="R87" s="109">
        <f>R37</f>
        <v/>
      </c>
      <c r="S87" s="109">
        <f>S37</f>
        <v/>
      </c>
      <c r="T87" s="109">
        <f>T37</f>
        <v/>
      </c>
      <c r="U87" s="109">
        <f>U37</f>
        <v/>
      </c>
      <c r="V87" s="109">
        <f>V37</f>
        <v/>
      </c>
      <c r="W87" s="109">
        <f>W37</f>
        <v/>
      </c>
      <c r="X87" s="110" t="n"/>
    </row>
    <row r="88" ht="18.75" customHeight="1">
      <c r="X88" s="111" t="n"/>
    </row>
    <row r="89" ht="18.75" customHeight="1">
      <c r="B89" s="112" t="inlineStr">
        <is>
          <t>(Unit : Currency)</t>
        </is>
      </c>
      <c r="C89" s="112" t="n">
        <v>0</v>
      </c>
      <c r="D89" s="112" t="n">
        <v>1</v>
      </c>
      <c r="E89" s="112" t="n">
        <v>2</v>
      </c>
      <c r="F89" s="112" t="n">
        <v>3</v>
      </c>
      <c r="G89" s="112" t="n">
        <v>4</v>
      </c>
      <c r="H89" s="112" t="n">
        <v>5</v>
      </c>
      <c r="I89" s="112" t="n">
        <v>6</v>
      </c>
      <c r="J89" s="112" t="n">
        <v>7</v>
      </c>
      <c r="K89" s="112" t="n">
        <v>8</v>
      </c>
      <c r="L89" s="112" t="n">
        <v>9</v>
      </c>
      <c r="M89" s="112" t="n">
        <v>10</v>
      </c>
      <c r="N89" s="112" t="n">
        <v>11</v>
      </c>
      <c r="O89" s="112" t="n">
        <v>12</v>
      </c>
      <c r="P89" s="112" t="n">
        <v>13</v>
      </c>
      <c r="Q89" s="112" t="n">
        <v>14</v>
      </c>
      <c r="R89" s="112" t="n">
        <v>15</v>
      </c>
      <c r="S89" s="112" t="n">
        <v>16</v>
      </c>
      <c r="T89" s="112" t="n">
        <v>17</v>
      </c>
      <c r="U89" s="112" t="n">
        <v>18</v>
      </c>
      <c r="V89" s="112" t="n">
        <v>19</v>
      </c>
      <c r="W89" s="112" t="n">
        <v>20</v>
      </c>
      <c r="X89" s="113" t="n"/>
    </row>
    <row r="90" ht="18.75" customHeight="1">
      <c r="B90" s="114" t="inlineStr">
        <is>
          <t>稅後淨利</t>
        </is>
      </c>
      <c r="C90" s="114" t="n"/>
      <c r="D90" s="115">
        <f>D83</f>
        <v/>
      </c>
      <c r="E90" s="115">
        <f>E83</f>
        <v/>
      </c>
      <c r="F90" s="115">
        <f>F83</f>
        <v/>
      </c>
      <c r="G90" s="115">
        <f>G83</f>
        <v/>
      </c>
      <c r="H90" s="115">
        <f>H83</f>
        <v/>
      </c>
      <c r="I90" s="115">
        <f>I83</f>
        <v/>
      </c>
      <c r="J90" s="115">
        <f>J83</f>
        <v/>
      </c>
      <c r="K90" s="115">
        <f>K83</f>
        <v/>
      </c>
      <c r="L90" s="115">
        <f>L83</f>
        <v/>
      </c>
      <c r="M90" s="115">
        <f>M83</f>
        <v/>
      </c>
      <c r="N90" s="115">
        <f>N83</f>
        <v/>
      </c>
      <c r="O90" s="115">
        <f>O83</f>
        <v/>
      </c>
      <c r="P90" s="115">
        <f>P83</f>
        <v/>
      </c>
      <c r="Q90" s="115">
        <f>Q83</f>
        <v/>
      </c>
      <c r="R90" s="115">
        <f>R83</f>
        <v/>
      </c>
      <c r="S90" s="115">
        <f>S83</f>
        <v/>
      </c>
      <c r="T90" s="115">
        <f>T83</f>
        <v/>
      </c>
      <c r="U90" s="115">
        <f>U83</f>
        <v/>
      </c>
      <c r="V90" s="115">
        <f>V83</f>
        <v/>
      </c>
      <c r="W90" s="115">
        <f>W83</f>
        <v/>
      </c>
      <c r="X90" s="114" t="n"/>
      <c r="Y90" s="114" t="n"/>
    </row>
    <row r="91">
      <c r="B91" s="114" t="inlineStr">
        <is>
          <t>設備折舊</t>
        </is>
      </c>
      <c r="C91" s="114" t="n"/>
      <c r="D91" s="116">
        <f>-D72</f>
        <v/>
      </c>
      <c r="E91" s="116">
        <f>-E72</f>
        <v/>
      </c>
      <c r="F91" s="116">
        <f>-F72</f>
        <v/>
      </c>
      <c r="G91" s="116">
        <f>-G72</f>
        <v/>
      </c>
      <c r="H91" s="116">
        <f>-H72</f>
        <v/>
      </c>
      <c r="I91" s="116">
        <f>-I72</f>
        <v/>
      </c>
      <c r="J91" s="116">
        <f>-J72</f>
        <v/>
      </c>
      <c r="K91" s="116">
        <f>-K72</f>
        <v/>
      </c>
      <c r="L91" s="116">
        <f>-L72</f>
        <v/>
      </c>
      <c r="M91" s="116">
        <f>-M72</f>
        <v/>
      </c>
      <c r="N91" s="116">
        <f>-N72</f>
        <v/>
      </c>
      <c r="O91" s="116">
        <f>-O72</f>
        <v/>
      </c>
      <c r="P91" s="116">
        <f>-P72</f>
        <v/>
      </c>
      <c r="Q91" s="116">
        <f>-Q72</f>
        <v/>
      </c>
      <c r="R91" s="116">
        <f>-R72</f>
        <v/>
      </c>
      <c r="S91" s="116">
        <f>-S72</f>
        <v/>
      </c>
      <c r="T91" s="116">
        <f>-T72</f>
        <v/>
      </c>
      <c r="U91" s="116">
        <f>-U72</f>
        <v/>
      </c>
      <c r="V91" s="116">
        <f>-V72</f>
        <v/>
      </c>
      <c r="W91" s="116">
        <f>-W72</f>
        <v/>
      </c>
      <c r="X91" s="77" t="n"/>
    </row>
    <row r="92">
      <c r="B92" s="114" t="inlineStr">
        <is>
          <t>營運活動現金流量</t>
        </is>
      </c>
      <c r="C92" s="114" t="n"/>
      <c r="D92" s="117">
        <f>SUM(D90:D91)</f>
        <v/>
      </c>
      <c r="E92" s="117">
        <f>SUM(E90:E91)</f>
        <v/>
      </c>
      <c r="F92" s="117">
        <f>SUM(F90:F91)</f>
        <v/>
      </c>
      <c r="G92" s="117">
        <f>SUM(G90:G91)</f>
        <v/>
      </c>
      <c r="H92" s="117">
        <f>SUM(H90:H91)</f>
        <v/>
      </c>
      <c r="I92" s="117">
        <f>SUM(I90:I91)</f>
        <v/>
      </c>
      <c r="J92" s="117">
        <f>SUM(J90:J91)</f>
        <v/>
      </c>
      <c r="K92" s="117">
        <f>SUM(K90:K91)</f>
        <v/>
      </c>
      <c r="L92" s="117">
        <f>SUM(L90:L91)</f>
        <v/>
      </c>
      <c r="M92" s="117">
        <f>SUM(M90:M91)</f>
        <v/>
      </c>
      <c r="N92" s="117">
        <f>SUM(N90:N91)</f>
        <v/>
      </c>
      <c r="O92" s="117">
        <f>SUM(O90:O91)</f>
        <v/>
      </c>
      <c r="P92" s="117">
        <f>SUM(P90:P91)</f>
        <v/>
      </c>
      <c r="Q92" s="117">
        <f>SUM(Q90:Q91)</f>
        <v/>
      </c>
      <c r="R92" s="117">
        <f>SUM(R90:R91)</f>
        <v/>
      </c>
      <c r="S92" s="117">
        <f>SUM(S90:S91)</f>
        <v/>
      </c>
      <c r="T92" s="117">
        <f>SUM(T90:T91)</f>
        <v/>
      </c>
      <c r="U92" s="117">
        <f>SUM(U90:U91)</f>
        <v/>
      </c>
      <c r="V92" s="117">
        <f>SUM(V90:V91)</f>
        <v/>
      </c>
      <c r="W92" s="117">
        <f>SUM(W90:W91)</f>
        <v/>
      </c>
      <c r="X92" s="118" t="n"/>
    </row>
    <row r="93">
      <c r="B93" s="114" t="n"/>
      <c r="C93" s="114" t="n"/>
      <c r="D93" s="114" t="n"/>
      <c r="E93" s="114" t="n"/>
      <c r="F93" s="119" t="n"/>
      <c r="G93" s="119" t="n"/>
      <c r="H93" s="119" t="n"/>
      <c r="I93" s="119" t="n"/>
      <c r="J93" s="119" t="n"/>
      <c r="K93" s="119" t="n"/>
      <c r="L93" s="119" t="n"/>
      <c r="M93" s="119" t="n"/>
      <c r="N93" s="119" t="n"/>
      <c r="O93" s="119" t="n"/>
      <c r="P93" s="119" t="n"/>
      <c r="Q93" s="119" t="n"/>
      <c r="R93" s="119" t="n"/>
      <c r="S93" s="119" t="n"/>
      <c r="T93" s="119" t="n"/>
      <c r="U93" s="119" t="n"/>
      <c r="V93" s="119" t="n"/>
      <c r="W93" s="119" t="n"/>
      <c r="X93" s="120" t="n"/>
    </row>
    <row r="94">
      <c r="B94" s="121" t="inlineStr">
        <is>
          <t>投資活動-設備支出</t>
        </is>
      </c>
      <c r="C94" s="122" t="n"/>
      <c r="D94" s="123">
        <f>C44</f>
        <v/>
      </c>
      <c r="E94" s="122" t="n"/>
      <c r="F94" s="122" t="n"/>
      <c r="G94" s="122" t="n"/>
      <c r="H94" s="122" t="n"/>
      <c r="I94" s="122" t="n"/>
      <c r="J94" s="122" t="n"/>
      <c r="K94" s="122" t="n"/>
      <c r="L94" s="122" t="n"/>
      <c r="M94" s="122" t="n"/>
      <c r="N94" s="122" t="n"/>
      <c r="O94" s="122" t="n"/>
      <c r="P94" s="122" t="n"/>
      <c r="Q94" s="122" t="n"/>
      <c r="R94" s="122" t="n"/>
      <c r="S94" s="122" t="n"/>
      <c r="T94" s="122" t="n"/>
      <c r="U94" s="122" t="n"/>
      <c r="V94" s="122" t="n"/>
      <c r="W94" s="122" t="n"/>
      <c r="X94" s="77" t="n"/>
    </row>
    <row r="95">
      <c r="B95" s="114" t="n"/>
      <c r="C95" s="114" t="n"/>
      <c r="D95" s="114" t="n"/>
      <c r="E95" s="114" t="n"/>
      <c r="F95" s="119" t="n"/>
      <c r="G95" s="119" t="n"/>
      <c r="H95" s="119" t="n"/>
      <c r="I95" s="119" t="n"/>
      <c r="J95" s="119" t="n"/>
      <c r="K95" s="119" t="n"/>
      <c r="L95" s="119" t="n"/>
      <c r="M95" s="119" t="n"/>
      <c r="N95" s="119" t="n"/>
      <c r="O95" s="119" t="n"/>
      <c r="P95" s="119" t="n"/>
      <c r="Q95" s="119" t="n"/>
      <c r="R95" s="119" t="n"/>
      <c r="S95" s="119" t="n"/>
      <c r="T95" s="119" t="n"/>
      <c r="U95" s="119" t="n"/>
      <c r="V95" s="119" t="n"/>
      <c r="W95" s="119" t="n"/>
      <c r="X95" s="120" t="n"/>
    </row>
    <row r="96">
      <c r="B96" s="114" t="n"/>
      <c r="C96" s="114" t="n"/>
      <c r="D96" s="114" t="n"/>
      <c r="E96" s="114" t="n"/>
      <c r="F96" s="119" t="n"/>
      <c r="G96" s="119" t="n"/>
      <c r="H96" s="119" t="n"/>
      <c r="I96" s="119" t="n"/>
      <c r="J96" s="119" t="n"/>
      <c r="K96" s="119" t="n"/>
      <c r="L96" s="119" t="n"/>
      <c r="M96" s="119" t="n"/>
      <c r="N96" s="119" t="n"/>
      <c r="O96" s="119" t="n"/>
      <c r="P96" s="119" t="n"/>
      <c r="Q96" s="119" t="n"/>
      <c r="R96" s="119" t="n"/>
      <c r="S96" s="119" t="n"/>
      <c r="T96" s="119" t="n"/>
      <c r="U96" s="119" t="n"/>
      <c r="V96" s="119" t="n"/>
      <c r="W96" s="119" t="n"/>
      <c r="X96" s="120" t="n"/>
    </row>
    <row r="97">
      <c r="B97" s="121" t="inlineStr">
        <is>
          <t>理財活動-借款</t>
        </is>
      </c>
      <c r="C97" s="122" t="n"/>
      <c r="D97" s="123">
        <f>-D94*D31</f>
        <v/>
      </c>
      <c r="E97" s="122" t="n"/>
      <c r="F97" s="122" t="n"/>
      <c r="G97" s="122" t="n"/>
      <c r="H97" s="122" t="n"/>
      <c r="I97" s="122" t="n"/>
      <c r="J97" s="122" t="n"/>
      <c r="K97" s="122" t="n"/>
      <c r="L97" s="122" t="n"/>
      <c r="M97" s="122" t="n"/>
      <c r="N97" s="122" t="n"/>
      <c r="O97" s="122" t="n"/>
      <c r="P97" s="122" t="n"/>
      <c r="Q97" s="122" t="n"/>
      <c r="R97" s="122" t="n"/>
      <c r="S97" s="122" t="n"/>
      <c r="T97" s="122" t="n"/>
      <c r="U97" s="122" t="n"/>
      <c r="V97" s="122" t="n"/>
      <c r="W97" s="122" t="n"/>
      <c r="X97" s="120" t="n"/>
    </row>
    <row r="98">
      <c r="B98" s="114" t="inlineStr">
        <is>
          <t>理財活動-還款</t>
        </is>
      </c>
      <c r="C98" s="114" t="n"/>
      <c r="D98" s="114" t="n"/>
      <c r="E98" s="114" t="n">
        <v>-802424</v>
      </c>
      <c r="F98" s="114" t="n">
        <v>-802424</v>
      </c>
      <c r="G98" s="114" t="n">
        <v>-802424</v>
      </c>
      <c r="H98" s="114" t="n">
        <v>-802424</v>
      </c>
      <c r="I98" s="114" t="n">
        <v>-802424</v>
      </c>
      <c r="J98" s="114" t="n">
        <v>-802424</v>
      </c>
      <c r="K98" s="114" t="n">
        <v>-802424</v>
      </c>
      <c r="L98" s="114" t="n">
        <v>-802424</v>
      </c>
      <c r="M98" s="114" t="n">
        <v>-802424</v>
      </c>
      <c r="N98" s="114" t="n">
        <v>-802424</v>
      </c>
      <c r="O98" s="114" t="n">
        <v>-802424</v>
      </c>
      <c r="P98" s="114" t="n">
        <v>-802424</v>
      </c>
      <c r="Q98" s="114" t="n">
        <v>-802424</v>
      </c>
      <c r="R98" s="114" t="n">
        <v>-802424</v>
      </c>
      <c r="S98" s="114" t="n">
        <v>-802424</v>
      </c>
      <c r="T98" s="119" t="n">
        <v>0</v>
      </c>
      <c r="U98" s="119" t="n">
        <v>0</v>
      </c>
      <c r="V98" s="119" t="n">
        <v>0</v>
      </c>
      <c r="W98" s="119" t="n">
        <v>0</v>
      </c>
      <c r="X98" s="77" t="n"/>
    </row>
    <row r="99">
      <c r="B99" s="114" t="inlineStr">
        <is>
          <t>理財活動-現金增資</t>
        </is>
      </c>
      <c r="C99" s="119" t="n"/>
      <c r="D99" s="115">
        <f>-D94*(1-D31)</f>
        <v/>
      </c>
      <c r="E99" s="119" t="n"/>
      <c r="F99" s="119" t="n"/>
      <c r="G99" s="119" t="n"/>
      <c r="H99" s="119" t="n"/>
      <c r="I99" s="119" t="n"/>
      <c r="J99" s="119" t="n"/>
      <c r="K99" s="119" t="n"/>
      <c r="L99" s="119" t="n"/>
      <c r="M99" s="119" t="n"/>
      <c r="N99" s="119" t="n"/>
      <c r="O99" s="119" t="n"/>
      <c r="P99" s="119" t="n"/>
      <c r="Q99" s="119" t="n"/>
      <c r="R99" s="119" t="n"/>
      <c r="S99" s="119" t="n"/>
      <c r="T99" s="119" t="n"/>
      <c r="U99" s="119" t="n"/>
      <c r="V99" s="119" t="n"/>
      <c r="W99" s="119" t="n"/>
      <c r="X99" s="118" t="n"/>
    </row>
    <row r="100">
      <c r="B100" s="114" t="inlineStr">
        <is>
          <t>現金股利</t>
        </is>
      </c>
      <c r="C100" s="119" t="n"/>
      <c r="D100" s="119" t="n"/>
      <c r="E100" s="124">
        <f>-D90*$D$33</f>
        <v/>
      </c>
      <c r="F100" s="124">
        <f>-E90*$D$33</f>
        <v/>
      </c>
      <c r="G100" s="124">
        <f>-F90*$D$33</f>
        <v/>
      </c>
      <c r="H100" s="124">
        <f>-G90*$D$33</f>
        <v/>
      </c>
      <c r="I100" s="124">
        <f>-H90*$D$33</f>
        <v/>
      </c>
      <c r="J100" s="124">
        <f>-I90*$D$33</f>
        <v/>
      </c>
      <c r="K100" s="124">
        <f>-J90*$D$33</f>
        <v/>
      </c>
      <c r="L100" s="124">
        <f>-K90*$D$33</f>
        <v/>
      </c>
      <c r="M100" s="124">
        <f>-L90*$D$33</f>
        <v/>
      </c>
      <c r="N100" s="124">
        <f>-M90*$D$33</f>
        <v/>
      </c>
      <c r="O100" s="124">
        <f>-N90*$D$33</f>
        <v/>
      </c>
      <c r="P100" s="124">
        <f>-O90*$D$33</f>
        <v/>
      </c>
      <c r="Q100" s="124">
        <f>-P90*$D$33</f>
        <v/>
      </c>
      <c r="R100" s="124">
        <f>-Q90*$D$33</f>
        <v/>
      </c>
      <c r="S100" s="124">
        <f>-R90*$D$33</f>
        <v/>
      </c>
      <c r="T100" s="124">
        <f>-S90*$D$33</f>
        <v/>
      </c>
      <c r="U100" s="124">
        <f>-T90*$D$33</f>
        <v/>
      </c>
      <c r="V100" s="124">
        <f>-U90*$D$33</f>
        <v/>
      </c>
      <c r="W100" s="124">
        <f>-V90*$D$33</f>
        <v/>
      </c>
      <c r="X100" s="125">
        <f>-W90</f>
        <v/>
      </c>
    </row>
    <row r="101">
      <c r="B101" s="126" t="inlineStr">
        <is>
          <t>年底減資</t>
        </is>
      </c>
      <c r="C101" s="127" t="n"/>
      <c r="D101" s="127" t="n">
        <v>0</v>
      </c>
      <c r="E101" s="128" t="n">
        <v>0</v>
      </c>
      <c r="F101" s="128" t="n">
        <v>0</v>
      </c>
      <c r="G101" s="128" t="n">
        <v>0</v>
      </c>
      <c r="H101" s="128" t="n">
        <v>0</v>
      </c>
      <c r="I101" s="128" t="n">
        <v>0</v>
      </c>
      <c r="J101" s="128" t="n">
        <v>0</v>
      </c>
      <c r="K101" s="128" t="n">
        <v>0</v>
      </c>
      <c r="L101" s="128" t="n">
        <v>0</v>
      </c>
      <c r="M101" s="128" t="n">
        <v>0</v>
      </c>
      <c r="N101" s="128" t="n">
        <v>0</v>
      </c>
      <c r="O101" s="128" t="n">
        <v>0</v>
      </c>
      <c r="P101" s="128" t="n">
        <v>0</v>
      </c>
      <c r="Q101" s="128" t="n">
        <v>0</v>
      </c>
      <c r="R101" s="129" t="n">
        <v>0</v>
      </c>
      <c r="S101" s="129" t="n">
        <v>0</v>
      </c>
      <c r="T101" s="129" t="n">
        <v>-752272.5</v>
      </c>
      <c r="U101" s="129" t="n">
        <v>-752272.5</v>
      </c>
      <c r="V101" s="128" t="n">
        <v>-752272.5</v>
      </c>
      <c r="W101" s="128" t="n">
        <v>-752272.5</v>
      </c>
      <c r="X101" s="125">
        <f>-W106-X100</f>
        <v/>
      </c>
    </row>
    <row r="102">
      <c r="B102" s="119" t="n"/>
      <c r="C102" s="119" t="n"/>
      <c r="D102" s="119" t="n"/>
      <c r="E102" s="119" t="n"/>
      <c r="F102" s="119" t="n"/>
      <c r="G102" s="119" t="n"/>
      <c r="H102" s="119" t="n"/>
      <c r="I102" s="119" t="n"/>
      <c r="J102" s="119" t="n"/>
      <c r="K102" s="119" t="n"/>
      <c r="L102" s="119" t="n"/>
      <c r="M102" s="119" t="n"/>
      <c r="N102" s="119" t="n"/>
      <c r="O102" s="119" t="n"/>
      <c r="P102" s="119" t="n"/>
      <c r="Q102" s="119" t="n"/>
      <c r="R102" s="119" t="n"/>
      <c r="S102" s="119" t="n"/>
      <c r="T102" s="119" t="n"/>
      <c r="U102" s="119" t="n"/>
      <c r="V102" s="119" t="n"/>
      <c r="W102" s="119" t="n"/>
      <c r="X102" s="118" t="n"/>
    </row>
    <row r="103">
      <c r="B103" s="119" t="n"/>
      <c r="C103" s="119" t="n"/>
      <c r="D103" s="119" t="n"/>
      <c r="E103" s="119" t="n"/>
      <c r="F103" s="119" t="n"/>
      <c r="G103" s="119" t="n"/>
      <c r="H103" s="119" t="n"/>
      <c r="I103" s="119" t="n"/>
      <c r="J103" s="119" t="n"/>
      <c r="K103" s="119" t="n"/>
      <c r="L103" s="119" t="n"/>
      <c r="M103" s="119" t="n"/>
      <c r="N103" s="119" t="n"/>
      <c r="O103" s="119" t="n"/>
      <c r="P103" s="119" t="n"/>
      <c r="Q103" s="119" t="n"/>
      <c r="R103" s="119" t="n"/>
      <c r="S103" s="119" t="n"/>
      <c r="T103" s="119" t="n"/>
      <c r="U103" s="119" t="n"/>
      <c r="V103" s="119" t="n"/>
      <c r="W103" s="119" t="n"/>
      <c r="X103" s="118" t="n"/>
    </row>
    <row r="104" ht="16.5" customHeight="1">
      <c r="B104" s="114" t="inlineStr">
        <is>
          <t>現金淨流入(出 )</t>
        </is>
      </c>
      <c r="C104" s="130" t="n">
        <v>0</v>
      </c>
      <c r="D104" s="115">
        <f>SUM(D92:D101)</f>
        <v/>
      </c>
      <c r="E104" s="115">
        <f>SUM(E92:E101)</f>
        <v/>
      </c>
      <c r="F104" s="115">
        <f>SUM(F92:F101)</f>
        <v/>
      </c>
      <c r="G104" s="115">
        <f>SUM(G92:G101)</f>
        <v/>
      </c>
      <c r="H104" s="115">
        <f>SUM(H92:H101)</f>
        <v/>
      </c>
      <c r="I104" s="115">
        <f>SUM(I92:I101)</f>
        <v/>
      </c>
      <c r="J104" s="115">
        <f>SUM(J92:J101)</f>
        <v/>
      </c>
      <c r="K104" s="115">
        <f>SUM(K92:K101)</f>
        <v/>
      </c>
      <c r="L104" s="115">
        <f>SUM(L92:L101)</f>
        <v/>
      </c>
      <c r="M104" s="115">
        <f>SUM(M92:M101)</f>
        <v/>
      </c>
      <c r="N104" s="115">
        <f>SUM(N92:N101)</f>
        <v/>
      </c>
      <c r="O104" s="115">
        <f>SUM(O92:O101)</f>
        <v/>
      </c>
      <c r="P104" s="115">
        <f>SUM(P92:P101)</f>
        <v/>
      </c>
      <c r="Q104" s="115">
        <f>SUM(Q92:Q101)</f>
        <v/>
      </c>
      <c r="R104" s="115">
        <f>SUM(R92:R101)</f>
        <v/>
      </c>
      <c r="S104" s="115">
        <f>SUM(S92:S101)</f>
        <v/>
      </c>
      <c r="T104" s="115">
        <f>SUM(T92:T101)</f>
        <v/>
      </c>
      <c r="U104" s="115">
        <f>SUM(U92:U101)</f>
        <v/>
      </c>
      <c r="V104" s="115">
        <f>SUM(V92:V101)</f>
        <v/>
      </c>
      <c r="W104" s="115">
        <f>SUM(W92:W101)</f>
        <v/>
      </c>
      <c r="X104" s="118" t="n"/>
    </row>
    <row r="105">
      <c r="B105" s="114" t="inlineStr">
        <is>
          <t>期初淨現金</t>
        </is>
      </c>
      <c r="C105" s="115" t="n">
        <v>0</v>
      </c>
      <c r="D105" s="115">
        <f>C106</f>
        <v/>
      </c>
      <c r="E105" s="115">
        <f>D106</f>
        <v/>
      </c>
      <c r="F105" s="115">
        <f>E106</f>
        <v/>
      </c>
      <c r="G105" s="115">
        <f>F106</f>
        <v/>
      </c>
      <c r="H105" s="115">
        <f>G106</f>
        <v/>
      </c>
      <c r="I105" s="115">
        <f>H106</f>
        <v/>
      </c>
      <c r="J105" s="115">
        <f>I106</f>
        <v/>
      </c>
      <c r="K105" s="115">
        <f>J106</f>
        <v/>
      </c>
      <c r="L105" s="115">
        <f>K106</f>
        <v/>
      </c>
      <c r="M105" s="115">
        <f>L106</f>
        <v/>
      </c>
      <c r="N105" s="115">
        <f>M106</f>
        <v/>
      </c>
      <c r="O105" s="115">
        <f>N106</f>
        <v/>
      </c>
      <c r="P105" s="115">
        <f>O106</f>
        <v/>
      </c>
      <c r="Q105" s="115">
        <f>P106</f>
        <v/>
      </c>
      <c r="R105" s="115">
        <f>Q106</f>
        <v/>
      </c>
      <c r="S105" s="115">
        <f>R106</f>
        <v/>
      </c>
      <c r="T105" s="115">
        <f>S106</f>
        <v/>
      </c>
      <c r="U105" s="115">
        <f>T106</f>
        <v/>
      </c>
      <c r="V105" s="115">
        <f>U106</f>
        <v/>
      </c>
      <c r="W105" s="115">
        <f>V106</f>
        <v/>
      </c>
      <c r="X105" s="120" t="n"/>
    </row>
    <row r="106">
      <c r="B106" s="114" t="inlineStr">
        <is>
          <t>期未淨現金</t>
        </is>
      </c>
      <c r="C106" s="115" t="n">
        <v>0</v>
      </c>
      <c r="D106" s="115">
        <f>D104+D105</f>
        <v/>
      </c>
      <c r="E106" s="115">
        <f>E104+E105</f>
        <v/>
      </c>
      <c r="F106" s="115">
        <f>F104+F105</f>
        <v/>
      </c>
      <c r="G106" s="115">
        <f>G104+G105</f>
        <v/>
      </c>
      <c r="H106" s="115">
        <f>H104+H105</f>
        <v/>
      </c>
      <c r="I106" s="115">
        <f>I104+I105</f>
        <v/>
      </c>
      <c r="J106" s="115">
        <f>J104+J105</f>
        <v/>
      </c>
      <c r="K106" s="115">
        <f>K104+K105</f>
        <v/>
      </c>
      <c r="L106" s="115">
        <f>L104+L105</f>
        <v/>
      </c>
      <c r="M106" s="115">
        <f>M104+M105</f>
        <v/>
      </c>
      <c r="N106" s="115">
        <f>N104+N105</f>
        <v/>
      </c>
      <c r="O106" s="115">
        <f>O104+O105</f>
        <v/>
      </c>
      <c r="P106" s="115">
        <f>P104+P105</f>
        <v/>
      </c>
      <c r="Q106" s="115">
        <f>Q104+Q105</f>
        <v/>
      </c>
      <c r="R106" s="115">
        <f>R104+R105</f>
        <v/>
      </c>
      <c r="S106" s="115">
        <f>S104+S105</f>
        <v/>
      </c>
      <c r="T106" s="115">
        <f>T104+T105</f>
        <v/>
      </c>
      <c r="U106" s="115">
        <f>U104+U105</f>
        <v/>
      </c>
      <c r="V106" s="115">
        <f>V104+V105</f>
        <v/>
      </c>
      <c r="W106" s="115">
        <f>W104+W105</f>
        <v/>
      </c>
      <c r="X106" s="120" t="n"/>
    </row>
    <row r="107">
      <c r="B107" s="114" t="n"/>
      <c r="C107" s="114" t="n"/>
      <c r="D107" s="114" t="n"/>
      <c r="E107" s="114" t="n"/>
      <c r="F107" s="114" t="n"/>
      <c r="G107" s="114" t="n"/>
      <c r="H107" s="114" t="n"/>
      <c r="I107" s="114" t="n"/>
      <c r="J107" s="114" t="n"/>
      <c r="K107" s="114" t="n"/>
      <c r="L107" s="114" t="n"/>
      <c r="M107" s="114" t="n"/>
      <c r="N107" s="114" t="n"/>
      <c r="O107" s="114" t="n"/>
      <c r="P107" s="114" t="n"/>
      <c r="Q107" s="114" t="n"/>
      <c r="R107" s="114" t="n"/>
      <c r="S107" s="114" t="n"/>
      <c r="T107" s="114" t="n"/>
      <c r="U107" s="114" t="n"/>
      <c r="V107" s="114" t="n"/>
      <c r="W107" s="114" t="n"/>
      <c r="X107" s="114" t="n"/>
    </row>
    <row r="108">
      <c r="B108" s="114" t="n"/>
      <c r="C108" s="114" t="n"/>
      <c r="D108" s="114" t="n"/>
      <c r="E108" s="114" t="n"/>
      <c r="F108" s="119" t="n"/>
      <c r="G108" s="114" t="n"/>
      <c r="H108" s="114" t="n"/>
      <c r="I108" s="114" t="n"/>
      <c r="J108" s="114" t="n"/>
      <c r="K108" s="114" t="n"/>
      <c r="L108" s="114" t="n"/>
      <c r="M108" s="114" t="n"/>
      <c r="N108" s="114" t="n"/>
      <c r="O108" s="114" t="n"/>
      <c r="P108" s="114" t="n"/>
      <c r="Q108" s="114" t="n"/>
      <c r="R108" s="114" t="n"/>
      <c r="S108" s="114" t="n"/>
      <c r="T108" s="114" t="n"/>
      <c r="U108" s="114" t="n"/>
      <c r="V108" s="114" t="n"/>
      <c r="W108" s="114" t="n"/>
      <c r="X108" s="114" t="n"/>
    </row>
    <row r="109">
      <c r="B109" s="131" t="inlineStr">
        <is>
          <t>成本法實際現金流</t>
        </is>
      </c>
      <c r="C109" s="132" t="n"/>
      <c r="D109" s="133">
        <f>-D99</f>
        <v/>
      </c>
      <c r="E109" s="117">
        <f>-E100-E101</f>
        <v/>
      </c>
      <c r="F109" s="117">
        <f>-F100-F101</f>
        <v/>
      </c>
      <c r="G109" s="117">
        <f>-G100-G101</f>
        <v/>
      </c>
      <c r="H109" s="117">
        <f>-H100-H101</f>
        <v/>
      </c>
      <c r="I109" s="117">
        <f>-I100-I101</f>
        <v/>
      </c>
      <c r="J109" s="117">
        <f>-J100-J101</f>
        <v/>
      </c>
      <c r="K109" s="117">
        <f>-K100-K101</f>
        <v/>
      </c>
      <c r="L109" s="117">
        <f>-L100-L101</f>
        <v/>
      </c>
      <c r="M109" s="117">
        <f>-M100-M101</f>
        <v/>
      </c>
      <c r="N109" s="117">
        <f>-N100-N101</f>
        <v/>
      </c>
      <c r="O109" s="117">
        <f>-O100-O101</f>
        <v/>
      </c>
      <c r="P109" s="117">
        <f>-P100-P101</f>
        <v/>
      </c>
      <c r="Q109" s="117">
        <f>-Q100-Q101</f>
        <v/>
      </c>
      <c r="R109" s="117">
        <f>-R100-R101</f>
        <v/>
      </c>
      <c r="S109" s="117">
        <f>-S100-S101</f>
        <v/>
      </c>
      <c r="T109" s="117">
        <f>-T100-T101</f>
        <v/>
      </c>
      <c r="U109" s="117">
        <f>-U100-U101</f>
        <v/>
      </c>
      <c r="V109" s="117">
        <f>-V100-V101</f>
        <v/>
      </c>
      <c r="W109" s="117">
        <f>-W100-W101</f>
        <v/>
      </c>
      <c r="X109" s="117">
        <f>-X100-X101</f>
        <v/>
      </c>
    </row>
    <row r="110">
      <c r="B110" s="114" t="inlineStr">
        <is>
          <t>成本法IRR</t>
        </is>
      </c>
      <c r="C110" s="134">
        <f>IRR(D109:X109)</f>
        <v/>
      </c>
      <c r="D110" s="119" t="n"/>
      <c r="E110" s="119" t="n"/>
      <c r="F110" s="114" t="n"/>
      <c r="G110" s="114" t="n"/>
      <c r="H110" s="114" t="n"/>
      <c r="I110" s="114" t="n"/>
      <c r="J110" s="114" t="n"/>
      <c r="K110" s="114" t="n"/>
      <c r="L110" s="114" t="n"/>
      <c r="M110" s="114" t="n"/>
      <c r="N110" s="114" t="n"/>
      <c r="O110" s="114" t="n"/>
      <c r="P110" s="114" t="n"/>
      <c r="Q110" s="114" t="n"/>
      <c r="R110" s="114" t="n"/>
      <c r="S110" s="114" t="n"/>
      <c r="T110" s="114" t="n"/>
      <c r="U110" s="114" t="n"/>
      <c r="V110" s="114" t="n"/>
      <c r="W110" s="114" t="n"/>
      <c r="X110" s="114" t="n"/>
    </row>
    <row r="111">
      <c r="B111" s="131" t="inlineStr">
        <is>
          <t>權益法實際現金流</t>
        </is>
      </c>
      <c r="C111" s="132" t="n"/>
      <c r="D111" s="133">
        <f>D90-D99</f>
        <v/>
      </c>
      <c r="E111" s="117">
        <f>E90</f>
        <v/>
      </c>
      <c r="F111" s="117">
        <f>F90-F101</f>
        <v/>
      </c>
      <c r="G111" s="117">
        <f>G90-G101</f>
        <v/>
      </c>
      <c r="H111" s="117">
        <f>H90-H101</f>
        <v/>
      </c>
      <c r="I111" s="117">
        <f>I90-I101</f>
        <v/>
      </c>
      <c r="J111" s="117">
        <f>J90-J101</f>
        <v/>
      </c>
      <c r="K111" s="117">
        <f>K90-K101</f>
        <v/>
      </c>
      <c r="L111" s="117">
        <f>L90-L101</f>
        <v/>
      </c>
      <c r="M111" s="117">
        <f>M90-M101</f>
        <v/>
      </c>
      <c r="N111" s="117">
        <f>N90-N101</f>
        <v/>
      </c>
      <c r="O111" s="117">
        <f>O90-O101</f>
        <v/>
      </c>
      <c r="P111" s="117">
        <f>P90-P101</f>
        <v/>
      </c>
      <c r="Q111" s="117">
        <f>Q90-Q101</f>
        <v/>
      </c>
      <c r="R111" s="117">
        <f>R90-R101</f>
        <v/>
      </c>
      <c r="S111" s="117">
        <f>S90-S101</f>
        <v/>
      </c>
      <c r="T111" s="117">
        <f>T90-T101</f>
        <v/>
      </c>
      <c r="U111" s="117">
        <f>U90-U101</f>
        <v/>
      </c>
      <c r="V111" s="117">
        <f>V90-V101</f>
        <v/>
      </c>
      <c r="W111" s="117">
        <f>W90-W101</f>
        <v/>
      </c>
      <c r="X111" s="77" t="n"/>
    </row>
    <row r="112">
      <c r="B112" s="131" t="inlineStr">
        <is>
          <t>權益法IRR</t>
        </is>
      </c>
      <c r="C112" s="135">
        <f>IRR(D111:W111)</f>
        <v/>
      </c>
      <c r="D112" s="119" t="n"/>
      <c r="E112" s="119" t="n"/>
      <c r="F112" s="114" t="n"/>
      <c r="G112" s="114" t="n"/>
      <c r="H112" s="114" t="n"/>
      <c r="I112" s="114" t="n"/>
      <c r="J112" s="114" t="n"/>
      <c r="K112" s="114" t="n"/>
      <c r="L112" s="114" t="n"/>
      <c r="M112" s="114" t="n"/>
      <c r="N112" s="114" t="n"/>
      <c r="O112" s="114" t="n"/>
      <c r="P112" s="114" t="n"/>
      <c r="Q112" s="114" t="n"/>
      <c r="R112" s="114" t="n"/>
      <c r="S112" s="114" t="n"/>
      <c r="T112" s="114" t="n"/>
      <c r="U112" s="114" t="n"/>
      <c r="V112" s="114" t="n"/>
      <c r="W112" s="114" t="n"/>
      <c r="X112" s="114" t="n"/>
    </row>
    <row r="113">
      <c r="B113" s="114" t="n"/>
      <c r="C113" s="114" t="n"/>
      <c r="D113" s="114" t="n"/>
      <c r="E113" s="114" t="n"/>
      <c r="F113" s="114" t="n"/>
      <c r="G113" s="114" t="n"/>
      <c r="H113" s="114" t="n"/>
      <c r="I113" s="114" t="n"/>
      <c r="J113" s="114" t="n"/>
      <c r="K113" s="114" t="n"/>
      <c r="L113" s="114" t="n"/>
      <c r="M113" s="114" t="n"/>
      <c r="N113" s="114" t="n"/>
      <c r="O113" s="114" t="n"/>
      <c r="P113" s="114" t="n"/>
      <c r="Q113" s="114" t="n"/>
      <c r="R113" s="114" t="n"/>
      <c r="S113" s="114" t="n"/>
      <c r="T113" s="114" t="n"/>
      <c r="U113" s="114" t="n"/>
      <c r="V113" s="114" t="n"/>
      <c r="W113" s="114" t="n"/>
      <c r="X113" s="114" t="n"/>
    </row>
    <row r="114">
      <c r="B114" s="114" t="inlineStr">
        <is>
          <t>借款餘額</t>
        </is>
      </c>
      <c r="C114" s="115" t="n">
        <v>0</v>
      </c>
      <c r="D114" s="115">
        <f>D97</f>
        <v/>
      </c>
      <c r="E114" s="115">
        <f>D114+E98</f>
        <v/>
      </c>
      <c r="F114" s="115">
        <f>E114+F98</f>
        <v/>
      </c>
      <c r="G114" s="115">
        <f>F114+G98</f>
        <v/>
      </c>
      <c r="H114" s="115">
        <f>G114+H98</f>
        <v/>
      </c>
      <c r="I114" s="115">
        <f>H114+I98</f>
        <v/>
      </c>
      <c r="J114" s="115">
        <f>I114+J98</f>
        <v/>
      </c>
      <c r="K114" s="115">
        <f>J114+K98</f>
        <v/>
      </c>
      <c r="L114" s="115">
        <f>K114+L98</f>
        <v/>
      </c>
      <c r="M114" s="115">
        <f>L114+M98</f>
        <v/>
      </c>
      <c r="N114" s="115">
        <f>M114+N98</f>
        <v/>
      </c>
      <c r="O114" s="115">
        <f>N114+O98</f>
        <v/>
      </c>
      <c r="P114" s="115">
        <f>O114+P98</f>
        <v/>
      </c>
      <c r="Q114" s="115">
        <f>P114+Q98</f>
        <v/>
      </c>
      <c r="R114" s="115">
        <f>Q114+R98</f>
        <v/>
      </c>
      <c r="S114" s="115">
        <f>R114+S98</f>
        <v/>
      </c>
      <c r="T114" s="115">
        <f>S114+T98</f>
        <v/>
      </c>
      <c r="U114" s="115">
        <f>T114+U98</f>
        <v/>
      </c>
      <c r="V114" s="115">
        <f>U114+V98</f>
        <v/>
      </c>
      <c r="W114" s="115">
        <f>V114+W98</f>
        <v/>
      </c>
      <c r="X114" s="119" t="n"/>
    </row>
    <row r="115"/>
    <row r="116">
      <c r="B116" s="136" t="n"/>
    </row>
    <row r="117" ht="16.5" customHeight="1">
      <c r="G117" s="13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117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" t="inlineStr">
        <is>
          <t>電站基本資料</t>
        </is>
      </c>
      <c r="C1" s="2" t="n"/>
      <c r="D1" s="2" t="n"/>
      <c r="E1" s="3" t="n"/>
    </row>
    <row r="2" ht="21.75" customHeight="1">
      <c r="B2" s="4" t="inlineStr">
        <is>
          <t>電站名稱</t>
        </is>
      </c>
      <c r="C2" s="5" t="inlineStr">
        <is>
          <t>淡江大學-財務模擬案場</t>
        </is>
      </c>
      <c r="D2" s="6" t="inlineStr">
        <is>
          <t>-</t>
        </is>
      </c>
      <c r="E2" s="6" t="inlineStr">
        <is>
          <t>-</t>
        </is>
      </c>
    </row>
    <row r="3" ht="21.75" customHeight="1">
      <c r="B3" s="7" t="inlineStr">
        <is>
          <t>電站壽命</t>
        </is>
      </c>
      <c r="C3" s="8" t="n">
        <v>20</v>
      </c>
      <c r="D3" s="9" t="inlineStr">
        <is>
          <t>-</t>
        </is>
      </c>
      <c r="E3" s="9" t="inlineStr">
        <is>
          <t>-</t>
        </is>
      </c>
    </row>
    <row r="4" ht="21.75" customHeight="1">
      <c r="B4" s="7" t="inlineStr">
        <is>
          <t>建置量(kWp)</t>
        </is>
      </c>
      <c r="C4" s="8" t="n">
        <v>436.1</v>
      </c>
      <c r="D4" s="9" t="inlineStr">
        <is>
          <t>-</t>
        </is>
      </c>
      <c r="E4" s="9" t="inlineStr">
        <is>
          <t>-</t>
        </is>
      </c>
      <c r="M4" t="inlineStr">
        <is>
          <t>滾算紀錄編號: 5</t>
        </is>
      </c>
    </row>
    <row r="5" ht="22.5" customHeight="1">
      <c r="B5" s="8" t="inlineStr">
        <is>
          <t>起始年度</t>
        </is>
      </c>
      <c r="C5" s="8" t="n">
        <v>2020</v>
      </c>
      <c r="D5" s="8" t="inlineStr">
        <is>
          <t>結束年度</t>
        </is>
      </c>
      <c r="E5" s="8" t="n">
        <v>2039</v>
      </c>
      <c r="M5" t="inlineStr">
        <is>
          <t>第4次滾算摘要</t>
        </is>
      </c>
    </row>
    <row r="6" ht="20.25" customHeight="1">
      <c r="B6" s="10" t="n"/>
      <c r="C6" s="10" t="n"/>
      <c r="D6" s="10" t="n"/>
      <c r="E6" s="10" t="n"/>
      <c r="M6" t="inlineStr">
        <is>
          <t>價金: 22000</t>
        </is>
      </c>
    </row>
    <row r="7" ht="22.5" customHeight="1">
      <c r="B7" s="11" t="inlineStr">
        <is>
          <t>綜合損益表</t>
        </is>
      </c>
      <c r="C7" s="2" t="n"/>
      <c r="D7" s="2" t="n"/>
      <c r="E7" s="3" t="n"/>
      <c r="M7" t="inlineStr">
        <is>
          <t>專案IRR: 7.56</t>
        </is>
      </c>
    </row>
    <row r="8" ht="22.5" customHeight="1">
      <c r="B8" s="12" t="inlineStr">
        <is>
          <t>收入</t>
        </is>
      </c>
      <c r="C8" s="13" t="n"/>
      <c r="D8" s="13" t="n"/>
      <c r="E8" s="14" t="n"/>
      <c r="M8" t="inlineStr">
        <is>
          <t>權益法IRR: 26.41</t>
        </is>
      </c>
    </row>
    <row r="9" ht="22.5" customHeight="1">
      <c r="B9" s="15" t="inlineStr">
        <is>
          <t>收支項目</t>
        </is>
      </c>
      <c r="C9" s="16" t="inlineStr">
        <is>
          <t>相關參數</t>
        </is>
      </c>
      <c r="D9" s="16" t="inlineStr">
        <is>
          <t>參數數值</t>
        </is>
      </c>
      <c r="E9" s="17" t="inlineStr">
        <is>
          <t>年限</t>
        </is>
      </c>
      <c r="M9" t="inlineStr">
        <is>
          <t>利潤率: 20.00%</t>
        </is>
      </c>
    </row>
    <row r="10" ht="21.75" customHeight="1">
      <c r="B10" s="18" t="inlineStr">
        <is>
          <t>電費收入</t>
        </is>
      </c>
      <c r="C10" s="5" t="inlineStr">
        <is>
          <t>年度AC併網總發電量</t>
        </is>
      </c>
      <c r="D10" s="5" t="n">
        <v>547002</v>
      </c>
      <c r="E10" s="18" t="n">
        <v>20</v>
      </c>
      <c r="M10" t="inlineStr">
        <is>
          <t>第4次滾算，減少 2000 元 - 現金模式，每次減少 2000 元</t>
        </is>
      </c>
    </row>
    <row r="11" ht="21.75" customHeight="1">
      <c r="B11" s="19" t="n"/>
      <c r="C11" s="8" t="inlineStr">
        <is>
          <t>首年衰退率</t>
        </is>
      </c>
      <c r="D11" s="8" t="n">
        <v>0.01</v>
      </c>
      <c r="E11" s="19" t="n"/>
    </row>
    <row r="12" ht="21.75" customHeight="1">
      <c r="B12" s="19" t="n"/>
      <c r="C12" s="8" t="inlineStr">
        <is>
          <t>次年衰退率</t>
        </is>
      </c>
      <c r="D12" s="8" t="n">
        <v>0.004</v>
      </c>
      <c r="E12" s="19" t="n"/>
    </row>
    <row r="13" ht="22.5" customHeight="1">
      <c r="B13" s="19" t="n"/>
      <c r="C13" s="20" t="inlineStr">
        <is>
          <t>躉售費率(FIT)</t>
        </is>
      </c>
      <c r="D13" s="20" t="n">
        <v>3.7152</v>
      </c>
      <c r="E13" s="19" t="n"/>
    </row>
    <row r="14" ht="22.5" customHeight="1">
      <c r="B14" s="21" t="inlineStr">
        <is>
          <t>支出</t>
        </is>
      </c>
      <c r="C14" s="2" t="n"/>
      <c r="D14" s="2" t="n"/>
      <c r="E14" s="3" t="n"/>
    </row>
    <row r="15" ht="22.5" customHeight="1">
      <c r="B15" s="15" t="inlineStr">
        <is>
          <t>收支項目</t>
        </is>
      </c>
      <c r="C15" s="16" t="inlineStr">
        <is>
          <t>相關參數</t>
        </is>
      </c>
      <c r="D15" s="16" t="inlineStr">
        <is>
          <t>參數數值</t>
        </is>
      </c>
      <c r="E15" s="22" t="inlineStr">
        <is>
          <t>攤提年限</t>
        </is>
      </c>
    </row>
    <row r="16" ht="21.75" customHeight="1">
      <c r="B16" s="23" t="inlineStr">
        <is>
          <t>設備費用(價金)</t>
        </is>
      </c>
      <c r="C16" s="4" t="inlineStr">
        <is>
          <t>每kWp設備成本</t>
        </is>
      </c>
      <c r="D16" s="5" t="n">
        <v>22000</v>
      </c>
      <c r="E16" s="24" t="n">
        <v>20</v>
      </c>
    </row>
    <row r="17" ht="21.75" customHeight="1">
      <c r="B17" s="19" t="n"/>
      <c r="C17" s="8" t="inlineStr">
        <is>
          <t>信邦利潤率</t>
        </is>
      </c>
      <c r="D17" s="8" t="n">
        <v>0.2</v>
      </c>
      <c r="E17" s="19" t="n"/>
    </row>
    <row r="18" ht="21.75" customHeight="1">
      <c r="B18" s="25" t="n"/>
      <c r="C18" s="8" t="inlineStr">
        <is>
          <t>開發費</t>
        </is>
      </c>
      <c r="D18" s="8" t="n">
        <v>2000</v>
      </c>
      <c r="E18" s="25" t="n"/>
    </row>
    <row r="19" ht="54" customHeight="1">
      <c r="B19" s="26" t="inlineStr">
        <is>
          <t>租金費用</t>
        </is>
      </c>
      <c r="C19" s="27" t="inlineStr">
        <is>
          <t>租金計算方式
(1=固定攤提/2=電費抽成)</t>
        </is>
      </c>
      <c r="D19" s="8" t="n">
        <v>1</v>
      </c>
      <c r="E19" s="6" t="n">
        <v>0</v>
      </c>
    </row>
    <row r="20" ht="20.25" customHeight="1">
      <c r="B20" s="19" t="n"/>
      <c r="C20" s="28" t="inlineStr">
        <is>
          <t>【方式1參數】租金總額</t>
        </is>
      </c>
      <c r="D20" s="8" t="n">
        <v>5804025</v>
      </c>
      <c r="E20" s="6" t="n">
        <v>20</v>
      </c>
    </row>
    <row r="21" ht="21.75" customHeight="1">
      <c r="B21" s="25" t="n"/>
      <c r="C21" s="8" t="inlineStr">
        <is>
          <t>【方式2參數】抽成比率</t>
        </is>
      </c>
      <c r="D21" s="8" t="n">
        <v>0</v>
      </c>
      <c r="E21" s="9" t="n">
        <v>0</v>
      </c>
    </row>
    <row r="22" ht="21.75" customHeight="1">
      <c r="B22" s="8" t="inlineStr">
        <is>
          <t>運維費用</t>
        </is>
      </c>
      <c r="C22" s="8" t="inlineStr">
        <is>
          <t>每kw運維成本</t>
        </is>
      </c>
      <c r="D22" s="8" t="n">
        <v>400</v>
      </c>
      <c r="E22" s="9" t="n">
        <v>20</v>
      </c>
    </row>
    <row r="23" ht="21.75" customHeight="1">
      <c r="B23" s="8" t="inlineStr">
        <is>
          <t>保險費用</t>
        </is>
      </c>
      <c r="C23" s="7" t="inlineStr">
        <is>
          <t>占整體設備費用比例</t>
        </is>
      </c>
      <c r="D23" s="8" t="n">
        <v>0.003</v>
      </c>
      <c r="E23" s="9" t="n">
        <v>20</v>
      </c>
    </row>
    <row r="24" ht="21.75" customHeight="1">
      <c r="B24" s="8" t="inlineStr">
        <is>
          <t>模組回收費用</t>
        </is>
      </c>
      <c r="C24" s="8" t="inlineStr">
        <is>
          <t>每kw模組回收成本</t>
        </is>
      </c>
      <c r="D24" s="8" t="n">
        <v>1000</v>
      </c>
      <c r="E24" s="9" t="n">
        <v>10</v>
      </c>
    </row>
    <row r="25" ht="21.75" customHeight="1">
      <c r="B25" s="8" t="inlineStr">
        <is>
          <t>利息費用</t>
        </is>
      </c>
      <c r="C25" s="8" t="inlineStr">
        <is>
          <t>銀行利率</t>
        </is>
      </c>
      <c r="D25" s="29" t="n">
        <v>0.025595</v>
      </c>
      <c r="E25" s="9" t="n">
        <v>0</v>
      </c>
    </row>
    <row r="26" ht="22.5" customHeight="1">
      <c r="B26" s="8" t="inlineStr">
        <is>
          <t>所得稅</t>
        </is>
      </c>
      <c r="C26" s="8" t="inlineStr">
        <is>
          <t>所得稅率</t>
        </is>
      </c>
      <c r="D26" s="8" t="n">
        <v>0.2</v>
      </c>
      <c r="E26" s="9" t="n">
        <v>0</v>
      </c>
    </row>
    <row r="27" ht="20.25" customHeight="1">
      <c r="B27" s="10" t="n"/>
      <c r="C27" s="10" t="n"/>
      <c r="D27" s="10" t="n"/>
      <c r="E27" s="10" t="n"/>
    </row>
    <row r="28" ht="20.25" customHeight="1">
      <c r="B28" s="10" t="n"/>
      <c r="C28" s="10" t="n"/>
      <c r="D28" s="10" t="n"/>
      <c r="E28" s="10" t="n"/>
    </row>
    <row r="29" ht="22.5" customHeight="1">
      <c r="B29" s="11" t="inlineStr">
        <is>
          <t>現金流量表</t>
        </is>
      </c>
      <c r="C29" s="2" t="n"/>
      <c r="D29" s="3" t="n"/>
      <c r="E29" s="10" t="n"/>
    </row>
    <row r="30" ht="22.5" customHeight="1">
      <c r="B30" s="15" t="inlineStr">
        <is>
          <t>金流項目</t>
        </is>
      </c>
      <c r="C30" s="16" t="inlineStr">
        <is>
          <t>相關參數</t>
        </is>
      </c>
      <c r="D30" s="22" t="inlineStr">
        <is>
          <t>參數數值</t>
        </is>
      </c>
      <c r="E30" s="10" t="n"/>
    </row>
    <row r="31" ht="18.75" customHeight="1">
      <c r="B31" s="4" t="inlineStr">
        <is>
          <t>貸款成數</t>
        </is>
      </c>
      <c r="C31" s="4" t="inlineStr">
        <is>
          <t>占總設備費用比例</t>
        </is>
      </c>
      <c r="D31" s="5" t="n">
        <v>0.8</v>
      </c>
      <c r="E31" s="10" t="n"/>
    </row>
    <row r="32" ht="18.75" customHeight="1">
      <c r="B32" s="5" t="inlineStr">
        <is>
          <t>貸款還款</t>
        </is>
      </c>
      <c r="C32" s="5" t="inlineStr">
        <is>
          <t>攤還期數</t>
        </is>
      </c>
      <c r="D32" s="5" t="n">
        <v>15</v>
      </c>
      <c r="E32" s="10" t="n"/>
    </row>
    <row r="33" ht="18.75" customHeight="1">
      <c r="B33" s="8" t="inlineStr">
        <is>
          <t>現金股利</t>
        </is>
      </c>
      <c r="C33" s="8" t="inlineStr">
        <is>
          <t>股利比率</t>
        </is>
      </c>
      <c r="D33" s="8" t="n">
        <v>0.9</v>
      </c>
      <c r="E33" s="10" t="n"/>
    </row>
    <row r="34" ht="18.75" customHeight="1">
      <c r="B34" s="8" t="inlineStr">
        <is>
          <t>年底減資</t>
        </is>
      </c>
      <c r="C34" s="8" t="inlineStr">
        <is>
          <t>攤還期數</t>
        </is>
      </c>
      <c r="D34" s="8" t="n">
        <v>4</v>
      </c>
      <c r="E34" s="10" t="n"/>
    </row>
    <row r="35" ht="18.75" customHeight="1"/>
    <row r="36" ht="18.75" customHeight="1"/>
    <row r="37" ht="18.75" customHeight="1">
      <c r="B37" s="30" t="n"/>
      <c r="C37" s="31" t="inlineStr">
        <is>
          <t>年份</t>
        </is>
      </c>
      <c r="D37" s="31" t="n">
        <v>2020</v>
      </c>
      <c r="E37" s="31" t="n">
        <v>2021</v>
      </c>
      <c r="F37" s="31" t="n">
        <v>2022</v>
      </c>
      <c r="G37" s="31" t="n">
        <v>2023</v>
      </c>
      <c r="H37" s="31" t="n">
        <v>2024</v>
      </c>
      <c r="I37" s="31" t="n">
        <v>2025</v>
      </c>
      <c r="J37" s="31" t="n">
        <v>2026</v>
      </c>
      <c r="K37" s="31" t="n">
        <v>2027</v>
      </c>
      <c r="L37" s="31" t="n">
        <v>2028</v>
      </c>
      <c r="M37" s="31" t="n">
        <v>2029</v>
      </c>
      <c r="N37" s="31" t="n">
        <v>2030</v>
      </c>
      <c r="O37" s="31" t="n">
        <v>2031</v>
      </c>
      <c r="P37" s="31" t="n">
        <v>2032</v>
      </c>
      <c r="Q37" s="31" t="n">
        <v>2033</v>
      </c>
      <c r="R37" s="31" t="n">
        <v>2034</v>
      </c>
      <c r="S37" s="31" t="n">
        <v>2035</v>
      </c>
      <c r="T37" s="31" t="n">
        <v>2036</v>
      </c>
      <c r="U37" s="31" t="n">
        <v>2037</v>
      </c>
      <c r="V37" s="31" t="n">
        <v>2038</v>
      </c>
      <c r="W37" s="31" t="n">
        <v>2039</v>
      </c>
      <c r="X37" s="31" t="n"/>
    </row>
    <row r="38" ht="18.75" customHeight="1">
      <c r="B38" s="32" t="n">
        <v>0</v>
      </c>
      <c r="C38" s="33" t="n"/>
      <c r="D38" s="34" t="n"/>
      <c r="E38" s="34" t="n"/>
      <c r="F38" s="35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7" t="n"/>
      <c r="U38" s="36" t="n"/>
      <c r="V38" s="36" t="n"/>
      <c r="W38" s="36" t="n"/>
      <c r="X38" s="38" t="n"/>
    </row>
    <row r="39" ht="18.75" customHeight="1">
      <c r="B39" s="39" t="inlineStr">
        <is>
          <t>(Unit : Currency)</t>
        </is>
      </c>
      <c r="C39" s="40" t="n">
        <v>0</v>
      </c>
      <c r="D39" s="41" t="n">
        <v>1</v>
      </c>
      <c r="E39" s="41" t="n">
        <v>2</v>
      </c>
      <c r="F39" s="41" t="n">
        <v>3</v>
      </c>
      <c r="G39" s="41" t="n">
        <v>4</v>
      </c>
      <c r="H39" s="41" t="n">
        <v>5</v>
      </c>
      <c r="I39" s="41" t="n">
        <v>6</v>
      </c>
      <c r="J39" s="41" t="n">
        <v>7</v>
      </c>
      <c r="K39" s="41" t="n">
        <v>8</v>
      </c>
      <c r="L39" s="41" t="n">
        <v>9</v>
      </c>
      <c r="M39" s="41" t="n">
        <v>10</v>
      </c>
      <c r="N39" s="41" t="n">
        <v>11</v>
      </c>
      <c r="O39" s="41" t="n">
        <v>12</v>
      </c>
      <c r="P39" s="41" t="n">
        <v>13</v>
      </c>
      <c r="Q39" s="41" t="n">
        <v>14</v>
      </c>
      <c r="R39" s="41" t="n">
        <v>15</v>
      </c>
      <c r="S39" s="41" t="n">
        <v>16</v>
      </c>
      <c r="T39" s="42" t="n">
        <v>17</v>
      </c>
      <c r="U39" s="41" t="n">
        <v>18</v>
      </c>
      <c r="V39" s="41" t="n">
        <v>19</v>
      </c>
      <c r="W39" s="41" t="n">
        <v>20</v>
      </c>
      <c r="X39" s="43" t="n"/>
    </row>
    <row r="40" ht="18.75" customHeight="1">
      <c r="B40" s="44" t="inlineStr">
        <is>
          <t>發電度數(KWH)</t>
        </is>
      </c>
      <c r="C40" s="45" t="n">
        <v>0</v>
      </c>
      <c r="D40" s="46">
        <f>$D$10*0.99</f>
        <v/>
      </c>
      <c r="E40" s="46">
        <f>$D$10*0.986</f>
        <v/>
      </c>
      <c r="F40" s="46">
        <f>$D$10*0.982</f>
        <v/>
      </c>
      <c r="G40" s="46">
        <f>$D$10*0.978</f>
        <v/>
      </c>
      <c r="H40" s="46">
        <f>$D$10*0.974</f>
        <v/>
      </c>
      <c r="I40" s="46">
        <f>$D$10*0.97</f>
        <v/>
      </c>
      <c r="J40" s="46">
        <f>$D$10*0.966</f>
        <v/>
      </c>
      <c r="K40" s="46">
        <f>$D$10*0.962</f>
        <v/>
      </c>
      <c r="L40" s="46">
        <f>$D$10*0.958</f>
        <v/>
      </c>
      <c r="M40" s="46">
        <f>$D$10*0.954</f>
        <v/>
      </c>
      <c r="N40" s="46">
        <f>$D$10*0.95</f>
        <v/>
      </c>
      <c r="O40" s="46">
        <f>$D$10*0.946</f>
        <v/>
      </c>
      <c r="P40" s="46">
        <f>$D$10*0.942</f>
        <v/>
      </c>
      <c r="Q40" s="46">
        <f>$D$10*0.938</f>
        <v/>
      </c>
      <c r="R40" s="46">
        <f>$D$10*0.934</f>
        <v/>
      </c>
      <c r="S40" s="46">
        <f>$D$10*0.93</f>
        <v/>
      </c>
      <c r="T40" s="46">
        <f>$D$10*0.926</f>
        <v/>
      </c>
      <c r="U40" s="46">
        <f>$D$10*0.922</f>
        <v/>
      </c>
      <c r="V40" s="46">
        <f>$D$10*0.918</f>
        <v/>
      </c>
      <c r="W40" s="46">
        <f>$D$10*0.914</f>
        <v/>
      </c>
      <c r="X40" s="47" t="n"/>
    </row>
    <row r="41" ht="18.75" customHeight="1">
      <c r="B41" s="48" t="inlineStr">
        <is>
          <t>Inflow : 電費收入</t>
        </is>
      </c>
      <c r="C41" s="49" t="inlineStr">
        <is>
          <t>-</t>
        </is>
      </c>
      <c r="D41" s="50">
        <f>D40*$D$13</f>
        <v/>
      </c>
      <c r="E41" s="50">
        <f>E40*$D$13</f>
        <v/>
      </c>
      <c r="F41" s="50">
        <f>F40*$D$13</f>
        <v/>
      </c>
      <c r="G41" s="50">
        <f>G40*$D$13</f>
        <v/>
      </c>
      <c r="H41" s="50">
        <f>H40*$D$13</f>
        <v/>
      </c>
      <c r="I41" s="50">
        <f>I40*$D$13</f>
        <v/>
      </c>
      <c r="J41" s="50">
        <f>J40*$D$13</f>
        <v/>
      </c>
      <c r="K41" s="50">
        <f>K40*$D$13</f>
        <v/>
      </c>
      <c r="L41" s="50">
        <f>L40*$D$13</f>
        <v/>
      </c>
      <c r="M41" s="50">
        <f>M40*$D$13</f>
        <v/>
      </c>
      <c r="N41" s="50">
        <f>N40*$D$13</f>
        <v/>
      </c>
      <c r="O41" s="50">
        <f>O40*$D$13</f>
        <v/>
      </c>
      <c r="P41" s="50">
        <f>P40*$D$13</f>
        <v/>
      </c>
      <c r="Q41" s="50">
        <f>Q40*$D$13</f>
        <v/>
      </c>
      <c r="R41" s="50">
        <f>R40*$D$13</f>
        <v/>
      </c>
      <c r="S41" s="50">
        <f>S40*$D$13</f>
        <v/>
      </c>
      <c r="T41" s="50">
        <f>T40*$D$13</f>
        <v/>
      </c>
      <c r="U41" s="50">
        <f>U40*$D$13</f>
        <v/>
      </c>
      <c r="V41" s="50">
        <f>V40*$D$13</f>
        <v/>
      </c>
      <c r="W41" s="50">
        <f>W40*$D$13</f>
        <v/>
      </c>
      <c r="X41" s="51" t="n"/>
    </row>
    <row r="42" ht="18.75" customHeight="1">
      <c r="B42" s="52" t="inlineStr">
        <is>
          <t>Inflow : 政府補助</t>
        </is>
      </c>
      <c r="C42" s="53" t="inlineStr">
        <is>
          <t>-</t>
        </is>
      </c>
      <c r="D42" s="54" t="n"/>
      <c r="E42" s="54" t="n"/>
      <c r="F42" s="54" t="n"/>
      <c r="G42" s="54" t="inlineStr">
        <is>
          <t>-</t>
        </is>
      </c>
      <c r="H42" s="54" t="inlineStr">
        <is>
          <t>-</t>
        </is>
      </c>
      <c r="I42" s="54" t="inlineStr">
        <is>
          <t>-</t>
        </is>
      </c>
      <c r="J42" s="54" t="inlineStr">
        <is>
          <t>-</t>
        </is>
      </c>
      <c r="K42" s="54" t="inlineStr">
        <is>
          <t>-</t>
        </is>
      </c>
      <c r="L42" s="54" t="inlineStr">
        <is>
          <t>-</t>
        </is>
      </c>
      <c r="M42" s="54" t="inlineStr">
        <is>
          <t>-</t>
        </is>
      </c>
      <c r="N42" s="54" t="inlineStr">
        <is>
          <t>-</t>
        </is>
      </c>
      <c r="O42" s="54" t="inlineStr">
        <is>
          <t>-</t>
        </is>
      </c>
      <c r="P42" s="54" t="inlineStr">
        <is>
          <t>-</t>
        </is>
      </c>
      <c r="Q42" s="54" t="inlineStr">
        <is>
          <t>-</t>
        </is>
      </c>
      <c r="R42" s="54" t="inlineStr">
        <is>
          <t>-</t>
        </is>
      </c>
      <c r="S42" s="54" t="inlineStr">
        <is>
          <t>-</t>
        </is>
      </c>
      <c r="T42" s="54" t="inlineStr">
        <is>
          <t>-</t>
        </is>
      </c>
      <c r="U42" s="54" t="inlineStr">
        <is>
          <t>-</t>
        </is>
      </c>
      <c r="V42" s="54" t="inlineStr">
        <is>
          <t>-</t>
        </is>
      </c>
      <c r="W42" s="54" t="inlineStr">
        <is>
          <t>-</t>
        </is>
      </c>
      <c r="X42" s="55" t="n"/>
    </row>
    <row r="43" ht="18.75" customHeight="1">
      <c r="B43" s="56" t="inlineStr">
        <is>
          <t>Inflow : 銀行借款</t>
        </is>
      </c>
      <c r="C43" s="57" t="n"/>
      <c r="D43" s="58" t="n"/>
      <c r="E43" s="58" t="n"/>
      <c r="F43" s="58" t="n"/>
      <c r="G43" s="58" t="n"/>
      <c r="H43" s="58" t="n"/>
      <c r="I43" s="58" t="n"/>
      <c r="J43" s="58" t="n"/>
      <c r="K43" s="58" t="n"/>
      <c r="L43" s="58" t="n"/>
      <c r="M43" s="58" t="n"/>
      <c r="N43" s="58" t="n"/>
      <c r="O43" s="58" t="n"/>
      <c r="P43" s="58" t="n"/>
      <c r="Q43" s="58" t="n"/>
      <c r="R43" s="58" t="n"/>
      <c r="S43" s="58" t="n"/>
      <c r="T43" s="58" t="n"/>
      <c r="U43" s="58" t="n"/>
      <c r="V43" s="58" t="n"/>
      <c r="W43" s="58" t="n"/>
      <c r="X43" s="59" t="n"/>
    </row>
    <row r="44" ht="18.75" customHeight="1">
      <c r="B44" s="60" t="inlineStr">
        <is>
          <t>Outflow : 設備費用</t>
        </is>
      </c>
      <c r="C44" s="53">
        <f>-(D16/(1-D17)+D18)*C4</f>
        <v/>
      </c>
      <c r="D44" s="61" t="n"/>
      <c r="E44" s="54" t="n"/>
      <c r="F44" s="54" t="n"/>
      <c r="G44" s="54" t="n"/>
      <c r="H44" s="54" t="n"/>
      <c r="I44" s="54" t="n"/>
      <c r="J44" s="54" t="n"/>
      <c r="K44" s="54" t="n"/>
      <c r="L44" s="54" t="n"/>
      <c r="M44" s="54" t="n"/>
      <c r="N44" s="54" t="n"/>
      <c r="O44" s="54" t="n"/>
      <c r="P44" s="54" t="n"/>
      <c r="Q44" s="54" t="n"/>
      <c r="R44" s="54" t="n"/>
      <c r="S44" s="54" t="n"/>
      <c r="T44" s="54" t="n"/>
      <c r="U44" s="54" t="n"/>
      <c r="V44" s="54" t="n"/>
      <c r="W44" s="54" t="n"/>
      <c r="X44" s="55" t="n"/>
    </row>
    <row r="45" ht="18.75" customHeight="1">
      <c r="B45" s="60" t="inlineStr">
        <is>
          <t>Outflow : 設備放置區域租金</t>
        </is>
      </c>
      <c r="C45" s="53" t="inlineStr">
        <is>
          <t>-</t>
        </is>
      </c>
      <c r="D45" s="54" t="n">
        <v>0</v>
      </c>
      <c r="E45" s="54" t="n">
        <v>-290201.25</v>
      </c>
      <c r="F45" s="54" t="n">
        <v>-290201.25</v>
      </c>
      <c r="G45" s="54" t="n">
        <v>-290201.25</v>
      </c>
      <c r="H45" s="54" t="n">
        <v>-290201.25</v>
      </c>
      <c r="I45" s="54" t="n">
        <v>-290201.25</v>
      </c>
      <c r="J45" s="54" t="n">
        <v>-290201.25</v>
      </c>
      <c r="K45" s="54" t="n">
        <v>-290201.25</v>
      </c>
      <c r="L45" s="54" t="n">
        <v>-290201.25</v>
      </c>
      <c r="M45" s="54" t="n">
        <v>-290201.25</v>
      </c>
      <c r="N45" s="54" t="n">
        <v>-290201.25</v>
      </c>
      <c r="O45" s="54" t="n">
        <v>-290201.25</v>
      </c>
      <c r="P45" s="54" t="n">
        <v>-290201.25</v>
      </c>
      <c r="Q45" s="54" t="n">
        <v>-290201.25</v>
      </c>
      <c r="R45" s="54" t="n">
        <v>-290201.25</v>
      </c>
      <c r="S45" s="54" t="n">
        <v>-290201.25</v>
      </c>
      <c r="T45" s="54" t="n">
        <v>-290201.25</v>
      </c>
      <c r="U45" s="54" t="n">
        <v>-290201.25</v>
      </c>
      <c r="V45" s="54" t="n">
        <v>-290201.25</v>
      </c>
      <c r="W45" s="54" t="n">
        <v>-290201.25</v>
      </c>
      <c r="X45" s="55" t="n"/>
    </row>
    <row r="46" ht="18.75" customHeight="1">
      <c r="B46" s="60" t="inlineStr">
        <is>
          <t>Outflow : 返還借款</t>
        </is>
      </c>
      <c r="C46" s="53" t="n"/>
      <c r="D46" s="54" t="n"/>
      <c r="E46" s="54" t="n"/>
      <c r="F46" s="54" t="n"/>
      <c r="G46" s="54" t="n"/>
      <c r="H46" s="54" t="n"/>
      <c r="I46" s="54" t="n"/>
      <c r="J46" s="54" t="n"/>
      <c r="K46" s="54" t="n"/>
      <c r="L46" s="54" t="n"/>
      <c r="M46" s="54" t="n"/>
      <c r="N46" s="54" t="n"/>
      <c r="O46" s="54" t="n"/>
      <c r="P46" s="54" t="n"/>
      <c r="Q46" s="54" t="n"/>
      <c r="R46" s="54" t="n"/>
      <c r="S46" s="54" t="n"/>
      <c r="T46" s="54" t="n"/>
      <c r="U46" s="54" t="n"/>
      <c r="V46" s="54" t="n"/>
      <c r="W46" s="54" t="n"/>
      <c r="X46" s="55" t="n"/>
    </row>
    <row r="47" ht="18.75" customHeight="1">
      <c r="B47" s="60" t="inlineStr">
        <is>
          <t>Outflow : 利息費用</t>
        </is>
      </c>
      <c r="C47" s="53" t="inlineStr">
        <is>
          <t>-</t>
        </is>
      </c>
      <c r="D47" s="54" t="n"/>
      <c r="E47" s="54" t="n"/>
      <c r="F47" s="54" t="n"/>
      <c r="G47" s="54" t="n"/>
      <c r="H47" s="54" t="n"/>
      <c r="I47" s="54" t="n"/>
      <c r="J47" s="54" t="n"/>
      <c r="K47" s="54" t="n"/>
      <c r="L47" s="54" t="n"/>
      <c r="M47" s="54" t="n"/>
      <c r="N47" s="54" t="n"/>
      <c r="O47" s="54" t="n"/>
      <c r="P47" s="54" t="n"/>
      <c r="Q47" s="54" t="n"/>
      <c r="R47" s="54" t="n"/>
      <c r="S47" s="54" t="n"/>
      <c r="T47" s="54" t="n"/>
      <c r="U47" s="54" t="n"/>
      <c r="V47" s="54" t="n"/>
      <c r="W47" s="54" t="n"/>
      <c r="X47" s="55" t="n"/>
    </row>
    <row r="48" ht="18.75" customHeight="1">
      <c r="B48" s="60" t="inlineStr">
        <is>
          <t>Outflow : 維運費</t>
        </is>
      </c>
      <c r="C48" s="53" t="inlineStr">
        <is>
          <t>-</t>
        </is>
      </c>
      <c r="D48" s="54" t="n">
        <v>-174440</v>
      </c>
      <c r="E48" s="54" t="n">
        <v>-174440</v>
      </c>
      <c r="F48" s="54" t="n">
        <v>-174440</v>
      </c>
      <c r="G48" s="54" t="n">
        <v>-174440</v>
      </c>
      <c r="H48" s="54" t="n">
        <v>-174440</v>
      </c>
      <c r="I48" s="54" t="n">
        <v>-174440</v>
      </c>
      <c r="J48" s="54" t="n">
        <v>-174440</v>
      </c>
      <c r="K48" s="54" t="n">
        <v>-174440</v>
      </c>
      <c r="L48" s="54" t="n">
        <v>-174440</v>
      </c>
      <c r="M48" s="54" t="n">
        <v>-174440</v>
      </c>
      <c r="N48" s="54" t="n">
        <v>-174440</v>
      </c>
      <c r="O48" s="54" t="n">
        <v>-174440</v>
      </c>
      <c r="P48" s="54" t="n">
        <v>-174440</v>
      </c>
      <c r="Q48" s="54" t="n">
        <v>-174440</v>
      </c>
      <c r="R48" s="54" t="n">
        <v>-174440</v>
      </c>
      <c r="S48" s="54" t="n">
        <v>-174440</v>
      </c>
      <c r="T48" s="54" t="n">
        <v>-174440</v>
      </c>
      <c r="U48" s="54" t="n">
        <v>-174440</v>
      </c>
      <c r="V48" s="54" t="n">
        <v>-174440</v>
      </c>
      <c r="W48" s="54" t="n">
        <v>-174440</v>
      </c>
      <c r="X48" s="55" t="n"/>
    </row>
    <row r="49" ht="18.75" customHeight="1">
      <c r="B49" s="60" t="inlineStr">
        <is>
          <t>Outflow : 保險費</t>
        </is>
      </c>
      <c r="C49" s="53" t="inlineStr">
        <is>
          <t>-</t>
        </is>
      </c>
      <c r="D49" s="54" t="n">
        <v>-28782.6</v>
      </c>
      <c r="E49" s="54" t="n">
        <v>-28782.6</v>
      </c>
      <c r="F49" s="54" t="n">
        <v>-28782.6</v>
      </c>
      <c r="G49" s="54" t="n">
        <v>-28782.6</v>
      </c>
      <c r="H49" s="54" t="n">
        <v>-28782.6</v>
      </c>
      <c r="I49" s="54" t="n">
        <v>-28782.6</v>
      </c>
      <c r="J49" s="54" t="n">
        <v>-28782.6</v>
      </c>
      <c r="K49" s="54" t="n">
        <v>-28782.6</v>
      </c>
      <c r="L49" s="54" t="n">
        <v>-28782.6</v>
      </c>
      <c r="M49" s="54" t="n">
        <v>-28782.6</v>
      </c>
      <c r="N49" s="54" t="n">
        <v>-28782.6</v>
      </c>
      <c r="O49" s="54" t="n">
        <v>-28782.6</v>
      </c>
      <c r="P49" s="54" t="n">
        <v>-28782.6</v>
      </c>
      <c r="Q49" s="54" t="n">
        <v>-28782.6</v>
      </c>
      <c r="R49" s="54" t="n">
        <v>-28782.6</v>
      </c>
      <c r="S49" s="54" t="n">
        <v>-28782.6</v>
      </c>
      <c r="T49" s="54" t="n">
        <v>-28782.6</v>
      </c>
      <c r="U49" s="54" t="n">
        <v>-28782.6</v>
      </c>
      <c r="V49" s="54" t="n">
        <v>-28782.6</v>
      </c>
      <c r="W49" s="54" t="n">
        <v>-28782.6</v>
      </c>
      <c r="X49" s="55" t="n"/>
    </row>
    <row r="50" ht="18.75" customHeight="1">
      <c r="B50" s="60" t="inlineStr">
        <is>
          <t>Outflow : 模組回收費</t>
        </is>
      </c>
      <c r="C50" s="53" t="n"/>
      <c r="D50" s="54" t="n">
        <v>-43610</v>
      </c>
      <c r="E50" s="54" t="n">
        <v>-43610</v>
      </c>
      <c r="F50" s="54" t="n">
        <v>-43610</v>
      </c>
      <c r="G50" s="54" t="n">
        <v>-43610</v>
      </c>
      <c r="H50" s="54" t="n">
        <v>-43610</v>
      </c>
      <c r="I50" s="54" t="n">
        <v>-43610</v>
      </c>
      <c r="J50" s="54" t="n">
        <v>-43610</v>
      </c>
      <c r="K50" s="54" t="n">
        <v>-43610</v>
      </c>
      <c r="L50" s="54" t="n">
        <v>-43610</v>
      </c>
      <c r="M50" s="54" t="n">
        <v>-43610</v>
      </c>
      <c r="N50" s="54" t="n">
        <v>0</v>
      </c>
      <c r="O50" s="54" t="n">
        <v>0</v>
      </c>
      <c r="P50" s="54" t="n">
        <v>0</v>
      </c>
      <c r="Q50" s="54" t="n">
        <v>0</v>
      </c>
      <c r="R50" s="54" t="n">
        <v>0</v>
      </c>
      <c r="S50" s="54" t="n">
        <v>0</v>
      </c>
      <c r="T50" s="54" t="n">
        <v>0</v>
      </c>
      <c r="U50" s="54" t="n">
        <v>0</v>
      </c>
      <c r="V50" s="54" t="n">
        <v>0</v>
      </c>
      <c r="W50" s="54" t="n">
        <v>0</v>
      </c>
      <c r="X50" s="55" t="n"/>
    </row>
    <row r="51" ht="18.75" customHeight="1">
      <c r="B51" s="60" t="inlineStr">
        <is>
          <t>Outflow : 其它費用(人事薪資…等)</t>
        </is>
      </c>
      <c r="C51" s="62" t="n"/>
      <c r="D51" s="63" t="n"/>
      <c r="E51" s="64" t="n"/>
      <c r="F51" s="54" t="n"/>
      <c r="G51" s="54" t="n"/>
      <c r="H51" s="54" t="n"/>
      <c r="I51" s="54" t="n"/>
      <c r="J51" s="54" t="n"/>
      <c r="K51" s="54" t="n"/>
      <c r="L51" s="54" t="n"/>
      <c r="M51" s="54" t="n"/>
      <c r="N51" s="54" t="n"/>
      <c r="O51" s="54" t="n"/>
      <c r="P51" s="54" t="n"/>
      <c r="Q51" s="54" t="n"/>
      <c r="R51" s="54" t="n"/>
      <c r="S51" s="54" t="n"/>
      <c r="T51" s="54" t="n"/>
      <c r="U51" s="54" t="n"/>
      <c r="V51" s="54" t="n"/>
      <c r="W51" s="54" t="n"/>
      <c r="X51" s="55" t="n"/>
    </row>
    <row r="52" ht="18.75" customHeight="1">
      <c r="B52" s="60" t="inlineStr">
        <is>
          <t>1%管理費</t>
        </is>
      </c>
      <c r="C52" s="62" t="n"/>
      <c r="D52" s="54" t="n"/>
      <c r="E52" s="54" t="n"/>
      <c r="F52" s="54" t="n"/>
      <c r="G52" s="54" t="n"/>
      <c r="H52" s="54" t="n"/>
      <c r="I52" s="54" t="n"/>
      <c r="J52" s="54" t="n"/>
      <c r="K52" s="54" t="n"/>
      <c r="L52" s="54" t="n"/>
      <c r="M52" s="54" t="n"/>
      <c r="N52" s="54" t="n"/>
      <c r="O52" s="54" t="n"/>
      <c r="P52" s="54" t="n"/>
      <c r="Q52" s="54" t="n"/>
      <c r="R52" s="54" t="n"/>
      <c r="S52" s="54" t="n"/>
      <c r="T52" s="54" t="n"/>
      <c r="U52" s="54" t="n"/>
      <c r="V52" s="54" t="n"/>
      <c r="W52" s="54" t="n"/>
      <c r="X52" s="55" t="n"/>
    </row>
    <row r="53" ht="18.75" customHeight="1">
      <c r="B53" s="65" t="inlineStr">
        <is>
          <t>績效獎金</t>
        </is>
      </c>
      <c r="C53" s="62" t="n"/>
      <c r="D53" s="66" t="n"/>
      <c r="E53" s="66" t="n"/>
      <c r="F53" s="54" t="n"/>
      <c r="G53" s="54" t="n"/>
      <c r="H53" s="54" t="n"/>
      <c r="I53" s="54" t="n"/>
      <c r="J53" s="54" t="n"/>
      <c r="K53" s="54" t="n"/>
      <c r="L53" s="54" t="n"/>
      <c r="M53" s="54" t="n"/>
      <c r="N53" s="54" t="n"/>
      <c r="O53" s="54" t="n"/>
      <c r="P53" s="54" t="n"/>
      <c r="Q53" s="54" t="n"/>
      <c r="R53" s="54" t="n"/>
      <c r="S53" s="54" t="n"/>
      <c r="T53" s="54" t="n"/>
      <c r="U53" s="54" t="n"/>
      <c r="V53" s="54" t="n"/>
      <c r="W53" s="54" t="n"/>
      <c r="X53" s="55" t="n"/>
    </row>
    <row r="54" ht="18.75" customHeight="1">
      <c r="B54" s="65" t="inlineStr">
        <is>
          <t>所得稅20%</t>
        </is>
      </c>
      <c r="C54" s="62" t="n"/>
      <c r="D54" s="54">
        <f>-(D69+D72+D73+D76+D77+D78+D79)*0.2</f>
        <v/>
      </c>
      <c r="E54" s="54">
        <f>-(E69+E72+E73+E76+E77+E78+E79)*0.2</f>
        <v/>
      </c>
      <c r="F54" s="54">
        <f>-(F69+F72+F73+F76+F77+F78+F79)*0.2</f>
        <v/>
      </c>
      <c r="G54" s="54">
        <f>-(G69+G72+G73+G76+G77+G78+G79)*0.2</f>
        <v/>
      </c>
      <c r="H54" s="54">
        <f>-(H69+H72+H73+H76+H77+H78+H79)*0.2</f>
        <v/>
      </c>
      <c r="I54" s="54">
        <f>-(I69+I72+I73+I76+I77+I78+I79)*0.2</f>
        <v/>
      </c>
      <c r="J54" s="54">
        <f>-(J69+J72+J73+J76+J77+J78+J79)*0.2</f>
        <v/>
      </c>
      <c r="K54" s="54">
        <f>-(K69+K72+K73+K76+K77+K78+K79)*0.2</f>
        <v/>
      </c>
      <c r="L54" s="54">
        <f>-(L69+L72+L73+L76+L77+L78+L79)*0.2</f>
        <v/>
      </c>
      <c r="M54" s="54">
        <f>-(M69+M72+M73+M76+M77+M78+M79)*0.2</f>
        <v/>
      </c>
      <c r="N54" s="54">
        <f>-(N69+N72+N73+N76+N77+N78+N79)*0.2</f>
        <v/>
      </c>
      <c r="O54" s="54">
        <f>-(O69+O72+O73+O76+O77+O78+O79)*0.2</f>
        <v/>
      </c>
      <c r="P54" s="54">
        <f>-(P69+P72+P73+P76+P77+P78+P79)*0.2</f>
        <v/>
      </c>
      <c r="Q54" s="54">
        <f>-(Q69+Q72+Q73+Q76+Q77+Q78+Q79)*0.2</f>
        <v/>
      </c>
      <c r="R54" s="54">
        <f>-(R69+R72+R73+R76+R77+R78+R79)*0.2</f>
        <v/>
      </c>
      <c r="S54" s="54">
        <f>-(S69+S72+S73+S76+S77+S78+S79)*0.2</f>
        <v/>
      </c>
      <c r="T54" s="54">
        <f>-(T69+T72+T73+T76+T77+T78+T79)*0.2</f>
        <v/>
      </c>
      <c r="U54" s="54">
        <f>-(U69+U72+U73+U76+U77+U78+U79)*0.2</f>
        <v/>
      </c>
      <c r="V54" s="54">
        <f>-(V69+V72+V73+V76+V77+V78+V79)*0.2</f>
        <v/>
      </c>
      <c r="W54" s="54">
        <f>-(W69+W72+W73+W76+W77+W78+W79)*0.2</f>
        <v/>
      </c>
      <c r="X54" s="54" t="n"/>
    </row>
    <row r="55" ht="18.75" customHeight="1">
      <c r="B55" s="67" t="inlineStr">
        <is>
          <t>現金流</t>
        </is>
      </c>
      <c r="C55" s="68">
        <f>C44</f>
        <v/>
      </c>
      <c r="D55" s="69">
        <f>SUM(D41:D54)</f>
        <v/>
      </c>
      <c r="E55" s="69">
        <f>SUM(E41:E54)</f>
        <v/>
      </c>
      <c r="F55" s="69">
        <f>SUM(F41:F54)</f>
        <v/>
      </c>
      <c r="G55" s="69">
        <f>SUM(G41:G54)</f>
        <v/>
      </c>
      <c r="H55" s="69">
        <f>SUM(H41:H54)</f>
        <v/>
      </c>
      <c r="I55" s="69">
        <f>SUM(I41:I54)</f>
        <v/>
      </c>
      <c r="J55" s="69">
        <f>SUM(J41:J54)</f>
        <v/>
      </c>
      <c r="K55" s="69">
        <f>SUM(K41:K54)</f>
        <v/>
      </c>
      <c r="L55" s="69">
        <f>SUM(L41:L54)</f>
        <v/>
      </c>
      <c r="M55" s="69">
        <f>SUM(M41:M54)</f>
        <v/>
      </c>
      <c r="N55" s="69">
        <f>SUM(N41:N54)</f>
        <v/>
      </c>
      <c r="O55" s="69">
        <f>SUM(O41:O54)</f>
        <v/>
      </c>
      <c r="P55" s="69">
        <f>SUM(P41:P54)</f>
        <v/>
      </c>
      <c r="Q55" s="69">
        <f>SUM(Q41:Q54)</f>
        <v/>
      </c>
      <c r="R55" s="69">
        <f>SUM(R41:R54)</f>
        <v/>
      </c>
      <c r="S55" s="69">
        <f>SUM(S41:S54)</f>
        <v/>
      </c>
      <c r="T55" s="69">
        <f>SUM(T41:T54)</f>
        <v/>
      </c>
      <c r="U55" s="69">
        <f>SUM(U41:U54)</f>
        <v/>
      </c>
      <c r="V55" s="69">
        <f>SUM(V41:V54)</f>
        <v/>
      </c>
      <c r="W55" s="69">
        <f>SUM(W41:W54)</f>
        <v/>
      </c>
      <c r="X55" s="69" t="n"/>
      <c r="Y55" s="70" t="n"/>
      <c r="Z55" s="71" t="n"/>
      <c r="AA55" s="70" t="n"/>
      <c r="AB55" s="70" t="n"/>
      <c r="AC55" s="70" t="n"/>
      <c r="AD55" s="70" t="n"/>
      <c r="AE55" s="70" t="n"/>
      <c r="AF55" s="70" t="n"/>
      <c r="AG55" s="70" t="n"/>
      <c r="AH55" s="70" t="n"/>
      <c r="AI55" s="70" t="n"/>
      <c r="AJ55" s="70" t="n"/>
    </row>
    <row r="56" ht="18.75" customHeight="1">
      <c r="B56" s="72" t="inlineStr">
        <is>
          <t>累計現金流</t>
        </is>
      </c>
      <c r="D56" s="73">
        <f>C55+D55</f>
        <v/>
      </c>
      <c r="E56" s="73">
        <f>D56+E55</f>
        <v/>
      </c>
      <c r="F56" s="73">
        <f>E56+F55</f>
        <v/>
      </c>
      <c r="G56" s="73">
        <f>F56+G55</f>
        <v/>
      </c>
      <c r="H56" s="73">
        <f>G56+H55</f>
        <v/>
      </c>
      <c r="I56" s="73">
        <f>H56+I55</f>
        <v/>
      </c>
      <c r="J56" s="73">
        <f>I56+J55</f>
        <v/>
      </c>
      <c r="K56" s="73">
        <f>J56+K55</f>
        <v/>
      </c>
      <c r="L56" s="73">
        <f>K56+L55</f>
        <v/>
      </c>
      <c r="M56" s="73">
        <f>L56+M55</f>
        <v/>
      </c>
      <c r="N56" s="73">
        <f>M56+N55</f>
        <v/>
      </c>
      <c r="O56" s="73">
        <f>N56+O55</f>
        <v/>
      </c>
      <c r="P56" s="73">
        <f>O56+P55</f>
        <v/>
      </c>
      <c r="Q56" s="73">
        <f>P56+Q55</f>
        <v/>
      </c>
      <c r="R56" s="73">
        <f>Q56+R55</f>
        <v/>
      </c>
      <c r="S56" s="73">
        <f>R56+S55</f>
        <v/>
      </c>
      <c r="T56" s="73">
        <f>S56+T55</f>
        <v/>
      </c>
      <c r="U56" s="73">
        <f>T56+U55</f>
        <v/>
      </c>
      <c r="V56" s="73">
        <f>U56+V55</f>
        <v/>
      </c>
      <c r="W56" s="73">
        <f>V56+W55</f>
        <v/>
      </c>
      <c r="X56" s="73">
        <f>W56+X55</f>
        <v/>
      </c>
      <c r="Y56" s="70" t="n"/>
      <c r="Z56" s="70" t="n"/>
      <c r="AA56" s="70" t="n"/>
      <c r="AB56" s="70" t="n"/>
      <c r="AC56" s="70" t="n"/>
      <c r="AD56" s="70" t="n"/>
      <c r="AE56" s="70" t="n"/>
      <c r="AF56" s="70" t="n"/>
      <c r="AG56" s="70" t="n"/>
      <c r="AH56" s="70" t="n"/>
      <c r="AI56" s="70" t="n"/>
      <c r="AJ56" s="70" t="n"/>
    </row>
    <row r="57" ht="18.75" customHeight="1">
      <c r="B57" s="74" t="n"/>
      <c r="C57" s="75" t="n"/>
      <c r="D57" s="76" t="n"/>
      <c r="E57" s="76" t="n"/>
      <c r="F57" s="77" t="n"/>
      <c r="G57" s="77" t="n"/>
      <c r="H57" s="77" t="n"/>
      <c r="I57" s="77" t="n"/>
      <c r="J57" s="77" t="n"/>
      <c r="K57" s="77" t="n"/>
      <c r="L57" s="77" t="n"/>
      <c r="M57" s="77" t="n"/>
      <c r="N57" s="77" t="n"/>
      <c r="O57" s="77" t="n"/>
      <c r="P57" s="77" t="n"/>
      <c r="Q57" s="77" t="n"/>
      <c r="R57" s="77" t="n"/>
      <c r="S57" s="77" t="n"/>
      <c r="T57" s="77" t="n"/>
      <c r="U57" s="77" t="n"/>
      <c r="V57" s="77" t="n"/>
      <c r="W57" s="77" t="n"/>
      <c r="X57" s="78" t="n"/>
      <c r="Y57" s="70" t="n"/>
      <c r="Z57" s="70" t="n"/>
      <c r="AA57" s="70" t="n"/>
      <c r="AB57" s="70" t="n"/>
      <c r="AC57" s="70" t="n"/>
      <c r="AD57" s="70" t="n"/>
      <c r="AE57" s="70" t="n"/>
      <c r="AF57" s="70" t="n"/>
      <c r="AG57" s="70" t="n"/>
      <c r="AH57" s="70" t="n"/>
      <c r="AI57" s="70" t="n"/>
      <c r="AJ57" s="70" t="n"/>
    </row>
    <row r="58" ht="18.75" customHeight="1">
      <c r="B58" s="74" t="n"/>
      <c r="C58" s="79" t="n"/>
      <c r="D58" s="66" t="n"/>
      <c r="E58" s="66" t="n"/>
      <c r="F58" s="66" t="n"/>
      <c r="G58" s="66" t="n"/>
      <c r="H58" s="66" t="n"/>
      <c r="I58" s="66" t="n"/>
      <c r="J58" s="66" t="n"/>
      <c r="K58" s="66" t="n"/>
      <c r="L58" s="66" t="n"/>
      <c r="M58" s="66" t="n"/>
      <c r="N58" s="66" t="n"/>
      <c r="O58" s="66" t="n"/>
      <c r="P58" s="66" t="n"/>
      <c r="Q58" s="66" t="n"/>
      <c r="R58" s="66" t="n"/>
      <c r="S58" s="66" t="n"/>
      <c r="T58" s="66" t="n"/>
      <c r="U58" s="66" t="n"/>
      <c r="V58" s="66" t="n"/>
      <c r="W58" s="66" t="n"/>
      <c r="X58" s="80" t="n"/>
      <c r="Y58" s="70" t="n"/>
      <c r="Z58" s="70" t="n"/>
      <c r="AA58" s="70" t="n"/>
      <c r="AB58" s="70" t="n"/>
      <c r="AC58" s="70" t="n"/>
      <c r="AD58" s="70" t="n"/>
      <c r="AE58" s="70" t="n"/>
      <c r="AF58" s="70" t="n"/>
      <c r="AG58" s="70" t="n"/>
      <c r="AH58" s="70" t="n"/>
      <c r="AI58" s="70" t="n"/>
      <c r="AJ58" s="70" t="n"/>
    </row>
    <row r="59" ht="18.75" customHeight="1">
      <c r="B59" s="74" t="n"/>
      <c r="C59" s="79" t="n"/>
      <c r="D59" s="66" t="n"/>
      <c r="E59" s="66" t="n"/>
      <c r="F59" s="66" t="n"/>
      <c r="G59" s="66" t="n"/>
      <c r="H59" s="66" t="n"/>
      <c r="I59" s="66" t="n"/>
      <c r="J59" s="66" t="n"/>
      <c r="K59" s="66" t="n"/>
      <c r="L59" s="66" t="n"/>
      <c r="M59" s="66" t="n"/>
      <c r="N59" s="66" t="n"/>
      <c r="O59" s="66" t="n"/>
      <c r="P59" s="66" t="n"/>
      <c r="Q59" s="66" t="n"/>
      <c r="R59" s="66" t="n"/>
      <c r="S59" s="66" t="n"/>
      <c r="T59" s="66" t="n"/>
      <c r="U59" s="66" t="n"/>
      <c r="V59" s="66" t="n"/>
      <c r="W59" s="66" t="n"/>
      <c r="X59" s="80" t="n"/>
      <c r="Y59" s="70" t="n"/>
      <c r="Z59" s="70" t="n"/>
      <c r="AA59" s="70" t="n"/>
      <c r="AB59" s="70" t="n"/>
      <c r="AC59" s="70" t="n"/>
      <c r="AD59" s="70" t="n"/>
      <c r="AE59" s="70" t="n"/>
      <c r="AF59" s="70" t="n"/>
      <c r="AG59" s="70" t="n"/>
      <c r="AH59" s="70" t="n"/>
      <c r="AI59" s="70" t="n"/>
      <c r="AJ59" s="70" t="n"/>
    </row>
    <row r="60" ht="18.75" customHeight="1">
      <c r="B60" s="81" t="n"/>
      <c r="C60" s="82" t="n"/>
      <c r="D60" s="83" t="n"/>
      <c r="E60" s="83" t="n"/>
      <c r="F60" s="83" t="n"/>
      <c r="G60" s="83" t="n"/>
      <c r="H60" s="83" t="n"/>
      <c r="I60" s="83" t="n"/>
      <c r="J60" s="83" t="n"/>
      <c r="K60" s="83" t="n"/>
      <c r="L60" s="83" t="n"/>
      <c r="M60" s="83" t="n"/>
      <c r="N60" s="83" t="n"/>
      <c r="O60" s="83" t="n"/>
      <c r="P60" s="83" t="n"/>
      <c r="Q60" s="83" t="n"/>
      <c r="R60" s="83" t="n"/>
      <c r="S60" s="83" t="n"/>
      <c r="T60" s="83" t="n"/>
      <c r="U60" s="83" t="n"/>
      <c r="V60" s="83" t="n"/>
      <c r="W60" s="83" t="n"/>
      <c r="X60" s="84" t="n"/>
      <c r="Y60" s="70" t="n"/>
      <c r="Z60" s="70" t="n"/>
      <c r="AA60" s="70" t="n"/>
      <c r="AB60" s="70" t="n"/>
      <c r="AC60" s="70" t="n"/>
      <c r="AD60" s="70" t="n"/>
      <c r="AE60" s="70" t="n"/>
      <c r="AF60" s="70" t="n"/>
      <c r="AG60" s="70" t="n"/>
      <c r="AH60" s="70" t="n"/>
      <c r="AI60" s="70" t="n"/>
      <c r="AJ60" s="70" t="n"/>
    </row>
    <row r="61" ht="18.75" customHeight="1">
      <c r="B61" s="85" t="n"/>
      <c r="C61" s="86" t="n"/>
      <c r="D61" s="87" t="n"/>
      <c r="E61" s="87" t="n"/>
      <c r="F61" s="88" t="n"/>
      <c r="G61" s="88" t="n"/>
      <c r="H61" s="88" t="n"/>
      <c r="I61" s="88" t="n"/>
      <c r="J61" s="88" t="n"/>
      <c r="K61" s="88" t="n"/>
      <c r="L61" s="88" t="n"/>
      <c r="M61" s="88" t="n"/>
      <c r="N61" s="88" t="n"/>
      <c r="O61" s="88" t="n"/>
      <c r="P61" s="88" t="n"/>
      <c r="Q61" s="88" t="n"/>
      <c r="R61" s="88" t="n"/>
      <c r="S61" s="88" t="n"/>
      <c r="T61" s="88" t="n"/>
      <c r="U61" s="88" t="n"/>
      <c r="V61" s="88" t="n"/>
      <c r="W61" s="88" t="n"/>
      <c r="X61" s="89" t="n"/>
      <c r="Y61" s="70" t="n"/>
      <c r="Z61" s="70" t="n"/>
      <c r="AA61" s="70" t="n"/>
      <c r="AB61" s="70" t="n"/>
      <c r="AC61" s="70" t="n"/>
      <c r="AD61" s="70" t="n"/>
      <c r="AE61" s="70" t="n"/>
      <c r="AF61" s="70" t="n"/>
      <c r="AG61" s="70" t="n"/>
      <c r="AH61" s="70" t="n"/>
      <c r="AI61" s="70" t="n"/>
      <c r="AJ61" s="70" t="n"/>
    </row>
    <row r="62" ht="18.75" customHeight="1">
      <c r="B62" s="90" t="inlineStr">
        <is>
          <t>回收年限評估</t>
        </is>
      </c>
      <c r="C62" s="91" t="n"/>
      <c r="D62" s="92">
        <f>IF((D56)&gt;0,"回收","未回收")</f>
        <v/>
      </c>
      <c r="E62" s="92">
        <f>IF((E56)&gt;0,"回收","未回收")</f>
        <v/>
      </c>
      <c r="F62" s="92">
        <f>IF((F56)&gt;0,"回收","未回收")</f>
        <v/>
      </c>
      <c r="G62" s="92">
        <f>IF((G56)&gt;0,"回收","未回收")</f>
        <v/>
      </c>
      <c r="H62" s="92">
        <f>IF((H56)&gt;0,"回收","未回收")</f>
        <v/>
      </c>
      <c r="I62" s="92">
        <f>IF((I56)&gt;0,"回收","未回收")</f>
        <v/>
      </c>
      <c r="J62" s="92">
        <f>IF((J56)&gt;0,"回收","未回收")</f>
        <v/>
      </c>
      <c r="K62" s="92">
        <f>IF((K56)&gt;0,"回收","未回收")</f>
        <v/>
      </c>
      <c r="L62" s="92">
        <f>IF((L56)&gt;0,"回收","未回收")</f>
        <v/>
      </c>
      <c r="M62" s="92">
        <f>IF((M56)&gt;0,"回收","未回收")</f>
        <v/>
      </c>
      <c r="N62" s="92">
        <f>IF((N56)&gt;0,"回收","未回收")</f>
        <v/>
      </c>
      <c r="O62" s="92">
        <f>IF((O56)&gt;0,"回收","未回收")</f>
        <v/>
      </c>
      <c r="P62" s="92">
        <f>IF((P56)&gt;0,"回收","未回收")</f>
        <v/>
      </c>
      <c r="Q62" s="92">
        <f>IF((Q56)&gt;0,"回收","未回收")</f>
        <v/>
      </c>
      <c r="R62" s="92">
        <f>IF((R56)&gt;0,"回收","未回收")</f>
        <v/>
      </c>
      <c r="S62" s="92">
        <f>IF((S56)&gt;0,"回收","未回收")</f>
        <v/>
      </c>
      <c r="T62" s="92">
        <f>IF((T56)&gt;0,"回收","未回收")</f>
        <v/>
      </c>
      <c r="U62" s="92">
        <f>IF((U56)&gt;0,"回收","未回收")</f>
        <v/>
      </c>
      <c r="V62" s="92">
        <f>IF((V56)&gt;0,"回收","未回收")</f>
        <v/>
      </c>
      <c r="W62" s="92">
        <f>IF((W56)&gt;0,"回收","未回收")</f>
        <v/>
      </c>
      <c r="X62" s="92">
        <f>IF((X56)&gt;0,"回收","未回收")</f>
        <v/>
      </c>
      <c r="Y62" s="70" t="n"/>
      <c r="Z62" s="70" t="n"/>
      <c r="AA62" s="70" t="n"/>
      <c r="AB62" s="70" t="n"/>
      <c r="AC62" s="70" t="n"/>
      <c r="AD62" s="70" t="n"/>
      <c r="AE62" s="70" t="n"/>
      <c r="AF62" s="70" t="n"/>
      <c r="AG62" s="70" t="n"/>
      <c r="AH62" s="70" t="n"/>
      <c r="AI62" s="70" t="n"/>
      <c r="AJ62" s="70" t="n"/>
    </row>
    <row r="63" ht="18.75" customHeight="1">
      <c r="B63" s="93" t="inlineStr">
        <is>
          <t>專案法IRR</t>
        </is>
      </c>
      <c r="C63" s="94">
        <f>IRR(C55:W55)</f>
        <v/>
      </c>
      <c r="D63" s="95" t="n"/>
      <c r="E63" s="95" t="n"/>
      <c r="F63" s="96" t="n"/>
      <c r="G63" s="96" t="n"/>
      <c r="H63" s="96" t="n"/>
      <c r="I63" s="96" t="n"/>
      <c r="J63" s="96" t="n"/>
      <c r="K63" s="96" t="n"/>
      <c r="L63" s="96" t="n"/>
      <c r="M63" s="96" t="n"/>
      <c r="N63" s="96" t="n"/>
      <c r="O63" s="96" t="n"/>
      <c r="P63" s="96" t="n"/>
      <c r="Q63" s="96" t="n"/>
      <c r="R63" s="96" t="n"/>
      <c r="S63" s="96" t="n"/>
      <c r="T63" s="96" t="n"/>
      <c r="U63" s="96" t="n"/>
      <c r="V63" s="96" t="n"/>
      <c r="W63" s="96" t="n"/>
      <c r="X63" s="96" t="n"/>
      <c r="Y63" s="97" t="n"/>
      <c r="Z63" s="97" t="n"/>
      <c r="AA63" s="97" t="n"/>
      <c r="AB63" s="97" t="n"/>
      <c r="AC63" s="97" t="n"/>
      <c r="AD63" s="97" t="n"/>
      <c r="AE63" s="97" t="n"/>
      <c r="AF63" s="97" t="n"/>
      <c r="AG63" s="97" t="n"/>
      <c r="AH63" s="97" t="n"/>
      <c r="AI63" s="97" t="n"/>
      <c r="AJ63" s="97" t="n"/>
    </row>
    <row r="64" ht="18.75" customHeight="1">
      <c r="B64" s="96" t="n"/>
      <c r="C64" s="95" t="n"/>
      <c r="D64" s="95" t="n"/>
      <c r="E64" s="95" t="n"/>
      <c r="F64" s="96" t="n"/>
      <c r="G64" s="96" t="n"/>
      <c r="H64" s="96" t="n"/>
      <c r="I64" s="96" t="n"/>
      <c r="J64" s="96" t="n"/>
      <c r="K64" s="96" t="n"/>
      <c r="L64" s="96" t="n"/>
      <c r="M64" s="95" t="n"/>
      <c r="N64" s="96" t="n"/>
      <c r="O64" s="96" t="n"/>
      <c r="P64" s="96" t="n"/>
      <c r="Q64" s="96" t="n"/>
      <c r="R64" s="96" t="n"/>
      <c r="S64" s="96" t="n"/>
      <c r="T64" s="96" t="n"/>
      <c r="U64" s="96" t="n"/>
      <c r="V64" s="96" t="n"/>
      <c r="W64" s="96" t="n"/>
      <c r="X64" s="96" t="n"/>
      <c r="Y64" s="97" t="n"/>
      <c r="Z64" s="97" t="n"/>
      <c r="AA64" s="97" t="n"/>
      <c r="AB64" s="97" t="n"/>
      <c r="AC64" s="97" t="n"/>
      <c r="AD64" s="97" t="n"/>
      <c r="AE64" s="97" t="n"/>
      <c r="AF64" s="97" t="n"/>
      <c r="AG64" s="97" t="n"/>
      <c r="AH64" s="97" t="n"/>
      <c r="AI64" s="97" t="n"/>
      <c r="AJ64" s="97" t="n"/>
    </row>
    <row r="65" ht="18.75" customHeight="1">
      <c r="B65" s="30" t="n"/>
      <c r="C65" s="31" t="inlineStr">
        <is>
          <t>年份</t>
        </is>
      </c>
      <c r="D65" s="31">
        <f>D37</f>
        <v/>
      </c>
      <c r="E65" s="31">
        <f>E37</f>
        <v/>
      </c>
      <c r="F65" s="31">
        <f>F37</f>
        <v/>
      </c>
      <c r="G65" s="31">
        <f>G37</f>
        <v/>
      </c>
      <c r="H65" s="31">
        <f>H37</f>
        <v/>
      </c>
      <c r="I65" s="31">
        <f>I37</f>
        <v/>
      </c>
      <c r="J65" s="31">
        <f>J37</f>
        <v/>
      </c>
      <c r="K65" s="31">
        <f>K37</f>
        <v/>
      </c>
      <c r="L65" s="31">
        <f>L37</f>
        <v/>
      </c>
      <c r="M65" s="31">
        <f>M37</f>
        <v/>
      </c>
      <c r="N65" s="31">
        <f>N37</f>
        <v/>
      </c>
      <c r="O65" s="31">
        <f>O37</f>
        <v/>
      </c>
      <c r="P65" s="31">
        <f>P37</f>
        <v/>
      </c>
      <c r="Q65" s="31">
        <f>Q37</f>
        <v/>
      </c>
      <c r="R65" s="31">
        <f>R37</f>
        <v/>
      </c>
      <c r="S65" s="31">
        <f>S37</f>
        <v/>
      </c>
      <c r="T65" s="31">
        <f>T37</f>
        <v/>
      </c>
      <c r="U65" s="31">
        <f>U37</f>
        <v/>
      </c>
      <c r="V65" s="31">
        <f>V37</f>
        <v/>
      </c>
      <c r="W65" s="31">
        <f>W37</f>
        <v/>
      </c>
      <c r="X65" s="31" t="n"/>
      <c r="Y65" s="98" t="n"/>
      <c r="Z65" s="98" t="n"/>
      <c r="AA65" s="98" t="n"/>
      <c r="AB65" s="98" t="n"/>
      <c r="AC65" s="98" t="n"/>
      <c r="AD65" s="98" t="n"/>
      <c r="AE65" s="98" t="n"/>
      <c r="AF65" s="98" t="n"/>
      <c r="AG65" s="98" t="n"/>
      <c r="AH65" s="98" t="n"/>
      <c r="AI65" s="98" t="n"/>
      <c r="AJ65" s="98" t="n"/>
    </row>
    <row r="66" ht="18.75" customHeight="1">
      <c r="B66" s="32" t="n">
        <v>0</v>
      </c>
      <c r="C66" s="33" t="n"/>
      <c r="D66" s="34" t="n"/>
      <c r="E66" s="34" t="n"/>
      <c r="F66" s="35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99" t="inlineStr">
        <is>
          <t>償還年限</t>
        </is>
      </c>
      <c r="U66" s="36" t="n"/>
      <c r="V66" s="36" t="n"/>
      <c r="W66" s="36" t="n"/>
      <c r="X66" s="38" t="n"/>
    </row>
    <row r="67" ht="18.75" customHeight="1">
      <c r="B67" s="39" t="inlineStr">
        <is>
          <t>(Unit : Currency)</t>
        </is>
      </c>
      <c r="C67" s="40" t="n">
        <v>0</v>
      </c>
      <c r="D67" s="41" t="n">
        <v>1</v>
      </c>
      <c r="E67" s="41" t="n">
        <v>2</v>
      </c>
      <c r="F67" s="41" t="n">
        <v>3</v>
      </c>
      <c r="G67" s="41" t="n">
        <v>4</v>
      </c>
      <c r="H67" s="41" t="n">
        <v>5</v>
      </c>
      <c r="I67" s="41" t="n">
        <v>6</v>
      </c>
      <c r="J67" s="41" t="n">
        <v>7</v>
      </c>
      <c r="K67" s="41" t="n">
        <v>8</v>
      </c>
      <c r="L67" s="41" t="n">
        <v>9</v>
      </c>
      <c r="M67" s="41" t="n">
        <v>10</v>
      </c>
      <c r="N67" s="41" t="n">
        <v>11</v>
      </c>
      <c r="O67" s="41" t="n">
        <v>12</v>
      </c>
      <c r="P67" s="41" t="n">
        <v>13</v>
      </c>
      <c r="Q67" s="41" t="n">
        <v>14</v>
      </c>
      <c r="R67" s="41" t="n">
        <v>15</v>
      </c>
      <c r="S67" s="41" t="n">
        <v>16</v>
      </c>
      <c r="T67" s="100" t="n">
        <v>17</v>
      </c>
      <c r="U67" s="41" t="n">
        <v>18</v>
      </c>
      <c r="V67" s="41" t="n">
        <v>19</v>
      </c>
      <c r="W67" s="41" t="n">
        <v>20</v>
      </c>
      <c r="X67" s="43" t="n"/>
    </row>
    <row r="68" ht="18.75" customHeight="1">
      <c r="B68" s="44" t="inlineStr">
        <is>
          <t>發電度數(KWH)</t>
        </is>
      </c>
      <c r="C68" s="45" t="n">
        <v>0</v>
      </c>
      <c r="D68" s="46">
        <f>D40</f>
        <v/>
      </c>
      <c r="E68" s="46">
        <f>E40</f>
        <v/>
      </c>
      <c r="F68" s="46">
        <f>F40</f>
        <v/>
      </c>
      <c r="G68" s="46">
        <f>G40</f>
        <v/>
      </c>
      <c r="H68" s="46">
        <f>H40</f>
        <v/>
      </c>
      <c r="I68" s="46">
        <f>I40</f>
        <v/>
      </c>
      <c r="J68" s="46">
        <f>J40</f>
        <v/>
      </c>
      <c r="K68" s="46">
        <f>K40</f>
        <v/>
      </c>
      <c r="L68" s="46">
        <f>L40</f>
        <v/>
      </c>
      <c r="M68" s="46">
        <f>M40</f>
        <v/>
      </c>
      <c r="N68" s="46">
        <f>N40</f>
        <v/>
      </c>
      <c r="O68" s="46">
        <f>O40</f>
        <v/>
      </c>
      <c r="P68" s="46">
        <f>P40</f>
        <v/>
      </c>
      <c r="Q68" s="46">
        <f>Q40</f>
        <v/>
      </c>
      <c r="R68" s="46">
        <f>R40</f>
        <v/>
      </c>
      <c r="S68" s="46">
        <f>S40</f>
        <v/>
      </c>
      <c r="T68" s="46">
        <f>T40</f>
        <v/>
      </c>
      <c r="U68" s="46">
        <f>U40</f>
        <v/>
      </c>
      <c r="V68" s="46">
        <f>V40</f>
        <v/>
      </c>
      <c r="W68" s="46">
        <f>W40</f>
        <v/>
      </c>
      <c r="X68" s="47" t="n"/>
    </row>
    <row r="69" ht="18.75" customHeight="1">
      <c r="B69" s="48" t="inlineStr">
        <is>
          <t>Inflow : 電費收入</t>
        </is>
      </c>
      <c r="C69" s="49" t="inlineStr">
        <is>
          <t>-</t>
        </is>
      </c>
      <c r="D69" s="50">
        <f>D41</f>
        <v/>
      </c>
      <c r="E69" s="50">
        <f>E41</f>
        <v/>
      </c>
      <c r="F69" s="50">
        <f>F41</f>
        <v/>
      </c>
      <c r="G69" s="50">
        <f>G41</f>
        <v/>
      </c>
      <c r="H69" s="50">
        <f>H41</f>
        <v/>
      </c>
      <c r="I69" s="50">
        <f>I41</f>
        <v/>
      </c>
      <c r="J69" s="50">
        <f>J41</f>
        <v/>
      </c>
      <c r="K69" s="50">
        <f>K41</f>
        <v/>
      </c>
      <c r="L69" s="50">
        <f>L41</f>
        <v/>
      </c>
      <c r="M69" s="50">
        <f>M41</f>
        <v/>
      </c>
      <c r="N69" s="50">
        <f>N41</f>
        <v/>
      </c>
      <c r="O69" s="50">
        <f>O41</f>
        <v/>
      </c>
      <c r="P69" s="50">
        <f>P41</f>
        <v/>
      </c>
      <c r="Q69" s="50">
        <f>Q41</f>
        <v/>
      </c>
      <c r="R69" s="50">
        <f>R41</f>
        <v/>
      </c>
      <c r="S69" s="50">
        <f>S41</f>
        <v/>
      </c>
      <c r="T69" s="50">
        <f>T41</f>
        <v/>
      </c>
      <c r="U69" s="50">
        <f>U41</f>
        <v/>
      </c>
      <c r="V69" s="50">
        <f>V41</f>
        <v/>
      </c>
      <c r="W69" s="50">
        <f>W41</f>
        <v/>
      </c>
      <c r="X69" s="51" t="n"/>
    </row>
    <row r="70" ht="18.75" customHeight="1">
      <c r="B70" s="52" t="inlineStr">
        <is>
          <t>Inflow : 政府補助</t>
        </is>
      </c>
      <c r="C70" s="53" t="inlineStr">
        <is>
          <t>-</t>
        </is>
      </c>
      <c r="D70" s="54" t="n"/>
      <c r="E70" s="54" t="n"/>
      <c r="F70" s="54" t="n"/>
      <c r="G70" s="54" t="inlineStr">
        <is>
          <t>-</t>
        </is>
      </c>
      <c r="H70" s="54" t="inlineStr">
        <is>
          <t>-</t>
        </is>
      </c>
      <c r="I70" s="54" t="inlineStr">
        <is>
          <t>-</t>
        </is>
      </c>
      <c r="J70" s="54" t="inlineStr">
        <is>
          <t>-</t>
        </is>
      </c>
      <c r="K70" s="54" t="inlineStr">
        <is>
          <t>-</t>
        </is>
      </c>
      <c r="L70" s="54" t="inlineStr">
        <is>
          <t>-</t>
        </is>
      </c>
      <c r="M70" s="54" t="inlineStr">
        <is>
          <t>-</t>
        </is>
      </c>
      <c r="N70" s="54" t="inlineStr">
        <is>
          <t>-</t>
        </is>
      </c>
      <c r="O70" s="54" t="inlineStr">
        <is>
          <t>-</t>
        </is>
      </c>
      <c r="P70" s="54" t="inlineStr">
        <is>
          <t>-</t>
        </is>
      </c>
      <c r="Q70" s="54" t="inlineStr">
        <is>
          <t>-</t>
        </is>
      </c>
      <c r="R70" s="54" t="inlineStr">
        <is>
          <t>-</t>
        </is>
      </c>
      <c r="S70" s="54" t="inlineStr">
        <is>
          <t>-</t>
        </is>
      </c>
      <c r="T70" s="54" t="inlineStr">
        <is>
          <t>-</t>
        </is>
      </c>
      <c r="U70" s="54" t="inlineStr">
        <is>
          <t>-</t>
        </is>
      </c>
      <c r="V70" s="54" t="inlineStr">
        <is>
          <t>-</t>
        </is>
      </c>
      <c r="W70" s="54" t="inlineStr">
        <is>
          <t>-</t>
        </is>
      </c>
      <c r="X70" s="55" t="n"/>
    </row>
    <row r="71" ht="18.75" customHeight="1">
      <c r="B71" s="56" t="inlineStr">
        <is>
          <t>Inflow : 銀行借款</t>
        </is>
      </c>
      <c r="C71" s="57" t="n"/>
      <c r="D71" s="58" t="n"/>
      <c r="E71" s="58" t="n"/>
      <c r="F71" s="58" t="n"/>
      <c r="G71" s="58" t="n"/>
      <c r="H71" s="58" t="n"/>
      <c r="I71" s="58" t="n"/>
      <c r="J71" s="58" t="n"/>
      <c r="K71" s="58" t="n"/>
      <c r="L71" s="58" t="n"/>
      <c r="M71" s="58" t="n"/>
      <c r="N71" s="58" t="n"/>
      <c r="O71" s="58" t="n"/>
      <c r="P71" s="58" t="n"/>
      <c r="Q71" s="58" t="n"/>
      <c r="R71" s="58" t="n"/>
      <c r="S71" s="58" t="n"/>
      <c r="T71" s="58" t="n"/>
      <c r="U71" s="58" t="n"/>
      <c r="V71" s="58" t="n"/>
      <c r="W71" s="58" t="n"/>
      <c r="X71" s="59" t="n"/>
    </row>
    <row r="72" ht="18.75" customHeight="1">
      <c r="B72" s="60" t="inlineStr">
        <is>
          <t>Outflow : 設備折舊</t>
        </is>
      </c>
      <c r="C72" s="53" t="n"/>
      <c r="D72" s="61">
        <f>$C$44/$E$16</f>
        <v/>
      </c>
      <c r="E72" s="61">
        <f>$C$44/$E$16</f>
        <v/>
      </c>
      <c r="F72" s="61">
        <f>$C$44/$E$16</f>
        <v/>
      </c>
      <c r="G72" s="61">
        <f>$C$44/$E$16</f>
        <v/>
      </c>
      <c r="H72" s="61">
        <f>$C$44/$E$16</f>
        <v/>
      </c>
      <c r="I72" s="61">
        <f>$C$44/$E$16</f>
        <v/>
      </c>
      <c r="J72" s="61">
        <f>$C$44/$E$16</f>
        <v/>
      </c>
      <c r="K72" s="61">
        <f>$C$44/$E$16</f>
        <v/>
      </c>
      <c r="L72" s="61">
        <f>$C$44/$E$16</f>
        <v/>
      </c>
      <c r="M72" s="61">
        <f>$C$44/$E$16</f>
        <v/>
      </c>
      <c r="N72" s="61">
        <f>$C$44/$E$16</f>
        <v/>
      </c>
      <c r="O72" s="61">
        <f>$C$44/$E$16</f>
        <v/>
      </c>
      <c r="P72" s="61">
        <f>$C$44/$E$16</f>
        <v/>
      </c>
      <c r="Q72" s="61">
        <f>$C$44/$E$16</f>
        <v/>
      </c>
      <c r="R72" s="61">
        <f>$C$44/$E$16</f>
        <v/>
      </c>
      <c r="S72" s="61">
        <f>$C$44/$E$16</f>
        <v/>
      </c>
      <c r="T72" s="61">
        <f>$C$44/$E$16</f>
        <v/>
      </c>
      <c r="U72" s="61">
        <f>$C$44/$E$16</f>
        <v/>
      </c>
      <c r="V72" s="61">
        <f>$C$44/$E$16</f>
        <v/>
      </c>
      <c r="W72" s="61">
        <f>$C$44/$E$16</f>
        <v/>
      </c>
      <c r="X72" s="55" t="n"/>
    </row>
    <row r="73" ht="18.75" customHeight="1">
      <c r="B73" s="60" t="inlineStr">
        <is>
          <t>Outflow : 設備放置區域租金</t>
        </is>
      </c>
      <c r="C73" s="53" t="inlineStr">
        <is>
          <t>-</t>
        </is>
      </c>
      <c r="D73" s="54">
        <f>D45</f>
        <v/>
      </c>
      <c r="E73" s="54">
        <f>E45</f>
        <v/>
      </c>
      <c r="F73" s="54">
        <f>F45</f>
        <v/>
      </c>
      <c r="G73" s="54">
        <f>G45</f>
        <v/>
      </c>
      <c r="H73" s="54">
        <f>H45</f>
        <v/>
      </c>
      <c r="I73" s="54">
        <f>I45</f>
        <v/>
      </c>
      <c r="J73" s="54">
        <f>J45</f>
        <v/>
      </c>
      <c r="K73" s="54">
        <f>K45</f>
        <v/>
      </c>
      <c r="L73" s="54">
        <f>L45</f>
        <v/>
      </c>
      <c r="M73" s="54">
        <f>M45</f>
        <v/>
      </c>
      <c r="N73" s="54">
        <f>N45</f>
        <v/>
      </c>
      <c r="O73" s="54">
        <f>O45</f>
        <v/>
      </c>
      <c r="P73" s="54">
        <f>P45</f>
        <v/>
      </c>
      <c r="Q73" s="54">
        <f>Q45</f>
        <v/>
      </c>
      <c r="R73" s="54">
        <f>R45</f>
        <v/>
      </c>
      <c r="S73" s="54">
        <f>S45</f>
        <v/>
      </c>
      <c r="T73" s="54">
        <f>T45</f>
        <v/>
      </c>
      <c r="U73" s="54">
        <f>U45</f>
        <v/>
      </c>
      <c r="V73" s="54">
        <f>V45</f>
        <v/>
      </c>
      <c r="W73" s="54">
        <f>W45</f>
        <v/>
      </c>
      <c r="X73" s="55" t="n"/>
    </row>
    <row r="74" ht="18.75" customHeight="1">
      <c r="B74" s="60" t="inlineStr">
        <is>
          <t>Outflow : 返還借款</t>
        </is>
      </c>
      <c r="C74" s="53" t="n"/>
      <c r="D74" s="54" t="n"/>
      <c r="E74" s="54" t="n"/>
      <c r="F74" s="54" t="n"/>
      <c r="G74" s="54" t="n"/>
      <c r="H74" s="54" t="n"/>
      <c r="I74" s="54" t="n"/>
      <c r="J74" s="54" t="n"/>
      <c r="K74" s="54" t="n"/>
      <c r="L74" s="54" t="n"/>
      <c r="M74" s="54" t="n"/>
      <c r="N74" s="54" t="n"/>
      <c r="O74" s="54" t="n"/>
      <c r="P74" s="54" t="n"/>
      <c r="Q74" s="54" t="n"/>
      <c r="R74" s="54" t="n"/>
      <c r="S74" s="54" t="n"/>
      <c r="T74" s="54" t="n"/>
      <c r="U74" s="54" t="n"/>
      <c r="V74" s="54" t="n"/>
      <c r="W74" s="54" t="n"/>
      <c r="X74" s="55" t="n"/>
    </row>
    <row r="75" ht="18.75" customHeight="1">
      <c r="B75" s="60" t="inlineStr">
        <is>
          <t>Outflow : 利息費用</t>
        </is>
      </c>
      <c r="C75" s="53" t="inlineStr">
        <is>
          <t>-</t>
        </is>
      </c>
      <c r="D75" s="54" t="n">
        <v>-263422.7162</v>
      </c>
      <c r="E75" s="54" t="n">
        <v>-245861.2017866667</v>
      </c>
      <c r="F75" s="54" t="n">
        <v>-228299.6873733333</v>
      </c>
      <c r="G75" s="54" t="n">
        <v>-210738.17296</v>
      </c>
      <c r="H75" s="54" t="n">
        <v>-193176.6585466667</v>
      </c>
      <c r="I75" s="54" t="n">
        <v>-175615.1441333333</v>
      </c>
      <c r="J75" s="54" t="n">
        <v>-158053.62972</v>
      </c>
      <c r="K75" s="54" t="n">
        <v>-140492.1153066667</v>
      </c>
      <c r="L75" s="54" t="n">
        <v>-122930.6008933333</v>
      </c>
      <c r="M75" s="54" t="n">
        <v>-105369.08648</v>
      </c>
      <c r="N75" s="54" t="n">
        <v>-87807.57206666666</v>
      </c>
      <c r="O75" s="54" t="n">
        <v>-70246.05765333334</v>
      </c>
      <c r="P75" s="54" t="n">
        <v>-52684.54324</v>
      </c>
      <c r="Q75" s="54" t="n">
        <v>-35123.02882666667</v>
      </c>
      <c r="R75" s="54" t="n">
        <v>-17561.51441333333</v>
      </c>
      <c r="S75" s="54" t="n">
        <v>0</v>
      </c>
      <c r="T75" s="54" t="n">
        <v>0</v>
      </c>
      <c r="U75" s="54" t="n">
        <v>0</v>
      </c>
      <c r="V75" s="54" t="n">
        <v>0</v>
      </c>
      <c r="W75" s="54" t="n">
        <v>0</v>
      </c>
      <c r="X75" s="55" t="n"/>
    </row>
    <row r="76" ht="18.75" customHeight="1">
      <c r="B76" s="60" t="inlineStr">
        <is>
          <t>Outflow : 維運費</t>
        </is>
      </c>
      <c r="C76" s="53" t="inlineStr">
        <is>
          <t>-</t>
        </is>
      </c>
      <c r="D76" s="54">
        <f>D48</f>
        <v/>
      </c>
      <c r="E76" s="54">
        <f>E48</f>
        <v/>
      </c>
      <c r="F76" s="54">
        <f>F48</f>
        <v/>
      </c>
      <c r="G76" s="54">
        <f>G48</f>
        <v/>
      </c>
      <c r="H76" s="54">
        <f>H48</f>
        <v/>
      </c>
      <c r="I76" s="54">
        <f>I48</f>
        <v/>
      </c>
      <c r="J76" s="54">
        <f>J48</f>
        <v/>
      </c>
      <c r="K76" s="54">
        <f>K48</f>
        <v/>
      </c>
      <c r="L76" s="54">
        <f>L48</f>
        <v/>
      </c>
      <c r="M76" s="54">
        <f>M48</f>
        <v/>
      </c>
      <c r="N76" s="54">
        <f>N48</f>
        <v/>
      </c>
      <c r="O76" s="54">
        <f>O48</f>
        <v/>
      </c>
      <c r="P76" s="54">
        <f>P48</f>
        <v/>
      </c>
      <c r="Q76" s="54">
        <f>Q48</f>
        <v/>
      </c>
      <c r="R76" s="54">
        <f>R48</f>
        <v/>
      </c>
      <c r="S76" s="54">
        <f>S48</f>
        <v/>
      </c>
      <c r="T76" s="54">
        <f>T48</f>
        <v/>
      </c>
      <c r="U76" s="54">
        <f>U48</f>
        <v/>
      </c>
      <c r="V76" s="54">
        <f>V48</f>
        <v/>
      </c>
      <c r="W76" s="54">
        <f>W48</f>
        <v/>
      </c>
      <c r="X76" s="55" t="n"/>
    </row>
    <row r="77" ht="18.75" customHeight="1">
      <c r="B77" s="60" t="inlineStr">
        <is>
          <t>Outflow : 保險費</t>
        </is>
      </c>
      <c r="C77" s="53" t="inlineStr">
        <is>
          <t>-</t>
        </is>
      </c>
      <c r="D77" s="54">
        <f>D49</f>
        <v/>
      </c>
      <c r="E77" s="54">
        <f>E49</f>
        <v/>
      </c>
      <c r="F77" s="54">
        <f>F49</f>
        <v/>
      </c>
      <c r="G77" s="54">
        <f>G49</f>
        <v/>
      </c>
      <c r="H77" s="54">
        <f>H49</f>
        <v/>
      </c>
      <c r="I77" s="54">
        <f>I49</f>
        <v/>
      </c>
      <c r="J77" s="54">
        <f>J49</f>
        <v/>
      </c>
      <c r="K77" s="54">
        <f>K49</f>
        <v/>
      </c>
      <c r="L77" s="54">
        <f>L49</f>
        <v/>
      </c>
      <c r="M77" s="54">
        <f>M49</f>
        <v/>
      </c>
      <c r="N77" s="54">
        <f>N49</f>
        <v/>
      </c>
      <c r="O77" s="54">
        <f>O49</f>
        <v/>
      </c>
      <c r="P77" s="54">
        <f>P49</f>
        <v/>
      </c>
      <c r="Q77" s="54">
        <f>Q49</f>
        <v/>
      </c>
      <c r="R77" s="54">
        <f>R49</f>
        <v/>
      </c>
      <c r="S77" s="54">
        <f>S49</f>
        <v/>
      </c>
      <c r="T77" s="54">
        <f>T49</f>
        <v/>
      </c>
      <c r="U77" s="54">
        <f>U49</f>
        <v/>
      </c>
      <c r="V77" s="54">
        <f>V49</f>
        <v/>
      </c>
      <c r="W77" s="54">
        <f>W49</f>
        <v/>
      </c>
      <c r="X77" s="55" t="n"/>
    </row>
    <row r="78" ht="18.75" customHeight="1">
      <c r="B78" s="60" t="inlineStr">
        <is>
          <t>Outflow : 模組回收費</t>
        </is>
      </c>
      <c r="C78" s="53" t="n"/>
      <c r="D78" s="54">
        <f>D50</f>
        <v/>
      </c>
      <c r="E78" s="54">
        <f>E50</f>
        <v/>
      </c>
      <c r="F78" s="54">
        <f>F50</f>
        <v/>
      </c>
      <c r="G78" s="54">
        <f>G50</f>
        <v/>
      </c>
      <c r="H78" s="54">
        <f>H50</f>
        <v/>
      </c>
      <c r="I78" s="54">
        <f>I50</f>
        <v/>
      </c>
      <c r="J78" s="54">
        <f>J50</f>
        <v/>
      </c>
      <c r="K78" s="54">
        <f>K50</f>
        <v/>
      </c>
      <c r="L78" s="54">
        <f>L50</f>
        <v/>
      </c>
      <c r="M78" s="54">
        <f>M50</f>
        <v/>
      </c>
      <c r="N78" s="54">
        <f>N50</f>
        <v/>
      </c>
      <c r="O78" s="54">
        <f>O50</f>
        <v/>
      </c>
      <c r="P78" s="54">
        <f>P50</f>
        <v/>
      </c>
      <c r="Q78" s="54">
        <f>Q50</f>
        <v/>
      </c>
      <c r="R78" s="54">
        <f>R50</f>
        <v/>
      </c>
      <c r="S78" s="54">
        <f>S50</f>
        <v/>
      </c>
      <c r="T78" s="54">
        <f>T50</f>
        <v/>
      </c>
      <c r="U78" s="54">
        <f>U50</f>
        <v/>
      </c>
      <c r="V78" s="54">
        <f>V50</f>
        <v/>
      </c>
      <c r="W78" s="54">
        <f>W50</f>
        <v/>
      </c>
      <c r="X78" s="55" t="n"/>
    </row>
    <row r="79" ht="18.75" customHeight="1">
      <c r="B79" s="60" t="inlineStr">
        <is>
          <t>Outflow : 其它費用(人事薪資…等)</t>
        </is>
      </c>
      <c r="C79" s="62" t="n"/>
      <c r="D79" s="63" t="n"/>
      <c r="E79" s="64" t="n"/>
      <c r="F79" s="54" t="n"/>
      <c r="G79" s="54" t="n"/>
      <c r="H79" s="54" t="n"/>
      <c r="I79" s="54" t="n"/>
      <c r="J79" s="54" t="n"/>
      <c r="K79" s="54" t="n"/>
      <c r="L79" s="54" t="n"/>
      <c r="M79" s="54" t="n"/>
      <c r="N79" s="54" t="n"/>
      <c r="O79" s="54" t="n"/>
      <c r="P79" s="54" t="n"/>
      <c r="Q79" s="54" t="n"/>
      <c r="R79" s="54" t="n"/>
      <c r="S79" s="54" t="n"/>
      <c r="T79" s="54" t="n"/>
      <c r="U79" s="54" t="n"/>
      <c r="V79" s="54" t="n"/>
      <c r="W79" s="54" t="n"/>
      <c r="X79" s="55" t="n"/>
    </row>
    <row r="80" ht="18.75" customHeight="1">
      <c r="B80" s="60" t="inlineStr">
        <is>
          <t>1%管理費</t>
        </is>
      </c>
      <c r="C80" s="62" t="n"/>
      <c r="D80" s="54" t="n"/>
      <c r="E80" s="54" t="n"/>
      <c r="F80" s="54" t="n"/>
      <c r="G80" s="54" t="n"/>
      <c r="H80" s="54" t="n"/>
      <c r="I80" s="54" t="n"/>
      <c r="J80" s="54" t="n"/>
      <c r="K80" s="54" t="n"/>
      <c r="L80" s="54" t="n"/>
      <c r="M80" s="54" t="n"/>
      <c r="N80" s="54" t="n"/>
      <c r="O80" s="54" t="n"/>
      <c r="P80" s="54" t="n"/>
      <c r="Q80" s="54" t="n"/>
      <c r="R80" s="54" t="n"/>
      <c r="S80" s="54" t="n"/>
      <c r="T80" s="54" t="n"/>
      <c r="U80" s="54" t="n"/>
      <c r="V80" s="54" t="n"/>
      <c r="W80" s="54" t="n"/>
      <c r="X80" s="55" t="n"/>
    </row>
    <row r="81" ht="18.75" customHeight="1">
      <c r="B81" s="67" t="inlineStr">
        <is>
          <t>稅前淨利</t>
        </is>
      </c>
      <c r="C81" s="101" t="n"/>
      <c r="D81" s="69">
        <f>SUM(D69:D80)</f>
        <v/>
      </c>
      <c r="E81" s="69">
        <f>SUM(E69:E80)</f>
        <v/>
      </c>
      <c r="F81" s="69">
        <f>SUM(F69:F80)</f>
        <v/>
      </c>
      <c r="G81" s="69">
        <f>SUM(G69:G80)</f>
        <v/>
      </c>
      <c r="H81" s="69">
        <f>SUM(H69:H80)</f>
        <v/>
      </c>
      <c r="I81" s="69">
        <f>SUM(I69:I80)</f>
        <v/>
      </c>
      <c r="J81" s="69">
        <f>SUM(J69:J80)</f>
        <v/>
      </c>
      <c r="K81" s="69">
        <f>SUM(K69:K80)</f>
        <v/>
      </c>
      <c r="L81" s="69">
        <f>SUM(L69:L80)</f>
        <v/>
      </c>
      <c r="M81" s="69">
        <f>SUM(M69:M80)</f>
        <v/>
      </c>
      <c r="N81" s="69">
        <f>SUM(N69:N80)</f>
        <v/>
      </c>
      <c r="O81" s="69">
        <f>SUM(O69:O80)</f>
        <v/>
      </c>
      <c r="P81" s="69">
        <f>SUM(P69:P80)</f>
        <v/>
      </c>
      <c r="Q81" s="69">
        <f>SUM(Q69:Q80)</f>
        <v/>
      </c>
      <c r="R81" s="69">
        <f>SUM(R69:R80)</f>
        <v/>
      </c>
      <c r="S81" s="69">
        <f>SUM(S69:S80)</f>
        <v/>
      </c>
      <c r="T81" s="69">
        <f>SUM(T69:T80)</f>
        <v/>
      </c>
      <c r="U81" s="69">
        <f>SUM(U69:U80)</f>
        <v/>
      </c>
      <c r="V81" s="69">
        <f>SUM(V69:V80)</f>
        <v/>
      </c>
      <c r="W81" s="69">
        <f>SUM(W69:W80)</f>
        <v/>
      </c>
      <c r="X81" s="69">
        <f>SUM(X69:X80)</f>
        <v/>
      </c>
    </row>
    <row r="82" ht="18.75" customHeight="1">
      <c r="B82" s="65" t="inlineStr">
        <is>
          <t>所得稅20%</t>
        </is>
      </c>
      <c r="C82" s="62" t="n"/>
      <c r="D82" s="54">
        <f>-D81*0.2</f>
        <v/>
      </c>
      <c r="E82" s="54">
        <f>-E81*0.2</f>
        <v/>
      </c>
      <c r="F82" s="54">
        <f>-F81*0.2</f>
        <v/>
      </c>
      <c r="G82" s="54">
        <f>-G81*0.2</f>
        <v/>
      </c>
      <c r="H82" s="54">
        <f>-H81*0.2</f>
        <v/>
      </c>
      <c r="I82" s="54">
        <f>-I81*0.2</f>
        <v/>
      </c>
      <c r="J82" s="54">
        <f>-J81*0.2</f>
        <v/>
      </c>
      <c r="K82" s="54">
        <f>-K81*0.2</f>
        <v/>
      </c>
      <c r="L82" s="54">
        <f>-L81*0.2</f>
        <v/>
      </c>
      <c r="M82" s="54">
        <f>-M81*0.2</f>
        <v/>
      </c>
      <c r="N82" s="54">
        <f>-N81*0.2</f>
        <v/>
      </c>
      <c r="O82" s="54">
        <f>-O81*0.2</f>
        <v/>
      </c>
      <c r="P82" s="54">
        <f>-P81*0.2</f>
        <v/>
      </c>
      <c r="Q82" s="54">
        <f>-Q81*0.2</f>
        <v/>
      </c>
      <c r="R82" s="54">
        <f>-R81*0.2</f>
        <v/>
      </c>
      <c r="S82" s="54">
        <f>-S81*0.2</f>
        <v/>
      </c>
      <c r="T82" s="54">
        <f>-T81*0.2</f>
        <v/>
      </c>
      <c r="U82" s="54">
        <f>-U81*0.2</f>
        <v/>
      </c>
      <c r="V82" s="54">
        <f>-V81*0.2</f>
        <v/>
      </c>
      <c r="W82" s="54">
        <f>-W81*0.2</f>
        <v/>
      </c>
      <c r="X82" s="54">
        <f>-X81*0.2</f>
        <v/>
      </c>
    </row>
    <row r="83">
      <c r="B83" s="102" t="inlineStr">
        <is>
          <t>稅後淨利</t>
        </is>
      </c>
      <c r="D83" s="54">
        <f>SUM(D81:D82)</f>
        <v/>
      </c>
      <c r="E83" s="54">
        <f>SUM(E81:E82)</f>
        <v/>
      </c>
      <c r="F83" s="54">
        <f>SUM(F81:F82)</f>
        <v/>
      </c>
      <c r="G83" s="54">
        <f>SUM(G81:G82)</f>
        <v/>
      </c>
      <c r="H83" s="54">
        <f>SUM(H81:H82)</f>
        <v/>
      </c>
      <c r="I83" s="54">
        <f>SUM(I81:I82)</f>
        <v/>
      </c>
      <c r="J83" s="54">
        <f>SUM(J81:J82)</f>
        <v/>
      </c>
      <c r="K83" s="54">
        <f>SUM(K81:K82)</f>
        <v/>
      </c>
      <c r="L83" s="54">
        <f>SUM(L81:L82)</f>
        <v/>
      </c>
      <c r="M83" s="54">
        <f>SUM(M81:M82)</f>
        <v/>
      </c>
      <c r="N83" s="54">
        <f>SUM(N81:N82)</f>
        <v/>
      </c>
      <c r="O83" s="54">
        <f>SUM(O81:O82)</f>
        <v/>
      </c>
      <c r="P83" s="54">
        <f>SUM(P81:P82)</f>
        <v/>
      </c>
      <c r="Q83" s="54">
        <f>SUM(Q81:Q82)</f>
        <v/>
      </c>
      <c r="R83" s="54">
        <f>SUM(R81:R82)</f>
        <v/>
      </c>
      <c r="S83" s="54">
        <f>SUM(S81:S82)</f>
        <v/>
      </c>
      <c r="T83" s="54">
        <f>SUM(T81:T82)</f>
        <v/>
      </c>
      <c r="U83" s="54">
        <f>SUM(U81:U82)</f>
        <v/>
      </c>
      <c r="V83" s="54">
        <f>SUM(V81:V82)</f>
        <v/>
      </c>
      <c r="W83" s="54">
        <f>SUM(W81:W82)</f>
        <v/>
      </c>
      <c r="X83" s="54">
        <f>SUM(X81:X82)</f>
        <v/>
      </c>
    </row>
    <row r="84" ht="18.75" customHeight="1">
      <c r="B84" s="72" t="inlineStr">
        <is>
          <t>累計現金流</t>
        </is>
      </c>
      <c r="C84" s="68" t="n"/>
      <c r="D84" s="73" t="n"/>
      <c r="E84" s="73" t="n"/>
      <c r="F84" s="73" t="n"/>
      <c r="G84" s="73" t="n"/>
      <c r="H84" s="73" t="n"/>
      <c r="I84" s="73" t="n"/>
      <c r="J84" s="73" t="n"/>
      <c r="K84" s="73" t="n"/>
      <c r="L84" s="73" t="n"/>
      <c r="M84" s="73" t="n"/>
      <c r="N84" s="73" t="n"/>
      <c r="O84" s="73" t="n"/>
      <c r="P84" s="73" t="n"/>
      <c r="Q84" s="73" t="n"/>
      <c r="R84" s="73" t="n"/>
      <c r="S84" s="73" t="n"/>
      <c r="T84" s="73" t="n"/>
      <c r="U84" s="73" t="n"/>
      <c r="V84" s="73" t="n"/>
      <c r="W84" s="73" t="n"/>
      <c r="X84" s="103" t="n"/>
    </row>
    <row r="85" ht="18.75" customHeight="1">
      <c r="B85" s="104" t="inlineStr">
        <is>
          <t>回收年限評估</t>
        </is>
      </c>
      <c r="C85" s="105" t="n"/>
      <c r="D85" s="106" t="n"/>
      <c r="E85" s="106" t="n"/>
      <c r="F85" s="106" t="n"/>
      <c r="G85" s="106" t="n"/>
      <c r="H85" s="106" t="n"/>
      <c r="I85" s="106" t="n"/>
      <c r="J85" s="106" t="n"/>
      <c r="K85" s="106" t="n"/>
      <c r="L85" s="106" t="n"/>
      <c r="M85" s="106" t="n"/>
      <c r="N85" s="106" t="n"/>
      <c r="O85" s="106" t="n"/>
      <c r="P85" s="106" t="n"/>
      <c r="Q85" s="106" t="n"/>
      <c r="R85" s="106" t="n"/>
      <c r="S85" s="106" t="n"/>
      <c r="T85" s="106" t="n"/>
      <c r="U85" s="106" t="n"/>
      <c r="V85" s="106" t="n"/>
      <c r="W85" s="106" t="n"/>
      <c r="X85" s="107" t="n"/>
    </row>
    <row r="86" ht="18.75" customHeight="1">
      <c r="B86" s="96" t="n"/>
      <c r="C86" s="95" t="n"/>
      <c r="D86" s="95" t="n"/>
      <c r="E86" s="95" t="n"/>
      <c r="F86" s="96" t="n"/>
      <c r="G86" s="96" t="n"/>
      <c r="H86" s="96" t="n"/>
      <c r="I86" s="96" t="n"/>
      <c r="J86" s="96" t="n"/>
      <c r="K86" s="96" t="n"/>
      <c r="L86" s="96" t="n"/>
      <c r="M86" s="95" t="n"/>
      <c r="N86" s="96" t="n"/>
      <c r="O86" s="96" t="n"/>
      <c r="P86" s="96" t="n"/>
      <c r="Q86" s="96" t="n"/>
      <c r="R86" s="96" t="n"/>
      <c r="S86" s="96" t="n"/>
      <c r="T86" s="96" t="n"/>
      <c r="U86" s="96" t="n"/>
      <c r="V86" s="96" t="n"/>
      <c r="W86" s="96" t="n"/>
      <c r="X86" s="96" t="n"/>
    </row>
    <row r="87" ht="18.75" customHeight="1">
      <c r="C87" s="108" t="inlineStr">
        <is>
          <t>年份</t>
        </is>
      </c>
      <c r="D87" s="109">
        <f>D37</f>
        <v/>
      </c>
      <c r="E87" s="109">
        <f>E37</f>
        <v/>
      </c>
      <c r="F87" s="109">
        <f>F37</f>
        <v/>
      </c>
      <c r="G87" s="109">
        <f>G37</f>
        <v/>
      </c>
      <c r="H87" s="109">
        <f>H37</f>
        <v/>
      </c>
      <c r="I87" s="109">
        <f>I37</f>
        <v/>
      </c>
      <c r="J87" s="109">
        <f>J37</f>
        <v/>
      </c>
      <c r="K87" s="109">
        <f>K37</f>
        <v/>
      </c>
      <c r="L87" s="109">
        <f>L37</f>
        <v/>
      </c>
      <c r="M87" s="109">
        <f>M37</f>
        <v/>
      </c>
      <c r="N87" s="109">
        <f>N37</f>
        <v/>
      </c>
      <c r="O87" s="109">
        <f>O37</f>
        <v/>
      </c>
      <c r="P87" s="109">
        <f>P37</f>
        <v/>
      </c>
      <c r="Q87" s="109">
        <f>Q37</f>
        <v/>
      </c>
      <c r="R87" s="109">
        <f>R37</f>
        <v/>
      </c>
      <c r="S87" s="109">
        <f>S37</f>
        <v/>
      </c>
      <c r="T87" s="109">
        <f>T37</f>
        <v/>
      </c>
      <c r="U87" s="109">
        <f>U37</f>
        <v/>
      </c>
      <c r="V87" s="109">
        <f>V37</f>
        <v/>
      </c>
      <c r="W87" s="109">
        <f>W37</f>
        <v/>
      </c>
      <c r="X87" s="110" t="n"/>
    </row>
    <row r="88" ht="18.75" customHeight="1">
      <c r="X88" s="111" t="n"/>
    </row>
    <row r="89" ht="18.75" customHeight="1">
      <c r="B89" s="112" t="inlineStr">
        <is>
          <t>(Unit : Currency)</t>
        </is>
      </c>
      <c r="C89" s="112" t="n">
        <v>0</v>
      </c>
      <c r="D89" s="112" t="n">
        <v>1</v>
      </c>
      <c r="E89" s="112" t="n">
        <v>2</v>
      </c>
      <c r="F89" s="112" t="n">
        <v>3</v>
      </c>
      <c r="G89" s="112" t="n">
        <v>4</v>
      </c>
      <c r="H89" s="112" t="n">
        <v>5</v>
      </c>
      <c r="I89" s="112" t="n">
        <v>6</v>
      </c>
      <c r="J89" s="112" t="n">
        <v>7</v>
      </c>
      <c r="K89" s="112" t="n">
        <v>8</v>
      </c>
      <c r="L89" s="112" t="n">
        <v>9</v>
      </c>
      <c r="M89" s="112" t="n">
        <v>10</v>
      </c>
      <c r="N89" s="112" t="n">
        <v>11</v>
      </c>
      <c r="O89" s="112" t="n">
        <v>12</v>
      </c>
      <c r="P89" s="112" t="n">
        <v>13</v>
      </c>
      <c r="Q89" s="112" t="n">
        <v>14</v>
      </c>
      <c r="R89" s="112" t="n">
        <v>15</v>
      </c>
      <c r="S89" s="112" t="n">
        <v>16</v>
      </c>
      <c r="T89" s="112" t="n">
        <v>17</v>
      </c>
      <c r="U89" s="112" t="n">
        <v>18</v>
      </c>
      <c r="V89" s="112" t="n">
        <v>19</v>
      </c>
      <c r="W89" s="112" t="n">
        <v>20</v>
      </c>
      <c r="X89" s="113" t="n"/>
    </row>
    <row r="90" ht="18.75" customHeight="1">
      <c r="B90" s="114" t="inlineStr">
        <is>
          <t>稅後淨利</t>
        </is>
      </c>
      <c r="C90" s="114" t="n"/>
      <c r="D90" s="115">
        <f>D83</f>
        <v/>
      </c>
      <c r="E90" s="115">
        <f>E83</f>
        <v/>
      </c>
      <c r="F90" s="115">
        <f>F83</f>
        <v/>
      </c>
      <c r="G90" s="115">
        <f>G83</f>
        <v/>
      </c>
      <c r="H90" s="115">
        <f>H83</f>
        <v/>
      </c>
      <c r="I90" s="115">
        <f>I83</f>
        <v/>
      </c>
      <c r="J90" s="115">
        <f>J83</f>
        <v/>
      </c>
      <c r="K90" s="115">
        <f>K83</f>
        <v/>
      </c>
      <c r="L90" s="115">
        <f>L83</f>
        <v/>
      </c>
      <c r="M90" s="115">
        <f>M83</f>
        <v/>
      </c>
      <c r="N90" s="115">
        <f>N83</f>
        <v/>
      </c>
      <c r="O90" s="115">
        <f>O83</f>
        <v/>
      </c>
      <c r="P90" s="115">
        <f>P83</f>
        <v/>
      </c>
      <c r="Q90" s="115">
        <f>Q83</f>
        <v/>
      </c>
      <c r="R90" s="115">
        <f>R83</f>
        <v/>
      </c>
      <c r="S90" s="115">
        <f>S83</f>
        <v/>
      </c>
      <c r="T90" s="115">
        <f>T83</f>
        <v/>
      </c>
      <c r="U90" s="115">
        <f>U83</f>
        <v/>
      </c>
      <c r="V90" s="115">
        <f>V83</f>
        <v/>
      </c>
      <c r="W90" s="115">
        <f>W83</f>
        <v/>
      </c>
      <c r="X90" s="114" t="n"/>
      <c r="Y90" s="114" t="n"/>
    </row>
    <row r="91">
      <c r="B91" s="114" t="inlineStr">
        <is>
          <t>設備折舊</t>
        </is>
      </c>
      <c r="C91" s="114" t="n"/>
      <c r="D91" s="116">
        <f>-D72</f>
        <v/>
      </c>
      <c r="E91" s="116">
        <f>-E72</f>
        <v/>
      </c>
      <c r="F91" s="116">
        <f>-F72</f>
        <v/>
      </c>
      <c r="G91" s="116">
        <f>-G72</f>
        <v/>
      </c>
      <c r="H91" s="116">
        <f>-H72</f>
        <v/>
      </c>
      <c r="I91" s="116">
        <f>-I72</f>
        <v/>
      </c>
      <c r="J91" s="116">
        <f>-J72</f>
        <v/>
      </c>
      <c r="K91" s="116">
        <f>-K72</f>
        <v/>
      </c>
      <c r="L91" s="116">
        <f>-L72</f>
        <v/>
      </c>
      <c r="M91" s="116">
        <f>-M72</f>
        <v/>
      </c>
      <c r="N91" s="116">
        <f>-N72</f>
        <v/>
      </c>
      <c r="O91" s="116">
        <f>-O72</f>
        <v/>
      </c>
      <c r="P91" s="116">
        <f>-P72</f>
        <v/>
      </c>
      <c r="Q91" s="116">
        <f>-Q72</f>
        <v/>
      </c>
      <c r="R91" s="116">
        <f>-R72</f>
        <v/>
      </c>
      <c r="S91" s="116">
        <f>-S72</f>
        <v/>
      </c>
      <c r="T91" s="116">
        <f>-T72</f>
        <v/>
      </c>
      <c r="U91" s="116">
        <f>-U72</f>
        <v/>
      </c>
      <c r="V91" s="116">
        <f>-V72</f>
        <v/>
      </c>
      <c r="W91" s="116">
        <f>-W72</f>
        <v/>
      </c>
      <c r="X91" s="77" t="n"/>
    </row>
    <row r="92">
      <c r="B92" s="114" t="inlineStr">
        <is>
          <t>營運活動現金流量</t>
        </is>
      </c>
      <c r="C92" s="114" t="n"/>
      <c r="D92" s="117">
        <f>SUM(D90:D91)</f>
        <v/>
      </c>
      <c r="E92" s="117">
        <f>SUM(E90:E91)</f>
        <v/>
      </c>
      <c r="F92" s="117">
        <f>SUM(F90:F91)</f>
        <v/>
      </c>
      <c r="G92" s="117">
        <f>SUM(G90:G91)</f>
        <v/>
      </c>
      <c r="H92" s="117">
        <f>SUM(H90:H91)</f>
        <v/>
      </c>
      <c r="I92" s="117">
        <f>SUM(I90:I91)</f>
        <v/>
      </c>
      <c r="J92" s="117">
        <f>SUM(J90:J91)</f>
        <v/>
      </c>
      <c r="K92" s="117">
        <f>SUM(K90:K91)</f>
        <v/>
      </c>
      <c r="L92" s="117">
        <f>SUM(L90:L91)</f>
        <v/>
      </c>
      <c r="M92" s="117">
        <f>SUM(M90:M91)</f>
        <v/>
      </c>
      <c r="N92" s="117">
        <f>SUM(N90:N91)</f>
        <v/>
      </c>
      <c r="O92" s="117">
        <f>SUM(O90:O91)</f>
        <v/>
      </c>
      <c r="P92" s="117">
        <f>SUM(P90:P91)</f>
        <v/>
      </c>
      <c r="Q92" s="117">
        <f>SUM(Q90:Q91)</f>
        <v/>
      </c>
      <c r="R92" s="117">
        <f>SUM(R90:R91)</f>
        <v/>
      </c>
      <c r="S92" s="117">
        <f>SUM(S90:S91)</f>
        <v/>
      </c>
      <c r="T92" s="117">
        <f>SUM(T90:T91)</f>
        <v/>
      </c>
      <c r="U92" s="117">
        <f>SUM(U90:U91)</f>
        <v/>
      </c>
      <c r="V92" s="117">
        <f>SUM(V90:V91)</f>
        <v/>
      </c>
      <c r="W92" s="117">
        <f>SUM(W90:W91)</f>
        <v/>
      </c>
      <c r="X92" s="118" t="n"/>
    </row>
    <row r="93">
      <c r="B93" s="114" t="n"/>
      <c r="C93" s="114" t="n"/>
      <c r="D93" s="114" t="n"/>
      <c r="E93" s="114" t="n"/>
      <c r="F93" s="119" t="n"/>
      <c r="G93" s="119" t="n"/>
      <c r="H93" s="119" t="n"/>
      <c r="I93" s="119" t="n"/>
      <c r="J93" s="119" t="n"/>
      <c r="K93" s="119" t="n"/>
      <c r="L93" s="119" t="n"/>
      <c r="M93" s="119" t="n"/>
      <c r="N93" s="119" t="n"/>
      <c r="O93" s="119" t="n"/>
      <c r="P93" s="119" t="n"/>
      <c r="Q93" s="119" t="n"/>
      <c r="R93" s="119" t="n"/>
      <c r="S93" s="119" t="n"/>
      <c r="T93" s="119" t="n"/>
      <c r="U93" s="119" t="n"/>
      <c r="V93" s="119" t="n"/>
      <c r="W93" s="119" t="n"/>
      <c r="X93" s="120" t="n"/>
    </row>
    <row r="94">
      <c r="B94" s="121" t="inlineStr">
        <is>
          <t>投資活動-設備支出</t>
        </is>
      </c>
      <c r="C94" s="122" t="n"/>
      <c r="D94" s="123">
        <f>C44</f>
        <v/>
      </c>
      <c r="E94" s="122" t="n"/>
      <c r="F94" s="122" t="n"/>
      <c r="G94" s="122" t="n"/>
      <c r="H94" s="122" t="n"/>
      <c r="I94" s="122" t="n"/>
      <c r="J94" s="122" t="n"/>
      <c r="K94" s="122" t="n"/>
      <c r="L94" s="122" t="n"/>
      <c r="M94" s="122" t="n"/>
      <c r="N94" s="122" t="n"/>
      <c r="O94" s="122" t="n"/>
      <c r="P94" s="122" t="n"/>
      <c r="Q94" s="122" t="n"/>
      <c r="R94" s="122" t="n"/>
      <c r="S94" s="122" t="n"/>
      <c r="T94" s="122" t="n"/>
      <c r="U94" s="122" t="n"/>
      <c r="V94" s="122" t="n"/>
      <c r="W94" s="122" t="n"/>
      <c r="X94" s="77" t="n"/>
    </row>
    <row r="95">
      <c r="B95" s="114" t="n"/>
      <c r="C95" s="114" t="n"/>
      <c r="D95" s="114" t="n"/>
      <c r="E95" s="114" t="n"/>
      <c r="F95" s="119" t="n"/>
      <c r="G95" s="119" t="n"/>
      <c r="H95" s="119" t="n"/>
      <c r="I95" s="119" t="n"/>
      <c r="J95" s="119" t="n"/>
      <c r="K95" s="119" t="n"/>
      <c r="L95" s="119" t="n"/>
      <c r="M95" s="119" t="n"/>
      <c r="N95" s="119" t="n"/>
      <c r="O95" s="119" t="n"/>
      <c r="P95" s="119" t="n"/>
      <c r="Q95" s="119" t="n"/>
      <c r="R95" s="119" t="n"/>
      <c r="S95" s="119" t="n"/>
      <c r="T95" s="119" t="n"/>
      <c r="U95" s="119" t="n"/>
      <c r="V95" s="119" t="n"/>
      <c r="W95" s="119" t="n"/>
      <c r="X95" s="120" t="n"/>
    </row>
    <row r="96">
      <c r="B96" s="114" t="n"/>
      <c r="C96" s="114" t="n"/>
      <c r="D96" s="114" t="n"/>
      <c r="E96" s="114" t="n"/>
      <c r="F96" s="119" t="n"/>
      <c r="G96" s="119" t="n"/>
      <c r="H96" s="119" t="n"/>
      <c r="I96" s="119" t="n"/>
      <c r="J96" s="119" t="n"/>
      <c r="K96" s="119" t="n"/>
      <c r="L96" s="119" t="n"/>
      <c r="M96" s="119" t="n"/>
      <c r="N96" s="119" t="n"/>
      <c r="O96" s="119" t="n"/>
      <c r="P96" s="119" t="n"/>
      <c r="Q96" s="119" t="n"/>
      <c r="R96" s="119" t="n"/>
      <c r="S96" s="119" t="n"/>
      <c r="T96" s="119" t="n"/>
      <c r="U96" s="119" t="n"/>
      <c r="V96" s="119" t="n"/>
      <c r="W96" s="119" t="n"/>
      <c r="X96" s="120" t="n"/>
    </row>
    <row r="97">
      <c r="B97" s="121" t="inlineStr">
        <is>
          <t>理財活動-借款</t>
        </is>
      </c>
      <c r="C97" s="122" t="n"/>
      <c r="D97" s="123">
        <f>-D94*D31</f>
        <v/>
      </c>
      <c r="E97" s="122" t="n"/>
      <c r="F97" s="122" t="n"/>
      <c r="G97" s="122" t="n"/>
      <c r="H97" s="122" t="n"/>
      <c r="I97" s="122" t="n"/>
      <c r="J97" s="122" t="n"/>
      <c r="K97" s="122" t="n"/>
      <c r="L97" s="122" t="n"/>
      <c r="M97" s="122" t="n"/>
      <c r="N97" s="122" t="n"/>
      <c r="O97" s="122" t="n"/>
      <c r="P97" s="122" t="n"/>
      <c r="Q97" s="122" t="n"/>
      <c r="R97" s="122" t="n"/>
      <c r="S97" s="122" t="n"/>
      <c r="T97" s="122" t="n"/>
      <c r="U97" s="122" t="n"/>
      <c r="V97" s="122" t="n"/>
      <c r="W97" s="122" t="n"/>
      <c r="X97" s="120" t="n"/>
    </row>
    <row r="98">
      <c r="B98" s="114" t="inlineStr">
        <is>
          <t>理財活動-還款</t>
        </is>
      </c>
      <c r="C98" s="114" t="n"/>
      <c r="D98" s="114" t="n"/>
      <c r="E98" s="114" t="n">
        <v>-686130.6666666666</v>
      </c>
      <c r="F98" s="114" t="n">
        <v>-686130.6666666666</v>
      </c>
      <c r="G98" s="114" t="n">
        <v>-686130.6666666666</v>
      </c>
      <c r="H98" s="114" t="n">
        <v>-686130.6666666666</v>
      </c>
      <c r="I98" s="114" t="n">
        <v>-686130.6666666666</v>
      </c>
      <c r="J98" s="114" t="n">
        <v>-686130.6666666666</v>
      </c>
      <c r="K98" s="114" t="n">
        <v>-686130.6666666666</v>
      </c>
      <c r="L98" s="114" t="n">
        <v>-686130.6666666666</v>
      </c>
      <c r="M98" s="114" t="n">
        <v>-686130.6666666666</v>
      </c>
      <c r="N98" s="114" t="n">
        <v>-686130.6666666666</v>
      </c>
      <c r="O98" s="114" t="n">
        <v>-686130.6666666666</v>
      </c>
      <c r="P98" s="114" t="n">
        <v>-686130.6666666666</v>
      </c>
      <c r="Q98" s="114" t="n">
        <v>-686130.6666666666</v>
      </c>
      <c r="R98" s="114" t="n">
        <v>-686130.6666666666</v>
      </c>
      <c r="S98" s="114" t="n">
        <v>-686130.6666666666</v>
      </c>
      <c r="T98" s="119" t="n">
        <v>0</v>
      </c>
      <c r="U98" s="119" t="n">
        <v>0</v>
      </c>
      <c r="V98" s="119" t="n">
        <v>0</v>
      </c>
      <c r="W98" s="119" t="n">
        <v>0</v>
      </c>
      <c r="X98" s="77" t="n"/>
    </row>
    <row r="99">
      <c r="B99" s="114" t="inlineStr">
        <is>
          <t>理財活動-現金增資</t>
        </is>
      </c>
      <c r="C99" s="119" t="n"/>
      <c r="D99" s="115">
        <f>-D94*(1-D31)</f>
        <v/>
      </c>
      <c r="E99" s="119" t="n"/>
      <c r="F99" s="119" t="n"/>
      <c r="G99" s="119" t="n"/>
      <c r="H99" s="119" t="n"/>
      <c r="I99" s="119" t="n"/>
      <c r="J99" s="119" t="n"/>
      <c r="K99" s="119" t="n"/>
      <c r="L99" s="119" t="n"/>
      <c r="M99" s="119" t="n"/>
      <c r="N99" s="119" t="n"/>
      <c r="O99" s="119" t="n"/>
      <c r="P99" s="119" t="n"/>
      <c r="Q99" s="119" t="n"/>
      <c r="R99" s="119" t="n"/>
      <c r="S99" s="119" t="n"/>
      <c r="T99" s="119" t="n"/>
      <c r="U99" s="119" t="n"/>
      <c r="V99" s="119" t="n"/>
      <c r="W99" s="119" t="n"/>
      <c r="X99" s="118" t="n"/>
    </row>
    <row r="100">
      <c r="B100" s="114" t="inlineStr">
        <is>
          <t>現金股利</t>
        </is>
      </c>
      <c r="C100" s="119" t="n"/>
      <c r="D100" s="119" t="n"/>
      <c r="E100" s="124">
        <f>-D90*$D$33</f>
        <v/>
      </c>
      <c r="F100" s="124">
        <f>-E90*$D$33</f>
        <v/>
      </c>
      <c r="G100" s="124">
        <f>-F90*$D$33</f>
        <v/>
      </c>
      <c r="H100" s="124">
        <f>-G90*$D$33</f>
        <v/>
      </c>
      <c r="I100" s="124">
        <f>-H90*$D$33</f>
        <v/>
      </c>
      <c r="J100" s="124">
        <f>-I90*$D$33</f>
        <v/>
      </c>
      <c r="K100" s="124">
        <f>-J90*$D$33</f>
        <v/>
      </c>
      <c r="L100" s="124">
        <f>-K90*$D$33</f>
        <v/>
      </c>
      <c r="M100" s="124">
        <f>-L90*$D$33</f>
        <v/>
      </c>
      <c r="N100" s="124">
        <f>-M90*$D$33</f>
        <v/>
      </c>
      <c r="O100" s="124">
        <f>-N90*$D$33</f>
        <v/>
      </c>
      <c r="P100" s="124">
        <f>-O90*$D$33</f>
        <v/>
      </c>
      <c r="Q100" s="124">
        <f>-P90*$D$33</f>
        <v/>
      </c>
      <c r="R100" s="124">
        <f>-Q90*$D$33</f>
        <v/>
      </c>
      <c r="S100" s="124">
        <f>-R90*$D$33</f>
        <v/>
      </c>
      <c r="T100" s="124">
        <f>-S90*$D$33</f>
        <v/>
      </c>
      <c r="U100" s="124">
        <f>-T90*$D$33</f>
        <v/>
      </c>
      <c r="V100" s="124">
        <f>-U90*$D$33</f>
        <v/>
      </c>
      <c r="W100" s="124">
        <f>-V90*$D$33</f>
        <v/>
      </c>
      <c r="X100" s="125">
        <f>-W90</f>
        <v/>
      </c>
    </row>
    <row r="101">
      <c r="B101" s="126" t="inlineStr">
        <is>
          <t>年底減資</t>
        </is>
      </c>
      <c r="C101" s="127" t="n"/>
      <c r="D101" s="127" t="n">
        <v>0</v>
      </c>
      <c r="E101" s="128" t="n">
        <v>0</v>
      </c>
      <c r="F101" s="128" t="n">
        <v>0</v>
      </c>
      <c r="G101" s="128" t="n">
        <v>0</v>
      </c>
      <c r="H101" s="128" t="n">
        <v>0</v>
      </c>
      <c r="I101" s="128" t="n">
        <v>0</v>
      </c>
      <c r="J101" s="128" t="n">
        <v>0</v>
      </c>
      <c r="K101" s="128" t="n">
        <v>0</v>
      </c>
      <c r="L101" s="128" t="n">
        <v>0</v>
      </c>
      <c r="M101" s="128" t="n">
        <v>0</v>
      </c>
      <c r="N101" s="128" t="n">
        <v>0</v>
      </c>
      <c r="O101" s="128" t="n">
        <v>0</v>
      </c>
      <c r="P101" s="128" t="n">
        <v>0</v>
      </c>
      <c r="Q101" s="128" t="n">
        <v>0</v>
      </c>
      <c r="R101" s="129" t="n">
        <v>0</v>
      </c>
      <c r="S101" s="129" t="n">
        <v>0</v>
      </c>
      <c r="T101" s="129" t="n">
        <v>-643247.5</v>
      </c>
      <c r="U101" s="129" t="n">
        <v>-643247.5</v>
      </c>
      <c r="V101" s="128" t="n">
        <v>-643247.5</v>
      </c>
      <c r="W101" s="128" t="n">
        <v>-643247.5</v>
      </c>
      <c r="X101" s="125">
        <f>-W106-X100</f>
        <v/>
      </c>
    </row>
    <row r="102">
      <c r="B102" s="119" t="n"/>
      <c r="C102" s="119" t="n"/>
      <c r="D102" s="119" t="n"/>
      <c r="E102" s="119" t="n"/>
      <c r="F102" s="119" t="n"/>
      <c r="G102" s="119" t="n"/>
      <c r="H102" s="119" t="n"/>
      <c r="I102" s="119" t="n"/>
      <c r="J102" s="119" t="n"/>
      <c r="K102" s="119" t="n"/>
      <c r="L102" s="119" t="n"/>
      <c r="M102" s="119" t="n"/>
      <c r="N102" s="119" t="n"/>
      <c r="O102" s="119" t="n"/>
      <c r="P102" s="119" t="n"/>
      <c r="Q102" s="119" t="n"/>
      <c r="R102" s="119" t="n"/>
      <c r="S102" s="119" t="n"/>
      <c r="T102" s="119" t="n"/>
      <c r="U102" s="119" t="n"/>
      <c r="V102" s="119" t="n"/>
      <c r="W102" s="119" t="n"/>
      <c r="X102" s="118" t="n"/>
    </row>
    <row r="103">
      <c r="B103" s="119" t="n"/>
      <c r="C103" s="119" t="n"/>
      <c r="D103" s="119" t="n"/>
      <c r="E103" s="119" t="n"/>
      <c r="F103" s="119" t="n"/>
      <c r="G103" s="119" t="n"/>
      <c r="H103" s="119" t="n"/>
      <c r="I103" s="119" t="n"/>
      <c r="J103" s="119" t="n"/>
      <c r="K103" s="119" t="n"/>
      <c r="L103" s="119" t="n"/>
      <c r="M103" s="119" t="n"/>
      <c r="N103" s="119" t="n"/>
      <c r="O103" s="119" t="n"/>
      <c r="P103" s="119" t="n"/>
      <c r="Q103" s="119" t="n"/>
      <c r="R103" s="119" t="n"/>
      <c r="S103" s="119" t="n"/>
      <c r="T103" s="119" t="n"/>
      <c r="U103" s="119" t="n"/>
      <c r="V103" s="119" t="n"/>
      <c r="W103" s="119" t="n"/>
      <c r="X103" s="118" t="n"/>
    </row>
    <row r="104" ht="16.5" customHeight="1">
      <c r="B104" s="114" t="inlineStr">
        <is>
          <t>現金淨流入(出 )</t>
        </is>
      </c>
      <c r="C104" s="130" t="n">
        <v>0</v>
      </c>
      <c r="D104" s="115">
        <f>SUM(D92:D101)</f>
        <v/>
      </c>
      <c r="E104" s="115">
        <f>SUM(E92:E101)</f>
        <v/>
      </c>
      <c r="F104" s="115">
        <f>SUM(F92:F101)</f>
        <v/>
      </c>
      <c r="G104" s="115">
        <f>SUM(G92:G101)</f>
        <v/>
      </c>
      <c r="H104" s="115">
        <f>SUM(H92:H101)</f>
        <v/>
      </c>
      <c r="I104" s="115">
        <f>SUM(I92:I101)</f>
        <v/>
      </c>
      <c r="J104" s="115">
        <f>SUM(J92:J101)</f>
        <v/>
      </c>
      <c r="K104" s="115">
        <f>SUM(K92:K101)</f>
        <v/>
      </c>
      <c r="L104" s="115">
        <f>SUM(L92:L101)</f>
        <v/>
      </c>
      <c r="M104" s="115">
        <f>SUM(M92:M101)</f>
        <v/>
      </c>
      <c r="N104" s="115">
        <f>SUM(N92:N101)</f>
        <v/>
      </c>
      <c r="O104" s="115">
        <f>SUM(O92:O101)</f>
        <v/>
      </c>
      <c r="P104" s="115">
        <f>SUM(P92:P101)</f>
        <v/>
      </c>
      <c r="Q104" s="115">
        <f>SUM(Q92:Q101)</f>
        <v/>
      </c>
      <c r="R104" s="115">
        <f>SUM(R92:R101)</f>
        <v/>
      </c>
      <c r="S104" s="115">
        <f>SUM(S92:S101)</f>
        <v/>
      </c>
      <c r="T104" s="115">
        <f>SUM(T92:T101)</f>
        <v/>
      </c>
      <c r="U104" s="115">
        <f>SUM(U92:U101)</f>
        <v/>
      </c>
      <c r="V104" s="115">
        <f>SUM(V92:V101)</f>
        <v/>
      </c>
      <c r="W104" s="115">
        <f>SUM(W92:W101)</f>
        <v/>
      </c>
      <c r="X104" s="118" t="n"/>
    </row>
    <row r="105">
      <c r="B105" s="114" t="inlineStr">
        <is>
          <t>期初淨現金</t>
        </is>
      </c>
      <c r="C105" s="115" t="n">
        <v>0</v>
      </c>
      <c r="D105" s="115">
        <f>C106</f>
        <v/>
      </c>
      <c r="E105" s="115">
        <f>D106</f>
        <v/>
      </c>
      <c r="F105" s="115">
        <f>E106</f>
        <v/>
      </c>
      <c r="G105" s="115">
        <f>F106</f>
        <v/>
      </c>
      <c r="H105" s="115">
        <f>G106</f>
        <v/>
      </c>
      <c r="I105" s="115">
        <f>H106</f>
        <v/>
      </c>
      <c r="J105" s="115">
        <f>I106</f>
        <v/>
      </c>
      <c r="K105" s="115">
        <f>J106</f>
        <v/>
      </c>
      <c r="L105" s="115">
        <f>K106</f>
        <v/>
      </c>
      <c r="M105" s="115">
        <f>L106</f>
        <v/>
      </c>
      <c r="N105" s="115">
        <f>M106</f>
        <v/>
      </c>
      <c r="O105" s="115">
        <f>N106</f>
        <v/>
      </c>
      <c r="P105" s="115">
        <f>O106</f>
        <v/>
      </c>
      <c r="Q105" s="115">
        <f>P106</f>
        <v/>
      </c>
      <c r="R105" s="115">
        <f>Q106</f>
        <v/>
      </c>
      <c r="S105" s="115">
        <f>R106</f>
        <v/>
      </c>
      <c r="T105" s="115">
        <f>S106</f>
        <v/>
      </c>
      <c r="U105" s="115">
        <f>T106</f>
        <v/>
      </c>
      <c r="V105" s="115">
        <f>U106</f>
        <v/>
      </c>
      <c r="W105" s="115">
        <f>V106</f>
        <v/>
      </c>
      <c r="X105" s="120" t="n"/>
    </row>
    <row r="106">
      <c r="B106" s="114" t="inlineStr">
        <is>
          <t>期未淨現金</t>
        </is>
      </c>
      <c r="C106" s="115" t="n">
        <v>0</v>
      </c>
      <c r="D106" s="115">
        <f>D104+D105</f>
        <v/>
      </c>
      <c r="E106" s="115">
        <f>E104+E105</f>
        <v/>
      </c>
      <c r="F106" s="115">
        <f>F104+F105</f>
        <v/>
      </c>
      <c r="G106" s="115">
        <f>G104+G105</f>
        <v/>
      </c>
      <c r="H106" s="115">
        <f>H104+H105</f>
        <v/>
      </c>
      <c r="I106" s="115">
        <f>I104+I105</f>
        <v/>
      </c>
      <c r="J106" s="115">
        <f>J104+J105</f>
        <v/>
      </c>
      <c r="K106" s="115">
        <f>K104+K105</f>
        <v/>
      </c>
      <c r="L106" s="115">
        <f>L104+L105</f>
        <v/>
      </c>
      <c r="M106" s="115">
        <f>M104+M105</f>
        <v/>
      </c>
      <c r="N106" s="115">
        <f>N104+N105</f>
        <v/>
      </c>
      <c r="O106" s="115">
        <f>O104+O105</f>
        <v/>
      </c>
      <c r="P106" s="115">
        <f>P104+P105</f>
        <v/>
      </c>
      <c r="Q106" s="115">
        <f>Q104+Q105</f>
        <v/>
      </c>
      <c r="R106" s="115">
        <f>R104+R105</f>
        <v/>
      </c>
      <c r="S106" s="115">
        <f>S104+S105</f>
        <v/>
      </c>
      <c r="T106" s="115">
        <f>T104+T105</f>
        <v/>
      </c>
      <c r="U106" s="115">
        <f>U104+U105</f>
        <v/>
      </c>
      <c r="V106" s="115">
        <f>V104+V105</f>
        <v/>
      </c>
      <c r="W106" s="115">
        <f>W104+W105</f>
        <v/>
      </c>
      <c r="X106" s="120" t="n"/>
    </row>
    <row r="107">
      <c r="B107" s="114" t="n"/>
      <c r="C107" s="114" t="n"/>
      <c r="D107" s="114" t="n"/>
      <c r="E107" s="114" t="n"/>
      <c r="F107" s="114" t="n"/>
      <c r="G107" s="114" t="n"/>
      <c r="H107" s="114" t="n"/>
      <c r="I107" s="114" t="n"/>
      <c r="J107" s="114" t="n"/>
      <c r="K107" s="114" t="n"/>
      <c r="L107" s="114" t="n"/>
      <c r="M107" s="114" t="n"/>
      <c r="N107" s="114" t="n"/>
      <c r="O107" s="114" t="n"/>
      <c r="P107" s="114" t="n"/>
      <c r="Q107" s="114" t="n"/>
      <c r="R107" s="114" t="n"/>
      <c r="S107" s="114" t="n"/>
      <c r="T107" s="114" t="n"/>
      <c r="U107" s="114" t="n"/>
      <c r="V107" s="114" t="n"/>
      <c r="W107" s="114" t="n"/>
      <c r="X107" s="114" t="n"/>
    </row>
    <row r="108">
      <c r="B108" s="114" t="n"/>
      <c r="C108" s="114" t="n"/>
      <c r="D108" s="114" t="n"/>
      <c r="E108" s="114" t="n"/>
      <c r="F108" s="119" t="n"/>
      <c r="G108" s="114" t="n"/>
      <c r="H108" s="114" t="n"/>
      <c r="I108" s="114" t="n"/>
      <c r="J108" s="114" t="n"/>
      <c r="K108" s="114" t="n"/>
      <c r="L108" s="114" t="n"/>
      <c r="M108" s="114" t="n"/>
      <c r="N108" s="114" t="n"/>
      <c r="O108" s="114" t="n"/>
      <c r="P108" s="114" t="n"/>
      <c r="Q108" s="114" t="n"/>
      <c r="R108" s="114" t="n"/>
      <c r="S108" s="114" t="n"/>
      <c r="T108" s="114" t="n"/>
      <c r="U108" s="114" t="n"/>
      <c r="V108" s="114" t="n"/>
      <c r="W108" s="114" t="n"/>
      <c r="X108" s="114" t="n"/>
    </row>
    <row r="109">
      <c r="B109" s="131" t="inlineStr">
        <is>
          <t>成本法實際現金流</t>
        </is>
      </c>
      <c r="C109" s="132" t="n"/>
      <c r="D109" s="133">
        <f>-D99</f>
        <v/>
      </c>
      <c r="E109" s="117">
        <f>-E100-E101</f>
        <v/>
      </c>
      <c r="F109" s="117">
        <f>-F100-F101</f>
        <v/>
      </c>
      <c r="G109" s="117">
        <f>-G100-G101</f>
        <v/>
      </c>
      <c r="H109" s="117">
        <f>-H100-H101</f>
        <v/>
      </c>
      <c r="I109" s="117">
        <f>-I100-I101</f>
        <v/>
      </c>
      <c r="J109" s="117">
        <f>-J100-J101</f>
        <v/>
      </c>
      <c r="K109" s="117">
        <f>-K100-K101</f>
        <v/>
      </c>
      <c r="L109" s="117">
        <f>-L100-L101</f>
        <v/>
      </c>
      <c r="M109" s="117">
        <f>-M100-M101</f>
        <v/>
      </c>
      <c r="N109" s="117">
        <f>-N100-N101</f>
        <v/>
      </c>
      <c r="O109" s="117">
        <f>-O100-O101</f>
        <v/>
      </c>
      <c r="P109" s="117">
        <f>-P100-P101</f>
        <v/>
      </c>
      <c r="Q109" s="117">
        <f>-Q100-Q101</f>
        <v/>
      </c>
      <c r="R109" s="117">
        <f>-R100-R101</f>
        <v/>
      </c>
      <c r="S109" s="117">
        <f>-S100-S101</f>
        <v/>
      </c>
      <c r="T109" s="117">
        <f>-T100-T101</f>
        <v/>
      </c>
      <c r="U109" s="117">
        <f>-U100-U101</f>
        <v/>
      </c>
      <c r="V109" s="117">
        <f>-V100-V101</f>
        <v/>
      </c>
      <c r="W109" s="117">
        <f>-W100-W101</f>
        <v/>
      </c>
      <c r="X109" s="117">
        <f>-X100-X101</f>
        <v/>
      </c>
    </row>
    <row r="110">
      <c r="B110" s="114" t="inlineStr">
        <is>
          <t>成本法IRR</t>
        </is>
      </c>
      <c r="C110" s="134">
        <f>IRR(D109:X109)</f>
        <v/>
      </c>
      <c r="D110" s="119" t="n"/>
      <c r="E110" s="119" t="n"/>
      <c r="F110" s="114" t="n"/>
      <c r="G110" s="114" t="n"/>
      <c r="H110" s="114" t="n"/>
      <c r="I110" s="114" t="n"/>
      <c r="J110" s="114" t="n"/>
      <c r="K110" s="114" t="n"/>
      <c r="L110" s="114" t="n"/>
      <c r="M110" s="114" t="n"/>
      <c r="N110" s="114" t="n"/>
      <c r="O110" s="114" t="n"/>
      <c r="P110" s="114" t="n"/>
      <c r="Q110" s="114" t="n"/>
      <c r="R110" s="114" t="n"/>
      <c r="S110" s="114" t="n"/>
      <c r="T110" s="114" t="n"/>
      <c r="U110" s="114" t="n"/>
      <c r="V110" s="114" t="n"/>
      <c r="W110" s="114" t="n"/>
      <c r="X110" s="114" t="n"/>
    </row>
    <row r="111">
      <c r="B111" s="131" t="inlineStr">
        <is>
          <t>權益法實際現金流</t>
        </is>
      </c>
      <c r="C111" s="132" t="n"/>
      <c r="D111" s="133">
        <f>D90-D99</f>
        <v/>
      </c>
      <c r="E111" s="117">
        <f>E90</f>
        <v/>
      </c>
      <c r="F111" s="117">
        <f>F90-F101</f>
        <v/>
      </c>
      <c r="G111" s="117">
        <f>G90-G101</f>
        <v/>
      </c>
      <c r="H111" s="117">
        <f>H90-H101</f>
        <v/>
      </c>
      <c r="I111" s="117">
        <f>I90-I101</f>
        <v/>
      </c>
      <c r="J111" s="117">
        <f>J90-J101</f>
        <v/>
      </c>
      <c r="K111" s="117">
        <f>K90-K101</f>
        <v/>
      </c>
      <c r="L111" s="117">
        <f>L90-L101</f>
        <v/>
      </c>
      <c r="M111" s="117">
        <f>M90-M101</f>
        <v/>
      </c>
      <c r="N111" s="117">
        <f>N90-N101</f>
        <v/>
      </c>
      <c r="O111" s="117">
        <f>O90-O101</f>
        <v/>
      </c>
      <c r="P111" s="117">
        <f>P90-P101</f>
        <v/>
      </c>
      <c r="Q111" s="117">
        <f>Q90-Q101</f>
        <v/>
      </c>
      <c r="R111" s="117">
        <f>R90-R101</f>
        <v/>
      </c>
      <c r="S111" s="117">
        <f>S90-S101</f>
        <v/>
      </c>
      <c r="T111" s="117">
        <f>T90-T101</f>
        <v/>
      </c>
      <c r="U111" s="117">
        <f>U90-U101</f>
        <v/>
      </c>
      <c r="V111" s="117">
        <f>V90-V101</f>
        <v/>
      </c>
      <c r="W111" s="117">
        <f>W90-W101</f>
        <v/>
      </c>
      <c r="X111" s="77" t="n"/>
    </row>
    <row r="112">
      <c r="B112" s="131" t="inlineStr">
        <is>
          <t>權益法IRR</t>
        </is>
      </c>
      <c r="C112" s="135">
        <f>IRR(D111:W111)</f>
        <v/>
      </c>
      <c r="D112" s="119" t="n"/>
      <c r="E112" s="119" t="n"/>
      <c r="F112" s="114" t="n"/>
      <c r="G112" s="114" t="n"/>
      <c r="H112" s="114" t="n"/>
      <c r="I112" s="114" t="n"/>
      <c r="J112" s="114" t="n"/>
      <c r="K112" s="114" t="n"/>
      <c r="L112" s="114" t="n"/>
      <c r="M112" s="114" t="n"/>
      <c r="N112" s="114" t="n"/>
      <c r="O112" s="114" t="n"/>
      <c r="P112" s="114" t="n"/>
      <c r="Q112" s="114" t="n"/>
      <c r="R112" s="114" t="n"/>
      <c r="S112" s="114" t="n"/>
      <c r="T112" s="114" t="n"/>
      <c r="U112" s="114" t="n"/>
      <c r="V112" s="114" t="n"/>
      <c r="W112" s="114" t="n"/>
      <c r="X112" s="114" t="n"/>
    </row>
    <row r="113">
      <c r="B113" s="114" t="n"/>
      <c r="C113" s="114" t="n"/>
      <c r="D113" s="114" t="n"/>
      <c r="E113" s="114" t="n"/>
      <c r="F113" s="114" t="n"/>
      <c r="G113" s="114" t="n"/>
      <c r="H113" s="114" t="n"/>
      <c r="I113" s="114" t="n"/>
      <c r="J113" s="114" t="n"/>
      <c r="K113" s="114" t="n"/>
      <c r="L113" s="114" t="n"/>
      <c r="M113" s="114" t="n"/>
      <c r="N113" s="114" t="n"/>
      <c r="O113" s="114" t="n"/>
      <c r="P113" s="114" t="n"/>
      <c r="Q113" s="114" t="n"/>
      <c r="R113" s="114" t="n"/>
      <c r="S113" s="114" t="n"/>
      <c r="T113" s="114" t="n"/>
      <c r="U113" s="114" t="n"/>
      <c r="V113" s="114" t="n"/>
      <c r="W113" s="114" t="n"/>
      <c r="X113" s="114" t="n"/>
    </row>
    <row r="114">
      <c r="B114" s="114" t="inlineStr">
        <is>
          <t>借款餘額</t>
        </is>
      </c>
      <c r="C114" s="115" t="n">
        <v>0</v>
      </c>
      <c r="D114" s="115">
        <f>D97</f>
        <v/>
      </c>
      <c r="E114" s="115">
        <f>D114+E98</f>
        <v/>
      </c>
      <c r="F114" s="115">
        <f>E114+F98</f>
        <v/>
      </c>
      <c r="G114" s="115">
        <f>F114+G98</f>
        <v/>
      </c>
      <c r="H114" s="115">
        <f>G114+H98</f>
        <v/>
      </c>
      <c r="I114" s="115">
        <f>H114+I98</f>
        <v/>
      </c>
      <c r="J114" s="115">
        <f>I114+J98</f>
        <v/>
      </c>
      <c r="K114" s="115">
        <f>J114+K98</f>
        <v/>
      </c>
      <c r="L114" s="115">
        <f>K114+L98</f>
        <v/>
      </c>
      <c r="M114" s="115">
        <f>L114+M98</f>
        <v/>
      </c>
      <c r="N114" s="115">
        <f>M114+N98</f>
        <v/>
      </c>
      <c r="O114" s="115">
        <f>N114+O98</f>
        <v/>
      </c>
      <c r="P114" s="115">
        <f>O114+P98</f>
        <v/>
      </c>
      <c r="Q114" s="115">
        <f>P114+Q98</f>
        <v/>
      </c>
      <c r="R114" s="115">
        <f>Q114+R98</f>
        <v/>
      </c>
      <c r="S114" s="115">
        <f>R114+S98</f>
        <v/>
      </c>
      <c r="T114" s="115">
        <f>S114+T98</f>
        <v/>
      </c>
      <c r="U114" s="115">
        <f>T114+U98</f>
        <v/>
      </c>
      <c r="V114" s="115">
        <f>U114+V98</f>
        <v/>
      </c>
      <c r="W114" s="115">
        <f>V114+W98</f>
        <v/>
      </c>
      <c r="X114" s="119" t="n"/>
    </row>
    <row r="115"/>
    <row r="116">
      <c r="B116" s="136" t="n"/>
    </row>
    <row r="117" ht="16.5" customHeight="1">
      <c r="G117" s="13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2026-02-03T12:06:04Z</dcterms:created>
  <dcterms:modified xsi:type="dcterms:W3CDTF">2026-02-03T12:06:10Z</dcterms:modified>
</cp:coreProperties>
</file>