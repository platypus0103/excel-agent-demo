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303" yWindow="-660" windowWidth="21795" windowHeight="13695" tabRatio="600" firstSheet="0" activeTab="1" autoFilterDateGrouping="1"/>
  </bookViews>
  <sheets>
    <sheet name="工作表1" sheetId="1" state="visible" r:id="rId1"/>
    <sheet name="工作表2" sheetId="2" state="visible" r:id="rId2"/>
    <sheet name="滾算紀錄單(總紀錄)" sheetId="3" state="visible" r:id="rId3"/>
    <sheet name="滾算紀錄1" sheetId="4" state="visible" r:id="rId4"/>
    <sheet name="滾算紀錄2" sheetId="5" state="visible" r:id="rId5"/>
    <sheet name="滾算紀錄3" sheetId="6" state="visible" r:id="rId6"/>
    <sheet name="滾算紀錄4" sheetId="7" state="visible" r:id="rId7"/>
    <sheet name="滾算紀錄5" sheetId="8" state="visible" r:id="rId8"/>
    <sheet name="滾算紀錄6" sheetId="9" state="visible" r:id="rId9"/>
    <sheet name="滾算紀錄7" sheetId="10" state="visible" r:id="rId10"/>
    <sheet name="滾算紀錄8" sheetId="11" state="visible" r:id="rId11"/>
    <sheet name="滾算紀錄9" sheetId="12" state="visible" r:id="rId12"/>
    <sheet name="滾算紀錄10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#,##0.00%"/>
    <numFmt numFmtId="166" formatCode="#,##0%"/>
  </numFmts>
  <fonts count="34">
    <font>
      <name val="新細明體"/>
      <family val="2"/>
      <color theme="1"/>
      <sz val="11"/>
      <scheme val="minor"/>
    </font>
    <font>
      <name val="微軟正黑體"/>
      <charset val="136"/>
      <family val="2"/>
      <b val="1"/>
      <color theme="0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Calibri"/>
      <charset val="136"/>
      <family val="2"/>
      <color theme="1"/>
      <sz val="12"/>
    </font>
    <font>
      <name val="Calibri"/>
      <family val="2"/>
      <color theme="1"/>
      <sz val="12"/>
    </font>
    <font>
      <name val="Calibri"/>
      <family val="2"/>
      <b val="1"/>
      <color theme="0"/>
      <sz val="12"/>
    </font>
    <font>
      <name val="微軟正黑體"/>
      <family val="2"/>
      <color rgb="FF000000"/>
      <sz val="12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FF0000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b val="1"/>
      <color rgb="FF993366"/>
      <sz val="12"/>
    </font>
    <font>
      <name val="Arial"/>
      <family val="2"/>
      <b val="1"/>
      <color rgb="FF000000"/>
      <sz val="12"/>
    </font>
    <font>
      <name val="新細明體"/>
      <family val="2"/>
      <b val="1"/>
      <color theme="1"/>
      <sz val="12"/>
    </font>
    <font>
      <name val="細明體"/>
      <family val="2"/>
      <b val="1"/>
      <color theme="1"/>
      <sz val="12"/>
    </font>
    <font>
      <name val="新細明體"/>
      <family val="2"/>
      <color rgb="FF000000"/>
      <sz val="10"/>
    </font>
    <font>
      <name val="微軟正黑體"/>
      <family val="2"/>
      <b val="1"/>
      <color rgb="FFFFFFFF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細明體"/>
      <charset val="136"/>
      <family val="3"/>
      <b val="1"/>
      <color rgb="FF000000"/>
      <sz val="12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b val="1"/>
      <color theme="1"/>
      <sz val="11"/>
      <scheme val="minor"/>
    </font>
  </fonts>
  <fills count="17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CC"/>
      </patternFill>
    </fill>
    <fill>
      <patternFill patternType="solid">
        <fgColor rgb="FF376092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4">
    <xf numFmtId="0" fontId="0" fillId="0" borderId="0" pivotButton="0" quotePrefix="0" xfId="0"/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9" fontId="6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3" fontId="0" fillId="0" borderId="0" pivotButton="0" quotePrefix="0" xfId="0"/>
    <xf numFmtId="4" fontId="0" fillId="0" borderId="0" pivotButton="0" quotePrefix="0" xfId="0"/>
    <xf numFmtId="4" fontId="9" fillId="0" borderId="0" applyAlignment="1" pivotButton="0" quotePrefix="0" xfId="0">
      <alignment horizontal="left"/>
    </xf>
    <xf numFmtId="3" fontId="10" fillId="6" borderId="14" applyAlignment="1" pivotButton="0" quotePrefix="0" xfId="0">
      <alignment horizontal="center"/>
    </xf>
    <xf numFmtId="0" fontId="10" fillId="6" borderId="14" applyAlignment="1" pivotButton="0" quotePrefix="0" xfId="0">
      <alignment horizontal="center"/>
    </xf>
    <xf numFmtId="4" fontId="11" fillId="0" borderId="16" applyAlignment="1" pivotButton="0" quotePrefix="0" xfId="0">
      <alignment horizontal="right"/>
    </xf>
    <xf numFmtId="3" fontId="12" fillId="0" borderId="17" applyAlignment="1" pivotButton="0" quotePrefix="0" xfId="0">
      <alignment horizontal="left"/>
    </xf>
    <xf numFmtId="3" fontId="12" fillId="0" borderId="18" applyAlignment="1" pivotButton="0" quotePrefix="0" xfId="0">
      <alignment horizontal="left"/>
    </xf>
    <xf numFmtId="3" fontId="13" fillId="7" borderId="19" applyAlignment="1" pivotButton="0" quotePrefix="0" xfId="0">
      <alignment horizontal="left"/>
    </xf>
    <xf numFmtId="3" fontId="9" fillId="0" borderId="18" applyAlignment="1" pivotButton="0" quotePrefix="0" xfId="0">
      <alignment horizontal="left"/>
    </xf>
    <xf numFmtId="3" fontId="9" fillId="8" borderId="19" applyAlignment="1" pivotButton="0" quotePrefix="0" xfId="0">
      <alignment horizontal="center"/>
    </xf>
    <xf numFmtId="0" fontId="9" fillId="0" borderId="20" applyAlignment="1" pivotButton="0" quotePrefix="0" xfId="0">
      <alignment horizontal="left"/>
    </xf>
    <xf numFmtId="4" fontId="14" fillId="0" borderId="21" applyAlignment="1" pivotButton="0" quotePrefix="0" xfId="0">
      <alignment horizontal="right"/>
    </xf>
    <xf numFmtId="3" fontId="14" fillId="0" borderId="15" applyAlignment="1" pivotButton="0" quotePrefix="0" xfId="0">
      <alignment horizontal="center"/>
    </xf>
    <xf numFmtId="3" fontId="14" fillId="0" borderId="0" applyAlignment="1" pivotButton="0" quotePrefix="0" xfId="0">
      <alignment horizontal="center"/>
    </xf>
    <xf numFmtId="3" fontId="15" fillId="0" borderId="0" applyAlignment="1" pivotButton="0" quotePrefix="0" xfId="0">
      <alignment horizontal="center"/>
    </xf>
    <xf numFmtId="0" fontId="14" fillId="0" borderId="22" applyAlignment="1" pivotButton="0" quotePrefix="0" xfId="0">
      <alignment horizontal="center"/>
    </xf>
    <xf numFmtId="4" fontId="16" fillId="0" borderId="23" applyAlignment="1" pivotButton="0" quotePrefix="0" xfId="0">
      <alignment horizontal="right"/>
    </xf>
    <xf numFmtId="3" fontId="14" fillId="5" borderId="24" applyAlignment="1" pivotButton="0" quotePrefix="0" xfId="0">
      <alignment horizontal="center"/>
    </xf>
    <xf numFmtId="4" fontId="16" fillId="9" borderId="25" applyAlignment="1" pivotButton="0" quotePrefix="0" xfId="0">
      <alignment horizontal="left"/>
    </xf>
    <xf numFmtId="3" fontId="14" fillId="0" borderId="17" applyAlignment="1" pivotButton="0" quotePrefix="0" xfId="0">
      <alignment horizontal="center"/>
    </xf>
    <xf numFmtId="3" fontId="14" fillId="0" borderId="18" applyAlignment="1" pivotButton="0" quotePrefix="0" xfId="0">
      <alignment horizontal="center"/>
    </xf>
    <xf numFmtId="3" fontId="14" fillId="0" borderId="20" applyAlignment="1" pivotButton="0" quotePrefix="0" xfId="0">
      <alignment horizontal="center"/>
    </xf>
    <xf numFmtId="4" fontId="16" fillId="9" borderId="26" applyAlignment="1" pivotButton="0" quotePrefix="0" xfId="0">
      <alignment horizontal="left"/>
    </xf>
    <xf numFmtId="3" fontId="14" fillId="0" borderId="22" applyAlignment="1" pivotButton="0" quotePrefix="0" xfId="0">
      <alignment horizontal="center"/>
    </xf>
    <xf numFmtId="4" fontId="16" fillId="9" borderId="27" applyAlignment="1" pivotButton="0" quotePrefix="0" xfId="0">
      <alignment horizontal="left"/>
    </xf>
    <xf numFmtId="3" fontId="14" fillId="0" borderId="28" applyAlignment="1" pivotButton="0" quotePrefix="0" xfId="0">
      <alignment horizontal="center"/>
    </xf>
    <xf numFmtId="3" fontId="14" fillId="0" borderId="29" applyAlignment="1" pivotButton="0" quotePrefix="0" xfId="0">
      <alignment horizontal="center"/>
    </xf>
    <xf numFmtId="3" fontId="14" fillId="0" borderId="30" applyAlignment="1" pivotButton="0" quotePrefix="0" xfId="0">
      <alignment horizontal="center"/>
    </xf>
    <xf numFmtId="4" fontId="16" fillId="10" borderId="26" applyAlignment="1" pivotButton="0" quotePrefix="0" xfId="0">
      <alignment horizontal="left"/>
    </xf>
    <xf numFmtId="3" fontId="14" fillId="7" borderId="14" applyAlignment="1" pivotButton="0" quotePrefix="0" xfId="0">
      <alignment horizontal="center"/>
    </xf>
    <xf numFmtId="3" fontId="9" fillId="0" borderId="15" applyAlignment="1" pivotButton="0" quotePrefix="0" xfId="0">
      <alignment horizontal="left"/>
    </xf>
    <xf numFmtId="3" fontId="9" fillId="0" borderId="31" applyAlignment="1" pivotButton="0" quotePrefix="0" xfId="0">
      <alignment horizontal="left"/>
    </xf>
    <xf numFmtId="3" fontId="9" fillId="0" borderId="0" applyAlignment="1" pivotButton="0" quotePrefix="0" xfId="0">
      <alignment horizontal="left"/>
    </xf>
    <xf numFmtId="4" fontId="17" fillId="10" borderId="26" applyAlignment="1" pivotButton="0" quotePrefix="0" xfId="0">
      <alignment horizontal="left"/>
    </xf>
    <xf numFmtId="3" fontId="9" fillId="0" borderId="0" applyAlignment="1" pivotButton="0" quotePrefix="0" xfId="0">
      <alignment horizontal="center"/>
    </xf>
    <xf numFmtId="4" fontId="16" fillId="10" borderId="26" applyAlignment="1" pivotButton="0" quotePrefix="0" xfId="0">
      <alignment horizontal="right"/>
    </xf>
    <xf numFmtId="0" fontId="9" fillId="0" borderId="22" applyAlignment="1" pivotButton="0" quotePrefix="0" xfId="0">
      <alignment horizontal="center"/>
    </xf>
    <xf numFmtId="4" fontId="17" fillId="0" borderId="16" applyAlignment="1" pivotButton="0" quotePrefix="0" xfId="0">
      <alignment horizontal="right"/>
    </xf>
    <xf numFmtId="3" fontId="18" fillId="0" borderId="18" applyAlignment="1" pivotButton="0" quotePrefix="0" xfId="0">
      <alignment horizontal="center"/>
    </xf>
    <xf numFmtId="3" fontId="18" fillId="0" borderId="32" applyAlignment="1" pivotButton="0" quotePrefix="0" xfId="0">
      <alignment horizontal="center"/>
    </xf>
    <xf numFmtId="3" fontId="18" fillId="0" borderId="20" applyAlignment="1" pivotButton="0" quotePrefix="0" xfId="0">
      <alignment horizontal="center"/>
    </xf>
    <xf numFmtId="0" fontId="19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4" fontId="20" fillId="0" borderId="23" applyAlignment="1" pivotButton="0" quotePrefix="0" xfId="0">
      <alignment horizontal="right"/>
    </xf>
    <xf numFmtId="3" fontId="21" fillId="0" borderId="28" applyAlignment="1" pivotButton="0" quotePrefix="0" xfId="0">
      <alignment horizontal="center"/>
    </xf>
    <xf numFmtId="3" fontId="21" fillId="0" borderId="29" applyAlignment="1" pivotButton="0" quotePrefix="0" xfId="0">
      <alignment horizontal="center"/>
    </xf>
    <xf numFmtId="3" fontId="21" fillId="0" borderId="30" applyAlignment="1" pivotButton="0" quotePrefix="0" xfId="0">
      <alignment horizontal="center"/>
    </xf>
    <xf numFmtId="4" fontId="16" fillId="0" borderId="21" applyAlignment="1" pivotButton="0" quotePrefix="0" xfId="0">
      <alignment horizontal="left"/>
    </xf>
    <xf numFmtId="3" fontId="22" fillId="0" borderId="15" applyAlignment="1" pivotButton="0" quotePrefix="0" xfId="0">
      <alignment horizontal="center"/>
    </xf>
    <xf numFmtId="3" fontId="22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3" fontId="16" fillId="0" borderId="22" applyAlignment="1" pivotButton="0" quotePrefix="0" xfId="0">
      <alignment horizontal="center"/>
    </xf>
    <xf numFmtId="3" fontId="9" fillId="0" borderId="15" applyAlignment="1" pivotButton="0" quotePrefix="0" xfId="0">
      <alignment horizontal="center"/>
    </xf>
    <xf numFmtId="3" fontId="9" fillId="0" borderId="22" applyAlignment="1" pivotButton="0" quotePrefix="0" xfId="0">
      <alignment horizontal="center"/>
    </xf>
    <xf numFmtId="4" fontId="23" fillId="0" borderId="33" applyAlignment="1" pivotButton="0" quotePrefix="0" xfId="0">
      <alignment horizontal="left"/>
    </xf>
    <xf numFmtId="3" fontId="24" fillId="0" borderId="13" applyAlignment="1" pivotButton="0" quotePrefix="0" xfId="0">
      <alignment horizontal="center"/>
    </xf>
    <xf numFmtId="3" fontId="24" fillId="0" borderId="34" applyAlignment="1" pivotButton="0" quotePrefix="0" xfId="0">
      <alignment horizontal="center"/>
    </xf>
    <xf numFmtId="3" fontId="24" fillId="0" borderId="35" applyAlignment="1" pivotButton="0" quotePrefix="0" xfId="0">
      <alignment horizontal="center"/>
    </xf>
    <xf numFmtId="4" fontId="21" fillId="0" borderId="21" applyAlignment="1" pivotButton="0" quotePrefix="0" xfId="0">
      <alignment horizontal="left"/>
    </xf>
    <xf numFmtId="3" fontId="24" fillId="0" borderId="15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4" fontId="21" fillId="0" borderId="0" applyAlignment="1" pivotButton="0" quotePrefix="0" xfId="0">
      <alignment horizontal="center"/>
    </xf>
    <xf numFmtId="4" fontId="21" fillId="0" borderId="22" applyAlignment="1" pivotButton="0" quotePrefix="0" xfId="0">
      <alignment horizontal="center"/>
    </xf>
    <xf numFmtId="4" fontId="25" fillId="0" borderId="23" applyAlignment="1" pivotButton="0" quotePrefix="0" xfId="0">
      <alignment horizontal="right"/>
    </xf>
    <xf numFmtId="3" fontId="24" fillId="0" borderId="28" applyAlignment="1" pivotButton="0" quotePrefix="0" xfId="0">
      <alignment horizontal="center"/>
    </xf>
    <xf numFmtId="3" fontId="21" fillId="0" borderId="36" applyAlignment="1" pivotButton="0" quotePrefix="0" xfId="0">
      <alignment horizontal="center"/>
    </xf>
    <xf numFmtId="4" fontId="21" fillId="0" borderId="37" applyAlignment="1" pivotButton="0" quotePrefix="0" xfId="0">
      <alignment horizontal="center"/>
    </xf>
    <xf numFmtId="16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3" fontId="9" fillId="0" borderId="0" applyAlignment="1" pivotButton="0" quotePrefix="0" xfId="0">
      <alignment horizontal="right"/>
    </xf>
    <xf numFmtId="3" fontId="10" fillId="11" borderId="14" applyAlignment="1" pivotButton="0" quotePrefix="0" xfId="0">
      <alignment horizontal="left"/>
    </xf>
    <xf numFmtId="3" fontId="10" fillId="11" borderId="14" applyAlignment="1" pivotButton="0" quotePrefix="0" xfId="0">
      <alignment horizontal="center"/>
    </xf>
    <xf numFmtId="0" fontId="16" fillId="0" borderId="0" applyAlignment="1" pivotButton="0" quotePrefix="0" xfId="0">
      <alignment horizontal="left"/>
    </xf>
    <xf numFmtId="4" fontId="8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" fontId="8" fillId="0" borderId="0" applyAlignment="1" pivotButton="0" quotePrefix="0" xfId="0">
      <alignment horizontal="left"/>
    </xf>
    <xf numFmtId="3" fontId="8" fillId="0" borderId="0" applyAlignment="1" pivotButton="0" quotePrefix="0" xfId="0">
      <alignment horizontal="left"/>
    </xf>
    <xf numFmtId="3" fontId="8" fillId="12" borderId="14" applyAlignment="1" pivotButton="0" quotePrefix="0" xfId="0">
      <alignment horizontal="left"/>
    </xf>
    <xf numFmtId="3" fontId="8" fillId="0" borderId="34" applyAlignment="1" pivotButton="0" quotePrefix="0" xfId="0">
      <alignment horizontal="left"/>
    </xf>
    <xf numFmtId="3" fontId="16" fillId="0" borderId="0" applyAlignment="1" pivotButton="0" quotePrefix="0" xfId="0">
      <alignment horizontal="right"/>
    </xf>
    <xf numFmtId="3" fontId="8" fillId="0" borderId="0" applyAlignment="1" pivotButton="0" quotePrefix="0" xfId="0">
      <alignment horizontal="right"/>
    </xf>
    <xf numFmtId="4" fontId="8" fillId="0" borderId="38" applyAlignment="1" pivotButton="0" quotePrefix="0" xfId="0">
      <alignment horizontal="left"/>
    </xf>
    <xf numFmtId="3" fontId="8" fillId="0" borderId="38" applyAlignment="1" pivotButton="0" quotePrefix="0" xfId="0">
      <alignment horizontal="right"/>
    </xf>
    <xf numFmtId="3" fontId="8" fillId="0" borderId="38" applyAlignment="1" pivotButton="0" quotePrefix="0" xfId="0">
      <alignment horizontal="left"/>
    </xf>
    <xf numFmtId="3" fontId="8" fillId="13" borderId="14" applyAlignment="1" pivotButton="0" quotePrefix="0" xfId="0">
      <alignment horizontal="left"/>
    </xf>
    <xf numFmtId="4" fontId="8" fillId="0" borderId="39" applyAlignment="1" pivotButton="0" quotePrefix="0" xfId="0">
      <alignment horizontal="left"/>
    </xf>
    <xf numFmtId="3" fontId="8" fillId="0" borderId="39" applyAlignment="1" pivotButton="0" quotePrefix="0" xfId="0">
      <alignment horizontal="right"/>
    </xf>
    <xf numFmtId="3" fontId="8" fillId="0" borderId="3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4" fontId="8" fillId="0" borderId="34" applyAlignment="1" pivotButton="0" quotePrefix="0" xfId="0">
      <alignment horizontal="left"/>
    </xf>
    <xf numFmtId="3" fontId="8" fillId="0" borderId="34" applyAlignment="1" pivotButton="0" quotePrefix="0" xfId="0">
      <alignment horizontal="right"/>
    </xf>
    <xf numFmtId="3" fontId="8" fillId="5" borderId="40" applyAlignment="1" pivotButton="0" quotePrefix="0" xfId="0">
      <alignment horizontal="left"/>
    </xf>
    <xf numFmtId="3" fontId="8" fillId="7" borderId="14" applyAlignment="1" pivotButton="0" quotePrefix="0" xfId="0">
      <alignment horizontal="left"/>
    </xf>
    <xf numFmtId="165" fontId="8" fillId="0" borderId="0" applyAlignment="1" pivotButton="0" quotePrefix="0" xfId="0">
      <alignment horizontal="right"/>
    </xf>
    <xf numFmtId="4" fontId="26" fillId="0" borderId="0" applyAlignment="1" pivotButton="0" quotePrefix="0" xfId="0">
      <alignment horizontal="left"/>
    </xf>
    <xf numFmtId="0" fontId="6" fillId="0" borderId="11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1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1" fillId="2" borderId="4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7" fillId="2" borderId="41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1" pivotButton="0" quotePrefix="0" xfId="0"/>
    <xf numFmtId="0" fontId="6" fillId="4" borderId="41" applyAlignment="1" pivotButton="0" quotePrefix="0" xfId="0">
      <alignment horizontal="center" vertical="center"/>
    </xf>
    <xf numFmtId="0" fontId="0" fillId="0" borderId="4" pivotButton="0" quotePrefix="0" xfId="0"/>
    <xf numFmtId="164" fontId="9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0" fontId="0" fillId="0" borderId="0" pivotButton="0" quotePrefix="0" xfId="0"/>
    <xf numFmtId="4" fontId="27" fillId="14" borderId="44" applyAlignment="1" pivotButton="0" quotePrefix="0" xfId="0">
      <alignment horizontal="center"/>
    </xf>
    <xf numFmtId="0" fontId="0" fillId="0" borderId="36" pivotButton="0" quotePrefix="0" xfId="0"/>
    <xf numFmtId="0" fontId="0" fillId="0" borderId="45" pivotButton="0" quotePrefix="0" xfId="0"/>
    <xf numFmtId="4" fontId="8" fillId="0" borderId="46" applyAlignment="1" pivotButton="0" quotePrefix="0" xfId="0">
      <alignment horizontal="left"/>
    </xf>
    <xf numFmtId="3" fontId="28" fillId="0" borderId="46" applyAlignment="1" pivotButton="0" quotePrefix="0" xfId="0">
      <alignment horizontal="left"/>
    </xf>
    <xf numFmtId="3" fontId="28" fillId="0" borderId="46" applyAlignment="1" pivotButton="0" quotePrefix="0" xfId="0">
      <alignment horizontal="center"/>
    </xf>
    <xf numFmtId="4" fontId="8" fillId="0" borderId="13" applyAlignment="1" pivotButton="0" quotePrefix="0" xfId="0">
      <alignment horizontal="left"/>
    </xf>
    <xf numFmtId="3" fontId="28" fillId="0" borderId="13" applyAlignment="1" pivotButton="0" quotePrefix="0" xfId="0">
      <alignment horizontal="left"/>
    </xf>
    <xf numFmtId="3" fontId="28" fillId="0" borderId="13" applyAlignment="1" pivotButton="0" quotePrefix="0" xfId="0">
      <alignment horizontal="center"/>
    </xf>
    <xf numFmtId="4" fontId="28" fillId="0" borderId="13" applyAlignment="1" pivotButton="0" quotePrefix="0" xfId="0">
      <alignment horizontal="left"/>
    </xf>
    <xf numFmtId="4" fontId="28" fillId="0" borderId="0" applyAlignment="1" pivotButton="0" quotePrefix="0" xfId="0">
      <alignment horizontal="left"/>
    </xf>
    <xf numFmtId="3" fontId="28" fillId="0" borderId="0" applyAlignment="1" pivotButton="0" quotePrefix="0" xfId="0">
      <alignment horizontal="left"/>
    </xf>
    <xf numFmtId="4" fontId="29" fillId="14" borderId="44" applyAlignment="1" pivotButton="0" quotePrefix="0" xfId="0">
      <alignment horizontal="center"/>
    </xf>
    <xf numFmtId="4" fontId="28" fillId="15" borderId="47" applyAlignment="1" pivotButton="0" quotePrefix="0" xfId="0">
      <alignment horizontal="center"/>
    </xf>
    <xf numFmtId="0" fontId="0" fillId="0" borderId="48" pivotButton="0" quotePrefix="0" xfId="0"/>
    <xf numFmtId="0" fontId="0" fillId="0" borderId="49" pivotButton="0" quotePrefix="0" xfId="0"/>
    <xf numFmtId="4" fontId="28" fillId="0" borderId="50" applyAlignment="1" pivotButton="0" quotePrefix="0" xfId="0">
      <alignment horizontal="left"/>
    </xf>
    <xf numFmtId="3" fontId="28" fillId="0" borderId="51" applyAlignment="1" pivotButton="0" quotePrefix="0" xfId="0">
      <alignment horizontal="left"/>
    </xf>
    <xf numFmtId="3" fontId="8" fillId="0" borderId="52" applyAlignment="1" pivotButton="0" quotePrefix="0" xfId="0">
      <alignment horizontal="left"/>
    </xf>
    <xf numFmtId="4" fontId="28" fillId="0" borderId="15" applyAlignment="1" pivotButton="0" quotePrefix="0" xfId="0">
      <alignment horizontal="left" vertical="top"/>
    </xf>
    <xf numFmtId="3" fontId="28" fillId="0" borderId="15" applyAlignment="1" pivotButton="0" quotePrefix="0" xfId="0">
      <alignment horizontal="left" vertical="top"/>
    </xf>
    <xf numFmtId="0" fontId="0" fillId="0" borderId="15" pivotButton="0" quotePrefix="0" xfId="0"/>
    <xf numFmtId="166" fontId="28" fillId="0" borderId="13" applyAlignment="1" pivotButton="0" quotePrefix="0" xfId="0">
      <alignment horizontal="left"/>
    </xf>
    <xf numFmtId="165" fontId="28" fillId="0" borderId="13" applyAlignment="1" pivotButton="0" quotePrefix="0" xfId="0">
      <alignment horizontal="left"/>
    </xf>
    <xf numFmtId="3" fontId="28" fillId="0" borderId="53" applyAlignment="1" pivotButton="0" quotePrefix="0" xfId="0">
      <alignment horizontal="left"/>
    </xf>
    <xf numFmtId="4" fontId="28" fillId="16" borderId="44" applyAlignment="1" pivotButton="0" quotePrefix="0" xfId="0">
      <alignment horizontal="center"/>
    </xf>
    <xf numFmtId="3" fontId="28" fillId="0" borderId="52" applyAlignment="1" pivotButton="0" quotePrefix="0" xfId="0">
      <alignment horizontal="left"/>
    </xf>
    <xf numFmtId="4" fontId="28" fillId="0" borderId="46" applyAlignment="1" pivotButton="0" quotePrefix="0" xfId="0">
      <alignment horizontal="left" vertical="top"/>
    </xf>
    <xf numFmtId="3" fontId="8" fillId="0" borderId="46" applyAlignment="1" pivotButton="0" quotePrefix="0" xfId="0">
      <alignment horizontal="left"/>
    </xf>
    <xf numFmtId="3" fontId="28" fillId="0" borderId="46" applyAlignment="1" pivotButton="0" quotePrefix="0" xfId="0">
      <alignment horizontal="center" vertical="top"/>
    </xf>
    <xf numFmtId="0" fontId="0" fillId="0" borderId="46" pivotButton="0" quotePrefix="0" xfId="0"/>
    <xf numFmtId="4" fontId="28" fillId="0" borderId="13" applyAlignment="1" pivotButton="0" quotePrefix="0" xfId="0">
      <alignment horizontal="left" vertical="top"/>
    </xf>
    <xf numFmtId="3" fontId="8" fillId="0" borderId="13" applyAlignment="1" pivotButton="0" quotePrefix="0" xfId="0">
      <alignment horizontal="left" wrapText="1"/>
    </xf>
    <xf numFmtId="3" fontId="30" fillId="0" borderId="0" applyAlignment="1" pivotButton="0" quotePrefix="0" xfId="0">
      <alignment horizontal="left"/>
    </xf>
    <xf numFmtId="3" fontId="8" fillId="0" borderId="13" applyAlignment="1" pivotButton="0" quotePrefix="0" xfId="0">
      <alignment horizontal="left"/>
    </xf>
    <xf numFmtId="165" fontId="28" fillId="0" borderId="13" applyAlignment="1" pivotButton="0" quotePrefix="0" xfId="0">
      <alignment horizontal="right"/>
    </xf>
    <xf numFmtId="4" fontId="28" fillId="0" borderId="46" applyAlignment="1" pivotButton="0" quotePrefix="0" xfId="0">
      <alignment horizontal="left"/>
    </xf>
    <xf numFmtId="4" fontId="31" fillId="0" borderId="16" applyAlignment="1" pivotButton="0" quotePrefix="0" xfId="0">
      <alignment horizontal="right"/>
    </xf>
    <xf numFmtId="4" fontId="32" fillId="0" borderId="0" applyAlignment="1" pivotButton="0" quotePrefix="0" xfId="0">
      <alignment horizontal="right"/>
    </xf>
    <xf numFmtId="4" fontId="33" fillId="0" borderId="0" applyAlignment="1" pivotButton="0" quotePrefix="0" xfId="0">
      <alignment horizontal="right"/>
    </xf>
    <xf numFmtId="3" fontId="8" fillId="0" borderId="34" applyAlignment="1" pivotButton="0" quotePrefix="0" xfId="0">
      <alignment horizontal="center"/>
    </xf>
    <xf numFmtId="3" fontId="8" fillId="5" borderId="40" applyAlignment="1" pivotButton="0" quotePrefix="0" xfId="0">
      <alignment horizont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7"/>
  <sheetViews>
    <sheetView topLeftCell="A52" workbookViewId="0">
      <selection activeCell="A2" sqref="A1:A1048576"/>
    </sheetView>
  </sheetViews>
  <sheetFormatPr baseColWidth="8" defaultRowHeight="15.75"/>
  <cols>
    <col width="33.140625" bestFit="1" customWidth="1" style="27" min="1" max="1"/>
    <col width="19.42578125" bestFit="1" customWidth="1" style="26" min="2" max="2"/>
    <col width="17.85546875" bestFit="1" customWidth="1" style="26" min="3" max="22"/>
    <col width="17.85546875" bestFit="1" customWidth="1" min="23" max="23"/>
    <col width="30" bestFit="1" customWidth="1" min="24" max="24"/>
    <col width="13.5703125" bestFit="1" customWidth="1" min="25" max="28"/>
    <col width="19.5703125" bestFit="1" customWidth="1" min="29" max="29"/>
    <col width="20.5703125" bestFit="1" customWidth="1" min="30" max="30"/>
    <col width="20.28515625" bestFit="1" customWidth="1" min="31" max="31"/>
    <col width="20.85546875" bestFit="1" customWidth="1" min="32" max="32"/>
    <col width="15.5703125" bestFit="1" customWidth="1" min="33" max="33"/>
    <col width="36.85546875" bestFit="1" customWidth="1" min="34" max="34"/>
    <col width="32.5703125" bestFit="1" customWidth="1" min="35" max="35"/>
  </cols>
  <sheetData>
    <row r="1" ht="22.5" customHeight="1" thickBot="1">
      <c r="A1" s="140" t="inlineStr">
        <is>
          <t>電站基本資料</t>
        </is>
      </c>
      <c r="B1" s="141" t="n"/>
      <c r="C1" s="141" t="n"/>
      <c r="D1" s="142" t="n"/>
    </row>
    <row r="2" ht="21.75" customHeight="1">
      <c r="A2" s="1" t="inlineStr">
        <is>
          <t>電站名稱</t>
        </is>
      </c>
      <c r="B2" s="2" t="inlineStr">
        <is>
          <t>淡江大學-財務模擬案場</t>
        </is>
      </c>
      <c r="C2" s="126" t="inlineStr">
        <is>
          <t>-</t>
        </is>
      </c>
      <c r="D2" s="126" t="inlineStr">
        <is>
          <t>-</t>
        </is>
      </c>
    </row>
    <row r="3" ht="21.75" customHeight="1">
      <c r="A3" s="4" t="inlineStr">
        <is>
          <t>電站壽命</t>
        </is>
      </c>
      <c r="B3" s="5" t="n">
        <v>20</v>
      </c>
      <c r="C3" s="6" t="inlineStr">
        <is>
          <t>-</t>
        </is>
      </c>
      <c r="D3" s="6" t="inlineStr">
        <is>
          <t>-</t>
        </is>
      </c>
    </row>
    <row r="4" ht="21.75" customHeight="1">
      <c r="A4" s="4" t="inlineStr">
        <is>
          <t>建置量(kWp)</t>
        </is>
      </c>
      <c r="B4" s="5" t="n">
        <v>436.1</v>
      </c>
      <c r="C4" s="6" t="inlineStr">
        <is>
          <t>-</t>
        </is>
      </c>
      <c r="D4" s="6" t="inlineStr">
        <is>
          <t>-</t>
        </is>
      </c>
    </row>
    <row r="5" ht="22.5" customHeight="1">
      <c r="A5" s="7" t="inlineStr">
        <is>
          <t>起始年度</t>
        </is>
      </c>
      <c r="B5" s="7" t="n">
        <v>2020</v>
      </c>
      <c r="C5" s="7" t="inlineStr">
        <is>
          <t>結束年度</t>
        </is>
      </c>
      <c r="D5" s="7" t="n">
        <v>2039</v>
      </c>
    </row>
    <row r="6" ht="20.25" customHeight="1" thickBot="1">
      <c r="A6" s="8" t="n"/>
      <c r="B6" s="8" t="n"/>
      <c r="C6" s="8" t="n"/>
      <c r="D6" s="8" t="n"/>
    </row>
    <row r="7" ht="22.5" customHeight="1" thickBot="1">
      <c r="A7" s="143" t="inlineStr">
        <is>
          <t>綜合損益表</t>
        </is>
      </c>
      <c r="B7" s="141" t="n"/>
      <c r="C7" s="141" t="n"/>
      <c r="D7" s="142" t="n"/>
    </row>
    <row r="8" ht="22.5" customHeight="1" thickBot="1">
      <c r="A8" s="144" t="inlineStr">
        <is>
          <t>收入</t>
        </is>
      </c>
      <c r="D8" s="145" t="n"/>
    </row>
    <row r="9" ht="22.5" customHeight="1" thickBot="1">
      <c r="A9" s="9" t="inlineStr">
        <is>
          <t>收支項目</t>
        </is>
      </c>
      <c r="B9" s="10" t="inlineStr">
        <is>
          <t>相關參數</t>
        </is>
      </c>
      <c r="C9" s="10" t="inlineStr">
        <is>
          <t>參數數值</t>
        </is>
      </c>
      <c r="D9" s="11" t="inlineStr">
        <is>
          <t>年限</t>
        </is>
      </c>
    </row>
    <row r="10" ht="21.75" customHeight="1">
      <c r="A10" s="123" t="inlineStr">
        <is>
          <t>電費收入</t>
        </is>
      </c>
      <c r="B10" s="124" t="inlineStr">
        <is>
          <t>年度AC併網總發電量</t>
        </is>
      </c>
      <c r="C10" s="124" t="n">
        <v>547002</v>
      </c>
      <c r="D10" s="123" t="n">
        <v>20</v>
      </c>
    </row>
    <row r="11" ht="21.75" customHeight="1">
      <c r="A11" s="146" t="n"/>
      <c r="B11" s="7" t="inlineStr">
        <is>
          <t>首年衰退率</t>
        </is>
      </c>
      <c r="C11" s="13" t="n">
        <v>0.01</v>
      </c>
      <c r="D11" s="146" t="n"/>
    </row>
    <row r="12" ht="21.75" customHeight="1">
      <c r="A12" s="146" t="n"/>
      <c r="B12" s="7" t="inlineStr">
        <is>
          <t>次年衰退率</t>
        </is>
      </c>
      <c r="C12" s="14" t="n">
        <v>0.004</v>
      </c>
      <c r="D12" s="146" t="n"/>
    </row>
    <row r="13" ht="22.5" customHeight="1" thickBot="1">
      <c r="A13" s="146" t="n"/>
      <c r="B13" s="127" t="inlineStr">
        <is>
          <t>躉售費率(FIT)</t>
        </is>
      </c>
      <c r="C13" s="127" t="n">
        <v>3.7152</v>
      </c>
      <c r="D13" s="146" t="n"/>
    </row>
    <row r="14" ht="22.5" customHeight="1" thickBot="1">
      <c r="A14" s="147" t="inlineStr">
        <is>
          <t>支出</t>
        </is>
      </c>
      <c r="B14" s="141" t="n"/>
      <c r="C14" s="141" t="n"/>
      <c r="D14" s="142" t="n"/>
    </row>
    <row r="15" ht="22.5" customHeight="1" thickBot="1">
      <c r="A15" s="9" t="inlineStr">
        <is>
          <t>收支項目</t>
        </is>
      </c>
      <c r="B15" s="10" t="inlineStr">
        <is>
          <t>相關參數</t>
        </is>
      </c>
      <c r="C15" s="10" t="inlineStr">
        <is>
          <t>參數數值</t>
        </is>
      </c>
      <c r="D15" s="16" t="inlineStr">
        <is>
          <t>攤提年限</t>
        </is>
      </c>
    </row>
    <row r="16" ht="21.75" customHeight="1">
      <c r="A16" s="124" t="inlineStr">
        <is>
          <t>設備費用(價金)</t>
        </is>
      </c>
      <c r="B16" s="17" t="inlineStr">
        <is>
          <t>每kWp設備成本</t>
        </is>
      </c>
      <c r="C16" s="124" t="n">
        <v>29000</v>
      </c>
      <c r="D16" s="126" t="n">
        <v>20</v>
      </c>
    </row>
    <row r="17" ht="21.75" customHeight="1">
      <c r="A17" s="146" t="n"/>
      <c r="B17" s="7" t="inlineStr">
        <is>
          <t>信邦利潤率</t>
        </is>
      </c>
      <c r="C17" s="5" t="n">
        <v>0.2</v>
      </c>
      <c r="D17" s="146" t="n"/>
    </row>
    <row r="18" ht="21.75" customHeight="1">
      <c r="A18" s="148" t="n"/>
      <c r="B18" s="7" t="inlineStr">
        <is>
          <t>開發費</t>
        </is>
      </c>
      <c r="C18" s="5" t="n">
        <v>2000</v>
      </c>
      <c r="D18" s="148" t="n"/>
    </row>
    <row r="19" ht="54" customHeight="1">
      <c r="A19" s="7" t="inlineStr">
        <is>
          <t>租金費用</t>
        </is>
      </c>
      <c r="B19" s="18" t="inlineStr">
        <is>
          <t>租金計算方式
(1=固定攤提/2=電費抽成)</t>
        </is>
      </c>
      <c r="C19" s="5" t="n">
        <v>1</v>
      </c>
      <c r="D19" s="126" t="inlineStr">
        <is>
          <t>-</t>
        </is>
      </c>
    </row>
    <row r="20" ht="20.25" customHeight="1">
      <c r="A20" s="146" t="n"/>
      <c r="B20" s="19" t="inlineStr">
        <is>
          <t>【方式1參數】租金總額</t>
        </is>
      </c>
      <c r="C20" s="5" t="n">
        <v>5804025</v>
      </c>
      <c r="D20" s="126" t="n">
        <v>20</v>
      </c>
    </row>
    <row r="21" ht="21.75" customHeight="1">
      <c r="A21" s="148" t="n"/>
      <c r="B21" s="20" t="inlineStr">
        <is>
          <t>【方式2參數】抽成比率</t>
        </is>
      </c>
      <c r="C21" s="5" t="n"/>
      <c r="D21" s="6" t="inlineStr">
        <is>
          <t>-</t>
        </is>
      </c>
    </row>
    <row r="22" ht="21.75" customHeight="1">
      <c r="A22" s="7" t="inlineStr">
        <is>
          <t>運維費用</t>
        </is>
      </c>
      <c r="B22" s="20" t="inlineStr">
        <is>
          <t>每kw運維成本</t>
        </is>
      </c>
      <c r="C22" s="5" t="n">
        <v>400</v>
      </c>
      <c r="D22" s="6" t="n">
        <v>20</v>
      </c>
    </row>
    <row r="23" ht="21.75" customHeight="1">
      <c r="A23" s="7" t="inlineStr">
        <is>
          <t>保險費用</t>
        </is>
      </c>
      <c r="B23" s="21" t="inlineStr">
        <is>
          <t>占整體設備費用比例</t>
        </is>
      </c>
      <c r="C23" s="5" t="n">
        <v>0.003</v>
      </c>
      <c r="D23" s="6" t="n">
        <v>20</v>
      </c>
    </row>
    <row r="24" ht="21.75" customHeight="1">
      <c r="A24" s="7" t="inlineStr">
        <is>
          <t>模組回收費用</t>
        </is>
      </c>
      <c r="B24" s="20" t="inlineStr">
        <is>
          <t>每kw模組回收成本</t>
        </is>
      </c>
      <c r="C24" s="5" t="n">
        <v>1000</v>
      </c>
      <c r="D24" s="6" t="n">
        <v>10</v>
      </c>
    </row>
    <row r="25" ht="21.75" customHeight="1">
      <c r="A25" s="7" t="inlineStr">
        <is>
          <t>利息費用</t>
        </is>
      </c>
      <c r="B25" s="7" t="inlineStr">
        <is>
          <t>銀行利率</t>
        </is>
      </c>
      <c r="C25" s="22" t="n">
        <v>0.025595</v>
      </c>
      <c r="D25" s="6" t="inlineStr">
        <is>
          <t>-</t>
        </is>
      </c>
    </row>
    <row r="26" ht="22.5" customHeight="1">
      <c r="A26" s="7" t="inlineStr">
        <is>
          <t>所得稅</t>
        </is>
      </c>
      <c r="B26" s="7" t="inlineStr">
        <is>
          <t>所得稅率</t>
        </is>
      </c>
      <c r="C26" s="5" t="n">
        <v>0.2</v>
      </c>
      <c r="D26" s="6" t="inlineStr">
        <is>
          <t>-</t>
        </is>
      </c>
    </row>
    <row r="27" ht="20.25" customHeight="1">
      <c r="A27" s="8" t="n"/>
      <c r="B27" s="8" t="n"/>
      <c r="C27" s="8" t="n"/>
      <c r="D27" s="8" t="n"/>
    </row>
    <row r="28" ht="20.25" customHeight="1" thickBot="1">
      <c r="A28" s="8" t="n"/>
      <c r="B28" s="8" t="n"/>
      <c r="C28" s="8" t="n"/>
      <c r="D28" s="8" t="n"/>
    </row>
    <row r="29" ht="22.5" customHeight="1" thickBot="1">
      <c r="A29" s="143" t="inlineStr">
        <is>
          <t>現金流量表</t>
        </is>
      </c>
      <c r="B29" s="141" t="n"/>
      <c r="C29" s="142" t="n"/>
      <c r="D29" s="8" t="n"/>
    </row>
    <row r="30" ht="22.5" customHeight="1" thickBot="1">
      <c r="A30" s="9" t="inlineStr">
        <is>
          <t>金流項目</t>
        </is>
      </c>
      <c r="B30" s="23" t="inlineStr">
        <is>
          <t>相關參數</t>
        </is>
      </c>
      <c r="C30" s="24" t="inlineStr">
        <is>
          <t>參數數值</t>
        </is>
      </c>
      <c r="D30" s="8" t="n"/>
    </row>
    <row r="31" ht="18.75" customHeight="1">
      <c r="A31" s="17" t="inlineStr">
        <is>
          <t>貸款成數</t>
        </is>
      </c>
      <c r="B31" s="1" t="inlineStr">
        <is>
          <t>占總設備費用比例</t>
        </is>
      </c>
      <c r="C31" s="25" t="n">
        <v>0.8</v>
      </c>
      <c r="D31" s="8" t="n"/>
    </row>
    <row r="32" ht="18.75" customHeight="1">
      <c r="A32" s="124" t="inlineStr">
        <is>
          <t>貸款還款</t>
        </is>
      </c>
      <c r="B32" s="25" t="inlineStr">
        <is>
          <t>攤還期數</t>
        </is>
      </c>
      <c r="C32" s="25" t="n">
        <v>15</v>
      </c>
      <c r="D32" s="8" t="n"/>
    </row>
    <row r="33" ht="18.75" customHeight="1">
      <c r="A33" s="7" t="inlineStr">
        <is>
          <t>現金股利</t>
        </is>
      </c>
      <c r="B33" s="5" t="inlineStr">
        <is>
          <t>股利比率</t>
        </is>
      </c>
      <c r="C33" s="5" t="n">
        <v>0.9</v>
      </c>
      <c r="D33" s="8" t="n"/>
    </row>
    <row r="34" ht="18.75" customHeight="1">
      <c r="A34" s="7" t="inlineStr">
        <is>
          <t>年底減資</t>
        </is>
      </c>
      <c r="B34" s="5" t="inlineStr">
        <is>
          <t>攤還期數</t>
        </is>
      </c>
      <c r="C34" s="5" t="n">
        <v>4</v>
      </c>
      <c r="D34" s="8" t="n"/>
    </row>
    <row r="35" ht="18.75" customHeight="1"/>
    <row r="36" ht="18.75" customHeight="1"/>
    <row r="37" ht="18.75" customHeight="1" thickBot="1">
      <c r="A37" s="28" t="n"/>
      <c r="B37" s="29" t="inlineStr">
        <is>
          <t>年份</t>
        </is>
      </c>
      <c r="C37" s="29" t="n">
        <v>2020</v>
      </c>
      <c r="D37" s="29" t="n">
        <v>2021</v>
      </c>
      <c r="E37" s="29" t="n">
        <v>2022</v>
      </c>
      <c r="F37" s="29" t="n">
        <v>2023</v>
      </c>
      <c r="G37" s="29" t="n">
        <v>2024</v>
      </c>
      <c r="H37" s="29" t="n">
        <v>2025</v>
      </c>
      <c r="I37" s="29" t="n">
        <v>2026</v>
      </c>
      <c r="J37" s="29" t="n">
        <v>2027</v>
      </c>
      <c r="K37" s="29" t="n">
        <v>2028</v>
      </c>
      <c r="L37" s="29" t="n">
        <v>2029</v>
      </c>
      <c r="M37" s="29" t="n">
        <v>2030</v>
      </c>
      <c r="N37" s="29" t="n">
        <v>2031</v>
      </c>
      <c r="O37" s="29" t="n">
        <v>2032</v>
      </c>
      <c r="P37" s="29" t="n">
        <v>2033</v>
      </c>
      <c r="Q37" s="29" t="n">
        <v>2034</v>
      </c>
      <c r="R37" s="29" t="n">
        <v>2035</v>
      </c>
      <c r="S37" s="29" t="n">
        <v>2036</v>
      </c>
      <c r="T37" s="29" t="n">
        <v>2037</v>
      </c>
      <c r="U37" s="29" t="n">
        <v>2038</v>
      </c>
      <c r="V37" s="29" t="n">
        <v>2039</v>
      </c>
      <c r="W37" s="30" t="n"/>
    </row>
    <row r="38" ht="18.75" customHeight="1">
      <c r="A38" s="31" t="n">
        <v>0</v>
      </c>
      <c r="B38" s="32" t="n"/>
      <c r="C38" s="33" t="n"/>
      <c r="D38" s="33" t="n"/>
      <c r="E38" s="34" t="inlineStr">
        <is>
          <t>手動計算值</t>
        </is>
      </c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6" t="inlineStr">
        <is>
          <t>償還年限</t>
        </is>
      </c>
      <c r="T38" s="35" t="n"/>
      <c r="U38" s="35" t="n"/>
      <c r="V38" s="35" t="n"/>
      <c r="W38" s="37" t="n"/>
    </row>
    <row r="39" ht="18.75" customHeight="1">
      <c r="A39" s="38" t="inlineStr">
        <is>
          <t>(Unit : Currency)</t>
        </is>
      </c>
      <c r="B39" s="39" t="n">
        <v>0</v>
      </c>
      <c r="C39" s="40" t="n">
        <v>1</v>
      </c>
      <c r="D39" s="40" t="n">
        <v>2</v>
      </c>
      <c r="E39" s="40" t="n">
        <v>3</v>
      </c>
      <c r="F39" s="40" t="n">
        <v>4</v>
      </c>
      <c r="G39" s="40" t="n">
        <v>5</v>
      </c>
      <c r="H39" s="40" t="n">
        <v>6</v>
      </c>
      <c r="I39" s="40" t="n">
        <v>7</v>
      </c>
      <c r="J39" s="40" t="n">
        <v>8</v>
      </c>
      <c r="K39" s="40" t="n">
        <v>9</v>
      </c>
      <c r="L39" s="40" t="n">
        <v>10</v>
      </c>
      <c r="M39" s="40" t="n">
        <v>11</v>
      </c>
      <c r="N39" s="40" t="n">
        <v>12</v>
      </c>
      <c r="O39" s="40" t="n">
        <v>13</v>
      </c>
      <c r="P39" s="40" t="n">
        <v>14</v>
      </c>
      <c r="Q39" s="40" t="n">
        <v>15</v>
      </c>
      <c r="R39" s="40" t="n">
        <v>16</v>
      </c>
      <c r="S39" s="41" t="n">
        <v>17</v>
      </c>
      <c r="T39" s="40" t="n">
        <v>18</v>
      </c>
      <c r="U39" s="40" t="n">
        <v>19</v>
      </c>
      <c r="V39" s="40" t="n">
        <v>20</v>
      </c>
      <c r="W39" s="42" t="n"/>
    </row>
    <row r="40" ht="18.75" customHeight="1" thickBot="1">
      <c r="A40" s="43" t="inlineStr">
        <is>
          <t>發電度數(KWH)</t>
        </is>
      </c>
      <c r="B40" s="39" t="n">
        <v>0</v>
      </c>
      <c r="C40" s="40">
        <f>#REF!</f>
        <v/>
      </c>
      <c r="D40" s="40">
        <f>#REF!</f>
        <v/>
      </c>
      <c r="E40" s="40">
        <f>#REF!</f>
        <v/>
      </c>
      <c r="F40" s="40">
        <f>#REF!</f>
        <v/>
      </c>
      <c r="G40" s="40">
        <f>#REF!</f>
        <v/>
      </c>
      <c r="H40" s="40">
        <f>#REF!</f>
        <v/>
      </c>
      <c r="I40" s="40">
        <f>#REF!</f>
        <v/>
      </c>
      <c r="J40" s="40">
        <f>#REF!</f>
        <v/>
      </c>
      <c r="K40" s="40">
        <f>#REF!</f>
        <v/>
      </c>
      <c r="L40" s="40">
        <f>#REF!</f>
        <v/>
      </c>
      <c r="M40" s="40">
        <f>#REF!</f>
        <v/>
      </c>
      <c r="N40" s="40">
        <f>#REF!</f>
        <v/>
      </c>
      <c r="O40" s="40">
        <f>#REF!</f>
        <v/>
      </c>
      <c r="P40" s="40">
        <f>#REF!</f>
        <v/>
      </c>
      <c r="Q40" s="40">
        <f>#REF!</f>
        <v/>
      </c>
      <c r="R40" s="40">
        <f>#REF!</f>
        <v/>
      </c>
      <c r="S40" s="40">
        <f>#REF!</f>
        <v/>
      </c>
      <c r="T40" s="40">
        <f>#REF!</f>
        <v/>
      </c>
      <c r="U40" s="40">
        <f>#REF!</f>
        <v/>
      </c>
      <c r="V40" s="40">
        <f>#REF!</f>
        <v/>
      </c>
      <c r="W40" s="44" t="n"/>
    </row>
    <row r="41" ht="18.75" customHeight="1">
      <c r="A41" s="45" t="inlineStr">
        <is>
          <t>Inflow : 電費收入</t>
        </is>
      </c>
      <c r="B41" s="46" t="inlineStr">
        <is>
          <t>-</t>
        </is>
      </c>
      <c r="C41" s="47">
        <f>#REF!</f>
        <v/>
      </c>
      <c r="D41" s="47">
        <f>#REF!</f>
        <v/>
      </c>
      <c r="E41" s="47">
        <f>#REF!</f>
        <v/>
      </c>
      <c r="F41" s="47">
        <f>#REF!</f>
        <v/>
      </c>
      <c r="G41" s="47">
        <f>#REF!</f>
        <v/>
      </c>
      <c r="H41" s="47">
        <f>#REF!</f>
        <v/>
      </c>
      <c r="I41" s="47">
        <f>#REF!</f>
        <v/>
      </c>
      <c r="J41" s="47">
        <f>#REF!</f>
        <v/>
      </c>
      <c r="K41" s="47">
        <f>#REF!</f>
        <v/>
      </c>
      <c r="L41" s="47">
        <f>#REF!</f>
        <v/>
      </c>
      <c r="M41" s="47">
        <f>#REF!</f>
        <v/>
      </c>
      <c r="N41" s="47">
        <f>#REF!</f>
        <v/>
      </c>
      <c r="O41" s="47">
        <f>#REF!</f>
        <v/>
      </c>
      <c r="P41" s="47">
        <f>#REF!</f>
        <v/>
      </c>
      <c r="Q41" s="47">
        <f>#REF!</f>
        <v/>
      </c>
      <c r="R41" s="47">
        <f>#REF!</f>
        <v/>
      </c>
      <c r="S41" s="47">
        <f>#REF!</f>
        <v/>
      </c>
      <c r="T41" s="47">
        <f>#REF!</f>
        <v/>
      </c>
      <c r="U41" s="47">
        <f>#REF!</f>
        <v/>
      </c>
      <c r="V41" s="47">
        <f>#REF!</f>
        <v/>
      </c>
      <c r="W41" s="48" t="n"/>
    </row>
    <row r="42" ht="18.75" customHeight="1">
      <c r="A42" s="49" t="inlineStr">
        <is>
          <t>Inflow : 政府補助</t>
        </is>
      </c>
      <c r="B42" s="39" t="inlineStr">
        <is>
          <t>-</t>
        </is>
      </c>
      <c r="C42" s="40" t="n"/>
      <c r="D42" s="40" t="n"/>
      <c r="E42" s="40" t="n">
        <v>0</v>
      </c>
      <c r="F42" s="40" t="inlineStr">
        <is>
          <t>-</t>
        </is>
      </c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50" t="n"/>
    </row>
    <row r="43" ht="18.75" customHeight="1" thickBot="1">
      <c r="A43" s="51" t="inlineStr">
        <is>
          <t>Inflow : 銀行借款</t>
        </is>
      </c>
      <c r="B43" s="52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4" t="n"/>
    </row>
    <row r="44" ht="18.75" customHeight="1">
      <c r="A44" s="55" t="inlineStr">
        <is>
          <t>Outflow : 設備費用</t>
        </is>
      </c>
      <c r="B44" s="39">
        <f>-#REF!</f>
        <v/>
      </c>
      <c r="C44" s="56" t="n"/>
      <c r="D44" s="40" t="n"/>
      <c r="E44" s="40" t="inlineStr">
        <is>
          <t>-</t>
        </is>
      </c>
      <c r="F44" s="40" t="inlineStr">
        <is>
          <t>-</t>
        </is>
      </c>
      <c r="G44" s="40" t="inlineStr">
        <is>
          <t>-</t>
        </is>
      </c>
      <c r="H44" s="40" t="inlineStr">
        <is>
          <t>-</t>
        </is>
      </c>
      <c r="I44" s="40" t="inlineStr">
        <is>
          <t>-</t>
        </is>
      </c>
      <c r="J44" s="40" t="inlineStr">
        <is>
          <t>-</t>
        </is>
      </c>
      <c r="K44" s="40" t="inlineStr">
        <is>
          <t>-</t>
        </is>
      </c>
      <c r="L44" s="40" t="inlineStr">
        <is>
          <t>-</t>
        </is>
      </c>
      <c r="M44" s="40" t="inlineStr">
        <is>
          <t>-</t>
        </is>
      </c>
      <c r="N44" s="40" t="inlineStr">
        <is>
          <t>-</t>
        </is>
      </c>
      <c r="O44" s="40" t="inlineStr">
        <is>
          <t>-</t>
        </is>
      </c>
      <c r="P44" s="40" t="inlineStr">
        <is>
          <t>-</t>
        </is>
      </c>
      <c r="Q44" s="40" t="inlineStr">
        <is>
          <t>-</t>
        </is>
      </c>
      <c r="R44" s="40" t="inlineStr">
        <is>
          <t>-</t>
        </is>
      </c>
      <c r="S44" s="40" t="inlineStr">
        <is>
          <t>-</t>
        </is>
      </c>
      <c r="T44" s="40" t="inlineStr">
        <is>
          <t>-</t>
        </is>
      </c>
      <c r="U44" s="40" t="inlineStr">
        <is>
          <t>-</t>
        </is>
      </c>
      <c r="V44" s="40" t="inlineStr">
        <is>
          <t>-</t>
        </is>
      </c>
      <c r="W44" s="50" t="n"/>
    </row>
    <row r="45" ht="18.75" customHeight="1">
      <c r="A45" s="55" t="inlineStr">
        <is>
          <t>Outflow : 設備放置區域租金</t>
        </is>
      </c>
      <c r="B45" s="39" t="inlineStr">
        <is>
          <t>-</t>
        </is>
      </c>
      <c r="C45" s="40">
        <f>-#REF!</f>
        <v/>
      </c>
      <c r="D45" s="40">
        <f>-#REF!</f>
        <v/>
      </c>
      <c r="E45" s="40">
        <f>-#REF!</f>
        <v/>
      </c>
      <c r="F45" s="40">
        <f>-#REF!</f>
        <v/>
      </c>
      <c r="G45" s="40">
        <f>-#REF!</f>
        <v/>
      </c>
      <c r="H45" s="40">
        <f>-#REF!</f>
        <v/>
      </c>
      <c r="I45" s="40">
        <f>-#REF!</f>
        <v/>
      </c>
      <c r="J45" s="40">
        <f>-#REF!</f>
        <v/>
      </c>
      <c r="K45" s="40">
        <f>-#REF!</f>
        <v/>
      </c>
      <c r="L45" s="40">
        <f>-#REF!</f>
        <v/>
      </c>
      <c r="M45" s="40">
        <f>-#REF!</f>
        <v/>
      </c>
      <c r="N45" s="40">
        <f>-#REF!</f>
        <v/>
      </c>
      <c r="O45" s="40">
        <f>-#REF!</f>
        <v/>
      </c>
      <c r="P45" s="40">
        <f>-#REF!</f>
        <v/>
      </c>
      <c r="Q45" s="40">
        <f>-#REF!</f>
        <v/>
      </c>
      <c r="R45" s="40">
        <f>-#REF!</f>
        <v/>
      </c>
      <c r="S45" s="40">
        <f>-#REF!</f>
        <v/>
      </c>
      <c r="T45" s="40">
        <f>-#REF!</f>
        <v/>
      </c>
      <c r="U45" s="40">
        <f>-#REF!</f>
        <v/>
      </c>
      <c r="V45" s="40">
        <f>-#REF!</f>
        <v/>
      </c>
      <c r="W45" s="50" t="n"/>
    </row>
    <row r="46" ht="18.75" customHeight="1">
      <c r="A46" s="55" t="inlineStr">
        <is>
          <t>Outflow : 返還借款</t>
        </is>
      </c>
      <c r="B46" s="39" t="n">
        <v>0</v>
      </c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>
        <v>0</v>
      </c>
      <c r="V46" s="40" t="n">
        <v>0</v>
      </c>
      <c r="W46" s="50" t="n"/>
    </row>
    <row r="47" ht="18.75" customHeight="1">
      <c r="A47" s="55" t="inlineStr">
        <is>
          <t>Outflow : 利息費用</t>
        </is>
      </c>
      <c r="B47" s="39" t="inlineStr">
        <is>
          <t>-</t>
        </is>
      </c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50" t="n"/>
    </row>
    <row r="48" ht="18.75" customHeight="1">
      <c r="A48" s="55" t="inlineStr">
        <is>
          <t>Outflow : 維運費</t>
        </is>
      </c>
      <c r="B48" s="39" t="inlineStr">
        <is>
          <t>-</t>
        </is>
      </c>
      <c r="C48" s="40">
        <f>-#REF!</f>
        <v/>
      </c>
      <c r="D48" s="40">
        <f>-#REF!</f>
        <v/>
      </c>
      <c r="E48" s="40">
        <f>-#REF!</f>
        <v/>
      </c>
      <c r="F48" s="40">
        <f>-#REF!</f>
        <v/>
      </c>
      <c r="G48" s="40">
        <f>-#REF!</f>
        <v/>
      </c>
      <c r="H48" s="40">
        <f>-#REF!</f>
        <v/>
      </c>
      <c r="I48" s="40">
        <f>-#REF!</f>
        <v/>
      </c>
      <c r="J48" s="40">
        <f>-#REF!</f>
        <v/>
      </c>
      <c r="K48" s="40">
        <f>-#REF!</f>
        <v/>
      </c>
      <c r="L48" s="40">
        <f>-#REF!</f>
        <v/>
      </c>
      <c r="M48" s="40">
        <f>-#REF!</f>
        <v/>
      </c>
      <c r="N48" s="40">
        <f>-#REF!</f>
        <v/>
      </c>
      <c r="O48" s="40">
        <f>-#REF!</f>
        <v/>
      </c>
      <c r="P48" s="40">
        <f>-#REF!</f>
        <v/>
      </c>
      <c r="Q48" s="40">
        <f>-#REF!</f>
        <v/>
      </c>
      <c r="R48" s="40">
        <f>-#REF!</f>
        <v/>
      </c>
      <c r="S48" s="40">
        <f>-#REF!</f>
        <v/>
      </c>
      <c r="T48" s="40">
        <f>-#REF!</f>
        <v/>
      </c>
      <c r="U48" s="40">
        <f>-#REF!</f>
        <v/>
      </c>
      <c r="V48" s="40">
        <f>-#REF!</f>
        <v/>
      </c>
      <c r="W48" s="50" t="n"/>
    </row>
    <row r="49" ht="18.75" customHeight="1">
      <c r="A49" s="55" t="inlineStr">
        <is>
          <t>Outflow : 保險費</t>
        </is>
      </c>
      <c r="B49" s="39" t="inlineStr">
        <is>
          <t>-</t>
        </is>
      </c>
      <c r="C49" s="40">
        <f>-#REF!</f>
        <v/>
      </c>
      <c r="D49" s="40">
        <f>-#REF!</f>
        <v/>
      </c>
      <c r="E49" s="40">
        <f>-#REF!</f>
        <v/>
      </c>
      <c r="F49" s="40">
        <f>-#REF!</f>
        <v/>
      </c>
      <c r="G49" s="40">
        <f>-#REF!</f>
        <v/>
      </c>
      <c r="H49" s="40">
        <f>-#REF!</f>
        <v/>
      </c>
      <c r="I49" s="40">
        <f>-#REF!</f>
        <v/>
      </c>
      <c r="J49" s="40">
        <f>-#REF!</f>
        <v/>
      </c>
      <c r="K49" s="40">
        <f>-#REF!</f>
        <v/>
      </c>
      <c r="L49" s="40">
        <f>-#REF!</f>
        <v/>
      </c>
      <c r="M49" s="40">
        <f>-#REF!</f>
        <v/>
      </c>
      <c r="N49" s="40">
        <f>-#REF!</f>
        <v/>
      </c>
      <c r="O49" s="40">
        <f>-#REF!</f>
        <v/>
      </c>
      <c r="P49" s="40">
        <f>-#REF!</f>
        <v/>
      </c>
      <c r="Q49" s="40">
        <f>-#REF!</f>
        <v/>
      </c>
      <c r="R49" s="40">
        <f>-#REF!</f>
        <v/>
      </c>
      <c r="S49" s="40">
        <f>-#REF!</f>
        <v/>
      </c>
      <c r="T49" s="40">
        <f>-#REF!</f>
        <v/>
      </c>
      <c r="U49" s="40">
        <f>-#REF!</f>
        <v/>
      </c>
      <c r="V49" s="40">
        <f>-#REF!</f>
        <v/>
      </c>
      <c r="W49" s="50" t="n"/>
    </row>
    <row r="50" ht="18.75" customHeight="1">
      <c r="A50" s="55" t="inlineStr">
        <is>
          <t>Outflow : 模組回收費</t>
        </is>
      </c>
      <c r="B50" s="39" t="n"/>
      <c r="C50" s="40">
        <f>-#REF!</f>
        <v/>
      </c>
      <c r="D50" s="40">
        <f>-#REF!</f>
        <v/>
      </c>
      <c r="E50" s="40">
        <f>-#REF!</f>
        <v/>
      </c>
      <c r="F50" s="40">
        <f>-#REF!</f>
        <v/>
      </c>
      <c r="G50" s="40">
        <f>-#REF!</f>
        <v/>
      </c>
      <c r="H50" s="40">
        <f>-#REF!</f>
        <v/>
      </c>
      <c r="I50" s="40">
        <f>-#REF!</f>
        <v/>
      </c>
      <c r="J50" s="40">
        <f>-#REF!</f>
        <v/>
      </c>
      <c r="K50" s="40">
        <f>-#REF!</f>
        <v/>
      </c>
      <c r="L50" s="40">
        <f>-#REF!</f>
        <v/>
      </c>
      <c r="M50" s="40">
        <f>-#REF!</f>
        <v/>
      </c>
      <c r="N50" s="40">
        <f>-#REF!</f>
        <v/>
      </c>
      <c r="O50" s="40">
        <f>-#REF!</f>
        <v/>
      </c>
      <c r="P50" s="40">
        <f>-#REF!</f>
        <v/>
      </c>
      <c r="Q50" s="40">
        <f>-#REF!</f>
        <v/>
      </c>
      <c r="R50" s="40">
        <f>-#REF!</f>
        <v/>
      </c>
      <c r="S50" s="40">
        <f>-#REF!</f>
        <v/>
      </c>
      <c r="T50" s="40">
        <f>-#REF!</f>
        <v/>
      </c>
      <c r="U50" s="40">
        <f>-#REF!</f>
        <v/>
      </c>
      <c r="V50" s="40">
        <f>-#REF!</f>
        <v/>
      </c>
      <c r="W50" s="50" t="n"/>
    </row>
    <row r="51" ht="18.75" customHeight="1">
      <c r="A51" s="55" t="inlineStr">
        <is>
          <t>Outflow : 其它費用(人事薪資…等)</t>
        </is>
      </c>
      <c r="B51" s="57" t="n"/>
      <c r="C51" s="58" t="n"/>
      <c r="D51" s="59" t="n"/>
      <c r="E51" s="40">
        <f>-(E41*#REF!)</f>
        <v/>
      </c>
      <c r="F51" s="40">
        <f>-(F41*#REF!)</f>
        <v/>
      </c>
      <c r="G51" s="40">
        <f>-(G41*#REF!)</f>
        <v/>
      </c>
      <c r="H51" s="40">
        <f>-(H41*#REF!)</f>
        <v/>
      </c>
      <c r="I51" s="40">
        <f>-(I41*#REF!)</f>
        <v/>
      </c>
      <c r="J51" s="40">
        <f>-(J41*#REF!)</f>
        <v/>
      </c>
      <c r="K51" s="40">
        <f>-(K41*#REF!)</f>
        <v/>
      </c>
      <c r="L51" s="40">
        <f>-(L41*#REF!)</f>
        <v/>
      </c>
      <c r="M51" s="40">
        <f>-(M41*#REF!)</f>
        <v/>
      </c>
      <c r="N51" s="40">
        <f>-(N41*#REF!)</f>
        <v/>
      </c>
      <c r="O51" s="40">
        <f>-(O41*#REF!)</f>
        <v/>
      </c>
      <c r="P51" s="40">
        <f>-(P41*#REF!)</f>
        <v/>
      </c>
      <c r="Q51" s="40">
        <f>-(Q41*#REF!)</f>
        <v/>
      </c>
      <c r="R51" s="40">
        <f>-(R41*#REF!)</f>
        <v/>
      </c>
      <c r="S51" s="40">
        <f>-(S41*#REF!)</f>
        <v/>
      </c>
      <c r="T51" s="40">
        <f>-(T41*#REF!)</f>
        <v/>
      </c>
      <c r="U51" s="40">
        <f>-(U41*#REF!)</f>
        <v/>
      </c>
      <c r="V51" s="40">
        <f>-(V41*#REF!)</f>
        <v/>
      </c>
      <c r="W51" s="50" t="n"/>
    </row>
    <row r="52" ht="18.75" customHeight="1">
      <c r="A52" s="55" t="inlineStr">
        <is>
          <t>1%管理費</t>
        </is>
      </c>
      <c r="B52" s="57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50" t="n"/>
    </row>
    <row r="53" ht="18.75" customHeight="1">
      <c r="A53" s="60" t="inlineStr">
        <is>
          <t>績效獎金</t>
        </is>
      </c>
      <c r="B53" s="57" t="n"/>
      <c r="C53" s="61" t="n"/>
      <c r="D53" s="61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50" t="n"/>
    </row>
    <row r="54" ht="18.75" customHeight="1">
      <c r="A54" s="60" t="inlineStr">
        <is>
          <t>所得稅20%</t>
        </is>
      </c>
      <c r="B54" s="57" t="n"/>
      <c r="C54" s="40">
        <f>IF((#REF!+SUM(#REF!+#REF!+#REF!+#REF!+#REF!+#REF!))&gt;0,-(#REF!+SUM(#REF!+#REF!+#REF!+#REF!+#REF!+#REF!))*0.2,0)</f>
        <v/>
      </c>
      <c r="D54" s="40">
        <f>IF((#REF!+SUM(#REF!+#REF!+#REF!+#REF!+#REF!+#REF!))&gt;0,-(#REF!+SUM(#REF!+#REF!+#REF!+#REF!+#REF!+#REF!))*0.2,0)</f>
        <v/>
      </c>
      <c r="E54" s="40">
        <f>IF((#REF!+SUM(#REF!+#REF!+#REF!+#REF!+#REF!+#REF!))&gt;0,-(#REF!+SUM(#REF!+#REF!+#REF!+#REF!+#REF!+#REF!))*0.2,0)</f>
        <v/>
      </c>
      <c r="F54" s="40">
        <f>IF((#REF!+SUM(#REF!+#REF!+#REF!+#REF!+#REF!+#REF!))&gt;0,-(#REF!+SUM(#REF!+#REF!+#REF!+#REF!+#REF!+#REF!))*0.2,0)</f>
        <v/>
      </c>
      <c r="G54" s="40">
        <f>IF((#REF!+SUM(#REF!+#REF!+#REF!+#REF!+#REF!+#REF!))&gt;0,-(#REF!+SUM(#REF!+#REF!+#REF!+#REF!+#REF!+#REF!))*0.2,0)</f>
        <v/>
      </c>
      <c r="H54" s="40">
        <f>IF((#REF!+SUM(#REF!+#REF!+#REF!+#REF!+#REF!+#REF!))&gt;0,-(#REF!+SUM(#REF!+#REF!+#REF!+#REF!+#REF!+#REF!))*0.2,0)</f>
        <v/>
      </c>
      <c r="I54" s="40">
        <f>IF((#REF!+SUM(#REF!+#REF!+#REF!+#REF!+#REF!+#REF!))&gt;0,-(#REF!+SUM(#REF!+#REF!+#REF!+#REF!+#REF!+#REF!))*0.2,0)</f>
        <v/>
      </c>
      <c r="J54" s="40">
        <f>IF((#REF!+SUM(#REF!+#REF!+#REF!+#REF!+#REF!+#REF!))&gt;0,-(#REF!+SUM(#REF!+#REF!+#REF!+#REF!+#REF!+#REF!))*0.2,0)</f>
        <v/>
      </c>
      <c r="K54" s="40">
        <f>IF((#REF!+SUM(#REF!+#REF!+#REF!+#REF!+#REF!+#REF!))&gt;0,-(#REF!+SUM(#REF!+#REF!+#REF!+#REF!+#REF!+#REF!))*0.2,0)</f>
        <v/>
      </c>
      <c r="L54" s="40">
        <f>IF((#REF!+SUM(#REF!+#REF!+#REF!+#REF!+#REF!+#REF!))&gt;0,-(#REF!+SUM(#REF!+#REF!+#REF!+#REF!+#REF!+#REF!))*0.2,0)</f>
        <v/>
      </c>
      <c r="M54" s="40">
        <f>IF((#REF!+SUM(#REF!+#REF!+#REF!+#REF!+#REF!+#REF!))&gt;0,-(#REF!+SUM(#REF!+#REF!+#REF!+#REF!+#REF!+#REF!))*0.2,0)</f>
        <v/>
      </c>
      <c r="N54" s="40">
        <f>IF((#REF!+SUM(#REF!+#REF!+#REF!+#REF!+#REF!+#REF!))&gt;0,-(#REF!+SUM(#REF!+#REF!+#REF!+#REF!+#REF!+#REF!))*0.2,0)</f>
        <v/>
      </c>
      <c r="O54" s="40">
        <f>IF((#REF!+SUM(#REF!+#REF!+#REF!+#REF!+#REF!+#REF!))&gt;0,-(#REF!+SUM(#REF!+#REF!+#REF!+#REF!+#REF!+#REF!))*0.2,0)</f>
        <v/>
      </c>
      <c r="P54" s="40">
        <f>IF((#REF!+SUM(#REF!+#REF!+#REF!+#REF!+#REF!+#REF!))&gt;0,-(#REF!+SUM(#REF!+#REF!+#REF!+#REF!+#REF!+#REF!))*0.2,0)</f>
        <v/>
      </c>
      <c r="Q54" s="40">
        <f>IF((#REF!+SUM(#REF!+#REF!+#REF!+#REF!+#REF!+#REF!))&gt;0,-(#REF!+SUM(#REF!+#REF!+#REF!+#REF!+#REF!+#REF!))*0.2,0)</f>
        <v/>
      </c>
      <c r="R54" s="40">
        <f>IF((#REF!+SUM(#REF!+#REF!+#REF!+#REF!+#REF!+#REF!))&gt;0,-(#REF!+SUM(#REF!+#REF!+#REF!+#REF!+#REF!+#REF!))*0.2,0)</f>
        <v/>
      </c>
      <c r="S54" s="40">
        <f>IF((#REF!+SUM(#REF!+#REF!+#REF!+#REF!+#REF!+#REF!))&gt;0,-(#REF!+SUM(#REF!+#REF!+#REF!+#REF!+#REF!+#REF!))*0.2,0)</f>
        <v/>
      </c>
      <c r="T54" s="40">
        <f>IF((#REF!+SUM(#REF!+#REF!+#REF!+#REF!+#REF!+#REF!))&gt;0,-(#REF!+SUM(#REF!+#REF!+#REF!+#REF!+#REF!+#REF!))*0.2,0)</f>
        <v/>
      </c>
      <c r="U54" s="40">
        <f>IF((#REF!+SUM(#REF!+#REF!+#REF!+#REF!+#REF!+#REF!))&gt;0,-(#REF!+SUM(#REF!+#REF!+#REF!+#REF!+#REF!+#REF!))*0.2,0)</f>
        <v/>
      </c>
      <c r="V54" s="40">
        <f>IF((#REF!+SUM(#REF!+#REF!+#REF!+#REF!+#REF!+#REF!))&gt;0,-(#REF!+SUM(#REF!+#REF!+#REF!+#REF!+#REF!+#REF!))*0.2,0)</f>
        <v/>
      </c>
      <c r="W54" s="50" t="n"/>
    </row>
    <row r="55" ht="18.75" customHeight="1" thickBot="1">
      <c r="A55" s="62" t="n"/>
      <c r="B55" s="57" t="n"/>
      <c r="C55" s="59" t="n"/>
      <c r="D55" s="59" t="n"/>
      <c r="E55" s="61" t="n"/>
      <c r="F55" s="61" t="n"/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  <c r="Q55" s="61" t="n"/>
      <c r="R55" s="61" t="n"/>
      <c r="S55" s="61" t="n"/>
      <c r="T55" s="61" t="n"/>
      <c r="U55" s="61" t="n"/>
      <c r="V55" s="61" t="n"/>
      <c r="W55" s="63" t="n"/>
    </row>
    <row r="56" ht="18.75" customHeight="1">
      <c r="A56" s="64" t="inlineStr">
        <is>
          <t>現金流</t>
        </is>
      </c>
      <c r="B56" s="65">
        <f>B44</f>
        <v/>
      </c>
      <c r="C56" s="66">
        <f>SUM(C41:C54)</f>
        <v/>
      </c>
      <c r="D56" s="65">
        <f>SUM(D41:D54)</f>
        <v/>
      </c>
      <c r="E56" s="65">
        <f>SUM(E41:E54)</f>
        <v/>
      </c>
      <c r="F56" s="65">
        <f>SUM(F41:F54)</f>
        <v/>
      </c>
      <c r="G56" s="65">
        <f>SUM(G41:G54)</f>
        <v/>
      </c>
      <c r="H56" s="65">
        <f>SUM(H41:H54)</f>
        <v/>
      </c>
      <c r="I56" s="65">
        <f>SUM(I41:I54)</f>
        <v/>
      </c>
      <c r="J56" s="65">
        <f>SUM(J41:J54)</f>
        <v/>
      </c>
      <c r="K56" s="65">
        <f>SUM(K41:K54)</f>
        <v/>
      </c>
      <c r="L56" s="65">
        <f>SUM(L41:L54)</f>
        <v/>
      </c>
      <c r="M56" s="65">
        <f>SUM(M41:M54)</f>
        <v/>
      </c>
      <c r="N56" s="65">
        <f>SUM(N41:N54)</f>
        <v/>
      </c>
      <c r="O56" s="65">
        <f>SUM(O41:O54)</f>
        <v/>
      </c>
      <c r="P56" s="65">
        <f>SUM(P41:P54)</f>
        <v/>
      </c>
      <c r="Q56" s="65">
        <f>SUM(Q41:Q54)</f>
        <v/>
      </c>
      <c r="R56" s="65">
        <f>SUM(R41:R54)</f>
        <v/>
      </c>
      <c r="S56" s="65">
        <f>SUM(S41:S54)</f>
        <v/>
      </c>
      <c r="T56" s="65">
        <f>SUM(T41:T54)</f>
        <v/>
      </c>
      <c r="U56" s="65">
        <f>SUM(U41:U54)</f>
        <v/>
      </c>
      <c r="V56" s="65">
        <f>SUM(V41:V54)</f>
        <v/>
      </c>
      <c r="W56" s="67" t="n"/>
      <c r="X56" s="68" t="n"/>
      <c r="Y56" s="69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</row>
    <row r="57" ht="18.75" customHeight="1" thickBot="1">
      <c r="A57" s="70" t="inlineStr">
        <is>
          <t>累計現金流</t>
        </is>
      </c>
      <c r="B57" s="71" t="n"/>
      <c r="C57" s="72">
        <f>C56+B56</f>
        <v/>
      </c>
      <c r="D57" s="72">
        <f>D56+C57</f>
        <v/>
      </c>
      <c r="E57" s="72">
        <f>E56+D57</f>
        <v/>
      </c>
      <c r="F57" s="72">
        <f>F56+E57</f>
        <v/>
      </c>
      <c r="G57" s="72">
        <f>G56+F57</f>
        <v/>
      </c>
      <c r="H57" s="72">
        <f>H56+G57</f>
        <v/>
      </c>
      <c r="I57" s="72">
        <f>I56+H57</f>
        <v/>
      </c>
      <c r="J57" s="72">
        <f>J56+I57</f>
        <v/>
      </c>
      <c r="K57" s="72">
        <f>K56+J57</f>
        <v/>
      </c>
      <c r="L57" s="72">
        <f>L56+K57</f>
        <v/>
      </c>
      <c r="M57" s="72">
        <f>M56+L57</f>
        <v/>
      </c>
      <c r="N57" s="72">
        <f>N56+M57</f>
        <v/>
      </c>
      <c r="O57" s="72">
        <f>O56+N57</f>
        <v/>
      </c>
      <c r="P57" s="72">
        <f>P56+O57</f>
        <v/>
      </c>
      <c r="Q57" s="72">
        <f>Q56+P57</f>
        <v/>
      </c>
      <c r="R57" s="72">
        <f>R56+Q57</f>
        <v/>
      </c>
      <c r="S57" s="72">
        <f>S56+R57</f>
        <v/>
      </c>
      <c r="T57" s="72">
        <f>T56+S57</f>
        <v/>
      </c>
      <c r="U57" s="72">
        <f>U56+T57</f>
        <v/>
      </c>
      <c r="V57" s="72">
        <f>V56+U57</f>
        <v/>
      </c>
      <c r="W57" s="73" t="n"/>
      <c r="X57" s="6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</row>
    <row r="58" hidden="1" ht="18.75" customHeight="1">
      <c r="A58" s="74" t="inlineStr">
        <is>
          <t>Discounted cash flow</t>
        </is>
      </c>
      <c r="B58" s="75" t="n">
        <v>-37721416.4</v>
      </c>
      <c r="C58" s="76" t="n"/>
      <c r="D58" s="76" t="n"/>
      <c r="E58" s="77" t="n">
        <v>4765724.101934625</v>
      </c>
      <c r="F58" s="77" t="n">
        <v>4715578.687122989</v>
      </c>
      <c r="G58" s="77" t="n">
        <v>4665433.272311353</v>
      </c>
      <c r="H58" s="77" t="n">
        <v>4615287.857499719</v>
      </c>
      <c r="I58" s="77" t="n">
        <v>4565142.442688081</v>
      </c>
      <c r="J58" s="77" t="n">
        <v>4517504.29861703</v>
      </c>
      <c r="K58" s="77" t="n">
        <v>4469866.154545976</v>
      </c>
      <c r="L58" s="77" t="n">
        <v>4422228.010474921</v>
      </c>
      <c r="M58" s="77" t="n">
        <v>4374589.866403867</v>
      </c>
      <c r="N58" s="77" t="n">
        <v>4326951.722332815</v>
      </c>
      <c r="O58" s="77" t="n">
        <v>4284954.937428069</v>
      </c>
      <c r="P58" s="77" t="n">
        <v>4242958.152523325</v>
      </c>
      <c r="Q58" s="77" t="n">
        <v>4200961.36761858</v>
      </c>
      <c r="R58" s="77" t="n">
        <v>4158964.582713835</v>
      </c>
      <c r="S58" s="77" t="n">
        <v>4116967.797809093</v>
      </c>
      <c r="T58" s="77" t="n">
        <v>4074971.012904346</v>
      </c>
      <c r="U58" s="77" t="n">
        <v>4032974.227999602</v>
      </c>
      <c r="V58" s="77" t="n">
        <v>3990977.443094858</v>
      </c>
      <c r="W58" s="78" t="n"/>
      <c r="X58" s="68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</row>
    <row r="59" hidden="1" ht="18.75" customHeight="1">
      <c r="A59" s="74" t="inlineStr">
        <is>
          <t>Minus : Depreciation</t>
        </is>
      </c>
      <c r="B59" s="79" t="n"/>
      <c r="C59" s="61" t="n"/>
      <c r="D59" s="61" t="n"/>
      <c r="E59" s="61" t="n">
        <v>1886070.82</v>
      </c>
      <c r="F59" s="61" t="n">
        <v>1886070.82</v>
      </c>
      <c r="G59" s="61" t="n">
        <v>1886070.82</v>
      </c>
      <c r="H59" s="61" t="n">
        <v>1886070.82</v>
      </c>
      <c r="I59" s="61" t="n">
        <v>1886070.82</v>
      </c>
      <c r="J59" s="61" t="n">
        <v>1886070.82</v>
      </c>
      <c r="K59" s="61" t="n">
        <v>1886070.82</v>
      </c>
      <c r="L59" s="61" t="n">
        <v>1886070.82</v>
      </c>
      <c r="M59" s="61" t="n">
        <v>1886070.82</v>
      </c>
      <c r="N59" s="61" t="n">
        <v>1886070.82</v>
      </c>
      <c r="O59" s="61" t="n">
        <v>1886070.82</v>
      </c>
      <c r="P59" s="61" t="n">
        <v>1886070.82</v>
      </c>
      <c r="Q59" s="61" t="n">
        <v>1886070.82</v>
      </c>
      <c r="R59" s="61" t="n">
        <v>1886070.82</v>
      </c>
      <c r="S59" s="61" t="n">
        <v>1886070.82</v>
      </c>
      <c r="T59" s="61" t="n">
        <v>1886070.82</v>
      </c>
      <c r="U59" s="61" t="n">
        <v>1886070.82</v>
      </c>
      <c r="V59" s="61" t="n">
        <v>1886070.82</v>
      </c>
      <c r="W59" s="80" t="n"/>
      <c r="X59" s="68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</row>
    <row r="60" hidden="1" ht="18.75" customHeight="1">
      <c r="A60" s="74" t="inlineStr">
        <is>
          <t>Plus : Principle payment</t>
        </is>
      </c>
      <c r="B60" s="79" t="n"/>
      <c r="C60" s="61" t="n"/>
      <c r="D60" s="61" t="n"/>
      <c r="E60" s="61" t="n">
        <v>0</v>
      </c>
      <c r="F60" s="61" t="n">
        <v>0</v>
      </c>
      <c r="G60" s="61" t="n">
        <v>0</v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80" t="n"/>
      <c r="X60" s="68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</row>
    <row r="61" hidden="1" ht="18.75" customHeight="1">
      <c r="A61" s="81" t="inlineStr">
        <is>
          <t>Profit</t>
        </is>
      </c>
      <c r="B61" s="82" t="n"/>
      <c r="C61" s="83" t="n"/>
      <c r="D61" s="83" t="n"/>
      <c r="E61" s="83" t="n">
        <v>2879653.281934625</v>
      </c>
      <c r="F61" s="83" t="n">
        <v>2829507.867122989</v>
      </c>
      <c r="G61" s="83" t="n">
        <v>2779362.452311353</v>
      </c>
      <c r="H61" s="83" t="n">
        <v>2729217.037499719</v>
      </c>
      <c r="I61" s="83" t="n">
        <v>2679071.622688082</v>
      </c>
      <c r="J61" s="83" t="n">
        <v>2631433.47861703</v>
      </c>
      <c r="K61" s="83" t="n">
        <v>2583795.334545976</v>
      </c>
      <c r="L61" s="83" t="n">
        <v>2536157.190474921</v>
      </c>
      <c r="M61" s="83" t="n">
        <v>2488519.046403868</v>
      </c>
      <c r="N61" s="83" t="n">
        <v>2440880.902332815</v>
      </c>
      <c r="O61" s="83" t="n">
        <v>2398884.117428069</v>
      </c>
      <c r="P61" s="83" t="n">
        <v>2356887.332523325</v>
      </c>
      <c r="Q61" s="83" t="n">
        <v>2314890.547618581</v>
      </c>
      <c r="R61" s="83" t="n">
        <v>2272893.762713836</v>
      </c>
      <c r="S61" s="83" t="n">
        <v>2230896.977809093</v>
      </c>
      <c r="T61" s="83" t="n">
        <v>2188900.192904347</v>
      </c>
      <c r="U61" s="83" t="n">
        <v>2146903.407999602</v>
      </c>
      <c r="V61" s="83" t="n">
        <v>2104906.623094858</v>
      </c>
      <c r="W61" s="84" t="n"/>
      <c r="X61" s="68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</row>
    <row r="62" hidden="1" ht="18.75" customHeight="1">
      <c r="A62" s="85" t="inlineStr">
        <is>
          <t>EPS</t>
        </is>
      </c>
      <c r="B62" s="86" t="n"/>
      <c r="C62" s="87" t="n"/>
      <c r="D62" s="87" t="n"/>
      <c r="E62" s="88" t="n">
        <v>0.7634000938349244</v>
      </c>
      <c r="F62" s="88" t="n">
        <v>0.7501064745604274</v>
      </c>
      <c r="G62" s="88" t="n">
        <v>0.7368128552859308</v>
      </c>
      <c r="H62" s="88" t="n">
        <v>0.7235192360114343</v>
      </c>
      <c r="I62" s="88" t="n">
        <v>0.7102256167369372</v>
      </c>
      <c r="J62" s="88" t="n">
        <v>0.6975966784261659</v>
      </c>
      <c r="K62" s="88" t="n">
        <v>0.6849677401153941</v>
      </c>
      <c r="L62" s="88" t="n">
        <v>0.6723388018046219</v>
      </c>
      <c r="M62" s="88" t="n">
        <v>0.6597098634938501</v>
      </c>
      <c r="N62" s="88" t="n">
        <v>0.6470809251830785</v>
      </c>
      <c r="O62" s="88" t="n">
        <v>0.6359475190406874</v>
      </c>
      <c r="P62" s="88" t="n">
        <v>0.6248141128982965</v>
      </c>
      <c r="Q62" s="88" t="n">
        <v>0.6136807067559056</v>
      </c>
      <c r="R62" s="88" t="n">
        <v>0.6025473006135146</v>
      </c>
      <c r="S62" s="88" t="n">
        <v>0.5914138944711241</v>
      </c>
      <c r="T62" s="88" t="n">
        <v>0.5802804883287328</v>
      </c>
      <c r="U62" s="88" t="n">
        <v>0.5691470821863418</v>
      </c>
      <c r="V62" s="88" t="n">
        <v>0.5580136760439509</v>
      </c>
      <c r="W62" s="89" t="n"/>
      <c r="X62" s="68" t="n"/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</row>
    <row r="63" ht="18.75" customHeight="1" thickBot="1">
      <c r="A63" s="90" t="inlineStr">
        <is>
          <t>回收年限評估</t>
        </is>
      </c>
      <c r="B63" s="91" t="n"/>
      <c r="C63" s="92">
        <f>IF((C57)&gt;0,"回收","未回收")</f>
        <v/>
      </c>
      <c r="D63" s="92">
        <f>IF((D57)&gt;0,"回收","未回收")</f>
        <v/>
      </c>
      <c r="E63" s="92">
        <f>IF((E57)&gt;0,"回收","未回收")</f>
        <v/>
      </c>
      <c r="F63" s="92">
        <f>IF((F57)&gt;0,"回收","未回收")</f>
        <v/>
      </c>
      <c r="G63" s="92">
        <f>IF((G57)&gt;0,"回收","未回收")</f>
        <v/>
      </c>
      <c r="H63" s="92">
        <f>IF((H57)&gt;0,"回收","未回收")</f>
        <v/>
      </c>
      <c r="I63" s="92">
        <f>IF((I57)&gt;0,"回收","未回收")</f>
        <v/>
      </c>
      <c r="J63" s="92">
        <f>IF((J57)&gt;0,"回收","未回收")</f>
        <v/>
      </c>
      <c r="K63" s="92">
        <f>IF((K57)&gt;0,"回收","未回收")</f>
        <v/>
      </c>
      <c r="L63" s="92">
        <f>IF((L57)&gt;0,"回收","未回收")</f>
        <v/>
      </c>
      <c r="M63" s="92">
        <f>IF((M57)&gt;0,"回收","未回收")</f>
        <v/>
      </c>
      <c r="N63" s="92">
        <f>IF((N57)&gt;0,"回收","未回收")</f>
        <v/>
      </c>
      <c r="O63" s="92">
        <f>IF((O57)&gt;0,"回收","未回收")</f>
        <v/>
      </c>
      <c r="P63" s="92">
        <f>IF((P57)&gt;0,"回收","未回收")</f>
        <v/>
      </c>
      <c r="Q63" s="92">
        <f>IF((Q57)&gt;0,"回收","未回收")</f>
        <v/>
      </c>
      <c r="R63" s="92">
        <f>IF((R57)&gt;0,"回收","未回收")</f>
        <v/>
      </c>
      <c r="S63" s="92">
        <f>IF((S57)&gt;0,"回收","未回收")</f>
        <v/>
      </c>
      <c r="T63" s="92">
        <f>IF((T57)&gt;0,"回收","未回收")</f>
        <v/>
      </c>
      <c r="U63" s="92">
        <f>IF((U57)&gt;0,"回收","未回收")</f>
        <v/>
      </c>
      <c r="V63" s="92">
        <f>IF((V57)&gt;0,"回收","未回收")</f>
        <v/>
      </c>
      <c r="W63" s="93" t="n"/>
      <c r="X63" s="68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</row>
    <row r="64" ht="18.75" customHeight="1">
      <c r="A64" s="28" t="n"/>
      <c r="B64" s="149" t="n"/>
      <c r="C64" s="149" t="n"/>
      <c r="D64" s="14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95" t="n"/>
      <c r="X64" s="68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</row>
    <row r="65" ht="18.75" customHeight="1">
      <c r="A65" s="28" t="n"/>
      <c r="B65" s="149" t="n"/>
      <c r="C65" s="149" t="n"/>
      <c r="D65" s="149" t="n"/>
      <c r="E65" s="59" t="n"/>
      <c r="F65" s="59" t="n"/>
      <c r="G65" s="59" t="n"/>
      <c r="H65" s="59" t="n"/>
      <c r="I65" s="59" t="n"/>
      <c r="J65" s="59" t="n"/>
      <c r="K65" s="59" t="inlineStr">
        <is>
          <t>預估可建置量</t>
        </is>
      </c>
      <c r="L65" s="96" t="n">
        <v>0</v>
      </c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95" t="n"/>
      <c r="X65" s="68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</row>
    <row r="66" ht="18.75" customHeight="1">
      <c r="A66" s="28" t="n"/>
      <c r="B66" s="149" t="n"/>
      <c r="C66" s="149" t="n"/>
      <c r="D66" s="149" t="n"/>
      <c r="E66" s="59" t="n"/>
      <c r="F66" s="59" t="n"/>
      <c r="G66" s="59" t="n"/>
      <c r="H66" s="59" t="n"/>
      <c r="I66" s="59" t="n"/>
      <c r="J66" s="59" t="n"/>
      <c r="K66" s="59" t="inlineStr">
        <is>
          <t>預估可建置量</t>
        </is>
      </c>
      <c r="L66" s="96" t="n">
        <v>0</v>
      </c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95" t="n"/>
      <c r="X66" s="68" t="n"/>
      <c r="Y66" s="68" t="n"/>
      <c r="Z66" s="68" t="n"/>
      <c r="AA66" s="68" t="n"/>
      <c r="AB66" s="68" t="n"/>
      <c r="AC66" s="68" t="n"/>
      <c r="AD66" s="68" t="n"/>
      <c r="AE66" s="68" t="n"/>
      <c r="AF66" s="68" t="n"/>
      <c r="AG66" s="68" t="n"/>
      <c r="AH66" s="68" t="n"/>
      <c r="AI66" s="68" t="n"/>
    </row>
    <row r="67" ht="18.75" customHeight="1">
      <c r="B67" s="97" t="inlineStr">
        <is>
          <t>年份</t>
        </is>
      </c>
      <c r="C67" s="98" t="n">
        <v>2020</v>
      </c>
      <c r="D67" s="98" t="n">
        <v>2021</v>
      </c>
      <c r="E67" s="98" t="n">
        <v>2022</v>
      </c>
      <c r="F67" s="98" t="n">
        <v>2023</v>
      </c>
      <c r="G67" s="98" t="n">
        <v>2024</v>
      </c>
      <c r="H67" s="98" t="n">
        <v>2025</v>
      </c>
      <c r="I67" s="98" t="n">
        <v>2026</v>
      </c>
      <c r="J67" s="98" t="n">
        <v>2027</v>
      </c>
      <c r="K67" s="98" t="n">
        <v>2028</v>
      </c>
      <c r="L67" s="98" t="n">
        <v>2029</v>
      </c>
      <c r="M67" s="98" t="n">
        <v>2030</v>
      </c>
      <c r="N67" s="98" t="n">
        <v>2031</v>
      </c>
      <c r="O67" s="98" t="n">
        <v>2032</v>
      </c>
      <c r="P67" s="98" t="n">
        <v>2033</v>
      </c>
      <c r="Q67" s="98" t="n">
        <v>2034</v>
      </c>
      <c r="R67" s="98" t="n">
        <v>2035</v>
      </c>
      <c r="S67" s="98" t="n">
        <v>2036</v>
      </c>
      <c r="T67" s="98" t="n">
        <v>2037</v>
      </c>
      <c r="U67" s="98" t="n">
        <v>2038</v>
      </c>
      <c r="V67" s="98" t="n">
        <v>2039</v>
      </c>
      <c r="W67" s="99" t="n"/>
    </row>
    <row r="68" ht="18.75" customHeight="1">
      <c r="W68" s="99" t="n"/>
    </row>
    <row r="69" ht="18.75" customHeight="1">
      <c r="A69" s="100" t="inlineStr">
        <is>
          <t>(Unit : Currency)</t>
        </is>
      </c>
      <c r="B69" s="101" t="n">
        <v>0</v>
      </c>
      <c r="C69" s="101" t="n">
        <v>1</v>
      </c>
      <c r="D69" s="101" t="n">
        <v>2</v>
      </c>
      <c r="E69" s="101" t="n">
        <v>3</v>
      </c>
      <c r="F69" s="101" t="n">
        <v>4</v>
      </c>
      <c r="G69" s="101" t="n">
        <v>5</v>
      </c>
      <c r="H69" s="101" t="n">
        <v>6</v>
      </c>
      <c r="I69" s="101" t="n">
        <v>7</v>
      </c>
      <c r="J69" s="101" t="n">
        <v>8</v>
      </c>
      <c r="K69" s="101" t="n">
        <v>9</v>
      </c>
      <c r="L69" s="101" t="n">
        <v>10</v>
      </c>
      <c r="M69" s="101" t="n">
        <v>11</v>
      </c>
      <c r="N69" s="101" t="n">
        <v>12</v>
      </c>
      <c r="O69" s="101" t="n">
        <v>13</v>
      </c>
      <c r="P69" s="101" t="n">
        <v>14</v>
      </c>
      <c r="Q69" s="101" t="n">
        <v>15</v>
      </c>
      <c r="R69" s="101" t="n">
        <v>16</v>
      </c>
      <c r="S69" s="101" t="n">
        <v>17</v>
      </c>
      <c r="T69" s="101" t="n">
        <v>18</v>
      </c>
      <c r="U69" s="101" t="n">
        <v>19</v>
      </c>
      <c r="V69" s="101" t="n">
        <v>20</v>
      </c>
      <c r="W69" s="102" t="n"/>
    </row>
    <row r="70" ht="18.75" customHeight="1">
      <c r="A70" s="103" t="inlineStr">
        <is>
          <t>稅後淨利</t>
        </is>
      </c>
      <c r="B70" s="104" t="n"/>
      <c r="C70" s="104">
        <f>#REF!</f>
        <v/>
      </c>
      <c r="D70" s="104">
        <f>#REF!</f>
        <v/>
      </c>
      <c r="E70" s="104">
        <f>#REF!</f>
        <v/>
      </c>
      <c r="F70" s="104">
        <f>#REF!</f>
        <v/>
      </c>
      <c r="G70" s="104">
        <f>#REF!</f>
        <v/>
      </c>
      <c r="H70" s="104">
        <f>#REF!</f>
        <v/>
      </c>
      <c r="I70" s="104">
        <f>#REF!</f>
        <v/>
      </c>
      <c r="J70" s="104">
        <f>#REF!</f>
        <v/>
      </c>
      <c r="K70" s="104">
        <f>#REF!</f>
        <v/>
      </c>
      <c r="L70" s="104">
        <f>#REF!</f>
        <v/>
      </c>
      <c r="M70" s="104">
        <f>#REF!</f>
        <v/>
      </c>
      <c r="N70" s="104">
        <f>#REF!</f>
        <v/>
      </c>
      <c r="O70" s="104">
        <f>#REF!</f>
        <v/>
      </c>
      <c r="P70" s="104">
        <f>#REF!</f>
        <v/>
      </c>
      <c r="Q70" s="104">
        <f>#REF!</f>
        <v/>
      </c>
      <c r="R70" s="104">
        <f>#REF!</f>
        <v/>
      </c>
      <c r="S70" s="104">
        <f>#REF!</f>
        <v/>
      </c>
      <c r="T70" s="104">
        <f>#REF!</f>
        <v/>
      </c>
      <c r="U70" s="104">
        <f>#REF!</f>
        <v/>
      </c>
      <c r="V70" s="104">
        <f>#REF!</f>
        <v/>
      </c>
      <c r="W70" s="77" t="n"/>
    </row>
    <row r="71" ht="18.75" customHeight="1">
      <c r="A71" s="103" t="inlineStr">
        <is>
          <t>設備折舊</t>
        </is>
      </c>
      <c r="B71" s="104" t="n"/>
      <c r="C71" s="105">
        <f>-#REF!</f>
        <v/>
      </c>
      <c r="D71" s="105">
        <f>-#REF!</f>
        <v/>
      </c>
      <c r="E71" s="105">
        <f>-#REF!</f>
        <v/>
      </c>
      <c r="F71" s="105">
        <f>-#REF!</f>
        <v/>
      </c>
      <c r="G71" s="105">
        <f>-#REF!</f>
        <v/>
      </c>
      <c r="H71" s="105">
        <f>-#REF!</f>
        <v/>
      </c>
      <c r="I71" s="105">
        <f>-#REF!</f>
        <v/>
      </c>
      <c r="J71" s="105">
        <f>-#REF!</f>
        <v/>
      </c>
      <c r="K71" s="105">
        <f>-#REF!</f>
        <v/>
      </c>
      <c r="L71" s="105">
        <f>-#REF!</f>
        <v/>
      </c>
      <c r="M71" s="105">
        <f>-#REF!</f>
        <v/>
      </c>
      <c r="N71" s="105">
        <f>-#REF!</f>
        <v/>
      </c>
      <c r="O71" s="105">
        <f>-#REF!</f>
        <v/>
      </c>
      <c r="P71" s="105">
        <f>-#REF!</f>
        <v/>
      </c>
      <c r="Q71" s="105">
        <f>-#REF!</f>
        <v/>
      </c>
      <c r="R71" s="105">
        <f>-#REF!</f>
        <v/>
      </c>
      <c r="S71" s="105">
        <f>-#REF!</f>
        <v/>
      </c>
      <c r="T71" s="105">
        <f>-#REF!</f>
        <v/>
      </c>
      <c r="U71" s="105">
        <f>-#REF!</f>
        <v/>
      </c>
      <c r="V71" s="105">
        <f>-#REF!</f>
        <v/>
      </c>
      <c r="W71" s="77" t="n"/>
    </row>
    <row r="72" ht="18.75" customHeight="1">
      <c r="A72" s="103" t="inlineStr">
        <is>
          <t>營運活動現金流量</t>
        </is>
      </c>
      <c r="B72" s="104" t="n"/>
      <c r="C72" s="106">
        <f>SUM(C70:C71)</f>
        <v/>
      </c>
      <c r="D72" s="106">
        <f>SUM(D70:D71)</f>
        <v/>
      </c>
      <c r="E72" s="106">
        <f>SUM(E70:E71)</f>
        <v/>
      </c>
      <c r="F72" s="106">
        <f>SUM(F70:F71)</f>
        <v/>
      </c>
      <c r="G72" s="106">
        <f>SUM(G70:G71)</f>
        <v/>
      </c>
      <c r="H72" s="106">
        <f>SUM(H70:H71)</f>
        <v/>
      </c>
      <c r="I72" s="106">
        <f>SUM(I70:I71)</f>
        <v/>
      </c>
      <c r="J72" s="106">
        <f>SUM(J70:J71)</f>
        <v/>
      </c>
      <c r="K72" s="106">
        <f>SUM(K70:K71)</f>
        <v/>
      </c>
      <c r="L72" s="106">
        <f>SUM(L70:L71)</f>
        <v/>
      </c>
      <c r="M72" s="106">
        <f>SUM(M70:M71)</f>
        <v/>
      </c>
      <c r="N72" s="106">
        <f>SUM(N70:N71)</f>
        <v/>
      </c>
      <c r="O72" s="106">
        <f>SUM(O70:O71)</f>
        <v/>
      </c>
      <c r="P72" s="106">
        <f>SUM(P70:P71)</f>
        <v/>
      </c>
      <c r="Q72" s="106">
        <f>SUM(Q70:Q71)</f>
        <v/>
      </c>
      <c r="R72" s="106">
        <f>SUM(R70:R71)</f>
        <v/>
      </c>
      <c r="S72" s="106">
        <f>SUM(S70:S71)</f>
        <v/>
      </c>
      <c r="T72" s="106">
        <f>SUM(T70:T71)</f>
        <v/>
      </c>
      <c r="U72" s="106">
        <f>SUM(U70:U71)</f>
        <v/>
      </c>
      <c r="V72" s="106">
        <f>SUM(V70:V71)</f>
        <v/>
      </c>
      <c r="W72" s="107" t="n"/>
    </row>
    <row r="73" ht="18.75" customHeight="1">
      <c r="A73" s="103" t="n"/>
      <c r="B73" s="104" t="n"/>
      <c r="C73" s="104" t="n"/>
      <c r="D73" s="104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99" t="n"/>
    </row>
    <row r="74" ht="18.75" customHeight="1">
      <c r="A74" s="109" t="inlineStr">
        <is>
          <t>投資活動-設備支出</t>
        </is>
      </c>
      <c r="B74" s="110" t="n"/>
      <c r="C74" s="111">
        <f>B44</f>
        <v/>
      </c>
      <c r="D74" s="110" t="n">
        <v>0</v>
      </c>
      <c r="E74" s="110" t="n"/>
      <c r="F74" s="110" t="n">
        <v>0</v>
      </c>
      <c r="G74" s="110" t="n">
        <v>0</v>
      </c>
      <c r="H74" s="110" t="n">
        <v>0</v>
      </c>
      <c r="I74" s="110" t="n">
        <v>0</v>
      </c>
      <c r="J74" s="110" t="n">
        <v>0</v>
      </c>
      <c r="K74" s="110" t="n">
        <v>0</v>
      </c>
      <c r="L74" s="110" t="n">
        <v>0</v>
      </c>
      <c r="M74" s="110" t="n">
        <v>0</v>
      </c>
      <c r="N74" s="110" t="n">
        <v>0</v>
      </c>
      <c r="O74" s="110" t="n">
        <v>0</v>
      </c>
      <c r="P74" s="110" t="n">
        <v>0</v>
      </c>
      <c r="Q74" s="110" t="n">
        <v>0</v>
      </c>
      <c r="R74" s="110" t="n">
        <v>0</v>
      </c>
      <c r="S74" s="110" t="n">
        <v>0</v>
      </c>
      <c r="T74" s="110" t="n">
        <v>0</v>
      </c>
      <c r="U74" s="110" t="n">
        <v>0</v>
      </c>
      <c r="V74" s="110" t="n">
        <v>0</v>
      </c>
      <c r="W74" s="77" t="n"/>
    </row>
    <row r="75" ht="18.75" customHeight="1">
      <c r="A75" s="103" t="n"/>
      <c r="B75" s="104" t="n"/>
      <c r="C75" s="104" t="n"/>
      <c r="D75" s="104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99" t="n"/>
    </row>
    <row r="76" ht="18.75" customHeight="1">
      <c r="A76" s="103" t="n"/>
      <c r="B76" s="104" t="n"/>
      <c r="C76" s="104" t="n"/>
      <c r="D76" s="104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99" t="n"/>
    </row>
    <row r="77" ht="18.75" customHeight="1">
      <c r="A77" s="109" t="inlineStr">
        <is>
          <t>理財活動-借款</t>
        </is>
      </c>
      <c r="B77" s="110" t="n"/>
      <c r="C77" s="111">
        <f>#REF!*0.8</f>
        <v/>
      </c>
      <c r="D77" s="110" t="n"/>
      <c r="E77" s="110" t="n"/>
      <c r="F77" s="110" t="n">
        <v>0</v>
      </c>
      <c r="G77" s="110" t="n">
        <v>0</v>
      </c>
      <c r="H77" s="110" t="n">
        <v>0</v>
      </c>
      <c r="I77" s="110" t="n">
        <v>0</v>
      </c>
      <c r="J77" s="110" t="n">
        <v>0</v>
      </c>
      <c r="K77" s="110" t="n">
        <v>0</v>
      </c>
      <c r="L77" s="110" t="n">
        <v>0</v>
      </c>
      <c r="M77" s="110" t="n">
        <v>0</v>
      </c>
      <c r="N77" s="110" t="n">
        <v>0</v>
      </c>
      <c r="O77" s="110" t="n">
        <v>0</v>
      </c>
      <c r="P77" s="110" t="n">
        <v>0</v>
      </c>
      <c r="Q77" s="110" t="n">
        <v>0</v>
      </c>
      <c r="R77" s="110" t="n">
        <v>0</v>
      </c>
      <c r="S77" s="110" t="n">
        <v>0</v>
      </c>
      <c r="T77" s="110" t="n">
        <v>0</v>
      </c>
      <c r="U77" s="110" t="n">
        <v>0</v>
      </c>
      <c r="V77" s="110" t="n">
        <v>0</v>
      </c>
      <c r="W77" s="99" t="n"/>
    </row>
    <row r="78" ht="18.75" customHeight="1">
      <c r="A78" s="103" t="inlineStr">
        <is>
          <t>理財活動-還款</t>
        </is>
      </c>
      <c r="B78" s="104" t="n"/>
      <c r="C78" s="104" t="n"/>
      <c r="D78" s="104">
        <f>-#REF!</f>
        <v/>
      </c>
      <c r="E78" s="104">
        <f>-#REF!</f>
        <v/>
      </c>
      <c r="F78" s="104">
        <f>-#REF!</f>
        <v/>
      </c>
      <c r="G78" s="104">
        <f>-#REF!</f>
        <v/>
      </c>
      <c r="H78" s="104">
        <f>-#REF!</f>
        <v/>
      </c>
      <c r="I78" s="104">
        <f>-#REF!</f>
        <v/>
      </c>
      <c r="J78" s="104">
        <f>-#REF!</f>
        <v/>
      </c>
      <c r="K78" s="104">
        <f>-#REF!</f>
        <v/>
      </c>
      <c r="L78" s="104">
        <f>-#REF!</f>
        <v/>
      </c>
      <c r="M78" s="104">
        <f>-#REF!</f>
        <v/>
      </c>
      <c r="N78" s="104">
        <f>-#REF!</f>
        <v/>
      </c>
      <c r="O78" s="104">
        <f>-#REF!</f>
        <v/>
      </c>
      <c r="P78" s="104">
        <f>-#REF!</f>
        <v/>
      </c>
      <c r="Q78" s="104">
        <f>-#REF!</f>
        <v/>
      </c>
      <c r="R78" s="104">
        <f>-#REF!</f>
        <v/>
      </c>
      <c r="S78" s="108" t="n"/>
      <c r="T78" s="108" t="n"/>
      <c r="U78" s="108" t="n"/>
      <c r="V78" s="108" t="n"/>
      <c r="W78" s="77" t="n"/>
    </row>
    <row r="79" ht="18.75" customHeight="1">
      <c r="A79" s="103" t="inlineStr">
        <is>
          <t>理財活動-現金增資</t>
        </is>
      </c>
      <c r="B79" s="108" t="n"/>
      <c r="C79" s="104">
        <f>#REF!*0.2</f>
        <v/>
      </c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7" t="n"/>
    </row>
    <row r="80" ht="18.75" customHeight="1">
      <c r="A80" s="103" t="inlineStr">
        <is>
          <t>現金股利</t>
        </is>
      </c>
      <c r="B80" s="108" t="n"/>
      <c r="C80" s="108" t="n"/>
      <c r="D80" s="112">
        <f>-C70*0.9</f>
        <v/>
      </c>
      <c r="E80" s="104">
        <f>-D70*0.9</f>
        <v/>
      </c>
      <c r="F80" s="104">
        <f>-E70*0.9</f>
        <v/>
      </c>
      <c r="G80" s="104">
        <f>-F70*0.9</f>
        <v/>
      </c>
      <c r="H80" s="104">
        <f>-G70*0.9</f>
        <v/>
      </c>
      <c r="I80" s="104">
        <f>-H70*0.9</f>
        <v/>
      </c>
      <c r="J80" s="104">
        <f>-I70*0.9</f>
        <v/>
      </c>
      <c r="K80" s="104">
        <f>-J70*0.9</f>
        <v/>
      </c>
      <c r="L80" s="104">
        <f>-K70*0.9</f>
        <v/>
      </c>
      <c r="M80" s="104">
        <f>-L70*0.9</f>
        <v/>
      </c>
      <c r="N80" s="104">
        <f>-M70*0.9</f>
        <v/>
      </c>
      <c r="O80" s="104">
        <f>-N70*0.9</f>
        <v/>
      </c>
      <c r="P80" s="104">
        <f>-O70*0.9</f>
        <v/>
      </c>
      <c r="Q80" s="104">
        <f>-P70*0.9</f>
        <v/>
      </c>
      <c r="R80" s="104">
        <f>-Q70*0.9</f>
        <v/>
      </c>
      <c r="S80" s="104">
        <f>-R70*0.9</f>
        <v/>
      </c>
      <c r="T80" s="104">
        <f>-S70*0.9</f>
        <v/>
      </c>
      <c r="U80" s="108" t="n"/>
      <c r="V80" s="104">
        <f>-U70*0.9</f>
        <v/>
      </c>
      <c r="W80" s="107" t="n"/>
    </row>
    <row r="81" ht="18.75" customHeight="1">
      <c r="A81" s="113" t="inlineStr">
        <is>
          <t>年底減資</t>
        </is>
      </c>
      <c r="B81" s="114" t="n"/>
      <c r="C81" s="114" t="n"/>
      <c r="D81" s="114" t="n"/>
      <c r="E81" s="114" t="n"/>
      <c r="F81" s="114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5">
        <f>-$C$79/4</f>
        <v/>
      </c>
      <c r="R81" s="115">
        <f>-$C$79/4</f>
        <v/>
      </c>
      <c r="S81" s="115">
        <f>-$C$79/4</f>
        <v/>
      </c>
      <c r="T81" s="115">
        <f>-$C$79/4</f>
        <v/>
      </c>
      <c r="U81" s="114" t="n"/>
      <c r="V81" s="114" t="n"/>
      <c r="W81" s="107" t="n"/>
    </row>
    <row r="82" ht="18.75" customHeight="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7" t="n"/>
    </row>
    <row r="83" ht="18.75" customHeight="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7" t="n"/>
    </row>
    <row r="84" ht="18.75" customHeight="1">
      <c r="A84" s="103" t="inlineStr">
        <is>
          <t>現金淨流入(出 )</t>
        </is>
      </c>
      <c r="B84" s="108">
        <f>SUM(B74:B83)</f>
        <v/>
      </c>
      <c r="C84" s="106">
        <f>SUM(C72:C83)</f>
        <v/>
      </c>
      <c r="D84" s="106">
        <f>SUM(D72:D83)</f>
        <v/>
      </c>
      <c r="E84" s="106">
        <f>SUM(E72:E83)</f>
        <v/>
      </c>
      <c r="F84" s="106">
        <f>SUM(F72:F83)</f>
        <v/>
      </c>
      <c r="G84" s="106">
        <f>SUM(G72:G83)</f>
        <v/>
      </c>
      <c r="H84" s="106">
        <f>SUM(H72:H83)</f>
        <v/>
      </c>
      <c r="I84" s="106">
        <f>SUM(I72:I83)</f>
        <v/>
      </c>
      <c r="J84" s="106">
        <f>SUM(J72:J83)</f>
        <v/>
      </c>
      <c r="K84" s="106">
        <f>SUM(K72:K83)</f>
        <v/>
      </c>
      <c r="L84" s="106">
        <f>SUM(L72:L83)</f>
        <v/>
      </c>
      <c r="M84" s="106">
        <f>SUM(M72:M83)</f>
        <v/>
      </c>
      <c r="N84" s="106">
        <f>SUM(N72:N83)</f>
        <v/>
      </c>
      <c r="O84" s="106">
        <f>SUM(O72:O83)</f>
        <v/>
      </c>
      <c r="P84" s="106">
        <f>SUM(P72:P83)</f>
        <v/>
      </c>
      <c r="Q84" s="106">
        <f>SUM(Q72:Q83)</f>
        <v/>
      </c>
      <c r="R84" s="106">
        <f>SUM(R72:R83)</f>
        <v/>
      </c>
      <c r="S84" s="106">
        <f>SUM(S72:S83)</f>
        <v/>
      </c>
      <c r="T84" s="106">
        <f>SUM(T72:T83)</f>
        <v/>
      </c>
      <c r="U84" s="106">
        <f>SUM(U72:U83)</f>
        <v/>
      </c>
      <c r="V84" s="106">
        <f>SUM(V72:V83)</f>
        <v/>
      </c>
      <c r="W84" s="107" t="n"/>
    </row>
    <row r="85" ht="18.75" customHeight="1">
      <c r="A85" s="103" t="inlineStr">
        <is>
          <t>期初淨現金</t>
        </is>
      </c>
      <c r="B85" s="108" t="n">
        <v>0</v>
      </c>
      <c r="C85" s="108">
        <f>B86</f>
        <v/>
      </c>
      <c r="D85" s="104">
        <f>C86</f>
        <v/>
      </c>
      <c r="E85" s="104">
        <f>D86</f>
        <v/>
      </c>
      <c r="F85" s="104">
        <f>E86</f>
        <v/>
      </c>
      <c r="G85" s="104">
        <f>F86</f>
        <v/>
      </c>
      <c r="H85" s="104">
        <f>G86</f>
        <v/>
      </c>
      <c r="I85" s="104">
        <f>H86</f>
        <v/>
      </c>
      <c r="J85" s="104">
        <f>I86</f>
        <v/>
      </c>
      <c r="K85" s="104">
        <f>J86</f>
        <v/>
      </c>
      <c r="L85" s="104">
        <f>K86</f>
        <v/>
      </c>
      <c r="M85" s="104">
        <f>L86</f>
        <v/>
      </c>
      <c r="N85" s="104">
        <f>M86</f>
        <v/>
      </c>
      <c r="O85" s="104">
        <f>N86</f>
        <v/>
      </c>
      <c r="P85" s="104">
        <f>O86</f>
        <v/>
      </c>
      <c r="Q85" s="104">
        <f>P86</f>
        <v/>
      </c>
      <c r="R85" s="104">
        <f>Q86</f>
        <v/>
      </c>
      <c r="S85" s="104">
        <f>R86</f>
        <v/>
      </c>
      <c r="T85" s="104">
        <f>S86</f>
        <v/>
      </c>
      <c r="U85" s="108" t="n"/>
      <c r="V85" s="108" t="n"/>
      <c r="W85" s="99" t="n"/>
    </row>
    <row r="86" ht="18.75" customHeight="1">
      <c r="A86" s="103" t="inlineStr">
        <is>
          <t>期未淨現金</t>
        </is>
      </c>
      <c r="B86" s="108">
        <f>B84</f>
        <v/>
      </c>
      <c r="C86" s="104">
        <f>C84+C85</f>
        <v/>
      </c>
      <c r="D86" s="104">
        <f>D84+D85</f>
        <v/>
      </c>
      <c r="E86" s="104">
        <f>E84+E85</f>
        <v/>
      </c>
      <c r="F86" s="104">
        <f>F84+F85</f>
        <v/>
      </c>
      <c r="G86" s="104">
        <f>G84+G85</f>
        <v/>
      </c>
      <c r="H86" s="104">
        <f>H84+H85</f>
        <v/>
      </c>
      <c r="I86" s="104">
        <f>I84+I85</f>
        <v/>
      </c>
      <c r="J86" s="104">
        <f>J84+J85</f>
        <v/>
      </c>
      <c r="K86" s="104">
        <f>K84+K85</f>
        <v/>
      </c>
      <c r="L86" s="104">
        <f>L84+L85</f>
        <v/>
      </c>
      <c r="M86" s="104">
        <f>M84+M85</f>
        <v/>
      </c>
      <c r="N86" s="104">
        <f>N84+N85</f>
        <v/>
      </c>
      <c r="O86" s="104">
        <f>O84+O85</f>
        <v/>
      </c>
      <c r="P86" s="104">
        <f>P84+P85</f>
        <v/>
      </c>
      <c r="Q86" s="104">
        <f>Q84+Q85</f>
        <v/>
      </c>
      <c r="R86" s="104">
        <f>R84+R85</f>
        <v/>
      </c>
      <c r="S86" s="104">
        <f>S84+S85</f>
        <v/>
      </c>
      <c r="T86" s="104">
        <f>T84+T85</f>
        <v/>
      </c>
      <c r="U86" s="108" t="n"/>
      <c r="V86" s="108" t="n"/>
      <c r="W86" s="99" t="n"/>
    </row>
    <row r="87" ht="18.75" customHeight="1">
      <c r="A87" s="103" t="n"/>
      <c r="B87" s="10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16" t="n"/>
    </row>
    <row r="88" ht="18.75" customHeight="1">
      <c r="A88" s="103" t="n"/>
      <c r="B88" s="104" t="n"/>
      <c r="C88" s="104" t="n"/>
      <c r="D88" s="104" t="n"/>
      <c r="E88" s="108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16" t="n"/>
    </row>
    <row r="89" ht="18.75" customHeight="1">
      <c r="A89" s="117" t="inlineStr">
        <is>
          <t>成本法實際現金流</t>
        </is>
      </c>
      <c r="B89" s="118" t="n"/>
      <c r="C89" s="119">
        <f>-C79</f>
        <v/>
      </c>
      <c r="D89" s="106">
        <f>-D80-D81</f>
        <v/>
      </c>
      <c r="E89" s="106">
        <f>-E80-E81</f>
        <v/>
      </c>
      <c r="F89" s="106">
        <f>-F80-F81</f>
        <v/>
      </c>
      <c r="G89" s="106">
        <f>-G80-G81</f>
        <v/>
      </c>
      <c r="H89" s="106">
        <f>-H80-H81</f>
        <v/>
      </c>
      <c r="I89" s="106">
        <f>-I80-I81</f>
        <v/>
      </c>
      <c r="J89" s="106">
        <f>-J80-J81</f>
        <v/>
      </c>
      <c r="K89" s="106">
        <f>-K80-K81</f>
        <v/>
      </c>
      <c r="L89" s="106">
        <f>-L80-L81</f>
        <v/>
      </c>
      <c r="M89" s="106">
        <f>-M80-M81</f>
        <v/>
      </c>
      <c r="N89" s="106">
        <f>-N80-N81</f>
        <v/>
      </c>
      <c r="O89" s="106">
        <f>-O80-O81</f>
        <v/>
      </c>
      <c r="P89" s="106">
        <f>-P80-P81</f>
        <v/>
      </c>
      <c r="Q89" s="106">
        <f>-Q80-Q81</f>
        <v/>
      </c>
      <c r="R89" s="106">
        <f>-R80-R81</f>
        <v/>
      </c>
      <c r="S89" s="106">
        <f>-S80-S81</f>
        <v/>
      </c>
      <c r="T89" s="106">
        <f>-T80-T81</f>
        <v/>
      </c>
      <c r="U89" s="118">
        <f>-U80-U81</f>
        <v/>
      </c>
      <c r="V89" s="106">
        <f>-V80-V81</f>
        <v/>
      </c>
      <c r="W89" s="107" t="n"/>
    </row>
    <row r="90" ht="18.75" customHeight="1">
      <c r="A90" s="103" t="inlineStr">
        <is>
          <t>成本法IRR</t>
        </is>
      </c>
      <c r="B90" s="120">
        <f>IRR(C89:V89)</f>
        <v/>
      </c>
      <c r="C90" s="150" t="n"/>
      <c r="D90" s="150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16" t="n"/>
    </row>
    <row r="91" ht="18.75" customHeight="1">
      <c r="A91" s="117" t="inlineStr">
        <is>
          <t>權益法實際現金流</t>
        </is>
      </c>
      <c r="B91" s="118" t="n"/>
      <c r="C91" s="119">
        <f>#REF!-C79</f>
        <v/>
      </c>
      <c r="D91" s="106">
        <f>#REF!</f>
        <v/>
      </c>
      <c r="E91" s="106">
        <f>#REF!-E81</f>
        <v/>
      </c>
      <c r="F91" s="106">
        <f>#REF!-F81</f>
        <v/>
      </c>
      <c r="G91" s="106">
        <f>#REF!-G81</f>
        <v/>
      </c>
      <c r="H91" s="106">
        <f>#REF!-H81</f>
        <v/>
      </c>
      <c r="I91" s="106">
        <f>#REF!-I81</f>
        <v/>
      </c>
      <c r="J91" s="106">
        <f>#REF!-J81</f>
        <v/>
      </c>
      <c r="K91" s="106">
        <f>#REF!-K81</f>
        <v/>
      </c>
      <c r="L91" s="106">
        <f>#REF!-L81</f>
        <v/>
      </c>
      <c r="M91" s="106">
        <f>#REF!-M81</f>
        <v/>
      </c>
      <c r="N91" s="106">
        <f>#REF!-N81</f>
        <v/>
      </c>
      <c r="O91" s="106">
        <f>#REF!-O81</f>
        <v/>
      </c>
      <c r="P91" s="106">
        <f>#REF!-P81</f>
        <v/>
      </c>
      <c r="Q91" s="106">
        <f>#REF!-Q81</f>
        <v/>
      </c>
      <c r="R91" s="106">
        <f>#REF!-R81</f>
        <v/>
      </c>
      <c r="S91" s="106">
        <f>#REF!-S81</f>
        <v/>
      </c>
      <c r="T91" s="106">
        <f>#REF!-T81</f>
        <v/>
      </c>
      <c r="U91" s="106">
        <f>#REF!-U81</f>
        <v/>
      </c>
      <c r="V91" s="106">
        <f>#REF!-V81</f>
        <v/>
      </c>
      <c r="W91" s="77" t="n"/>
    </row>
    <row r="92" ht="18.75" customHeight="1">
      <c r="A92" s="117" t="inlineStr">
        <is>
          <t>權益法IRR</t>
        </is>
      </c>
      <c r="B92" s="120">
        <f>IRR(C91:V91)</f>
        <v/>
      </c>
      <c r="C92" s="150" t="n"/>
      <c r="D92" s="150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16" t="n"/>
    </row>
    <row r="93" ht="18.75" customHeight="1">
      <c r="A93" s="103" t="n"/>
      <c r="B93" s="10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16" t="n"/>
    </row>
    <row r="94" ht="18.75" customHeight="1">
      <c r="A94" s="103" t="inlineStr">
        <is>
          <t>借款餘額</t>
        </is>
      </c>
      <c r="B94" s="108" t="n">
        <v>0</v>
      </c>
      <c r="C94" s="104">
        <f>C77</f>
        <v/>
      </c>
      <c r="D94" s="104">
        <f>C94+D77+D78</f>
        <v/>
      </c>
      <c r="E94" s="104">
        <f>D94+E77+E78</f>
        <v/>
      </c>
      <c r="F94" s="104">
        <f>E94+F77+F78</f>
        <v/>
      </c>
      <c r="G94" s="104">
        <f>F94+G77+G78</f>
        <v/>
      </c>
      <c r="H94" s="104">
        <f>G94+H77+H78</f>
        <v/>
      </c>
      <c r="I94" s="104">
        <f>H94+I77+I78</f>
        <v/>
      </c>
      <c r="J94" s="104">
        <f>I94+J77+J78</f>
        <v/>
      </c>
      <c r="K94" s="104">
        <f>J94+K77+K78</f>
        <v/>
      </c>
      <c r="L94" s="104">
        <f>K94+L77+L78</f>
        <v/>
      </c>
      <c r="M94" s="104">
        <f>L94+M77+M78</f>
        <v/>
      </c>
      <c r="N94" s="104">
        <f>M94+N77+N78</f>
        <v/>
      </c>
      <c r="O94" s="104">
        <f>N94+O77+O78</f>
        <v/>
      </c>
      <c r="P94" s="104">
        <f>O94+P77+P78</f>
        <v/>
      </c>
      <c r="Q94" s="104">
        <f>P94+Q77+Q78</f>
        <v/>
      </c>
      <c r="R94" s="104">
        <f>Q94+R77+R78</f>
        <v/>
      </c>
      <c r="S94" s="108" t="n"/>
      <c r="T94" s="108" t="n"/>
      <c r="U94" s="108" t="n"/>
      <c r="V94" s="108" t="n"/>
      <c r="W94" s="108" t="n"/>
    </row>
    <row r="95" ht="18.75" customHeight="1"/>
    <row r="96" ht="18.75" customHeight="1">
      <c r="A96" s="122" t="n"/>
    </row>
    <row r="97" ht="18.75" customHeight="1">
      <c r="F97" s="69" t="n"/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8"/>
  <sheetViews>
    <sheetView tabSelected="1" workbookViewId="0">
      <selection activeCell="F12" sqref="F12"/>
    </sheetView>
  </sheetViews>
  <sheetFormatPr baseColWidth="8" defaultRowHeight="15.75"/>
  <cols>
    <col width="17.42578125" bestFit="1" customWidth="1" style="8" min="1" max="1"/>
    <col width="33.42578125" bestFit="1" customWidth="1" style="8" min="2" max="2"/>
    <col width="11.42578125" bestFit="1" customWidth="1" style="8" min="3" max="4"/>
  </cols>
  <sheetData>
    <row r="1" ht="17.25" customHeight="1" thickBot="1">
      <c r="A1" s="140" t="inlineStr">
        <is>
          <t>電站基本資料</t>
        </is>
      </c>
      <c r="B1" s="141" t="n"/>
      <c r="C1" s="141" t="n"/>
      <c r="D1" s="142" t="n"/>
    </row>
    <row r="2">
      <c r="A2" s="1" t="inlineStr">
        <is>
          <t>電站名稱</t>
        </is>
      </c>
      <c r="B2" s="2" t="inlineStr">
        <is>
          <t>淡江大學-財務模擬案場</t>
        </is>
      </c>
      <c r="C2" s="126" t="inlineStr">
        <is>
          <t>-</t>
        </is>
      </c>
      <c r="D2" s="126" t="inlineStr">
        <is>
          <t>-</t>
        </is>
      </c>
    </row>
    <row r="3">
      <c r="A3" s="4" t="inlineStr">
        <is>
          <t>電站壽命</t>
        </is>
      </c>
      <c r="B3" s="5" t="n">
        <v>20</v>
      </c>
      <c r="C3" s="6" t="inlineStr">
        <is>
          <t>-</t>
        </is>
      </c>
      <c r="D3" s="6" t="inlineStr">
        <is>
          <t>-</t>
        </is>
      </c>
    </row>
    <row r="4">
      <c r="A4" s="4" t="inlineStr">
        <is>
          <t>建置量(kWp)</t>
        </is>
      </c>
      <c r="B4" s="5" t="n">
        <v>436.1</v>
      </c>
      <c r="C4" s="6" t="inlineStr">
        <is>
          <t>-</t>
        </is>
      </c>
      <c r="D4" s="6" t="inlineStr">
        <is>
          <t>-</t>
        </is>
      </c>
    </row>
    <row r="5">
      <c r="A5" s="7" t="inlineStr">
        <is>
          <t>起始年度</t>
        </is>
      </c>
      <c r="B5" s="7" t="n">
        <v>2020</v>
      </c>
      <c r="C5" s="7" t="inlineStr">
        <is>
          <t>結束年度</t>
        </is>
      </c>
      <c r="D5" s="7" t="n">
        <v>2039</v>
      </c>
    </row>
    <row r="6" ht="16.5" customHeight="1" thickBot="1"/>
    <row r="7" ht="17.25" customHeight="1" thickBot="1">
      <c r="A7" s="143" t="inlineStr">
        <is>
          <t>綜合損益表</t>
        </is>
      </c>
      <c r="B7" s="141" t="n"/>
      <c r="C7" s="141" t="n"/>
      <c r="D7" s="142" t="n"/>
    </row>
    <row r="8" ht="16.5" customHeight="1" thickBot="1">
      <c r="A8" s="144" t="inlineStr">
        <is>
          <t>收入</t>
        </is>
      </c>
      <c r="D8" s="145" t="n"/>
    </row>
    <row r="9" ht="16.5" customHeight="1" thickBot="1">
      <c r="A9" s="9" t="inlineStr">
        <is>
          <t>收支項目</t>
        </is>
      </c>
      <c r="B9" s="10" t="inlineStr">
        <is>
          <t>相關參數</t>
        </is>
      </c>
      <c r="C9" s="10" t="inlineStr">
        <is>
          <t>參數數值</t>
        </is>
      </c>
      <c r="D9" s="11" t="inlineStr">
        <is>
          <t>年限</t>
        </is>
      </c>
    </row>
    <row r="10">
      <c r="A10" s="123" t="inlineStr">
        <is>
          <t>電費收入</t>
        </is>
      </c>
      <c r="B10" s="124" t="inlineStr">
        <is>
          <t>年度AC併網總發電量</t>
        </is>
      </c>
      <c r="C10" s="124" t="n">
        <v>547002</v>
      </c>
      <c r="D10" s="123" t="n">
        <v>20</v>
      </c>
    </row>
    <row r="11">
      <c r="A11" s="146" t="n"/>
      <c r="B11" s="7" t="inlineStr">
        <is>
          <t>首年衰退率</t>
        </is>
      </c>
      <c r="C11" s="13" t="n">
        <v>0.01</v>
      </c>
      <c r="D11" s="146" t="n"/>
    </row>
    <row r="12">
      <c r="A12" s="146" t="n"/>
      <c r="B12" s="7" t="inlineStr">
        <is>
          <t>次年衰退率</t>
        </is>
      </c>
      <c r="C12" s="14" t="n">
        <v>0.004</v>
      </c>
      <c r="D12" s="146" t="n"/>
    </row>
    <row r="13" ht="16.5" customHeight="1" thickBot="1">
      <c r="A13" s="146" t="n"/>
      <c r="B13" s="127" t="inlineStr">
        <is>
          <t>躉售費率(FIT)</t>
        </is>
      </c>
      <c r="C13" s="127" t="n">
        <v>3.7152</v>
      </c>
      <c r="D13" s="146" t="n"/>
    </row>
    <row r="14" ht="16.5" customHeight="1" thickBot="1">
      <c r="A14" s="147" t="inlineStr">
        <is>
          <t>支出</t>
        </is>
      </c>
      <c r="B14" s="141" t="n"/>
      <c r="C14" s="141" t="n"/>
      <c r="D14" s="142" t="n"/>
    </row>
    <row r="15" ht="16.5" customHeight="1" thickBot="1">
      <c r="A15" s="9" t="inlineStr">
        <is>
          <t>收支項目</t>
        </is>
      </c>
      <c r="B15" s="10" t="inlineStr">
        <is>
          <t>相關參數</t>
        </is>
      </c>
      <c r="C15" s="10" t="inlineStr">
        <is>
          <t>參數數值</t>
        </is>
      </c>
      <c r="D15" s="16" t="inlineStr">
        <is>
          <t>攤提年限</t>
        </is>
      </c>
    </row>
    <row r="16">
      <c r="A16" s="124" t="inlineStr">
        <is>
          <t>設備費用(價金)</t>
        </is>
      </c>
      <c r="B16" s="17" t="inlineStr">
        <is>
          <t>每kWp設備成本</t>
        </is>
      </c>
      <c r="C16" s="124" t="n">
        <v>29000</v>
      </c>
      <c r="D16" s="126" t="n">
        <v>20</v>
      </c>
    </row>
    <row r="17">
      <c r="A17" s="146" t="n"/>
      <c r="B17" s="7" t="inlineStr">
        <is>
          <t>信邦利潤率</t>
        </is>
      </c>
      <c r="C17" s="5" t="n">
        <v>0.2</v>
      </c>
      <c r="D17" s="146" t="n"/>
    </row>
    <row r="18">
      <c r="A18" s="148" t="n"/>
      <c r="B18" s="7" t="inlineStr">
        <is>
          <t>開發費</t>
        </is>
      </c>
      <c r="C18" s="5" t="n">
        <v>2000</v>
      </c>
      <c r="D18" s="148" t="n"/>
    </row>
    <row r="19" ht="31.5" customHeight="1">
      <c r="A19" s="7" t="inlineStr">
        <is>
          <t>租金費用</t>
        </is>
      </c>
      <c r="B19" s="18" t="inlineStr">
        <is>
          <t>租金計算方式
(1=固定攤提/2=電費抽成)</t>
        </is>
      </c>
      <c r="C19" s="5" t="n">
        <v>1</v>
      </c>
      <c r="D19" s="126" t="inlineStr">
        <is>
          <t>-</t>
        </is>
      </c>
    </row>
    <row r="20">
      <c r="A20" s="146" t="n"/>
      <c r="B20" s="19" t="inlineStr">
        <is>
          <t>【方式1參數】租金總額</t>
        </is>
      </c>
      <c r="C20" s="5" t="n">
        <v>5804025</v>
      </c>
      <c r="D20" s="126" t="n">
        <v>20</v>
      </c>
    </row>
    <row r="21">
      <c r="A21" s="148" t="n"/>
      <c r="B21" s="20" t="inlineStr">
        <is>
          <t>【方式2參數】抽成比率</t>
        </is>
      </c>
      <c r="C21" s="5" t="n"/>
      <c r="D21" s="6" t="inlineStr">
        <is>
          <t>-</t>
        </is>
      </c>
    </row>
    <row r="22">
      <c r="A22" s="7" t="inlineStr">
        <is>
          <t>運維費用</t>
        </is>
      </c>
      <c r="B22" s="20" t="inlineStr">
        <is>
          <t>每kw運維成本</t>
        </is>
      </c>
      <c r="C22" s="5" t="n">
        <v>400</v>
      </c>
      <c r="D22" s="6" t="n">
        <v>20</v>
      </c>
    </row>
    <row r="23">
      <c r="A23" s="7" t="inlineStr">
        <is>
          <t>保險費用</t>
        </is>
      </c>
      <c r="B23" s="21" t="inlineStr">
        <is>
          <t>占整體設備費用比例</t>
        </is>
      </c>
      <c r="C23" s="5" t="n">
        <v>0.003</v>
      </c>
      <c r="D23" s="6" t="n">
        <v>20</v>
      </c>
    </row>
    <row r="24">
      <c r="A24" s="7" t="inlineStr">
        <is>
          <t>模組回收費用</t>
        </is>
      </c>
      <c r="B24" s="20" t="inlineStr">
        <is>
          <t>每kw模組回收成本</t>
        </is>
      </c>
      <c r="C24" s="5" t="n">
        <v>1000</v>
      </c>
      <c r="D24" s="6" t="n">
        <v>10</v>
      </c>
    </row>
    <row r="25">
      <c r="A25" s="7" t="inlineStr">
        <is>
          <t>利息費用</t>
        </is>
      </c>
      <c r="B25" s="7" t="inlineStr">
        <is>
          <t>銀行利率</t>
        </is>
      </c>
      <c r="C25" s="22" t="n">
        <v>0.025595</v>
      </c>
      <c r="D25" s="6" t="inlineStr">
        <is>
          <t>-</t>
        </is>
      </c>
    </row>
    <row r="26">
      <c r="A26" s="7" t="inlineStr">
        <is>
          <t>所得稅</t>
        </is>
      </c>
      <c r="B26" s="7" t="inlineStr">
        <is>
          <t>所得稅率</t>
        </is>
      </c>
      <c r="C26" s="5" t="n">
        <v>0.2</v>
      </c>
      <c r="D26" s="6" t="inlineStr">
        <is>
          <t>-</t>
        </is>
      </c>
    </row>
    <row r="28" ht="16.5" customHeight="1" thickBot="1"/>
    <row r="29" ht="17.25" customHeight="1" thickBot="1">
      <c r="A29" s="143" t="inlineStr">
        <is>
          <t>現金流量表</t>
        </is>
      </c>
      <c r="B29" s="141" t="n"/>
      <c r="C29" s="142" t="n"/>
    </row>
    <row r="30" ht="16.5" customHeight="1" thickBot="1">
      <c r="A30" s="9" t="inlineStr">
        <is>
          <t>金流項目</t>
        </is>
      </c>
      <c r="B30" s="23" t="inlineStr">
        <is>
          <t>相關參數</t>
        </is>
      </c>
      <c r="C30" s="24" t="inlineStr">
        <is>
          <t>參數數值</t>
        </is>
      </c>
    </row>
    <row r="31">
      <c r="A31" s="17" t="inlineStr">
        <is>
          <t>貸款成數</t>
        </is>
      </c>
      <c r="B31" s="1" t="inlineStr">
        <is>
          <t>占總設備費用比例</t>
        </is>
      </c>
      <c r="C31" s="25" t="n">
        <v>0.8</v>
      </c>
    </row>
    <row r="32">
      <c r="A32" s="124" t="inlineStr">
        <is>
          <t>貸款還款</t>
        </is>
      </c>
      <c r="B32" s="25" t="inlineStr">
        <is>
          <t>攤還期數</t>
        </is>
      </c>
      <c r="C32" s="25" t="n">
        <v>15</v>
      </c>
    </row>
    <row r="33">
      <c r="A33" s="7" t="inlineStr">
        <is>
          <t>現金股利</t>
        </is>
      </c>
      <c r="B33" s="5" t="inlineStr">
        <is>
          <t>股利比率</t>
        </is>
      </c>
      <c r="C33" s="5" t="n">
        <v>0.9</v>
      </c>
    </row>
    <row r="34">
      <c r="A34" s="7" t="inlineStr">
        <is>
          <t>年底減資</t>
        </is>
      </c>
      <c r="B34" s="5" t="inlineStr">
        <is>
          <t>攤還期數</t>
        </is>
      </c>
      <c r="C34" s="5" t="n">
        <v>4</v>
      </c>
    </row>
    <row r="39">
      <c r="A39" s="27" t="n"/>
      <c r="B39" s="26" t="n"/>
      <c r="C39" s="26" t="n"/>
      <c r="D39" s="26" t="n"/>
      <c r="E39" s="26" t="n"/>
      <c r="F39" s="26" t="n"/>
      <c r="G39" s="26" t="n"/>
      <c r="H39" s="26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</row>
    <row r="40" ht="17.25" customHeight="1" thickBot="1">
      <c r="A40" s="28" t="n"/>
      <c r="B40" s="29" t="inlineStr">
        <is>
          <t>年份</t>
        </is>
      </c>
      <c r="C40" s="29" t="n">
        <v>2020</v>
      </c>
      <c r="D40" s="29" t="n">
        <v>2021</v>
      </c>
      <c r="E40" s="29" t="n">
        <v>2022</v>
      </c>
      <c r="F40" s="29" t="n">
        <v>2023</v>
      </c>
      <c r="G40" s="29" t="n">
        <v>2024</v>
      </c>
      <c r="H40" s="29" t="n">
        <v>2025</v>
      </c>
      <c r="I40" s="29" t="n">
        <v>2026</v>
      </c>
      <c r="J40" s="29" t="n">
        <v>2027</v>
      </c>
      <c r="K40" s="29" t="n">
        <v>2028</v>
      </c>
      <c r="L40" s="29" t="n">
        <v>2029</v>
      </c>
      <c r="M40" s="29" t="n">
        <v>2030</v>
      </c>
      <c r="N40" s="29" t="n">
        <v>2031</v>
      </c>
      <c r="O40" s="29" t="n">
        <v>2032</v>
      </c>
      <c r="P40" s="29" t="n">
        <v>2033</v>
      </c>
      <c r="Q40" s="29" t="n">
        <v>2034</v>
      </c>
      <c r="R40" s="29" t="n">
        <v>2035</v>
      </c>
      <c r="S40" s="29" t="n">
        <v>2036</v>
      </c>
      <c r="T40" s="29" t="n">
        <v>2037</v>
      </c>
      <c r="U40" s="29" t="n">
        <v>2038</v>
      </c>
      <c r="V40" s="29" t="n">
        <v>2039</v>
      </c>
    </row>
    <row r="41" ht="18.75" customHeight="1">
      <c r="A41" s="31" t="n">
        <v>0</v>
      </c>
      <c r="B41" s="32" t="n"/>
      <c r="C41" s="33" t="n"/>
      <c r="D41" s="33" t="n"/>
      <c r="E41" s="34" t="inlineStr">
        <is>
          <t>手動計算值</t>
        </is>
      </c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6" t="inlineStr">
        <is>
          <t>償還年限</t>
        </is>
      </c>
      <c r="T41" s="35" t="n"/>
      <c r="U41" s="35" t="n"/>
      <c r="V41" s="35" t="n"/>
    </row>
    <row r="42">
      <c r="A42" s="38" t="inlineStr">
        <is>
          <t>(Unit : Currency)</t>
        </is>
      </c>
      <c r="B42" s="39" t="n">
        <v>0</v>
      </c>
      <c r="C42" s="40" t="n">
        <v>1</v>
      </c>
      <c r="D42" s="40" t="n">
        <v>2</v>
      </c>
      <c r="E42" s="40" t="n">
        <v>3</v>
      </c>
      <c r="F42" s="40" t="n">
        <v>4</v>
      </c>
      <c r="G42" s="40" t="n">
        <v>5</v>
      </c>
      <c r="H42" s="40" t="n">
        <v>6</v>
      </c>
      <c r="I42" s="40" t="n">
        <v>7</v>
      </c>
      <c r="J42" s="40" t="n">
        <v>8</v>
      </c>
      <c r="K42" s="40" t="n">
        <v>9</v>
      </c>
      <c r="L42" s="40" t="n">
        <v>10</v>
      </c>
      <c r="M42" s="40" t="n">
        <v>11</v>
      </c>
      <c r="N42" s="40" t="n">
        <v>12</v>
      </c>
      <c r="O42" s="40" t="n">
        <v>13</v>
      </c>
      <c r="P42" s="40" t="n">
        <v>14</v>
      </c>
      <c r="Q42" s="40" t="n">
        <v>15</v>
      </c>
      <c r="R42" s="40" t="n">
        <v>16</v>
      </c>
      <c r="S42" s="41" t="n">
        <v>17</v>
      </c>
      <c r="T42" s="40" t="n">
        <v>18</v>
      </c>
      <c r="U42" s="40" t="n">
        <v>19</v>
      </c>
      <c r="V42" s="40" t="n">
        <v>20</v>
      </c>
    </row>
    <row r="43" ht="17.25" customHeight="1" thickBot="1">
      <c r="A43" s="43" t="inlineStr">
        <is>
          <t>發電度數(KWH)</t>
        </is>
      </c>
      <c r="B43" s="39" t="n">
        <v>0</v>
      </c>
      <c r="C43" s="40">
        <f>#REF!</f>
        <v/>
      </c>
      <c r="D43" s="40">
        <f>#REF!</f>
        <v/>
      </c>
      <c r="E43" s="40">
        <f>#REF!</f>
        <v/>
      </c>
      <c r="F43" s="40">
        <f>#REF!</f>
        <v/>
      </c>
      <c r="G43" s="40">
        <f>#REF!</f>
        <v/>
      </c>
      <c r="H43" s="40">
        <f>#REF!</f>
        <v/>
      </c>
      <c r="I43" s="40">
        <f>#REF!</f>
        <v/>
      </c>
      <c r="J43" s="40">
        <f>#REF!</f>
        <v/>
      </c>
      <c r="K43" s="40">
        <f>#REF!</f>
        <v/>
      </c>
      <c r="L43" s="40">
        <f>#REF!</f>
        <v/>
      </c>
      <c r="M43" s="40">
        <f>#REF!</f>
        <v/>
      </c>
      <c r="N43" s="40">
        <f>#REF!</f>
        <v/>
      </c>
      <c r="O43" s="40">
        <f>#REF!</f>
        <v/>
      </c>
      <c r="P43" s="40">
        <f>#REF!</f>
        <v/>
      </c>
      <c r="Q43" s="40">
        <f>#REF!</f>
        <v/>
      </c>
      <c r="R43" s="40">
        <f>#REF!</f>
        <v/>
      </c>
      <c r="S43" s="40">
        <f>#REF!</f>
        <v/>
      </c>
      <c r="T43" s="40">
        <f>#REF!</f>
        <v/>
      </c>
      <c r="U43" s="40">
        <f>#REF!</f>
        <v/>
      </c>
      <c r="V43" s="40">
        <f>#REF!</f>
        <v/>
      </c>
    </row>
    <row r="44" ht="16.5" customHeight="1">
      <c r="A44" s="45" t="inlineStr">
        <is>
          <t>Inflow : 電費收入</t>
        </is>
      </c>
      <c r="B44" s="46" t="inlineStr">
        <is>
          <t>-</t>
        </is>
      </c>
      <c r="C44" s="47">
        <f>#REF!</f>
        <v/>
      </c>
      <c r="D44" s="47">
        <f>#REF!</f>
        <v/>
      </c>
      <c r="E44" s="47">
        <f>#REF!</f>
        <v/>
      </c>
      <c r="F44" s="47">
        <f>#REF!</f>
        <v/>
      </c>
      <c r="G44" s="47">
        <f>#REF!</f>
        <v/>
      </c>
      <c r="H44" s="47">
        <f>#REF!</f>
        <v/>
      </c>
      <c r="I44" s="47">
        <f>#REF!</f>
        <v/>
      </c>
      <c r="J44" s="47">
        <f>#REF!</f>
        <v/>
      </c>
      <c r="K44" s="47">
        <f>#REF!</f>
        <v/>
      </c>
      <c r="L44" s="47">
        <f>#REF!</f>
        <v/>
      </c>
      <c r="M44" s="47">
        <f>#REF!</f>
        <v/>
      </c>
      <c r="N44" s="47">
        <f>#REF!</f>
        <v/>
      </c>
      <c r="O44" s="47">
        <f>#REF!</f>
        <v/>
      </c>
      <c r="P44" s="47">
        <f>#REF!</f>
        <v/>
      </c>
      <c r="Q44" s="47">
        <f>#REF!</f>
        <v/>
      </c>
      <c r="R44" s="47">
        <f>#REF!</f>
        <v/>
      </c>
      <c r="S44" s="47">
        <f>#REF!</f>
        <v/>
      </c>
      <c r="T44" s="47">
        <f>#REF!</f>
        <v/>
      </c>
      <c r="U44" s="47">
        <f>#REF!</f>
        <v/>
      </c>
      <c r="V44" s="47">
        <f>#REF!</f>
        <v/>
      </c>
    </row>
    <row r="45" ht="16.5" customHeight="1">
      <c r="A45" s="49" t="inlineStr">
        <is>
          <t>Inflow : 政府補助</t>
        </is>
      </c>
      <c r="B45" s="39" t="inlineStr">
        <is>
          <t>-</t>
        </is>
      </c>
      <c r="C45" s="40" t="n"/>
      <c r="D45" s="40" t="n"/>
      <c r="E45" s="40" t="n">
        <v>0</v>
      </c>
      <c r="F45" s="40" t="inlineStr">
        <is>
          <t>-</t>
        </is>
      </c>
      <c r="G45" s="40" t="inlineStr">
        <is>
          <t>-</t>
        </is>
      </c>
      <c r="H45" s="40" t="inlineStr">
        <is>
          <t>-</t>
        </is>
      </c>
      <c r="I45" s="40" t="inlineStr">
        <is>
          <t>-</t>
        </is>
      </c>
      <c r="J45" s="40" t="inlineStr">
        <is>
          <t>-</t>
        </is>
      </c>
      <c r="K45" s="40" t="inlineStr">
        <is>
          <t>-</t>
        </is>
      </c>
      <c r="L45" s="40" t="inlineStr">
        <is>
          <t>-</t>
        </is>
      </c>
      <c r="M45" s="40" t="inlineStr">
        <is>
          <t>-</t>
        </is>
      </c>
      <c r="N45" s="40" t="inlineStr">
        <is>
          <t>-</t>
        </is>
      </c>
      <c r="O45" s="40" t="inlineStr">
        <is>
          <t>-</t>
        </is>
      </c>
      <c r="P45" s="40" t="inlineStr">
        <is>
          <t>-</t>
        </is>
      </c>
      <c r="Q45" s="40" t="inlineStr">
        <is>
          <t>-</t>
        </is>
      </c>
      <c r="R45" s="40" t="inlineStr">
        <is>
          <t>-</t>
        </is>
      </c>
      <c r="S45" s="40" t="inlineStr">
        <is>
          <t>-</t>
        </is>
      </c>
      <c r="T45" s="40" t="inlineStr">
        <is>
          <t>-</t>
        </is>
      </c>
      <c r="U45" s="40" t="inlineStr">
        <is>
          <t>-</t>
        </is>
      </c>
      <c r="V45" s="40" t="inlineStr">
        <is>
          <t>-</t>
        </is>
      </c>
    </row>
    <row r="46" ht="17.25" customHeight="1" thickBot="1">
      <c r="A46" s="51" t="inlineStr">
        <is>
          <t>Inflow : 銀行借款</t>
        </is>
      </c>
      <c r="B46" s="52" t="n"/>
      <c r="C46" s="53" t="n"/>
      <c r="D46" s="53" t="n"/>
      <c r="E46" s="53" t="n"/>
      <c r="F46" s="53" t="n"/>
      <c r="G46" s="53" t="n"/>
      <c r="H46" s="53" t="n"/>
      <c r="I46" s="53" t="n"/>
      <c r="J46" s="53" t="n"/>
      <c r="K46" s="53" t="n"/>
      <c r="L46" s="53" t="n"/>
      <c r="M46" s="53" t="n"/>
      <c r="N46" s="53" t="n"/>
      <c r="O46" s="53" t="n"/>
      <c r="P46" s="53" t="n"/>
      <c r="Q46" s="53" t="n"/>
      <c r="R46" s="53" t="n"/>
      <c r="S46" s="53" t="n"/>
      <c r="T46" s="53" t="n"/>
      <c r="U46" s="53" t="n"/>
      <c r="V46" s="53" t="n"/>
    </row>
    <row r="47" ht="16.5" customHeight="1">
      <c r="A47" s="55" t="inlineStr">
        <is>
          <t>Outflow : 設備費用</t>
        </is>
      </c>
      <c r="B47" s="39">
        <f>-#REF!</f>
        <v/>
      </c>
      <c r="C47" s="56" t="n"/>
      <c r="D47" s="40" t="n"/>
      <c r="E47" s="40" t="inlineStr">
        <is>
          <t>-</t>
        </is>
      </c>
      <c r="F47" s="40" t="inlineStr">
        <is>
          <t>-</t>
        </is>
      </c>
      <c r="G47" s="40" t="inlineStr">
        <is>
          <t>-</t>
        </is>
      </c>
      <c r="H47" s="40" t="inlineStr">
        <is>
          <t>-</t>
        </is>
      </c>
      <c r="I47" s="40" t="inlineStr">
        <is>
          <t>-</t>
        </is>
      </c>
      <c r="J47" s="40" t="inlineStr">
        <is>
          <t>-</t>
        </is>
      </c>
      <c r="K47" s="40" t="inlineStr">
        <is>
          <t>-</t>
        </is>
      </c>
      <c r="L47" s="40" t="inlineStr">
        <is>
          <t>-</t>
        </is>
      </c>
      <c r="M47" s="40" t="inlineStr">
        <is>
          <t>-</t>
        </is>
      </c>
      <c r="N47" s="40" t="inlineStr">
        <is>
          <t>-</t>
        </is>
      </c>
      <c r="O47" s="40" t="inlineStr">
        <is>
          <t>-</t>
        </is>
      </c>
      <c r="P47" s="40" t="inlineStr">
        <is>
          <t>-</t>
        </is>
      </c>
      <c r="Q47" s="40" t="inlineStr">
        <is>
          <t>-</t>
        </is>
      </c>
      <c r="R47" s="40" t="inlineStr">
        <is>
          <t>-</t>
        </is>
      </c>
      <c r="S47" s="40" t="inlineStr">
        <is>
          <t>-</t>
        </is>
      </c>
      <c r="T47" s="40" t="inlineStr">
        <is>
          <t>-</t>
        </is>
      </c>
      <c r="U47" s="40" t="inlineStr">
        <is>
          <t>-</t>
        </is>
      </c>
      <c r="V47" s="40" t="inlineStr">
        <is>
          <t>-</t>
        </is>
      </c>
    </row>
    <row r="48" ht="16.5" customHeight="1">
      <c r="A48" s="55" t="inlineStr">
        <is>
          <t>Outflow : 設備放置區域租金</t>
        </is>
      </c>
      <c r="B48" s="39" t="inlineStr">
        <is>
          <t>-</t>
        </is>
      </c>
      <c r="C48" s="40">
        <f>-#REF!</f>
        <v/>
      </c>
      <c r="D48" s="40">
        <f>-#REF!</f>
        <v/>
      </c>
      <c r="E48" s="40">
        <f>-#REF!</f>
        <v/>
      </c>
      <c r="F48" s="40">
        <f>-#REF!</f>
        <v/>
      </c>
      <c r="G48" s="40">
        <f>-#REF!</f>
        <v/>
      </c>
      <c r="H48" s="40">
        <f>-#REF!</f>
        <v/>
      </c>
      <c r="I48" s="40">
        <f>-#REF!</f>
        <v/>
      </c>
      <c r="J48" s="40">
        <f>-#REF!</f>
        <v/>
      </c>
      <c r="K48" s="40">
        <f>-#REF!</f>
        <v/>
      </c>
      <c r="L48" s="40">
        <f>-#REF!</f>
        <v/>
      </c>
      <c r="M48" s="40">
        <f>-#REF!</f>
        <v/>
      </c>
      <c r="N48" s="40">
        <f>-#REF!</f>
        <v/>
      </c>
      <c r="O48" s="40">
        <f>-#REF!</f>
        <v/>
      </c>
      <c r="P48" s="40">
        <f>-#REF!</f>
        <v/>
      </c>
      <c r="Q48" s="40">
        <f>-#REF!</f>
        <v/>
      </c>
      <c r="R48" s="40">
        <f>-#REF!</f>
        <v/>
      </c>
      <c r="S48" s="40">
        <f>-#REF!</f>
        <v/>
      </c>
      <c r="T48" s="40">
        <f>-#REF!</f>
        <v/>
      </c>
      <c r="U48" s="40">
        <f>-#REF!</f>
        <v/>
      </c>
      <c r="V48" s="40">
        <f>-#REF!</f>
        <v/>
      </c>
    </row>
    <row r="49" ht="16.5" customHeight="1">
      <c r="A49" s="55" t="inlineStr">
        <is>
          <t>Outflow : 返還借款</t>
        </is>
      </c>
      <c r="B49" s="39" t="n">
        <v>0</v>
      </c>
      <c r="C49" s="40" t="n"/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>
        <v>0</v>
      </c>
      <c r="V49" s="40" t="n">
        <v>0</v>
      </c>
    </row>
    <row r="50" ht="16.5" customHeight="1">
      <c r="A50" s="55" t="inlineStr">
        <is>
          <t>Outflow : 利息費用</t>
        </is>
      </c>
      <c r="B50" s="39" t="inlineStr">
        <is>
          <t>-</t>
        </is>
      </c>
      <c r="C50" s="40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</row>
    <row r="51" ht="16.5" customHeight="1">
      <c r="A51" s="55" t="inlineStr">
        <is>
          <t>Outflow : 維運費</t>
        </is>
      </c>
      <c r="B51" s="39" t="inlineStr">
        <is>
          <t>-</t>
        </is>
      </c>
      <c r="C51" s="40">
        <f>-#REF!</f>
        <v/>
      </c>
      <c r="D51" s="40">
        <f>-#REF!</f>
        <v/>
      </c>
      <c r="E51" s="40">
        <f>-#REF!</f>
        <v/>
      </c>
      <c r="F51" s="40">
        <f>-#REF!</f>
        <v/>
      </c>
      <c r="G51" s="40">
        <f>-#REF!</f>
        <v/>
      </c>
      <c r="H51" s="40">
        <f>-#REF!</f>
        <v/>
      </c>
      <c r="I51" s="40">
        <f>-#REF!</f>
        <v/>
      </c>
      <c r="J51" s="40">
        <f>-#REF!</f>
        <v/>
      </c>
      <c r="K51" s="40">
        <f>-#REF!</f>
        <v/>
      </c>
      <c r="L51" s="40">
        <f>-#REF!</f>
        <v/>
      </c>
      <c r="M51" s="40">
        <f>-#REF!</f>
        <v/>
      </c>
      <c r="N51" s="40">
        <f>-#REF!</f>
        <v/>
      </c>
      <c r="O51" s="40">
        <f>-#REF!</f>
        <v/>
      </c>
      <c r="P51" s="40">
        <f>-#REF!</f>
        <v/>
      </c>
      <c r="Q51" s="40">
        <f>-#REF!</f>
        <v/>
      </c>
      <c r="R51" s="40">
        <f>-#REF!</f>
        <v/>
      </c>
      <c r="S51" s="40">
        <f>-#REF!</f>
        <v/>
      </c>
      <c r="T51" s="40">
        <f>-#REF!</f>
        <v/>
      </c>
      <c r="U51" s="40">
        <f>-#REF!</f>
        <v/>
      </c>
      <c r="V51" s="40">
        <f>-#REF!</f>
        <v/>
      </c>
    </row>
    <row r="52" ht="16.5" customHeight="1">
      <c r="A52" s="55" t="inlineStr">
        <is>
          <t>Outflow : 保險費</t>
        </is>
      </c>
      <c r="B52" s="39" t="inlineStr">
        <is>
          <t>-</t>
        </is>
      </c>
      <c r="C52" s="40">
        <f>-#REF!</f>
        <v/>
      </c>
      <c r="D52" s="40">
        <f>-#REF!</f>
        <v/>
      </c>
      <c r="E52" s="40">
        <f>-#REF!</f>
        <v/>
      </c>
      <c r="F52" s="40">
        <f>-#REF!</f>
        <v/>
      </c>
      <c r="G52" s="40">
        <f>-#REF!</f>
        <v/>
      </c>
      <c r="H52" s="40">
        <f>-#REF!</f>
        <v/>
      </c>
      <c r="I52" s="40">
        <f>-#REF!</f>
        <v/>
      </c>
      <c r="J52" s="40">
        <f>-#REF!</f>
        <v/>
      </c>
      <c r="K52" s="40">
        <f>-#REF!</f>
        <v/>
      </c>
      <c r="L52" s="40">
        <f>-#REF!</f>
        <v/>
      </c>
      <c r="M52" s="40">
        <f>-#REF!</f>
        <v/>
      </c>
      <c r="N52" s="40">
        <f>-#REF!</f>
        <v/>
      </c>
      <c r="O52" s="40">
        <f>-#REF!</f>
        <v/>
      </c>
      <c r="P52" s="40">
        <f>-#REF!</f>
        <v/>
      </c>
      <c r="Q52" s="40">
        <f>-#REF!</f>
        <v/>
      </c>
      <c r="R52" s="40">
        <f>-#REF!</f>
        <v/>
      </c>
      <c r="S52" s="40">
        <f>-#REF!</f>
        <v/>
      </c>
      <c r="T52" s="40">
        <f>-#REF!</f>
        <v/>
      </c>
      <c r="U52" s="40">
        <f>-#REF!</f>
        <v/>
      </c>
      <c r="V52" s="40">
        <f>-#REF!</f>
        <v/>
      </c>
    </row>
    <row r="53">
      <c r="A53" s="55" t="inlineStr">
        <is>
          <t>Outflow : 模組回收費</t>
        </is>
      </c>
      <c r="B53" s="39" t="n"/>
      <c r="C53" s="40">
        <f>-#REF!</f>
        <v/>
      </c>
      <c r="D53" s="40">
        <f>-#REF!</f>
        <v/>
      </c>
      <c r="E53" s="40">
        <f>-#REF!</f>
        <v/>
      </c>
      <c r="F53" s="40">
        <f>-#REF!</f>
        <v/>
      </c>
      <c r="G53" s="40">
        <f>-#REF!</f>
        <v/>
      </c>
      <c r="H53" s="40">
        <f>-#REF!</f>
        <v/>
      </c>
      <c r="I53" s="40">
        <f>-#REF!</f>
        <v/>
      </c>
      <c r="J53" s="40">
        <f>-#REF!</f>
        <v/>
      </c>
      <c r="K53" s="40">
        <f>-#REF!</f>
        <v/>
      </c>
      <c r="L53" s="40">
        <f>-#REF!</f>
        <v/>
      </c>
      <c r="M53" s="40">
        <f>-#REF!</f>
        <v/>
      </c>
      <c r="N53" s="40">
        <f>-#REF!</f>
        <v/>
      </c>
      <c r="O53" s="40">
        <f>-#REF!</f>
        <v/>
      </c>
      <c r="P53" s="40">
        <f>-#REF!</f>
        <v/>
      </c>
      <c r="Q53" s="40">
        <f>-#REF!</f>
        <v/>
      </c>
      <c r="R53" s="40">
        <f>-#REF!</f>
        <v/>
      </c>
      <c r="S53" s="40">
        <f>-#REF!</f>
        <v/>
      </c>
      <c r="T53" s="40">
        <f>-#REF!</f>
        <v/>
      </c>
      <c r="U53" s="40">
        <f>-#REF!</f>
        <v/>
      </c>
      <c r="V53" s="40">
        <f>-#REF!</f>
        <v/>
      </c>
    </row>
    <row r="54" ht="16.5" customHeight="1">
      <c r="A54" s="55" t="inlineStr">
        <is>
          <t>Outflow : 其它費用(人事薪資…等)</t>
        </is>
      </c>
      <c r="B54" s="57" t="n"/>
      <c r="C54" s="58" t="n"/>
      <c r="D54" s="59" t="n"/>
      <c r="E54" s="40">
        <f>-(E44*#REF!)</f>
        <v/>
      </c>
      <c r="F54" s="40">
        <f>-(F44*#REF!)</f>
        <v/>
      </c>
      <c r="G54" s="40">
        <f>-(G44*#REF!)</f>
        <v/>
      </c>
      <c r="H54" s="40">
        <f>-(H44*#REF!)</f>
        <v/>
      </c>
      <c r="I54" s="40">
        <f>-(I44*#REF!)</f>
        <v/>
      </c>
      <c r="J54" s="40">
        <f>-(J44*#REF!)</f>
        <v/>
      </c>
      <c r="K54" s="40">
        <f>-(K44*#REF!)</f>
        <v/>
      </c>
      <c r="L54" s="40">
        <f>-(L44*#REF!)</f>
        <v/>
      </c>
      <c r="M54" s="40">
        <f>-(M44*#REF!)</f>
        <v/>
      </c>
      <c r="N54" s="40">
        <f>-(N44*#REF!)</f>
        <v/>
      </c>
      <c r="O54" s="40">
        <f>-(O44*#REF!)</f>
        <v/>
      </c>
      <c r="P54" s="40">
        <f>-(P44*#REF!)</f>
        <v/>
      </c>
      <c r="Q54" s="40">
        <f>-(Q44*#REF!)</f>
        <v/>
      </c>
      <c r="R54" s="40">
        <f>-(R44*#REF!)</f>
        <v/>
      </c>
      <c r="S54" s="40">
        <f>-(S44*#REF!)</f>
        <v/>
      </c>
      <c r="T54" s="40">
        <f>-(T44*#REF!)</f>
        <v/>
      </c>
      <c r="U54" s="40">
        <f>-(U44*#REF!)</f>
        <v/>
      </c>
      <c r="V54" s="40">
        <f>-(V44*#REF!)</f>
        <v/>
      </c>
    </row>
    <row r="55" ht="16.5" customHeight="1">
      <c r="A55" s="55" t="inlineStr">
        <is>
          <t>1%管理費</t>
        </is>
      </c>
      <c r="B55" s="57" t="n"/>
      <c r="C55" s="40" t="n"/>
      <c r="D55" s="40" t="n"/>
      <c r="E55" s="40" t="n"/>
      <c r="F55" s="40" t="n"/>
      <c r="G55" s="40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</row>
    <row r="56" ht="16.5" customHeight="1">
      <c r="A56" s="60" t="inlineStr">
        <is>
          <t>績效獎金</t>
        </is>
      </c>
      <c r="B56" s="57" t="n"/>
      <c r="C56" s="61" t="n"/>
      <c r="D56" s="61" t="n"/>
      <c r="E56" s="40" t="n"/>
      <c r="F56" s="40" t="n"/>
      <c r="G56" s="40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</row>
    <row r="57" ht="16.5" customHeight="1">
      <c r="A57" s="60" t="inlineStr">
        <is>
          <t>所得稅20%</t>
        </is>
      </c>
      <c r="B57" s="57" t="n"/>
      <c r="C57" s="40">
        <f>IF((#REF!+SUM(#REF!+#REF!+#REF!+#REF!+#REF!+#REF!))&gt;0,-(#REF!+SUM(#REF!+#REF!+#REF!+#REF!+#REF!+#REF!))*0.2,0)</f>
        <v/>
      </c>
      <c r="D57" s="40">
        <f>IF((#REF!+SUM(#REF!+#REF!+#REF!+#REF!+#REF!+#REF!))&gt;0,-(#REF!+SUM(#REF!+#REF!+#REF!+#REF!+#REF!+#REF!))*0.2,0)</f>
        <v/>
      </c>
      <c r="E57" s="40">
        <f>IF((#REF!+SUM(#REF!+#REF!+#REF!+#REF!+#REF!+#REF!))&gt;0,-(#REF!+SUM(#REF!+#REF!+#REF!+#REF!+#REF!+#REF!))*0.2,0)</f>
        <v/>
      </c>
      <c r="F57" s="40">
        <f>IF((#REF!+SUM(#REF!+#REF!+#REF!+#REF!+#REF!+#REF!))&gt;0,-(#REF!+SUM(#REF!+#REF!+#REF!+#REF!+#REF!+#REF!))*0.2,0)</f>
        <v/>
      </c>
      <c r="G57" s="40">
        <f>IF((#REF!+SUM(#REF!+#REF!+#REF!+#REF!+#REF!+#REF!))&gt;0,-(#REF!+SUM(#REF!+#REF!+#REF!+#REF!+#REF!+#REF!))*0.2,0)</f>
        <v/>
      </c>
      <c r="H57" s="40">
        <f>IF((#REF!+SUM(#REF!+#REF!+#REF!+#REF!+#REF!+#REF!))&gt;0,-(#REF!+SUM(#REF!+#REF!+#REF!+#REF!+#REF!+#REF!))*0.2,0)</f>
        <v/>
      </c>
      <c r="I57" s="40">
        <f>IF((#REF!+SUM(#REF!+#REF!+#REF!+#REF!+#REF!+#REF!))&gt;0,-(#REF!+SUM(#REF!+#REF!+#REF!+#REF!+#REF!+#REF!))*0.2,0)</f>
        <v/>
      </c>
      <c r="J57" s="40">
        <f>IF((#REF!+SUM(#REF!+#REF!+#REF!+#REF!+#REF!+#REF!))&gt;0,-(#REF!+SUM(#REF!+#REF!+#REF!+#REF!+#REF!+#REF!))*0.2,0)</f>
        <v/>
      </c>
      <c r="K57" s="40">
        <f>IF((#REF!+SUM(#REF!+#REF!+#REF!+#REF!+#REF!+#REF!))&gt;0,-(#REF!+SUM(#REF!+#REF!+#REF!+#REF!+#REF!+#REF!))*0.2,0)</f>
        <v/>
      </c>
      <c r="L57" s="40">
        <f>IF((#REF!+SUM(#REF!+#REF!+#REF!+#REF!+#REF!+#REF!))&gt;0,-(#REF!+SUM(#REF!+#REF!+#REF!+#REF!+#REF!+#REF!))*0.2,0)</f>
        <v/>
      </c>
      <c r="M57" s="40">
        <f>IF((#REF!+SUM(#REF!+#REF!+#REF!+#REF!+#REF!+#REF!))&gt;0,-(#REF!+SUM(#REF!+#REF!+#REF!+#REF!+#REF!+#REF!))*0.2,0)</f>
        <v/>
      </c>
      <c r="N57" s="40">
        <f>IF((#REF!+SUM(#REF!+#REF!+#REF!+#REF!+#REF!+#REF!))&gt;0,-(#REF!+SUM(#REF!+#REF!+#REF!+#REF!+#REF!+#REF!))*0.2,0)</f>
        <v/>
      </c>
      <c r="O57" s="40">
        <f>IF((#REF!+SUM(#REF!+#REF!+#REF!+#REF!+#REF!+#REF!))&gt;0,-(#REF!+SUM(#REF!+#REF!+#REF!+#REF!+#REF!+#REF!))*0.2,0)</f>
        <v/>
      </c>
      <c r="P57" s="40">
        <f>IF((#REF!+SUM(#REF!+#REF!+#REF!+#REF!+#REF!+#REF!))&gt;0,-(#REF!+SUM(#REF!+#REF!+#REF!+#REF!+#REF!+#REF!))*0.2,0)</f>
        <v/>
      </c>
      <c r="Q57" s="40">
        <f>IF((#REF!+SUM(#REF!+#REF!+#REF!+#REF!+#REF!+#REF!))&gt;0,-(#REF!+SUM(#REF!+#REF!+#REF!+#REF!+#REF!+#REF!))*0.2,0)</f>
        <v/>
      </c>
      <c r="R57" s="40">
        <f>IF((#REF!+SUM(#REF!+#REF!+#REF!+#REF!+#REF!+#REF!))&gt;0,-(#REF!+SUM(#REF!+#REF!+#REF!+#REF!+#REF!+#REF!))*0.2,0)</f>
        <v/>
      </c>
      <c r="S57" s="40">
        <f>IF((#REF!+SUM(#REF!+#REF!+#REF!+#REF!+#REF!+#REF!))&gt;0,-(#REF!+SUM(#REF!+#REF!+#REF!+#REF!+#REF!+#REF!))*0.2,0)</f>
        <v/>
      </c>
      <c r="T57" s="40">
        <f>IF((#REF!+SUM(#REF!+#REF!+#REF!+#REF!+#REF!+#REF!))&gt;0,-(#REF!+SUM(#REF!+#REF!+#REF!+#REF!+#REF!+#REF!))*0.2,0)</f>
        <v/>
      </c>
      <c r="U57" s="40">
        <f>IF((#REF!+SUM(#REF!+#REF!+#REF!+#REF!+#REF!+#REF!))&gt;0,-(#REF!+SUM(#REF!+#REF!+#REF!+#REF!+#REF!+#REF!))*0.2,0)</f>
        <v/>
      </c>
      <c r="V57" s="40">
        <f>IF((#REF!+SUM(#REF!+#REF!+#REF!+#REF!+#REF!+#REF!))&gt;0,-(#REF!+SUM(#REF!+#REF!+#REF!+#REF!+#REF!+#REF!))*0.2,0)</f>
        <v/>
      </c>
    </row>
    <row r="58" ht="17.25" customHeight="1" thickBot="1">
      <c r="A58" s="62" t="n"/>
      <c r="B58" s="57" t="n"/>
      <c r="C58" s="59" t="n"/>
      <c r="D58" s="59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</row>
    <row r="59" ht="16.5" customHeight="1">
      <c r="A59" s="64" t="inlineStr">
        <is>
          <t>現金流</t>
        </is>
      </c>
      <c r="B59" s="65">
        <f>B47</f>
        <v/>
      </c>
      <c r="C59" s="66">
        <f>SUM(C44:C57)</f>
        <v/>
      </c>
      <c r="D59" s="65">
        <f>SUM(D44:D57)</f>
        <v/>
      </c>
      <c r="E59" s="65">
        <f>SUM(E44:E57)</f>
        <v/>
      </c>
      <c r="F59" s="65">
        <f>SUM(F44:F57)</f>
        <v/>
      </c>
      <c r="G59" s="65">
        <f>SUM(G44:G57)</f>
        <v/>
      </c>
      <c r="H59" s="65">
        <f>SUM(H44:H57)</f>
        <v/>
      </c>
      <c r="I59" s="65">
        <f>SUM(I44:I57)</f>
        <v/>
      </c>
      <c r="J59" s="65">
        <f>SUM(J44:J57)</f>
        <v/>
      </c>
      <c r="K59" s="65">
        <f>SUM(K44:K57)</f>
        <v/>
      </c>
      <c r="L59" s="65">
        <f>SUM(L44:L57)</f>
        <v/>
      </c>
      <c r="M59" s="65">
        <f>SUM(M44:M57)</f>
        <v/>
      </c>
      <c r="N59" s="65">
        <f>SUM(N44:N57)</f>
        <v/>
      </c>
      <c r="O59" s="65">
        <f>SUM(O44:O57)</f>
        <v/>
      </c>
      <c r="P59" s="65">
        <f>SUM(P44:P57)</f>
        <v/>
      </c>
      <c r="Q59" s="65">
        <f>SUM(Q44:Q57)</f>
        <v/>
      </c>
      <c r="R59" s="65">
        <f>SUM(R44:R57)</f>
        <v/>
      </c>
      <c r="S59" s="65">
        <f>SUM(S44:S57)</f>
        <v/>
      </c>
      <c r="T59" s="65">
        <f>SUM(T44:T57)</f>
        <v/>
      </c>
      <c r="U59" s="65">
        <f>SUM(U44:U57)</f>
        <v/>
      </c>
      <c r="V59" s="65">
        <f>SUM(V44:V57)</f>
        <v/>
      </c>
    </row>
    <row r="60" ht="17.25" customHeight="1" thickBot="1">
      <c r="A60" s="70" t="inlineStr">
        <is>
          <t>累計現金流</t>
        </is>
      </c>
      <c r="B60" s="71" t="n"/>
      <c r="C60" s="72">
        <f>C59+B59</f>
        <v/>
      </c>
      <c r="D60" s="72">
        <f>D59+C60</f>
        <v/>
      </c>
      <c r="E60" s="72">
        <f>E59+D60</f>
        <v/>
      </c>
      <c r="F60" s="72">
        <f>F59+E60</f>
        <v/>
      </c>
      <c r="G60" s="72">
        <f>G59+F60</f>
        <v/>
      </c>
      <c r="H60" s="72">
        <f>H59+G60</f>
        <v/>
      </c>
      <c r="I60" s="72">
        <f>I59+H60</f>
        <v/>
      </c>
      <c r="J60" s="72">
        <f>J59+I60</f>
        <v/>
      </c>
      <c r="K60" s="72">
        <f>K59+J60</f>
        <v/>
      </c>
      <c r="L60" s="72">
        <f>L59+K60</f>
        <v/>
      </c>
      <c r="M60" s="72">
        <f>M59+L60</f>
        <v/>
      </c>
      <c r="N60" s="72">
        <f>N59+M60</f>
        <v/>
      </c>
      <c r="O60" s="72">
        <f>O59+N60</f>
        <v/>
      </c>
      <c r="P60" s="72">
        <f>P59+O60</f>
        <v/>
      </c>
      <c r="Q60" s="72">
        <f>Q59+P60</f>
        <v/>
      </c>
      <c r="R60" s="72">
        <f>R59+Q60</f>
        <v/>
      </c>
      <c r="S60" s="72">
        <f>S59+R60</f>
        <v/>
      </c>
      <c r="T60" s="72">
        <f>T59+S60</f>
        <v/>
      </c>
      <c r="U60" s="72">
        <f>U59+T60</f>
        <v/>
      </c>
      <c r="V60" s="72">
        <f>V59+U60</f>
        <v/>
      </c>
    </row>
    <row r="61">
      <c r="A61" s="74" t="inlineStr">
        <is>
          <t>Discounted cash flow</t>
        </is>
      </c>
      <c r="B61" s="75" t="n">
        <v>-37721416.4</v>
      </c>
      <c r="C61" s="76" t="n"/>
      <c r="D61" s="76" t="n"/>
      <c r="E61" s="77" t="n">
        <v>4765724.101934625</v>
      </c>
      <c r="F61" s="77" t="n">
        <v>4715578.687122989</v>
      </c>
      <c r="G61" s="77" t="n">
        <v>4665433.272311353</v>
      </c>
      <c r="H61" s="77" t="n">
        <v>4615287.857499719</v>
      </c>
      <c r="I61" s="77" t="n">
        <v>4565142.442688081</v>
      </c>
      <c r="J61" s="77" t="n">
        <v>4517504.29861703</v>
      </c>
      <c r="K61" s="77" t="n">
        <v>4469866.154545976</v>
      </c>
      <c r="L61" s="77" t="n">
        <v>4422228.010474921</v>
      </c>
      <c r="M61" s="77" t="n">
        <v>4374589.866403867</v>
      </c>
      <c r="N61" s="77" t="n">
        <v>4326951.722332815</v>
      </c>
      <c r="O61" s="77" t="n">
        <v>4284954.937428069</v>
      </c>
      <c r="P61" s="77" t="n">
        <v>4242958.152523325</v>
      </c>
      <c r="Q61" s="77" t="n">
        <v>4200961.36761858</v>
      </c>
      <c r="R61" s="77" t="n">
        <v>4158964.582713835</v>
      </c>
      <c r="S61" s="77" t="n">
        <v>4116967.797809093</v>
      </c>
      <c r="T61" s="77" t="n">
        <v>4074971.012904346</v>
      </c>
      <c r="U61" s="77" t="n">
        <v>4032974.227999602</v>
      </c>
      <c r="V61" s="77" t="n">
        <v>3990977.443094858</v>
      </c>
    </row>
    <row r="62" ht="16.5" customHeight="1">
      <c r="A62" s="74" t="inlineStr">
        <is>
          <t>Minus : Depreciation</t>
        </is>
      </c>
      <c r="B62" s="79" t="n"/>
      <c r="C62" s="61" t="n"/>
      <c r="D62" s="61" t="n"/>
      <c r="E62" s="61" t="n">
        <v>1886070.82</v>
      </c>
      <c r="F62" s="61" t="n">
        <v>1886070.82</v>
      </c>
      <c r="G62" s="61" t="n">
        <v>1886070.82</v>
      </c>
      <c r="H62" s="61" t="n">
        <v>1886070.82</v>
      </c>
      <c r="I62" s="61" t="n">
        <v>1886070.82</v>
      </c>
      <c r="J62" s="61" t="n">
        <v>1886070.82</v>
      </c>
      <c r="K62" s="61" t="n">
        <v>1886070.82</v>
      </c>
      <c r="L62" s="61" t="n">
        <v>1886070.82</v>
      </c>
      <c r="M62" s="61" t="n">
        <v>1886070.82</v>
      </c>
      <c r="N62" s="61" t="n">
        <v>1886070.82</v>
      </c>
      <c r="O62" s="61" t="n">
        <v>1886070.82</v>
      </c>
      <c r="P62" s="61" t="n">
        <v>1886070.82</v>
      </c>
      <c r="Q62" s="61" t="n">
        <v>1886070.82</v>
      </c>
      <c r="R62" s="61" t="n">
        <v>1886070.82</v>
      </c>
      <c r="S62" s="61" t="n">
        <v>1886070.82</v>
      </c>
      <c r="T62" s="61" t="n">
        <v>1886070.82</v>
      </c>
      <c r="U62" s="61" t="n">
        <v>1886070.82</v>
      </c>
      <c r="V62" s="61" t="n">
        <v>1886070.82</v>
      </c>
    </row>
    <row r="63" ht="16.5" customHeight="1">
      <c r="A63" s="74" t="inlineStr">
        <is>
          <t>Plus : Principle payment</t>
        </is>
      </c>
      <c r="B63" s="79" t="n"/>
      <c r="C63" s="61" t="n"/>
      <c r="D63" s="61" t="n"/>
      <c r="E63" s="61" t="n">
        <v>0</v>
      </c>
      <c r="F63" s="61" t="n">
        <v>0</v>
      </c>
      <c r="G63" s="61" t="n">
        <v>0</v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0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</row>
    <row r="64" ht="16.5" customHeight="1">
      <c r="A64" s="81" t="inlineStr">
        <is>
          <t>Profit</t>
        </is>
      </c>
      <c r="B64" s="82" t="n"/>
      <c r="C64" s="83" t="n"/>
      <c r="D64" s="83" t="n"/>
      <c r="E64" s="83" t="n">
        <v>2879653.281934625</v>
      </c>
      <c r="F64" s="83" t="n">
        <v>2829507.867122989</v>
      </c>
      <c r="G64" s="83" t="n">
        <v>2779362.452311353</v>
      </c>
      <c r="H64" s="83" t="n">
        <v>2729217.037499719</v>
      </c>
      <c r="I64" s="83" t="n">
        <v>2679071.622688082</v>
      </c>
      <c r="J64" s="83" t="n">
        <v>2631433.47861703</v>
      </c>
      <c r="K64" s="83" t="n">
        <v>2583795.334545976</v>
      </c>
      <c r="L64" s="83" t="n">
        <v>2536157.190474921</v>
      </c>
      <c r="M64" s="83" t="n">
        <v>2488519.046403868</v>
      </c>
      <c r="N64" s="83" t="n">
        <v>2440880.902332815</v>
      </c>
      <c r="O64" s="83" t="n">
        <v>2398884.117428069</v>
      </c>
      <c r="P64" s="83" t="n">
        <v>2356887.332523325</v>
      </c>
      <c r="Q64" s="83" t="n">
        <v>2314890.547618581</v>
      </c>
      <c r="R64" s="83" t="n">
        <v>2272893.762713836</v>
      </c>
      <c r="S64" s="83" t="n">
        <v>2230896.977809093</v>
      </c>
      <c r="T64" s="83" t="n">
        <v>2188900.192904347</v>
      </c>
      <c r="U64" s="83" t="n">
        <v>2146903.407999602</v>
      </c>
      <c r="V64" s="83" t="n">
        <v>2104906.623094858</v>
      </c>
    </row>
    <row r="65" ht="17.25" customHeight="1" thickBot="1">
      <c r="A65" s="85" t="inlineStr">
        <is>
          <t>EPS</t>
        </is>
      </c>
      <c r="B65" s="86" t="n"/>
      <c r="C65" s="87" t="n"/>
      <c r="D65" s="87" t="n"/>
      <c r="E65" s="88" t="n">
        <v>0.7634000938349244</v>
      </c>
      <c r="F65" s="88" t="n">
        <v>0.7501064745604274</v>
      </c>
      <c r="G65" s="88" t="n">
        <v>0.7368128552859308</v>
      </c>
      <c r="H65" s="88" t="n">
        <v>0.7235192360114343</v>
      </c>
      <c r="I65" s="88" t="n">
        <v>0.7102256167369372</v>
      </c>
      <c r="J65" s="88" t="n">
        <v>0.6975966784261659</v>
      </c>
      <c r="K65" s="88" t="n">
        <v>0.6849677401153941</v>
      </c>
      <c r="L65" s="88" t="n">
        <v>0.6723388018046219</v>
      </c>
      <c r="M65" s="88" t="n">
        <v>0.6597098634938501</v>
      </c>
      <c r="N65" s="88" t="n">
        <v>0.6470809251830785</v>
      </c>
      <c r="O65" s="88" t="n">
        <v>0.6359475190406874</v>
      </c>
      <c r="P65" s="88" t="n">
        <v>0.6248141128982965</v>
      </c>
      <c r="Q65" s="88" t="n">
        <v>0.6136807067559056</v>
      </c>
      <c r="R65" s="88" t="n">
        <v>0.6025473006135146</v>
      </c>
      <c r="S65" s="88" t="n">
        <v>0.5914138944711241</v>
      </c>
      <c r="T65" s="88" t="n">
        <v>0.5802804883287328</v>
      </c>
      <c r="U65" s="88" t="n">
        <v>0.5691470821863418</v>
      </c>
      <c r="V65" s="88" t="n">
        <v>0.5580136760439509</v>
      </c>
    </row>
    <row r="66" ht="17.25" customHeight="1" thickBot="1">
      <c r="A66" s="90" t="inlineStr">
        <is>
          <t>回收年限評估</t>
        </is>
      </c>
      <c r="B66" s="91" t="n"/>
      <c r="C66" s="92">
        <f>IF((C60)&gt;0,"回收","未回收")</f>
        <v/>
      </c>
      <c r="D66" s="92">
        <f>IF((D60)&gt;0,"回收","未回收")</f>
        <v/>
      </c>
      <c r="E66" s="92">
        <f>IF((E60)&gt;0,"回收","未回收")</f>
        <v/>
      </c>
      <c r="F66" s="92">
        <f>IF((F60)&gt;0,"回收","未回收")</f>
        <v/>
      </c>
      <c r="G66" s="92">
        <f>IF((G60)&gt;0,"回收","未回收")</f>
        <v/>
      </c>
      <c r="H66" s="92">
        <f>IF((H60)&gt;0,"回收","未回收")</f>
        <v/>
      </c>
      <c r="I66" s="92">
        <f>IF((I60)&gt;0,"回收","未回收")</f>
        <v/>
      </c>
      <c r="J66" s="92">
        <f>IF((J60)&gt;0,"回收","未回收")</f>
        <v/>
      </c>
      <c r="K66" s="92">
        <f>IF((K60)&gt;0,"回收","未回收")</f>
        <v/>
      </c>
      <c r="L66" s="92">
        <f>IF((L60)&gt;0,"回收","未回收")</f>
        <v/>
      </c>
      <c r="M66" s="92">
        <f>IF((M60)&gt;0,"回收","未回收")</f>
        <v/>
      </c>
      <c r="N66" s="92">
        <f>IF((N60)&gt;0,"回收","未回收")</f>
        <v/>
      </c>
      <c r="O66" s="92">
        <f>IF((O60)&gt;0,"回收","未回收")</f>
        <v/>
      </c>
      <c r="P66" s="92">
        <f>IF((P60)&gt;0,"回收","未回收")</f>
        <v/>
      </c>
      <c r="Q66" s="92">
        <f>IF((Q60)&gt;0,"回收","未回收")</f>
        <v/>
      </c>
      <c r="R66" s="92">
        <f>IF((R60)&gt;0,"回收","未回收")</f>
        <v/>
      </c>
      <c r="S66" s="92">
        <f>IF((S60)&gt;0,"回收","未回收")</f>
        <v/>
      </c>
      <c r="T66" s="92">
        <f>IF((T60)&gt;0,"回收","未回收")</f>
        <v/>
      </c>
      <c r="U66" s="92">
        <f>IF((U60)&gt;0,"回收","未回收")</f>
        <v/>
      </c>
      <c r="V66" s="92">
        <f>IF((V60)&gt;0,"回收","未回收")</f>
        <v/>
      </c>
    </row>
    <row r="67" ht="16.5" customHeight="1">
      <c r="A67" s="28" t="n"/>
      <c r="B67" s="149" t="n"/>
      <c r="C67" s="149" t="n"/>
      <c r="D67" s="149" t="n"/>
      <c r="E67" s="59" t="n"/>
      <c r="F67" s="59" t="n"/>
      <c r="G67" s="59" t="n"/>
      <c r="H67" s="59" t="n"/>
      <c r="I67" s="59" t="n"/>
      <c r="J67" s="59" t="n"/>
      <c r="K67" s="59" t="n"/>
      <c r="L67" s="59" t="n"/>
      <c r="M67" s="59" t="n"/>
      <c r="N67" s="59" t="n"/>
      <c r="O67" s="59" t="n"/>
      <c r="P67" s="59" t="n"/>
      <c r="Q67" s="59" t="n"/>
      <c r="R67" s="59" t="n"/>
      <c r="S67" s="59" t="n"/>
      <c r="T67" s="59" t="n"/>
      <c r="U67" s="59" t="n"/>
      <c r="V67" s="59" t="n"/>
    </row>
    <row r="68" ht="16.5" customHeight="1">
      <c r="A68" s="28" t="n"/>
      <c r="B68" s="149" t="n"/>
      <c r="C68" s="149" t="n"/>
      <c r="D68" s="149" t="n"/>
      <c r="E68" s="59" t="n"/>
      <c r="F68" s="59" t="n"/>
      <c r="G68" s="59" t="n"/>
      <c r="H68" s="59" t="n"/>
      <c r="I68" s="59" t="n"/>
      <c r="J68" s="59" t="n"/>
      <c r="K68" s="59" t="inlineStr">
        <is>
          <t>預估可建置量</t>
        </is>
      </c>
      <c r="L68" s="96" t="n">
        <v>0</v>
      </c>
      <c r="M68" s="59" t="n"/>
      <c r="N68" s="59" t="n"/>
      <c r="O68" s="59" t="n"/>
      <c r="P68" s="59" t="n"/>
      <c r="Q68" s="59" t="n"/>
      <c r="R68" s="59" t="n"/>
      <c r="S68" s="59" t="n"/>
      <c r="T68" s="59" t="n"/>
      <c r="U68" s="59" t="n"/>
      <c r="V68" s="59" t="n"/>
    </row>
    <row r="69" ht="16.5" customHeight="1">
      <c r="A69" s="28" t="n"/>
      <c r="B69" s="149" t="n"/>
      <c r="C69" s="149" t="n"/>
      <c r="D69" s="149" t="n"/>
      <c r="E69" s="59" t="n"/>
      <c r="F69" s="59" t="n"/>
      <c r="G69" s="59" t="n"/>
      <c r="H69" s="59" t="n"/>
      <c r="I69" s="59" t="n"/>
      <c r="J69" s="59" t="n"/>
      <c r="K69" s="59" t="inlineStr">
        <is>
          <t>預估可建置量</t>
        </is>
      </c>
      <c r="L69" s="96" t="n">
        <v>0</v>
      </c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</row>
    <row r="70" ht="16.5" customHeight="1">
      <c r="A70" s="27" t="n"/>
      <c r="B70" s="97" t="inlineStr">
        <is>
          <t>年份</t>
        </is>
      </c>
      <c r="C70" s="98" t="n">
        <v>2020</v>
      </c>
      <c r="D70" s="98" t="n">
        <v>2021</v>
      </c>
      <c r="E70" s="98" t="n">
        <v>2022</v>
      </c>
      <c r="F70" s="98" t="n">
        <v>2023</v>
      </c>
      <c r="G70" s="98" t="n">
        <v>2024</v>
      </c>
      <c r="H70" s="98" t="n">
        <v>2025</v>
      </c>
      <c r="I70" s="98" t="n">
        <v>2026</v>
      </c>
      <c r="J70" s="98" t="n">
        <v>2027</v>
      </c>
      <c r="K70" s="98" t="n">
        <v>2028</v>
      </c>
      <c r="L70" s="98" t="n">
        <v>2029</v>
      </c>
      <c r="M70" s="98" t="n">
        <v>2030</v>
      </c>
      <c r="N70" s="98" t="n">
        <v>2031</v>
      </c>
      <c r="O70" s="98" t="n">
        <v>2032</v>
      </c>
      <c r="P70" s="98" t="n">
        <v>2033</v>
      </c>
      <c r="Q70" s="98" t="n">
        <v>2034</v>
      </c>
      <c r="R70" s="98" t="n">
        <v>2035</v>
      </c>
      <c r="S70" s="98" t="n">
        <v>2036</v>
      </c>
      <c r="T70" s="98" t="n">
        <v>2037</v>
      </c>
      <c r="U70" s="98" t="n">
        <v>2038</v>
      </c>
      <c r="V70" s="98" t="n">
        <v>2039</v>
      </c>
    </row>
    <row r="71">
      <c r="A71" s="27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/>
    </row>
    <row r="72">
      <c r="A72" s="100" t="inlineStr">
        <is>
          <t>(Unit : Currency)</t>
        </is>
      </c>
      <c r="B72" s="101" t="n">
        <v>0</v>
      </c>
      <c r="C72" s="101" t="n">
        <v>1</v>
      </c>
      <c r="D72" s="101" t="n">
        <v>2</v>
      </c>
      <c r="E72" s="101" t="n">
        <v>3</v>
      </c>
      <c r="F72" s="101" t="n">
        <v>4</v>
      </c>
      <c r="G72" s="101" t="n">
        <v>5</v>
      </c>
      <c r="H72" s="101" t="n">
        <v>6</v>
      </c>
      <c r="I72" s="101" t="n">
        <v>7</v>
      </c>
      <c r="J72" s="101" t="n">
        <v>8</v>
      </c>
      <c r="K72" s="101" t="n">
        <v>9</v>
      </c>
      <c r="L72" s="101" t="n">
        <v>10</v>
      </c>
      <c r="M72" s="101" t="n">
        <v>11</v>
      </c>
      <c r="N72" s="101" t="n">
        <v>12</v>
      </c>
      <c r="O72" s="101" t="n">
        <v>13</v>
      </c>
      <c r="P72" s="101" t="n">
        <v>14</v>
      </c>
      <c r="Q72" s="101" t="n">
        <v>15</v>
      </c>
      <c r="R72" s="101" t="n">
        <v>16</v>
      </c>
      <c r="S72" s="101" t="n">
        <v>17</v>
      </c>
      <c r="T72" s="101" t="n">
        <v>18</v>
      </c>
      <c r="U72" s="101" t="n">
        <v>19</v>
      </c>
      <c r="V72" s="101" t="n">
        <v>20</v>
      </c>
    </row>
    <row r="73">
      <c r="A73" s="103" t="inlineStr">
        <is>
          <t>稅後淨利</t>
        </is>
      </c>
      <c r="B73" s="104" t="n"/>
      <c r="C73" s="104">
        <f>#REF!</f>
        <v/>
      </c>
      <c r="D73" s="104">
        <f>#REF!</f>
        <v/>
      </c>
      <c r="E73" s="104">
        <f>#REF!</f>
        <v/>
      </c>
      <c r="F73" s="104">
        <f>#REF!</f>
        <v/>
      </c>
      <c r="G73" s="104">
        <f>#REF!</f>
        <v/>
      </c>
      <c r="H73" s="104">
        <f>#REF!</f>
        <v/>
      </c>
      <c r="I73" s="104">
        <f>#REF!</f>
        <v/>
      </c>
      <c r="J73" s="104">
        <f>#REF!</f>
        <v/>
      </c>
      <c r="K73" s="104">
        <f>#REF!</f>
        <v/>
      </c>
      <c r="L73" s="104">
        <f>#REF!</f>
        <v/>
      </c>
      <c r="M73" s="104">
        <f>#REF!</f>
        <v/>
      </c>
      <c r="N73" s="104">
        <f>#REF!</f>
        <v/>
      </c>
      <c r="O73" s="104">
        <f>#REF!</f>
        <v/>
      </c>
      <c r="P73" s="104">
        <f>#REF!</f>
        <v/>
      </c>
      <c r="Q73" s="104">
        <f>#REF!</f>
        <v/>
      </c>
      <c r="R73" s="104">
        <f>#REF!</f>
        <v/>
      </c>
      <c r="S73" s="104">
        <f>#REF!</f>
        <v/>
      </c>
      <c r="T73" s="104">
        <f>#REF!</f>
        <v/>
      </c>
      <c r="U73" s="104">
        <f>#REF!</f>
        <v/>
      </c>
      <c r="V73" s="104">
        <f>#REF!</f>
        <v/>
      </c>
    </row>
    <row r="74">
      <c r="A74" s="103" t="inlineStr">
        <is>
          <t>設備折舊</t>
        </is>
      </c>
      <c r="B74" s="104" t="n"/>
      <c r="C74" s="105">
        <f>-#REF!</f>
        <v/>
      </c>
      <c r="D74" s="105">
        <f>-#REF!</f>
        <v/>
      </c>
      <c r="E74" s="105">
        <f>-#REF!</f>
        <v/>
      </c>
      <c r="F74" s="105">
        <f>-#REF!</f>
        <v/>
      </c>
      <c r="G74" s="105">
        <f>-#REF!</f>
        <v/>
      </c>
      <c r="H74" s="105">
        <f>-#REF!</f>
        <v/>
      </c>
      <c r="I74" s="105">
        <f>-#REF!</f>
        <v/>
      </c>
      <c r="J74" s="105">
        <f>-#REF!</f>
        <v/>
      </c>
      <c r="K74" s="105">
        <f>-#REF!</f>
        <v/>
      </c>
      <c r="L74" s="105">
        <f>-#REF!</f>
        <v/>
      </c>
      <c r="M74" s="105">
        <f>-#REF!</f>
        <v/>
      </c>
      <c r="N74" s="105">
        <f>-#REF!</f>
        <v/>
      </c>
      <c r="O74" s="105">
        <f>-#REF!</f>
        <v/>
      </c>
      <c r="P74" s="105">
        <f>-#REF!</f>
        <v/>
      </c>
      <c r="Q74" s="105">
        <f>-#REF!</f>
        <v/>
      </c>
      <c r="R74" s="105">
        <f>-#REF!</f>
        <v/>
      </c>
      <c r="S74" s="105">
        <f>-#REF!</f>
        <v/>
      </c>
      <c r="T74" s="105">
        <f>-#REF!</f>
        <v/>
      </c>
      <c r="U74" s="105">
        <f>-#REF!</f>
        <v/>
      </c>
      <c r="V74" s="105">
        <f>-#REF!</f>
        <v/>
      </c>
    </row>
    <row r="75">
      <c r="A75" s="103" t="inlineStr">
        <is>
          <t>營運活動現金流量</t>
        </is>
      </c>
      <c r="B75" s="104" t="n"/>
      <c r="C75" s="106">
        <f>SUM(C73:C74)</f>
        <v/>
      </c>
      <c r="D75" s="106">
        <f>SUM(D73:D74)</f>
        <v/>
      </c>
      <c r="E75" s="106">
        <f>SUM(E73:E74)</f>
        <v/>
      </c>
      <c r="F75" s="106">
        <f>SUM(F73:F74)</f>
        <v/>
      </c>
      <c r="G75" s="106">
        <f>SUM(G73:G74)</f>
        <v/>
      </c>
      <c r="H75" s="106">
        <f>SUM(H73:H74)</f>
        <v/>
      </c>
      <c r="I75" s="106">
        <f>SUM(I73:I74)</f>
        <v/>
      </c>
      <c r="J75" s="106">
        <f>SUM(J73:J74)</f>
        <v/>
      </c>
      <c r="K75" s="106">
        <f>SUM(K73:K74)</f>
        <v/>
      </c>
      <c r="L75" s="106">
        <f>SUM(L73:L74)</f>
        <v/>
      </c>
      <c r="M75" s="106">
        <f>SUM(M73:M74)</f>
        <v/>
      </c>
      <c r="N75" s="106">
        <f>SUM(N73:N74)</f>
        <v/>
      </c>
      <c r="O75" s="106">
        <f>SUM(O73:O74)</f>
        <v/>
      </c>
      <c r="P75" s="106">
        <f>SUM(P73:P74)</f>
        <v/>
      </c>
      <c r="Q75" s="106">
        <f>SUM(Q73:Q74)</f>
        <v/>
      </c>
      <c r="R75" s="106">
        <f>SUM(R73:R74)</f>
        <v/>
      </c>
      <c r="S75" s="106">
        <f>SUM(S73:S74)</f>
        <v/>
      </c>
      <c r="T75" s="106">
        <f>SUM(T73:T74)</f>
        <v/>
      </c>
      <c r="U75" s="106">
        <f>SUM(U73:U74)</f>
        <v/>
      </c>
      <c r="V75" s="106">
        <f>SUM(V73:V74)</f>
        <v/>
      </c>
    </row>
    <row r="76">
      <c r="A76" s="103" t="n"/>
      <c r="B76" s="104" t="n"/>
      <c r="C76" s="104" t="n"/>
      <c r="D76" s="104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</row>
    <row r="77">
      <c r="A77" s="109" t="inlineStr">
        <is>
          <t>投資活動-設備支出</t>
        </is>
      </c>
      <c r="B77" s="110" t="n"/>
      <c r="C77" s="111">
        <f>B47</f>
        <v/>
      </c>
      <c r="D77" s="110" t="n">
        <v>0</v>
      </c>
      <c r="E77" s="110" t="n"/>
      <c r="F77" s="110" t="n">
        <v>0</v>
      </c>
      <c r="G77" s="110" t="n">
        <v>0</v>
      </c>
      <c r="H77" s="110" t="n">
        <v>0</v>
      </c>
      <c r="I77" s="110" t="n">
        <v>0</v>
      </c>
      <c r="J77" s="110" t="n">
        <v>0</v>
      </c>
      <c r="K77" s="110" t="n">
        <v>0</v>
      </c>
      <c r="L77" s="110" t="n">
        <v>0</v>
      </c>
      <c r="M77" s="110" t="n">
        <v>0</v>
      </c>
      <c r="N77" s="110" t="n">
        <v>0</v>
      </c>
      <c r="O77" s="110" t="n">
        <v>0</v>
      </c>
      <c r="P77" s="110" t="n">
        <v>0</v>
      </c>
      <c r="Q77" s="110" t="n">
        <v>0</v>
      </c>
      <c r="R77" s="110" t="n">
        <v>0</v>
      </c>
      <c r="S77" s="110" t="n">
        <v>0</v>
      </c>
      <c r="T77" s="110" t="n">
        <v>0</v>
      </c>
      <c r="U77" s="110" t="n">
        <v>0</v>
      </c>
      <c r="V77" s="110" t="n">
        <v>0</v>
      </c>
    </row>
    <row r="78">
      <c r="A78" s="103" t="n"/>
      <c r="B78" s="104" t="n"/>
      <c r="C78" s="104" t="n"/>
      <c r="D78" s="104" t="n"/>
      <c r="E78" s="108" t="n"/>
      <c r="F78" s="108" t="n"/>
      <c r="G78" s="108" t="n"/>
      <c r="H78" s="108" t="n"/>
      <c r="I78" s="108" t="n"/>
      <c r="J78" s="108" t="n"/>
      <c r="K78" s="108" t="n"/>
      <c r="L78" s="108" t="n"/>
      <c r="M78" s="108" t="n"/>
      <c r="N78" s="108" t="n"/>
      <c r="O78" s="108" t="n"/>
      <c r="P78" s="108" t="n"/>
      <c r="Q78" s="108" t="n"/>
      <c r="R78" s="108" t="n"/>
      <c r="S78" s="108" t="n"/>
      <c r="T78" s="108" t="n"/>
      <c r="U78" s="108" t="n"/>
      <c r="V78" s="108" t="n"/>
    </row>
    <row r="79">
      <c r="A79" s="103" t="n"/>
      <c r="B79" s="104" t="n"/>
      <c r="C79" s="104" t="n"/>
      <c r="D79" s="104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</row>
    <row r="80">
      <c r="A80" s="109" t="inlineStr">
        <is>
          <t>理財活動-借款</t>
        </is>
      </c>
      <c r="B80" s="110" t="n"/>
      <c r="C80" s="111">
        <f>#REF!*0.8</f>
        <v/>
      </c>
      <c r="D80" s="110" t="n"/>
      <c r="E80" s="110" t="n"/>
      <c r="F80" s="110" t="n">
        <v>0</v>
      </c>
      <c r="G80" s="110" t="n">
        <v>0</v>
      </c>
      <c r="H80" s="110" t="n">
        <v>0</v>
      </c>
      <c r="I80" s="110" t="n">
        <v>0</v>
      </c>
      <c r="J80" s="110" t="n">
        <v>0</v>
      </c>
      <c r="K80" s="110" t="n">
        <v>0</v>
      </c>
      <c r="L80" s="110" t="n">
        <v>0</v>
      </c>
      <c r="M80" s="110" t="n">
        <v>0</v>
      </c>
      <c r="N80" s="110" t="n">
        <v>0</v>
      </c>
      <c r="O80" s="110" t="n">
        <v>0</v>
      </c>
      <c r="P80" s="110" t="n">
        <v>0</v>
      </c>
      <c r="Q80" s="110" t="n">
        <v>0</v>
      </c>
      <c r="R80" s="110" t="n">
        <v>0</v>
      </c>
      <c r="S80" s="110" t="n">
        <v>0</v>
      </c>
      <c r="T80" s="110" t="n">
        <v>0</v>
      </c>
      <c r="U80" s="110" t="n">
        <v>0</v>
      </c>
      <c r="V80" s="110" t="n">
        <v>0</v>
      </c>
    </row>
    <row r="81">
      <c r="A81" s="103" t="inlineStr">
        <is>
          <t>理財活動-還款</t>
        </is>
      </c>
      <c r="B81" s="104" t="n"/>
      <c r="C81" s="104" t="n"/>
      <c r="D81" s="104">
        <f>-#REF!</f>
        <v/>
      </c>
      <c r="E81" s="104">
        <f>-#REF!</f>
        <v/>
      </c>
      <c r="F81" s="104">
        <f>-#REF!</f>
        <v/>
      </c>
      <c r="G81" s="104">
        <f>-#REF!</f>
        <v/>
      </c>
      <c r="H81" s="104">
        <f>-#REF!</f>
        <v/>
      </c>
      <c r="I81" s="104">
        <f>-#REF!</f>
        <v/>
      </c>
      <c r="J81" s="104">
        <f>-#REF!</f>
        <v/>
      </c>
      <c r="K81" s="104">
        <f>-#REF!</f>
        <v/>
      </c>
      <c r="L81" s="104">
        <f>-#REF!</f>
        <v/>
      </c>
      <c r="M81" s="104">
        <f>-#REF!</f>
        <v/>
      </c>
      <c r="N81" s="104">
        <f>-#REF!</f>
        <v/>
      </c>
      <c r="O81" s="104">
        <f>-#REF!</f>
        <v/>
      </c>
      <c r="P81" s="104">
        <f>-#REF!</f>
        <v/>
      </c>
      <c r="Q81" s="104">
        <f>-#REF!</f>
        <v/>
      </c>
      <c r="R81" s="104">
        <f>-#REF!</f>
        <v/>
      </c>
      <c r="S81" s="108" t="n"/>
      <c r="T81" s="108" t="n"/>
      <c r="U81" s="108" t="n"/>
      <c r="V81" s="108" t="n"/>
    </row>
    <row r="82">
      <c r="A82" s="103" t="inlineStr">
        <is>
          <t>理財活動-現金增資</t>
        </is>
      </c>
      <c r="B82" s="108" t="n"/>
      <c r="C82" s="104">
        <f>#REF!*0.2</f>
        <v/>
      </c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</row>
    <row r="83">
      <c r="A83" s="103" t="inlineStr">
        <is>
          <t>現金股利</t>
        </is>
      </c>
      <c r="B83" s="108" t="n"/>
      <c r="C83" s="108" t="n"/>
      <c r="D83" s="112">
        <f>-C73*0.9</f>
        <v/>
      </c>
      <c r="E83" s="104">
        <f>-D73*0.9</f>
        <v/>
      </c>
      <c r="F83" s="104">
        <f>-E73*0.9</f>
        <v/>
      </c>
      <c r="G83" s="104">
        <f>-F73*0.9</f>
        <v/>
      </c>
      <c r="H83" s="104">
        <f>-G73*0.9</f>
        <v/>
      </c>
      <c r="I83" s="104">
        <f>-H73*0.9</f>
        <v/>
      </c>
      <c r="J83" s="104">
        <f>-I73*0.9</f>
        <v/>
      </c>
      <c r="K83" s="104">
        <f>-J73*0.9</f>
        <v/>
      </c>
      <c r="L83" s="104">
        <f>-K73*0.9</f>
        <v/>
      </c>
      <c r="M83" s="104">
        <f>-L73*0.9</f>
        <v/>
      </c>
      <c r="N83" s="104">
        <f>-M73*0.9</f>
        <v/>
      </c>
      <c r="O83" s="104">
        <f>-N73*0.9</f>
        <v/>
      </c>
      <c r="P83" s="104">
        <f>-O73*0.9</f>
        <v/>
      </c>
      <c r="Q83" s="104">
        <f>-P73*0.9</f>
        <v/>
      </c>
      <c r="R83" s="104">
        <f>-Q73*0.9</f>
        <v/>
      </c>
      <c r="S83" s="104">
        <f>-R73*0.9</f>
        <v/>
      </c>
      <c r="T83" s="104">
        <f>-S73*0.9</f>
        <v/>
      </c>
      <c r="U83" s="108" t="n"/>
      <c r="V83" s="104">
        <f>-U73*0.9</f>
        <v/>
      </c>
    </row>
    <row r="84">
      <c r="A84" s="113" t="inlineStr">
        <is>
          <t>年底減資</t>
        </is>
      </c>
      <c r="B84" s="114" t="n"/>
      <c r="C84" s="114" t="n"/>
      <c r="D84" s="114" t="n"/>
      <c r="E84" s="114" t="n"/>
      <c r="F84" s="114" t="n"/>
      <c r="G84" s="114" t="n"/>
      <c r="H84" s="114" t="n"/>
      <c r="I84" s="114" t="n"/>
      <c r="J84" s="114" t="n"/>
      <c r="K84" s="114" t="n"/>
      <c r="L84" s="114" t="n"/>
      <c r="M84" s="114" t="n"/>
      <c r="N84" s="114" t="n"/>
      <c r="O84" s="114" t="n"/>
      <c r="P84" s="114" t="n"/>
      <c r="Q84" s="115">
        <f>-$D$79/4</f>
        <v/>
      </c>
      <c r="R84" s="115">
        <f>-$D$79/4</f>
        <v/>
      </c>
      <c r="S84" s="115">
        <f>-$D$79/4</f>
        <v/>
      </c>
      <c r="T84" s="115">
        <f>-$D$79/4</f>
        <v/>
      </c>
      <c r="U84" s="114" t="n"/>
      <c r="V84" s="114" t="n"/>
    </row>
    <row r="85">
      <c r="A85" s="108" t="n"/>
      <c r="B85" s="108" t="n"/>
      <c r="C85" s="108" t="n"/>
      <c r="D85" s="108" t="n"/>
      <c r="E85" s="108" t="n"/>
      <c r="F85" s="108" t="n"/>
      <c r="G85" s="108" t="n"/>
      <c r="H85" s="108" t="n"/>
      <c r="I85" s="108" t="n"/>
      <c r="J85" s="108" t="n"/>
      <c r="K85" s="108" t="n"/>
      <c r="L85" s="108" t="n"/>
      <c r="M85" s="108" t="n"/>
      <c r="N85" s="108" t="n"/>
      <c r="O85" s="108" t="n"/>
      <c r="P85" s="108" t="n"/>
      <c r="Q85" s="108" t="n"/>
      <c r="R85" s="108" t="n"/>
      <c r="S85" s="108" t="n"/>
      <c r="T85" s="108" t="n"/>
      <c r="U85" s="108" t="n"/>
      <c r="V85" s="108" t="n"/>
    </row>
    <row r="86">
      <c r="A86" s="108" t="n"/>
      <c r="B86" s="108" t="n"/>
      <c r="C86" s="108" t="n"/>
      <c r="D86" s="108" t="n"/>
      <c r="E86" s="108" t="n"/>
      <c r="F86" s="108" t="n"/>
      <c r="G86" s="108" t="n"/>
      <c r="H86" s="108" t="n"/>
      <c r="I86" s="108" t="n"/>
      <c r="J86" s="108" t="n"/>
      <c r="K86" s="108" t="n"/>
      <c r="L86" s="108" t="n"/>
      <c r="M86" s="108" t="n"/>
      <c r="N86" s="108" t="n"/>
      <c r="O86" s="108" t="n"/>
      <c r="P86" s="108" t="n"/>
      <c r="Q86" s="108" t="n"/>
      <c r="R86" s="108" t="n"/>
      <c r="S86" s="108" t="n"/>
      <c r="T86" s="108" t="n"/>
      <c r="U86" s="108" t="n"/>
      <c r="V86" s="108" t="n"/>
    </row>
    <row r="87">
      <c r="A87" s="103" t="inlineStr">
        <is>
          <t>現金淨流入(出 )</t>
        </is>
      </c>
      <c r="B87" s="108">
        <f>SUM(B77:B86)</f>
        <v/>
      </c>
      <c r="C87" s="106">
        <f>SUM(C75:C86)</f>
        <v/>
      </c>
      <c r="D87" s="106">
        <f>SUM(D75:D86)</f>
        <v/>
      </c>
      <c r="E87" s="106">
        <f>SUM(E75:E86)</f>
        <v/>
      </c>
      <c r="F87" s="106">
        <f>SUM(F75:F86)</f>
        <v/>
      </c>
      <c r="G87" s="106">
        <f>SUM(G75:G86)</f>
        <v/>
      </c>
      <c r="H87" s="106">
        <f>SUM(H75:H86)</f>
        <v/>
      </c>
      <c r="I87" s="106">
        <f>SUM(I75:I86)</f>
        <v/>
      </c>
      <c r="J87" s="106">
        <f>SUM(J75:J86)</f>
        <v/>
      </c>
      <c r="K87" s="106">
        <f>SUM(K75:K86)</f>
        <v/>
      </c>
      <c r="L87" s="106">
        <f>SUM(L75:L86)</f>
        <v/>
      </c>
      <c r="M87" s="106">
        <f>SUM(M75:M86)</f>
        <v/>
      </c>
      <c r="N87" s="106">
        <f>SUM(N75:N86)</f>
        <v/>
      </c>
      <c r="O87" s="106">
        <f>SUM(O75:O86)</f>
        <v/>
      </c>
      <c r="P87" s="106">
        <f>SUM(P75:P86)</f>
        <v/>
      </c>
      <c r="Q87" s="106">
        <f>SUM(Q75:Q86)</f>
        <v/>
      </c>
      <c r="R87" s="106">
        <f>SUM(R75:R86)</f>
        <v/>
      </c>
      <c r="S87" s="106">
        <f>SUM(S75:S86)</f>
        <v/>
      </c>
      <c r="T87" s="106">
        <f>SUM(T75:T86)</f>
        <v/>
      </c>
      <c r="U87" s="106">
        <f>SUM(U75:U86)</f>
        <v/>
      </c>
      <c r="V87" s="106">
        <f>SUM(V75:V86)</f>
        <v/>
      </c>
    </row>
    <row r="88">
      <c r="A88" s="103" t="inlineStr">
        <is>
          <t>期初淨現金</t>
        </is>
      </c>
      <c r="B88" s="108" t="n">
        <v>0</v>
      </c>
      <c r="C88" s="108">
        <f>B89</f>
        <v/>
      </c>
      <c r="D88" s="104">
        <f>C89</f>
        <v/>
      </c>
      <c r="E88" s="104">
        <f>D89</f>
        <v/>
      </c>
      <c r="F88" s="104">
        <f>E89</f>
        <v/>
      </c>
      <c r="G88" s="104">
        <f>F89</f>
        <v/>
      </c>
      <c r="H88" s="104">
        <f>G89</f>
        <v/>
      </c>
      <c r="I88" s="104">
        <f>H89</f>
        <v/>
      </c>
      <c r="J88" s="104">
        <f>I89</f>
        <v/>
      </c>
      <c r="K88" s="104">
        <f>J89</f>
        <v/>
      </c>
      <c r="L88" s="104">
        <f>K89</f>
        <v/>
      </c>
      <c r="M88" s="104">
        <f>L89</f>
        <v/>
      </c>
      <c r="N88" s="104">
        <f>M89</f>
        <v/>
      </c>
      <c r="O88" s="104">
        <f>N89</f>
        <v/>
      </c>
      <c r="P88" s="104">
        <f>O89</f>
        <v/>
      </c>
      <c r="Q88" s="104">
        <f>P89</f>
        <v/>
      </c>
      <c r="R88" s="104">
        <f>Q89</f>
        <v/>
      </c>
      <c r="S88" s="104">
        <f>R89</f>
        <v/>
      </c>
      <c r="T88" s="104">
        <f>S89</f>
        <v/>
      </c>
      <c r="U88" s="108" t="n"/>
      <c r="V88" s="108" t="n"/>
    </row>
    <row r="89">
      <c r="A89" s="103" t="inlineStr">
        <is>
          <t>期未淨現金</t>
        </is>
      </c>
      <c r="B89" s="108">
        <f>B87</f>
        <v/>
      </c>
      <c r="C89" s="104">
        <f>C87+C88</f>
        <v/>
      </c>
      <c r="D89" s="104">
        <f>D87+D88</f>
        <v/>
      </c>
      <c r="E89" s="104">
        <f>E87+E88</f>
        <v/>
      </c>
      <c r="F89" s="104">
        <f>F87+F88</f>
        <v/>
      </c>
      <c r="G89" s="104">
        <f>G87+G88</f>
        <v/>
      </c>
      <c r="H89" s="104">
        <f>H87+H88</f>
        <v/>
      </c>
      <c r="I89" s="104">
        <f>I87+I88</f>
        <v/>
      </c>
      <c r="J89" s="104">
        <f>J87+J88</f>
        <v/>
      </c>
      <c r="K89" s="104">
        <f>K87+K88</f>
        <v/>
      </c>
      <c r="L89" s="104">
        <f>L87+L88</f>
        <v/>
      </c>
      <c r="M89" s="104">
        <f>M87+M88</f>
        <v/>
      </c>
      <c r="N89" s="104">
        <f>N87+N88</f>
        <v/>
      </c>
      <c r="O89" s="104">
        <f>O87+O88</f>
        <v/>
      </c>
      <c r="P89" s="104">
        <f>P87+P88</f>
        <v/>
      </c>
      <c r="Q89" s="104">
        <f>Q87+Q88</f>
        <v/>
      </c>
      <c r="R89" s="104">
        <f>R87+R88</f>
        <v/>
      </c>
      <c r="S89" s="104">
        <f>S87+S88</f>
        <v/>
      </c>
      <c r="T89" s="104">
        <f>T87+T88</f>
        <v/>
      </c>
      <c r="U89" s="108" t="n"/>
      <c r="V89" s="108" t="n"/>
    </row>
    <row r="90">
      <c r="A90" s="103" t="n"/>
      <c r="B90" s="104" t="n"/>
      <c r="C90" s="104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</row>
    <row r="91">
      <c r="A91" s="103" t="n"/>
      <c r="B91" s="104" t="n"/>
      <c r="C91" s="104" t="n"/>
      <c r="D91" s="104" t="n"/>
      <c r="E91" s="108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</row>
    <row r="92">
      <c r="A92" s="117" t="inlineStr">
        <is>
          <t>成本法實際現金流</t>
        </is>
      </c>
      <c r="B92" s="118" t="n"/>
      <c r="C92" s="119">
        <f>-C82</f>
        <v/>
      </c>
      <c r="D92" s="106">
        <f>-D83-D84</f>
        <v/>
      </c>
      <c r="E92" s="106">
        <f>-E83-E84</f>
        <v/>
      </c>
      <c r="F92" s="106">
        <f>-F83-F84</f>
        <v/>
      </c>
      <c r="G92" s="106">
        <f>-G83-G84</f>
        <v/>
      </c>
      <c r="H92" s="106">
        <f>-H83-H84</f>
        <v/>
      </c>
      <c r="I92" s="106">
        <f>-I83-I84</f>
        <v/>
      </c>
      <c r="J92" s="106">
        <f>-J83-J84</f>
        <v/>
      </c>
      <c r="K92" s="106">
        <f>-K83-K84</f>
        <v/>
      </c>
      <c r="L92" s="106">
        <f>-L83-L84</f>
        <v/>
      </c>
      <c r="M92" s="106">
        <f>-M83-M84</f>
        <v/>
      </c>
      <c r="N92" s="106">
        <f>-N83-N84</f>
        <v/>
      </c>
      <c r="O92" s="106">
        <f>-O83-O84</f>
        <v/>
      </c>
      <c r="P92" s="106">
        <f>-P83-P84</f>
        <v/>
      </c>
      <c r="Q92" s="106">
        <f>-Q83-Q84</f>
        <v/>
      </c>
      <c r="R92" s="106">
        <f>-R83-R84</f>
        <v/>
      </c>
      <c r="S92" s="106">
        <f>-S83-S84</f>
        <v/>
      </c>
      <c r="T92" s="106">
        <f>-T83-T84</f>
        <v/>
      </c>
      <c r="U92" s="118">
        <f>-U83-U84</f>
        <v/>
      </c>
      <c r="V92" s="106">
        <f>-V83-V84</f>
        <v/>
      </c>
    </row>
    <row r="93">
      <c r="A93" s="103" t="inlineStr">
        <is>
          <t>成本法IRR</t>
        </is>
      </c>
      <c r="B93" s="120">
        <f>IRR(C92:V92)</f>
        <v/>
      </c>
      <c r="C93" s="150" t="n"/>
      <c r="D93" s="150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</row>
    <row r="94">
      <c r="A94" s="117" t="inlineStr">
        <is>
          <t>權益法實際現金流</t>
        </is>
      </c>
      <c r="B94" s="118" t="n"/>
      <c r="C94" s="119">
        <f>#REF!-C82</f>
        <v/>
      </c>
      <c r="D94" s="106">
        <f>#REF!</f>
        <v/>
      </c>
      <c r="E94" s="106">
        <f>#REF!-E84</f>
        <v/>
      </c>
      <c r="F94" s="106">
        <f>#REF!-F84</f>
        <v/>
      </c>
      <c r="G94" s="106">
        <f>#REF!-G84</f>
        <v/>
      </c>
      <c r="H94" s="106">
        <f>#REF!-H84</f>
        <v/>
      </c>
      <c r="I94" s="106">
        <f>#REF!-I84</f>
        <v/>
      </c>
      <c r="J94" s="106">
        <f>#REF!-J84</f>
        <v/>
      </c>
      <c r="K94" s="106">
        <f>#REF!-K84</f>
        <v/>
      </c>
      <c r="L94" s="106">
        <f>#REF!-L84</f>
        <v/>
      </c>
      <c r="M94" s="106">
        <f>#REF!-M84</f>
        <v/>
      </c>
      <c r="N94" s="106">
        <f>#REF!-N84</f>
        <v/>
      </c>
      <c r="O94" s="106">
        <f>#REF!-O84</f>
        <v/>
      </c>
      <c r="P94" s="106">
        <f>#REF!-P84</f>
        <v/>
      </c>
      <c r="Q94" s="106">
        <f>#REF!-Q84</f>
        <v/>
      </c>
      <c r="R94" s="106">
        <f>#REF!-R84</f>
        <v/>
      </c>
      <c r="S94" s="106">
        <f>#REF!-S84</f>
        <v/>
      </c>
      <c r="T94" s="106">
        <f>#REF!-T84</f>
        <v/>
      </c>
      <c r="U94" s="106">
        <f>#REF!-U84</f>
        <v/>
      </c>
      <c r="V94" s="106">
        <f>#REF!-V84</f>
        <v/>
      </c>
    </row>
    <row r="95">
      <c r="A95" s="117" t="inlineStr">
        <is>
          <t>權益法IRR</t>
        </is>
      </c>
      <c r="B95" s="120">
        <f>IRR(C94:V94)</f>
        <v/>
      </c>
      <c r="C95" s="150" t="n"/>
      <c r="D95" s="150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M95" s="104" t="n"/>
      <c r="N95" s="104" t="n"/>
      <c r="O95" s="104" t="n"/>
      <c r="P95" s="104" t="n"/>
      <c r="Q95" s="104" t="n"/>
      <c r="R95" s="104" t="n"/>
      <c r="S95" s="104" t="n"/>
      <c r="T95" s="104" t="n"/>
      <c r="U95" s="104" t="n"/>
      <c r="V95" s="104" t="n"/>
    </row>
    <row r="96">
      <c r="A96" s="103" t="n"/>
      <c r="B96" s="104" t="n"/>
      <c r="C96" s="104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104" t="n"/>
      <c r="N96" s="104" t="n"/>
      <c r="O96" s="104" t="n"/>
      <c r="P96" s="104" t="n"/>
      <c r="Q96" s="104" t="n"/>
      <c r="R96" s="104" t="n"/>
      <c r="S96" s="104" t="n"/>
      <c r="T96" s="104" t="n"/>
      <c r="U96" s="104" t="n"/>
      <c r="V96" s="104" t="n"/>
    </row>
    <row r="97">
      <c r="A97" s="103" t="inlineStr">
        <is>
          <t>借款餘額</t>
        </is>
      </c>
      <c r="B97" s="108" t="n">
        <v>0</v>
      </c>
      <c r="C97" s="104">
        <f>C80</f>
        <v/>
      </c>
      <c r="D97" s="104">
        <f>C97+D80+D81</f>
        <v/>
      </c>
      <c r="E97" s="104">
        <f>D97+E80+E81</f>
        <v/>
      </c>
      <c r="F97" s="104">
        <f>E97+F80+F81</f>
        <v/>
      </c>
      <c r="G97" s="104">
        <f>F97+G80+G81</f>
        <v/>
      </c>
      <c r="H97" s="104">
        <f>G97+H80+H81</f>
        <v/>
      </c>
      <c r="I97" s="104">
        <f>H97+I80+I81</f>
        <v/>
      </c>
      <c r="J97" s="104">
        <f>I97+J80+J81</f>
        <v/>
      </c>
      <c r="K97" s="104">
        <f>J97+K80+K81</f>
        <v/>
      </c>
      <c r="L97" s="104">
        <f>K97+L80+L81</f>
        <v/>
      </c>
      <c r="M97" s="104">
        <f>L97+M80+M81</f>
        <v/>
      </c>
      <c r="N97" s="104">
        <f>M97+N80+N81</f>
        <v/>
      </c>
      <c r="O97" s="104">
        <f>N97+O80+O81</f>
        <v/>
      </c>
      <c r="P97" s="104">
        <f>O97+P80+P81</f>
        <v/>
      </c>
      <c r="Q97" s="104">
        <f>P97+Q80+Q81</f>
        <v/>
      </c>
      <c r="R97" s="104">
        <f>Q97+R80+R81</f>
        <v/>
      </c>
      <c r="S97" s="108" t="n"/>
      <c r="T97" s="108" t="n"/>
      <c r="U97" s="108" t="n"/>
      <c r="V97" s="108" t="n"/>
    </row>
    <row r="98">
      <c r="A98" s="27" t="n"/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  <c r="S98" s="26" t="n"/>
      <c r="T98" s="26" t="n"/>
      <c r="U98" s="26" t="n"/>
      <c r="V98" s="26" t="n"/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價金每KW</t>
        </is>
      </c>
      <c r="C1" t="inlineStr">
        <is>
          <t>專案法IRR</t>
        </is>
      </c>
      <c r="D1" t="inlineStr">
        <is>
          <t>權益法IRR</t>
        </is>
      </c>
      <c r="E1" t="inlineStr">
        <is>
          <t>信邦利潤率</t>
        </is>
      </c>
      <c r="F1" t="inlineStr">
        <is>
          <t>信邦利潤</t>
        </is>
      </c>
      <c r="G1" t="inlineStr">
        <is>
          <t>每kw信邦利潤</t>
        </is>
      </c>
      <c r="H1" t="inlineStr">
        <is>
          <t>開發費</t>
        </is>
      </c>
      <c r="I1" t="inlineStr">
        <is>
          <t>備註</t>
        </is>
      </c>
    </row>
    <row r="2">
      <c r="A2" t="n">
        <v>1</v>
      </c>
      <c r="B2" t="n">
        <v>29000</v>
      </c>
      <c r="C2" t="n">
        <v>4.63</v>
      </c>
      <c r="D2" t="n">
        <v>11.74</v>
      </c>
      <c r="E2" s="151" t="n">
        <v>0.2</v>
      </c>
      <c r="F2" t="n">
        <v>2289525</v>
      </c>
      <c r="G2" t="n">
        <v>5250</v>
      </c>
      <c r="H2" t="n">
        <v>2000</v>
      </c>
      <c r="I2" t="inlineStr">
        <is>
          <t>初始價金 - 現金模式，每次減少 1000 元，邊界值 20000 元</t>
        </is>
      </c>
    </row>
    <row r="3">
      <c r="A3" t="n">
        <v>2</v>
      </c>
      <c r="B3" t="n">
        <v>28000</v>
      </c>
      <c r="C3" t="n">
        <v>4.98</v>
      </c>
      <c r="D3" t="n">
        <v>13.18</v>
      </c>
      <c r="E3" s="151" t="n">
        <v>0.2</v>
      </c>
      <c r="F3" t="n">
        <v>2180500</v>
      </c>
      <c r="G3" t="n">
        <v>5000</v>
      </c>
      <c r="H3" t="n">
        <v>2000</v>
      </c>
      <c r="I3" t="inlineStr">
        <is>
          <t>第1次滾算，減少 1000 元 - 現金模式，每次減少 1000 元</t>
        </is>
      </c>
    </row>
    <row r="4">
      <c r="A4" t="n">
        <v>3</v>
      </c>
      <c r="B4" t="n">
        <v>27000</v>
      </c>
      <c r="C4" t="n">
        <v>5.35</v>
      </c>
      <c r="D4" t="n">
        <v>14.77</v>
      </c>
      <c r="E4" s="151" t="n">
        <v>0.2</v>
      </c>
      <c r="F4" t="n">
        <v>2071475</v>
      </c>
      <c r="G4" t="n">
        <v>4750</v>
      </c>
      <c r="H4" t="n">
        <v>2000</v>
      </c>
      <c r="I4" t="inlineStr">
        <is>
          <t>第2次滾算，減少 1000 元 - 現金模式，每次減少 1000 元</t>
        </is>
      </c>
    </row>
    <row r="5">
      <c r="A5" t="n">
        <v>4</v>
      </c>
      <c r="B5" t="n">
        <v>26000</v>
      </c>
      <c r="C5" t="n">
        <v>5.74</v>
      </c>
      <c r="D5" t="n">
        <v>16.54</v>
      </c>
      <c r="E5" s="151" t="n">
        <v>0.2</v>
      </c>
      <c r="F5" t="n">
        <v>1962450</v>
      </c>
      <c r="G5" t="n">
        <v>4500</v>
      </c>
      <c r="H5" t="n">
        <v>2000</v>
      </c>
      <c r="I5" t="inlineStr">
        <is>
          <t>第3次滾算，減少 1000 元 - 現金模式，每次減少 1000 元</t>
        </is>
      </c>
    </row>
    <row r="6">
      <c r="A6" t="n">
        <v>5</v>
      </c>
      <c r="B6" t="n">
        <v>25000</v>
      </c>
      <c r="C6" t="n">
        <v>6.15</v>
      </c>
      <c r="D6" t="n">
        <v>18.54</v>
      </c>
      <c r="E6" s="151" t="n">
        <v>0.2</v>
      </c>
      <c r="F6" t="n">
        <v>1853425</v>
      </c>
      <c r="G6" t="n">
        <v>4250</v>
      </c>
      <c r="H6" t="n">
        <v>2000</v>
      </c>
      <c r="I6" t="inlineStr">
        <is>
          <t>第4次滾算，減少 1000 元 - 現金模式，每次減少 1000 元</t>
        </is>
      </c>
    </row>
    <row r="7">
      <c r="A7" t="n">
        <v>6</v>
      </c>
      <c r="B7" t="n">
        <v>24000</v>
      </c>
      <c r="C7" t="n">
        <v>6.59</v>
      </c>
      <c r="D7" t="n">
        <v>20.81</v>
      </c>
      <c r="E7" s="151" t="n">
        <v>0.2</v>
      </c>
      <c r="F7" t="n">
        <v>1744400</v>
      </c>
      <c r="G7" t="n">
        <v>4000</v>
      </c>
      <c r="H7" t="n">
        <v>2000</v>
      </c>
      <c r="I7" t="inlineStr">
        <is>
          <t>第5次滾算，減少 1000 元 - 現金模式，每次減少 1000 元</t>
        </is>
      </c>
    </row>
    <row r="8">
      <c r="A8" t="n">
        <v>7</v>
      </c>
      <c r="B8" t="n">
        <v>23000</v>
      </c>
      <c r="C8" t="n">
        <v>7.06</v>
      </c>
      <c r="D8" t="n">
        <v>23.4</v>
      </c>
      <c r="E8" s="151" t="n">
        <v>0.2</v>
      </c>
      <c r="F8" t="n">
        <v>1635375</v>
      </c>
      <c r="G8" t="n">
        <v>3750</v>
      </c>
      <c r="H8" t="n">
        <v>2000</v>
      </c>
      <c r="I8" t="inlineStr">
        <is>
          <t>第6次滾算，減少 1000 元 - 現金模式，每次減少 1000 元</t>
        </is>
      </c>
    </row>
    <row r="9">
      <c r="A9" t="n">
        <v>8</v>
      </c>
      <c r="B9" t="n">
        <v>22000</v>
      </c>
      <c r="C9" t="n">
        <v>7.56</v>
      </c>
      <c r="D9" t="n">
        <v>26.41</v>
      </c>
      <c r="E9" s="151" t="n">
        <v>0.2</v>
      </c>
      <c r="F9" t="n">
        <v>1526350</v>
      </c>
      <c r="G9" t="n">
        <v>3500</v>
      </c>
      <c r="H9" t="n">
        <v>2000</v>
      </c>
      <c r="I9" t="inlineStr">
        <is>
          <t>第7次滾算，減少 1000 元 - 現金模式，每次減少 1000 元</t>
        </is>
      </c>
    </row>
    <row r="10">
      <c r="A10" t="n">
        <v>9</v>
      </c>
      <c r="B10" t="n">
        <v>21000</v>
      </c>
      <c r="C10" t="n">
        <v>8.1</v>
      </c>
      <c r="D10" t="n">
        <v>29.94</v>
      </c>
      <c r="E10" s="151" t="n">
        <v>0.2</v>
      </c>
      <c r="F10" t="n">
        <v>1417325</v>
      </c>
      <c r="G10" t="n">
        <v>3250</v>
      </c>
      <c r="H10" t="n">
        <v>2000</v>
      </c>
      <c r="I10" t="inlineStr">
        <is>
          <t>第8次滾算，減少 1000 元 - 現金模式，每次減少 1000 元</t>
        </is>
      </c>
    </row>
    <row r="11">
      <c r="A11" t="n">
        <v>10</v>
      </c>
      <c r="B11" t="n">
        <v>20000</v>
      </c>
      <c r="C11" t="n">
        <v>8.67</v>
      </c>
      <c r="D11" t="n">
        <v>34.13</v>
      </c>
      <c r="E11" s="151" t="n">
        <v>0.2</v>
      </c>
      <c r="F11" t="n">
        <v>1308300</v>
      </c>
      <c r="G11" t="n">
        <v>3000</v>
      </c>
      <c r="H11" t="n">
        <v>2000</v>
      </c>
      <c r="I11" t="inlineStr">
        <is>
          <t>第9次滾算，減少 1000 元 - 現金模式，每次減少 1000 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0.5703125" customWidth="1" min="1" max="1"/>
    <col width="33.140625" customWidth="1" min="2" max="2"/>
    <col width="19.42578125" customWidth="1" min="3" max="3"/>
    <col width="17.85546875" customWidth="1" min="4" max="4"/>
    <col width="17.85546875" customWidth="1" min="24" max="24"/>
    <col width="30" customWidth="1" min="25" max="25"/>
    <col width="13.5703125" customWidth="1" min="26" max="26"/>
    <col width="19.5703125" customWidth="1" min="30" max="30"/>
    <col width="20.5703125" customWidth="1" min="31" max="31"/>
    <col width="20.28515625" customWidth="1" min="32" max="32"/>
    <col width="20.85546875" customWidth="1" min="33" max="33"/>
    <col width="15.5703125" customWidth="1" min="34" max="34"/>
    <col width="36.85546875" customWidth="1" min="35" max="35"/>
    <col width="32.5703125" customWidth="1" min="36" max="36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</t>
        </is>
      </c>
    </row>
    <row r="5" ht="22.5" customHeight="1">
      <c r="B5" s="161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初始價金摘要</t>
        </is>
      </c>
    </row>
    <row r="6" ht="20.25" customHeight="1">
      <c r="B6" s="162" t="n"/>
      <c r="C6" s="163" t="n"/>
      <c r="D6" s="163" t="n"/>
      <c r="E6" s="163" t="n"/>
      <c r="M6" t="inlineStr">
        <is>
          <t>價金: 29000</t>
        </is>
      </c>
    </row>
    <row r="7" ht="22.5" customHeight="1">
      <c r="B7" s="164" t="inlineStr">
        <is>
          <t>綜合損益表</t>
        </is>
      </c>
      <c r="C7" s="153" t="n"/>
      <c r="D7" s="153" t="n"/>
      <c r="E7" s="154" t="n"/>
      <c r="M7" t="inlineStr">
        <is>
          <t>專案IRR: 4.63</t>
        </is>
      </c>
    </row>
    <row r="8" ht="22.5" customHeight="1">
      <c r="B8" s="165" t="inlineStr">
        <is>
          <t>收入</t>
        </is>
      </c>
      <c r="C8" s="166" t="n"/>
      <c r="D8" s="166" t="n"/>
      <c r="E8" s="167" t="n"/>
      <c r="M8" t="inlineStr">
        <is>
          <t>權益法IRR: 11.74</t>
        </is>
      </c>
    </row>
    <row r="9" ht="22.5" customHeight="1">
      <c r="B9" s="168" t="inlineStr">
        <is>
          <t>收支項目</t>
        </is>
      </c>
      <c r="C9" s="169" t="inlineStr">
        <is>
          <t>相關參數</t>
        </is>
      </c>
      <c r="D9" s="169" t="inlineStr">
        <is>
          <t>參數數值</t>
        </is>
      </c>
      <c r="E9" s="170" t="inlineStr">
        <is>
          <t>年限</t>
        </is>
      </c>
      <c r="M9" t="inlineStr">
        <is>
          <t>利潤率: 20.00%</t>
        </is>
      </c>
    </row>
    <row r="10" ht="21.75" customHeight="1">
      <c r="B10" s="171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72" t="n">
        <v>20</v>
      </c>
      <c r="M10" t="inlineStr">
        <is>
          <t>初始價金 - 現金模式，每次減少 1000 元</t>
        </is>
      </c>
    </row>
    <row r="11" ht="21.75" customHeight="1">
      <c r="B11" s="173" t="n"/>
      <c r="C11" s="159" t="inlineStr">
        <is>
          <t>首年衰退率</t>
        </is>
      </c>
      <c r="D11" s="174" t="n">
        <v>0.01</v>
      </c>
      <c r="E11" s="173" t="n"/>
    </row>
    <row r="12" ht="21.75" customHeight="1">
      <c r="B12" s="173" t="n"/>
      <c r="C12" s="159" t="inlineStr">
        <is>
          <t>次年衰退率</t>
        </is>
      </c>
      <c r="D12" s="175" t="n">
        <v>0.004</v>
      </c>
      <c r="E12" s="173" t="n"/>
    </row>
    <row r="13" ht="22.5" customHeight="1">
      <c r="B13" s="173" t="n"/>
      <c r="C13" s="176" t="inlineStr">
        <is>
          <t>躉售費率(FIT)</t>
        </is>
      </c>
      <c r="D13" s="176" t="n">
        <v>3.7152</v>
      </c>
      <c r="E13" s="173" t="n"/>
    </row>
    <row r="14" ht="22.5" customHeight="1">
      <c r="B14" s="177" t="inlineStr">
        <is>
          <t>支出</t>
        </is>
      </c>
      <c r="C14" s="153" t="n"/>
      <c r="D14" s="153" t="n"/>
      <c r="E14" s="154" t="n"/>
    </row>
    <row r="15" ht="22.5" customHeight="1">
      <c r="B15" s="168" t="inlineStr">
        <is>
          <t>收支項目</t>
        </is>
      </c>
      <c r="C15" s="169" t="inlineStr">
        <is>
          <t>相關參數</t>
        </is>
      </c>
      <c r="D15" s="169" t="inlineStr">
        <is>
          <t>參數數值</t>
        </is>
      </c>
      <c r="E15" s="178" t="inlineStr">
        <is>
          <t>攤提年限</t>
        </is>
      </c>
    </row>
    <row r="16" ht="21.75" customHeight="1">
      <c r="B16" s="179" t="inlineStr">
        <is>
          <t>設備費用(價金)</t>
        </is>
      </c>
      <c r="C16" s="180" t="inlineStr">
        <is>
          <t>每kWp設備成本</t>
        </is>
      </c>
      <c r="D16" s="156" t="n">
        <v>29000</v>
      </c>
      <c r="E16" s="181" t="n">
        <v>20</v>
      </c>
    </row>
    <row r="17" ht="21.75" customHeight="1">
      <c r="B17" s="173" t="n"/>
      <c r="C17" s="159" t="inlineStr">
        <is>
          <t>信邦利潤率</t>
        </is>
      </c>
      <c r="D17" s="159" t="n">
        <v>0.2</v>
      </c>
      <c r="E17" s="173" t="n"/>
    </row>
    <row r="18" ht="21.75" customHeight="1">
      <c r="B18" s="182" t="n"/>
      <c r="C18" s="159" t="inlineStr">
        <is>
          <t>開發費</t>
        </is>
      </c>
      <c r="D18" s="159" t="n">
        <v>2000</v>
      </c>
      <c r="E18" s="182" t="n"/>
    </row>
    <row r="19" ht="54" customHeight="1">
      <c r="B19" s="183" t="inlineStr">
        <is>
          <t>租金費用</t>
        </is>
      </c>
      <c r="C19" s="184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3" t="n"/>
      <c r="C20" s="185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82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61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61" t="inlineStr">
        <is>
          <t>保險費用</t>
        </is>
      </c>
      <c r="C23" s="186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61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61" t="inlineStr">
        <is>
          <t>利息費用</t>
        </is>
      </c>
      <c r="C25" s="159" t="inlineStr">
        <is>
          <t>銀行利率</t>
        </is>
      </c>
      <c r="D25" s="187" t="n">
        <v>0.025595</v>
      </c>
      <c r="E25" s="160" t="n">
        <v>0</v>
      </c>
    </row>
    <row r="26" ht="22.5" customHeight="1">
      <c r="B26" s="161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2" t="n"/>
      <c r="C27" s="163" t="n"/>
      <c r="D27" s="163" t="n"/>
      <c r="E27" s="163" t="n"/>
    </row>
    <row r="28" ht="20.25" customHeight="1">
      <c r="B28" s="162" t="n"/>
      <c r="C28" s="163" t="n"/>
      <c r="D28" s="163" t="n"/>
      <c r="E28" s="163" t="n"/>
    </row>
    <row r="29" ht="22.5" customHeight="1">
      <c r="B29" s="164" t="inlineStr">
        <is>
          <t>現金流量表</t>
        </is>
      </c>
      <c r="C29" s="153" t="n"/>
      <c r="D29" s="154" t="n"/>
      <c r="E29" s="163" t="n"/>
    </row>
    <row r="30" ht="22.5" customHeight="1">
      <c r="B30" s="168" t="inlineStr">
        <is>
          <t>金流項目</t>
        </is>
      </c>
      <c r="C30" s="169" t="inlineStr">
        <is>
          <t>相關參數</t>
        </is>
      </c>
      <c r="D30" s="178" t="inlineStr">
        <is>
          <t>參數數值</t>
        </is>
      </c>
      <c r="E30" s="163" t="n"/>
    </row>
    <row r="31" ht="18.75" customHeight="1">
      <c r="B31" s="155" t="inlineStr">
        <is>
          <t>貸款成數</t>
        </is>
      </c>
      <c r="C31" s="180" t="inlineStr">
        <is>
          <t>占總設備費用比例</t>
        </is>
      </c>
      <c r="D31" s="156" t="n">
        <v>0.8</v>
      </c>
      <c r="E31" s="163" t="n"/>
    </row>
    <row r="32" ht="18.75" customHeight="1">
      <c r="B32" s="188" t="inlineStr">
        <is>
          <t>貸款還款</t>
        </is>
      </c>
      <c r="C32" s="156" t="inlineStr">
        <is>
          <t>攤還期數</t>
        </is>
      </c>
      <c r="D32" s="156" t="n">
        <v>15</v>
      </c>
      <c r="E32" s="163" t="n"/>
    </row>
    <row r="33" ht="18.75" customHeight="1">
      <c r="B33" s="161" t="inlineStr">
        <is>
          <t>現金股利</t>
        </is>
      </c>
      <c r="C33" s="159" t="inlineStr">
        <is>
          <t>股利比率</t>
        </is>
      </c>
      <c r="D33" s="159" t="n">
        <v>0.9</v>
      </c>
      <c r="E33" s="163" t="n"/>
    </row>
    <row r="34" ht="18.75" customHeight="1">
      <c r="B34" s="161" t="inlineStr">
        <is>
          <t>年底減資</t>
        </is>
      </c>
      <c r="C34" s="159" t="inlineStr">
        <is>
          <t>攤還期數</t>
        </is>
      </c>
      <c r="D34" s="159" t="n">
        <v>4</v>
      </c>
      <c r="E34" s="163" t="n"/>
    </row>
    <row r="35" ht="18.75" customHeight="1"/>
    <row r="36" ht="18.75" customHeight="1"/>
    <row r="37" ht="18.75" customHeight="1">
      <c r="B37" s="28" t="n"/>
      <c r="C37" s="29" t="inlineStr">
        <is>
          <t>年份</t>
        </is>
      </c>
      <c r="D37" s="29" t="n">
        <v>2020</v>
      </c>
      <c r="E37" s="29" t="n">
        <v>2021</v>
      </c>
      <c r="F37" s="29" t="n">
        <v>2022</v>
      </c>
      <c r="G37" s="29" t="n">
        <v>2023</v>
      </c>
      <c r="H37" s="29" t="n">
        <v>2024</v>
      </c>
      <c r="I37" s="29" t="n">
        <v>2025</v>
      </c>
      <c r="J37" s="29" t="n">
        <v>2026</v>
      </c>
      <c r="K37" s="29" t="n">
        <v>2027</v>
      </c>
      <c r="L37" s="29" t="n">
        <v>2028</v>
      </c>
      <c r="M37" s="29" t="n">
        <v>2029</v>
      </c>
      <c r="N37" s="29" t="n">
        <v>2030</v>
      </c>
      <c r="O37" s="29" t="n">
        <v>2031</v>
      </c>
      <c r="P37" s="29" t="n">
        <v>2032</v>
      </c>
      <c r="Q37" s="29" t="n">
        <v>2033</v>
      </c>
      <c r="R37" s="29" t="n">
        <v>2034</v>
      </c>
      <c r="S37" s="29" t="n">
        <v>2035</v>
      </c>
      <c r="T37" s="29" t="n">
        <v>2036</v>
      </c>
      <c r="U37" s="29" t="n">
        <v>2037</v>
      </c>
      <c r="V37" s="29" t="n">
        <v>2038</v>
      </c>
      <c r="W37" s="29" t="n">
        <v>2039</v>
      </c>
      <c r="X37" s="30" t="n"/>
    </row>
    <row r="38" ht="18.75" customHeight="1">
      <c r="B38" s="31" t="n">
        <v>0</v>
      </c>
      <c r="C38" s="32" t="n"/>
      <c r="D38" s="33" t="n"/>
      <c r="E38" s="33" t="n"/>
      <c r="F38" s="34" t="inlineStr">
        <is>
          <t>手動計算值</t>
        </is>
      </c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6" t="inlineStr">
        <is>
          <t>償還年限</t>
        </is>
      </c>
      <c r="U38" s="35" t="n"/>
      <c r="V38" s="35" t="n"/>
      <c r="W38" s="35" t="n"/>
      <c r="X38" s="37" t="n"/>
    </row>
    <row r="39" ht="18.75" customHeight="1">
      <c r="B39" s="38" t="inlineStr">
        <is>
          <t>(Unit : Currency)</t>
        </is>
      </c>
      <c r="C39" s="39" t="n">
        <v>0</v>
      </c>
      <c r="D39" s="40" t="n">
        <v>1</v>
      </c>
      <c r="E39" s="40" t="n">
        <v>2</v>
      </c>
      <c r="F39" s="40" t="n">
        <v>3</v>
      </c>
      <c r="G39" s="40" t="n">
        <v>4</v>
      </c>
      <c r="H39" s="40" t="n">
        <v>5</v>
      </c>
      <c r="I39" s="40" t="n">
        <v>6</v>
      </c>
      <c r="J39" s="40" t="n">
        <v>7</v>
      </c>
      <c r="K39" s="40" t="n">
        <v>8</v>
      </c>
      <c r="L39" s="40" t="n">
        <v>9</v>
      </c>
      <c r="M39" s="40" t="n">
        <v>10</v>
      </c>
      <c r="N39" s="40" t="n">
        <v>11</v>
      </c>
      <c r="O39" s="40" t="n">
        <v>12</v>
      </c>
      <c r="P39" s="40" t="n">
        <v>13</v>
      </c>
      <c r="Q39" s="40" t="n">
        <v>14</v>
      </c>
      <c r="R39" s="40" t="n">
        <v>15</v>
      </c>
      <c r="S39" s="40" t="n">
        <v>16</v>
      </c>
      <c r="T39" s="41" t="n">
        <v>17</v>
      </c>
      <c r="U39" s="40" t="n">
        <v>18</v>
      </c>
      <c r="V39" s="40" t="n">
        <v>19</v>
      </c>
      <c r="W39" s="40" t="n">
        <v>20</v>
      </c>
      <c r="X39" s="42" t="n"/>
    </row>
    <row r="40" ht="18.75" customHeight="1">
      <c r="B40" s="43" t="inlineStr">
        <is>
          <t>發電度數(KWH)</t>
        </is>
      </c>
      <c r="C40" s="39" t="n">
        <v>0</v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4" t="n"/>
    </row>
    <row r="41" ht="18.75" customHeight="1">
      <c r="B41" s="45" t="inlineStr">
        <is>
          <t>Inflow : 電費收入</t>
        </is>
      </c>
      <c r="C41" s="46" t="inlineStr">
        <is>
          <t>-</t>
        </is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8" t="n"/>
    </row>
    <row r="42" ht="18.75" customHeight="1">
      <c r="B42" s="49" t="inlineStr">
        <is>
          <t>Inflow : 政府補助</t>
        </is>
      </c>
      <c r="C42" s="39" t="inlineStr">
        <is>
          <t>-</t>
        </is>
      </c>
      <c r="D42" s="40" t="n"/>
      <c r="E42" s="40" t="n"/>
      <c r="F42" s="40" t="n"/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40" t="inlineStr">
        <is>
          <t>-</t>
        </is>
      </c>
      <c r="X42" s="50" t="n"/>
    </row>
    <row r="43" ht="18.75" customHeight="1">
      <c r="B43" s="51" t="inlineStr">
        <is>
          <t>Inflow : 銀行借款</t>
        </is>
      </c>
      <c r="C43" s="52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4" t="n"/>
    </row>
    <row r="44" ht="18.75" customHeight="1">
      <c r="B44" s="55" t="inlineStr">
        <is>
          <t>Outflow : 設備費用</t>
        </is>
      </c>
      <c r="C44" s="39" t="n"/>
      <c r="D44" s="56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50" t="n"/>
    </row>
    <row r="45" ht="18.75" customHeight="1">
      <c r="B45" s="55" t="inlineStr">
        <is>
          <t>Outflow : 設備放置區域租金</t>
        </is>
      </c>
      <c r="C45" s="39" t="inlineStr">
        <is>
          <t>-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50" t="n"/>
    </row>
    <row r="46" ht="18.75" customHeight="1">
      <c r="B46" s="55" t="inlineStr">
        <is>
          <t>Outflow : 返還借款</t>
        </is>
      </c>
      <c r="C46" s="39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50" t="n"/>
    </row>
    <row r="47" ht="18.75" customHeight="1">
      <c r="B47" s="55" t="inlineStr">
        <is>
          <t>Outflow : 利息費用</t>
        </is>
      </c>
      <c r="C47" s="39" t="inlineStr">
        <is>
          <t>-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50" t="n"/>
    </row>
    <row r="48" ht="18.75" customHeight="1">
      <c r="B48" s="55" t="inlineStr">
        <is>
          <t>Outflow : 維運費</t>
        </is>
      </c>
      <c r="C48" s="39" t="inlineStr">
        <is>
          <t>-</t>
        </is>
      </c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50" t="n"/>
    </row>
    <row r="49" ht="18.75" customHeight="1">
      <c r="B49" s="55" t="inlineStr">
        <is>
          <t>Outflow : 保險費</t>
        </is>
      </c>
      <c r="C49" s="39" t="inlineStr">
        <is>
          <t>-</t>
        </is>
      </c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50" t="n"/>
    </row>
    <row r="50" ht="18.75" customHeight="1">
      <c r="B50" s="55" t="inlineStr">
        <is>
          <t>Outflow : 模組回收費</t>
        </is>
      </c>
      <c r="C50" s="39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50" t="n"/>
    </row>
    <row r="51" ht="18.75" customHeight="1">
      <c r="B51" s="55" t="inlineStr">
        <is>
          <t>Outflow : 其它費用(人事薪資…等)</t>
        </is>
      </c>
      <c r="C51" s="57" t="n"/>
      <c r="D51" s="58" t="n"/>
      <c r="E51" s="59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50" t="n"/>
    </row>
    <row r="52" ht="18.75" customHeight="1">
      <c r="B52" s="55" t="inlineStr">
        <is>
          <t>1%管理費</t>
        </is>
      </c>
      <c r="C52" s="57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50" t="n"/>
    </row>
    <row r="53" ht="18.75" customHeight="1">
      <c r="B53" s="60" t="inlineStr">
        <is>
          <t>績效獎金</t>
        </is>
      </c>
      <c r="C53" s="57" t="n"/>
      <c r="D53" s="61" t="n"/>
      <c r="E53" s="61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50" t="n"/>
    </row>
    <row r="54" ht="18.75" customHeight="1">
      <c r="B54" s="60" t="inlineStr">
        <is>
          <t>所得稅20%</t>
        </is>
      </c>
      <c r="C54" s="57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50" t="n"/>
    </row>
    <row r="55" ht="18.75" customHeight="1">
      <c r="B55" s="189" t="inlineStr">
        <is>
          <t>現金流</t>
        </is>
      </c>
      <c r="C55" s="71">
        <f>C44</f>
        <v/>
      </c>
      <c r="D55" s="66">
        <f>SUM(D41:D54)</f>
        <v/>
      </c>
      <c r="E55" s="66">
        <f>SUM(E41:E54)</f>
        <v/>
      </c>
      <c r="F55" s="66">
        <f>SUM(F41:F54)</f>
        <v/>
      </c>
      <c r="G55" s="66">
        <f>SUM(G41:G54)</f>
        <v/>
      </c>
      <c r="H55" s="66">
        <f>SUM(H41:H54)</f>
        <v/>
      </c>
      <c r="I55" s="66">
        <f>SUM(I41:I54)</f>
        <v/>
      </c>
      <c r="J55" s="66">
        <f>SUM(J41:J54)</f>
        <v/>
      </c>
      <c r="K55" s="66">
        <f>SUM(K41:K54)</f>
        <v/>
      </c>
      <c r="L55" s="66">
        <f>SUM(L41:L54)</f>
        <v/>
      </c>
      <c r="M55" s="66">
        <f>SUM(M41:M54)</f>
        <v/>
      </c>
      <c r="N55" s="66">
        <f>SUM(N41:N54)</f>
        <v/>
      </c>
      <c r="O55" s="66">
        <f>SUM(O41:O54)</f>
        <v/>
      </c>
      <c r="P55" s="66">
        <f>SUM(P41:P54)</f>
        <v/>
      </c>
      <c r="Q55" s="66">
        <f>SUM(Q41:Q54)</f>
        <v/>
      </c>
      <c r="R55" s="66">
        <f>SUM(R41:R54)</f>
        <v/>
      </c>
      <c r="S55" s="66">
        <f>SUM(S41:S54)</f>
        <v/>
      </c>
      <c r="T55" s="66">
        <f>SUM(T41:T54)</f>
        <v/>
      </c>
      <c r="U55" s="66">
        <f>SUM(U41:U54)</f>
        <v/>
      </c>
      <c r="V55" s="66">
        <f>SUM(V41:V54)</f>
        <v/>
      </c>
      <c r="W55" s="66">
        <f>SUM(W41:W54)</f>
        <v/>
      </c>
      <c r="X55" s="66">
        <f>SUM(X41:X54)</f>
        <v/>
      </c>
      <c r="Y55" s="68" t="n"/>
      <c r="Z55" s="69" t="n"/>
      <c r="AA55" s="68" t="n"/>
      <c r="AB55" s="68" t="n"/>
      <c r="AC55" s="68" t="n"/>
      <c r="AD55" s="68" t="n"/>
      <c r="AE55" s="68" t="n"/>
      <c r="AF55" s="68" t="n"/>
      <c r="AG55" s="68" t="n"/>
      <c r="AH55" s="68" t="n"/>
      <c r="AI55" s="68" t="n"/>
      <c r="AJ55" s="68" t="n"/>
    </row>
    <row r="56" ht="18.75" customHeight="1">
      <c r="B56" s="70" t="inlineStr">
        <is>
          <t>累計現金流</t>
        </is>
      </c>
      <c r="D56" s="72">
        <f>C55+D55</f>
        <v/>
      </c>
      <c r="E56" s="72">
        <f>D56+E55</f>
        <v/>
      </c>
      <c r="F56" s="72">
        <f>E56+F55</f>
        <v/>
      </c>
      <c r="G56" s="72">
        <f>F56+G55</f>
        <v/>
      </c>
      <c r="H56" s="72">
        <f>G56+H55</f>
        <v/>
      </c>
      <c r="I56" s="72">
        <f>H56+I55</f>
        <v/>
      </c>
      <c r="J56" s="72">
        <f>I56+J55</f>
        <v/>
      </c>
      <c r="K56" s="72">
        <f>J56+K55</f>
        <v/>
      </c>
      <c r="L56" s="72">
        <f>K56+L55</f>
        <v/>
      </c>
      <c r="M56" s="72">
        <f>L56+M55</f>
        <v/>
      </c>
      <c r="N56" s="72">
        <f>M56+N55</f>
        <v/>
      </c>
      <c r="O56" s="72">
        <f>N56+O55</f>
        <v/>
      </c>
      <c r="P56" s="72">
        <f>O56+P55</f>
        <v/>
      </c>
      <c r="Q56" s="72">
        <f>P56+Q55</f>
        <v/>
      </c>
      <c r="R56" s="72">
        <f>Q56+R55</f>
        <v/>
      </c>
      <c r="S56" s="72">
        <f>R56+S55</f>
        <v/>
      </c>
      <c r="T56" s="72">
        <f>S56+T55</f>
        <v/>
      </c>
      <c r="U56" s="72">
        <f>T56+U55</f>
        <v/>
      </c>
      <c r="V56" s="72">
        <f>U56+V55</f>
        <v/>
      </c>
      <c r="W56" s="72">
        <f>V56+W55</f>
        <v/>
      </c>
      <c r="X56" s="72">
        <f>W56+X55</f>
        <v/>
      </c>
      <c r="Y56" s="68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  <c r="AJ56" s="68" t="n"/>
    </row>
    <row r="57" ht="18.75" customHeight="1">
      <c r="B57" s="74" t="inlineStr">
        <is>
          <t>Discounted cash flow</t>
        </is>
      </c>
      <c r="C57" s="75" t="n">
        <v>-37721416.4</v>
      </c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  <c r="AJ57" s="68" t="n"/>
    </row>
    <row r="58" ht="18.75" customHeight="1">
      <c r="B58" s="74" t="inlineStr">
        <is>
          <t>Minus : Depreciation</t>
        </is>
      </c>
      <c r="C58" s="79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  <c r="W58" s="61" t="n"/>
      <c r="X58" s="80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  <c r="AJ58" s="68" t="n"/>
    </row>
    <row r="59" ht="18.75" customHeight="1">
      <c r="B59" s="74" t="inlineStr">
        <is>
          <t>Plus : Principle payment</t>
        </is>
      </c>
      <c r="C59" s="79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61" t="n"/>
      <c r="U59" s="61" t="n"/>
      <c r="V59" s="61" t="n"/>
      <c r="W59" s="61" t="n"/>
      <c r="X59" s="80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  <c r="AJ59" s="68" t="n"/>
    </row>
    <row r="60" ht="18.75" customHeight="1">
      <c r="B60" s="81" t="inlineStr">
        <is>
          <t>Profit</t>
        </is>
      </c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85" t="inlineStr">
        <is>
          <t>EPS</t>
        </is>
      </c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  <c r="AJ61" s="68" t="n"/>
    </row>
    <row r="62" ht="18.75" customHeight="1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  <c r="AJ62" s="68" t="n"/>
    </row>
    <row r="63" ht="18.75" customHeight="1">
      <c r="B63" s="190" t="inlineStr">
        <is>
          <t>專案法IRR</t>
        </is>
      </c>
      <c r="C63" s="149">
        <f>IRR(C55:X55)</f>
        <v/>
      </c>
      <c r="D63" s="149" t="n"/>
      <c r="E63" s="14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95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  <c r="AJ63" s="68" t="n"/>
    </row>
    <row r="64" ht="18.75" customHeight="1">
      <c r="B64" s="28" t="n"/>
      <c r="C64" s="149" t="n"/>
      <c r="D64" s="149" t="n"/>
      <c r="E64" s="149" t="n"/>
      <c r="F64" s="59" t="n"/>
      <c r="G64" s="59" t="n"/>
      <c r="H64" s="59" t="n"/>
      <c r="I64" s="59" t="n"/>
      <c r="J64" s="59" t="n"/>
      <c r="K64" s="59" t="n"/>
      <c r="L64" s="59" t="n"/>
      <c r="M64" s="96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95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  <c r="AJ64" s="68" t="n"/>
    </row>
    <row r="65" ht="18.75" customHeight="1">
      <c r="B65" s="28" t="n"/>
      <c r="C65" s="29" t="inlineStr">
        <is>
          <t>年份</t>
        </is>
      </c>
      <c r="D65" s="29" t="n">
        <v>2020</v>
      </c>
      <c r="E65" s="29" t="n">
        <v>2021</v>
      </c>
      <c r="F65" s="29" t="n">
        <v>2022</v>
      </c>
      <c r="G65" s="29" t="n">
        <v>2023</v>
      </c>
      <c r="H65" s="29" t="n">
        <v>2024</v>
      </c>
      <c r="I65" s="29" t="n">
        <v>2025</v>
      </c>
      <c r="J65" s="29" t="n">
        <v>2026</v>
      </c>
      <c r="K65" s="29" t="n">
        <v>2027</v>
      </c>
      <c r="L65" s="29" t="n">
        <v>2028</v>
      </c>
      <c r="M65" s="29" t="n">
        <v>2029</v>
      </c>
      <c r="N65" s="29" t="n">
        <v>2030</v>
      </c>
      <c r="O65" s="29" t="n">
        <v>2031</v>
      </c>
      <c r="P65" s="29" t="n">
        <v>2032</v>
      </c>
      <c r="Q65" s="29" t="n">
        <v>2033</v>
      </c>
      <c r="R65" s="29" t="n">
        <v>2034</v>
      </c>
      <c r="S65" s="29" t="n">
        <v>2035</v>
      </c>
      <c r="T65" s="29" t="n">
        <v>2036</v>
      </c>
      <c r="U65" s="29" t="n">
        <v>2037</v>
      </c>
      <c r="V65" s="29" t="n">
        <v>2038</v>
      </c>
      <c r="W65" s="29" t="n">
        <v>2039</v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 ht="18.75" customHeight="1">
      <c r="B66" s="31" t="n">
        <v>0</v>
      </c>
      <c r="C66" s="32" t="n"/>
      <c r="D66" s="33" t="n"/>
      <c r="E66" s="33" t="n"/>
      <c r="F66" s="34" t="inlineStr">
        <is>
          <t>手動計算值</t>
        </is>
      </c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6" t="inlineStr">
        <is>
          <t>償還年限</t>
        </is>
      </c>
      <c r="U66" s="35" t="n"/>
      <c r="V66" s="35" t="n"/>
      <c r="W66" s="35" t="n"/>
      <c r="X66" s="37" t="n"/>
    </row>
    <row r="67" ht="18.75" customHeight="1">
      <c r="B67" s="38" t="inlineStr">
        <is>
          <t>(Unit : Currency)</t>
        </is>
      </c>
      <c r="C67" s="39" t="n">
        <v>0</v>
      </c>
      <c r="D67" s="40" t="n">
        <v>1</v>
      </c>
      <c r="E67" s="40" t="n">
        <v>2</v>
      </c>
      <c r="F67" s="40" t="n">
        <v>3</v>
      </c>
      <c r="G67" s="40" t="n">
        <v>4</v>
      </c>
      <c r="H67" s="40" t="n">
        <v>5</v>
      </c>
      <c r="I67" s="40" t="n">
        <v>6</v>
      </c>
      <c r="J67" s="40" t="n">
        <v>7</v>
      </c>
      <c r="K67" s="40" t="n">
        <v>8</v>
      </c>
      <c r="L67" s="40" t="n">
        <v>9</v>
      </c>
      <c r="M67" s="40" t="n">
        <v>10</v>
      </c>
      <c r="N67" s="40" t="n">
        <v>11</v>
      </c>
      <c r="O67" s="40" t="n">
        <v>12</v>
      </c>
      <c r="P67" s="40" t="n">
        <v>13</v>
      </c>
      <c r="Q67" s="40" t="n">
        <v>14</v>
      </c>
      <c r="R67" s="40" t="n">
        <v>15</v>
      </c>
      <c r="S67" s="40" t="n">
        <v>16</v>
      </c>
      <c r="T67" s="41" t="n">
        <v>17</v>
      </c>
      <c r="U67" s="40" t="n">
        <v>18</v>
      </c>
      <c r="V67" s="40" t="n">
        <v>19</v>
      </c>
      <c r="W67" s="40" t="n">
        <v>20</v>
      </c>
      <c r="X67" s="42" t="n"/>
    </row>
    <row r="68" ht="18.75" customHeight="1">
      <c r="B68" s="43" t="inlineStr">
        <is>
          <t>發電度數(KWH)</t>
        </is>
      </c>
      <c r="C68" s="39" t="n">
        <v>0</v>
      </c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4" t="n"/>
    </row>
    <row r="69" ht="18.75" customHeight="1">
      <c r="B69" s="45" t="inlineStr">
        <is>
          <t>Inflow : 電費收入</t>
        </is>
      </c>
      <c r="C69" s="46" t="inlineStr">
        <is>
          <t>-</t>
        </is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8" t="n"/>
    </row>
    <row r="70" ht="18.75" customHeight="1">
      <c r="B70" s="49" t="inlineStr">
        <is>
          <t>Inflow : 政府補助</t>
        </is>
      </c>
      <c r="C70" s="39" t="inlineStr">
        <is>
          <t>-</t>
        </is>
      </c>
      <c r="D70" s="40" t="n"/>
      <c r="E70" s="40" t="n"/>
      <c r="F70" s="40" t="n"/>
      <c r="G70" s="40" t="inlineStr">
        <is>
          <t>-</t>
        </is>
      </c>
      <c r="H70" s="40" t="inlineStr">
        <is>
          <t>-</t>
        </is>
      </c>
      <c r="I70" s="40" t="inlineStr">
        <is>
          <t>-</t>
        </is>
      </c>
      <c r="J70" s="40" t="inlineStr">
        <is>
          <t>-</t>
        </is>
      </c>
      <c r="K70" s="40" t="inlineStr">
        <is>
          <t>-</t>
        </is>
      </c>
      <c r="L70" s="40" t="inlineStr">
        <is>
          <t>-</t>
        </is>
      </c>
      <c r="M70" s="40" t="inlineStr">
        <is>
          <t>-</t>
        </is>
      </c>
      <c r="N70" s="40" t="inlineStr">
        <is>
          <t>-</t>
        </is>
      </c>
      <c r="O70" s="40" t="inlineStr">
        <is>
          <t>-</t>
        </is>
      </c>
      <c r="P70" s="40" t="inlineStr">
        <is>
          <t>-</t>
        </is>
      </c>
      <c r="Q70" s="40" t="inlineStr">
        <is>
          <t>-</t>
        </is>
      </c>
      <c r="R70" s="40" t="inlineStr">
        <is>
          <t>-</t>
        </is>
      </c>
      <c r="S70" s="40" t="inlineStr">
        <is>
          <t>-</t>
        </is>
      </c>
      <c r="T70" s="40" t="inlineStr">
        <is>
          <t>-</t>
        </is>
      </c>
      <c r="U70" s="40" t="inlineStr">
        <is>
          <t>-</t>
        </is>
      </c>
      <c r="V70" s="40" t="inlineStr">
        <is>
          <t>-</t>
        </is>
      </c>
      <c r="W70" s="40" t="inlineStr">
        <is>
          <t>-</t>
        </is>
      </c>
      <c r="X70" s="50" t="n"/>
    </row>
    <row r="71" ht="18.75" customHeight="1">
      <c r="B71" s="51" t="inlineStr">
        <is>
          <t>Inflow : 銀行借款</t>
        </is>
      </c>
      <c r="C71" s="52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4" t="n"/>
    </row>
    <row r="72" ht="18.75" customHeight="1">
      <c r="B72" s="55" t="inlineStr">
        <is>
          <t>Outflow : 設備折舊</t>
        </is>
      </c>
      <c r="C72" s="39" t="n"/>
      <c r="D72" s="56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50" t="n"/>
    </row>
    <row r="73" ht="18.75" customHeight="1">
      <c r="B73" s="55" t="inlineStr">
        <is>
          <t>Outflow : 設備放置區域租金</t>
        </is>
      </c>
      <c r="C73" s="39" t="inlineStr">
        <is>
          <t>-</t>
        </is>
      </c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50" t="n"/>
    </row>
    <row r="74" ht="18.75" customHeight="1">
      <c r="B74" s="55" t="inlineStr">
        <is>
          <t>Outflow : 返還借款</t>
        </is>
      </c>
      <c r="C74" s="39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50" t="n"/>
    </row>
    <row r="75" ht="18.75" customHeight="1">
      <c r="B75" s="55" t="inlineStr">
        <is>
          <t>Outflow : 利息費用</t>
        </is>
      </c>
      <c r="C75" s="39" t="inlineStr">
        <is>
          <t>-</t>
        </is>
      </c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50" t="n"/>
    </row>
    <row r="76" ht="18.75" customHeight="1">
      <c r="B76" s="55" t="inlineStr">
        <is>
          <t>Outflow : 維運費</t>
        </is>
      </c>
      <c r="C76" s="39" t="inlineStr">
        <is>
          <t>-</t>
        </is>
      </c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50" t="n"/>
    </row>
    <row r="77" ht="18.75" customHeight="1">
      <c r="B77" s="55" t="inlineStr">
        <is>
          <t>Outflow : 保險費</t>
        </is>
      </c>
      <c r="C77" s="39" t="inlineStr">
        <is>
          <t>-</t>
        </is>
      </c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50" t="n"/>
    </row>
    <row r="78" ht="18.75" customHeight="1">
      <c r="B78" s="55" t="inlineStr">
        <is>
          <t>Outflow : 模組回收費</t>
        </is>
      </c>
      <c r="C78" s="39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50" t="n"/>
    </row>
    <row r="79" ht="18.75" customHeight="1">
      <c r="B79" s="55" t="inlineStr">
        <is>
          <t>Outflow : 其它費用(人事薪資…等)</t>
        </is>
      </c>
      <c r="C79" s="57" t="n"/>
      <c r="D79" s="58" t="n"/>
      <c r="E79" s="59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50" t="n"/>
    </row>
    <row r="80" ht="18.75" customHeight="1">
      <c r="B80" s="55" t="inlineStr">
        <is>
          <t>1%管理費</t>
        </is>
      </c>
      <c r="C80" s="57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50" t="n"/>
    </row>
    <row r="81" ht="18.75" customHeight="1">
      <c r="B81" s="189" t="inlineStr">
        <is>
          <t>稅前淨利</t>
        </is>
      </c>
      <c r="C81" s="65" t="n"/>
      <c r="D81" s="66">
        <f>SUM(D69:D80)</f>
        <v/>
      </c>
      <c r="E81" s="66">
        <f>SUM(E69:E80)</f>
        <v/>
      </c>
      <c r="F81" s="66">
        <f>SUM(F69:F80)</f>
        <v/>
      </c>
      <c r="G81" s="66">
        <f>SUM(G69:G80)</f>
        <v/>
      </c>
      <c r="H81" s="66">
        <f>SUM(H69:H80)</f>
        <v/>
      </c>
      <c r="I81" s="66">
        <f>SUM(I69:I80)</f>
        <v/>
      </c>
      <c r="J81" s="66">
        <f>SUM(J69:J80)</f>
        <v/>
      </c>
      <c r="K81" s="66">
        <f>SUM(K69:K80)</f>
        <v/>
      </c>
      <c r="L81" s="66">
        <f>SUM(L69:L80)</f>
        <v/>
      </c>
      <c r="M81" s="66">
        <f>SUM(M69:M80)</f>
        <v/>
      </c>
      <c r="N81" s="66">
        <f>SUM(N69:N80)</f>
        <v/>
      </c>
      <c r="O81" s="66">
        <f>SUM(O69:O80)</f>
        <v/>
      </c>
      <c r="P81" s="66">
        <f>SUM(P69:P80)</f>
        <v/>
      </c>
      <c r="Q81" s="66">
        <f>SUM(Q69:Q80)</f>
        <v/>
      </c>
      <c r="R81" s="66">
        <f>SUM(R69:R80)</f>
        <v/>
      </c>
      <c r="S81" s="66">
        <f>SUM(S69:S80)</f>
        <v/>
      </c>
      <c r="T81" s="66">
        <f>SUM(T69:T80)</f>
        <v/>
      </c>
      <c r="U81" s="66">
        <f>SUM(U69:U80)</f>
        <v/>
      </c>
      <c r="V81" s="66">
        <f>SUM(V69:V80)</f>
        <v/>
      </c>
      <c r="W81" s="66">
        <f>SUM(W69:W80)</f>
        <v/>
      </c>
      <c r="X81" s="66">
        <f>SUM(X69:X80)</f>
        <v/>
      </c>
    </row>
    <row r="82" ht="18.75" customHeight="1">
      <c r="B82" s="60" t="inlineStr">
        <is>
          <t>所得稅20%</t>
        </is>
      </c>
      <c r="C82" s="57" t="n"/>
      <c r="D82" s="40">
        <f>-D81*0.2</f>
        <v/>
      </c>
      <c r="E82" s="40">
        <f>-E81*0.2</f>
        <v/>
      </c>
      <c r="F82" s="40">
        <f>-F81*0.2</f>
        <v/>
      </c>
      <c r="G82" s="40">
        <f>-G81*0.2</f>
        <v/>
      </c>
      <c r="H82" s="40">
        <f>-H81*0.2</f>
        <v/>
      </c>
      <c r="I82" s="40">
        <f>-I81*0.2</f>
        <v/>
      </c>
      <c r="J82" s="40">
        <f>-J81*0.2</f>
        <v/>
      </c>
      <c r="K82" s="40">
        <f>-K81*0.2</f>
        <v/>
      </c>
      <c r="L82" s="40">
        <f>-L81*0.2</f>
        <v/>
      </c>
      <c r="M82" s="40">
        <f>-M81*0.2</f>
        <v/>
      </c>
      <c r="N82" s="40">
        <f>-N81*0.2</f>
        <v/>
      </c>
      <c r="O82" s="40">
        <f>-O81*0.2</f>
        <v/>
      </c>
      <c r="P82" s="40">
        <f>-P81*0.2</f>
        <v/>
      </c>
      <c r="Q82" s="40">
        <f>-Q81*0.2</f>
        <v/>
      </c>
      <c r="R82" s="40">
        <f>-R81*0.2</f>
        <v/>
      </c>
      <c r="S82" s="40">
        <f>-S81*0.2</f>
        <v/>
      </c>
      <c r="T82" s="40">
        <f>-T81*0.2</f>
        <v/>
      </c>
      <c r="U82" s="40">
        <f>-U81*0.2</f>
        <v/>
      </c>
      <c r="V82" s="40">
        <f>-V81*0.2</f>
        <v/>
      </c>
      <c r="W82" s="40">
        <f>-W81*0.2</f>
        <v/>
      </c>
      <c r="X82" s="40">
        <f>-X81*0.2</f>
        <v/>
      </c>
    </row>
    <row r="83">
      <c r="B83" s="191" t="inlineStr">
        <is>
          <t>稅後淨利</t>
        </is>
      </c>
      <c r="D83" s="40">
        <f>SUM(D81:D82)</f>
        <v/>
      </c>
      <c r="E83" s="40">
        <f>SUM(E81:E82)</f>
        <v/>
      </c>
      <c r="F83" s="40">
        <f>SUM(F81:F82)</f>
        <v/>
      </c>
      <c r="G83" s="40">
        <f>SUM(G81:G82)</f>
        <v/>
      </c>
      <c r="H83" s="40">
        <f>SUM(H81:H82)</f>
        <v/>
      </c>
      <c r="I83" s="40">
        <f>SUM(I81:I82)</f>
        <v/>
      </c>
      <c r="J83" s="40">
        <f>SUM(J81:J82)</f>
        <v/>
      </c>
      <c r="K83" s="40">
        <f>SUM(K81:K82)</f>
        <v/>
      </c>
      <c r="L83" s="40">
        <f>SUM(L81:L82)</f>
        <v/>
      </c>
      <c r="M83" s="40">
        <f>SUM(M81:M82)</f>
        <v/>
      </c>
      <c r="N83" s="40">
        <f>SUM(N81:N82)</f>
        <v/>
      </c>
      <c r="O83" s="40">
        <f>SUM(O81:O82)</f>
        <v/>
      </c>
      <c r="P83" s="40">
        <f>SUM(P81:P82)</f>
        <v/>
      </c>
      <c r="Q83" s="40">
        <f>SUM(Q81:Q82)</f>
        <v/>
      </c>
      <c r="R83" s="40">
        <f>SUM(R81:R82)</f>
        <v/>
      </c>
      <c r="S83" s="40">
        <f>SUM(S81:S82)</f>
        <v/>
      </c>
      <c r="T83" s="40">
        <f>SUM(T81:T82)</f>
        <v/>
      </c>
      <c r="U83" s="40">
        <f>SUM(U81:U82)</f>
        <v/>
      </c>
      <c r="V83" s="40">
        <f>SUM(V81:V82)</f>
        <v/>
      </c>
      <c r="W83" s="40">
        <f>SUM(W81:W82)</f>
        <v/>
      </c>
      <c r="X83" s="40">
        <f>SUM(X81:X82)</f>
        <v/>
      </c>
    </row>
    <row r="84" ht="18.75" customHeight="1">
      <c r="B84" s="70" t="inlineStr">
        <is>
          <t>累計現金流</t>
        </is>
      </c>
      <c r="C84" s="71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3" t="n"/>
    </row>
    <row r="85" ht="18.75" customHeight="1">
      <c r="B85" s="90" t="inlineStr">
        <is>
          <t>回收年限評估</t>
        </is>
      </c>
      <c r="C85" s="91" t="n"/>
      <c r="D85" s="92" t="n"/>
      <c r="E85" s="92" t="n"/>
      <c r="F85" s="92" t="n"/>
      <c r="G85" s="92" t="n"/>
      <c r="H85" s="92" t="n"/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93" t="n"/>
    </row>
    <row r="86" ht="18.75" customHeight="1">
      <c r="B86" s="28" t="n"/>
      <c r="C86" s="149" t="n"/>
      <c r="D86" s="149" t="n"/>
      <c r="E86" s="149" t="n"/>
      <c r="F86" s="59" t="n"/>
      <c r="G86" s="59" t="n"/>
      <c r="H86" s="59" t="n"/>
      <c r="I86" s="59" t="n"/>
      <c r="J86" s="59" t="n"/>
      <c r="K86" s="59" t="n"/>
      <c r="L86" s="59" t="inlineStr">
        <is>
          <t>預估可建置量</t>
        </is>
      </c>
      <c r="M86" s="96" t="n">
        <v>0</v>
      </c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95" t="n"/>
    </row>
    <row r="87" ht="18.75" customHeight="1">
      <c r="C87" s="97" t="inlineStr">
        <is>
          <t>年份</t>
        </is>
      </c>
      <c r="D87" s="98" t="n">
        <v>2020</v>
      </c>
      <c r="E87" s="98" t="n">
        <v>2021</v>
      </c>
      <c r="F87" s="98" t="n">
        <v>2022</v>
      </c>
      <c r="G87" s="98" t="n">
        <v>2023</v>
      </c>
      <c r="H87" s="98" t="n">
        <v>2024</v>
      </c>
      <c r="I87" s="98" t="n">
        <v>2025</v>
      </c>
      <c r="J87" s="98" t="n">
        <v>2026</v>
      </c>
      <c r="K87" s="98" t="n">
        <v>2027</v>
      </c>
      <c r="L87" s="98" t="n">
        <v>2028</v>
      </c>
      <c r="M87" s="98" t="n">
        <v>2029</v>
      </c>
      <c r="N87" s="98" t="n">
        <v>2030</v>
      </c>
      <c r="O87" s="98" t="n">
        <v>2031</v>
      </c>
      <c r="P87" s="98" t="n">
        <v>2032</v>
      </c>
      <c r="Q87" s="98" t="n">
        <v>2033</v>
      </c>
      <c r="R87" s="98" t="n">
        <v>2034</v>
      </c>
      <c r="S87" s="98" t="n">
        <v>2035</v>
      </c>
      <c r="T87" s="98" t="n">
        <v>2036</v>
      </c>
      <c r="U87" s="98" t="n">
        <v>2037</v>
      </c>
      <c r="V87" s="98" t="n">
        <v>2038</v>
      </c>
      <c r="W87" s="98" t="n">
        <v>2039</v>
      </c>
      <c r="X87" s="99" t="n"/>
    </row>
    <row r="88" ht="18.75" customHeight="1">
      <c r="X88" s="99" t="n"/>
    </row>
    <row r="89" ht="18.75" customHeight="1">
      <c r="B89" s="100" t="inlineStr">
        <is>
          <t>(Unit : Currency)</t>
        </is>
      </c>
      <c r="C89" s="101" t="n">
        <v>0</v>
      </c>
      <c r="D89" s="101" t="n">
        <v>1</v>
      </c>
      <c r="E89" s="101" t="n">
        <v>2</v>
      </c>
      <c r="F89" s="101" t="n">
        <v>3</v>
      </c>
      <c r="G89" s="101" t="n">
        <v>4</v>
      </c>
      <c r="H89" s="101" t="n">
        <v>5</v>
      </c>
      <c r="I89" s="101" t="n">
        <v>6</v>
      </c>
      <c r="J89" s="101" t="n">
        <v>7</v>
      </c>
      <c r="K89" s="101" t="n">
        <v>8</v>
      </c>
      <c r="L89" s="101" t="n">
        <v>9</v>
      </c>
      <c r="M89" s="101" t="n">
        <v>10</v>
      </c>
      <c r="N89" s="101" t="n">
        <v>11</v>
      </c>
      <c r="O89" s="101" t="n">
        <v>12</v>
      </c>
      <c r="P89" s="101" t="n">
        <v>13</v>
      </c>
      <c r="Q89" s="101" t="n">
        <v>14</v>
      </c>
      <c r="R89" s="101" t="n">
        <v>15</v>
      </c>
      <c r="S89" s="101" t="n">
        <v>16</v>
      </c>
      <c r="T89" s="101" t="n">
        <v>17</v>
      </c>
      <c r="U89" s="101" t="n">
        <v>18</v>
      </c>
      <c r="V89" s="101" t="n">
        <v>19</v>
      </c>
      <c r="W89" s="101" t="n">
        <v>20</v>
      </c>
      <c r="X89" s="102" t="n"/>
    </row>
    <row r="90" ht="18.75" customHeight="1">
      <c r="B90" s="103" t="inlineStr">
        <is>
          <t>稅後淨利</t>
        </is>
      </c>
      <c r="C90" s="104" t="n"/>
      <c r="D90" s="101">
        <f>D81</f>
        <v/>
      </c>
      <c r="E90" s="101">
        <f>E81</f>
        <v/>
      </c>
      <c r="F90" s="101">
        <f>F81</f>
        <v/>
      </c>
      <c r="G90" s="101">
        <f>G81</f>
        <v/>
      </c>
      <c r="H90" s="101">
        <f>H81</f>
        <v/>
      </c>
      <c r="I90" s="101">
        <f>I81</f>
        <v/>
      </c>
      <c r="J90" s="101">
        <f>J81</f>
        <v/>
      </c>
      <c r="K90" s="101">
        <f>K81</f>
        <v/>
      </c>
      <c r="L90" s="101">
        <f>L81</f>
        <v/>
      </c>
      <c r="M90" s="101">
        <f>M81</f>
        <v/>
      </c>
      <c r="N90" s="101">
        <f>N81</f>
        <v/>
      </c>
      <c r="O90" s="101">
        <f>O81</f>
        <v/>
      </c>
      <c r="P90" s="101">
        <f>P81</f>
        <v/>
      </c>
      <c r="Q90" s="101">
        <f>Q81</f>
        <v/>
      </c>
      <c r="R90" s="101">
        <f>R81</f>
        <v/>
      </c>
      <c r="S90" s="101">
        <f>S81</f>
        <v/>
      </c>
      <c r="T90" s="101">
        <f>T81</f>
        <v/>
      </c>
      <c r="U90" s="101">
        <f>U81</f>
        <v/>
      </c>
      <c r="V90" s="101">
        <f>V81</f>
        <v/>
      </c>
      <c r="W90" s="101">
        <f>W81</f>
        <v/>
      </c>
      <c r="X90" s="104" t="n"/>
      <c r="Y90" s="104" t="n"/>
    </row>
    <row r="91">
      <c r="B91" s="103" t="inlineStr">
        <is>
          <t>設備折舊</t>
        </is>
      </c>
      <c r="C91" s="104" t="n"/>
      <c r="D91" s="105" t="n"/>
      <c r="E91" s="105" t="n"/>
      <c r="F91" s="105" t="n"/>
      <c r="G91" s="105" t="n"/>
      <c r="H91" s="105" t="n"/>
      <c r="I91" s="105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5" t="n"/>
      <c r="T91" s="105" t="n"/>
      <c r="U91" s="105" t="n"/>
      <c r="V91" s="105" t="n"/>
      <c r="W91" s="105" t="n"/>
      <c r="X91" s="77" t="n"/>
    </row>
    <row r="92">
      <c r="B92" s="103" t="inlineStr">
        <is>
          <t>營運活動現金流量</t>
        </is>
      </c>
      <c r="C92" s="104" t="n"/>
      <c r="D92" s="192">
        <f>SUM(D90:D91)</f>
        <v/>
      </c>
      <c r="E92" s="192">
        <f>SUM(E90:E91)</f>
        <v/>
      </c>
      <c r="F92" s="192">
        <f>SUM(F90:F91)</f>
        <v/>
      </c>
      <c r="G92" s="192">
        <f>SUM(G90:G91)</f>
        <v/>
      </c>
      <c r="H92" s="192">
        <f>SUM(H90:H91)</f>
        <v/>
      </c>
      <c r="I92" s="192">
        <f>SUM(I90:I91)</f>
        <v/>
      </c>
      <c r="J92" s="192">
        <f>SUM(J90:J91)</f>
        <v/>
      </c>
      <c r="K92" s="192">
        <f>SUM(K90:K91)</f>
        <v/>
      </c>
      <c r="L92" s="192">
        <f>SUM(L90:L91)</f>
        <v/>
      </c>
      <c r="M92" s="192">
        <f>SUM(M90:M91)</f>
        <v/>
      </c>
      <c r="N92" s="192">
        <f>SUM(N90:N91)</f>
        <v/>
      </c>
      <c r="O92" s="192">
        <f>SUM(O90:O91)</f>
        <v/>
      </c>
      <c r="P92" s="192">
        <f>SUM(P90:P91)</f>
        <v/>
      </c>
      <c r="Q92" s="192">
        <f>SUM(Q90:Q91)</f>
        <v/>
      </c>
      <c r="R92" s="192">
        <f>SUM(R90:R91)</f>
        <v/>
      </c>
      <c r="S92" s="192">
        <f>SUM(S90:S91)</f>
        <v/>
      </c>
      <c r="T92" s="192">
        <f>SUM(T90:T91)</f>
        <v/>
      </c>
      <c r="U92" s="192">
        <f>SUM(U90:U91)</f>
        <v/>
      </c>
      <c r="V92" s="192">
        <f>SUM(V90:V91)</f>
        <v/>
      </c>
      <c r="W92" s="192">
        <f>SUM(W90:W91)</f>
        <v/>
      </c>
      <c r="X92" s="107" t="n"/>
    </row>
    <row r="93">
      <c r="B93" s="103" t="n"/>
      <c r="C93" s="104" t="n"/>
      <c r="D93" s="104" t="n"/>
      <c r="E93" s="104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99" t="n"/>
    </row>
    <row r="94">
      <c r="B94" s="109" t="inlineStr">
        <is>
          <t>投資活動-設備支出</t>
        </is>
      </c>
      <c r="C94" s="110" t="n"/>
      <c r="D94" s="111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O94" s="110" t="n"/>
      <c r="P94" s="110" t="n"/>
      <c r="Q94" s="110" t="n"/>
      <c r="R94" s="110" t="n"/>
      <c r="S94" s="110" t="n"/>
      <c r="T94" s="110" t="n"/>
      <c r="U94" s="110" t="n"/>
      <c r="V94" s="110" t="n"/>
      <c r="W94" s="110" t="n"/>
      <c r="X94" s="77" t="n"/>
    </row>
    <row r="95">
      <c r="B95" s="103" t="n"/>
      <c r="C95" s="104" t="n"/>
      <c r="D95" s="104" t="n"/>
      <c r="E95" s="104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99" t="n"/>
    </row>
    <row r="96">
      <c r="B96" s="103" t="n"/>
      <c r="C96" s="104" t="n"/>
      <c r="D96" s="104" t="n"/>
      <c r="E96" s="104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99" t="n"/>
    </row>
    <row r="97">
      <c r="B97" s="109" t="inlineStr">
        <is>
          <t>理財活動-借款</t>
        </is>
      </c>
      <c r="C97" s="110" t="n"/>
      <c r="D97" s="111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O97" s="110" t="n"/>
      <c r="P97" s="110" t="n"/>
      <c r="Q97" s="110" t="n"/>
      <c r="R97" s="110" t="n"/>
      <c r="S97" s="110" t="n"/>
      <c r="T97" s="110" t="n"/>
      <c r="U97" s="110" t="n"/>
      <c r="V97" s="110" t="n"/>
      <c r="W97" s="110" t="n"/>
      <c r="X97" s="99" t="n"/>
    </row>
    <row r="98">
      <c r="B98" s="103" t="inlineStr">
        <is>
          <t>理財活動-還款</t>
        </is>
      </c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8" t="n"/>
      <c r="U98" s="108" t="n"/>
      <c r="V98" s="108" t="n"/>
      <c r="W98" s="108" t="n"/>
      <c r="X98" s="77" t="n"/>
    </row>
    <row r="99">
      <c r="B99" s="103" t="inlineStr">
        <is>
          <t>理財活動-現金增資</t>
        </is>
      </c>
      <c r="C99" s="108" t="n"/>
      <c r="D99" s="104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7" t="n"/>
    </row>
    <row r="100">
      <c r="B100" s="103" t="inlineStr">
        <is>
          <t>現金股利</t>
        </is>
      </c>
      <c r="C100" s="108" t="n"/>
      <c r="D100" s="108" t="n"/>
      <c r="E100" s="112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  <c r="U100" s="104" t="n"/>
      <c r="V100" s="108" t="n"/>
      <c r="W100" s="104" t="n"/>
      <c r="X100" s="107" t="n"/>
    </row>
    <row r="101">
      <c r="B101" s="113" t="inlineStr">
        <is>
          <t>年底減資</t>
        </is>
      </c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5" t="n"/>
      <c r="S101" s="115" t="n"/>
      <c r="T101" s="115" t="n"/>
      <c r="U101" s="115" t="n"/>
      <c r="V101" s="114" t="n"/>
      <c r="W101" s="114" t="n"/>
      <c r="X101" s="107" t="n"/>
    </row>
    <row r="102"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7" t="n"/>
    </row>
    <row r="103"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7" t="n"/>
    </row>
    <row r="104">
      <c r="B104" s="103" t="inlineStr">
        <is>
          <t>現金淨流入(出 )</t>
        </is>
      </c>
      <c r="D104" s="108" t="n"/>
      <c r="E104" s="106" t="n"/>
      <c r="F104" s="106" t="n"/>
      <c r="G104" s="106" t="n"/>
      <c r="H104" s="106" t="n"/>
      <c r="I104" s="106" t="n"/>
      <c r="J104" s="106" t="n"/>
      <c r="K104" s="106" t="n"/>
      <c r="L104" s="106" t="n"/>
      <c r="M104" s="106" t="n"/>
      <c r="N104" s="106" t="n"/>
      <c r="O104" s="106" t="n"/>
      <c r="P104" s="106" t="n"/>
      <c r="Q104" s="106" t="n"/>
      <c r="R104" s="106" t="n"/>
      <c r="S104" s="106" t="n"/>
      <c r="T104" s="106" t="n"/>
      <c r="U104" s="106" t="n"/>
      <c r="V104" s="106" t="n"/>
      <c r="W104" s="106" t="n"/>
      <c r="X104" s="107" t="n"/>
    </row>
    <row r="105">
      <c r="B105" s="103" t="inlineStr">
        <is>
          <t>期初淨現金</t>
        </is>
      </c>
      <c r="C105" s="108" t="n"/>
      <c r="D105" s="108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8" t="n"/>
      <c r="W105" s="108" t="n"/>
      <c r="X105" s="99" t="n"/>
    </row>
    <row r="106">
      <c r="B106" s="103" t="inlineStr">
        <is>
          <t>期未淨現金</t>
        </is>
      </c>
      <c r="C106" s="108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  <c r="U106" s="104" t="n"/>
      <c r="V106" s="108" t="n"/>
      <c r="W106" s="108" t="n"/>
      <c r="X106" s="99" t="n"/>
    </row>
    <row r="107">
      <c r="B107" s="103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16" t="n"/>
    </row>
    <row r="108">
      <c r="B108" s="103" t="n"/>
      <c r="C108" s="104" t="n"/>
      <c r="D108" s="104" t="n"/>
      <c r="E108" s="104" t="n"/>
      <c r="F108" s="108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16" t="n"/>
    </row>
    <row r="109">
      <c r="B109" s="117" t="inlineStr">
        <is>
          <t>成本法實際現金流</t>
        </is>
      </c>
      <c r="C109" s="118" t="n"/>
      <c r="D109" s="193">
        <f>-D97</f>
        <v/>
      </c>
      <c r="E109" s="192">
        <f>-E100-E101</f>
        <v/>
      </c>
      <c r="F109" s="192">
        <f>-F100-F101</f>
        <v/>
      </c>
      <c r="G109" s="192">
        <f>-G100-G101</f>
        <v/>
      </c>
      <c r="H109" s="192">
        <f>-H100-H101</f>
        <v/>
      </c>
      <c r="I109" s="192">
        <f>-I100-I101</f>
        <v/>
      </c>
      <c r="J109" s="192">
        <f>-J100-J101</f>
        <v/>
      </c>
      <c r="K109" s="192">
        <f>-K100-K101</f>
        <v/>
      </c>
      <c r="L109" s="192">
        <f>-L100-L101</f>
        <v/>
      </c>
      <c r="M109" s="192">
        <f>-M100-M101</f>
        <v/>
      </c>
      <c r="N109" s="192">
        <f>-N100-N101</f>
        <v/>
      </c>
      <c r="O109" s="192">
        <f>-O100-O101</f>
        <v/>
      </c>
      <c r="P109" s="192">
        <f>-P100-P101</f>
        <v/>
      </c>
      <c r="Q109" s="192">
        <f>-Q100-Q101</f>
        <v/>
      </c>
      <c r="R109" s="192">
        <f>-R100-R101</f>
        <v/>
      </c>
      <c r="S109" s="192">
        <f>-S100-S101</f>
        <v/>
      </c>
      <c r="T109" s="192">
        <f>-T100-T101</f>
        <v/>
      </c>
      <c r="U109" s="192">
        <f>-U100-U101</f>
        <v/>
      </c>
      <c r="V109" s="192">
        <f>-V100-V101</f>
        <v/>
      </c>
      <c r="W109" s="192">
        <f>-W100-W101</f>
        <v/>
      </c>
      <c r="X109" s="192">
        <f>-X100-X101</f>
        <v/>
      </c>
    </row>
    <row r="110">
      <c r="B110" s="103" t="inlineStr">
        <is>
          <t>成本法IRR</t>
        </is>
      </c>
      <c r="C110" s="120">
        <f>IRR(D109:X109)</f>
        <v/>
      </c>
      <c r="D110" s="150" t="n"/>
      <c r="E110" s="150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  <c r="U110" s="104" t="n"/>
      <c r="V110" s="104" t="n"/>
      <c r="W110" s="104" t="n"/>
      <c r="X110" s="116" t="n"/>
    </row>
    <row r="111">
      <c r="B111" s="117" t="inlineStr">
        <is>
          <t>權益法實際現金流</t>
        </is>
      </c>
      <c r="C111" s="118" t="n"/>
      <c r="D111" s="193">
        <f>D90-D99</f>
        <v/>
      </c>
      <c r="E111" s="192">
        <f>E90</f>
        <v/>
      </c>
      <c r="F111" s="192">
        <f>F90</f>
        <v/>
      </c>
      <c r="G111" s="192">
        <f>G90</f>
        <v/>
      </c>
      <c r="H111" s="192">
        <f>H90</f>
        <v/>
      </c>
      <c r="I111" s="192">
        <f>I90</f>
        <v/>
      </c>
      <c r="J111" s="192">
        <f>J90</f>
        <v/>
      </c>
      <c r="K111" s="192">
        <f>K90</f>
        <v/>
      </c>
      <c r="L111" s="192">
        <f>L90</f>
        <v/>
      </c>
      <c r="M111" s="192">
        <f>M90</f>
        <v/>
      </c>
      <c r="N111" s="192">
        <f>N90</f>
        <v/>
      </c>
      <c r="O111" s="192">
        <f>O90</f>
        <v/>
      </c>
      <c r="P111" s="192">
        <f>P90</f>
        <v/>
      </c>
      <c r="Q111" s="192">
        <f>Q90</f>
        <v/>
      </c>
      <c r="R111" s="192">
        <f>R90</f>
        <v/>
      </c>
      <c r="S111" s="192">
        <f>S90</f>
        <v/>
      </c>
      <c r="T111" s="192">
        <f>T90</f>
        <v/>
      </c>
      <c r="U111" s="192">
        <f>U90</f>
        <v/>
      </c>
      <c r="V111" s="192">
        <f>V90</f>
        <v/>
      </c>
      <c r="W111" s="192">
        <f>W90</f>
        <v/>
      </c>
      <c r="X111" s="77" t="n"/>
    </row>
    <row r="112">
      <c r="B112" s="117" t="inlineStr">
        <is>
          <t>權益法IRR</t>
        </is>
      </c>
      <c r="C112" s="120">
        <f>IRR(D111:W111)</f>
        <v/>
      </c>
      <c r="D112" s="150" t="n"/>
      <c r="E112" s="150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  <c r="U112" s="104" t="n"/>
      <c r="V112" s="104" t="n"/>
      <c r="W112" s="104" t="n"/>
      <c r="X112" s="116" t="n"/>
    </row>
    <row r="113">
      <c r="B113" s="103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16" t="n"/>
    </row>
    <row r="114">
      <c r="B114" s="103" t="inlineStr">
        <is>
          <t>借款餘額</t>
        </is>
      </c>
      <c r="C114" s="108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8" t="n"/>
      <c r="U114" s="108" t="n"/>
      <c r="V114" s="108" t="n"/>
      <c r="W114" s="108" t="n"/>
      <c r="X114" s="108" t="n"/>
    </row>
    <row r="115"/>
    <row r="116">
      <c r="B116" s="122" t="n"/>
    </row>
    <row r="117" ht="16.5" customHeight="1">
      <c r="G117" s="6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0.5703125" customWidth="1" min="1" max="1"/>
    <col width="33.140625" customWidth="1" min="2" max="2"/>
    <col width="19.42578125" customWidth="1" min="3" max="3"/>
    <col width="17.85546875" customWidth="1" min="4" max="4"/>
    <col width="17.85546875" customWidth="1" min="24" max="24"/>
    <col width="30" customWidth="1" min="25" max="25"/>
    <col width="13.5703125" customWidth="1" min="26" max="26"/>
    <col width="19.5703125" customWidth="1" min="30" max="30"/>
    <col width="20.5703125" customWidth="1" min="31" max="31"/>
    <col width="20.28515625" customWidth="1" min="32" max="32"/>
    <col width="20.85546875" customWidth="1" min="33" max="33"/>
    <col width="15.5703125" customWidth="1" min="34" max="34"/>
    <col width="36.85546875" customWidth="1" min="35" max="35"/>
    <col width="32.5703125" customWidth="1" min="36" max="36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2</t>
        </is>
      </c>
    </row>
    <row r="5" ht="22.5" customHeight="1">
      <c r="B5" s="161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第1次滾算摘要</t>
        </is>
      </c>
    </row>
    <row r="6" ht="20.25" customHeight="1">
      <c r="B6" s="162" t="n"/>
      <c r="C6" s="163" t="n"/>
      <c r="D6" s="163" t="n"/>
      <c r="E6" s="163" t="n"/>
      <c r="M6" t="inlineStr">
        <is>
          <t>價金: 28000</t>
        </is>
      </c>
    </row>
    <row r="7" ht="22.5" customHeight="1">
      <c r="B7" s="164" t="inlineStr">
        <is>
          <t>綜合損益表</t>
        </is>
      </c>
      <c r="C7" s="153" t="n"/>
      <c r="D7" s="153" t="n"/>
      <c r="E7" s="154" t="n"/>
      <c r="M7" t="inlineStr">
        <is>
          <t>專案IRR: 4.98</t>
        </is>
      </c>
    </row>
    <row r="8" ht="22.5" customHeight="1">
      <c r="B8" s="165" t="inlineStr">
        <is>
          <t>收入</t>
        </is>
      </c>
      <c r="C8" s="166" t="n"/>
      <c r="D8" s="166" t="n"/>
      <c r="E8" s="167" t="n"/>
      <c r="M8" t="inlineStr">
        <is>
          <t>權益法IRR: 13.18</t>
        </is>
      </c>
    </row>
    <row r="9" ht="22.5" customHeight="1">
      <c r="B9" s="168" t="inlineStr">
        <is>
          <t>收支項目</t>
        </is>
      </c>
      <c r="C9" s="169" t="inlineStr">
        <is>
          <t>相關參數</t>
        </is>
      </c>
      <c r="D9" s="169" t="inlineStr">
        <is>
          <t>參數數值</t>
        </is>
      </c>
      <c r="E9" s="170" t="inlineStr">
        <is>
          <t>年限</t>
        </is>
      </c>
      <c r="M9" t="inlineStr">
        <is>
          <t>利潤率: 20.00%</t>
        </is>
      </c>
    </row>
    <row r="10" ht="21.75" customHeight="1">
      <c r="B10" s="171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72" t="n">
        <v>20</v>
      </c>
      <c r="M10" t="inlineStr">
        <is>
          <t>第1次滾算，減少 1000 元 - 現金模式，每次減少 1000 元</t>
        </is>
      </c>
    </row>
    <row r="11" ht="21.75" customHeight="1">
      <c r="B11" s="173" t="n"/>
      <c r="C11" s="159" t="inlineStr">
        <is>
          <t>首年衰退率</t>
        </is>
      </c>
      <c r="D11" s="174" t="n">
        <v>0.01</v>
      </c>
      <c r="E11" s="173" t="n"/>
    </row>
    <row r="12" ht="21.75" customHeight="1">
      <c r="B12" s="173" t="n"/>
      <c r="C12" s="159" t="inlineStr">
        <is>
          <t>次年衰退率</t>
        </is>
      </c>
      <c r="D12" s="175" t="n">
        <v>0.004</v>
      </c>
      <c r="E12" s="173" t="n"/>
    </row>
    <row r="13" ht="22.5" customHeight="1">
      <c r="B13" s="173" t="n"/>
      <c r="C13" s="176" t="inlineStr">
        <is>
          <t>躉售費率(FIT)</t>
        </is>
      </c>
      <c r="D13" s="176" t="n">
        <v>3.7152</v>
      </c>
      <c r="E13" s="173" t="n"/>
    </row>
    <row r="14" ht="22.5" customHeight="1">
      <c r="B14" s="177" t="inlineStr">
        <is>
          <t>支出</t>
        </is>
      </c>
      <c r="C14" s="153" t="n"/>
      <c r="D14" s="153" t="n"/>
      <c r="E14" s="154" t="n"/>
    </row>
    <row r="15" ht="22.5" customHeight="1">
      <c r="B15" s="168" t="inlineStr">
        <is>
          <t>收支項目</t>
        </is>
      </c>
      <c r="C15" s="169" t="inlineStr">
        <is>
          <t>相關參數</t>
        </is>
      </c>
      <c r="D15" s="169" t="inlineStr">
        <is>
          <t>參數數值</t>
        </is>
      </c>
      <c r="E15" s="178" t="inlineStr">
        <is>
          <t>攤提年限</t>
        </is>
      </c>
    </row>
    <row r="16" ht="21.75" customHeight="1">
      <c r="B16" s="179" t="inlineStr">
        <is>
          <t>設備費用(價金)</t>
        </is>
      </c>
      <c r="C16" s="180" t="inlineStr">
        <is>
          <t>每kWp設備成本</t>
        </is>
      </c>
      <c r="D16" s="156" t="n">
        <v>28000</v>
      </c>
      <c r="E16" s="181" t="n">
        <v>20</v>
      </c>
    </row>
    <row r="17" ht="21.75" customHeight="1">
      <c r="B17" s="173" t="n"/>
      <c r="C17" s="159" t="inlineStr">
        <is>
          <t>信邦利潤率</t>
        </is>
      </c>
      <c r="D17" s="159" t="n">
        <v>0.2</v>
      </c>
      <c r="E17" s="173" t="n"/>
    </row>
    <row r="18" ht="21.75" customHeight="1">
      <c r="B18" s="182" t="n"/>
      <c r="C18" s="159" t="inlineStr">
        <is>
          <t>開發費</t>
        </is>
      </c>
      <c r="D18" s="159" t="n">
        <v>2000</v>
      </c>
      <c r="E18" s="182" t="n"/>
    </row>
    <row r="19" ht="54" customHeight="1">
      <c r="B19" s="183" t="inlineStr">
        <is>
          <t>租金費用</t>
        </is>
      </c>
      <c r="C19" s="184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3" t="n"/>
      <c r="C20" s="185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82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61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61" t="inlineStr">
        <is>
          <t>保險費用</t>
        </is>
      </c>
      <c r="C23" s="186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61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61" t="inlineStr">
        <is>
          <t>利息費用</t>
        </is>
      </c>
      <c r="C25" s="159" t="inlineStr">
        <is>
          <t>銀行利率</t>
        </is>
      </c>
      <c r="D25" s="187" t="n">
        <v>0.025595</v>
      </c>
      <c r="E25" s="160" t="n">
        <v>0</v>
      </c>
    </row>
    <row r="26" ht="22.5" customHeight="1">
      <c r="B26" s="161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2" t="n"/>
      <c r="C27" s="163" t="n"/>
      <c r="D27" s="163" t="n"/>
      <c r="E27" s="163" t="n"/>
    </row>
    <row r="28" ht="20.25" customHeight="1">
      <c r="B28" s="162" t="n"/>
      <c r="C28" s="163" t="n"/>
      <c r="D28" s="163" t="n"/>
      <c r="E28" s="163" t="n"/>
    </row>
    <row r="29" ht="22.5" customHeight="1">
      <c r="B29" s="164" t="inlineStr">
        <is>
          <t>現金流量表</t>
        </is>
      </c>
      <c r="C29" s="153" t="n"/>
      <c r="D29" s="154" t="n"/>
      <c r="E29" s="163" t="n"/>
    </row>
    <row r="30" ht="22.5" customHeight="1">
      <c r="B30" s="168" t="inlineStr">
        <is>
          <t>金流項目</t>
        </is>
      </c>
      <c r="C30" s="169" t="inlineStr">
        <is>
          <t>相關參數</t>
        </is>
      </c>
      <c r="D30" s="178" t="inlineStr">
        <is>
          <t>參數數值</t>
        </is>
      </c>
      <c r="E30" s="163" t="n"/>
    </row>
    <row r="31" ht="18.75" customHeight="1">
      <c r="B31" s="155" t="inlineStr">
        <is>
          <t>貸款成數</t>
        </is>
      </c>
      <c r="C31" s="180" t="inlineStr">
        <is>
          <t>占總設備費用比例</t>
        </is>
      </c>
      <c r="D31" s="156" t="n">
        <v>0.8</v>
      </c>
      <c r="E31" s="163" t="n"/>
    </row>
    <row r="32" ht="18.75" customHeight="1">
      <c r="B32" s="188" t="inlineStr">
        <is>
          <t>貸款還款</t>
        </is>
      </c>
      <c r="C32" s="156" t="inlineStr">
        <is>
          <t>攤還期數</t>
        </is>
      </c>
      <c r="D32" s="156" t="n">
        <v>15</v>
      </c>
      <c r="E32" s="163" t="n"/>
    </row>
    <row r="33" ht="18.75" customHeight="1">
      <c r="B33" s="161" t="inlineStr">
        <is>
          <t>現金股利</t>
        </is>
      </c>
      <c r="C33" s="159" t="inlineStr">
        <is>
          <t>股利比率</t>
        </is>
      </c>
      <c r="D33" s="159" t="n">
        <v>0.9</v>
      </c>
      <c r="E33" s="163" t="n"/>
    </row>
    <row r="34" ht="18.75" customHeight="1">
      <c r="B34" s="161" t="inlineStr">
        <is>
          <t>年底減資</t>
        </is>
      </c>
      <c r="C34" s="159" t="inlineStr">
        <is>
          <t>攤還期數</t>
        </is>
      </c>
      <c r="D34" s="159" t="n">
        <v>4</v>
      </c>
      <c r="E34" s="163" t="n"/>
    </row>
    <row r="35" ht="18.75" customHeight="1"/>
    <row r="36" ht="18.75" customHeight="1"/>
    <row r="37" ht="18.75" customHeight="1">
      <c r="B37" s="28" t="n"/>
      <c r="C37" s="29" t="inlineStr">
        <is>
          <t>年份</t>
        </is>
      </c>
      <c r="D37" s="29" t="n">
        <v>2020</v>
      </c>
      <c r="E37" s="29" t="n">
        <v>2021</v>
      </c>
      <c r="F37" s="29" t="n">
        <v>2022</v>
      </c>
      <c r="G37" s="29" t="n">
        <v>2023</v>
      </c>
      <c r="H37" s="29" t="n">
        <v>2024</v>
      </c>
      <c r="I37" s="29" t="n">
        <v>2025</v>
      </c>
      <c r="J37" s="29" t="n">
        <v>2026</v>
      </c>
      <c r="K37" s="29" t="n">
        <v>2027</v>
      </c>
      <c r="L37" s="29" t="n">
        <v>2028</v>
      </c>
      <c r="M37" s="29" t="n">
        <v>2029</v>
      </c>
      <c r="N37" s="29" t="n">
        <v>2030</v>
      </c>
      <c r="O37" s="29" t="n">
        <v>2031</v>
      </c>
      <c r="P37" s="29" t="n">
        <v>2032</v>
      </c>
      <c r="Q37" s="29" t="n">
        <v>2033</v>
      </c>
      <c r="R37" s="29" t="n">
        <v>2034</v>
      </c>
      <c r="S37" s="29" t="n">
        <v>2035</v>
      </c>
      <c r="T37" s="29" t="n">
        <v>2036</v>
      </c>
      <c r="U37" s="29" t="n">
        <v>2037</v>
      </c>
      <c r="V37" s="29" t="n">
        <v>2038</v>
      </c>
      <c r="W37" s="29" t="n">
        <v>2039</v>
      </c>
      <c r="X37" s="30" t="n"/>
    </row>
    <row r="38" ht="18.75" customHeight="1">
      <c r="B38" s="31" t="n">
        <v>0</v>
      </c>
      <c r="C38" s="32" t="n"/>
      <c r="D38" s="33" t="n"/>
      <c r="E38" s="33" t="n"/>
      <c r="F38" s="34" t="inlineStr">
        <is>
          <t>手動計算值</t>
        </is>
      </c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6" t="inlineStr">
        <is>
          <t>償還年限</t>
        </is>
      </c>
      <c r="U38" s="35" t="n"/>
      <c r="V38" s="35" t="n"/>
      <c r="W38" s="35" t="n"/>
      <c r="X38" s="37" t="n"/>
    </row>
    <row r="39" ht="18.75" customHeight="1">
      <c r="B39" s="38" t="inlineStr">
        <is>
          <t>(Unit : Currency)</t>
        </is>
      </c>
      <c r="C39" s="39" t="n">
        <v>0</v>
      </c>
      <c r="D39" s="40" t="n">
        <v>1</v>
      </c>
      <c r="E39" s="40" t="n">
        <v>2</v>
      </c>
      <c r="F39" s="40" t="n">
        <v>3</v>
      </c>
      <c r="G39" s="40" t="n">
        <v>4</v>
      </c>
      <c r="H39" s="40" t="n">
        <v>5</v>
      </c>
      <c r="I39" s="40" t="n">
        <v>6</v>
      </c>
      <c r="J39" s="40" t="n">
        <v>7</v>
      </c>
      <c r="K39" s="40" t="n">
        <v>8</v>
      </c>
      <c r="L39" s="40" t="n">
        <v>9</v>
      </c>
      <c r="M39" s="40" t="n">
        <v>10</v>
      </c>
      <c r="N39" s="40" t="n">
        <v>11</v>
      </c>
      <c r="O39" s="40" t="n">
        <v>12</v>
      </c>
      <c r="P39" s="40" t="n">
        <v>13</v>
      </c>
      <c r="Q39" s="40" t="n">
        <v>14</v>
      </c>
      <c r="R39" s="40" t="n">
        <v>15</v>
      </c>
      <c r="S39" s="40" t="n">
        <v>16</v>
      </c>
      <c r="T39" s="41" t="n">
        <v>17</v>
      </c>
      <c r="U39" s="40" t="n">
        <v>18</v>
      </c>
      <c r="V39" s="40" t="n">
        <v>19</v>
      </c>
      <c r="W39" s="40" t="n">
        <v>20</v>
      </c>
      <c r="X39" s="42" t="n"/>
    </row>
    <row r="40" ht="18.75" customHeight="1">
      <c r="B40" s="43" t="inlineStr">
        <is>
          <t>發電度數(KWH)</t>
        </is>
      </c>
      <c r="C40" s="39" t="n">
        <v>0</v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4" t="n"/>
    </row>
    <row r="41" ht="18.75" customHeight="1">
      <c r="B41" s="45" t="inlineStr">
        <is>
          <t>Inflow : 電費收入</t>
        </is>
      </c>
      <c r="C41" s="46" t="inlineStr">
        <is>
          <t>-</t>
        </is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8" t="n"/>
    </row>
    <row r="42" ht="18.75" customHeight="1">
      <c r="B42" s="49" t="inlineStr">
        <is>
          <t>Inflow : 政府補助</t>
        </is>
      </c>
      <c r="C42" s="39" t="inlineStr">
        <is>
          <t>-</t>
        </is>
      </c>
      <c r="D42" s="40" t="n"/>
      <c r="E42" s="40" t="n"/>
      <c r="F42" s="40" t="n"/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40" t="inlineStr">
        <is>
          <t>-</t>
        </is>
      </c>
      <c r="X42" s="50" t="n"/>
    </row>
    <row r="43" ht="18.75" customHeight="1">
      <c r="B43" s="51" t="inlineStr">
        <is>
          <t>Inflow : 銀行借款</t>
        </is>
      </c>
      <c r="C43" s="52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4" t="n"/>
    </row>
    <row r="44" ht="18.75" customHeight="1">
      <c r="B44" s="55" t="inlineStr">
        <is>
          <t>Outflow : 設備費用</t>
        </is>
      </c>
      <c r="C44" s="39" t="n"/>
      <c r="D44" s="56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50" t="n"/>
    </row>
    <row r="45" ht="18.75" customHeight="1">
      <c r="B45" s="55" t="inlineStr">
        <is>
          <t>Outflow : 設備放置區域租金</t>
        </is>
      </c>
      <c r="C45" s="39" t="inlineStr">
        <is>
          <t>-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50" t="n"/>
    </row>
    <row r="46" ht="18.75" customHeight="1">
      <c r="B46" s="55" t="inlineStr">
        <is>
          <t>Outflow : 返還借款</t>
        </is>
      </c>
      <c r="C46" s="39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50" t="n"/>
    </row>
    <row r="47" ht="18.75" customHeight="1">
      <c r="B47" s="55" t="inlineStr">
        <is>
          <t>Outflow : 利息費用</t>
        </is>
      </c>
      <c r="C47" s="39" t="inlineStr">
        <is>
          <t>-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50" t="n"/>
    </row>
    <row r="48" ht="18.75" customHeight="1">
      <c r="B48" s="55" t="inlineStr">
        <is>
          <t>Outflow : 維運費</t>
        </is>
      </c>
      <c r="C48" s="39" t="inlineStr">
        <is>
          <t>-</t>
        </is>
      </c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50" t="n"/>
    </row>
    <row r="49" ht="18.75" customHeight="1">
      <c r="B49" s="55" t="inlineStr">
        <is>
          <t>Outflow : 保險費</t>
        </is>
      </c>
      <c r="C49" s="39" t="inlineStr">
        <is>
          <t>-</t>
        </is>
      </c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50" t="n"/>
    </row>
    <row r="50" ht="18.75" customHeight="1">
      <c r="B50" s="55" t="inlineStr">
        <is>
          <t>Outflow : 模組回收費</t>
        </is>
      </c>
      <c r="C50" s="39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50" t="n"/>
    </row>
    <row r="51" ht="18.75" customHeight="1">
      <c r="B51" s="55" t="inlineStr">
        <is>
          <t>Outflow : 其它費用(人事薪資…等)</t>
        </is>
      </c>
      <c r="C51" s="57" t="n"/>
      <c r="D51" s="58" t="n"/>
      <c r="E51" s="59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50" t="n"/>
    </row>
    <row r="52" ht="18.75" customHeight="1">
      <c r="B52" s="55" t="inlineStr">
        <is>
          <t>1%管理費</t>
        </is>
      </c>
      <c r="C52" s="57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50" t="n"/>
    </row>
    <row r="53" ht="18.75" customHeight="1">
      <c r="B53" s="60" t="inlineStr">
        <is>
          <t>績效獎金</t>
        </is>
      </c>
      <c r="C53" s="57" t="n"/>
      <c r="D53" s="61" t="n"/>
      <c r="E53" s="61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50" t="n"/>
    </row>
    <row r="54" ht="18.75" customHeight="1">
      <c r="B54" s="60" t="inlineStr">
        <is>
          <t>所得稅20%</t>
        </is>
      </c>
      <c r="C54" s="57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50" t="n"/>
    </row>
    <row r="55" ht="18.75" customHeight="1">
      <c r="B55" s="189" t="inlineStr">
        <is>
          <t>現金流</t>
        </is>
      </c>
      <c r="C55" s="71">
        <f>C44</f>
        <v/>
      </c>
      <c r="D55" s="66">
        <f>SUM(D41:D54)</f>
        <v/>
      </c>
      <c r="E55" s="66">
        <f>SUM(E41:E54)</f>
        <v/>
      </c>
      <c r="F55" s="66">
        <f>SUM(F41:F54)</f>
        <v/>
      </c>
      <c r="G55" s="66">
        <f>SUM(G41:G54)</f>
        <v/>
      </c>
      <c r="H55" s="66">
        <f>SUM(H41:H54)</f>
        <v/>
      </c>
      <c r="I55" s="66">
        <f>SUM(I41:I54)</f>
        <v/>
      </c>
      <c r="J55" s="66">
        <f>SUM(J41:J54)</f>
        <v/>
      </c>
      <c r="K55" s="66">
        <f>SUM(K41:K54)</f>
        <v/>
      </c>
      <c r="L55" s="66">
        <f>SUM(L41:L54)</f>
        <v/>
      </c>
      <c r="M55" s="66">
        <f>SUM(M41:M54)</f>
        <v/>
      </c>
      <c r="N55" s="66">
        <f>SUM(N41:N54)</f>
        <v/>
      </c>
      <c r="O55" s="66">
        <f>SUM(O41:O54)</f>
        <v/>
      </c>
      <c r="P55" s="66">
        <f>SUM(P41:P54)</f>
        <v/>
      </c>
      <c r="Q55" s="66">
        <f>SUM(Q41:Q54)</f>
        <v/>
      </c>
      <c r="R55" s="66">
        <f>SUM(R41:R54)</f>
        <v/>
      </c>
      <c r="S55" s="66">
        <f>SUM(S41:S54)</f>
        <v/>
      </c>
      <c r="T55" s="66">
        <f>SUM(T41:T54)</f>
        <v/>
      </c>
      <c r="U55" s="66">
        <f>SUM(U41:U54)</f>
        <v/>
      </c>
      <c r="V55" s="66">
        <f>SUM(V41:V54)</f>
        <v/>
      </c>
      <c r="W55" s="66">
        <f>SUM(W41:W54)</f>
        <v/>
      </c>
      <c r="X55" s="66">
        <f>SUM(X41:X54)</f>
        <v/>
      </c>
      <c r="Y55" s="68" t="n"/>
      <c r="Z55" s="69" t="n"/>
      <c r="AA55" s="68" t="n"/>
      <c r="AB55" s="68" t="n"/>
      <c r="AC55" s="68" t="n"/>
      <c r="AD55" s="68" t="n"/>
      <c r="AE55" s="68" t="n"/>
      <c r="AF55" s="68" t="n"/>
      <c r="AG55" s="68" t="n"/>
      <c r="AH55" s="68" t="n"/>
      <c r="AI55" s="68" t="n"/>
      <c r="AJ55" s="68" t="n"/>
    </row>
    <row r="56" ht="18.75" customHeight="1">
      <c r="B56" s="70" t="inlineStr">
        <is>
          <t>累計現金流</t>
        </is>
      </c>
      <c r="D56" s="72">
        <f>C55+D55</f>
        <v/>
      </c>
      <c r="E56" s="72">
        <f>D56+E55</f>
        <v/>
      </c>
      <c r="F56" s="72">
        <f>E56+F55</f>
        <v/>
      </c>
      <c r="G56" s="72">
        <f>F56+G55</f>
        <v/>
      </c>
      <c r="H56" s="72">
        <f>G56+H55</f>
        <v/>
      </c>
      <c r="I56" s="72">
        <f>H56+I55</f>
        <v/>
      </c>
      <c r="J56" s="72">
        <f>I56+J55</f>
        <v/>
      </c>
      <c r="K56" s="72">
        <f>J56+K55</f>
        <v/>
      </c>
      <c r="L56" s="72">
        <f>K56+L55</f>
        <v/>
      </c>
      <c r="M56" s="72">
        <f>L56+M55</f>
        <v/>
      </c>
      <c r="N56" s="72">
        <f>M56+N55</f>
        <v/>
      </c>
      <c r="O56" s="72">
        <f>N56+O55</f>
        <v/>
      </c>
      <c r="P56" s="72">
        <f>O56+P55</f>
        <v/>
      </c>
      <c r="Q56" s="72">
        <f>P56+Q55</f>
        <v/>
      </c>
      <c r="R56" s="72">
        <f>Q56+R55</f>
        <v/>
      </c>
      <c r="S56" s="72">
        <f>R56+S55</f>
        <v/>
      </c>
      <c r="T56" s="72">
        <f>S56+T55</f>
        <v/>
      </c>
      <c r="U56" s="72">
        <f>T56+U55</f>
        <v/>
      </c>
      <c r="V56" s="72">
        <f>U56+V55</f>
        <v/>
      </c>
      <c r="W56" s="72">
        <f>V56+W55</f>
        <v/>
      </c>
      <c r="X56" s="72">
        <f>W56+X55</f>
        <v/>
      </c>
      <c r="Y56" s="68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  <c r="AJ56" s="68" t="n"/>
    </row>
    <row r="57" ht="18.75" customHeight="1">
      <c r="B57" s="74" t="inlineStr">
        <is>
          <t>Discounted cash flow</t>
        </is>
      </c>
      <c r="C57" s="75" t="n">
        <v>-37721416.4</v>
      </c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  <c r="AJ57" s="68" t="n"/>
    </row>
    <row r="58" ht="18.75" customHeight="1">
      <c r="B58" s="74" t="inlineStr">
        <is>
          <t>Minus : Depreciation</t>
        </is>
      </c>
      <c r="C58" s="79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  <c r="W58" s="61" t="n"/>
      <c r="X58" s="80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  <c r="AJ58" s="68" t="n"/>
    </row>
    <row r="59" ht="18.75" customHeight="1">
      <c r="B59" s="74" t="inlineStr">
        <is>
          <t>Plus : Principle payment</t>
        </is>
      </c>
      <c r="C59" s="79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61" t="n"/>
      <c r="U59" s="61" t="n"/>
      <c r="V59" s="61" t="n"/>
      <c r="W59" s="61" t="n"/>
      <c r="X59" s="80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  <c r="AJ59" s="68" t="n"/>
    </row>
    <row r="60" ht="18.75" customHeight="1">
      <c r="B60" s="81" t="inlineStr">
        <is>
          <t>Profit</t>
        </is>
      </c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85" t="inlineStr">
        <is>
          <t>EPS</t>
        </is>
      </c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  <c r="AJ61" s="68" t="n"/>
    </row>
    <row r="62" ht="18.75" customHeight="1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  <c r="AJ62" s="68" t="n"/>
    </row>
    <row r="63" ht="18.75" customHeight="1">
      <c r="B63" s="190" t="inlineStr">
        <is>
          <t>專案法IRR</t>
        </is>
      </c>
      <c r="C63" s="149">
        <f>IRR(C55:X55)</f>
        <v/>
      </c>
      <c r="D63" s="149" t="n"/>
      <c r="E63" s="14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95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  <c r="AJ63" s="68" t="n"/>
    </row>
    <row r="64" ht="18.75" customHeight="1">
      <c r="B64" s="28" t="n"/>
      <c r="C64" s="149" t="n"/>
      <c r="D64" s="149" t="n"/>
      <c r="E64" s="149" t="n"/>
      <c r="F64" s="59" t="n"/>
      <c r="G64" s="59" t="n"/>
      <c r="H64" s="59" t="n"/>
      <c r="I64" s="59" t="n"/>
      <c r="J64" s="59" t="n"/>
      <c r="K64" s="59" t="n"/>
      <c r="L64" s="59" t="n"/>
      <c r="M64" s="96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95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  <c r="AJ64" s="68" t="n"/>
    </row>
    <row r="65" ht="18.75" customHeight="1">
      <c r="B65" s="28" t="n"/>
      <c r="C65" s="29" t="inlineStr">
        <is>
          <t>年份</t>
        </is>
      </c>
      <c r="D65" s="29" t="n">
        <v>2020</v>
      </c>
      <c r="E65" s="29" t="n">
        <v>2021</v>
      </c>
      <c r="F65" s="29" t="n">
        <v>2022</v>
      </c>
      <c r="G65" s="29" t="n">
        <v>2023</v>
      </c>
      <c r="H65" s="29" t="n">
        <v>2024</v>
      </c>
      <c r="I65" s="29" t="n">
        <v>2025</v>
      </c>
      <c r="J65" s="29" t="n">
        <v>2026</v>
      </c>
      <c r="K65" s="29" t="n">
        <v>2027</v>
      </c>
      <c r="L65" s="29" t="n">
        <v>2028</v>
      </c>
      <c r="M65" s="29" t="n">
        <v>2029</v>
      </c>
      <c r="N65" s="29" t="n">
        <v>2030</v>
      </c>
      <c r="O65" s="29" t="n">
        <v>2031</v>
      </c>
      <c r="P65" s="29" t="n">
        <v>2032</v>
      </c>
      <c r="Q65" s="29" t="n">
        <v>2033</v>
      </c>
      <c r="R65" s="29" t="n">
        <v>2034</v>
      </c>
      <c r="S65" s="29" t="n">
        <v>2035</v>
      </c>
      <c r="T65" s="29" t="n">
        <v>2036</v>
      </c>
      <c r="U65" s="29" t="n">
        <v>2037</v>
      </c>
      <c r="V65" s="29" t="n">
        <v>2038</v>
      </c>
      <c r="W65" s="29" t="n">
        <v>2039</v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 ht="18.75" customHeight="1">
      <c r="B66" s="31" t="n">
        <v>0</v>
      </c>
      <c r="C66" s="32" t="n"/>
      <c r="D66" s="33" t="n"/>
      <c r="E66" s="33" t="n"/>
      <c r="F66" s="34" t="inlineStr">
        <is>
          <t>手動計算值</t>
        </is>
      </c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6" t="inlineStr">
        <is>
          <t>償還年限</t>
        </is>
      </c>
      <c r="U66" s="35" t="n"/>
      <c r="V66" s="35" t="n"/>
      <c r="W66" s="35" t="n"/>
      <c r="X66" s="37" t="n"/>
    </row>
    <row r="67" ht="18.75" customHeight="1">
      <c r="B67" s="38" t="inlineStr">
        <is>
          <t>(Unit : Currency)</t>
        </is>
      </c>
      <c r="C67" s="39" t="n">
        <v>0</v>
      </c>
      <c r="D67" s="40" t="n">
        <v>1</v>
      </c>
      <c r="E67" s="40" t="n">
        <v>2</v>
      </c>
      <c r="F67" s="40" t="n">
        <v>3</v>
      </c>
      <c r="G67" s="40" t="n">
        <v>4</v>
      </c>
      <c r="H67" s="40" t="n">
        <v>5</v>
      </c>
      <c r="I67" s="40" t="n">
        <v>6</v>
      </c>
      <c r="J67" s="40" t="n">
        <v>7</v>
      </c>
      <c r="K67" s="40" t="n">
        <v>8</v>
      </c>
      <c r="L67" s="40" t="n">
        <v>9</v>
      </c>
      <c r="M67" s="40" t="n">
        <v>10</v>
      </c>
      <c r="N67" s="40" t="n">
        <v>11</v>
      </c>
      <c r="O67" s="40" t="n">
        <v>12</v>
      </c>
      <c r="P67" s="40" t="n">
        <v>13</v>
      </c>
      <c r="Q67" s="40" t="n">
        <v>14</v>
      </c>
      <c r="R67" s="40" t="n">
        <v>15</v>
      </c>
      <c r="S67" s="40" t="n">
        <v>16</v>
      </c>
      <c r="T67" s="41" t="n">
        <v>17</v>
      </c>
      <c r="U67" s="40" t="n">
        <v>18</v>
      </c>
      <c r="V67" s="40" t="n">
        <v>19</v>
      </c>
      <c r="W67" s="40" t="n">
        <v>20</v>
      </c>
      <c r="X67" s="42" t="n"/>
    </row>
    <row r="68" ht="18.75" customHeight="1">
      <c r="B68" s="43" t="inlineStr">
        <is>
          <t>發電度數(KWH)</t>
        </is>
      </c>
      <c r="C68" s="39" t="n">
        <v>0</v>
      </c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4" t="n"/>
    </row>
    <row r="69" ht="18.75" customHeight="1">
      <c r="B69" s="45" t="inlineStr">
        <is>
          <t>Inflow : 電費收入</t>
        </is>
      </c>
      <c r="C69" s="46" t="inlineStr">
        <is>
          <t>-</t>
        </is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8" t="n"/>
    </row>
    <row r="70" ht="18.75" customHeight="1">
      <c r="B70" s="49" t="inlineStr">
        <is>
          <t>Inflow : 政府補助</t>
        </is>
      </c>
      <c r="C70" s="39" t="inlineStr">
        <is>
          <t>-</t>
        </is>
      </c>
      <c r="D70" s="40" t="n"/>
      <c r="E70" s="40" t="n"/>
      <c r="F70" s="40" t="n"/>
      <c r="G70" s="40" t="inlineStr">
        <is>
          <t>-</t>
        </is>
      </c>
      <c r="H70" s="40" t="inlineStr">
        <is>
          <t>-</t>
        </is>
      </c>
      <c r="I70" s="40" t="inlineStr">
        <is>
          <t>-</t>
        </is>
      </c>
      <c r="J70" s="40" t="inlineStr">
        <is>
          <t>-</t>
        </is>
      </c>
      <c r="K70" s="40" t="inlineStr">
        <is>
          <t>-</t>
        </is>
      </c>
      <c r="L70" s="40" t="inlineStr">
        <is>
          <t>-</t>
        </is>
      </c>
      <c r="M70" s="40" t="inlineStr">
        <is>
          <t>-</t>
        </is>
      </c>
      <c r="N70" s="40" t="inlineStr">
        <is>
          <t>-</t>
        </is>
      </c>
      <c r="O70" s="40" t="inlineStr">
        <is>
          <t>-</t>
        </is>
      </c>
      <c r="P70" s="40" t="inlineStr">
        <is>
          <t>-</t>
        </is>
      </c>
      <c r="Q70" s="40" t="inlineStr">
        <is>
          <t>-</t>
        </is>
      </c>
      <c r="R70" s="40" t="inlineStr">
        <is>
          <t>-</t>
        </is>
      </c>
      <c r="S70" s="40" t="inlineStr">
        <is>
          <t>-</t>
        </is>
      </c>
      <c r="T70" s="40" t="inlineStr">
        <is>
          <t>-</t>
        </is>
      </c>
      <c r="U70" s="40" t="inlineStr">
        <is>
          <t>-</t>
        </is>
      </c>
      <c r="V70" s="40" t="inlineStr">
        <is>
          <t>-</t>
        </is>
      </c>
      <c r="W70" s="40" t="inlineStr">
        <is>
          <t>-</t>
        </is>
      </c>
      <c r="X70" s="50" t="n"/>
    </row>
    <row r="71" ht="18.75" customHeight="1">
      <c r="B71" s="51" t="inlineStr">
        <is>
          <t>Inflow : 銀行借款</t>
        </is>
      </c>
      <c r="C71" s="52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4" t="n"/>
    </row>
    <row r="72" ht="18.75" customHeight="1">
      <c r="B72" s="55" t="inlineStr">
        <is>
          <t>Outflow : 設備折舊</t>
        </is>
      </c>
      <c r="C72" s="39" t="n"/>
      <c r="D72" s="56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50" t="n"/>
    </row>
    <row r="73" ht="18.75" customHeight="1">
      <c r="B73" s="55" t="inlineStr">
        <is>
          <t>Outflow : 設備放置區域租金</t>
        </is>
      </c>
      <c r="C73" s="39" t="inlineStr">
        <is>
          <t>-</t>
        </is>
      </c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50" t="n"/>
    </row>
    <row r="74" ht="18.75" customHeight="1">
      <c r="B74" s="55" t="inlineStr">
        <is>
          <t>Outflow : 返還借款</t>
        </is>
      </c>
      <c r="C74" s="39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50" t="n"/>
    </row>
    <row r="75" ht="18.75" customHeight="1">
      <c r="B75" s="55" t="inlineStr">
        <is>
          <t>Outflow : 利息費用</t>
        </is>
      </c>
      <c r="C75" s="39" t="inlineStr">
        <is>
          <t>-</t>
        </is>
      </c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50" t="n"/>
    </row>
    <row r="76" ht="18.75" customHeight="1">
      <c r="B76" s="55" t="inlineStr">
        <is>
          <t>Outflow : 維運費</t>
        </is>
      </c>
      <c r="C76" s="39" t="inlineStr">
        <is>
          <t>-</t>
        </is>
      </c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50" t="n"/>
    </row>
    <row r="77" ht="18.75" customHeight="1">
      <c r="B77" s="55" t="inlineStr">
        <is>
          <t>Outflow : 保險費</t>
        </is>
      </c>
      <c r="C77" s="39" t="inlineStr">
        <is>
          <t>-</t>
        </is>
      </c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50" t="n"/>
    </row>
    <row r="78" ht="18.75" customHeight="1">
      <c r="B78" s="55" t="inlineStr">
        <is>
          <t>Outflow : 模組回收費</t>
        </is>
      </c>
      <c r="C78" s="39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50" t="n"/>
    </row>
    <row r="79" ht="18.75" customHeight="1">
      <c r="B79" s="55" t="inlineStr">
        <is>
          <t>Outflow : 其它費用(人事薪資…等)</t>
        </is>
      </c>
      <c r="C79" s="57" t="n"/>
      <c r="D79" s="58" t="n"/>
      <c r="E79" s="59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50" t="n"/>
    </row>
    <row r="80" ht="18.75" customHeight="1">
      <c r="B80" s="55" t="inlineStr">
        <is>
          <t>1%管理費</t>
        </is>
      </c>
      <c r="C80" s="57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50" t="n"/>
    </row>
    <row r="81" ht="18.75" customHeight="1">
      <c r="B81" s="189" t="inlineStr">
        <is>
          <t>稅前淨利</t>
        </is>
      </c>
      <c r="C81" s="65" t="n"/>
      <c r="D81" s="66">
        <f>SUM(D69:D80)</f>
        <v/>
      </c>
      <c r="E81" s="66">
        <f>SUM(E69:E80)</f>
        <v/>
      </c>
      <c r="F81" s="66">
        <f>SUM(F69:F80)</f>
        <v/>
      </c>
      <c r="G81" s="66">
        <f>SUM(G69:G80)</f>
        <v/>
      </c>
      <c r="H81" s="66">
        <f>SUM(H69:H80)</f>
        <v/>
      </c>
      <c r="I81" s="66">
        <f>SUM(I69:I80)</f>
        <v/>
      </c>
      <c r="J81" s="66">
        <f>SUM(J69:J80)</f>
        <v/>
      </c>
      <c r="K81" s="66">
        <f>SUM(K69:K80)</f>
        <v/>
      </c>
      <c r="L81" s="66">
        <f>SUM(L69:L80)</f>
        <v/>
      </c>
      <c r="M81" s="66">
        <f>SUM(M69:M80)</f>
        <v/>
      </c>
      <c r="N81" s="66">
        <f>SUM(N69:N80)</f>
        <v/>
      </c>
      <c r="O81" s="66">
        <f>SUM(O69:O80)</f>
        <v/>
      </c>
      <c r="P81" s="66">
        <f>SUM(P69:P80)</f>
        <v/>
      </c>
      <c r="Q81" s="66">
        <f>SUM(Q69:Q80)</f>
        <v/>
      </c>
      <c r="R81" s="66">
        <f>SUM(R69:R80)</f>
        <v/>
      </c>
      <c r="S81" s="66">
        <f>SUM(S69:S80)</f>
        <v/>
      </c>
      <c r="T81" s="66">
        <f>SUM(T69:T80)</f>
        <v/>
      </c>
      <c r="U81" s="66">
        <f>SUM(U69:U80)</f>
        <v/>
      </c>
      <c r="V81" s="66">
        <f>SUM(V69:V80)</f>
        <v/>
      </c>
      <c r="W81" s="66">
        <f>SUM(W69:W80)</f>
        <v/>
      </c>
      <c r="X81" s="66">
        <f>SUM(X69:X80)</f>
        <v/>
      </c>
    </row>
    <row r="82" ht="18.75" customHeight="1">
      <c r="B82" s="60" t="inlineStr">
        <is>
          <t>所得稅20%</t>
        </is>
      </c>
      <c r="C82" s="57" t="n"/>
      <c r="D82" s="40">
        <f>-D81*0.2</f>
        <v/>
      </c>
      <c r="E82" s="40">
        <f>-E81*0.2</f>
        <v/>
      </c>
      <c r="F82" s="40">
        <f>-F81*0.2</f>
        <v/>
      </c>
      <c r="G82" s="40">
        <f>-G81*0.2</f>
        <v/>
      </c>
      <c r="H82" s="40">
        <f>-H81*0.2</f>
        <v/>
      </c>
      <c r="I82" s="40">
        <f>-I81*0.2</f>
        <v/>
      </c>
      <c r="J82" s="40">
        <f>-J81*0.2</f>
        <v/>
      </c>
      <c r="K82" s="40">
        <f>-K81*0.2</f>
        <v/>
      </c>
      <c r="L82" s="40">
        <f>-L81*0.2</f>
        <v/>
      </c>
      <c r="M82" s="40">
        <f>-M81*0.2</f>
        <v/>
      </c>
      <c r="N82" s="40">
        <f>-N81*0.2</f>
        <v/>
      </c>
      <c r="O82" s="40">
        <f>-O81*0.2</f>
        <v/>
      </c>
      <c r="P82" s="40">
        <f>-P81*0.2</f>
        <v/>
      </c>
      <c r="Q82" s="40">
        <f>-Q81*0.2</f>
        <v/>
      </c>
      <c r="R82" s="40">
        <f>-R81*0.2</f>
        <v/>
      </c>
      <c r="S82" s="40">
        <f>-S81*0.2</f>
        <v/>
      </c>
      <c r="T82" s="40">
        <f>-T81*0.2</f>
        <v/>
      </c>
      <c r="U82" s="40">
        <f>-U81*0.2</f>
        <v/>
      </c>
      <c r="V82" s="40">
        <f>-V81*0.2</f>
        <v/>
      </c>
      <c r="W82" s="40">
        <f>-W81*0.2</f>
        <v/>
      </c>
      <c r="X82" s="40">
        <f>-X81*0.2</f>
        <v/>
      </c>
    </row>
    <row r="83">
      <c r="B83" s="191" t="inlineStr">
        <is>
          <t>稅後淨利</t>
        </is>
      </c>
      <c r="D83" s="40">
        <f>SUM(D81:D82)</f>
        <v/>
      </c>
      <c r="E83" s="40">
        <f>SUM(E81:E82)</f>
        <v/>
      </c>
      <c r="F83" s="40">
        <f>SUM(F81:F82)</f>
        <v/>
      </c>
      <c r="G83" s="40">
        <f>SUM(G81:G82)</f>
        <v/>
      </c>
      <c r="H83" s="40">
        <f>SUM(H81:H82)</f>
        <v/>
      </c>
      <c r="I83" s="40">
        <f>SUM(I81:I82)</f>
        <v/>
      </c>
      <c r="J83" s="40">
        <f>SUM(J81:J82)</f>
        <v/>
      </c>
      <c r="K83" s="40">
        <f>SUM(K81:K82)</f>
        <v/>
      </c>
      <c r="L83" s="40">
        <f>SUM(L81:L82)</f>
        <v/>
      </c>
      <c r="M83" s="40">
        <f>SUM(M81:M82)</f>
        <v/>
      </c>
      <c r="N83" s="40">
        <f>SUM(N81:N82)</f>
        <v/>
      </c>
      <c r="O83" s="40">
        <f>SUM(O81:O82)</f>
        <v/>
      </c>
      <c r="P83" s="40">
        <f>SUM(P81:P82)</f>
        <v/>
      </c>
      <c r="Q83" s="40">
        <f>SUM(Q81:Q82)</f>
        <v/>
      </c>
      <c r="R83" s="40">
        <f>SUM(R81:R82)</f>
        <v/>
      </c>
      <c r="S83" s="40">
        <f>SUM(S81:S82)</f>
        <v/>
      </c>
      <c r="T83" s="40">
        <f>SUM(T81:T82)</f>
        <v/>
      </c>
      <c r="U83" s="40">
        <f>SUM(U81:U82)</f>
        <v/>
      </c>
      <c r="V83" s="40">
        <f>SUM(V81:V82)</f>
        <v/>
      </c>
      <c r="W83" s="40">
        <f>SUM(W81:W82)</f>
        <v/>
      </c>
      <c r="X83" s="40">
        <f>SUM(X81:X82)</f>
        <v/>
      </c>
    </row>
    <row r="84" ht="18.75" customHeight="1">
      <c r="B84" s="70" t="inlineStr">
        <is>
          <t>累計現金流</t>
        </is>
      </c>
      <c r="C84" s="71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3" t="n"/>
    </row>
    <row r="85" ht="18.75" customHeight="1">
      <c r="B85" s="90" t="inlineStr">
        <is>
          <t>回收年限評估</t>
        </is>
      </c>
      <c r="C85" s="91" t="n"/>
      <c r="D85" s="92" t="n"/>
      <c r="E85" s="92" t="n"/>
      <c r="F85" s="92" t="n"/>
      <c r="G85" s="92" t="n"/>
      <c r="H85" s="92" t="n"/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93" t="n"/>
    </row>
    <row r="86" ht="18.75" customHeight="1">
      <c r="B86" s="28" t="n"/>
      <c r="C86" s="149" t="n"/>
      <c r="D86" s="149" t="n"/>
      <c r="E86" s="149" t="n"/>
      <c r="F86" s="59" t="n"/>
      <c r="G86" s="59" t="n"/>
      <c r="H86" s="59" t="n"/>
      <c r="I86" s="59" t="n"/>
      <c r="J86" s="59" t="n"/>
      <c r="K86" s="59" t="n"/>
      <c r="L86" s="59" t="inlineStr">
        <is>
          <t>預估可建置量</t>
        </is>
      </c>
      <c r="M86" s="96" t="n">
        <v>0</v>
      </c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95" t="n"/>
    </row>
    <row r="87" ht="18.75" customHeight="1">
      <c r="C87" s="97" t="inlineStr">
        <is>
          <t>年份</t>
        </is>
      </c>
      <c r="D87" s="98" t="n">
        <v>2020</v>
      </c>
      <c r="E87" s="98" t="n">
        <v>2021</v>
      </c>
      <c r="F87" s="98" t="n">
        <v>2022</v>
      </c>
      <c r="G87" s="98" t="n">
        <v>2023</v>
      </c>
      <c r="H87" s="98" t="n">
        <v>2024</v>
      </c>
      <c r="I87" s="98" t="n">
        <v>2025</v>
      </c>
      <c r="J87" s="98" t="n">
        <v>2026</v>
      </c>
      <c r="K87" s="98" t="n">
        <v>2027</v>
      </c>
      <c r="L87" s="98" t="n">
        <v>2028</v>
      </c>
      <c r="M87" s="98" t="n">
        <v>2029</v>
      </c>
      <c r="N87" s="98" t="n">
        <v>2030</v>
      </c>
      <c r="O87" s="98" t="n">
        <v>2031</v>
      </c>
      <c r="P87" s="98" t="n">
        <v>2032</v>
      </c>
      <c r="Q87" s="98" t="n">
        <v>2033</v>
      </c>
      <c r="R87" s="98" t="n">
        <v>2034</v>
      </c>
      <c r="S87" s="98" t="n">
        <v>2035</v>
      </c>
      <c r="T87" s="98" t="n">
        <v>2036</v>
      </c>
      <c r="U87" s="98" t="n">
        <v>2037</v>
      </c>
      <c r="V87" s="98" t="n">
        <v>2038</v>
      </c>
      <c r="W87" s="98" t="n">
        <v>2039</v>
      </c>
      <c r="X87" s="99" t="n"/>
    </row>
    <row r="88" ht="18.75" customHeight="1">
      <c r="X88" s="99" t="n"/>
    </row>
    <row r="89" ht="18.75" customHeight="1">
      <c r="B89" s="100" t="inlineStr">
        <is>
          <t>(Unit : Currency)</t>
        </is>
      </c>
      <c r="C89" s="101" t="n">
        <v>0</v>
      </c>
      <c r="D89" s="101" t="n">
        <v>1</v>
      </c>
      <c r="E89" s="101" t="n">
        <v>2</v>
      </c>
      <c r="F89" s="101" t="n">
        <v>3</v>
      </c>
      <c r="G89" s="101" t="n">
        <v>4</v>
      </c>
      <c r="H89" s="101" t="n">
        <v>5</v>
      </c>
      <c r="I89" s="101" t="n">
        <v>6</v>
      </c>
      <c r="J89" s="101" t="n">
        <v>7</v>
      </c>
      <c r="K89" s="101" t="n">
        <v>8</v>
      </c>
      <c r="L89" s="101" t="n">
        <v>9</v>
      </c>
      <c r="M89" s="101" t="n">
        <v>10</v>
      </c>
      <c r="N89" s="101" t="n">
        <v>11</v>
      </c>
      <c r="O89" s="101" t="n">
        <v>12</v>
      </c>
      <c r="P89" s="101" t="n">
        <v>13</v>
      </c>
      <c r="Q89" s="101" t="n">
        <v>14</v>
      </c>
      <c r="R89" s="101" t="n">
        <v>15</v>
      </c>
      <c r="S89" s="101" t="n">
        <v>16</v>
      </c>
      <c r="T89" s="101" t="n">
        <v>17</v>
      </c>
      <c r="U89" s="101" t="n">
        <v>18</v>
      </c>
      <c r="V89" s="101" t="n">
        <v>19</v>
      </c>
      <c r="W89" s="101" t="n">
        <v>20</v>
      </c>
      <c r="X89" s="102" t="n"/>
    </row>
    <row r="90" ht="18.75" customHeight="1">
      <c r="B90" s="103" t="inlineStr">
        <is>
          <t>稅後淨利</t>
        </is>
      </c>
      <c r="C90" s="104" t="n"/>
      <c r="D90" s="101">
        <f>D81</f>
        <v/>
      </c>
      <c r="E90" s="101">
        <f>E81</f>
        <v/>
      </c>
      <c r="F90" s="101">
        <f>F81</f>
        <v/>
      </c>
      <c r="G90" s="101">
        <f>G81</f>
        <v/>
      </c>
      <c r="H90" s="101">
        <f>H81</f>
        <v/>
      </c>
      <c r="I90" s="101">
        <f>I81</f>
        <v/>
      </c>
      <c r="J90" s="101">
        <f>J81</f>
        <v/>
      </c>
      <c r="K90" s="101">
        <f>K81</f>
        <v/>
      </c>
      <c r="L90" s="101">
        <f>L81</f>
        <v/>
      </c>
      <c r="M90" s="101">
        <f>M81</f>
        <v/>
      </c>
      <c r="N90" s="101">
        <f>N81</f>
        <v/>
      </c>
      <c r="O90" s="101">
        <f>O81</f>
        <v/>
      </c>
      <c r="P90" s="101">
        <f>P81</f>
        <v/>
      </c>
      <c r="Q90" s="101">
        <f>Q81</f>
        <v/>
      </c>
      <c r="R90" s="101">
        <f>R81</f>
        <v/>
      </c>
      <c r="S90" s="101">
        <f>S81</f>
        <v/>
      </c>
      <c r="T90" s="101">
        <f>T81</f>
        <v/>
      </c>
      <c r="U90" s="101">
        <f>U81</f>
        <v/>
      </c>
      <c r="V90" s="101">
        <f>V81</f>
        <v/>
      </c>
      <c r="W90" s="101">
        <f>W81</f>
        <v/>
      </c>
      <c r="X90" s="104" t="n"/>
      <c r="Y90" s="104" t="n"/>
    </row>
    <row r="91">
      <c r="B91" s="103" t="inlineStr">
        <is>
          <t>設備折舊</t>
        </is>
      </c>
      <c r="C91" s="104" t="n"/>
      <c r="D91" s="105" t="n"/>
      <c r="E91" s="105" t="n"/>
      <c r="F91" s="105" t="n"/>
      <c r="G91" s="105" t="n"/>
      <c r="H91" s="105" t="n"/>
      <c r="I91" s="105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5" t="n"/>
      <c r="T91" s="105" t="n"/>
      <c r="U91" s="105" t="n"/>
      <c r="V91" s="105" t="n"/>
      <c r="W91" s="105" t="n"/>
      <c r="X91" s="77" t="n"/>
    </row>
    <row r="92">
      <c r="B92" s="103" t="inlineStr">
        <is>
          <t>營運活動現金流量</t>
        </is>
      </c>
      <c r="C92" s="104" t="n"/>
      <c r="D92" s="192">
        <f>SUM(D90:D91)</f>
        <v/>
      </c>
      <c r="E92" s="192">
        <f>SUM(E90:E91)</f>
        <v/>
      </c>
      <c r="F92" s="192">
        <f>SUM(F90:F91)</f>
        <v/>
      </c>
      <c r="G92" s="192">
        <f>SUM(G90:G91)</f>
        <v/>
      </c>
      <c r="H92" s="192">
        <f>SUM(H90:H91)</f>
        <v/>
      </c>
      <c r="I92" s="192">
        <f>SUM(I90:I91)</f>
        <v/>
      </c>
      <c r="J92" s="192">
        <f>SUM(J90:J91)</f>
        <v/>
      </c>
      <c r="K92" s="192">
        <f>SUM(K90:K91)</f>
        <v/>
      </c>
      <c r="L92" s="192">
        <f>SUM(L90:L91)</f>
        <v/>
      </c>
      <c r="M92" s="192">
        <f>SUM(M90:M91)</f>
        <v/>
      </c>
      <c r="N92" s="192">
        <f>SUM(N90:N91)</f>
        <v/>
      </c>
      <c r="O92" s="192">
        <f>SUM(O90:O91)</f>
        <v/>
      </c>
      <c r="P92" s="192">
        <f>SUM(P90:P91)</f>
        <v/>
      </c>
      <c r="Q92" s="192">
        <f>SUM(Q90:Q91)</f>
        <v/>
      </c>
      <c r="R92" s="192">
        <f>SUM(R90:R91)</f>
        <v/>
      </c>
      <c r="S92" s="192">
        <f>SUM(S90:S91)</f>
        <v/>
      </c>
      <c r="T92" s="192">
        <f>SUM(T90:T91)</f>
        <v/>
      </c>
      <c r="U92" s="192">
        <f>SUM(U90:U91)</f>
        <v/>
      </c>
      <c r="V92" s="192">
        <f>SUM(V90:V91)</f>
        <v/>
      </c>
      <c r="W92" s="192">
        <f>SUM(W90:W91)</f>
        <v/>
      </c>
      <c r="X92" s="107" t="n"/>
    </row>
    <row r="93">
      <c r="B93" s="103" t="n"/>
      <c r="C93" s="104" t="n"/>
      <c r="D93" s="104" t="n"/>
      <c r="E93" s="104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99" t="n"/>
    </row>
    <row r="94">
      <c r="B94" s="109" t="inlineStr">
        <is>
          <t>投資活動-設備支出</t>
        </is>
      </c>
      <c r="C94" s="110" t="n"/>
      <c r="D94" s="111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O94" s="110" t="n"/>
      <c r="P94" s="110" t="n"/>
      <c r="Q94" s="110" t="n"/>
      <c r="R94" s="110" t="n"/>
      <c r="S94" s="110" t="n"/>
      <c r="T94" s="110" t="n"/>
      <c r="U94" s="110" t="n"/>
      <c r="V94" s="110" t="n"/>
      <c r="W94" s="110" t="n"/>
      <c r="X94" s="77" t="n"/>
    </row>
    <row r="95">
      <c r="B95" s="103" t="n"/>
      <c r="C95" s="104" t="n"/>
      <c r="D95" s="104" t="n"/>
      <c r="E95" s="104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99" t="n"/>
    </row>
    <row r="96">
      <c r="B96" s="103" t="n"/>
      <c r="C96" s="104" t="n"/>
      <c r="D96" s="104" t="n"/>
      <c r="E96" s="104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99" t="n"/>
    </row>
    <row r="97">
      <c r="B97" s="109" t="inlineStr">
        <is>
          <t>理財活動-借款</t>
        </is>
      </c>
      <c r="C97" s="110" t="n"/>
      <c r="D97" s="111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O97" s="110" t="n"/>
      <c r="P97" s="110" t="n"/>
      <c r="Q97" s="110" t="n"/>
      <c r="R97" s="110" t="n"/>
      <c r="S97" s="110" t="n"/>
      <c r="T97" s="110" t="n"/>
      <c r="U97" s="110" t="n"/>
      <c r="V97" s="110" t="n"/>
      <c r="W97" s="110" t="n"/>
      <c r="X97" s="99" t="n"/>
    </row>
    <row r="98">
      <c r="B98" s="103" t="inlineStr">
        <is>
          <t>理財活動-還款</t>
        </is>
      </c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8" t="n"/>
      <c r="U98" s="108" t="n"/>
      <c r="V98" s="108" t="n"/>
      <c r="W98" s="108" t="n"/>
      <c r="X98" s="77" t="n"/>
    </row>
    <row r="99">
      <c r="B99" s="103" t="inlineStr">
        <is>
          <t>理財活動-現金增資</t>
        </is>
      </c>
      <c r="C99" s="108" t="n"/>
      <c r="D99" s="104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7" t="n"/>
    </row>
    <row r="100">
      <c r="B100" s="103" t="inlineStr">
        <is>
          <t>現金股利</t>
        </is>
      </c>
      <c r="C100" s="108" t="n"/>
      <c r="D100" s="108" t="n"/>
      <c r="E100" s="112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  <c r="U100" s="104" t="n"/>
      <c r="V100" s="108" t="n"/>
      <c r="W100" s="104" t="n"/>
      <c r="X100" s="107" t="n"/>
    </row>
    <row r="101">
      <c r="B101" s="113" t="inlineStr">
        <is>
          <t>年底減資</t>
        </is>
      </c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5" t="n"/>
      <c r="S101" s="115" t="n"/>
      <c r="T101" s="115" t="n"/>
      <c r="U101" s="115" t="n"/>
      <c r="V101" s="114" t="n"/>
      <c r="W101" s="114" t="n"/>
      <c r="X101" s="107" t="n"/>
    </row>
    <row r="102"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7" t="n"/>
    </row>
    <row r="103"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7" t="n"/>
    </row>
    <row r="104">
      <c r="B104" s="103" t="inlineStr">
        <is>
          <t>現金淨流入(出 )</t>
        </is>
      </c>
      <c r="D104" s="108" t="n"/>
      <c r="E104" s="106" t="n"/>
      <c r="F104" s="106" t="n"/>
      <c r="G104" s="106" t="n"/>
      <c r="H104" s="106" t="n"/>
      <c r="I104" s="106" t="n"/>
      <c r="J104" s="106" t="n"/>
      <c r="K104" s="106" t="n"/>
      <c r="L104" s="106" t="n"/>
      <c r="M104" s="106" t="n"/>
      <c r="N104" s="106" t="n"/>
      <c r="O104" s="106" t="n"/>
      <c r="P104" s="106" t="n"/>
      <c r="Q104" s="106" t="n"/>
      <c r="R104" s="106" t="n"/>
      <c r="S104" s="106" t="n"/>
      <c r="T104" s="106" t="n"/>
      <c r="U104" s="106" t="n"/>
      <c r="V104" s="106" t="n"/>
      <c r="W104" s="106" t="n"/>
      <c r="X104" s="107" t="n"/>
    </row>
    <row r="105">
      <c r="B105" s="103" t="inlineStr">
        <is>
          <t>期初淨現金</t>
        </is>
      </c>
      <c r="C105" s="108" t="n"/>
      <c r="D105" s="108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8" t="n"/>
      <c r="W105" s="108" t="n"/>
      <c r="X105" s="99" t="n"/>
    </row>
    <row r="106">
      <c r="B106" s="103" t="inlineStr">
        <is>
          <t>期未淨現金</t>
        </is>
      </c>
      <c r="C106" s="108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  <c r="U106" s="104" t="n"/>
      <c r="V106" s="108" t="n"/>
      <c r="W106" s="108" t="n"/>
      <c r="X106" s="99" t="n"/>
    </row>
    <row r="107">
      <c r="B107" s="103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16" t="n"/>
    </row>
    <row r="108">
      <c r="B108" s="103" t="n"/>
      <c r="C108" s="104" t="n"/>
      <c r="D108" s="104" t="n"/>
      <c r="E108" s="104" t="n"/>
      <c r="F108" s="108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16" t="n"/>
    </row>
    <row r="109">
      <c r="B109" s="117" t="inlineStr">
        <is>
          <t>成本法實際現金流</t>
        </is>
      </c>
      <c r="C109" s="118" t="n"/>
      <c r="D109" s="193">
        <f>-D97</f>
        <v/>
      </c>
      <c r="E109" s="192">
        <f>-E100-E101</f>
        <v/>
      </c>
      <c r="F109" s="192">
        <f>-F100-F101</f>
        <v/>
      </c>
      <c r="G109" s="192">
        <f>-G100-G101</f>
        <v/>
      </c>
      <c r="H109" s="192">
        <f>-H100-H101</f>
        <v/>
      </c>
      <c r="I109" s="192">
        <f>-I100-I101</f>
        <v/>
      </c>
      <c r="J109" s="192">
        <f>-J100-J101</f>
        <v/>
      </c>
      <c r="K109" s="192">
        <f>-K100-K101</f>
        <v/>
      </c>
      <c r="L109" s="192">
        <f>-L100-L101</f>
        <v/>
      </c>
      <c r="M109" s="192">
        <f>-M100-M101</f>
        <v/>
      </c>
      <c r="N109" s="192">
        <f>-N100-N101</f>
        <v/>
      </c>
      <c r="O109" s="192">
        <f>-O100-O101</f>
        <v/>
      </c>
      <c r="P109" s="192">
        <f>-P100-P101</f>
        <v/>
      </c>
      <c r="Q109" s="192">
        <f>-Q100-Q101</f>
        <v/>
      </c>
      <c r="R109" s="192">
        <f>-R100-R101</f>
        <v/>
      </c>
      <c r="S109" s="192">
        <f>-S100-S101</f>
        <v/>
      </c>
      <c r="T109" s="192">
        <f>-T100-T101</f>
        <v/>
      </c>
      <c r="U109" s="192">
        <f>-U100-U101</f>
        <v/>
      </c>
      <c r="V109" s="192">
        <f>-V100-V101</f>
        <v/>
      </c>
      <c r="W109" s="192">
        <f>-W100-W101</f>
        <v/>
      </c>
      <c r="X109" s="192">
        <f>-X100-X101</f>
        <v/>
      </c>
    </row>
    <row r="110">
      <c r="B110" s="103" t="inlineStr">
        <is>
          <t>成本法IRR</t>
        </is>
      </c>
      <c r="C110" s="120">
        <f>IRR(D109:X109)</f>
        <v/>
      </c>
      <c r="D110" s="150" t="n"/>
      <c r="E110" s="150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  <c r="U110" s="104" t="n"/>
      <c r="V110" s="104" t="n"/>
      <c r="W110" s="104" t="n"/>
      <c r="X110" s="116" t="n"/>
    </row>
    <row r="111">
      <c r="B111" s="117" t="inlineStr">
        <is>
          <t>權益法實際現金流</t>
        </is>
      </c>
      <c r="C111" s="118" t="n"/>
      <c r="D111" s="193">
        <f>D90-D99</f>
        <v/>
      </c>
      <c r="E111" s="192">
        <f>E90</f>
        <v/>
      </c>
      <c r="F111" s="192">
        <f>F90</f>
        <v/>
      </c>
      <c r="G111" s="192">
        <f>G90</f>
        <v/>
      </c>
      <c r="H111" s="192">
        <f>H90</f>
        <v/>
      </c>
      <c r="I111" s="192">
        <f>I90</f>
        <v/>
      </c>
      <c r="J111" s="192">
        <f>J90</f>
        <v/>
      </c>
      <c r="K111" s="192">
        <f>K90</f>
        <v/>
      </c>
      <c r="L111" s="192">
        <f>L90</f>
        <v/>
      </c>
      <c r="M111" s="192">
        <f>M90</f>
        <v/>
      </c>
      <c r="N111" s="192">
        <f>N90</f>
        <v/>
      </c>
      <c r="O111" s="192">
        <f>O90</f>
        <v/>
      </c>
      <c r="P111" s="192">
        <f>P90</f>
        <v/>
      </c>
      <c r="Q111" s="192">
        <f>Q90</f>
        <v/>
      </c>
      <c r="R111" s="192">
        <f>R90</f>
        <v/>
      </c>
      <c r="S111" s="192">
        <f>S90</f>
        <v/>
      </c>
      <c r="T111" s="192">
        <f>T90</f>
        <v/>
      </c>
      <c r="U111" s="192">
        <f>U90</f>
        <v/>
      </c>
      <c r="V111" s="192">
        <f>V90</f>
        <v/>
      </c>
      <c r="W111" s="192">
        <f>W90</f>
        <v/>
      </c>
      <c r="X111" s="77" t="n"/>
    </row>
    <row r="112">
      <c r="B112" s="117" t="inlineStr">
        <is>
          <t>權益法IRR</t>
        </is>
      </c>
      <c r="C112" s="120">
        <f>IRR(D111:W111)</f>
        <v/>
      </c>
      <c r="D112" s="150" t="n"/>
      <c r="E112" s="150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  <c r="U112" s="104" t="n"/>
      <c r="V112" s="104" t="n"/>
      <c r="W112" s="104" t="n"/>
      <c r="X112" s="116" t="n"/>
    </row>
    <row r="113">
      <c r="B113" s="103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16" t="n"/>
    </row>
    <row r="114">
      <c r="B114" s="103" t="inlineStr">
        <is>
          <t>借款餘額</t>
        </is>
      </c>
      <c r="C114" s="108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8" t="n"/>
      <c r="U114" s="108" t="n"/>
      <c r="V114" s="108" t="n"/>
      <c r="W114" s="108" t="n"/>
      <c r="X114" s="108" t="n"/>
    </row>
    <row r="115"/>
    <row r="116">
      <c r="B116" s="122" t="n"/>
    </row>
    <row r="117" ht="16.5" customHeight="1">
      <c r="G117" s="6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0.5703125" customWidth="1" min="1" max="1"/>
    <col width="33.140625" customWidth="1" min="2" max="2"/>
    <col width="19.42578125" customWidth="1" min="3" max="3"/>
    <col width="17.85546875" customWidth="1" min="4" max="4"/>
    <col width="17.85546875" customWidth="1" min="24" max="24"/>
    <col width="30" customWidth="1" min="25" max="25"/>
    <col width="13.5703125" customWidth="1" min="26" max="26"/>
    <col width="19.5703125" customWidth="1" min="30" max="30"/>
    <col width="20.5703125" customWidth="1" min="31" max="31"/>
    <col width="20.28515625" customWidth="1" min="32" max="32"/>
    <col width="20.85546875" customWidth="1" min="33" max="33"/>
    <col width="15.5703125" customWidth="1" min="34" max="34"/>
    <col width="36.85546875" customWidth="1" min="35" max="35"/>
    <col width="32.5703125" customWidth="1" min="36" max="36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3</t>
        </is>
      </c>
    </row>
    <row r="5" ht="22.5" customHeight="1">
      <c r="B5" s="161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第2次滾算摘要</t>
        </is>
      </c>
    </row>
    <row r="6" ht="20.25" customHeight="1">
      <c r="B6" s="162" t="n"/>
      <c r="C6" s="163" t="n"/>
      <c r="D6" s="163" t="n"/>
      <c r="E6" s="163" t="n"/>
      <c r="M6" t="inlineStr">
        <is>
          <t>價金: 27000</t>
        </is>
      </c>
    </row>
    <row r="7" ht="22.5" customHeight="1">
      <c r="B7" s="164" t="inlineStr">
        <is>
          <t>綜合損益表</t>
        </is>
      </c>
      <c r="C7" s="153" t="n"/>
      <c r="D7" s="153" t="n"/>
      <c r="E7" s="154" t="n"/>
      <c r="M7" t="inlineStr">
        <is>
          <t>專案IRR: 5.35</t>
        </is>
      </c>
    </row>
    <row r="8" ht="22.5" customHeight="1">
      <c r="B8" s="165" t="inlineStr">
        <is>
          <t>收入</t>
        </is>
      </c>
      <c r="C8" s="166" t="n"/>
      <c r="D8" s="166" t="n"/>
      <c r="E8" s="167" t="n"/>
      <c r="M8" t="inlineStr">
        <is>
          <t>權益法IRR: 14.77</t>
        </is>
      </c>
    </row>
    <row r="9" ht="22.5" customHeight="1">
      <c r="B9" s="168" t="inlineStr">
        <is>
          <t>收支項目</t>
        </is>
      </c>
      <c r="C9" s="169" t="inlineStr">
        <is>
          <t>相關參數</t>
        </is>
      </c>
      <c r="D9" s="169" t="inlineStr">
        <is>
          <t>參數數值</t>
        </is>
      </c>
      <c r="E9" s="170" t="inlineStr">
        <is>
          <t>年限</t>
        </is>
      </c>
      <c r="M9" t="inlineStr">
        <is>
          <t>利潤率: 20.00%</t>
        </is>
      </c>
    </row>
    <row r="10" ht="21.75" customHeight="1">
      <c r="B10" s="171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72" t="n">
        <v>20</v>
      </c>
      <c r="M10" t="inlineStr">
        <is>
          <t>第2次滾算，減少 1000 元 - 現金模式，每次減少 1000 元</t>
        </is>
      </c>
    </row>
    <row r="11" ht="21.75" customHeight="1">
      <c r="B11" s="173" t="n"/>
      <c r="C11" s="159" t="inlineStr">
        <is>
          <t>首年衰退率</t>
        </is>
      </c>
      <c r="D11" s="174" t="n">
        <v>0.01</v>
      </c>
      <c r="E11" s="173" t="n"/>
    </row>
    <row r="12" ht="21.75" customHeight="1">
      <c r="B12" s="173" t="n"/>
      <c r="C12" s="159" t="inlineStr">
        <is>
          <t>次年衰退率</t>
        </is>
      </c>
      <c r="D12" s="175" t="n">
        <v>0.004</v>
      </c>
      <c r="E12" s="173" t="n"/>
    </row>
    <row r="13" ht="22.5" customHeight="1">
      <c r="B13" s="173" t="n"/>
      <c r="C13" s="176" t="inlineStr">
        <is>
          <t>躉售費率(FIT)</t>
        </is>
      </c>
      <c r="D13" s="176" t="n">
        <v>3.7152</v>
      </c>
      <c r="E13" s="173" t="n"/>
    </row>
    <row r="14" ht="22.5" customHeight="1">
      <c r="B14" s="177" t="inlineStr">
        <is>
          <t>支出</t>
        </is>
      </c>
      <c r="C14" s="153" t="n"/>
      <c r="D14" s="153" t="n"/>
      <c r="E14" s="154" t="n"/>
    </row>
    <row r="15" ht="22.5" customHeight="1">
      <c r="B15" s="168" t="inlineStr">
        <is>
          <t>收支項目</t>
        </is>
      </c>
      <c r="C15" s="169" t="inlineStr">
        <is>
          <t>相關參數</t>
        </is>
      </c>
      <c r="D15" s="169" t="inlineStr">
        <is>
          <t>參數數值</t>
        </is>
      </c>
      <c r="E15" s="178" t="inlineStr">
        <is>
          <t>攤提年限</t>
        </is>
      </c>
    </row>
    <row r="16" ht="21.75" customHeight="1">
      <c r="B16" s="179" t="inlineStr">
        <is>
          <t>設備費用(價金)</t>
        </is>
      </c>
      <c r="C16" s="180" t="inlineStr">
        <is>
          <t>每kWp設備成本</t>
        </is>
      </c>
      <c r="D16" s="156" t="n">
        <v>27000</v>
      </c>
      <c r="E16" s="181" t="n">
        <v>20</v>
      </c>
    </row>
    <row r="17" ht="21.75" customHeight="1">
      <c r="B17" s="173" t="n"/>
      <c r="C17" s="159" t="inlineStr">
        <is>
          <t>信邦利潤率</t>
        </is>
      </c>
      <c r="D17" s="159" t="n">
        <v>0.2</v>
      </c>
      <c r="E17" s="173" t="n"/>
    </row>
    <row r="18" ht="21.75" customHeight="1">
      <c r="B18" s="182" t="n"/>
      <c r="C18" s="159" t="inlineStr">
        <is>
          <t>開發費</t>
        </is>
      </c>
      <c r="D18" s="159" t="n">
        <v>2000</v>
      </c>
      <c r="E18" s="182" t="n"/>
    </row>
    <row r="19" ht="54" customHeight="1">
      <c r="B19" s="183" t="inlineStr">
        <is>
          <t>租金費用</t>
        </is>
      </c>
      <c r="C19" s="184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3" t="n"/>
      <c r="C20" s="185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82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61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61" t="inlineStr">
        <is>
          <t>保險費用</t>
        </is>
      </c>
      <c r="C23" s="186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61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61" t="inlineStr">
        <is>
          <t>利息費用</t>
        </is>
      </c>
      <c r="C25" s="159" t="inlineStr">
        <is>
          <t>銀行利率</t>
        </is>
      </c>
      <c r="D25" s="187" t="n">
        <v>0.025595</v>
      </c>
      <c r="E25" s="160" t="n">
        <v>0</v>
      </c>
    </row>
    <row r="26" ht="22.5" customHeight="1">
      <c r="B26" s="161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2" t="n"/>
      <c r="C27" s="163" t="n"/>
      <c r="D27" s="163" t="n"/>
      <c r="E27" s="163" t="n"/>
    </row>
    <row r="28" ht="20.25" customHeight="1">
      <c r="B28" s="162" t="n"/>
      <c r="C28" s="163" t="n"/>
      <c r="D28" s="163" t="n"/>
      <c r="E28" s="163" t="n"/>
    </row>
    <row r="29" ht="22.5" customHeight="1">
      <c r="B29" s="164" t="inlineStr">
        <is>
          <t>現金流量表</t>
        </is>
      </c>
      <c r="C29" s="153" t="n"/>
      <c r="D29" s="154" t="n"/>
      <c r="E29" s="163" t="n"/>
    </row>
    <row r="30" ht="22.5" customHeight="1">
      <c r="B30" s="168" t="inlineStr">
        <is>
          <t>金流項目</t>
        </is>
      </c>
      <c r="C30" s="169" t="inlineStr">
        <is>
          <t>相關參數</t>
        </is>
      </c>
      <c r="D30" s="178" t="inlineStr">
        <is>
          <t>參數數值</t>
        </is>
      </c>
      <c r="E30" s="163" t="n"/>
    </row>
    <row r="31" ht="18.75" customHeight="1">
      <c r="B31" s="155" t="inlineStr">
        <is>
          <t>貸款成數</t>
        </is>
      </c>
      <c r="C31" s="180" t="inlineStr">
        <is>
          <t>占總設備費用比例</t>
        </is>
      </c>
      <c r="D31" s="156" t="n">
        <v>0.8</v>
      </c>
      <c r="E31" s="163" t="n"/>
    </row>
    <row r="32" ht="18.75" customHeight="1">
      <c r="B32" s="188" t="inlineStr">
        <is>
          <t>貸款還款</t>
        </is>
      </c>
      <c r="C32" s="156" t="inlineStr">
        <is>
          <t>攤還期數</t>
        </is>
      </c>
      <c r="D32" s="156" t="n">
        <v>15</v>
      </c>
      <c r="E32" s="163" t="n"/>
    </row>
    <row r="33" ht="18.75" customHeight="1">
      <c r="B33" s="161" t="inlineStr">
        <is>
          <t>現金股利</t>
        </is>
      </c>
      <c r="C33" s="159" t="inlineStr">
        <is>
          <t>股利比率</t>
        </is>
      </c>
      <c r="D33" s="159" t="n">
        <v>0.9</v>
      </c>
      <c r="E33" s="163" t="n"/>
    </row>
    <row r="34" ht="18.75" customHeight="1">
      <c r="B34" s="161" t="inlineStr">
        <is>
          <t>年底減資</t>
        </is>
      </c>
      <c r="C34" s="159" t="inlineStr">
        <is>
          <t>攤還期數</t>
        </is>
      </c>
      <c r="D34" s="159" t="n">
        <v>4</v>
      </c>
      <c r="E34" s="163" t="n"/>
    </row>
    <row r="35" ht="18.75" customHeight="1"/>
    <row r="36" ht="18.75" customHeight="1"/>
    <row r="37" ht="18.75" customHeight="1">
      <c r="B37" s="28" t="n"/>
      <c r="C37" s="29" t="inlineStr">
        <is>
          <t>年份</t>
        </is>
      </c>
      <c r="D37" s="29" t="n">
        <v>2020</v>
      </c>
      <c r="E37" s="29" t="n">
        <v>2021</v>
      </c>
      <c r="F37" s="29" t="n">
        <v>2022</v>
      </c>
      <c r="G37" s="29" t="n">
        <v>2023</v>
      </c>
      <c r="H37" s="29" t="n">
        <v>2024</v>
      </c>
      <c r="I37" s="29" t="n">
        <v>2025</v>
      </c>
      <c r="J37" s="29" t="n">
        <v>2026</v>
      </c>
      <c r="K37" s="29" t="n">
        <v>2027</v>
      </c>
      <c r="L37" s="29" t="n">
        <v>2028</v>
      </c>
      <c r="M37" s="29" t="n">
        <v>2029</v>
      </c>
      <c r="N37" s="29" t="n">
        <v>2030</v>
      </c>
      <c r="O37" s="29" t="n">
        <v>2031</v>
      </c>
      <c r="P37" s="29" t="n">
        <v>2032</v>
      </c>
      <c r="Q37" s="29" t="n">
        <v>2033</v>
      </c>
      <c r="R37" s="29" t="n">
        <v>2034</v>
      </c>
      <c r="S37" s="29" t="n">
        <v>2035</v>
      </c>
      <c r="T37" s="29" t="n">
        <v>2036</v>
      </c>
      <c r="U37" s="29" t="n">
        <v>2037</v>
      </c>
      <c r="V37" s="29" t="n">
        <v>2038</v>
      </c>
      <c r="W37" s="29" t="n">
        <v>2039</v>
      </c>
      <c r="X37" s="30" t="n"/>
    </row>
    <row r="38" ht="18.75" customHeight="1">
      <c r="B38" s="31" t="n">
        <v>0</v>
      </c>
      <c r="C38" s="32" t="n"/>
      <c r="D38" s="33" t="n"/>
      <c r="E38" s="33" t="n"/>
      <c r="F38" s="34" t="inlineStr">
        <is>
          <t>手動計算值</t>
        </is>
      </c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6" t="inlineStr">
        <is>
          <t>償還年限</t>
        </is>
      </c>
      <c r="U38" s="35" t="n"/>
      <c r="V38" s="35" t="n"/>
      <c r="W38" s="35" t="n"/>
      <c r="X38" s="37" t="n"/>
    </row>
    <row r="39" ht="18.75" customHeight="1">
      <c r="B39" s="38" t="inlineStr">
        <is>
          <t>(Unit : Currency)</t>
        </is>
      </c>
      <c r="C39" s="39" t="n">
        <v>0</v>
      </c>
      <c r="D39" s="40" t="n">
        <v>1</v>
      </c>
      <c r="E39" s="40" t="n">
        <v>2</v>
      </c>
      <c r="F39" s="40" t="n">
        <v>3</v>
      </c>
      <c r="G39" s="40" t="n">
        <v>4</v>
      </c>
      <c r="H39" s="40" t="n">
        <v>5</v>
      </c>
      <c r="I39" s="40" t="n">
        <v>6</v>
      </c>
      <c r="J39" s="40" t="n">
        <v>7</v>
      </c>
      <c r="K39" s="40" t="n">
        <v>8</v>
      </c>
      <c r="L39" s="40" t="n">
        <v>9</v>
      </c>
      <c r="M39" s="40" t="n">
        <v>10</v>
      </c>
      <c r="N39" s="40" t="n">
        <v>11</v>
      </c>
      <c r="O39" s="40" t="n">
        <v>12</v>
      </c>
      <c r="P39" s="40" t="n">
        <v>13</v>
      </c>
      <c r="Q39" s="40" t="n">
        <v>14</v>
      </c>
      <c r="R39" s="40" t="n">
        <v>15</v>
      </c>
      <c r="S39" s="40" t="n">
        <v>16</v>
      </c>
      <c r="T39" s="41" t="n">
        <v>17</v>
      </c>
      <c r="U39" s="40" t="n">
        <v>18</v>
      </c>
      <c r="V39" s="40" t="n">
        <v>19</v>
      </c>
      <c r="W39" s="40" t="n">
        <v>20</v>
      </c>
      <c r="X39" s="42" t="n"/>
    </row>
    <row r="40" ht="18.75" customHeight="1">
      <c r="B40" s="43" t="inlineStr">
        <is>
          <t>發電度數(KWH)</t>
        </is>
      </c>
      <c r="C40" s="39" t="n">
        <v>0</v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4" t="n"/>
    </row>
    <row r="41" ht="18.75" customHeight="1">
      <c r="B41" s="45" t="inlineStr">
        <is>
          <t>Inflow : 電費收入</t>
        </is>
      </c>
      <c r="C41" s="46" t="inlineStr">
        <is>
          <t>-</t>
        </is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8" t="n"/>
    </row>
    <row r="42" ht="18.75" customHeight="1">
      <c r="B42" s="49" t="inlineStr">
        <is>
          <t>Inflow : 政府補助</t>
        </is>
      </c>
      <c r="C42" s="39" t="inlineStr">
        <is>
          <t>-</t>
        </is>
      </c>
      <c r="D42" s="40" t="n"/>
      <c r="E42" s="40" t="n"/>
      <c r="F42" s="40" t="n"/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40" t="inlineStr">
        <is>
          <t>-</t>
        </is>
      </c>
      <c r="X42" s="50" t="n"/>
    </row>
    <row r="43" ht="18.75" customHeight="1">
      <c r="B43" s="51" t="inlineStr">
        <is>
          <t>Inflow : 銀行借款</t>
        </is>
      </c>
      <c r="C43" s="52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4" t="n"/>
    </row>
    <row r="44" ht="18.75" customHeight="1">
      <c r="B44" s="55" t="inlineStr">
        <is>
          <t>Outflow : 設備費用</t>
        </is>
      </c>
      <c r="C44" s="39" t="n"/>
      <c r="D44" s="56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50" t="n"/>
    </row>
    <row r="45" ht="18.75" customHeight="1">
      <c r="B45" s="55" t="inlineStr">
        <is>
          <t>Outflow : 設備放置區域租金</t>
        </is>
      </c>
      <c r="C45" s="39" t="inlineStr">
        <is>
          <t>-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50" t="n"/>
    </row>
    <row r="46" ht="18.75" customHeight="1">
      <c r="B46" s="55" t="inlineStr">
        <is>
          <t>Outflow : 返還借款</t>
        </is>
      </c>
      <c r="C46" s="39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50" t="n"/>
    </row>
    <row r="47" ht="18.75" customHeight="1">
      <c r="B47" s="55" t="inlineStr">
        <is>
          <t>Outflow : 利息費用</t>
        </is>
      </c>
      <c r="C47" s="39" t="inlineStr">
        <is>
          <t>-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50" t="n"/>
    </row>
    <row r="48" ht="18.75" customHeight="1">
      <c r="B48" s="55" t="inlineStr">
        <is>
          <t>Outflow : 維運費</t>
        </is>
      </c>
      <c r="C48" s="39" t="inlineStr">
        <is>
          <t>-</t>
        </is>
      </c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50" t="n"/>
    </row>
    <row r="49" ht="18.75" customHeight="1">
      <c r="B49" s="55" t="inlineStr">
        <is>
          <t>Outflow : 保險費</t>
        </is>
      </c>
      <c r="C49" s="39" t="inlineStr">
        <is>
          <t>-</t>
        </is>
      </c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50" t="n"/>
    </row>
    <row r="50" ht="18.75" customHeight="1">
      <c r="B50" s="55" t="inlineStr">
        <is>
          <t>Outflow : 模組回收費</t>
        </is>
      </c>
      <c r="C50" s="39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50" t="n"/>
    </row>
    <row r="51" ht="18.75" customHeight="1">
      <c r="B51" s="55" t="inlineStr">
        <is>
          <t>Outflow : 其它費用(人事薪資…等)</t>
        </is>
      </c>
      <c r="C51" s="57" t="n"/>
      <c r="D51" s="58" t="n"/>
      <c r="E51" s="59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50" t="n"/>
    </row>
    <row r="52" ht="18.75" customHeight="1">
      <c r="B52" s="55" t="inlineStr">
        <is>
          <t>1%管理費</t>
        </is>
      </c>
      <c r="C52" s="57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50" t="n"/>
    </row>
    <row r="53" ht="18.75" customHeight="1">
      <c r="B53" s="60" t="inlineStr">
        <is>
          <t>績效獎金</t>
        </is>
      </c>
      <c r="C53" s="57" t="n"/>
      <c r="D53" s="61" t="n"/>
      <c r="E53" s="61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50" t="n"/>
    </row>
    <row r="54" ht="18.75" customHeight="1">
      <c r="B54" s="60" t="inlineStr">
        <is>
          <t>所得稅20%</t>
        </is>
      </c>
      <c r="C54" s="57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50" t="n"/>
    </row>
    <row r="55" ht="18.75" customHeight="1">
      <c r="B55" s="189" t="inlineStr">
        <is>
          <t>現金流</t>
        </is>
      </c>
      <c r="C55" s="71">
        <f>C44</f>
        <v/>
      </c>
      <c r="D55" s="66">
        <f>SUM(D41:D54)</f>
        <v/>
      </c>
      <c r="E55" s="66">
        <f>SUM(E41:E54)</f>
        <v/>
      </c>
      <c r="F55" s="66">
        <f>SUM(F41:F54)</f>
        <v/>
      </c>
      <c r="G55" s="66">
        <f>SUM(G41:G54)</f>
        <v/>
      </c>
      <c r="H55" s="66">
        <f>SUM(H41:H54)</f>
        <v/>
      </c>
      <c r="I55" s="66">
        <f>SUM(I41:I54)</f>
        <v/>
      </c>
      <c r="J55" s="66">
        <f>SUM(J41:J54)</f>
        <v/>
      </c>
      <c r="K55" s="66">
        <f>SUM(K41:K54)</f>
        <v/>
      </c>
      <c r="L55" s="66">
        <f>SUM(L41:L54)</f>
        <v/>
      </c>
      <c r="M55" s="66">
        <f>SUM(M41:M54)</f>
        <v/>
      </c>
      <c r="N55" s="66">
        <f>SUM(N41:N54)</f>
        <v/>
      </c>
      <c r="O55" s="66">
        <f>SUM(O41:O54)</f>
        <v/>
      </c>
      <c r="P55" s="66">
        <f>SUM(P41:P54)</f>
        <v/>
      </c>
      <c r="Q55" s="66">
        <f>SUM(Q41:Q54)</f>
        <v/>
      </c>
      <c r="R55" s="66">
        <f>SUM(R41:R54)</f>
        <v/>
      </c>
      <c r="S55" s="66">
        <f>SUM(S41:S54)</f>
        <v/>
      </c>
      <c r="T55" s="66">
        <f>SUM(T41:T54)</f>
        <v/>
      </c>
      <c r="U55" s="66">
        <f>SUM(U41:U54)</f>
        <v/>
      </c>
      <c r="V55" s="66">
        <f>SUM(V41:V54)</f>
        <v/>
      </c>
      <c r="W55" s="66">
        <f>SUM(W41:W54)</f>
        <v/>
      </c>
      <c r="X55" s="66">
        <f>SUM(X41:X54)</f>
        <v/>
      </c>
      <c r="Y55" s="68" t="n"/>
      <c r="Z55" s="69" t="n"/>
      <c r="AA55" s="68" t="n"/>
      <c r="AB55" s="68" t="n"/>
      <c r="AC55" s="68" t="n"/>
      <c r="AD55" s="68" t="n"/>
      <c r="AE55" s="68" t="n"/>
      <c r="AF55" s="68" t="n"/>
      <c r="AG55" s="68" t="n"/>
      <c r="AH55" s="68" t="n"/>
      <c r="AI55" s="68" t="n"/>
      <c r="AJ55" s="68" t="n"/>
    </row>
    <row r="56" ht="18.75" customHeight="1">
      <c r="B56" s="70" t="inlineStr">
        <is>
          <t>累計現金流</t>
        </is>
      </c>
      <c r="D56" s="72">
        <f>C55+D55</f>
        <v/>
      </c>
      <c r="E56" s="72">
        <f>D56+E55</f>
        <v/>
      </c>
      <c r="F56" s="72">
        <f>E56+F55</f>
        <v/>
      </c>
      <c r="G56" s="72">
        <f>F56+G55</f>
        <v/>
      </c>
      <c r="H56" s="72">
        <f>G56+H55</f>
        <v/>
      </c>
      <c r="I56" s="72">
        <f>H56+I55</f>
        <v/>
      </c>
      <c r="J56" s="72">
        <f>I56+J55</f>
        <v/>
      </c>
      <c r="K56" s="72">
        <f>J56+K55</f>
        <v/>
      </c>
      <c r="L56" s="72">
        <f>K56+L55</f>
        <v/>
      </c>
      <c r="M56" s="72">
        <f>L56+M55</f>
        <v/>
      </c>
      <c r="N56" s="72">
        <f>M56+N55</f>
        <v/>
      </c>
      <c r="O56" s="72">
        <f>N56+O55</f>
        <v/>
      </c>
      <c r="P56" s="72">
        <f>O56+P55</f>
        <v/>
      </c>
      <c r="Q56" s="72">
        <f>P56+Q55</f>
        <v/>
      </c>
      <c r="R56" s="72">
        <f>Q56+R55</f>
        <v/>
      </c>
      <c r="S56" s="72">
        <f>R56+S55</f>
        <v/>
      </c>
      <c r="T56" s="72">
        <f>S56+T55</f>
        <v/>
      </c>
      <c r="U56" s="72">
        <f>T56+U55</f>
        <v/>
      </c>
      <c r="V56" s="72">
        <f>U56+V55</f>
        <v/>
      </c>
      <c r="W56" s="72">
        <f>V56+W55</f>
        <v/>
      </c>
      <c r="X56" s="72">
        <f>W56+X55</f>
        <v/>
      </c>
      <c r="Y56" s="68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  <c r="AJ56" s="68" t="n"/>
    </row>
    <row r="57" ht="18.75" customHeight="1">
      <c r="B57" s="74" t="inlineStr">
        <is>
          <t>Discounted cash flow</t>
        </is>
      </c>
      <c r="C57" s="75" t="n">
        <v>-37721416.4</v>
      </c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  <c r="AJ57" s="68" t="n"/>
    </row>
    <row r="58" ht="18.75" customHeight="1">
      <c r="B58" s="74" t="inlineStr">
        <is>
          <t>Minus : Depreciation</t>
        </is>
      </c>
      <c r="C58" s="79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  <c r="W58" s="61" t="n"/>
      <c r="X58" s="80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  <c r="AJ58" s="68" t="n"/>
    </row>
    <row r="59" ht="18.75" customHeight="1">
      <c r="B59" s="74" t="inlineStr">
        <is>
          <t>Plus : Principle payment</t>
        </is>
      </c>
      <c r="C59" s="79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61" t="n"/>
      <c r="U59" s="61" t="n"/>
      <c r="V59" s="61" t="n"/>
      <c r="W59" s="61" t="n"/>
      <c r="X59" s="80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  <c r="AJ59" s="68" t="n"/>
    </row>
    <row r="60" ht="18.75" customHeight="1">
      <c r="B60" s="81" t="inlineStr">
        <is>
          <t>Profit</t>
        </is>
      </c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85" t="inlineStr">
        <is>
          <t>EPS</t>
        </is>
      </c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  <c r="AJ61" s="68" t="n"/>
    </row>
    <row r="62" ht="18.75" customHeight="1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  <c r="AJ62" s="68" t="n"/>
    </row>
    <row r="63" ht="18.75" customHeight="1">
      <c r="B63" s="190" t="inlineStr">
        <is>
          <t>專案法IRR</t>
        </is>
      </c>
      <c r="C63" s="149">
        <f>IRR(C55:X55)</f>
        <v/>
      </c>
      <c r="D63" s="149" t="n"/>
      <c r="E63" s="14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95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  <c r="AJ63" s="68" t="n"/>
    </row>
    <row r="64" ht="18.75" customHeight="1">
      <c r="B64" s="28" t="n"/>
      <c r="C64" s="149" t="n"/>
      <c r="D64" s="149" t="n"/>
      <c r="E64" s="149" t="n"/>
      <c r="F64" s="59" t="n"/>
      <c r="G64" s="59" t="n"/>
      <c r="H64" s="59" t="n"/>
      <c r="I64" s="59" t="n"/>
      <c r="J64" s="59" t="n"/>
      <c r="K64" s="59" t="n"/>
      <c r="L64" s="59" t="n"/>
      <c r="M64" s="96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95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  <c r="AJ64" s="68" t="n"/>
    </row>
    <row r="65" ht="18.75" customHeight="1">
      <c r="B65" s="28" t="n"/>
      <c r="C65" s="29" t="inlineStr">
        <is>
          <t>年份</t>
        </is>
      </c>
      <c r="D65" s="29" t="n">
        <v>2020</v>
      </c>
      <c r="E65" s="29" t="n">
        <v>2021</v>
      </c>
      <c r="F65" s="29" t="n">
        <v>2022</v>
      </c>
      <c r="G65" s="29" t="n">
        <v>2023</v>
      </c>
      <c r="H65" s="29" t="n">
        <v>2024</v>
      </c>
      <c r="I65" s="29" t="n">
        <v>2025</v>
      </c>
      <c r="J65" s="29" t="n">
        <v>2026</v>
      </c>
      <c r="K65" s="29" t="n">
        <v>2027</v>
      </c>
      <c r="L65" s="29" t="n">
        <v>2028</v>
      </c>
      <c r="M65" s="29" t="n">
        <v>2029</v>
      </c>
      <c r="N65" s="29" t="n">
        <v>2030</v>
      </c>
      <c r="O65" s="29" t="n">
        <v>2031</v>
      </c>
      <c r="P65" s="29" t="n">
        <v>2032</v>
      </c>
      <c r="Q65" s="29" t="n">
        <v>2033</v>
      </c>
      <c r="R65" s="29" t="n">
        <v>2034</v>
      </c>
      <c r="S65" s="29" t="n">
        <v>2035</v>
      </c>
      <c r="T65" s="29" t="n">
        <v>2036</v>
      </c>
      <c r="U65" s="29" t="n">
        <v>2037</v>
      </c>
      <c r="V65" s="29" t="n">
        <v>2038</v>
      </c>
      <c r="W65" s="29" t="n">
        <v>2039</v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 ht="18.75" customHeight="1">
      <c r="B66" s="31" t="n">
        <v>0</v>
      </c>
      <c r="C66" s="32" t="n"/>
      <c r="D66" s="33" t="n"/>
      <c r="E66" s="33" t="n"/>
      <c r="F66" s="34" t="inlineStr">
        <is>
          <t>手動計算值</t>
        </is>
      </c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6" t="inlineStr">
        <is>
          <t>償還年限</t>
        </is>
      </c>
      <c r="U66" s="35" t="n"/>
      <c r="V66" s="35" t="n"/>
      <c r="W66" s="35" t="n"/>
      <c r="X66" s="37" t="n"/>
    </row>
    <row r="67" ht="18.75" customHeight="1">
      <c r="B67" s="38" t="inlineStr">
        <is>
          <t>(Unit : Currency)</t>
        </is>
      </c>
      <c r="C67" s="39" t="n">
        <v>0</v>
      </c>
      <c r="D67" s="40" t="n">
        <v>1</v>
      </c>
      <c r="E67" s="40" t="n">
        <v>2</v>
      </c>
      <c r="F67" s="40" t="n">
        <v>3</v>
      </c>
      <c r="G67" s="40" t="n">
        <v>4</v>
      </c>
      <c r="H67" s="40" t="n">
        <v>5</v>
      </c>
      <c r="I67" s="40" t="n">
        <v>6</v>
      </c>
      <c r="J67" s="40" t="n">
        <v>7</v>
      </c>
      <c r="K67" s="40" t="n">
        <v>8</v>
      </c>
      <c r="L67" s="40" t="n">
        <v>9</v>
      </c>
      <c r="M67" s="40" t="n">
        <v>10</v>
      </c>
      <c r="N67" s="40" t="n">
        <v>11</v>
      </c>
      <c r="O67" s="40" t="n">
        <v>12</v>
      </c>
      <c r="P67" s="40" t="n">
        <v>13</v>
      </c>
      <c r="Q67" s="40" t="n">
        <v>14</v>
      </c>
      <c r="R67" s="40" t="n">
        <v>15</v>
      </c>
      <c r="S67" s="40" t="n">
        <v>16</v>
      </c>
      <c r="T67" s="41" t="n">
        <v>17</v>
      </c>
      <c r="U67" s="40" t="n">
        <v>18</v>
      </c>
      <c r="V67" s="40" t="n">
        <v>19</v>
      </c>
      <c r="W67" s="40" t="n">
        <v>20</v>
      </c>
      <c r="X67" s="42" t="n"/>
    </row>
    <row r="68" ht="18.75" customHeight="1">
      <c r="B68" s="43" t="inlineStr">
        <is>
          <t>發電度數(KWH)</t>
        </is>
      </c>
      <c r="C68" s="39" t="n">
        <v>0</v>
      </c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4" t="n"/>
    </row>
    <row r="69" ht="18.75" customHeight="1">
      <c r="B69" s="45" t="inlineStr">
        <is>
          <t>Inflow : 電費收入</t>
        </is>
      </c>
      <c r="C69" s="46" t="inlineStr">
        <is>
          <t>-</t>
        </is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8" t="n"/>
    </row>
    <row r="70" ht="18.75" customHeight="1">
      <c r="B70" s="49" t="inlineStr">
        <is>
          <t>Inflow : 政府補助</t>
        </is>
      </c>
      <c r="C70" s="39" t="inlineStr">
        <is>
          <t>-</t>
        </is>
      </c>
      <c r="D70" s="40" t="n"/>
      <c r="E70" s="40" t="n"/>
      <c r="F70" s="40" t="n"/>
      <c r="G70" s="40" t="inlineStr">
        <is>
          <t>-</t>
        </is>
      </c>
      <c r="H70" s="40" t="inlineStr">
        <is>
          <t>-</t>
        </is>
      </c>
      <c r="I70" s="40" t="inlineStr">
        <is>
          <t>-</t>
        </is>
      </c>
      <c r="J70" s="40" t="inlineStr">
        <is>
          <t>-</t>
        </is>
      </c>
      <c r="K70" s="40" t="inlineStr">
        <is>
          <t>-</t>
        </is>
      </c>
      <c r="L70" s="40" t="inlineStr">
        <is>
          <t>-</t>
        </is>
      </c>
      <c r="M70" s="40" t="inlineStr">
        <is>
          <t>-</t>
        </is>
      </c>
      <c r="N70" s="40" t="inlineStr">
        <is>
          <t>-</t>
        </is>
      </c>
      <c r="O70" s="40" t="inlineStr">
        <is>
          <t>-</t>
        </is>
      </c>
      <c r="P70" s="40" t="inlineStr">
        <is>
          <t>-</t>
        </is>
      </c>
      <c r="Q70" s="40" t="inlineStr">
        <is>
          <t>-</t>
        </is>
      </c>
      <c r="R70" s="40" t="inlineStr">
        <is>
          <t>-</t>
        </is>
      </c>
      <c r="S70" s="40" t="inlineStr">
        <is>
          <t>-</t>
        </is>
      </c>
      <c r="T70" s="40" t="inlineStr">
        <is>
          <t>-</t>
        </is>
      </c>
      <c r="U70" s="40" t="inlineStr">
        <is>
          <t>-</t>
        </is>
      </c>
      <c r="V70" s="40" t="inlineStr">
        <is>
          <t>-</t>
        </is>
      </c>
      <c r="W70" s="40" t="inlineStr">
        <is>
          <t>-</t>
        </is>
      </c>
      <c r="X70" s="50" t="n"/>
    </row>
    <row r="71" ht="18.75" customHeight="1">
      <c r="B71" s="51" t="inlineStr">
        <is>
          <t>Inflow : 銀行借款</t>
        </is>
      </c>
      <c r="C71" s="52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4" t="n"/>
    </row>
    <row r="72" ht="18.75" customHeight="1">
      <c r="B72" s="55" t="inlineStr">
        <is>
          <t>Outflow : 設備折舊</t>
        </is>
      </c>
      <c r="C72" s="39" t="n"/>
      <c r="D72" s="56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50" t="n"/>
    </row>
    <row r="73" ht="18.75" customHeight="1">
      <c r="B73" s="55" t="inlineStr">
        <is>
          <t>Outflow : 設備放置區域租金</t>
        </is>
      </c>
      <c r="C73" s="39" t="inlineStr">
        <is>
          <t>-</t>
        </is>
      </c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50" t="n"/>
    </row>
    <row r="74" ht="18.75" customHeight="1">
      <c r="B74" s="55" t="inlineStr">
        <is>
          <t>Outflow : 返還借款</t>
        </is>
      </c>
      <c r="C74" s="39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50" t="n"/>
    </row>
    <row r="75" ht="18.75" customHeight="1">
      <c r="B75" s="55" t="inlineStr">
        <is>
          <t>Outflow : 利息費用</t>
        </is>
      </c>
      <c r="C75" s="39" t="inlineStr">
        <is>
          <t>-</t>
        </is>
      </c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50" t="n"/>
    </row>
    <row r="76" ht="18.75" customHeight="1">
      <c r="B76" s="55" t="inlineStr">
        <is>
          <t>Outflow : 維運費</t>
        </is>
      </c>
      <c r="C76" s="39" t="inlineStr">
        <is>
          <t>-</t>
        </is>
      </c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50" t="n"/>
    </row>
    <row r="77" ht="18.75" customHeight="1">
      <c r="B77" s="55" t="inlineStr">
        <is>
          <t>Outflow : 保險費</t>
        </is>
      </c>
      <c r="C77" s="39" t="inlineStr">
        <is>
          <t>-</t>
        </is>
      </c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50" t="n"/>
    </row>
    <row r="78" ht="18.75" customHeight="1">
      <c r="B78" s="55" t="inlineStr">
        <is>
          <t>Outflow : 模組回收費</t>
        </is>
      </c>
      <c r="C78" s="39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50" t="n"/>
    </row>
    <row r="79" ht="18.75" customHeight="1">
      <c r="B79" s="55" t="inlineStr">
        <is>
          <t>Outflow : 其它費用(人事薪資…等)</t>
        </is>
      </c>
      <c r="C79" s="57" t="n"/>
      <c r="D79" s="58" t="n"/>
      <c r="E79" s="59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50" t="n"/>
    </row>
    <row r="80" ht="18.75" customHeight="1">
      <c r="B80" s="55" t="inlineStr">
        <is>
          <t>1%管理費</t>
        </is>
      </c>
      <c r="C80" s="57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50" t="n"/>
    </row>
    <row r="81" ht="18.75" customHeight="1">
      <c r="B81" s="189" t="inlineStr">
        <is>
          <t>稅前淨利</t>
        </is>
      </c>
      <c r="C81" s="65" t="n"/>
      <c r="D81" s="66">
        <f>SUM(D69:D80)</f>
        <v/>
      </c>
      <c r="E81" s="66">
        <f>SUM(E69:E80)</f>
        <v/>
      </c>
      <c r="F81" s="66">
        <f>SUM(F69:F80)</f>
        <v/>
      </c>
      <c r="G81" s="66">
        <f>SUM(G69:G80)</f>
        <v/>
      </c>
      <c r="H81" s="66">
        <f>SUM(H69:H80)</f>
        <v/>
      </c>
      <c r="I81" s="66">
        <f>SUM(I69:I80)</f>
        <v/>
      </c>
      <c r="J81" s="66">
        <f>SUM(J69:J80)</f>
        <v/>
      </c>
      <c r="K81" s="66">
        <f>SUM(K69:K80)</f>
        <v/>
      </c>
      <c r="L81" s="66">
        <f>SUM(L69:L80)</f>
        <v/>
      </c>
      <c r="M81" s="66">
        <f>SUM(M69:M80)</f>
        <v/>
      </c>
      <c r="N81" s="66">
        <f>SUM(N69:N80)</f>
        <v/>
      </c>
      <c r="O81" s="66">
        <f>SUM(O69:O80)</f>
        <v/>
      </c>
      <c r="P81" s="66">
        <f>SUM(P69:P80)</f>
        <v/>
      </c>
      <c r="Q81" s="66">
        <f>SUM(Q69:Q80)</f>
        <v/>
      </c>
      <c r="R81" s="66">
        <f>SUM(R69:R80)</f>
        <v/>
      </c>
      <c r="S81" s="66">
        <f>SUM(S69:S80)</f>
        <v/>
      </c>
      <c r="T81" s="66">
        <f>SUM(T69:T80)</f>
        <v/>
      </c>
      <c r="U81" s="66">
        <f>SUM(U69:U80)</f>
        <v/>
      </c>
      <c r="V81" s="66">
        <f>SUM(V69:V80)</f>
        <v/>
      </c>
      <c r="W81" s="66">
        <f>SUM(W69:W80)</f>
        <v/>
      </c>
      <c r="X81" s="66">
        <f>SUM(X69:X80)</f>
        <v/>
      </c>
    </row>
    <row r="82" ht="18.75" customHeight="1">
      <c r="B82" s="60" t="inlineStr">
        <is>
          <t>所得稅20%</t>
        </is>
      </c>
      <c r="C82" s="57" t="n"/>
      <c r="D82" s="40">
        <f>-D81*0.2</f>
        <v/>
      </c>
      <c r="E82" s="40">
        <f>-E81*0.2</f>
        <v/>
      </c>
      <c r="F82" s="40">
        <f>-F81*0.2</f>
        <v/>
      </c>
      <c r="G82" s="40">
        <f>-G81*0.2</f>
        <v/>
      </c>
      <c r="H82" s="40">
        <f>-H81*0.2</f>
        <v/>
      </c>
      <c r="I82" s="40">
        <f>-I81*0.2</f>
        <v/>
      </c>
      <c r="J82" s="40">
        <f>-J81*0.2</f>
        <v/>
      </c>
      <c r="K82" s="40">
        <f>-K81*0.2</f>
        <v/>
      </c>
      <c r="L82" s="40">
        <f>-L81*0.2</f>
        <v/>
      </c>
      <c r="M82" s="40">
        <f>-M81*0.2</f>
        <v/>
      </c>
      <c r="N82" s="40">
        <f>-N81*0.2</f>
        <v/>
      </c>
      <c r="O82" s="40">
        <f>-O81*0.2</f>
        <v/>
      </c>
      <c r="P82" s="40">
        <f>-P81*0.2</f>
        <v/>
      </c>
      <c r="Q82" s="40">
        <f>-Q81*0.2</f>
        <v/>
      </c>
      <c r="R82" s="40">
        <f>-R81*0.2</f>
        <v/>
      </c>
      <c r="S82" s="40">
        <f>-S81*0.2</f>
        <v/>
      </c>
      <c r="T82" s="40">
        <f>-T81*0.2</f>
        <v/>
      </c>
      <c r="U82" s="40">
        <f>-U81*0.2</f>
        <v/>
      </c>
      <c r="V82" s="40">
        <f>-V81*0.2</f>
        <v/>
      </c>
      <c r="W82" s="40">
        <f>-W81*0.2</f>
        <v/>
      </c>
      <c r="X82" s="40">
        <f>-X81*0.2</f>
        <v/>
      </c>
    </row>
    <row r="83">
      <c r="B83" s="191" t="inlineStr">
        <is>
          <t>稅後淨利</t>
        </is>
      </c>
      <c r="D83" s="40">
        <f>SUM(D81:D82)</f>
        <v/>
      </c>
      <c r="E83" s="40">
        <f>SUM(E81:E82)</f>
        <v/>
      </c>
      <c r="F83" s="40">
        <f>SUM(F81:F82)</f>
        <v/>
      </c>
      <c r="G83" s="40">
        <f>SUM(G81:G82)</f>
        <v/>
      </c>
      <c r="H83" s="40">
        <f>SUM(H81:H82)</f>
        <v/>
      </c>
      <c r="I83" s="40">
        <f>SUM(I81:I82)</f>
        <v/>
      </c>
      <c r="J83" s="40">
        <f>SUM(J81:J82)</f>
        <v/>
      </c>
      <c r="K83" s="40">
        <f>SUM(K81:K82)</f>
        <v/>
      </c>
      <c r="L83" s="40">
        <f>SUM(L81:L82)</f>
        <v/>
      </c>
      <c r="M83" s="40">
        <f>SUM(M81:M82)</f>
        <v/>
      </c>
      <c r="N83" s="40">
        <f>SUM(N81:N82)</f>
        <v/>
      </c>
      <c r="O83" s="40">
        <f>SUM(O81:O82)</f>
        <v/>
      </c>
      <c r="P83" s="40">
        <f>SUM(P81:P82)</f>
        <v/>
      </c>
      <c r="Q83" s="40">
        <f>SUM(Q81:Q82)</f>
        <v/>
      </c>
      <c r="R83" s="40">
        <f>SUM(R81:R82)</f>
        <v/>
      </c>
      <c r="S83" s="40">
        <f>SUM(S81:S82)</f>
        <v/>
      </c>
      <c r="T83" s="40">
        <f>SUM(T81:T82)</f>
        <v/>
      </c>
      <c r="U83" s="40">
        <f>SUM(U81:U82)</f>
        <v/>
      </c>
      <c r="V83" s="40">
        <f>SUM(V81:V82)</f>
        <v/>
      </c>
      <c r="W83" s="40">
        <f>SUM(W81:W82)</f>
        <v/>
      </c>
      <c r="X83" s="40">
        <f>SUM(X81:X82)</f>
        <v/>
      </c>
    </row>
    <row r="84" ht="18.75" customHeight="1">
      <c r="B84" s="70" t="inlineStr">
        <is>
          <t>累計現金流</t>
        </is>
      </c>
      <c r="C84" s="71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3" t="n"/>
    </row>
    <row r="85" ht="18.75" customHeight="1">
      <c r="B85" s="90" t="inlineStr">
        <is>
          <t>回收年限評估</t>
        </is>
      </c>
      <c r="C85" s="91" t="n"/>
      <c r="D85" s="92" t="n"/>
      <c r="E85" s="92" t="n"/>
      <c r="F85" s="92" t="n"/>
      <c r="G85" s="92" t="n"/>
      <c r="H85" s="92" t="n"/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93" t="n"/>
    </row>
    <row r="86" ht="18.75" customHeight="1">
      <c r="B86" s="28" t="n"/>
      <c r="C86" s="149" t="n"/>
      <c r="D86" s="149" t="n"/>
      <c r="E86" s="149" t="n"/>
      <c r="F86" s="59" t="n"/>
      <c r="G86" s="59" t="n"/>
      <c r="H86" s="59" t="n"/>
      <c r="I86" s="59" t="n"/>
      <c r="J86" s="59" t="n"/>
      <c r="K86" s="59" t="n"/>
      <c r="L86" s="59" t="inlineStr">
        <is>
          <t>預估可建置量</t>
        </is>
      </c>
      <c r="M86" s="96" t="n">
        <v>0</v>
      </c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95" t="n"/>
    </row>
    <row r="87" ht="18.75" customHeight="1">
      <c r="C87" s="97" t="inlineStr">
        <is>
          <t>年份</t>
        </is>
      </c>
      <c r="D87" s="98" t="n">
        <v>2020</v>
      </c>
      <c r="E87" s="98" t="n">
        <v>2021</v>
      </c>
      <c r="F87" s="98" t="n">
        <v>2022</v>
      </c>
      <c r="G87" s="98" t="n">
        <v>2023</v>
      </c>
      <c r="H87" s="98" t="n">
        <v>2024</v>
      </c>
      <c r="I87" s="98" t="n">
        <v>2025</v>
      </c>
      <c r="J87" s="98" t="n">
        <v>2026</v>
      </c>
      <c r="K87" s="98" t="n">
        <v>2027</v>
      </c>
      <c r="L87" s="98" t="n">
        <v>2028</v>
      </c>
      <c r="M87" s="98" t="n">
        <v>2029</v>
      </c>
      <c r="N87" s="98" t="n">
        <v>2030</v>
      </c>
      <c r="O87" s="98" t="n">
        <v>2031</v>
      </c>
      <c r="P87" s="98" t="n">
        <v>2032</v>
      </c>
      <c r="Q87" s="98" t="n">
        <v>2033</v>
      </c>
      <c r="R87" s="98" t="n">
        <v>2034</v>
      </c>
      <c r="S87" s="98" t="n">
        <v>2035</v>
      </c>
      <c r="T87" s="98" t="n">
        <v>2036</v>
      </c>
      <c r="U87" s="98" t="n">
        <v>2037</v>
      </c>
      <c r="V87" s="98" t="n">
        <v>2038</v>
      </c>
      <c r="W87" s="98" t="n">
        <v>2039</v>
      </c>
      <c r="X87" s="99" t="n"/>
    </row>
    <row r="88" ht="18.75" customHeight="1">
      <c r="X88" s="99" t="n"/>
    </row>
    <row r="89" ht="18.75" customHeight="1">
      <c r="B89" s="100" t="inlineStr">
        <is>
          <t>(Unit : Currency)</t>
        </is>
      </c>
      <c r="C89" s="101" t="n">
        <v>0</v>
      </c>
      <c r="D89" s="101" t="n">
        <v>1</v>
      </c>
      <c r="E89" s="101" t="n">
        <v>2</v>
      </c>
      <c r="F89" s="101" t="n">
        <v>3</v>
      </c>
      <c r="G89" s="101" t="n">
        <v>4</v>
      </c>
      <c r="H89" s="101" t="n">
        <v>5</v>
      </c>
      <c r="I89" s="101" t="n">
        <v>6</v>
      </c>
      <c r="J89" s="101" t="n">
        <v>7</v>
      </c>
      <c r="K89" s="101" t="n">
        <v>8</v>
      </c>
      <c r="L89" s="101" t="n">
        <v>9</v>
      </c>
      <c r="M89" s="101" t="n">
        <v>10</v>
      </c>
      <c r="N89" s="101" t="n">
        <v>11</v>
      </c>
      <c r="O89" s="101" t="n">
        <v>12</v>
      </c>
      <c r="P89" s="101" t="n">
        <v>13</v>
      </c>
      <c r="Q89" s="101" t="n">
        <v>14</v>
      </c>
      <c r="R89" s="101" t="n">
        <v>15</v>
      </c>
      <c r="S89" s="101" t="n">
        <v>16</v>
      </c>
      <c r="T89" s="101" t="n">
        <v>17</v>
      </c>
      <c r="U89" s="101" t="n">
        <v>18</v>
      </c>
      <c r="V89" s="101" t="n">
        <v>19</v>
      </c>
      <c r="W89" s="101" t="n">
        <v>20</v>
      </c>
      <c r="X89" s="102" t="n"/>
    </row>
    <row r="90" ht="18.75" customHeight="1">
      <c r="B90" s="103" t="inlineStr">
        <is>
          <t>稅後淨利</t>
        </is>
      </c>
      <c r="C90" s="104" t="n"/>
      <c r="D90" s="101">
        <f>D81</f>
        <v/>
      </c>
      <c r="E90" s="101">
        <f>E81</f>
        <v/>
      </c>
      <c r="F90" s="101">
        <f>F81</f>
        <v/>
      </c>
      <c r="G90" s="101">
        <f>G81</f>
        <v/>
      </c>
      <c r="H90" s="101">
        <f>H81</f>
        <v/>
      </c>
      <c r="I90" s="101">
        <f>I81</f>
        <v/>
      </c>
      <c r="J90" s="101">
        <f>J81</f>
        <v/>
      </c>
      <c r="K90" s="101">
        <f>K81</f>
        <v/>
      </c>
      <c r="L90" s="101">
        <f>L81</f>
        <v/>
      </c>
      <c r="M90" s="101">
        <f>M81</f>
        <v/>
      </c>
      <c r="N90" s="101">
        <f>N81</f>
        <v/>
      </c>
      <c r="O90" s="101">
        <f>O81</f>
        <v/>
      </c>
      <c r="P90" s="101">
        <f>P81</f>
        <v/>
      </c>
      <c r="Q90" s="101">
        <f>Q81</f>
        <v/>
      </c>
      <c r="R90" s="101">
        <f>R81</f>
        <v/>
      </c>
      <c r="S90" s="101">
        <f>S81</f>
        <v/>
      </c>
      <c r="T90" s="101">
        <f>T81</f>
        <v/>
      </c>
      <c r="U90" s="101">
        <f>U81</f>
        <v/>
      </c>
      <c r="V90" s="101">
        <f>V81</f>
        <v/>
      </c>
      <c r="W90" s="101">
        <f>W81</f>
        <v/>
      </c>
      <c r="X90" s="104" t="n"/>
      <c r="Y90" s="104" t="n"/>
    </row>
    <row r="91">
      <c r="B91" s="103" t="inlineStr">
        <is>
          <t>設備折舊</t>
        </is>
      </c>
      <c r="C91" s="104" t="n"/>
      <c r="D91" s="105" t="n"/>
      <c r="E91" s="105" t="n"/>
      <c r="F91" s="105" t="n"/>
      <c r="G91" s="105" t="n"/>
      <c r="H91" s="105" t="n"/>
      <c r="I91" s="105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5" t="n"/>
      <c r="T91" s="105" t="n"/>
      <c r="U91" s="105" t="n"/>
      <c r="V91" s="105" t="n"/>
      <c r="W91" s="105" t="n"/>
      <c r="X91" s="77" t="n"/>
    </row>
    <row r="92">
      <c r="B92" s="103" t="inlineStr">
        <is>
          <t>營運活動現金流量</t>
        </is>
      </c>
      <c r="C92" s="104" t="n"/>
      <c r="D92" s="192">
        <f>SUM(D90:D91)</f>
        <v/>
      </c>
      <c r="E92" s="192">
        <f>SUM(E90:E91)</f>
        <v/>
      </c>
      <c r="F92" s="192">
        <f>SUM(F90:F91)</f>
        <v/>
      </c>
      <c r="G92" s="192">
        <f>SUM(G90:G91)</f>
        <v/>
      </c>
      <c r="H92" s="192">
        <f>SUM(H90:H91)</f>
        <v/>
      </c>
      <c r="I92" s="192">
        <f>SUM(I90:I91)</f>
        <v/>
      </c>
      <c r="J92" s="192">
        <f>SUM(J90:J91)</f>
        <v/>
      </c>
      <c r="K92" s="192">
        <f>SUM(K90:K91)</f>
        <v/>
      </c>
      <c r="L92" s="192">
        <f>SUM(L90:L91)</f>
        <v/>
      </c>
      <c r="M92" s="192">
        <f>SUM(M90:M91)</f>
        <v/>
      </c>
      <c r="N92" s="192">
        <f>SUM(N90:N91)</f>
        <v/>
      </c>
      <c r="O92" s="192">
        <f>SUM(O90:O91)</f>
        <v/>
      </c>
      <c r="P92" s="192">
        <f>SUM(P90:P91)</f>
        <v/>
      </c>
      <c r="Q92" s="192">
        <f>SUM(Q90:Q91)</f>
        <v/>
      </c>
      <c r="R92" s="192">
        <f>SUM(R90:R91)</f>
        <v/>
      </c>
      <c r="S92" s="192">
        <f>SUM(S90:S91)</f>
        <v/>
      </c>
      <c r="T92" s="192">
        <f>SUM(T90:T91)</f>
        <v/>
      </c>
      <c r="U92" s="192">
        <f>SUM(U90:U91)</f>
        <v/>
      </c>
      <c r="V92" s="192">
        <f>SUM(V90:V91)</f>
        <v/>
      </c>
      <c r="W92" s="192">
        <f>SUM(W90:W91)</f>
        <v/>
      </c>
      <c r="X92" s="107" t="n"/>
    </row>
    <row r="93">
      <c r="B93" s="103" t="n"/>
      <c r="C93" s="104" t="n"/>
      <c r="D93" s="104" t="n"/>
      <c r="E93" s="104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99" t="n"/>
    </row>
    <row r="94">
      <c r="B94" s="109" t="inlineStr">
        <is>
          <t>投資活動-設備支出</t>
        </is>
      </c>
      <c r="C94" s="110" t="n"/>
      <c r="D94" s="111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O94" s="110" t="n"/>
      <c r="P94" s="110" t="n"/>
      <c r="Q94" s="110" t="n"/>
      <c r="R94" s="110" t="n"/>
      <c r="S94" s="110" t="n"/>
      <c r="T94" s="110" t="n"/>
      <c r="U94" s="110" t="n"/>
      <c r="V94" s="110" t="n"/>
      <c r="W94" s="110" t="n"/>
      <c r="X94" s="77" t="n"/>
    </row>
    <row r="95">
      <c r="B95" s="103" t="n"/>
      <c r="C95" s="104" t="n"/>
      <c r="D95" s="104" t="n"/>
      <c r="E95" s="104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99" t="n"/>
    </row>
    <row r="96">
      <c r="B96" s="103" t="n"/>
      <c r="C96" s="104" t="n"/>
      <c r="D96" s="104" t="n"/>
      <c r="E96" s="104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99" t="n"/>
    </row>
    <row r="97">
      <c r="B97" s="109" t="inlineStr">
        <is>
          <t>理財活動-借款</t>
        </is>
      </c>
      <c r="C97" s="110" t="n"/>
      <c r="D97" s="111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O97" s="110" t="n"/>
      <c r="P97" s="110" t="n"/>
      <c r="Q97" s="110" t="n"/>
      <c r="R97" s="110" t="n"/>
      <c r="S97" s="110" t="n"/>
      <c r="T97" s="110" t="n"/>
      <c r="U97" s="110" t="n"/>
      <c r="V97" s="110" t="n"/>
      <c r="W97" s="110" t="n"/>
      <c r="X97" s="99" t="n"/>
    </row>
    <row r="98">
      <c r="B98" s="103" t="inlineStr">
        <is>
          <t>理財活動-還款</t>
        </is>
      </c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8" t="n"/>
      <c r="U98" s="108" t="n"/>
      <c r="V98" s="108" t="n"/>
      <c r="W98" s="108" t="n"/>
      <c r="X98" s="77" t="n"/>
    </row>
    <row r="99">
      <c r="B99" s="103" t="inlineStr">
        <is>
          <t>理財活動-現金增資</t>
        </is>
      </c>
      <c r="C99" s="108" t="n"/>
      <c r="D99" s="104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7" t="n"/>
    </row>
    <row r="100">
      <c r="B100" s="103" t="inlineStr">
        <is>
          <t>現金股利</t>
        </is>
      </c>
      <c r="C100" s="108" t="n"/>
      <c r="D100" s="108" t="n"/>
      <c r="E100" s="112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  <c r="U100" s="104" t="n"/>
      <c r="V100" s="108" t="n"/>
      <c r="W100" s="104" t="n"/>
      <c r="X100" s="107" t="n"/>
    </row>
    <row r="101">
      <c r="B101" s="113" t="inlineStr">
        <is>
          <t>年底減資</t>
        </is>
      </c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5" t="n"/>
      <c r="S101" s="115" t="n"/>
      <c r="T101" s="115" t="n"/>
      <c r="U101" s="115" t="n"/>
      <c r="V101" s="114" t="n"/>
      <c r="W101" s="114" t="n"/>
      <c r="X101" s="107" t="n"/>
    </row>
    <row r="102"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7" t="n"/>
    </row>
    <row r="103"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7" t="n"/>
    </row>
    <row r="104">
      <c r="B104" s="103" t="inlineStr">
        <is>
          <t>現金淨流入(出 )</t>
        </is>
      </c>
      <c r="D104" s="108" t="n"/>
      <c r="E104" s="106" t="n"/>
      <c r="F104" s="106" t="n"/>
      <c r="G104" s="106" t="n"/>
      <c r="H104" s="106" t="n"/>
      <c r="I104" s="106" t="n"/>
      <c r="J104" s="106" t="n"/>
      <c r="K104" s="106" t="n"/>
      <c r="L104" s="106" t="n"/>
      <c r="M104" s="106" t="n"/>
      <c r="N104" s="106" t="n"/>
      <c r="O104" s="106" t="n"/>
      <c r="P104" s="106" t="n"/>
      <c r="Q104" s="106" t="n"/>
      <c r="R104" s="106" t="n"/>
      <c r="S104" s="106" t="n"/>
      <c r="T104" s="106" t="n"/>
      <c r="U104" s="106" t="n"/>
      <c r="V104" s="106" t="n"/>
      <c r="W104" s="106" t="n"/>
      <c r="X104" s="107" t="n"/>
    </row>
    <row r="105">
      <c r="B105" s="103" t="inlineStr">
        <is>
          <t>期初淨現金</t>
        </is>
      </c>
      <c r="C105" s="108" t="n"/>
      <c r="D105" s="108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8" t="n"/>
      <c r="W105" s="108" t="n"/>
      <c r="X105" s="99" t="n"/>
    </row>
    <row r="106">
      <c r="B106" s="103" t="inlineStr">
        <is>
          <t>期未淨現金</t>
        </is>
      </c>
      <c r="C106" s="108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  <c r="U106" s="104" t="n"/>
      <c r="V106" s="108" t="n"/>
      <c r="W106" s="108" t="n"/>
      <c r="X106" s="99" t="n"/>
    </row>
    <row r="107">
      <c r="B107" s="103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16" t="n"/>
    </row>
    <row r="108">
      <c r="B108" s="103" t="n"/>
      <c r="C108" s="104" t="n"/>
      <c r="D108" s="104" t="n"/>
      <c r="E108" s="104" t="n"/>
      <c r="F108" s="108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16" t="n"/>
    </row>
    <row r="109">
      <c r="B109" s="117" t="inlineStr">
        <is>
          <t>成本法實際現金流</t>
        </is>
      </c>
      <c r="C109" s="118" t="n"/>
      <c r="D109" s="193">
        <f>-D97</f>
        <v/>
      </c>
      <c r="E109" s="192">
        <f>-E100-E101</f>
        <v/>
      </c>
      <c r="F109" s="192">
        <f>-F100-F101</f>
        <v/>
      </c>
      <c r="G109" s="192">
        <f>-G100-G101</f>
        <v/>
      </c>
      <c r="H109" s="192">
        <f>-H100-H101</f>
        <v/>
      </c>
      <c r="I109" s="192">
        <f>-I100-I101</f>
        <v/>
      </c>
      <c r="J109" s="192">
        <f>-J100-J101</f>
        <v/>
      </c>
      <c r="K109" s="192">
        <f>-K100-K101</f>
        <v/>
      </c>
      <c r="L109" s="192">
        <f>-L100-L101</f>
        <v/>
      </c>
      <c r="M109" s="192">
        <f>-M100-M101</f>
        <v/>
      </c>
      <c r="N109" s="192">
        <f>-N100-N101</f>
        <v/>
      </c>
      <c r="O109" s="192">
        <f>-O100-O101</f>
        <v/>
      </c>
      <c r="P109" s="192">
        <f>-P100-P101</f>
        <v/>
      </c>
      <c r="Q109" s="192">
        <f>-Q100-Q101</f>
        <v/>
      </c>
      <c r="R109" s="192">
        <f>-R100-R101</f>
        <v/>
      </c>
      <c r="S109" s="192">
        <f>-S100-S101</f>
        <v/>
      </c>
      <c r="T109" s="192">
        <f>-T100-T101</f>
        <v/>
      </c>
      <c r="U109" s="192">
        <f>-U100-U101</f>
        <v/>
      </c>
      <c r="V109" s="192">
        <f>-V100-V101</f>
        <v/>
      </c>
      <c r="W109" s="192">
        <f>-W100-W101</f>
        <v/>
      </c>
      <c r="X109" s="192">
        <f>-X100-X101</f>
        <v/>
      </c>
    </row>
    <row r="110">
      <c r="B110" s="103" t="inlineStr">
        <is>
          <t>成本法IRR</t>
        </is>
      </c>
      <c r="C110" s="120">
        <f>IRR(D109:X109)</f>
        <v/>
      </c>
      <c r="D110" s="150" t="n"/>
      <c r="E110" s="150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  <c r="U110" s="104" t="n"/>
      <c r="V110" s="104" t="n"/>
      <c r="W110" s="104" t="n"/>
      <c r="X110" s="116" t="n"/>
    </row>
    <row r="111">
      <c r="B111" s="117" t="inlineStr">
        <is>
          <t>權益法實際現金流</t>
        </is>
      </c>
      <c r="C111" s="118" t="n"/>
      <c r="D111" s="193">
        <f>D90-D99</f>
        <v/>
      </c>
      <c r="E111" s="192">
        <f>E90</f>
        <v/>
      </c>
      <c r="F111" s="192">
        <f>F90</f>
        <v/>
      </c>
      <c r="G111" s="192">
        <f>G90</f>
        <v/>
      </c>
      <c r="H111" s="192">
        <f>H90</f>
        <v/>
      </c>
      <c r="I111" s="192">
        <f>I90</f>
        <v/>
      </c>
      <c r="J111" s="192">
        <f>J90</f>
        <v/>
      </c>
      <c r="K111" s="192">
        <f>K90</f>
        <v/>
      </c>
      <c r="L111" s="192">
        <f>L90</f>
        <v/>
      </c>
      <c r="M111" s="192">
        <f>M90</f>
        <v/>
      </c>
      <c r="N111" s="192">
        <f>N90</f>
        <v/>
      </c>
      <c r="O111" s="192">
        <f>O90</f>
        <v/>
      </c>
      <c r="P111" s="192">
        <f>P90</f>
        <v/>
      </c>
      <c r="Q111" s="192">
        <f>Q90</f>
        <v/>
      </c>
      <c r="R111" s="192">
        <f>R90</f>
        <v/>
      </c>
      <c r="S111" s="192">
        <f>S90</f>
        <v/>
      </c>
      <c r="T111" s="192">
        <f>T90</f>
        <v/>
      </c>
      <c r="U111" s="192">
        <f>U90</f>
        <v/>
      </c>
      <c r="V111" s="192">
        <f>V90</f>
        <v/>
      </c>
      <c r="W111" s="192">
        <f>W90</f>
        <v/>
      </c>
      <c r="X111" s="77" t="n"/>
    </row>
    <row r="112">
      <c r="B112" s="117" t="inlineStr">
        <is>
          <t>權益法IRR</t>
        </is>
      </c>
      <c r="C112" s="120">
        <f>IRR(D111:W111)</f>
        <v/>
      </c>
      <c r="D112" s="150" t="n"/>
      <c r="E112" s="150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  <c r="U112" s="104" t="n"/>
      <c r="V112" s="104" t="n"/>
      <c r="W112" s="104" t="n"/>
      <c r="X112" s="116" t="n"/>
    </row>
    <row r="113">
      <c r="B113" s="103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16" t="n"/>
    </row>
    <row r="114">
      <c r="B114" s="103" t="inlineStr">
        <is>
          <t>借款餘額</t>
        </is>
      </c>
      <c r="C114" s="108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8" t="n"/>
      <c r="U114" s="108" t="n"/>
      <c r="V114" s="108" t="n"/>
      <c r="W114" s="108" t="n"/>
      <c r="X114" s="108" t="n"/>
    </row>
    <row r="115"/>
    <row r="116">
      <c r="B116" s="122" t="n"/>
    </row>
    <row r="117" ht="16.5" customHeight="1">
      <c r="G117" s="69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0.5703125" customWidth="1" min="1" max="1"/>
    <col width="33.140625" customWidth="1" min="2" max="2"/>
    <col width="19.42578125" customWidth="1" min="3" max="3"/>
    <col width="17.85546875" customWidth="1" min="4" max="4"/>
    <col width="17.85546875" customWidth="1" min="24" max="24"/>
    <col width="30" customWidth="1" min="25" max="25"/>
    <col width="13.5703125" customWidth="1" min="26" max="26"/>
    <col width="19.5703125" customWidth="1" min="30" max="30"/>
    <col width="20.5703125" customWidth="1" min="31" max="31"/>
    <col width="20.28515625" customWidth="1" min="32" max="32"/>
    <col width="20.85546875" customWidth="1" min="33" max="33"/>
    <col width="15.5703125" customWidth="1" min="34" max="34"/>
    <col width="36.85546875" customWidth="1" min="35" max="35"/>
    <col width="32.5703125" customWidth="1" min="36" max="36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4</t>
        </is>
      </c>
    </row>
    <row r="5" ht="22.5" customHeight="1">
      <c r="B5" s="161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第3次滾算摘要</t>
        </is>
      </c>
    </row>
    <row r="6" ht="20.25" customHeight="1">
      <c r="B6" s="162" t="n"/>
      <c r="C6" s="163" t="n"/>
      <c r="D6" s="163" t="n"/>
      <c r="E6" s="163" t="n"/>
      <c r="M6" t="inlineStr">
        <is>
          <t>價金: 26000</t>
        </is>
      </c>
    </row>
    <row r="7" ht="22.5" customHeight="1">
      <c r="B7" s="164" t="inlineStr">
        <is>
          <t>綜合損益表</t>
        </is>
      </c>
      <c r="C7" s="153" t="n"/>
      <c r="D7" s="153" t="n"/>
      <c r="E7" s="154" t="n"/>
      <c r="M7" t="inlineStr">
        <is>
          <t>專案IRR: 5.74</t>
        </is>
      </c>
    </row>
    <row r="8" ht="22.5" customHeight="1">
      <c r="B8" s="165" t="inlineStr">
        <is>
          <t>收入</t>
        </is>
      </c>
      <c r="C8" s="166" t="n"/>
      <c r="D8" s="166" t="n"/>
      <c r="E8" s="167" t="n"/>
      <c r="M8" t="inlineStr">
        <is>
          <t>權益法IRR: 16.54</t>
        </is>
      </c>
    </row>
    <row r="9" ht="22.5" customHeight="1">
      <c r="B9" s="168" t="inlineStr">
        <is>
          <t>收支項目</t>
        </is>
      </c>
      <c r="C9" s="169" t="inlineStr">
        <is>
          <t>相關參數</t>
        </is>
      </c>
      <c r="D9" s="169" t="inlineStr">
        <is>
          <t>參數數值</t>
        </is>
      </c>
      <c r="E9" s="170" t="inlineStr">
        <is>
          <t>年限</t>
        </is>
      </c>
      <c r="M9" t="inlineStr">
        <is>
          <t>利潤率: 20.00%</t>
        </is>
      </c>
    </row>
    <row r="10" ht="21.75" customHeight="1">
      <c r="B10" s="171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72" t="n">
        <v>20</v>
      </c>
      <c r="M10" t="inlineStr">
        <is>
          <t>第3次滾算，減少 1000 元 - 現金模式，每次減少 1000 元</t>
        </is>
      </c>
    </row>
    <row r="11" ht="21.75" customHeight="1">
      <c r="B11" s="173" t="n"/>
      <c r="C11" s="159" t="inlineStr">
        <is>
          <t>首年衰退率</t>
        </is>
      </c>
      <c r="D11" s="174" t="n">
        <v>0.01</v>
      </c>
      <c r="E11" s="173" t="n"/>
    </row>
    <row r="12" ht="21.75" customHeight="1">
      <c r="B12" s="173" t="n"/>
      <c r="C12" s="159" t="inlineStr">
        <is>
          <t>次年衰退率</t>
        </is>
      </c>
      <c r="D12" s="175" t="n">
        <v>0.004</v>
      </c>
      <c r="E12" s="173" t="n"/>
    </row>
    <row r="13" ht="22.5" customHeight="1">
      <c r="B13" s="173" t="n"/>
      <c r="C13" s="176" t="inlineStr">
        <is>
          <t>躉售費率(FIT)</t>
        </is>
      </c>
      <c r="D13" s="176" t="n">
        <v>3.7152</v>
      </c>
      <c r="E13" s="173" t="n"/>
    </row>
    <row r="14" ht="22.5" customHeight="1">
      <c r="B14" s="177" t="inlineStr">
        <is>
          <t>支出</t>
        </is>
      </c>
      <c r="C14" s="153" t="n"/>
      <c r="D14" s="153" t="n"/>
      <c r="E14" s="154" t="n"/>
    </row>
    <row r="15" ht="22.5" customHeight="1">
      <c r="B15" s="168" t="inlineStr">
        <is>
          <t>收支項目</t>
        </is>
      </c>
      <c r="C15" s="169" t="inlineStr">
        <is>
          <t>相關參數</t>
        </is>
      </c>
      <c r="D15" s="169" t="inlineStr">
        <is>
          <t>參數數值</t>
        </is>
      </c>
      <c r="E15" s="178" t="inlineStr">
        <is>
          <t>攤提年限</t>
        </is>
      </c>
    </row>
    <row r="16" ht="21.75" customHeight="1">
      <c r="B16" s="179" t="inlineStr">
        <is>
          <t>設備費用(價金)</t>
        </is>
      </c>
      <c r="C16" s="180" t="inlineStr">
        <is>
          <t>每kWp設備成本</t>
        </is>
      </c>
      <c r="D16" s="156" t="n">
        <v>26000</v>
      </c>
      <c r="E16" s="181" t="n">
        <v>20</v>
      </c>
    </row>
    <row r="17" ht="21.75" customHeight="1">
      <c r="B17" s="173" t="n"/>
      <c r="C17" s="159" t="inlineStr">
        <is>
          <t>信邦利潤率</t>
        </is>
      </c>
      <c r="D17" s="159" t="n">
        <v>0.2</v>
      </c>
      <c r="E17" s="173" t="n"/>
    </row>
    <row r="18" ht="21.75" customHeight="1">
      <c r="B18" s="182" t="n"/>
      <c r="C18" s="159" t="inlineStr">
        <is>
          <t>開發費</t>
        </is>
      </c>
      <c r="D18" s="159" t="n">
        <v>2000</v>
      </c>
      <c r="E18" s="182" t="n"/>
    </row>
    <row r="19" ht="54" customHeight="1">
      <c r="B19" s="183" t="inlineStr">
        <is>
          <t>租金費用</t>
        </is>
      </c>
      <c r="C19" s="184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3" t="n"/>
      <c r="C20" s="185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82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61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61" t="inlineStr">
        <is>
          <t>保險費用</t>
        </is>
      </c>
      <c r="C23" s="186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61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61" t="inlineStr">
        <is>
          <t>利息費用</t>
        </is>
      </c>
      <c r="C25" s="159" t="inlineStr">
        <is>
          <t>銀行利率</t>
        </is>
      </c>
      <c r="D25" s="187" t="n">
        <v>0.025595</v>
      </c>
      <c r="E25" s="160" t="n">
        <v>0</v>
      </c>
    </row>
    <row r="26" ht="22.5" customHeight="1">
      <c r="B26" s="161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2" t="n"/>
      <c r="C27" s="163" t="n"/>
      <c r="D27" s="163" t="n"/>
      <c r="E27" s="163" t="n"/>
    </row>
    <row r="28" ht="20.25" customHeight="1">
      <c r="B28" s="162" t="n"/>
      <c r="C28" s="163" t="n"/>
      <c r="D28" s="163" t="n"/>
      <c r="E28" s="163" t="n"/>
    </row>
    <row r="29" ht="22.5" customHeight="1">
      <c r="B29" s="164" t="inlineStr">
        <is>
          <t>現金流量表</t>
        </is>
      </c>
      <c r="C29" s="153" t="n"/>
      <c r="D29" s="154" t="n"/>
      <c r="E29" s="163" t="n"/>
    </row>
    <row r="30" ht="22.5" customHeight="1">
      <c r="B30" s="168" t="inlineStr">
        <is>
          <t>金流項目</t>
        </is>
      </c>
      <c r="C30" s="169" t="inlineStr">
        <is>
          <t>相關參數</t>
        </is>
      </c>
      <c r="D30" s="178" t="inlineStr">
        <is>
          <t>參數數值</t>
        </is>
      </c>
      <c r="E30" s="163" t="n"/>
    </row>
    <row r="31" ht="18.75" customHeight="1">
      <c r="B31" s="155" t="inlineStr">
        <is>
          <t>貸款成數</t>
        </is>
      </c>
      <c r="C31" s="180" t="inlineStr">
        <is>
          <t>占總設備費用比例</t>
        </is>
      </c>
      <c r="D31" s="156" t="n">
        <v>0.8</v>
      </c>
      <c r="E31" s="163" t="n"/>
    </row>
    <row r="32" ht="18.75" customHeight="1">
      <c r="B32" s="188" t="inlineStr">
        <is>
          <t>貸款還款</t>
        </is>
      </c>
      <c r="C32" s="156" t="inlineStr">
        <is>
          <t>攤還期數</t>
        </is>
      </c>
      <c r="D32" s="156" t="n">
        <v>15</v>
      </c>
      <c r="E32" s="163" t="n"/>
    </row>
    <row r="33" ht="18.75" customHeight="1">
      <c r="B33" s="161" t="inlineStr">
        <is>
          <t>現金股利</t>
        </is>
      </c>
      <c r="C33" s="159" t="inlineStr">
        <is>
          <t>股利比率</t>
        </is>
      </c>
      <c r="D33" s="159" t="n">
        <v>0.9</v>
      </c>
      <c r="E33" s="163" t="n"/>
    </row>
    <row r="34" ht="18.75" customHeight="1">
      <c r="B34" s="161" t="inlineStr">
        <is>
          <t>年底減資</t>
        </is>
      </c>
      <c r="C34" s="159" t="inlineStr">
        <is>
          <t>攤還期數</t>
        </is>
      </c>
      <c r="D34" s="159" t="n">
        <v>4</v>
      </c>
      <c r="E34" s="163" t="n"/>
    </row>
    <row r="35" ht="18.75" customHeight="1"/>
    <row r="36" ht="18.75" customHeight="1"/>
    <row r="37" ht="18.75" customHeight="1">
      <c r="B37" s="28" t="n"/>
      <c r="C37" s="29" t="inlineStr">
        <is>
          <t>年份</t>
        </is>
      </c>
      <c r="D37" s="29" t="n">
        <v>2020</v>
      </c>
      <c r="E37" s="29" t="n">
        <v>2021</v>
      </c>
      <c r="F37" s="29" t="n">
        <v>2022</v>
      </c>
      <c r="G37" s="29" t="n">
        <v>2023</v>
      </c>
      <c r="H37" s="29" t="n">
        <v>2024</v>
      </c>
      <c r="I37" s="29" t="n">
        <v>2025</v>
      </c>
      <c r="J37" s="29" t="n">
        <v>2026</v>
      </c>
      <c r="K37" s="29" t="n">
        <v>2027</v>
      </c>
      <c r="L37" s="29" t="n">
        <v>2028</v>
      </c>
      <c r="M37" s="29" t="n">
        <v>2029</v>
      </c>
      <c r="N37" s="29" t="n">
        <v>2030</v>
      </c>
      <c r="O37" s="29" t="n">
        <v>2031</v>
      </c>
      <c r="P37" s="29" t="n">
        <v>2032</v>
      </c>
      <c r="Q37" s="29" t="n">
        <v>2033</v>
      </c>
      <c r="R37" s="29" t="n">
        <v>2034</v>
      </c>
      <c r="S37" s="29" t="n">
        <v>2035</v>
      </c>
      <c r="T37" s="29" t="n">
        <v>2036</v>
      </c>
      <c r="U37" s="29" t="n">
        <v>2037</v>
      </c>
      <c r="V37" s="29" t="n">
        <v>2038</v>
      </c>
      <c r="W37" s="29" t="n">
        <v>2039</v>
      </c>
      <c r="X37" s="30" t="n"/>
    </row>
    <row r="38" ht="18.75" customHeight="1">
      <c r="B38" s="31" t="n">
        <v>0</v>
      </c>
      <c r="C38" s="32" t="n"/>
      <c r="D38" s="33" t="n"/>
      <c r="E38" s="33" t="n"/>
      <c r="F38" s="34" t="inlineStr">
        <is>
          <t>手動計算值</t>
        </is>
      </c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6" t="inlineStr">
        <is>
          <t>償還年限</t>
        </is>
      </c>
      <c r="U38" s="35" t="n"/>
      <c r="V38" s="35" t="n"/>
      <c r="W38" s="35" t="n"/>
      <c r="X38" s="37" t="n"/>
    </row>
    <row r="39" ht="18.75" customHeight="1">
      <c r="B39" s="38" t="inlineStr">
        <is>
          <t>(Unit : Currency)</t>
        </is>
      </c>
      <c r="C39" s="39" t="n">
        <v>0</v>
      </c>
      <c r="D39" s="40" t="n">
        <v>1</v>
      </c>
      <c r="E39" s="40" t="n">
        <v>2</v>
      </c>
      <c r="F39" s="40" t="n">
        <v>3</v>
      </c>
      <c r="G39" s="40" t="n">
        <v>4</v>
      </c>
      <c r="H39" s="40" t="n">
        <v>5</v>
      </c>
      <c r="I39" s="40" t="n">
        <v>6</v>
      </c>
      <c r="J39" s="40" t="n">
        <v>7</v>
      </c>
      <c r="K39" s="40" t="n">
        <v>8</v>
      </c>
      <c r="L39" s="40" t="n">
        <v>9</v>
      </c>
      <c r="M39" s="40" t="n">
        <v>10</v>
      </c>
      <c r="N39" s="40" t="n">
        <v>11</v>
      </c>
      <c r="O39" s="40" t="n">
        <v>12</v>
      </c>
      <c r="P39" s="40" t="n">
        <v>13</v>
      </c>
      <c r="Q39" s="40" t="n">
        <v>14</v>
      </c>
      <c r="R39" s="40" t="n">
        <v>15</v>
      </c>
      <c r="S39" s="40" t="n">
        <v>16</v>
      </c>
      <c r="T39" s="41" t="n">
        <v>17</v>
      </c>
      <c r="U39" s="40" t="n">
        <v>18</v>
      </c>
      <c r="V39" s="40" t="n">
        <v>19</v>
      </c>
      <c r="W39" s="40" t="n">
        <v>20</v>
      </c>
      <c r="X39" s="42" t="n"/>
    </row>
    <row r="40" ht="18.75" customHeight="1">
      <c r="B40" s="43" t="inlineStr">
        <is>
          <t>發電度數(KWH)</t>
        </is>
      </c>
      <c r="C40" s="39" t="n">
        <v>0</v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4" t="n"/>
    </row>
    <row r="41" ht="18.75" customHeight="1">
      <c r="B41" s="45" t="inlineStr">
        <is>
          <t>Inflow : 電費收入</t>
        </is>
      </c>
      <c r="C41" s="46" t="inlineStr">
        <is>
          <t>-</t>
        </is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8" t="n"/>
    </row>
    <row r="42" ht="18.75" customHeight="1">
      <c r="B42" s="49" t="inlineStr">
        <is>
          <t>Inflow : 政府補助</t>
        </is>
      </c>
      <c r="C42" s="39" t="inlineStr">
        <is>
          <t>-</t>
        </is>
      </c>
      <c r="D42" s="40" t="n"/>
      <c r="E42" s="40" t="n"/>
      <c r="F42" s="40" t="n"/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40" t="inlineStr">
        <is>
          <t>-</t>
        </is>
      </c>
      <c r="X42" s="50" t="n"/>
    </row>
    <row r="43" ht="18.75" customHeight="1">
      <c r="B43" s="51" t="inlineStr">
        <is>
          <t>Inflow : 銀行借款</t>
        </is>
      </c>
      <c r="C43" s="52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4" t="n"/>
    </row>
    <row r="44" ht="18.75" customHeight="1">
      <c r="B44" s="55" t="inlineStr">
        <is>
          <t>Outflow : 設備費用</t>
        </is>
      </c>
      <c r="C44" s="39" t="n"/>
      <c r="D44" s="56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50" t="n"/>
    </row>
    <row r="45" ht="18.75" customHeight="1">
      <c r="B45" s="55" t="inlineStr">
        <is>
          <t>Outflow : 設備放置區域租金</t>
        </is>
      </c>
      <c r="C45" s="39" t="inlineStr">
        <is>
          <t>-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50" t="n"/>
    </row>
    <row r="46" ht="18.75" customHeight="1">
      <c r="B46" s="55" t="inlineStr">
        <is>
          <t>Outflow : 返還借款</t>
        </is>
      </c>
      <c r="C46" s="39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50" t="n"/>
    </row>
    <row r="47" ht="18.75" customHeight="1">
      <c r="B47" s="55" t="inlineStr">
        <is>
          <t>Outflow : 利息費用</t>
        </is>
      </c>
      <c r="C47" s="39" t="inlineStr">
        <is>
          <t>-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50" t="n"/>
    </row>
    <row r="48" ht="18.75" customHeight="1">
      <c r="B48" s="55" t="inlineStr">
        <is>
          <t>Outflow : 維運費</t>
        </is>
      </c>
      <c r="C48" s="39" t="inlineStr">
        <is>
          <t>-</t>
        </is>
      </c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50" t="n"/>
    </row>
    <row r="49" ht="18.75" customHeight="1">
      <c r="B49" s="55" t="inlineStr">
        <is>
          <t>Outflow : 保險費</t>
        </is>
      </c>
      <c r="C49" s="39" t="inlineStr">
        <is>
          <t>-</t>
        </is>
      </c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50" t="n"/>
    </row>
    <row r="50" ht="18.75" customHeight="1">
      <c r="B50" s="55" t="inlineStr">
        <is>
          <t>Outflow : 模組回收費</t>
        </is>
      </c>
      <c r="C50" s="39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50" t="n"/>
    </row>
    <row r="51" ht="18.75" customHeight="1">
      <c r="B51" s="55" t="inlineStr">
        <is>
          <t>Outflow : 其它費用(人事薪資…等)</t>
        </is>
      </c>
      <c r="C51" s="57" t="n"/>
      <c r="D51" s="58" t="n"/>
      <c r="E51" s="59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50" t="n"/>
    </row>
    <row r="52" ht="18.75" customHeight="1">
      <c r="B52" s="55" t="inlineStr">
        <is>
          <t>1%管理費</t>
        </is>
      </c>
      <c r="C52" s="57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50" t="n"/>
    </row>
    <row r="53" ht="18.75" customHeight="1">
      <c r="B53" s="60" t="inlineStr">
        <is>
          <t>績效獎金</t>
        </is>
      </c>
      <c r="C53" s="57" t="n"/>
      <c r="D53" s="61" t="n"/>
      <c r="E53" s="61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50" t="n"/>
    </row>
    <row r="54" ht="18.75" customHeight="1">
      <c r="B54" s="60" t="inlineStr">
        <is>
          <t>所得稅20%</t>
        </is>
      </c>
      <c r="C54" s="57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50" t="n"/>
    </row>
    <row r="55" ht="18.75" customHeight="1">
      <c r="B55" s="189" t="inlineStr">
        <is>
          <t>現金流</t>
        </is>
      </c>
      <c r="C55" s="71">
        <f>C44</f>
        <v/>
      </c>
      <c r="D55" s="66">
        <f>SUM(D41:D54)</f>
        <v/>
      </c>
      <c r="E55" s="66">
        <f>SUM(E41:E54)</f>
        <v/>
      </c>
      <c r="F55" s="66">
        <f>SUM(F41:F54)</f>
        <v/>
      </c>
      <c r="G55" s="66">
        <f>SUM(G41:G54)</f>
        <v/>
      </c>
      <c r="H55" s="66">
        <f>SUM(H41:H54)</f>
        <v/>
      </c>
      <c r="I55" s="66">
        <f>SUM(I41:I54)</f>
        <v/>
      </c>
      <c r="J55" s="66">
        <f>SUM(J41:J54)</f>
        <v/>
      </c>
      <c r="K55" s="66">
        <f>SUM(K41:K54)</f>
        <v/>
      </c>
      <c r="L55" s="66">
        <f>SUM(L41:L54)</f>
        <v/>
      </c>
      <c r="M55" s="66">
        <f>SUM(M41:M54)</f>
        <v/>
      </c>
      <c r="N55" s="66">
        <f>SUM(N41:N54)</f>
        <v/>
      </c>
      <c r="O55" s="66">
        <f>SUM(O41:O54)</f>
        <v/>
      </c>
      <c r="P55" s="66">
        <f>SUM(P41:P54)</f>
        <v/>
      </c>
      <c r="Q55" s="66">
        <f>SUM(Q41:Q54)</f>
        <v/>
      </c>
      <c r="R55" s="66">
        <f>SUM(R41:R54)</f>
        <v/>
      </c>
      <c r="S55" s="66">
        <f>SUM(S41:S54)</f>
        <v/>
      </c>
      <c r="T55" s="66">
        <f>SUM(T41:T54)</f>
        <v/>
      </c>
      <c r="U55" s="66">
        <f>SUM(U41:U54)</f>
        <v/>
      </c>
      <c r="V55" s="66">
        <f>SUM(V41:V54)</f>
        <v/>
      </c>
      <c r="W55" s="66">
        <f>SUM(W41:W54)</f>
        <v/>
      </c>
      <c r="X55" s="66">
        <f>SUM(X41:X54)</f>
        <v/>
      </c>
      <c r="Y55" s="68" t="n"/>
      <c r="Z55" s="69" t="n"/>
      <c r="AA55" s="68" t="n"/>
      <c r="AB55" s="68" t="n"/>
      <c r="AC55" s="68" t="n"/>
      <c r="AD55" s="68" t="n"/>
      <c r="AE55" s="68" t="n"/>
      <c r="AF55" s="68" t="n"/>
      <c r="AG55" s="68" t="n"/>
      <c r="AH55" s="68" t="n"/>
      <c r="AI55" s="68" t="n"/>
      <c r="AJ55" s="68" t="n"/>
    </row>
    <row r="56" ht="18.75" customHeight="1">
      <c r="B56" s="70" t="inlineStr">
        <is>
          <t>累計現金流</t>
        </is>
      </c>
      <c r="D56" s="72">
        <f>C55+D55</f>
        <v/>
      </c>
      <c r="E56" s="72">
        <f>D56+E55</f>
        <v/>
      </c>
      <c r="F56" s="72">
        <f>E56+F55</f>
        <v/>
      </c>
      <c r="G56" s="72">
        <f>F56+G55</f>
        <v/>
      </c>
      <c r="H56" s="72">
        <f>G56+H55</f>
        <v/>
      </c>
      <c r="I56" s="72">
        <f>H56+I55</f>
        <v/>
      </c>
      <c r="J56" s="72">
        <f>I56+J55</f>
        <v/>
      </c>
      <c r="K56" s="72">
        <f>J56+K55</f>
        <v/>
      </c>
      <c r="L56" s="72">
        <f>K56+L55</f>
        <v/>
      </c>
      <c r="M56" s="72">
        <f>L56+M55</f>
        <v/>
      </c>
      <c r="N56" s="72">
        <f>M56+N55</f>
        <v/>
      </c>
      <c r="O56" s="72">
        <f>N56+O55</f>
        <v/>
      </c>
      <c r="P56" s="72">
        <f>O56+P55</f>
        <v/>
      </c>
      <c r="Q56" s="72">
        <f>P56+Q55</f>
        <v/>
      </c>
      <c r="R56" s="72">
        <f>Q56+R55</f>
        <v/>
      </c>
      <c r="S56" s="72">
        <f>R56+S55</f>
        <v/>
      </c>
      <c r="T56" s="72">
        <f>S56+T55</f>
        <v/>
      </c>
      <c r="U56" s="72">
        <f>T56+U55</f>
        <v/>
      </c>
      <c r="V56" s="72">
        <f>U56+V55</f>
        <v/>
      </c>
      <c r="W56" s="72">
        <f>V56+W55</f>
        <v/>
      </c>
      <c r="X56" s="72">
        <f>W56+X55</f>
        <v/>
      </c>
      <c r="Y56" s="68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  <c r="AJ56" s="68" t="n"/>
    </row>
    <row r="57" ht="18.75" customHeight="1">
      <c r="B57" s="74" t="inlineStr">
        <is>
          <t>Discounted cash flow</t>
        </is>
      </c>
      <c r="C57" s="75" t="n">
        <v>-37721416.4</v>
      </c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  <c r="AJ57" s="68" t="n"/>
    </row>
    <row r="58" ht="18.75" customHeight="1">
      <c r="B58" s="74" t="inlineStr">
        <is>
          <t>Minus : Depreciation</t>
        </is>
      </c>
      <c r="C58" s="79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  <c r="W58" s="61" t="n"/>
      <c r="X58" s="80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  <c r="AJ58" s="68" t="n"/>
    </row>
    <row r="59" ht="18.75" customHeight="1">
      <c r="B59" s="74" t="inlineStr">
        <is>
          <t>Plus : Principle payment</t>
        </is>
      </c>
      <c r="C59" s="79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61" t="n"/>
      <c r="U59" s="61" t="n"/>
      <c r="V59" s="61" t="n"/>
      <c r="W59" s="61" t="n"/>
      <c r="X59" s="80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  <c r="AJ59" s="68" t="n"/>
    </row>
    <row r="60" ht="18.75" customHeight="1">
      <c r="B60" s="81" t="inlineStr">
        <is>
          <t>Profit</t>
        </is>
      </c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85" t="inlineStr">
        <is>
          <t>EPS</t>
        </is>
      </c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  <c r="AJ61" s="68" t="n"/>
    </row>
    <row r="62" ht="18.75" customHeight="1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  <c r="AJ62" s="68" t="n"/>
    </row>
    <row r="63" ht="18.75" customHeight="1">
      <c r="B63" s="190" t="inlineStr">
        <is>
          <t>專案法IRR</t>
        </is>
      </c>
      <c r="C63" s="149">
        <f>IRR(C55:X55)</f>
        <v/>
      </c>
      <c r="D63" s="149" t="n"/>
      <c r="E63" s="14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95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  <c r="AJ63" s="68" t="n"/>
    </row>
    <row r="64" ht="18.75" customHeight="1">
      <c r="B64" s="28" t="n"/>
      <c r="C64" s="149" t="n"/>
      <c r="D64" s="149" t="n"/>
      <c r="E64" s="149" t="n"/>
      <c r="F64" s="59" t="n"/>
      <c r="G64" s="59" t="n"/>
      <c r="H64" s="59" t="n"/>
      <c r="I64" s="59" t="n"/>
      <c r="J64" s="59" t="n"/>
      <c r="K64" s="59" t="n"/>
      <c r="L64" s="59" t="n"/>
      <c r="M64" s="96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95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  <c r="AJ64" s="68" t="n"/>
    </row>
    <row r="65" ht="18.75" customHeight="1">
      <c r="B65" s="28" t="n"/>
      <c r="C65" s="29" t="inlineStr">
        <is>
          <t>年份</t>
        </is>
      </c>
      <c r="D65" s="29" t="n">
        <v>2020</v>
      </c>
      <c r="E65" s="29" t="n">
        <v>2021</v>
      </c>
      <c r="F65" s="29" t="n">
        <v>2022</v>
      </c>
      <c r="G65" s="29" t="n">
        <v>2023</v>
      </c>
      <c r="H65" s="29" t="n">
        <v>2024</v>
      </c>
      <c r="I65" s="29" t="n">
        <v>2025</v>
      </c>
      <c r="J65" s="29" t="n">
        <v>2026</v>
      </c>
      <c r="K65" s="29" t="n">
        <v>2027</v>
      </c>
      <c r="L65" s="29" t="n">
        <v>2028</v>
      </c>
      <c r="M65" s="29" t="n">
        <v>2029</v>
      </c>
      <c r="N65" s="29" t="n">
        <v>2030</v>
      </c>
      <c r="O65" s="29" t="n">
        <v>2031</v>
      </c>
      <c r="P65" s="29" t="n">
        <v>2032</v>
      </c>
      <c r="Q65" s="29" t="n">
        <v>2033</v>
      </c>
      <c r="R65" s="29" t="n">
        <v>2034</v>
      </c>
      <c r="S65" s="29" t="n">
        <v>2035</v>
      </c>
      <c r="T65" s="29" t="n">
        <v>2036</v>
      </c>
      <c r="U65" s="29" t="n">
        <v>2037</v>
      </c>
      <c r="V65" s="29" t="n">
        <v>2038</v>
      </c>
      <c r="W65" s="29" t="n">
        <v>2039</v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 ht="18.75" customHeight="1">
      <c r="B66" s="31" t="n">
        <v>0</v>
      </c>
      <c r="C66" s="32" t="n"/>
      <c r="D66" s="33" t="n"/>
      <c r="E66" s="33" t="n"/>
      <c r="F66" s="34" t="inlineStr">
        <is>
          <t>手動計算值</t>
        </is>
      </c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6" t="inlineStr">
        <is>
          <t>償還年限</t>
        </is>
      </c>
      <c r="U66" s="35" t="n"/>
      <c r="V66" s="35" t="n"/>
      <c r="W66" s="35" t="n"/>
      <c r="X66" s="37" t="n"/>
    </row>
    <row r="67" ht="18.75" customHeight="1">
      <c r="B67" s="38" t="inlineStr">
        <is>
          <t>(Unit : Currency)</t>
        </is>
      </c>
      <c r="C67" s="39" t="n">
        <v>0</v>
      </c>
      <c r="D67" s="40" t="n">
        <v>1</v>
      </c>
      <c r="E67" s="40" t="n">
        <v>2</v>
      </c>
      <c r="F67" s="40" t="n">
        <v>3</v>
      </c>
      <c r="G67" s="40" t="n">
        <v>4</v>
      </c>
      <c r="H67" s="40" t="n">
        <v>5</v>
      </c>
      <c r="I67" s="40" t="n">
        <v>6</v>
      </c>
      <c r="J67" s="40" t="n">
        <v>7</v>
      </c>
      <c r="K67" s="40" t="n">
        <v>8</v>
      </c>
      <c r="L67" s="40" t="n">
        <v>9</v>
      </c>
      <c r="M67" s="40" t="n">
        <v>10</v>
      </c>
      <c r="N67" s="40" t="n">
        <v>11</v>
      </c>
      <c r="O67" s="40" t="n">
        <v>12</v>
      </c>
      <c r="P67" s="40" t="n">
        <v>13</v>
      </c>
      <c r="Q67" s="40" t="n">
        <v>14</v>
      </c>
      <c r="R67" s="40" t="n">
        <v>15</v>
      </c>
      <c r="S67" s="40" t="n">
        <v>16</v>
      </c>
      <c r="T67" s="41" t="n">
        <v>17</v>
      </c>
      <c r="U67" s="40" t="n">
        <v>18</v>
      </c>
      <c r="V67" s="40" t="n">
        <v>19</v>
      </c>
      <c r="W67" s="40" t="n">
        <v>20</v>
      </c>
      <c r="X67" s="42" t="n"/>
    </row>
    <row r="68" ht="18.75" customHeight="1">
      <c r="B68" s="43" t="inlineStr">
        <is>
          <t>發電度數(KWH)</t>
        </is>
      </c>
      <c r="C68" s="39" t="n">
        <v>0</v>
      </c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4" t="n"/>
    </row>
    <row r="69" ht="18.75" customHeight="1">
      <c r="B69" s="45" t="inlineStr">
        <is>
          <t>Inflow : 電費收入</t>
        </is>
      </c>
      <c r="C69" s="46" t="inlineStr">
        <is>
          <t>-</t>
        </is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8" t="n"/>
    </row>
    <row r="70" ht="18.75" customHeight="1">
      <c r="B70" s="49" t="inlineStr">
        <is>
          <t>Inflow : 政府補助</t>
        </is>
      </c>
      <c r="C70" s="39" t="inlineStr">
        <is>
          <t>-</t>
        </is>
      </c>
      <c r="D70" s="40" t="n"/>
      <c r="E70" s="40" t="n"/>
      <c r="F70" s="40" t="n"/>
      <c r="G70" s="40" t="inlineStr">
        <is>
          <t>-</t>
        </is>
      </c>
      <c r="H70" s="40" t="inlineStr">
        <is>
          <t>-</t>
        </is>
      </c>
      <c r="I70" s="40" t="inlineStr">
        <is>
          <t>-</t>
        </is>
      </c>
      <c r="J70" s="40" t="inlineStr">
        <is>
          <t>-</t>
        </is>
      </c>
      <c r="K70" s="40" t="inlineStr">
        <is>
          <t>-</t>
        </is>
      </c>
      <c r="L70" s="40" t="inlineStr">
        <is>
          <t>-</t>
        </is>
      </c>
      <c r="M70" s="40" t="inlineStr">
        <is>
          <t>-</t>
        </is>
      </c>
      <c r="N70" s="40" t="inlineStr">
        <is>
          <t>-</t>
        </is>
      </c>
      <c r="O70" s="40" t="inlineStr">
        <is>
          <t>-</t>
        </is>
      </c>
      <c r="P70" s="40" t="inlineStr">
        <is>
          <t>-</t>
        </is>
      </c>
      <c r="Q70" s="40" t="inlineStr">
        <is>
          <t>-</t>
        </is>
      </c>
      <c r="R70" s="40" t="inlineStr">
        <is>
          <t>-</t>
        </is>
      </c>
      <c r="S70" s="40" t="inlineStr">
        <is>
          <t>-</t>
        </is>
      </c>
      <c r="T70" s="40" t="inlineStr">
        <is>
          <t>-</t>
        </is>
      </c>
      <c r="U70" s="40" t="inlineStr">
        <is>
          <t>-</t>
        </is>
      </c>
      <c r="V70" s="40" t="inlineStr">
        <is>
          <t>-</t>
        </is>
      </c>
      <c r="W70" s="40" t="inlineStr">
        <is>
          <t>-</t>
        </is>
      </c>
      <c r="X70" s="50" t="n"/>
    </row>
    <row r="71" ht="18.75" customHeight="1">
      <c r="B71" s="51" t="inlineStr">
        <is>
          <t>Inflow : 銀行借款</t>
        </is>
      </c>
      <c r="C71" s="52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4" t="n"/>
    </row>
    <row r="72" ht="18.75" customHeight="1">
      <c r="B72" s="55" t="inlineStr">
        <is>
          <t>Outflow : 設備折舊</t>
        </is>
      </c>
      <c r="C72" s="39" t="n"/>
      <c r="D72" s="56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50" t="n"/>
    </row>
    <row r="73" ht="18.75" customHeight="1">
      <c r="B73" s="55" t="inlineStr">
        <is>
          <t>Outflow : 設備放置區域租金</t>
        </is>
      </c>
      <c r="C73" s="39" t="inlineStr">
        <is>
          <t>-</t>
        </is>
      </c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50" t="n"/>
    </row>
    <row r="74" ht="18.75" customHeight="1">
      <c r="B74" s="55" t="inlineStr">
        <is>
          <t>Outflow : 返還借款</t>
        </is>
      </c>
      <c r="C74" s="39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50" t="n"/>
    </row>
    <row r="75" ht="18.75" customHeight="1">
      <c r="B75" s="55" t="inlineStr">
        <is>
          <t>Outflow : 利息費用</t>
        </is>
      </c>
      <c r="C75" s="39" t="inlineStr">
        <is>
          <t>-</t>
        </is>
      </c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50" t="n"/>
    </row>
    <row r="76" ht="18.75" customHeight="1">
      <c r="B76" s="55" t="inlineStr">
        <is>
          <t>Outflow : 維運費</t>
        </is>
      </c>
      <c r="C76" s="39" t="inlineStr">
        <is>
          <t>-</t>
        </is>
      </c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50" t="n"/>
    </row>
    <row r="77" ht="18.75" customHeight="1">
      <c r="B77" s="55" t="inlineStr">
        <is>
          <t>Outflow : 保險費</t>
        </is>
      </c>
      <c r="C77" s="39" t="inlineStr">
        <is>
          <t>-</t>
        </is>
      </c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50" t="n"/>
    </row>
    <row r="78" ht="18.75" customHeight="1">
      <c r="B78" s="55" t="inlineStr">
        <is>
          <t>Outflow : 模組回收費</t>
        </is>
      </c>
      <c r="C78" s="39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50" t="n"/>
    </row>
    <row r="79" ht="18.75" customHeight="1">
      <c r="B79" s="55" t="inlineStr">
        <is>
          <t>Outflow : 其它費用(人事薪資…等)</t>
        </is>
      </c>
      <c r="C79" s="57" t="n"/>
      <c r="D79" s="58" t="n"/>
      <c r="E79" s="59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50" t="n"/>
    </row>
    <row r="80" ht="18.75" customHeight="1">
      <c r="B80" s="55" t="inlineStr">
        <is>
          <t>1%管理費</t>
        </is>
      </c>
      <c r="C80" s="57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50" t="n"/>
    </row>
    <row r="81" ht="18.75" customHeight="1">
      <c r="B81" s="189" t="inlineStr">
        <is>
          <t>稅前淨利</t>
        </is>
      </c>
      <c r="C81" s="65" t="n"/>
      <c r="D81" s="66">
        <f>SUM(D69:D80)</f>
        <v/>
      </c>
      <c r="E81" s="66">
        <f>SUM(E69:E80)</f>
        <v/>
      </c>
      <c r="F81" s="66">
        <f>SUM(F69:F80)</f>
        <v/>
      </c>
      <c r="G81" s="66">
        <f>SUM(G69:G80)</f>
        <v/>
      </c>
      <c r="H81" s="66">
        <f>SUM(H69:H80)</f>
        <v/>
      </c>
      <c r="I81" s="66">
        <f>SUM(I69:I80)</f>
        <v/>
      </c>
      <c r="J81" s="66">
        <f>SUM(J69:J80)</f>
        <v/>
      </c>
      <c r="K81" s="66">
        <f>SUM(K69:K80)</f>
        <v/>
      </c>
      <c r="L81" s="66">
        <f>SUM(L69:L80)</f>
        <v/>
      </c>
      <c r="M81" s="66">
        <f>SUM(M69:M80)</f>
        <v/>
      </c>
      <c r="N81" s="66">
        <f>SUM(N69:N80)</f>
        <v/>
      </c>
      <c r="O81" s="66">
        <f>SUM(O69:O80)</f>
        <v/>
      </c>
      <c r="P81" s="66">
        <f>SUM(P69:P80)</f>
        <v/>
      </c>
      <c r="Q81" s="66">
        <f>SUM(Q69:Q80)</f>
        <v/>
      </c>
      <c r="R81" s="66">
        <f>SUM(R69:R80)</f>
        <v/>
      </c>
      <c r="S81" s="66">
        <f>SUM(S69:S80)</f>
        <v/>
      </c>
      <c r="T81" s="66">
        <f>SUM(T69:T80)</f>
        <v/>
      </c>
      <c r="U81" s="66">
        <f>SUM(U69:U80)</f>
        <v/>
      </c>
      <c r="V81" s="66">
        <f>SUM(V69:V80)</f>
        <v/>
      </c>
      <c r="W81" s="66">
        <f>SUM(W69:W80)</f>
        <v/>
      </c>
      <c r="X81" s="66">
        <f>SUM(X69:X80)</f>
        <v/>
      </c>
    </row>
    <row r="82" ht="18.75" customHeight="1">
      <c r="B82" s="60" t="inlineStr">
        <is>
          <t>所得稅20%</t>
        </is>
      </c>
      <c r="C82" s="57" t="n"/>
      <c r="D82" s="40">
        <f>-D81*0.2</f>
        <v/>
      </c>
      <c r="E82" s="40">
        <f>-E81*0.2</f>
        <v/>
      </c>
      <c r="F82" s="40">
        <f>-F81*0.2</f>
        <v/>
      </c>
      <c r="G82" s="40">
        <f>-G81*0.2</f>
        <v/>
      </c>
      <c r="H82" s="40">
        <f>-H81*0.2</f>
        <v/>
      </c>
      <c r="I82" s="40">
        <f>-I81*0.2</f>
        <v/>
      </c>
      <c r="J82" s="40">
        <f>-J81*0.2</f>
        <v/>
      </c>
      <c r="K82" s="40">
        <f>-K81*0.2</f>
        <v/>
      </c>
      <c r="L82" s="40">
        <f>-L81*0.2</f>
        <v/>
      </c>
      <c r="M82" s="40">
        <f>-M81*0.2</f>
        <v/>
      </c>
      <c r="N82" s="40">
        <f>-N81*0.2</f>
        <v/>
      </c>
      <c r="O82" s="40">
        <f>-O81*0.2</f>
        <v/>
      </c>
      <c r="P82" s="40">
        <f>-P81*0.2</f>
        <v/>
      </c>
      <c r="Q82" s="40">
        <f>-Q81*0.2</f>
        <v/>
      </c>
      <c r="R82" s="40">
        <f>-R81*0.2</f>
        <v/>
      </c>
      <c r="S82" s="40">
        <f>-S81*0.2</f>
        <v/>
      </c>
      <c r="T82" s="40">
        <f>-T81*0.2</f>
        <v/>
      </c>
      <c r="U82" s="40">
        <f>-U81*0.2</f>
        <v/>
      </c>
      <c r="V82" s="40">
        <f>-V81*0.2</f>
        <v/>
      </c>
      <c r="W82" s="40">
        <f>-W81*0.2</f>
        <v/>
      </c>
      <c r="X82" s="40">
        <f>-X81*0.2</f>
        <v/>
      </c>
    </row>
    <row r="83">
      <c r="B83" s="191" t="inlineStr">
        <is>
          <t>稅後淨利</t>
        </is>
      </c>
      <c r="D83" s="40">
        <f>SUM(D81:D82)</f>
        <v/>
      </c>
      <c r="E83" s="40">
        <f>SUM(E81:E82)</f>
        <v/>
      </c>
      <c r="F83" s="40">
        <f>SUM(F81:F82)</f>
        <v/>
      </c>
      <c r="G83" s="40">
        <f>SUM(G81:G82)</f>
        <v/>
      </c>
      <c r="H83" s="40">
        <f>SUM(H81:H82)</f>
        <v/>
      </c>
      <c r="I83" s="40">
        <f>SUM(I81:I82)</f>
        <v/>
      </c>
      <c r="J83" s="40">
        <f>SUM(J81:J82)</f>
        <v/>
      </c>
      <c r="K83" s="40">
        <f>SUM(K81:K82)</f>
        <v/>
      </c>
      <c r="L83" s="40">
        <f>SUM(L81:L82)</f>
        <v/>
      </c>
      <c r="M83" s="40">
        <f>SUM(M81:M82)</f>
        <v/>
      </c>
      <c r="N83" s="40">
        <f>SUM(N81:N82)</f>
        <v/>
      </c>
      <c r="O83" s="40">
        <f>SUM(O81:O82)</f>
        <v/>
      </c>
      <c r="P83" s="40">
        <f>SUM(P81:P82)</f>
        <v/>
      </c>
      <c r="Q83" s="40">
        <f>SUM(Q81:Q82)</f>
        <v/>
      </c>
      <c r="R83" s="40">
        <f>SUM(R81:R82)</f>
        <v/>
      </c>
      <c r="S83" s="40">
        <f>SUM(S81:S82)</f>
        <v/>
      </c>
      <c r="T83" s="40">
        <f>SUM(T81:T82)</f>
        <v/>
      </c>
      <c r="U83" s="40">
        <f>SUM(U81:U82)</f>
        <v/>
      </c>
      <c r="V83" s="40">
        <f>SUM(V81:V82)</f>
        <v/>
      </c>
      <c r="W83" s="40">
        <f>SUM(W81:W82)</f>
        <v/>
      </c>
      <c r="X83" s="40">
        <f>SUM(X81:X82)</f>
        <v/>
      </c>
    </row>
    <row r="84" ht="18.75" customHeight="1">
      <c r="B84" s="70" t="inlineStr">
        <is>
          <t>累計現金流</t>
        </is>
      </c>
      <c r="C84" s="71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3" t="n"/>
    </row>
    <row r="85" ht="18.75" customHeight="1">
      <c r="B85" s="90" t="inlineStr">
        <is>
          <t>回收年限評估</t>
        </is>
      </c>
      <c r="C85" s="91" t="n"/>
      <c r="D85" s="92" t="n"/>
      <c r="E85" s="92" t="n"/>
      <c r="F85" s="92" t="n"/>
      <c r="G85" s="92" t="n"/>
      <c r="H85" s="92" t="n"/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93" t="n"/>
    </row>
    <row r="86" ht="18.75" customHeight="1">
      <c r="B86" s="28" t="n"/>
      <c r="C86" s="149" t="n"/>
      <c r="D86" s="149" t="n"/>
      <c r="E86" s="149" t="n"/>
      <c r="F86" s="59" t="n"/>
      <c r="G86" s="59" t="n"/>
      <c r="H86" s="59" t="n"/>
      <c r="I86" s="59" t="n"/>
      <c r="J86" s="59" t="n"/>
      <c r="K86" s="59" t="n"/>
      <c r="L86" s="59" t="inlineStr">
        <is>
          <t>預估可建置量</t>
        </is>
      </c>
      <c r="M86" s="96" t="n">
        <v>0</v>
      </c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95" t="n"/>
    </row>
    <row r="87" ht="18.75" customHeight="1">
      <c r="C87" s="97" t="inlineStr">
        <is>
          <t>年份</t>
        </is>
      </c>
      <c r="D87" s="98" t="n">
        <v>2020</v>
      </c>
      <c r="E87" s="98" t="n">
        <v>2021</v>
      </c>
      <c r="F87" s="98" t="n">
        <v>2022</v>
      </c>
      <c r="G87" s="98" t="n">
        <v>2023</v>
      </c>
      <c r="H87" s="98" t="n">
        <v>2024</v>
      </c>
      <c r="I87" s="98" t="n">
        <v>2025</v>
      </c>
      <c r="J87" s="98" t="n">
        <v>2026</v>
      </c>
      <c r="K87" s="98" t="n">
        <v>2027</v>
      </c>
      <c r="L87" s="98" t="n">
        <v>2028</v>
      </c>
      <c r="M87" s="98" t="n">
        <v>2029</v>
      </c>
      <c r="N87" s="98" t="n">
        <v>2030</v>
      </c>
      <c r="O87" s="98" t="n">
        <v>2031</v>
      </c>
      <c r="P87" s="98" t="n">
        <v>2032</v>
      </c>
      <c r="Q87" s="98" t="n">
        <v>2033</v>
      </c>
      <c r="R87" s="98" t="n">
        <v>2034</v>
      </c>
      <c r="S87" s="98" t="n">
        <v>2035</v>
      </c>
      <c r="T87" s="98" t="n">
        <v>2036</v>
      </c>
      <c r="U87" s="98" t="n">
        <v>2037</v>
      </c>
      <c r="V87" s="98" t="n">
        <v>2038</v>
      </c>
      <c r="W87" s="98" t="n">
        <v>2039</v>
      </c>
      <c r="X87" s="99" t="n"/>
    </row>
    <row r="88" ht="18.75" customHeight="1">
      <c r="X88" s="99" t="n"/>
    </row>
    <row r="89" ht="18.75" customHeight="1">
      <c r="B89" s="100" t="inlineStr">
        <is>
          <t>(Unit : Currency)</t>
        </is>
      </c>
      <c r="C89" s="101" t="n">
        <v>0</v>
      </c>
      <c r="D89" s="101" t="n">
        <v>1</v>
      </c>
      <c r="E89" s="101" t="n">
        <v>2</v>
      </c>
      <c r="F89" s="101" t="n">
        <v>3</v>
      </c>
      <c r="G89" s="101" t="n">
        <v>4</v>
      </c>
      <c r="H89" s="101" t="n">
        <v>5</v>
      </c>
      <c r="I89" s="101" t="n">
        <v>6</v>
      </c>
      <c r="J89" s="101" t="n">
        <v>7</v>
      </c>
      <c r="K89" s="101" t="n">
        <v>8</v>
      </c>
      <c r="L89" s="101" t="n">
        <v>9</v>
      </c>
      <c r="M89" s="101" t="n">
        <v>10</v>
      </c>
      <c r="N89" s="101" t="n">
        <v>11</v>
      </c>
      <c r="O89" s="101" t="n">
        <v>12</v>
      </c>
      <c r="P89" s="101" t="n">
        <v>13</v>
      </c>
      <c r="Q89" s="101" t="n">
        <v>14</v>
      </c>
      <c r="R89" s="101" t="n">
        <v>15</v>
      </c>
      <c r="S89" s="101" t="n">
        <v>16</v>
      </c>
      <c r="T89" s="101" t="n">
        <v>17</v>
      </c>
      <c r="U89" s="101" t="n">
        <v>18</v>
      </c>
      <c r="V89" s="101" t="n">
        <v>19</v>
      </c>
      <c r="W89" s="101" t="n">
        <v>20</v>
      </c>
      <c r="X89" s="102" t="n"/>
    </row>
    <row r="90" ht="18.75" customHeight="1">
      <c r="B90" s="103" t="inlineStr">
        <is>
          <t>稅後淨利</t>
        </is>
      </c>
      <c r="C90" s="104" t="n"/>
      <c r="D90" s="101">
        <f>D81</f>
        <v/>
      </c>
      <c r="E90" s="101">
        <f>E81</f>
        <v/>
      </c>
      <c r="F90" s="101">
        <f>F81</f>
        <v/>
      </c>
      <c r="G90" s="101">
        <f>G81</f>
        <v/>
      </c>
      <c r="H90" s="101">
        <f>H81</f>
        <v/>
      </c>
      <c r="I90" s="101">
        <f>I81</f>
        <v/>
      </c>
      <c r="J90" s="101">
        <f>J81</f>
        <v/>
      </c>
      <c r="K90" s="101">
        <f>K81</f>
        <v/>
      </c>
      <c r="L90" s="101">
        <f>L81</f>
        <v/>
      </c>
      <c r="M90" s="101">
        <f>M81</f>
        <v/>
      </c>
      <c r="N90" s="101">
        <f>N81</f>
        <v/>
      </c>
      <c r="O90" s="101">
        <f>O81</f>
        <v/>
      </c>
      <c r="P90" s="101">
        <f>P81</f>
        <v/>
      </c>
      <c r="Q90" s="101">
        <f>Q81</f>
        <v/>
      </c>
      <c r="R90" s="101">
        <f>R81</f>
        <v/>
      </c>
      <c r="S90" s="101">
        <f>S81</f>
        <v/>
      </c>
      <c r="T90" s="101">
        <f>T81</f>
        <v/>
      </c>
      <c r="U90" s="101">
        <f>U81</f>
        <v/>
      </c>
      <c r="V90" s="101">
        <f>V81</f>
        <v/>
      </c>
      <c r="W90" s="101">
        <f>W81</f>
        <v/>
      </c>
      <c r="X90" s="104" t="n"/>
      <c r="Y90" s="104" t="n"/>
    </row>
    <row r="91">
      <c r="B91" s="103" t="inlineStr">
        <is>
          <t>設備折舊</t>
        </is>
      </c>
      <c r="C91" s="104" t="n"/>
      <c r="D91" s="105" t="n"/>
      <c r="E91" s="105" t="n"/>
      <c r="F91" s="105" t="n"/>
      <c r="G91" s="105" t="n"/>
      <c r="H91" s="105" t="n"/>
      <c r="I91" s="105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5" t="n"/>
      <c r="T91" s="105" t="n"/>
      <c r="U91" s="105" t="n"/>
      <c r="V91" s="105" t="n"/>
      <c r="W91" s="105" t="n"/>
      <c r="X91" s="77" t="n"/>
    </row>
    <row r="92">
      <c r="B92" s="103" t="inlineStr">
        <is>
          <t>營運活動現金流量</t>
        </is>
      </c>
      <c r="C92" s="104" t="n"/>
      <c r="D92" s="192">
        <f>SUM(D90:D91)</f>
        <v/>
      </c>
      <c r="E92" s="192">
        <f>SUM(E90:E91)</f>
        <v/>
      </c>
      <c r="F92" s="192">
        <f>SUM(F90:F91)</f>
        <v/>
      </c>
      <c r="G92" s="192">
        <f>SUM(G90:G91)</f>
        <v/>
      </c>
      <c r="H92" s="192">
        <f>SUM(H90:H91)</f>
        <v/>
      </c>
      <c r="I92" s="192">
        <f>SUM(I90:I91)</f>
        <v/>
      </c>
      <c r="J92" s="192">
        <f>SUM(J90:J91)</f>
        <v/>
      </c>
      <c r="K92" s="192">
        <f>SUM(K90:K91)</f>
        <v/>
      </c>
      <c r="L92" s="192">
        <f>SUM(L90:L91)</f>
        <v/>
      </c>
      <c r="M92" s="192">
        <f>SUM(M90:M91)</f>
        <v/>
      </c>
      <c r="N92" s="192">
        <f>SUM(N90:N91)</f>
        <v/>
      </c>
      <c r="O92" s="192">
        <f>SUM(O90:O91)</f>
        <v/>
      </c>
      <c r="P92" s="192">
        <f>SUM(P90:P91)</f>
        <v/>
      </c>
      <c r="Q92" s="192">
        <f>SUM(Q90:Q91)</f>
        <v/>
      </c>
      <c r="R92" s="192">
        <f>SUM(R90:R91)</f>
        <v/>
      </c>
      <c r="S92" s="192">
        <f>SUM(S90:S91)</f>
        <v/>
      </c>
      <c r="T92" s="192">
        <f>SUM(T90:T91)</f>
        <v/>
      </c>
      <c r="U92" s="192">
        <f>SUM(U90:U91)</f>
        <v/>
      </c>
      <c r="V92" s="192">
        <f>SUM(V90:V91)</f>
        <v/>
      </c>
      <c r="W92" s="192">
        <f>SUM(W90:W91)</f>
        <v/>
      </c>
      <c r="X92" s="107" t="n"/>
    </row>
    <row r="93">
      <c r="B93" s="103" t="n"/>
      <c r="C93" s="104" t="n"/>
      <c r="D93" s="104" t="n"/>
      <c r="E93" s="104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99" t="n"/>
    </row>
    <row r="94">
      <c r="B94" s="109" t="inlineStr">
        <is>
          <t>投資活動-設備支出</t>
        </is>
      </c>
      <c r="C94" s="110" t="n"/>
      <c r="D94" s="111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O94" s="110" t="n"/>
      <c r="P94" s="110" t="n"/>
      <c r="Q94" s="110" t="n"/>
      <c r="R94" s="110" t="n"/>
      <c r="S94" s="110" t="n"/>
      <c r="T94" s="110" t="n"/>
      <c r="U94" s="110" t="n"/>
      <c r="V94" s="110" t="n"/>
      <c r="W94" s="110" t="n"/>
      <c r="X94" s="77" t="n"/>
    </row>
    <row r="95">
      <c r="B95" s="103" t="n"/>
      <c r="C95" s="104" t="n"/>
      <c r="D95" s="104" t="n"/>
      <c r="E95" s="104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99" t="n"/>
    </row>
    <row r="96">
      <c r="B96" s="103" t="n"/>
      <c r="C96" s="104" t="n"/>
      <c r="D96" s="104" t="n"/>
      <c r="E96" s="104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99" t="n"/>
    </row>
    <row r="97">
      <c r="B97" s="109" t="inlineStr">
        <is>
          <t>理財活動-借款</t>
        </is>
      </c>
      <c r="C97" s="110" t="n"/>
      <c r="D97" s="111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O97" s="110" t="n"/>
      <c r="P97" s="110" t="n"/>
      <c r="Q97" s="110" t="n"/>
      <c r="R97" s="110" t="n"/>
      <c r="S97" s="110" t="n"/>
      <c r="T97" s="110" t="n"/>
      <c r="U97" s="110" t="n"/>
      <c r="V97" s="110" t="n"/>
      <c r="W97" s="110" t="n"/>
      <c r="X97" s="99" t="n"/>
    </row>
    <row r="98">
      <c r="B98" s="103" t="inlineStr">
        <is>
          <t>理財活動-還款</t>
        </is>
      </c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8" t="n"/>
      <c r="U98" s="108" t="n"/>
      <c r="V98" s="108" t="n"/>
      <c r="W98" s="108" t="n"/>
      <c r="X98" s="77" t="n"/>
    </row>
    <row r="99">
      <c r="B99" s="103" t="inlineStr">
        <is>
          <t>理財活動-現金增資</t>
        </is>
      </c>
      <c r="C99" s="108" t="n"/>
      <c r="D99" s="104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7" t="n"/>
    </row>
    <row r="100">
      <c r="B100" s="103" t="inlineStr">
        <is>
          <t>現金股利</t>
        </is>
      </c>
      <c r="C100" s="108" t="n"/>
      <c r="D100" s="108" t="n"/>
      <c r="E100" s="112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  <c r="U100" s="104" t="n"/>
      <c r="V100" s="108" t="n"/>
      <c r="W100" s="104" t="n"/>
      <c r="X100" s="107" t="n"/>
    </row>
    <row r="101">
      <c r="B101" s="113" t="inlineStr">
        <is>
          <t>年底減資</t>
        </is>
      </c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5" t="n"/>
      <c r="S101" s="115" t="n"/>
      <c r="T101" s="115" t="n"/>
      <c r="U101" s="115" t="n"/>
      <c r="V101" s="114" t="n"/>
      <c r="W101" s="114" t="n"/>
      <c r="X101" s="107" t="n"/>
    </row>
    <row r="102"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7" t="n"/>
    </row>
    <row r="103"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7" t="n"/>
    </row>
    <row r="104">
      <c r="B104" s="103" t="inlineStr">
        <is>
          <t>現金淨流入(出 )</t>
        </is>
      </c>
      <c r="D104" s="108" t="n"/>
      <c r="E104" s="106" t="n"/>
      <c r="F104" s="106" t="n"/>
      <c r="G104" s="106" t="n"/>
      <c r="H104" s="106" t="n"/>
      <c r="I104" s="106" t="n"/>
      <c r="J104" s="106" t="n"/>
      <c r="K104" s="106" t="n"/>
      <c r="L104" s="106" t="n"/>
      <c r="M104" s="106" t="n"/>
      <c r="N104" s="106" t="n"/>
      <c r="O104" s="106" t="n"/>
      <c r="P104" s="106" t="n"/>
      <c r="Q104" s="106" t="n"/>
      <c r="R104" s="106" t="n"/>
      <c r="S104" s="106" t="n"/>
      <c r="T104" s="106" t="n"/>
      <c r="U104" s="106" t="n"/>
      <c r="V104" s="106" t="n"/>
      <c r="W104" s="106" t="n"/>
      <c r="X104" s="107" t="n"/>
    </row>
    <row r="105">
      <c r="B105" s="103" t="inlineStr">
        <is>
          <t>期初淨現金</t>
        </is>
      </c>
      <c r="C105" s="108" t="n"/>
      <c r="D105" s="108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8" t="n"/>
      <c r="W105" s="108" t="n"/>
      <c r="X105" s="99" t="n"/>
    </row>
    <row r="106">
      <c r="B106" s="103" t="inlineStr">
        <is>
          <t>期未淨現金</t>
        </is>
      </c>
      <c r="C106" s="108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  <c r="U106" s="104" t="n"/>
      <c r="V106" s="108" t="n"/>
      <c r="W106" s="108" t="n"/>
      <c r="X106" s="99" t="n"/>
    </row>
    <row r="107">
      <c r="B107" s="103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16" t="n"/>
    </row>
    <row r="108">
      <c r="B108" s="103" t="n"/>
      <c r="C108" s="104" t="n"/>
      <c r="D108" s="104" t="n"/>
      <c r="E108" s="104" t="n"/>
      <c r="F108" s="108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16" t="n"/>
    </row>
    <row r="109">
      <c r="B109" s="117" t="inlineStr">
        <is>
          <t>成本法實際現金流</t>
        </is>
      </c>
      <c r="C109" s="118" t="n"/>
      <c r="D109" s="193">
        <f>-D97</f>
        <v/>
      </c>
      <c r="E109" s="192">
        <f>-E100-E101</f>
        <v/>
      </c>
      <c r="F109" s="192">
        <f>-F100-F101</f>
        <v/>
      </c>
      <c r="G109" s="192">
        <f>-G100-G101</f>
        <v/>
      </c>
      <c r="H109" s="192">
        <f>-H100-H101</f>
        <v/>
      </c>
      <c r="I109" s="192">
        <f>-I100-I101</f>
        <v/>
      </c>
      <c r="J109" s="192">
        <f>-J100-J101</f>
        <v/>
      </c>
      <c r="K109" s="192">
        <f>-K100-K101</f>
        <v/>
      </c>
      <c r="L109" s="192">
        <f>-L100-L101</f>
        <v/>
      </c>
      <c r="M109" s="192">
        <f>-M100-M101</f>
        <v/>
      </c>
      <c r="N109" s="192">
        <f>-N100-N101</f>
        <v/>
      </c>
      <c r="O109" s="192">
        <f>-O100-O101</f>
        <v/>
      </c>
      <c r="P109" s="192">
        <f>-P100-P101</f>
        <v/>
      </c>
      <c r="Q109" s="192">
        <f>-Q100-Q101</f>
        <v/>
      </c>
      <c r="R109" s="192">
        <f>-R100-R101</f>
        <v/>
      </c>
      <c r="S109" s="192">
        <f>-S100-S101</f>
        <v/>
      </c>
      <c r="T109" s="192">
        <f>-T100-T101</f>
        <v/>
      </c>
      <c r="U109" s="192">
        <f>-U100-U101</f>
        <v/>
      </c>
      <c r="V109" s="192">
        <f>-V100-V101</f>
        <v/>
      </c>
      <c r="W109" s="192">
        <f>-W100-W101</f>
        <v/>
      </c>
      <c r="X109" s="192">
        <f>-X100-X101</f>
        <v/>
      </c>
    </row>
    <row r="110">
      <c r="B110" s="103" t="inlineStr">
        <is>
          <t>成本法IRR</t>
        </is>
      </c>
      <c r="C110" s="120">
        <f>IRR(D109:X109)</f>
        <v/>
      </c>
      <c r="D110" s="150" t="n"/>
      <c r="E110" s="150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  <c r="U110" s="104" t="n"/>
      <c r="V110" s="104" t="n"/>
      <c r="W110" s="104" t="n"/>
      <c r="X110" s="116" t="n"/>
    </row>
    <row r="111">
      <c r="B111" s="117" t="inlineStr">
        <is>
          <t>權益法實際現金流</t>
        </is>
      </c>
      <c r="C111" s="118" t="n"/>
      <c r="D111" s="193">
        <f>D90-D99</f>
        <v/>
      </c>
      <c r="E111" s="192">
        <f>E90</f>
        <v/>
      </c>
      <c r="F111" s="192">
        <f>F90</f>
        <v/>
      </c>
      <c r="G111" s="192">
        <f>G90</f>
        <v/>
      </c>
      <c r="H111" s="192">
        <f>H90</f>
        <v/>
      </c>
      <c r="I111" s="192">
        <f>I90</f>
        <v/>
      </c>
      <c r="J111" s="192">
        <f>J90</f>
        <v/>
      </c>
      <c r="K111" s="192">
        <f>K90</f>
        <v/>
      </c>
      <c r="L111" s="192">
        <f>L90</f>
        <v/>
      </c>
      <c r="M111" s="192">
        <f>M90</f>
        <v/>
      </c>
      <c r="N111" s="192">
        <f>N90</f>
        <v/>
      </c>
      <c r="O111" s="192">
        <f>O90</f>
        <v/>
      </c>
      <c r="P111" s="192">
        <f>P90</f>
        <v/>
      </c>
      <c r="Q111" s="192">
        <f>Q90</f>
        <v/>
      </c>
      <c r="R111" s="192">
        <f>R90</f>
        <v/>
      </c>
      <c r="S111" s="192">
        <f>S90</f>
        <v/>
      </c>
      <c r="T111" s="192">
        <f>T90</f>
        <v/>
      </c>
      <c r="U111" s="192">
        <f>U90</f>
        <v/>
      </c>
      <c r="V111" s="192">
        <f>V90</f>
        <v/>
      </c>
      <c r="W111" s="192">
        <f>W90</f>
        <v/>
      </c>
      <c r="X111" s="77" t="n"/>
    </row>
    <row r="112">
      <c r="B112" s="117" t="inlineStr">
        <is>
          <t>權益法IRR</t>
        </is>
      </c>
      <c r="C112" s="120">
        <f>IRR(D111:W111)</f>
        <v/>
      </c>
      <c r="D112" s="150" t="n"/>
      <c r="E112" s="150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  <c r="U112" s="104" t="n"/>
      <c r="V112" s="104" t="n"/>
      <c r="W112" s="104" t="n"/>
      <c r="X112" s="116" t="n"/>
    </row>
    <row r="113">
      <c r="B113" s="103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16" t="n"/>
    </row>
    <row r="114">
      <c r="B114" s="103" t="inlineStr">
        <is>
          <t>借款餘額</t>
        </is>
      </c>
      <c r="C114" s="108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8" t="n"/>
      <c r="U114" s="108" t="n"/>
      <c r="V114" s="108" t="n"/>
      <c r="W114" s="108" t="n"/>
      <c r="X114" s="108" t="n"/>
    </row>
    <row r="115"/>
    <row r="116">
      <c r="B116" s="122" t="n"/>
    </row>
    <row r="117" ht="16.5" customHeight="1">
      <c r="G117" s="6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0.5703125" customWidth="1" min="1" max="1"/>
    <col width="33.140625" customWidth="1" min="2" max="2"/>
    <col width="19.42578125" customWidth="1" min="3" max="3"/>
    <col width="17.85546875" customWidth="1" min="4" max="4"/>
    <col width="17.85546875" customWidth="1" min="24" max="24"/>
    <col width="30" customWidth="1" min="25" max="25"/>
    <col width="13.5703125" customWidth="1" min="26" max="26"/>
    <col width="19.5703125" customWidth="1" min="30" max="30"/>
    <col width="20.5703125" customWidth="1" min="31" max="31"/>
    <col width="20.28515625" customWidth="1" min="32" max="32"/>
    <col width="20.85546875" customWidth="1" min="33" max="33"/>
    <col width="15.5703125" customWidth="1" min="34" max="34"/>
    <col width="36.85546875" customWidth="1" min="35" max="35"/>
    <col width="32.5703125" customWidth="1" min="36" max="36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5</t>
        </is>
      </c>
    </row>
    <row r="5" ht="22.5" customHeight="1">
      <c r="B5" s="161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第4次滾算摘要</t>
        </is>
      </c>
    </row>
    <row r="6" ht="20.25" customHeight="1">
      <c r="B6" s="162" t="n"/>
      <c r="C6" s="163" t="n"/>
      <c r="D6" s="163" t="n"/>
      <c r="E6" s="163" t="n"/>
      <c r="M6" t="inlineStr">
        <is>
          <t>價金: 25000</t>
        </is>
      </c>
    </row>
    <row r="7" ht="22.5" customHeight="1">
      <c r="B7" s="164" t="inlineStr">
        <is>
          <t>綜合損益表</t>
        </is>
      </c>
      <c r="C7" s="153" t="n"/>
      <c r="D7" s="153" t="n"/>
      <c r="E7" s="154" t="n"/>
      <c r="M7" t="inlineStr">
        <is>
          <t>專案IRR: 6.15</t>
        </is>
      </c>
    </row>
    <row r="8" ht="22.5" customHeight="1">
      <c r="B8" s="165" t="inlineStr">
        <is>
          <t>收入</t>
        </is>
      </c>
      <c r="C8" s="166" t="n"/>
      <c r="D8" s="166" t="n"/>
      <c r="E8" s="167" t="n"/>
      <c r="M8" t="inlineStr">
        <is>
          <t>權益法IRR: 18.54</t>
        </is>
      </c>
    </row>
    <row r="9" ht="22.5" customHeight="1">
      <c r="B9" s="168" t="inlineStr">
        <is>
          <t>收支項目</t>
        </is>
      </c>
      <c r="C9" s="169" t="inlineStr">
        <is>
          <t>相關參數</t>
        </is>
      </c>
      <c r="D9" s="169" t="inlineStr">
        <is>
          <t>參數數值</t>
        </is>
      </c>
      <c r="E9" s="170" t="inlineStr">
        <is>
          <t>年限</t>
        </is>
      </c>
      <c r="M9" t="inlineStr">
        <is>
          <t>利潤率: 20.00%</t>
        </is>
      </c>
    </row>
    <row r="10" ht="21.75" customHeight="1">
      <c r="B10" s="171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72" t="n">
        <v>20</v>
      </c>
      <c r="M10" t="inlineStr">
        <is>
          <t>第4次滾算，減少 1000 元 - 現金模式，每次減少 1000 元</t>
        </is>
      </c>
    </row>
    <row r="11" ht="21.75" customHeight="1">
      <c r="B11" s="173" t="n"/>
      <c r="C11" s="159" t="inlineStr">
        <is>
          <t>首年衰退率</t>
        </is>
      </c>
      <c r="D11" s="174" t="n">
        <v>0.01</v>
      </c>
      <c r="E11" s="173" t="n"/>
    </row>
    <row r="12" ht="21.75" customHeight="1">
      <c r="B12" s="173" t="n"/>
      <c r="C12" s="159" t="inlineStr">
        <is>
          <t>次年衰退率</t>
        </is>
      </c>
      <c r="D12" s="175" t="n">
        <v>0.004</v>
      </c>
      <c r="E12" s="173" t="n"/>
    </row>
    <row r="13" ht="22.5" customHeight="1">
      <c r="B13" s="173" t="n"/>
      <c r="C13" s="176" t="inlineStr">
        <is>
          <t>躉售費率(FIT)</t>
        </is>
      </c>
      <c r="D13" s="176" t="n">
        <v>3.7152</v>
      </c>
      <c r="E13" s="173" t="n"/>
    </row>
    <row r="14" ht="22.5" customHeight="1">
      <c r="B14" s="177" t="inlineStr">
        <is>
          <t>支出</t>
        </is>
      </c>
      <c r="C14" s="153" t="n"/>
      <c r="D14" s="153" t="n"/>
      <c r="E14" s="154" t="n"/>
    </row>
    <row r="15" ht="22.5" customHeight="1">
      <c r="B15" s="168" t="inlineStr">
        <is>
          <t>收支項目</t>
        </is>
      </c>
      <c r="C15" s="169" t="inlineStr">
        <is>
          <t>相關參數</t>
        </is>
      </c>
      <c r="D15" s="169" t="inlineStr">
        <is>
          <t>參數數值</t>
        </is>
      </c>
      <c r="E15" s="178" t="inlineStr">
        <is>
          <t>攤提年限</t>
        </is>
      </c>
    </row>
    <row r="16" ht="21.75" customHeight="1">
      <c r="B16" s="179" t="inlineStr">
        <is>
          <t>設備費用(價金)</t>
        </is>
      </c>
      <c r="C16" s="180" t="inlineStr">
        <is>
          <t>每kWp設備成本</t>
        </is>
      </c>
      <c r="D16" s="156" t="n">
        <v>25000</v>
      </c>
      <c r="E16" s="181" t="n">
        <v>20</v>
      </c>
    </row>
    <row r="17" ht="21.75" customHeight="1">
      <c r="B17" s="173" t="n"/>
      <c r="C17" s="159" t="inlineStr">
        <is>
          <t>信邦利潤率</t>
        </is>
      </c>
      <c r="D17" s="159" t="n">
        <v>0.2</v>
      </c>
      <c r="E17" s="173" t="n"/>
    </row>
    <row r="18" ht="21.75" customHeight="1">
      <c r="B18" s="182" t="n"/>
      <c r="C18" s="159" t="inlineStr">
        <is>
          <t>開發費</t>
        </is>
      </c>
      <c r="D18" s="159" t="n">
        <v>2000</v>
      </c>
      <c r="E18" s="182" t="n"/>
    </row>
    <row r="19" ht="54" customHeight="1">
      <c r="B19" s="183" t="inlineStr">
        <is>
          <t>租金費用</t>
        </is>
      </c>
      <c r="C19" s="184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3" t="n"/>
      <c r="C20" s="185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82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61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61" t="inlineStr">
        <is>
          <t>保險費用</t>
        </is>
      </c>
      <c r="C23" s="186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61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61" t="inlineStr">
        <is>
          <t>利息費用</t>
        </is>
      </c>
      <c r="C25" s="159" t="inlineStr">
        <is>
          <t>銀行利率</t>
        </is>
      </c>
      <c r="D25" s="187" t="n">
        <v>0.025595</v>
      </c>
      <c r="E25" s="160" t="n">
        <v>0</v>
      </c>
    </row>
    <row r="26" ht="22.5" customHeight="1">
      <c r="B26" s="161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2" t="n"/>
      <c r="C27" s="163" t="n"/>
      <c r="D27" s="163" t="n"/>
      <c r="E27" s="163" t="n"/>
    </row>
    <row r="28" ht="20.25" customHeight="1">
      <c r="B28" s="162" t="n"/>
      <c r="C28" s="163" t="n"/>
      <c r="D28" s="163" t="n"/>
      <c r="E28" s="163" t="n"/>
    </row>
    <row r="29" ht="22.5" customHeight="1">
      <c r="B29" s="164" t="inlineStr">
        <is>
          <t>現金流量表</t>
        </is>
      </c>
      <c r="C29" s="153" t="n"/>
      <c r="D29" s="154" t="n"/>
      <c r="E29" s="163" t="n"/>
    </row>
    <row r="30" ht="22.5" customHeight="1">
      <c r="B30" s="168" t="inlineStr">
        <is>
          <t>金流項目</t>
        </is>
      </c>
      <c r="C30" s="169" t="inlineStr">
        <is>
          <t>相關參數</t>
        </is>
      </c>
      <c r="D30" s="178" t="inlineStr">
        <is>
          <t>參數數值</t>
        </is>
      </c>
      <c r="E30" s="163" t="n"/>
    </row>
    <row r="31" ht="18.75" customHeight="1">
      <c r="B31" s="155" t="inlineStr">
        <is>
          <t>貸款成數</t>
        </is>
      </c>
      <c r="C31" s="180" t="inlineStr">
        <is>
          <t>占總設備費用比例</t>
        </is>
      </c>
      <c r="D31" s="156" t="n">
        <v>0.8</v>
      </c>
      <c r="E31" s="163" t="n"/>
    </row>
    <row r="32" ht="18.75" customHeight="1">
      <c r="B32" s="188" t="inlineStr">
        <is>
          <t>貸款還款</t>
        </is>
      </c>
      <c r="C32" s="156" t="inlineStr">
        <is>
          <t>攤還期數</t>
        </is>
      </c>
      <c r="D32" s="156" t="n">
        <v>15</v>
      </c>
      <c r="E32" s="163" t="n"/>
    </row>
    <row r="33" ht="18.75" customHeight="1">
      <c r="B33" s="161" t="inlineStr">
        <is>
          <t>現金股利</t>
        </is>
      </c>
      <c r="C33" s="159" t="inlineStr">
        <is>
          <t>股利比率</t>
        </is>
      </c>
      <c r="D33" s="159" t="n">
        <v>0.9</v>
      </c>
      <c r="E33" s="163" t="n"/>
    </row>
    <row r="34" ht="18.75" customHeight="1">
      <c r="B34" s="161" t="inlineStr">
        <is>
          <t>年底減資</t>
        </is>
      </c>
      <c r="C34" s="159" t="inlineStr">
        <is>
          <t>攤還期數</t>
        </is>
      </c>
      <c r="D34" s="159" t="n">
        <v>4</v>
      </c>
      <c r="E34" s="163" t="n"/>
    </row>
    <row r="35" ht="18.75" customHeight="1"/>
    <row r="36" ht="18.75" customHeight="1"/>
    <row r="37" ht="18.75" customHeight="1">
      <c r="B37" s="28" t="n"/>
      <c r="C37" s="29" t="inlineStr">
        <is>
          <t>年份</t>
        </is>
      </c>
      <c r="D37" s="29" t="n">
        <v>2020</v>
      </c>
      <c r="E37" s="29" t="n">
        <v>2021</v>
      </c>
      <c r="F37" s="29" t="n">
        <v>2022</v>
      </c>
      <c r="G37" s="29" t="n">
        <v>2023</v>
      </c>
      <c r="H37" s="29" t="n">
        <v>2024</v>
      </c>
      <c r="I37" s="29" t="n">
        <v>2025</v>
      </c>
      <c r="J37" s="29" t="n">
        <v>2026</v>
      </c>
      <c r="K37" s="29" t="n">
        <v>2027</v>
      </c>
      <c r="L37" s="29" t="n">
        <v>2028</v>
      </c>
      <c r="M37" s="29" t="n">
        <v>2029</v>
      </c>
      <c r="N37" s="29" t="n">
        <v>2030</v>
      </c>
      <c r="O37" s="29" t="n">
        <v>2031</v>
      </c>
      <c r="P37" s="29" t="n">
        <v>2032</v>
      </c>
      <c r="Q37" s="29" t="n">
        <v>2033</v>
      </c>
      <c r="R37" s="29" t="n">
        <v>2034</v>
      </c>
      <c r="S37" s="29" t="n">
        <v>2035</v>
      </c>
      <c r="T37" s="29" t="n">
        <v>2036</v>
      </c>
      <c r="U37" s="29" t="n">
        <v>2037</v>
      </c>
      <c r="V37" s="29" t="n">
        <v>2038</v>
      </c>
      <c r="W37" s="29" t="n">
        <v>2039</v>
      </c>
      <c r="X37" s="30" t="n"/>
    </row>
    <row r="38" ht="18.75" customHeight="1">
      <c r="B38" s="31" t="n">
        <v>0</v>
      </c>
      <c r="C38" s="32" t="n"/>
      <c r="D38" s="33" t="n"/>
      <c r="E38" s="33" t="n"/>
      <c r="F38" s="34" t="inlineStr">
        <is>
          <t>手動計算值</t>
        </is>
      </c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6" t="inlineStr">
        <is>
          <t>償還年限</t>
        </is>
      </c>
      <c r="U38" s="35" t="n"/>
      <c r="V38" s="35" t="n"/>
      <c r="W38" s="35" t="n"/>
      <c r="X38" s="37" t="n"/>
    </row>
    <row r="39" ht="18.75" customHeight="1">
      <c r="B39" s="38" t="inlineStr">
        <is>
          <t>(Unit : Currency)</t>
        </is>
      </c>
      <c r="C39" s="39" t="n">
        <v>0</v>
      </c>
      <c r="D39" s="40" t="n">
        <v>1</v>
      </c>
      <c r="E39" s="40" t="n">
        <v>2</v>
      </c>
      <c r="F39" s="40" t="n">
        <v>3</v>
      </c>
      <c r="G39" s="40" t="n">
        <v>4</v>
      </c>
      <c r="H39" s="40" t="n">
        <v>5</v>
      </c>
      <c r="I39" s="40" t="n">
        <v>6</v>
      </c>
      <c r="J39" s="40" t="n">
        <v>7</v>
      </c>
      <c r="K39" s="40" t="n">
        <v>8</v>
      </c>
      <c r="L39" s="40" t="n">
        <v>9</v>
      </c>
      <c r="M39" s="40" t="n">
        <v>10</v>
      </c>
      <c r="N39" s="40" t="n">
        <v>11</v>
      </c>
      <c r="O39" s="40" t="n">
        <v>12</v>
      </c>
      <c r="P39" s="40" t="n">
        <v>13</v>
      </c>
      <c r="Q39" s="40" t="n">
        <v>14</v>
      </c>
      <c r="R39" s="40" t="n">
        <v>15</v>
      </c>
      <c r="S39" s="40" t="n">
        <v>16</v>
      </c>
      <c r="T39" s="41" t="n">
        <v>17</v>
      </c>
      <c r="U39" s="40" t="n">
        <v>18</v>
      </c>
      <c r="V39" s="40" t="n">
        <v>19</v>
      </c>
      <c r="W39" s="40" t="n">
        <v>20</v>
      </c>
      <c r="X39" s="42" t="n"/>
    </row>
    <row r="40" ht="18.75" customHeight="1">
      <c r="B40" s="43" t="inlineStr">
        <is>
          <t>發電度數(KWH)</t>
        </is>
      </c>
      <c r="C40" s="39" t="n">
        <v>0</v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4" t="n"/>
    </row>
    <row r="41" ht="18.75" customHeight="1">
      <c r="B41" s="45" t="inlineStr">
        <is>
          <t>Inflow : 電費收入</t>
        </is>
      </c>
      <c r="C41" s="46" t="inlineStr">
        <is>
          <t>-</t>
        </is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8" t="n"/>
    </row>
    <row r="42" ht="18.75" customHeight="1">
      <c r="B42" s="49" t="inlineStr">
        <is>
          <t>Inflow : 政府補助</t>
        </is>
      </c>
      <c r="C42" s="39" t="inlineStr">
        <is>
          <t>-</t>
        </is>
      </c>
      <c r="D42" s="40" t="n"/>
      <c r="E42" s="40" t="n"/>
      <c r="F42" s="40" t="n"/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40" t="inlineStr">
        <is>
          <t>-</t>
        </is>
      </c>
      <c r="X42" s="50" t="n"/>
    </row>
    <row r="43" ht="18.75" customHeight="1">
      <c r="B43" s="51" t="inlineStr">
        <is>
          <t>Inflow : 銀行借款</t>
        </is>
      </c>
      <c r="C43" s="52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4" t="n"/>
    </row>
    <row r="44" ht="18.75" customHeight="1">
      <c r="B44" s="55" t="inlineStr">
        <is>
          <t>Outflow : 設備費用</t>
        </is>
      </c>
      <c r="C44" s="39" t="n"/>
      <c r="D44" s="56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50" t="n"/>
    </row>
    <row r="45" ht="18.75" customHeight="1">
      <c r="B45" s="55" t="inlineStr">
        <is>
          <t>Outflow : 設備放置區域租金</t>
        </is>
      </c>
      <c r="C45" s="39" t="inlineStr">
        <is>
          <t>-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50" t="n"/>
    </row>
    <row r="46" ht="18.75" customHeight="1">
      <c r="B46" s="55" t="inlineStr">
        <is>
          <t>Outflow : 返還借款</t>
        </is>
      </c>
      <c r="C46" s="39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50" t="n"/>
    </row>
    <row r="47" ht="18.75" customHeight="1">
      <c r="B47" s="55" t="inlineStr">
        <is>
          <t>Outflow : 利息費用</t>
        </is>
      </c>
      <c r="C47" s="39" t="inlineStr">
        <is>
          <t>-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50" t="n"/>
    </row>
    <row r="48" ht="18.75" customHeight="1">
      <c r="B48" s="55" t="inlineStr">
        <is>
          <t>Outflow : 維運費</t>
        </is>
      </c>
      <c r="C48" s="39" t="inlineStr">
        <is>
          <t>-</t>
        </is>
      </c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50" t="n"/>
    </row>
    <row r="49" ht="18.75" customHeight="1">
      <c r="B49" s="55" t="inlineStr">
        <is>
          <t>Outflow : 保險費</t>
        </is>
      </c>
      <c r="C49" s="39" t="inlineStr">
        <is>
          <t>-</t>
        </is>
      </c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50" t="n"/>
    </row>
    <row r="50" ht="18.75" customHeight="1">
      <c r="B50" s="55" t="inlineStr">
        <is>
          <t>Outflow : 模組回收費</t>
        </is>
      </c>
      <c r="C50" s="39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50" t="n"/>
    </row>
    <row r="51" ht="18.75" customHeight="1">
      <c r="B51" s="55" t="inlineStr">
        <is>
          <t>Outflow : 其它費用(人事薪資…等)</t>
        </is>
      </c>
      <c r="C51" s="57" t="n"/>
      <c r="D51" s="58" t="n"/>
      <c r="E51" s="59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50" t="n"/>
    </row>
    <row r="52" ht="18.75" customHeight="1">
      <c r="B52" s="55" t="inlineStr">
        <is>
          <t>1%管理費</t>
        </is>
      </c>
      <c r="C52" s="57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50" t="n"/>
    </row>
    <row r="53" ht="18.75" customHeight="1">
      <c r="B53" s="60" t="inlineStr">
        <is>
          <t>績效獎金</t>
        </is>
      </c>
      <c r="C53" s="57" t="n"/>
      <c r="D53" s="61" t="n"/>
      <c r="E53" s="61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50" t="n"/>
    </row>
    <row r="54" ht="18.75" customHeight="1">
      <c r="B54" s="60" t="inlineStr">
        <is>
          <t>所得稅20%</t>
        </is>
      </c>
      <c r="C54" s="57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50" t="n"/>
    </row>
    <row r="55" ht="18.75" customHeight="1">
      <c r="B55" s="189" t="inlineStr">
        <is>
          <t>現金流</t>
        </is>
      </c>
      <c r="C55" s="71">
        <f>C44</f>
        <v/>
      </c>
      <c r="D55" s="66">
        <f>SUM(D41:D54)</f>
        <v/>
      </c>
      <c r="E55" s="66">
        <f>SUM(E41:E54)</f>
        <v/>
      </c>
      <c r="F55" s="66">
        <f>SUM(F41:F54)</f>
        <v/>
      </c>
      <c r="G55" s="66">
        <f>SUM(G41:G54)</f>
        <v/>
      </c>
      <c r="H55" s="66">
        <f>SUM(H41:H54)</f>
        <v/>
      </c>
      <c r="I55" s="66">
        <f>SUM(I41:I54)</f>
        <v/>
      </c>
      <c r="J55" s="66">
        <f>SUM(J41:J54)</f>
        <v/>
      </c>
      <c r="K55" s="66">
        <f>SUM(K41:K54)</f>
        <v/>
      </c>
      <c r="L55" s="66">
        <f>SUM(L41:L54)</f>
        <v/>
      </c>
      <c r="M55" s="66">
        <f>SUM(M41:M54)</f>
        <v/>
      </c>
      <c r="N55" s="66">
        <f>SUM(N41:N54)</f>
        <v/>
      </c>
      <c r="O55" s="66">
        <f>SUM(O41:O54)</f>
        <v/>
      </c>
      <c r="P55" s="66">
        <f>SUM(P41:P54)</f>
        <v/>
      </c>
      <c r="Q55" s="66">
        <f>SUM(Q41:Q54)</f>
        <v/>
      </c>
      <c r="R55" s="66">
        <f>SUM(R41:R54)</f>
        <v/>
      </c>
      <c r="S55" s="66">
        <f>SUM(S41:S54)</f>
        <v/>
      </c>
      <c r="T55" s="66">
        <f>SUM(T41:T54)</f>
        <v/>
      </c>
      <c r="U55" s="66">
        <f>SUM(U41:U54)</f>
        <v/>
      </c>
      <c r="V55" s="66">
        <f>SUM(V41:V54)</f>
        <v/>
      </c>
      <c r="W55" s="66">
        <f>SUM(W41:W54)</f>
        <v/>
      </c>
      <c r="X55" s="66">
        <f>SUM(X41:X54)</f>
        <v/>
      </c>
      <c r="Y55" s="68" t="n"/>
      <c r="Z55" s="69" t="n"/>
      <c r="AA55" s="68" t="n"/>
      <c r="AB55" s="68" t="n"/>
      <c r="AC55" s="68" t="n"/>
      <c r="AD55" s="68" t="n"/>
      <c r="AE55" s="68" t="n"/>
      <c r="AF55" s="68" t="n"/>
      <c r="AG55" s="68" t="n"/>
      <c r="AH55" s="68" t="n"/>
      <c r="AI55" s="68" t="n"/>
      <c r="AJ55" s="68" t="n"/>
    </row>
    <row r="56" ht="18.75" customHeight="1">
      <c r="B56" s="70" t="inlineStr">
        <is>
          <t>累計現金流</t>
        </is>
      </c>
      <c r="D56" s="72">
        <f>C55+D55</f>
        <v/>
      </c>
      <c r="E56" s="72">
        <f>D56+E55</f>
        <v/>
      </c>
      <c r="F56" s="72">
        <f>E56+F55</f>
        <v/>
      </c>
      <c r="G56" s="72">
        <f>F56+G55</f>
        <v/>
      </c>
      <c r="H56" s="72">
        <f>G56+H55</f>
        <v/>
      </c>
      <c r="I56" s="72">
        <f>H56+I55</f>
        <v/>
      </c>
      <c r="J56" s="72">
        <f>I56+J55</f>
        <v/>
      </c>
      <c r="K56" s="72">
        <f>J56+K55</f>
        <v/>
      </c>
      <c r="L56" s="72">
        <f>K56+L55</f>
        <v/>
      </c>
      <c r="M56" s="72">
        <f>L56+M55</f>
        <v/>
      </c>
      <c r="N56" s="72">
        <f>M56+N55</f>
        <v/>
      </c>
      <c r="O56" s="72">
        <f>N56+O55</f>
        <v/>
      </c>
      <c r="P56" s="72">
        <f>O56+P55</f>
        <v/>
      </c>
      <c r="Q56" s="72">
        <f>P56+Q55</f>
        <v/>
      </c>
      <c r="R56" s="72">
        <f>Q56+R55</f>
        <v/>
      </c>
      <c r="S56" s="72">
        <f>R56+S55</f>
        <v/>
      </c>
      <c r="T56" s="72">
        <f>S56+T55</f>
        <v/>
      </c>
      <c r="U56" s="72">
        <f>T56+U55</f>
        <v/>
      </c>
      <c r="V56" s="72">
        <f>U56+V55</f>
        <v/>
      </c>
      <c r="W56" s="72">
        <f>V56+W55</f>
        <v/>
      </c>
      <c r="X56" s="72">
        <f>W56+X55</f>
        <v/>
      </c>
      <c r="Y56" s="68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  <c r="AJ56" s="68" t="n"/>
    </row>
    <row r="57" ht="18.75" customHeight="1">
      <c r="B57" s="74" t="inlineStr">
        <is>
          <t>Discounted cash flow</t>
        </is>
      </c>
      <c r="C57" s="75" t="n">
        <v>-37721416.4</v>
      </c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  <c r="AJ57" s="68" t="n"/>
    </row>
    <row r="58" ht="18.75" customHeight="1">
      <c r="B58" s="74" t="inlineStr">
        <is>
          <t>Minus : Depreciation</t>
        </is>
      </c>
      <c r="C58" s="79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  <c r="W58" s="61" t="n"/>
      <c r="X58" s="80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  <c r="AJ58" s="68" t="n"/>
    </row>
    <row r="59" ht="18.75" customHeight="1">
      <c r="B59" s="74" t="inlineStr">
        <is>
          <t>Plus : Principle payment</t>
        </is>
      </c>
      <c r="C59" s="79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61" t="n"/>
      <c r="U59" s="61" t="n"/>
      <c r="V59" s="61" t="n"/>
      <c r="W59" s="61" t="n"/>
      <c r="X59" s="80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  <c r="AJ59" s="68" t="n"/>
    </row>
    <row r="60" ht="18.75" customHeight="1">
      <c r="B60" s="81" t="inlineStr">
        <is>
          <t>Profit</t>
        </is>
      </c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85" t="inlineStr">
        <is>
          <t>EPS</t>
        </is>
      </c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  <c r="AJ61" s="68" t="n"/>
    </row>
    <row r="62" ht="18.75" customHeight="1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  <c r="AJ62" s="68" t="n"/>
    </row>
    <row r="63" ht="18.75" customHeight="1">
      <c r="B63" s="190" t="inlineStr">
        <is>
          <t>專案法IRR</t>
        </is>
      </c>
      <c r="C63" s="149">
        <f>IRR(C55:X55)</f>
        <v/>
      </c>
      <c r="D63" s="149" t="n"/>
      <c r="E63" s="14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95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  <c r="AJ63" s="68" t="n"/>
    </row>
    <row r="64" ht="18.75" customHeight="1">
      <c r="B64" s="28" t="n"/>
      <c r="C64" s="149" t="n"/>
      <c r="D64" s="149" t="n"/>
      <c r="E64" s="149" t="n"/>
      <c r="F64" s="59" t="n"/>
      <c r="G64" s="59" t="n"/>
      <c r="H64" s="59" t="n"/>
      <c r="I64" s="59" t="n"/>
      <c r="J64" s="59" t="n"/>
      <c r="K64" s="59" t="n"/>
      <c r="L64" s="59" t="n"/>
      <c r="M64" s="96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95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  <c r="AJ64" s="68" t="n"/>
    </row>
    <row r="65" ht="18.75" customHeight="1">
      <c r="B65" s="28" t="n"/>
      <c r="C65" s="29" t="inlineStr">
        <is>
          <t>年份</t>
        </is>
      </c>
      <c r="D65" s="29" t="n">
        <v>2020</v>
      </c>
      <c r="E65" s="29" t="n">
        <v>2021</v>
      </c>
      <c r="F65" s="29" t="n">
        <v>2022</v>
      </c>
      <c r="G65" s="29" t="n">
        <v>2023</v>
      </c>
      <c r="H65" s="29" t="n">
        <v>2024</v>
      </c>
      <c r="I65" s="29" t="n">
        <v>2025</v>
      </c>
      <c r="J65" s="29" t="n">
        <v>2026</v>
      </c>
      <c r="K65" s="29" t="n">
        <v>2027</v>
      </c>
      <c r="L65" s="29" t="n">
        <v>2028</v>
      </c>
      <c r="M65" s="29" t="n">
        <v>2029</v>
      </c>
      <c r="N65" s="29" t="n">
        <v>2030</v>
      </c>
      <c r="O65" s="29" t="n">
        <v>2031</v>
      </c>
      <c r="P65" s="29" t="n">
        <v>2032</v>
      </c>
      <c r="Q65" s="29" t="n">
        <v>2033</v>
      </c>
      <c r="R65" s="29" t="n">
        <v>2034</v>
      </c>
      <c r="S65" s="29" t="n">
        <v>2035</v>
      </c>
      <c r="T65" s="29" t="n">
        <v>2036</v>
      </c>
      <c r="U65" s="29" t="n">
        <v>2037</v>
      </c>
      <c r="V65" s="29" t="n">
        <v>2038</v>
      </c>
      <c r="W65" s="29" t="n">
        <v>2039</v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 ht="18.75" customHeight="1">
      <c r="B66" s="31" t="n">
        <v>0</v>
      </c>
      <c r="C66" s="32" t="n"/>
      <c r="D66" s="33" t="n"/>
      <c r="E66" s="33" t="n"/>
      <c r="F66" s="34" t="inlineStr">
        <is>
          <t>手動計算值</t>
        </is>
      </c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6" t="inlineStr">
        <is>
          <t>償還年限</t>
        </is>
      </c>
      <c r="U66" s="35" t="n"/>
      <c r="V66" s="35" t="n"/>
      <c r="W66" s="35" t="n"/>
      <c r="X66" s="37" t="n"/>
    </row>
    <row r="67" ht="18.75" customHeight="1">
      <c r="B67" s="38" t="inlineStr">
        <is>
          <t>(Unit : Currency)</t>
        </is>
      </c>
      <c r="C67" s="39" t="n">
        <v>0</v>
      </c>
      <c r="D67" s="40" t="n">
        <v>1</v>
      </c>
      <c r="E67" s="40" t="n">
        <v>2</v>
      </c>
      <c r="F67" s="40" t="n">
        <v>3</v>
      </c>
      <c r="G67" s="40" t="n">
        <v>4</v>
      </c>
      <c r="H67" s="40" t="n">
        <v>5</v>
      </c>
      <c r="I67" s="40" t="n">
        <v>6</v>
      </c>
      <c r="J67" s="40" t="n">
        <v>7</v>
      </c>
      <c r="K67" s="40" t="n">
        <v>8</v>
      </c>
      <c r="L67" s="40" t="n">
        <v>9</v>
      </c>
      <c r="M67" s="40" t="n">
        <v>10</v>
      </c>
      <c r="N67" s="40" t="n">
        <v>11</v>
      </c>
      <c r="O67" s="40" t="n">
        <v>12</v>
      </c>
      <c r="P67" s="40" t="n">
        <v>13</v>
      </c>
      <c r="Q67" s="40" t="n">
        <v>14</v>
      </c>
      <c r="R67" s="40" t="n">
        <v>15</v>
      </c>
      <c r="S67" s="40" t="n">
        <v>16</v>
      </c>
      <c r="T67" s="41" t="n">
        <v>17</v>
      </c>
      <c r="U67" s="40" t="n">
        <v>18</v>
      </c>
      <c r="V67" s="40" t="n">
        <v>19</v>
      </c>
      <c r="W67" s="40" t="n">
        <v>20</v>
      </c>
      <c r="X67" s="42" t="n"/>
    </row>
    <row r="68" ht="18.75" customHeight="1">
      <c r="B68" s="43" t="inlineStr">
        <is>
          <t>發電度數(KWH)</t>
        </is>
      </c>
      <c r="C68" s="39" t="n">
        <v>0</v>
      </c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4" t="n"/>
    </row>
    <row r="69" ht="18.75" customHeight="1">
      <c r="B69" s="45" t="inlineStr">
        <is>
          <t>Inflow : 電費收入</t>
        </is>
      </c>
      <c r="C69" s="46" t="inlineStr">
        <is>
          <t>-</t>
        </is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8" t="n"/>
    </row>
    <row r="70" ht="18.75" customHeight="1">
      <c r="B70" s="49" t="inlineStr">
        <is>
          <t>Inflow : 政府補助</t>
        </is>
      </c>
      <c r="C70" s="39" t="inlineStr">
        <is>
          <t>-</t>
        </is>
      </c>
      <c r="D70" s="40" t="n"/>
      <c r="E70" s="40" t="n"/>
      <c r="F70" s="40" t="n"/>
      <c r="G70" s="40" t="inlineStr">
        <is>
          <t>-</t>
        </is>
      </c>
      <c r="H70" s="40" t="inlineStr">
        <is>
          <t>-</t>
        </is>
      </c>
      <c r="I70" s="40" t="inlineStr">
        <is>
          <t>-</t>
        </is>
      </c>
      <c r="J70" s="40" t="inlineStr">
        <is>
          <t>-</t>
        </is>
      </c>
      <c r="K70" s="40" t="inlineStr">
        <is>
          <t>-</t>
        </is>
      </c>
      <c r="L70" s="40" t="inlineStr">
        <is>
          <t>-</t>
        </is>
      </c>
      <c r="M70" s="40" t="inlineStr">
        <is>
          <t>-</t>
        </is>
      </c>
      <c r="N70" s="40" t="inlineStr">
        <is>
          <t>-</t>
        </is>
      </c>
      <c r="O70" s="40" t="inlineStr">
        <is>
          <t>-</t>
        </is>
      </c>
      <c r="P70" s="40" t="inlineStr">
        <is>
          <t>-</t>
        </is>
      </c>
      <c r="Q70" s="40" t="inlineStr">
        <is>
          <t>-</t>
        </is>
      </c>
      <c r="R70" s="40" t="inlineStr">
        <is>
          <t>-</t>
        </is>
      </c>
      <c r="S70" s="40" t="inlineStr">
        <is>
          <t>-</t>
        </is>
      </c>
      <c r="T70" s="40" t="inlineStr">
        <is>
          <t>-</t>
        </is>
      </c>
      <c r="U70" s="40" t="inlineStr">
        <is>
          <t>-</t>
        </is>
      </c>
      <c r="V70" s="40" t="inlineStr">
        <is>
          <t>-</t>
        </is>
      </c>
      <c r="W70" s="40" t="inlineStr">
        <is>
          <t>-</t>
        </is>
      </c>
      <c r="X70" s="50" t="n"/>
    </row>
    <row r="71" ht="18.75" customHeight="1">
      <c r="B71" s="51" t="inlineStr">
        <is>
          <t>Inflow : 銀行借款</t>
        </is>
      </c>
      <c r="C71" s="52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4" t="n"/>
    </row>
    <row r="72" ht="18.75" customHeight="1">
      <c r="B72" s="55" t="inlineStr">
        <is>
          <t>Outflow : 設備折舊</t>
        </is>
      </c>
      <c r="C72" s="39" t="n"/>
      <c r="D72" s="56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50" t="n"/>
    </row>
    <row r="73" ht="18.75" customHeight="1">
      <c r="B73" s="55" t="inlineStr">
        <is>
          <t>Outflow : 設備放置區域租金</t>
        </is>
      </c>
      <c r="C73" s="39" t="inlineStr">
        <is>
          <t>-</t>
        </is>
      </c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50" t="n"/>
    </row>
    <row r="74" ht="18.75" customHeight="1">
      <c r="B74" s="55" t="inlineStr">
        <is>
          <t>Outflow : 返還借款</t>
        </is>
      </c>
      <c r="C74" s="39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50" t="n"/>
    </row>
    <row r="75" ht="18.75" customHeight="1">
      <c r="B75" s="55" t="inlineStr">
        <is>
          <t>Outflow : 利息費用</t>
        </is>
      </c>
      <c r="C75" s="39" t="inlineStr">
        <is>
          <t>-</t>
        </is>
      </c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50" t="n"/>
    </row>
    <row r="76" ht="18.75" customHeight="1">
      <c r="B76" s="55" t="inlineStr">
        <is>
          <t>Outflow : 維運費</t>
        </is>
      </c>
      <c r="C76" s="39" t="inlineStr">
        <is>
          <t>-</t>
        </is>
      </c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50" t="n"/>
    </row>
    <row r="77" ht="18.75" customHeight="1">
      <c r="B77" s="55" t="inlineStr">
        <is>
          <t>Outflow : 保險費</t>
        </is>
      </c>
      <c r="C77" s="39" t="inlineStr">
        <is>
          <t>-</t>
        </is>
      </c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50" t="n"/>
    </row>
    <row r="78" ht="18.75" customHeight="1">
      <c r="B78" s="55" t="inlineStr">
        <is>
          <t>Outflow : 模組回收費</t>
        </is>
      </c>
      <c r="C78" s="39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50" t="n"/>
    </row>
    <row r="79" ht="18.75" customHeight="1">
      <c r="B79" s="55" t="inlineStr">
        <is>
          <t>Outflow : 其它費用(人事薪資…等)</t>
        </is>
      </c>
      <c r="C79" s="57" t="n"/>
      <c r="D79" s="58" t="n"/>
      <c r="E79" s="59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50" t="n"/>
    </row>
    <row r="80" ht="18.75" customHeight="1">
      <c r="B80" s="55" t="inlineStr">
        <is>
          <t>1%管理費</t>
        </is>
      </c>
      <c r="C80" s="57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50" t="n"/>
    </row>
    <row r="81" ht="18.75" customHeight="1">
      <c r="B81" s="189" t="inlineStr">
        <is>
          <t>稅前淨利</t>
        </is>
      </c>
      <c r="C81" s="65" t="n"/>
      <c r="D81" s="66">
        <f>SUM(D69:D80)</f>
        <v/>
      </c>
      <c r="E81" s="66">
        <f>SUM(E69:E80)</f>
        <v/>
      </c>
      <c r="F81" s="66">
        <f>SUM(F69:F80)</f>
        <v/>
      </c>
      <c r="G81" s="66">
        <f>SUM(G69:G80)</f>
        <v/>
      </c>
      <c r="H81" s="66">
        <f>SUM(H69:H80)</f>
        <v/>
      </c>
      <c r="I81" s="66">
        <f>SUM(I69:I80)</f>
        <v/>
      </c>
      <c r="J81" s="66">
        <f>SUM(J69:J80)</f>
        <v/>
      </c>
      <c r="K81" s="66">
        <f>SUM(K69:K80)</f>
        <v/>
      </c>
      <c r="L81" s="66">
        <f>SUM(L69:L80)</f>
        <v/>
      </c>
      <c r="M81" s="66">
        <f>SUM(M69:M80)</f>
        <v/>
      </c>
      <c r="N81" s="66">
        <f>SUM(N69:N80)</f>
        <v/>
      </c>
      <c r="O81" s="66">
        <f>SUM(O69:O80)</f>
        <v/>
      </c>
      <c r="P81" s="66">
        <f>SUM(P69:P80)</f>
        <v/>
      </c>
      <c r="Q81" s="66">
        <f>SUM(Q69:Q80)</f>
        <v/>
      </c>
      <c r="R81" s="66">
        <f>SUM(R69:R80)</f>
        <v/>
      </c>
      <c r="S81" s="66">
        <f>SUM(S69:S80)</f>
        <v/>
      </c>
      <c r="T81" s="66">
        <f>SUM(T69:T80)</f>
        <v/>
      </c>
      <c r="U81" s="66">
        <f>SUM(U69:U80)</f>
        <v/>
      </c>
      <c r="V81" s="66">
        <f>SUM(V69:V80)</f>
        <v/>
      </c>
      <c r="W81" s="66">
        <f>SUM(W69:W80)</f>
        <v/>
      </c>
      <c r="X81" s="66">
        <f>SUM(X69:X80)</f>
        <v/>
      </c>
    </row>
    <row r="82" ht="18.75" customHeight="1">
      <c r="B82" s="60" t="inlineStr">
        <is>
          <t>所得稅20%</t>
        </is>
      </c>
      <c r="C82" s="57" t="n"/>
      <c r="D82" s="40">
        <f>-D81*0.2</f>
        <v/>
      </c>
      <c r="E82" s="40">
        <f>-E81*0.2</f>
        <v/>
      </c>
      <c r="F82" s="40">
        <f>-F81*0.2</f>
        <v/>
      </c>
      <c r="G82" s="40">
        <f>-G81*0.2</f>
        <v/>
      </c>
      <c r="H82" s="40">
        <f>-H81*0.2</f>
        <v/>
      </c>
      <c r="I82" s="40">
        <f>-I81*0.2</f>
        <v/>
      </c>
      <c r="J82" s="40">
        <f>-J81*0.2</f>
        <v/>
      </c>
      <c r="K82" s="40">
        <f>-K81*0.2</f>
        <v/>
      </c>
      <c r="L82" s="40">
        <f>-L81*0.2</f>
        <v/>
      </c>
      <c r="M82" s="40">
        <f>-M81*0.2</f>
        <v/>
      </c>
      <c r="N82" s="40">
        <f>-N81*0.2</f>
        <v/>
      </c>
      <c r="O82" s="40">
        <f>-O81*0.2</f>
        <v/>
      </c>
      <c r="P82" s="40">
        <f>-P81*0.2</f>
        <v/>
      </c>
      <c r="Q82" s="40">
        <f>-Q81*0.2</f>
        <v/>
      </c>
      <c r="R82" s="40">
        <f>-R81*0.2</f>
        <v/>
      </c>
      <c r="S82" s="40">
        <f>-S81*0.2</f>
        <v/>
      </c>
      <c r="T82" s="40">
        <f>-T81*0.2</f>
        <v/>
      </c>
      <c r="U82" s="40">
        <f>-U81*0.2</f>
        <v/>
      </c>
      <c r="V82" s="40">
        <f>-V81*0.2</f>
        <v/>
      </c>
      <c r="W82" s="40">
        <f>-W81*0.2</f>
        <v/>
      </c>
      <c r="X82" s="40">
        <f>-X81*0.2</f>
        <v/>
      </c>
    </row>
    <row r="83">
      <c r="B83" s="191" t="inlineStr">
        <is>
          <t>稅後淨利</t>
        </is>
      </c>
      <c r="D83" s="40">
        <f>SUM(D81:D82)</f>
        <v/>
      </c>
      <c r="E83" s="40">
        <f>SUM(E81:E82)</f>
        <v/>
      </c>
      <c r="F83" s="40">
        <f>SUM(F81:F82)</f>
        <v/>
      </c>
      <c r="G83" s="40">
        <f>SUM(G81:G82)</f>
        <v/>
      </c>
      <c r="H83" s="40">
        <f>SUM(H81:H82)</f>
        <v/>
      </c>
      <c r="I83" s="40">
        <f>SUM(I81:I82)</f>
        <v/>
      </c>
      <c r="J83" s="40">
        <f>SUM(J81:J82)</f>
        <v/>
      </c>
      <c r="K83" s="40">
        <f>SUM(K81:K82)</f>
        <v/>
      </c>
      <c r="L83" s="40">
        <f>SUM(L81:L82)</f>
        <v/>
      </c>
      <c r="M83" s="40">
        <f>SUM(M81:M82)</f>
        <v/>
      </c>
      <c r="N83" s="40">
        <f>SUM(N81:N82)</f>
        <v/>
      </c>
      <c r="O83" s="40">
        <f>SUM(O81:O82)</f>
        <v/>
      </c>
      <c r="P83" s="40">
        <f>SUM(P81:P82)</f>
        <v/>
      </c>
      <c r="Q83" s="40">
        <f>SUM(Q81:Q82)</f>
        <v/>
      </c>
      <c r="R83" s="40">
        <f>SUM(R81:R82)</f>
        <v/>
      </c>
      <c r="S83" s="40">
        <f>SUM(S81:S82)</f>
        <v/>
      </c>
      <c r="T83" s="40">
        <f>SUM(T81:T82)</f>
        <v/>
      </c>
      <c r="U83" s="40">
        <f>SUM(U81:U82)</f>
        <v/>
      </c>
      <c r="V83" s="40">
        <f>SUM(V81:V82)</f>
        <v/>
      </c>
      <c r="W83" s="40">
        <f>SUM(W81:W82)</f>
        <v/>
      </c>
      <c r="X83" s="40">
        <f>SUM(X81:X82)</f>
        <v/>
      </c>
    </row>
    <row r="84" ht="18.75" customHeight="1">
      <c r="B84" s="70" t="inlineStr">
        <is>
          <t>累計現金流</t>
        </is>
      </c>
      <c r="C84" s="71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3" t="n"/>
    </row>
    <row r="85" ht="18.75" customHeight="1">
      <c r="B85" s="90" t="inlineStr">
        <is>
          <t>回收年限評估</t>
        </is>
      </c>
      <c r="C85" s="91" t="n"/>
      <c r="D85" s="92" t="n"/>
      <c r="E85" s="92" t="n"/>
      <c r="F85" s="92" t="n"/>
      <c r="G85" s="92" t="n"/>
      <c r="H85" s="92" t="n"/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93" t="n"/>
    </row>
    <row r="86" ht="18.75" customHeight="1">
      <c r="B86" s="28" t="n"/>
      <c r="C86" s="149" t="n"/>
      <c r="D86" s="149" t="n"/>
      <c r="E86" s="149" t="n"/>
      <c r="F86" s="59" t="n"/>
      <c r="G86" s="59" t="n"/>
      <c r="H86" s="59" t="n"/>
      <c r="I86" s="59" t="n"/>
      <c r="J86" s="59" t="n"/>
      <c r="K86" s="59" t="n"/>
      <c r="L86" s="59" t="inlineStr">
        <is>
          <t>預估可建置量</t>
        </is>
      </c>
      <c r="M86" s="96" t="n">
        <v>0</v>
      </c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95" t="n"/>
    </row>
    <row r="87" ht="18.75" customHeight="1">
      <c r="C87" s="97" t="inlineStr">
        <is>
          <t>年份</t>
        </is>
      </c>
      <c r="D87" s="98" t="n">
        <v>2020</v>
      </c>
      <c r="E87" s="98" t="n">
        <v>2021</v>
      </c>
      <c r="F87" s="98" t="n">
        <v>2022</v>
      </c>
      <c r="G87" s="98" t="n">
        <v>2023</v>
      </c>
      <c r="H87" s="98" t="n">
        <v>2024</v>
      </c>
      <c r="I87" s="98" t="n">
        <v>2025</v>
      </c>
      <c r="J87" s="98" t="n">
        <v>2026</v>
      </c>
      <c r="K87" s="98" t="n">
        <v>2027</v>
      </c>
      <c r="L87" s="98" t="n">
        <v>2028</v>
      </c>
      <c r="M87" s="98" t="n">
        <v>2029</v>
      </c>
      <c r="N87" s="98" t="n">
        <v>2030</v>
      </c>
      <c r="O87" s="98" t="n">
        <v>2031</v>
      </c>
      <c r="P87" s="98" t="n">
        <v>2032</v>
      </c>
      <c r="Q87" s="98" t="n">
        <v>2033</v>
      </c>
      <c r="R87" s="98" t="n">
        <v>2034</v>
      </c>
      <c r="S87" s="98" t="n">
        <v>2035</v>
      </c>
      <c r="T87" s="98" t="n">
        <v>2036</v>
      </c>
      <c r="U87" s="98" t="n">
        <v>2037</v>
      </c>
      <c r="V87" s="98" t="n">
        <v>2038</v>
      </c>
      <c r="W87" s="98" t="n">
        <v>2039</v>
      </c>
      <c r="X87" s="99" t="n"/>
    </row>
    <row r="88" ht="18.75" customHeight="1">
      <c r="X88" s="99" t="n"/>
    </row>
    <row r="89" ht="18.75" customHeight="1">
      <c r="B89" s="100" t="inlineStr">
        <is>
          <t>(Unit : Currency)</t>
        </is>
      </c>
      <c r="C89" s="101" t="n">
        <v>0</v>
      </c>
      <c r="D89" s="101" t="n">
        <v>1</v>
      </c>
      <c r="E89" s="101" t="n">
        <v>2</v>
      </c>
      <c r="F89" s="101" t="n">
        <v>3</v>
      </c>
      <c r="G89" s="101" t="n">
        <v>4</v>
      </c>
      <c r="H89" s="101" t="n">
        <v>5</v>
      </c>
      <c r="I89" s="101" t="n">
        <v>6</v>
      </c>
      <c r="J89" s="101" t="n">
        <v>7</v>
      </c>
      <c r="K89" s="101" t="n">
        <v>8</v>
      </c>
      <c r="L89" s="101" t="n">
        <v>9</v>
      </c>
      <c r="M89" s="101" t="n">
        <v>10</v>
      </c>
      <c r="N89" s="101" t="n">
        <v>11</v>
      </c>
      <c r="O89" s="101" t="n">
        <v>12</v>
      </c>
      <c r="P89" s="101" t="n">
        <v>13</v>
      </c>
      <c r="Q89" s="101" t="n">
        <v>14</v>
      </c>
      <c r="R89" s="101" t="n">
        <v>15</v>
      </c>
      <c r="S89" s="101" t="n">
        <v>16</v>
      </c>
      <c r="T89" s="101" t="n">
        <v>17</v>
      </c>
      <c r="U89" s="101" t="n">
        <v>18</v>
      </c>
      <c r="V89" s="101" t="n">
        <v>19</v>
      </c>
      <c r="W89" s="101" t="n">
        <v>20</v>
      </c>
      <c r="X89" s="102" t="n"/>
    </row>
    <row r="90" ht="18.75" customHeight="1">
      <c r="B90" s="103" t="inlineStr">
        <is>
          <t>稅後淨利</t>
        </is>
      </c>
      <c r="C90" s="104" t="n"/>
      <c r="D90" s="101">
        <f>D81</f>
        <v/>
      </c>
      <c r="E90" s="101">
        <f>E81</f>
        <v/>
      </c>
      <c r="F90" s="101">
        <f>F81</f>
        <v/>
      </c>
      <c r="G90" s="101">
        <f>G81</f>
        <v/>
      </c>
      <c r="H90" s="101">
        <f>H81</f>
        <v/>
      </c>
      <c r="I90" s="101">
        <f>I81</f>
        <v/>
      </c>
      <c r="J90" s="101">
        <f>J81</f>
        <v/>
      </c>
      <c r="K90" s="101">
        <f>K81</f>
        <v/>
      </c>
      <c r="L90" s="101">
        <f>L81</f>
        <v/>
      </c>
      <c r="M90" s="101">
        <f>M81</f>
        <v/>
      </c>
      <c r="N90" s="101">
        <f>N81</f>
        <v/>
      </c>
      <c r="O90" s="101">
        <f>O81</f>
        <v/>
      </c>
      <c r="P90" s="101">
        <f>P81</f>
        <v/>
      </c>
      <c r="Q90" s="101">
        <f>Q81</f>
        <v/>
      </c>
      <c r="R90" s="101">
        <f>R81</f>
        <v/>
      </c>
      <c r="S90" s="101">
        <f>S81</f>
        <v/>
      </c>
      <c r="T90" s="101">
        <f>T81</f>
        <v/>
      </c>
      <c r="U90" s="101">
        <f>U81</f>
        <v/>
      </c>
      <c r="V90" s="101">
        <f>V81</f>
        <v/>
      </c>
      <c r="W90" s="101">
        <f>W81</f>
        <v/>
      </c>
      <c r="X90" s="104" t="n"/>
      <c r="Y90" s="104" t="n"/>
    </row>
    <row r="91">
      <c r="B91" s="103" t="inlineStr">
        <is>
          <t>設備折舊</t>
        </is>
      </c>
      <c r="C91" s="104" t="n"/>
      <c r="D91" s="105" t="n"/>
      <c r="E91" s="105" t="n"/>
      <c r="F91" s="105" t="n"/>
      <c r="G91" s="105" t="n"/>
      <c r="H91" s="105" t="n"/>
      <c r="I91" s="105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5" t="n"/>
      <c r="T91" s="105" t="n"/>
      <c r="U91" s="105" t="n"/>
      <c r="V91" s="105" t="n"/>
      <c r="W91" s="105" t="n"/>
      <c r="X91" s="77" t="n"/>
    </row>
    <row r="92">
      <c r="B92" s="103" t="inlineStr">
        <is>
          <t>營運活動現金流量</t>
        </is>
      </c>
      <c r="C92" s="104" t="n"/>
      <c r="D92" s="192">
        <f>SUM(D90:D91)</f>
        <v/>
      </c>
      <c r="E92" s="192">
        <f>SUM(E90:E91)</f>
        <v/>
      </c>
      <c r="F92" s="192">
        <f>SUM(F90:F91)</f>
        <v/>
      </c>
      <c r="G92" s="192">
        <f>SUM(G90:G91)</f>
        <v/>
      </c>
      <c r="H92" s="192">
        <f>SUM(H90:H91)</f>
        <v/>
      </c>
      <c r="I92" s="192">
        <f>SUM(I90:I91)</f>
        <v/>
      </c>
      <c r="J92" s="192">
        <f>SUM(J90:J91)</f>
        <v/>
      </c>
      <c r="K92" s="192">
        <f>SUM(K90:K91)</f>
        <v/>
      </c>
      <c r="L92" s="192">
        <f>SUM(L90:L91)</f>
        <v/>
      </c>
      <c r="M92" s="192">
        <f>SUM(M90:M91)</f>
        <v/>
      </c>
      <c r="N92" s="192">
        <f>SUM(N90:N91)</f>
        <v/>
      </c>
      <c r="O92" s="192">
        <f>SUM(O90:O91)</f>
        <v/>
      </c>
      <c r="P92" s="192">
        <f>SUM(P90:P91)</f>
        <v/>
      </c>
      <c r="Q92" s="192">
        <f>SUM(Q90:Q91)</f>
        <v/>
      </c>
      <c r="R92" s="192">
        <f>SUM(R90:R91)</f>
        <v/>
      </c>
      <c r="S92" s="192">
        <f>SUM(S90:S91)</f>
        <v/>
      </c>
      <c r="T92" s="192">
        <f>SUM(T90:T91)</f>
        <v/>
      </c>
      <c r="U92" s="192">
        <f>SUM(U90:U91)</f>
        <v/>
      </c>
      <c r="V92" s="192">
        <f>SUM(V90:V91)</f>
        <v/>
      </c>
      <c r="W92" s="192">
        <f>SUM(W90:W91)</f>
        <v/>
      </c>
      <c r="X92" s="107" t="n"/>
    </row>
    <row r="93">
      <c r="B93" s="103" t="n"/>
      <c r="C93" s="104" t="n"/>
      <c r="D93" s="104" t="n"/>
      <c r="E93" s="104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99" t="n"/>
    </row>
    <row r="94">
      <c r="B94" s="109" t="inlineStr">
        <is>
          <t>投資活動-設備支出</t>
        </is>
      </c>
      <c r="C94" s="110" t="n"/>
      <c r="D94" s="111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O94" s="110" t="n"/>
      <c r="P94" s="110" t="n"/>
      <c r="Q94" s="110" t="n"/>
      <c r="R94" s="110" t="n"/>
      <c r="S94" s="110" t="n"/>
      <c r="T94" s="110" t="n"/>
      <c r="U94" s="110" t="n"/>
      <c r="V94" s="110" t="n"/>
      <c r="W94" s="110" t="n"/>
      <c r="X94" s="77" t="n"/>
    </row>
    <row r="95">
      <c r="B95" s="103" t="n"/>
      <c r="C95" s="104" t="n"/>
      <c r="D95" s="104" t="n"/>
      <c r="E95" s="104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99" t="n"/>
    </row>
    <row r="96">
      <c r="B96" s="103" t="n"/>
      <c r="C96" s="104" t="n"/>
      <c r="D96" s="104" t="n"/>
      <c r="E96" s="104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99" t="n"/>
    </row>
    <row r="97">
      <c r="B97" s="109" t="inlineStr">
        <is>
          <t>理財活動-借款</t>
        </is>
      </c>
      <c r="C97" s="110" t="n"/>
      <c r="D97" s="111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O97" s="110" t="n"/>
      <c r="P97" s="110" t="n"/>
      <c r="Q97" s="110" t="n"/>
      <c r="R97" s="110" t="n"/>
      <c r="S97" s="110" t="n"/>
      <c r="T97" s="110" t="n"/>
      <c r="U97" s="110" t="n"/>
      <c r="V97" s="110" t="n"/>
      <c r="W97" s="110" t="n"/>
      <c r="X97" s="99" t="n"/>
    </row>
    <row r="98">
      <c r="B98" s="103" t="inlineStr">
        <is>
          <t>理財活動-還款</t>
        </is>
      </c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8" t="n"/>
      <c r="U98" s="108" t="n"/>
      <c r="V98" s="108" t="n"/>
      <c r="W98" s="108" t="n"/>
      <c r="X98" s="77" t="n"/>
    </row>
    <row r="99">
      <c r="B99" s="103" t="inlineStr">
        <is>
          <t>理財活動-現金增資</t>
        </is>
      </c>
      <c r="C99" s="108" t="n"/>
      <c r="D99" s="104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7" t="n"/>
    </row>
    <row r="100">
      <c r="B100" s="103" t="inlineStr">
        <is>
          <t>現金股利</t>
        </is>
      </c>
      <c r="C100" s="108" t="n"/>
      <c r="D100" s="108" t="n"/>
      <c r="E100" s="112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  <c r="U100" s="104" t="n"/>
      <c r="V100" s="108" t="n"/>
      <c r="W100" s="104" t="n"/>
      <c r="X100" s="107" t="n"/>
    </row>
    <row r="101">
      <c r="B101" s="113" t="inlineStr">
        <is>
          <t>年底減資</t>
        </is>
      </c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5" t="n"/>
      <c r="S101" s="115" t="n"/>
      <c r="T101" s="115" t="n"/>
      <c r="U101" s="115" t="n"/>
      <c r="V101" s="114" t="n"/>
      <c r="W101" s="114" t="n"/>
      <c r="X101" s="107" t="n"/>
    </row>
    <row r="102"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7" t="n"/>
    </row>
    <row r="103"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7" t="n"/>
    </row>
    <row r="104">
      <c r="B104" s="103" t="inlineStr">
        <is>
          <t>現金淨流入(出 )</t>
        </is>
      </c>
      <c r="D104" s="108" t="n"/>
      <c r="E104" s="106" t="n"/>
      <c r="F104" s="106" t="n"/>
      <c r="G104" s="106" t="n"/>
      <c r="H104" s="106" t="n"/>
      <c r="I104" s="106" t="n"/>
      <c r="J104" s="106" t="n"/>
      <c r="K104" s="106" t="n"/>
      <c r="L104" s="106" t="n"/>
      <c r="M104" s="106" t="n"/>
      <c r="N104" s="106" t="n"/>
      <c r="O104" s="106" t="n"/>
      <c r="P104" s="106" t="n"/>
      <c r="Q104" s="106" t="n"/>
      <c r="R104" s="106" t="n"/>
      <c r="S104" s="106" t="n"/>
      <c r="T104" s="106" t="n"/>
      <c r="U104" s="106" t="n"/>
      <c r="V104" s="106" t="n"/>
      <c r="W104" s="106" t="n"/>
      <c r="X104" s="107" t="n"/>
    </row>
    <row r="105">
      <c r="B105" s="103" t="inlineStr">
        <is>
          <t>期初淨現金</t>
        </is>
      </c>
      <c r="C105" s="108" t="n"/>
      <c r="D105" s="108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8" t="n"/>
      <c r="W105" s="108" t="n"/>
      <c r="X105" s="99" t="n"/>
    </row>
    <row r="106">
      <c r="B106" s="103" t="inlineStr">
        <is>
          <t>期未淨現金</t>
        </is>
      </c>
      <c r="C106" s="108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  <c r="U106" s="104" t="n"/>
      <c r="V106" s="108" t="n"/>
      <c r="W106" s="108" t="n"/>
      <c r="X106" s="99" t="n"/>
    </row>
    <row r="107">
      <c r="B107" s="103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16" t="n"/>
    </row>
    <row r="108">
      <c r="B108" s="103" t="n"/>
      <c r="C108" s="104" t="n"/>
      <c r="D108" s="104" t="n"/>
      <c r="E108" s="104" t="n"/>
      <c r="F108" s="108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16" t="n"/>
    </row>
    <row r="109">
      <c r="B109" s="117" t="inlineStr">
        <is>
          <t>成本法實際現金流</t>
        </is>
      </c>
      <c r="C109" s="118" t="n"/>
      <c r="D109" s="193">
        <f>-D97</f>
        <v/>
      </c>
      <c r="E109" s="192">
        <f>-E100-E101</f>
        <v/>
      </c>
      <c r="F109" s="192">
        <f>-F100-F101</f>
        <v/>
      </c>
      <c r="G109" s="192">
        <f>-G100-G101</f>
        <v/>
      </c>
      <c r="H109" s="192">
        <f>-H100-H101</f>
        <v/>
      </c>
      <c r="I109" s="192">
        <f>-I100-I101</f>
        <v/>
      </c>
      <c r="J109" s="192">
        <f>-J100-J101</f>
        <v/>
      </c>
      <c r="K109" s="192">
        <f>-K100-K101</f>
        <v/>
      </c>
      <c r="L109" s="192">
        <f>-L100-L101</f>
        <v/>
      </c>
      <c r="M109" s="192">
        <f>-M100-M101</f>
        <v/>
      </c>
      <c r="N109" s="192">
        <f>-N100-N101</f>
        <v/>
      </c>
      <c r="O109" s="192">
        <f>-O100-O101</f>
        <v/>
      </c>
      <c r="P109" s="192">
        <f>-P100-P101</f>
        <v/>
      </c>
      <c r="Q109" s="192">
        <f>-Q100-Q101</f>
        <v/>
      </c>
      <c r="R109" s="192">
        <f>-R100-R101</f>
        <v/>
      </c>
      <c r="S109" s="192">
        <f>-S100-S101</f>
        <v/>
      </c>
      <c r="T109" s="192">
        <f>-T100-T101</f>
        <v/>
      </c>
      <c r="U109" s="192">
        <f>-U100-U101</f>
        <v/>
      </c>
      <c r="V109" s="192">
        <f>-V100-V101</f>
        <v/>
      </c>
      <c r="W109" s="192">
        <f>-W100-W101</f>
        <v/>
      </c>
      <c r="X109" s="192">
        <f>-X100-X101</f>
        <v/>
      </c>
    </row>
    <row r="110">
      <c r="B110" s="103" t="inlineStr">
        <is>
          <t>成本法IRR</t>
        </is>
      </c>
      <c r="C110" s="120">
        <f>IRR(D109:X109)</f>
        <v/>
      </c>
      <c r="D110" s="150" t="n"/>
      <c r="E110" s="150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  <c r="U110" s="104" t="n"/>
      <c r="V110" s="104" t="n"/>
      <c r="W110" s="104" t="n"/>
      <c r="X110" s="116" t="n"/>
    </row>
    <row r="111">
      <c r="B111" s="117" t="inlineStr">
        <is>
          <t>權益法實際現金流</t>
        </is>
      </c>
      <c r="C111" s="118" t="n"/>
      <c r="D111" s="193">
        <f>D90-D99</f>
        <v/>
      </c>
      <c r="E111" s="192">
        <f>E90</f>
        <v/>
      </c>
      <c r="F111" s="192">
        <f>F90</f>
        <v/>
      </c>
      <c r="G111" s="192">
        <f>G90</f>
        <v/>
      </c>
      <c r="H111" s="192">
        <f>H90</f>
        <v/>
      </c>
      <c r="I111" s="192">
        <f>I90</f>
        <v/>
      </c>
      <c r="J111" s="192">
        <f>J90</f>
        <v/>
      </c>
      <c r="K111" s="192">
        <f>K90</f>
        <v/>
      </c>
      <c r="L111" s="192">
        <f>L90</f>
        <v/>
      </c>
      <c r="M111" s="192">
        <f>M90</f>
        <v/>
      </c>
      <c r="N111" s="192">
        <f>N90</f>
        <v/>
      </c>
      <c r="O111" s="192">
        <f>O90</f>
        <v/>
      </c>
      <c r="P111" s="192">
        <f>P90</f>
        <v/>
      </c>
      <c r="Q111" s="192">
        <f>Q90</f>
        <v/>
      </c>
      <c r="R111" s="192">
        <f>R90</f>
        <v/>
      </c>
      <c r="S111" s="192">
        <f>S90</f>
        <v/>
      </c>
      <c r="T111" s="192">
        <f>T90</f>
        <v/>
      </c>
      <c r="U111" s="192">
        <f>U90</f>
        <v/>
      </c>
      <c r="V111" s="192">
        <f>V90</f>
        <v/>
      </c>
      <c r="W111" s="192">
        <f>W90</f>
        <v/>
      </c>
      <c r="X111" s="77" t="n"/>
    </row>
    <row r="112">
      <c r="B112" s="117" t="inlineStr">
        <is>
          <t>權益法IRR</t>
        </is>
      </c>
      <c r="C112" s="120">
        <f>IRR(D111:W111)</f>
        <v/>
      </c>
      <c r="D112" s="150" t="n"/>
      <c r="E112" s="150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  <c r="U112" s="104" t="n"/>
      <c r="V112" s="104" t="n"/>
      <c r="W112" s="104" t="n"/>
      <c r="X112" s="116" t="n"/>
    </row>
    <row r="113">
      <c r="B113" s="103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16" t="n"/>
    </row>
    <row r="114">
      <c r="B114" s="103" t="inlineStr">
        <is>
          <t>借款餘額</t>
        </is>
      </c>
      <c r="C114" s="108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8" t="n"/>
      <c r="U114" s="108" t="n"/>
      <c r="V114" s="108" t="n"/>
      <c r="W114" s="108" t="n"/>
      <c r="X114" s="108" t="n"/>
    </row>
    <row r="115"/>
    <row r="116">
      <c r="B116" s="122" t="n"/>
    </row>
    <row r="117" ht="16.5" customHeight="1">
      <c r="G117" s="69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0.5703125" customWidth="1" min="1" max="1"/>
    <col width="33.140625" customWidth="1" min="2" max="2"/>
    <col width="19.42578125" customWidth="1" min="3" max="3"/>
    <col width="17.85546875" customWidth="1" min="4" max="4"/>
    <col width="17.85546875" customWidth="1" min="24" max="24"/>
    <col width="30" customWidth="1" min="25" max="25"/>
    <col width="13.5703125" customWidth="1" min="26" max="26"/>
    <col width="19.5703125" customWidth="1" min="30" max="30"/>
    <col width="20.5703125" customWidth="1" min="31" max="31"/>
    <col width="20.28515625" customWidth="1" min="32" max="32"/>
    <col width="20.85546875" customWidth="1" min="33" max="33"/>
    <col width="15.5703125" customWidth="1" min="34" max="34"/>
    <col width="36.85546875" customWidth="1" min="35" max="35"/>
    <col width="32.5703125" customWidth="1" min="36" max="36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6</t>
        </is>
      </c>
    </row>
    <row r="5" ht="22.5" customHeight="1">
      <c r="B5" s="161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第5次滾算摘要</t>
        </is>
      </c>
    </row>
    <row r="6" ht="20.25" customHeight="1">
      <c r="B6" s="162" t="n"/>
      <c r="C6" s="163" t="n"/>
      <c r="D6" s="163" t="n"/>
      <c r="E6" s="163" t="n"/>
      <c r="M6" t="inlineStr">
        <is>
          <t>價金: 24000</t>
        </is>
      </c>
    </row>
    <row r="7" ht="22.5" customHeight="1">
      <c r="B7" s="164" t="inlineStr">
        <is>
          <t>綜合損益表</t>
        </is>
      </c>
      <c r="C7" s="153" t="n"/>
      <c r="D7" s="153" t="n"/>
      <c r="E7" s="154" t="n"/>
      <c r="M7" t="inlineStr">
        <is>
          <t>專案IRR: 6.59</t>
        </is>
      </c>
    </row>
    <row r="8" ht="22.5" customHeight="1">
      <c r="B8" s="165" t="inlineStr">
        <is>
          <t>收入</t>
        </is>
      </c>
      <c r="C8" s="166" t="n"/>
      <c r="D8" s="166" t="n"/>
      <c r="E8" s="167" t="n"/>
      <c r="M8" t="inlineStr">
        <is>
          <t>權益法IRR: 20.81</t>
        </is>
      </c>
    </row>
    <row r="9" ht="22.5" customHeight="1">
      <c r="B9" s="168" t="inlineStr">
        <is>
          <t>收支項目</t>
        </is>
      </c>
      <c r="C9" s="169" t="inlineStr">
        <is>
          <t>相關參數</t>
        </is>
      </c>
      <c r="D9" s="169" t="inlineStr">
        <is>
          <t>參數數值</t>
        </is>
      </c>
      <c r="E9" s="170" t="inlineStr">
        <is>
          <t>年限</t>
        </is>
      </c>
      <c r="M9" t="inlineStr">
        <is>
          <t>利潤率: 20.00%</t>
        </is>
      </c>
    </row>
    <row r="10" ht="21.75" customHeight="1">
      <c r="B10" s="171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72" t="n">
        <v>20</v>
      </c>
      <c r="M10" t="inlineStr">
        <is>
          <t>第5次滾算，減少 1000 元 - 現金模式，每次減少 1000 元</t>
        </is>
      </c>
    </row>
    <row r="11" ht="21.75" customHeight="1">
      <c r="B11" s="173" t="n"/>
      <c r="C11" s="159" t="inlineStr">
        <is>
          <t>首年衰退率</t>
        </is>
      </c>
      <c r="D11" s="174" t="n">
        <v>0.01</v>
      </c>
      <c r="E11" s="173" t="n"/>
    </row>
    <row r="12" ht="21.75" customHeight="1">
      <c r="B12" s="173" t="n"/>
      <c r="C12" s="159" t="inlineStr">
        <is>
          <t>次年衰退率</t>
        </is>
      </c>
      <c r="D12" s="175" t="n">
        <v>0.004</v>
      </c>
      <c r="E12" s="173" t="n"/>
    </row>
    <row r="13" ht="22.5" customHeight="1">
      <c r="B13" s="173" t="n"/>
      <c r="C13" s="176" t="inlineStr">
        <is>
          <t>躉售費率(FIT)</t>
        </is>
      </c>
      <c r="D13" s="176" t="n">
        <v>3.7152</v>
      </c>
      <c r="E13" s="173" t="n"/>
    </row>
    <row r="14" ht="22.5" customHeight="1">
      <c r="B14" s="177" t="inlineStr">
        <is>
          <t>支出</t>
        </is>
      </c>
      <c r="C14" s="153" t="n"/>
      <c r="D14" s="153" t="n"/>
      <c r="E14" s="154" t="n"/>
    </row>
    <row r="15" ht="22.5" customHeight="1">
      <c r="B15" s="168" t="inlineStr">
        <is>
          <t>收支項目</t>
        </is>
      </c>
      <c r="C15" s="169" t="inlineStr">
        <is>
          <t>相關參數</t>
        </is>
      </c>
      <c r="D15" s="169" t="inlineStr">
        <is>
          <t>參數數值</t>
        </is>
      </c>
      <c r="E15" s="178" t="inlineStr">
        <is>
          <t>攤提年限</t>
        </is>
      </c>
    </row>
    <row r="16" ht="21.75" customHeight="1">
      <c r="B16" s="179" t="inlineStr">
        <is>
          <t>設備費用(價金)</t>
        </is>
      </c>
      <c r="C16" s="180" t="inlineStr">
        <is>
          <t>每kWp設備成本</t>
        </is>
      </c>
      <c r="D16" s="156" t="n">
        <v>24000</v>
      </c>
      <c r="E16" s="181" t="n">
        <v>20</v>
      </c>
    </row>
    <row r="17" ht="21.75" customHeight="1">
      <c r="B17" s="173" t="n"/>
      <c r="C17" s="159" t="inlineStr">
        <is>
          <t>信邦利潤率</t>
        </is>
      </c>
      <c r="D17" s="159" t="n">
        <v>0.2</v>
      </c>
      <c r="E17" s="173" t="n"/>
    </row>
    <row r="18" ht="21.75" customHeight="1">
      <c r="B18" s="182" t="n"/>
      <c r="C18" s="159" t="inlineStr">
        <is>
          <t>開發費</t>
        </is>
      </c>
      <c r="D18" s="159" t="n">
        <v>2000</v>
      </c>
      <c r="E18" s="182" t="n"/>
    </row>
    <row r="19" ht="54" customHeight="1">
      <c r="B19" s="183" t="inlineStr">
        <is>
          <t>租金費用</t>
        </is>
      </c>
      <c r="C19" s="184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3" t="n"/>
      <c r="C20" s="185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82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61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61" t="inlineStr">
        <is>
          <t>保險費用</t>
        </is>
      </c>
      <c r="C23" s="186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61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61" t="inlineStr">
        <is>
          <t>利息費用</t>
        </is>
      </c>
      <c r="C25" s="159" t="inlineStr">
        <is>
          <t>銀行利率</t>
        </is>
      </c>
      <c r="D25" s="187" t="n">
        <v>0.025595</v>
      </c>
      <c r="E25" s="160" t="n">
        <v>0</v>
      </c>
    </row>
    <row r="26" ht="22.5" customHeight="1">
      <c r="B26" s="161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2" t="n"/>
      <c r="C27" s="163" t="n"/>
      <c r="D27" s="163" t="n"/>
      <c r="E27" s="163" t="n"/>
    </row>
    <row r="28" ht="20.25" customHeight="1">
      <c r="B28" s="162" t="n"/>
      <c r="C28" s="163" t="n"/>
      <c r="D28" s="163" t="n"/>
      <c r="E28" s="163" t="n"/>
    </row>
    <row r="29" ht="22.5" customHeight="1">
      <c r="B29" s="164" t="inlineStr">
        <is>
          <t>現金流量表</t>
        </is>
      </c>
      <c r="C29" s="153" t="n"/>
      <c r="D29" s="154" t="n"/>
      <c r="E29" s="163" t="n"/>
    </row>
    <row r="30" ht="22.5" customHeight="1">
      <c r="B30" s="168" t="inlineStr">
        <is>
          <t>金流項目</t>
        </is>
      </c>
      <c r="C30" s="169" t="inlineStr">
        <is>
          <t>相關參數</t>
        </is>
      </c>
      <c r="D30" s="178" t="inlineStr">
        <is>
          <t>參數數值</t>
        </is>
      </c>
      <c r="E30" s="163" t="n"/>
    </row>
    <row r="31" ht="18.75" customHeight="1">
      <c r="B31" s="155" t="inlineStr">
        <is>
          <t>貸款成數</t>
        </is>
      </c>
      <c r="C31" s="180" t="inlineStr">
        <is>
          <t>占總設備費用比例</t>
        </is>
      </c>
      <c r="D31" s="156" t="n">
        <v>0.8</v>
      </c>
      <c r="E31" s="163" t="n"/>
    </row>
    <row r="32" ht="18.75" customHeight="1">
      <c r="B32" s="188" t="inlineStr">
        <is>
          <t>貸款還款</t>
        </is>
      </c>
      <c r="C32" s="156" t="inlineStr">
        <is>
          <t>攤還期數</t>
        </is>
      </c>
      <c r="D32" s="156" t="n">
        <v>15</v>
      </c>
      <c r="E32" s="163" t="n"/>
    </row>
    <row r="33" ht="18.75" customHeight="1">
      <c r="B33" s="161" t="inlineStr">
        <is>
          <t>現金股利</t>
        </is>
      </c>
      <c r="C33" s="159" t="inlineStr">
        <is>
          <t>股利比率</t>
        </is>
      </c>
      <c r="D33" s="159" t="n">
        <v>0.9</v>
      </c>
      <c r="E33" s="163" t="n"/>
    </row>
    <row r="34" ht="18.75" customHeight="1">
      <c r="B34" s="161" t="inlineStr">
        <is>
          <t>年底減資</t>
        </is>
      </c>
      <c r="C34" s="159" t="inlineStr">
        <is>
          <t>攤還期數</t>
        </is>
      </c>
      <c r="D34" s="159" t="n">
        <v>4</v>
      </c>
      <c r="E34" s="163" t="n"/>
    </row>
    <row r="35" ht="18.75" customHeight="1"/>
    <row r="36" ht="18.75" customHeight="1"/>
    <row r="37" ht="18.75" customHeight="1">
      <c r="B37" s="28" t="n"/>
      <c r="C37" s="29" t="inlineStr">
        <is>
          <t>年份</t>
        </is>
      </c>
      <c r="D37" s="29" t="n">
        <v>2020</v>
      </c>
      <c r="E37" s="29" t="n">
        <v>2021</v>
      </c>
      <c r="F37" s="29" t="n">
        <v>2022</v>
      </c>
      <c r="G37" s="29" t="n">
        <v>2023</v>
      </c>
      <c r="H37" s="29" t="n">
        <v>2024</v>
      </c>
      <c r="I37" s="29" t="n">
        <v>2025</v>
      </c>
      <c r="J37" s="29" t="n">
        <v>2026</v>
      </c>
      <c r="K37" s="29" t="n">
        <v>2027</v>
      </c>
      <c r="L37" s="29" t="n">
        <v>2028</v>
      </c>
      <c r="M37" s="29" t="n">
        <v>2029</v>
      </c>
      <c r="N37" s="29" t="n">
        <v>2030</v>
      </c>
      <c r="O37" s="29" t="n">
        <v>2031</v>
      </c>
      <c r="P37" s="29" t="n">
        <v>2032</v>
      </c>
      <c r="Q37" s="29" t="n">
        <v>2033</v>
      </c>
      <c r="R37" s="29" t="n">
        <v>2034</v>
      </c>
      <c r="S37" s="29" t="n">
        <v>2035</v>
      </c>
      <c r="T37" s="29" t="n">
        <v>2036</v>
      </c>
      <c r="U37" s="29" t="n">
        <v>2037</v>
      </c>
      <c r="V37" s="29" t="n">
        <v>2038</v>
      </c>
      <c r="W37" s="29" t="n">
        <v>2039</v>
      </c>
      <c r="X37" s="30" t="n"/>
    </row>
    <row r="38" ht="18.75" customHeight="1">
      <c r="B38" s="31" t="n">
        <v>0</v>
      </c>
      <c r="C38" s="32" t="n"/>
      <c r="D38" s="33" t="n"/>
      <c r="E38" s="33" t="n"/>
      <c r="F38" s="34" t="inlineStr">
        <is>
          <t>手動計算值</t>
        </is>
      </c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6" t="inlineStr">
        <is>
          <t>償還年限</t>
        </is>
      </c>
      <c r="U38" s="35" t="n"/>
      <c r="V38" s="35" t="n"/>
      <c r="W38" s="35" t="n"/>
      <c r="X38" s="37" t="n"/>
    </row>
    <row r="39" ht="18.75" customHeight="1">
      <c r="B39" s="38" t="inlineStr">
        <is>
          <t>(Unit : Currency)</t>
        </is>
      </c>
      <c r="C39" s="39" t="n">
        <v>0</v>
      </c>
      <c r="D39" s="40" t="n">
        <v>1</v>
      </c>
      <c r="E39" s="40" t="n">
        <v>2</v>
      </c>
      <c r="F39" s="40" t="n">
        <v>3</v>
      </c>
      <c r="G39" s="40" t="n">
        <v>4</v>
      </c>
      <c r="H39" s="40" t="n">
        <v>5</v>
      </c>
      <c r="I39" s="40" t="n">
        <v>6</v>
      </c>
      <c r="J39" s="40" t="n">
        <v>7</v>
      </c>
      <c r="K39" s="40" t="n">
        <v>8</v>
      </c>
      <c r="L39" s="40" t="n">
        <v>9</v>
      </c>
      <c r="M39" s="40" t="n">
        <v>10</v>
      </c>
      <c r="N39" s="40" t="n">
        <v>11</v>
      </c>
      <c r="O39" s="40" t="n">
        <v>12</v>
      </c>
      <c r="P39" s="40" t="n">
        <v>13</v>
      </c>
      <c r="Q39" s="40" t="n">
        <v>14</v>
      </c>
      <c r="R39" s="40" t="n">
        <v>15</v>
      </c>
      <c r="S39" s="40" t="n">
        <v>16</v>
      </c>
      <c r="T39" s="41" t="n">
        <v>17</v>
      </c>
      <c r="U39" s="40" t="n">
        <v>18</v>
      </c>
      <c r="V39" s="40" t="n">
        <v>19</v>
      </c>
      <c r="W39" s="40" t="n">
        <v>20</v>
      </c>
      <c r="X39" s="42" t="n"/>
    </row>
    <row r="40" ht="18.75" customHeight="1">
      <c r="B40" s="43" t="inlineStr">
        <is>
          <t>發電度數(KWH)</t>
        </is>
      </c>
      <c r="C40" s="39" t="n">
        <v>0</v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4" t="n"/>
    </row>
    <row r="41" ht="18.75" customHeight="1">
      <c r="B41" s="45" t="inlineStr">
        <is>
          <t>Inflow : 電費收入</t>
        </is>
      </c>
      <c r="C41" s="46" t="inlineStr">
        <is>
          <t>-</t>
        </is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8" t="n"/>
    </row>
    <row r="42" ht="18.75" customHeight="1">
      <c r="B42" s="49" t="inlineStr">
        <is>
          <t>Inflow : 政府補助</t>
        </is>
      </c>
      <c r="C42" s="39" t="inlineStr">
        <is>
          <t>-</t>
        </is>
      </c>
      <c r="D42" s="40" t="n"/>
      <c r="E42" s="40" t="n"/>
      <c r="F42" s="40" t="n"/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40" t="inlineStr">
        <is>
          <t>-</t>
        </is>
      </c>
      <c r="X42" s="50" t="n"/>
    </row>
    <row r="43" ht="18.75" customHeight="1">
      <c r="B43" s="51" t="inlineStr">
        <is>
          <t>Inflow : 銀行借款</t>
        </is>
      </c>
      <c r="C43" s="52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4" t="n"/>
    </row>
    <row r="44" ht="18.75" customHeight="1">
      <c r="B44" s="55" t="inlineStr">
        <is>
          <t>Outflow : 設備費用</t>
        </is>
      </c>
      <c r="C44" s="39" t="n"/>
      <c r="D44" s="56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50" t="n"/>
    </row>
    <row r="45" ht="18.75" customHeight="1">
      <c r="B45" s="55" t="inlineStr">
        <is>
          <t>Outflow : 設備放置區域租金</t>
        </is>
      </c>
      <c r="C45" s="39" t="inlineStr">
        <is>
          <t>-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50" t="n"/>
    </row>
    <row r="46" ht="18.75" customHeight="1">
      <c r="B46" s="55" t="inlineStr">
        <is>
          <t>Outflow : 返還借款</t>
        </is>
      </c>
      <c r="C46" s="39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50" t="n"/>
    </row>
    <row r="47" ht="18.75" customHeight="1">
      <c r="B47" s="55" t="inlineStr">
        <is>
          <t>Outflow : 利息費用</t>
        </is>
      </c>
      <c r="C47" s="39" t="inlineStr">
        <is>
          <t>-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50" t="n"/>
    </row>
    <row r="48" ht="18.75" customHeight="1">
      <c r="B48" s="55" t="inlineStr">
        <is>
          <t>Outflow : 維運費</t>
        </is>
      </c>
      <c r="C48" s="39" t="inlineStr">
        <is>
          <t>-</t>
        </is>
      </c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50" t="n"/>
    </row>
    <row r="49" ht="18.75" customHeight="1">
      <c r="B49" s="55" t="inlineStr">
        <is>
          <t>Outflow : 保險費</t>
        </is>
      </c>
      <c r="C49" s="39" t="inlineStr">
        <is>
          <t>-</t>
        </is>
      </c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50" t="n"/>
    </row>
    <row r="50" ht="18.75" customHeight="1">
      <c r="B50" s="55" t="inlineStr">
        <is>
          <t>Outflow : 模組回收費</t>
        </is>
      </c>
      <c r="C50" s="39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50" t="n"/>
    </row>
    <row r="51" ht="18.75" customHeight="1">
      <c r="B51" s="55" t="inlineStr">
        <is>
          <t>Outflow : 其它費用(人事薪資…等)</t>
        </is>
      </c>
      <c r="C51" s="57" t="n"/>
      <c r="D51" s="58" t="n"/>
      <c r="E51" s="59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50" t="n"/>
    </row>
    <row r="52" ht="18.75" customHeight="1">
      <c r="B52" s="55" t="inlineStr">
        <is>
          <t>1%管理費</t>
        </is>
      </c>
      <c r="C52" s="57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50" t="n"/>
    </row>
    <row r="53" ht="18.75" customHeight="1">
      <c r="B53" s="60" t="inlineStr">
        <is>
          <t>績效獎金</t>
        </is>
      </c>
      <c r="C53" s="57" t="n"/>
      <c r="D53" s="61" t="n"/>
      <c r="E53" s="61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50" t="n"/>
    </row>
    <row r="54" ht="18.75" customHeight="1">
      <c r="B54" s="60" t="inlineStr">
        <is>
          <t>所得稅20%</t>
        </is>
      </c>
      <c r="C54" s="57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50" t="n"/>
    </row>
    <row r="55" ht="18.75" customHeight="1">
      <c r="B55" s="189" t="inlineStr">
        <is>
          <t>現金流</t>
        </is>
      </c>
      <c r="C55" s="71">
        <f>C44</f>
        <v/>
      </c>
      <c r="D55" s="66">
        <f>SUM(D41:D54)</f>
        <v/>
      </c>
      <c r="E55" s="66">
        <f>SUM(E41:E54)</f>
        <v/>
      </c>
      <c r="F55" s="66">
        <f>SUM(F41:F54)</f>
        <v/>
      </c>
      <c r="G55" s="66">
        <f>SUM(G41:G54)</f>
        <v/>
      </c>
      <c r="H55" s="66">
        <f>SUM(H41:H54)</f>
        <v/>
      </c>
      <c r="I55" s="66">
        <f>SUM(I41:I54)</f>
        <v/>
      </c>
      <c r="J55" s="66">
        <f>SUM(J41:J54)</f>
        <v/>
      </c>
      <c r="K55" s="66">
        <f>SUM(K41:K54)</f>
        <v/>
      </c>
      <c r="L55" s="66">
        <f>SUM(L41:L54)</f>
        <v/>
      </c>
      <c r="M55" s="66">
        <f>SUM(M41:M54)</f>
        <v/>
      </c>
      <c r="N55" s="66">
        <f>SUM(N41:N54)</f>
        <v/>
      </c>
      <c r="O55" s="66">
        <f>SUM(O41:O54)</f>
        <v/>
      </c>
      <c r="P55" s="66">
        <f>SUM(P41:P54)</f>
        <v/>
      </c>
      <c r="Q55" s="66">
        <f>SUM(Q41:Q54)</f>
        <v/>
      </c>
      <c r="R55" s="66">
        <f>SUM(R41:R54)</f>
        <v/>
      </c>
      <c r="S55" s="66">
        <f>SUM(S41:S54)</f>
        <v/>
      </c>
      <c r="T55" s="66">
        <f>SUM(T41:T54)</f>
        <v/>
      </c>
      <c r="U55" s="66">
        <f>SUM(U41:U54)</f>
        <v/>
      </c>
      <c r="V55" s="66">
        <f>SUM(V41:V54)</f>
        <v/>
      </c>
      <c r="W55" s="66">
        <f>SUM(W41:W54)</f>
        <v/>
      </c>
      <c r="X55" s="66">
        <f>SUM(X41:X54)</f>
        <v/>
      </c>
      <c r="Y55" s="68" t="n"/>
      <c r="Z55" s="69" t="n"/>
      <c r="AA55" s="68" t="n"/>
      <c r="AB55" s="68" t="n"/>
      <c r="AC55" s="68" t="n"/>
      <c r="AD55" s="68" t="n"/>
      <c r="AE55" s="68" t="n"/>
      <c r="AF55" s="68" t="n"/>
      <c r="AG55" s="68" t="n"/>
      <c r="AH55" s="68" t="n"/>
      <c r="AI55" s="68" t="n"/>
      <c r="AJ55" s="68" t="n"/>
    </row>
    <row r="56" ht="18.75" customHeight="1">
      <c r="B56" s="70" t="inlineStr">
        <is>
          <t>累計現金流</t>
        </is>
      </c>
      <c r="D56" s="72">
        <f>C55+D55</f>
        <v/>
      </c>
      <c r="E56" s="72">
        <f>D56+E55</f>
        <v/>
      </c>
      <c r="F56" s="72">
        <f>E56+F55</f>
        <v/>
      </c>
      <c r="G56" s="72">
        <f>F56+G55</f>
        <v/>
      </c>
      <c r="H56" s="72">
        <f>G56+H55</f>
        <v/>
      </c>
      <c r="I56" s="72">
        <f>H56+I55</f>
        <v/>
      </c>
      <c r="J56" s="72">
        <f>I56+J55</f>
        <v/>
      </c>
      <c r="K56" s="72">
        <f>J56+K55</f>
        <v/>
      </c>
      <c r="L56" s="72">
        <f>K56+L55</f>
        <v/>
      </c>
      <c r="M56" s="72">
        <f>L56+M55</f>
        <v/>
      </c>
      <c r="N56" s="72">
        <f>M56+N55</f>
        <v/>
      </c>
      <c r="O56" s="72">
        <f>N56+O55</f>
        <v/>
      </c>
      <c r="P56" s="72">
        <f>O56+P55</f>
        <v/>
      </c>
      <c r="Q56" s="72">
        <f>P56+Q55</f>
        <v/>
      </c>
      <c r="R56" s="72">
        <f>Q56+R55</f>
        <v/>
      </c>
      <c r="S56" s="72">
        <f>R56+S55</f>
        <v/>
      </c>
      <c r="T56" s="72">
        <f>S56+T55</f>
        <v/>
      </c>
      <c r="U56" s="72">
        <f>T56+U55</f>
        <v/>
      </c>
      <c r="V56" s="72">
        <f>U56+V55</f>
        <v/>
      </c>
      <c r="W56" s="72">
        <f>V56+W55</f>
        <v/>
      </c>
      <c r="X56" s="72">
        <f>W56+X55</f>
        <v/>
      </c>
      <c r="Y56" s="68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  <c r="AJ56" s="68" t="n"/>
    </row>
    <row r="57" ht="18.75" customHeight="1">
      <c r="B57" s="74" t="inlineStr">
        <is>
          <t>Discounted cash flow</t>
        </is>
      </c>
      <c r="C57" s="75" t="n">
        <v>-37721416.4</v>
      </c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  <c r="AJ57" s="68" t="n"/>
    </row>
    <row r="58" ht="18.75" customHeight="1">
      <c r="B58" s="74" t="inlineStr">
        <is>
          <t>Minus : Depreciation</t>
        </is>
      </c>
      <c r="C58" s="79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  <c r="W58" s="61" t="n"/>
      <c r="X58" s="80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  <c r="AJ58" s="68" t="n"/>
    </row>
    <row r="59" ht="18.75" customHeight="1">
      <c r="B59" s="74" t="inlineStr">
        <is>
          <t>Plus : Principle payment</t>
        </is>
      </c>
      <c r="C59" s="79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61" t="n"/>
      <c r="U59" s="61" t="n"/>
      <c r="V59" s="61" t="n"/>
      <c r="W59" s="61" t="n"/>
      <c r="X59" s="80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  <c r="AJ59" s="68" t="n"/>
    </row>
    <row r="60" ht="18.75" customHeight="1">
      <c r="B60" s="81" t="inlineStr">
        <is>
          <t>Profit</t>
        </is>
      </c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85" t="inlineStr">
        <is>
          <t>EPS</t>
        </is>
      </c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  <c r="AJ61" s="68" t="n"/>
    </row>
    <row r="62" ht="18.75" customHeight="1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  <c r="AJ62" s="68" t="n"/>
    </row>
    <row r="63" ht="18.75" customHeight="1">
      <c r="B63" s="190" t="inlineStr">
        <is>
          <t>專案法IRR</t>
        </is>
      </c>
      <c r="C63" s="149">
        <f>IRR(C55:X55)</f>
        <v/>
      </c>
      <c r="D63" s="149" t="n"/>
      <c r="E63" s="14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95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  <c r="AJ63" s="68" t="n"/>
    </row>
    <row r="64" ht="18.75" customHeight="1">
      <c r="B64" s="28" t="n"/>
      <c r="C64" s="149" t="n"/>
      <c r="D64" s="149" t="n"/>
      <c r="E64" s="149" t="n"/>
      <c r="F64" s="59" t="n"/>
      <c r="G64" s="59" t="n"/>
      <c r="H64" s="59" t="n"/>
      <c r="I64" s="59" t="n"/>
      <c r="J64" s="59" t="n"/>
      <c r="K64" s="59" t="n"/>
      <c r="L64" s="59" t="n"/>
      <c r="M64" s="96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95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  <c r="AJ64" s="68" t="n"/>
    </row>
    <row r="65" ht="18.75" customHeight="1">
      <c r="B65" s="28" t="n"/>
      <c r="C65" s="29" t="inlineStr">
        <is>
          <t>年份</t>
        </is>
      </c>
      <c r="D65" s="29" t="n">
        <v>2020</v>
      </c>
      <c r="E65" s="29" t="n">
        <v>2021</v>
      </c>
      <c r="F65" s="29" t="n">
        <v>2022</v>
      </c>
      <c r="G65" s="29" t="n">
        <v>2023</v>
      </c>
      <c r="H65" s="29" t="n">
        <v>2024</v>
      </c>
      <c r="I65" s="29" t="n">
        <v>2025</v>
      </c>
      <c r="J65" s="29" t="n">
        <v>2026</v>
      </c>
      <c r="K65" s="29" t="n">
        <v>2027</v>
      </c>
      <c r="L65" s="29" t="n">
        <v>2028</v>
      </c>
      <c r="M65" s="29" t="n">
        <v>2029</v>
      </c>
      <c r="N65" s="29" t="n">
        <v>2030</v>
      </c>
      <c r="O65" s="29" t="n">
        <v>2031</v>
      </c>
      <c r="P65" s="29" t="n">
        <v>2032</v>
      </c>
      <c r="Q65" s="29" t="n">
        <v>2033</v>
      </c>
      <c r="R65" s="29" t="n">
        <v>2034</v>
      </c>
      <c r="S65" s="29" t="n">
        <v>2035</v>
      </c>
      <c r="T65" s="29" t="n">
        <v>2036</v>
      </c>
      <c r="U65" s="29" t="n">
        <v>2037</v>
      </c>
      <c r="V65" s="29" t="n">
        <v>2038</v>
      </c>
      <c r="W65" s="29" t="n">
        <v>2039</v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 ht="18.75" customHeight="1">
      <c r="B66" s="31" t="n">
        <v>0</v>
      </c>
      <c r="C66" s="32" t="n"/>
      <c r="D66" s="33" t="n"/>
      <c r="E66" s="33" t="n"/>
      <c r="F66" s="34" t="inlineStr">
        <is>
          <t>手動計算值</t>
        </is>
      </c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6" t="inlineStr">
        <is>
          <t>償還年限</t>
        </is>
      </c>
      <c r="U66" s="35" t="n"/>
      <c r="V66" s="35" t="n"/>
      <c r="W66" s="35" t="n"/>
      <c r="X66" s="37" t="n"/>
    </row>
    <row r="67" ht="18.75" customHeight="1">
      <c r="B67" s="38" t="inlineStr">
        <is>
          <t>(Unit : Currency)</t>
        </is>
      </c>
      <c r="C67" s="39" t="n">
        <v>0</v>
      </c>
      <c r="D67" s="40" t="n">
        <v>1</v>
      </c>
      <c r="E67" s="40" t="n">
        <v>2</v>
      </c>
      <c r="F67" s="40" t="n">
        <v>3</v>
      </c>
      <c r="G67" s="40" t="n">
        <v>4</v>
      </c>
      <c r="H67" s="40" t="n">
        <v>5</v>
      </c>
      <c r="I67" s="40" t="n">
        <v>6</v>
      </c>
      <c r="J67" s="40" t="n">
        <v>7</v>
      </c>
      <c r="K67" s="40" t="n">
        <v>8</v>
      </c>
      <c r="L67" s="40" t="n">
        <v>9</v>
      </c>
      <c r="M67" s="40" t="n">
        <v>10</v>
      </c>
      <c r="N67" s="40" t="n">
        <v>11</v>
      </c>
      <c r="O67" s="40" t="n">
        <v>12</v>
      </c>
      <c r="P67" s="40" t="n">
        <v>13</v>
      </c>
      <c r="Q67" s="40" t="n">
        <v>14</v>
      </c>
      <c r="R67" s="40" t="n">
        <v>15</v>
      </c>
      <c r="S67" s="40" t="n">
        <v>16</v>
      </c>
      <c r="T67" s="41" t="n">
        <v>17</v>
      </c>
      <c r="U67" s="40" t="n">
        <v>18</v>
      </c>
      <c r="V67" s="40" t="n">
        <v>19</v>
      </c>
      <c r="W67" s="40" t="n">
        <v>20</v>
      </c>
      <c r="X67" s="42" t="n"/>
    </row>
    <row r="68" ht="18.75" customHeight="1">
      <c r="B68" s="43" t="inlineStr">
        <is>
          <t>發電度數(KWH)</t>
        </is>
      </c>
      <c r="C68" s="39" t="n">
        <v>0</v>
      </c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4" t="n"/>
    </row>
    <row r="69" ht="18.75" customHeight="1">
      <c r="B69" s="45" t="inlineStr">
        <is>
          <t>Inflow : 電費收入</t>
        </is>
      </c>
      <c r="C69" s="46" t="inlineStr">
        <is>
          <t>-</t>
        </is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8" t="n"/>
    </row>
    <row r="70" ht="18.75" customHeight="1">
      <c r="B70" s="49" t="inlineStr">
        <is>
          <t>Inflow : 政府補助</t>
        </is>
      </c>
      <c r="C70" s="39" t="inlineStr">
        <is>
          <t>-</t>
        </is>
      </c>
      <c r="D70" s="40" t="n"/>
      <c r="E70" s="40" t="n"/>
      <c r="F70" s="40" t="n"/>
      <c r="G70" s="40" t="inlineStr">
        <is>
          <t>-</t>
        </is>
      </c>
      <c r="H70" s="40" t="inlineStr">
        <is>
          <t>-</t>
        </is>
      </c>
      <c r="I70" s="40" t="inlineStr">
        <is>
          <t>-</t>
        </is>
      </c>
      <c r="J70" s="40" t="inlineStr">
        <is>
          <t>-</t>
        </is>
      </c>
      <c r="K70" s="40" t="inlineStr">
        <is>
          <t>-</t>
        </is>
      </c>
      <c r="L70" s="40" t="inlineStr">
        <is>
          <t>-</t>
        </is>
      </c>
      <c r="M70" s="40" t="inlineStr">
        <is>
          <t>-</t>
        </is>
      </c>
      <c r="N70" s="40" t="inlineStr">
        <is>
          <t>-</t>
        </is>
      </c>
      <c r="O70" s="40" t="inlineStr">
        <is>
          <t>-</t>
        </is>
      </c>
      <c r="P70" s="40" t="inlineStr">
        <is>
          <t>-</t>
        </is>
      </c>
      <c r="Q70" s="40" t="inlineStr">
        <is>
          <t>-</t>
        </is>
      </c>
      <c r="R70" s="40" t="inlineStr">
        <is>
          <t>-</t>
        </is>
      </c>
      <c r="S70" s="40" t="inlineStr">
        <is>
          <t>-</t>
        </is>
      </c>
      <c r="T70" s="40" t="inlineStr">
        <is>
          <t>-</t>
        </is>
      </c>
      <c r="U70" s="40" t="inlineStr">
        <is>
          <t>-</t>
        </is>
      </c>
      <c r="V70" s="40" t="inlineStr">
        <is>
          <t>-</t>
        </is>
      </c>
      <c r="W70" s="40" t="inlineStr">
        <is>
          <t>-</t>
        </is>
      </c>
      <c r="X70" s="50" t="n"/>
    </row>
    <row r="71" ht="18.75" customHeight="1">
      <c r="B71" s="51" t="inlineStr">
        <is>
          <t>Inflow : 銀行借款</t>
        </is>
      </c>
      <c r="C71" s="52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4" t="n"/>
    </row>
    <row r="72" ht="18.75" customHeight="1">
      <c r="B72" s="55" t="inlineStr">
        <is>
          <t>Outflow : 設備折舊</t>
        </is>
      </c>
      <c r="C72" s="39" t="n"/>
      <c r="D72" s="56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50" t="n"/>
    </row>
    <row r="73" ht="18.75" customHeight="1">
      <c r="B73" s="55" t="inlineStr">
        <is>
          <t>Outflow : 設備放置區域租金</t>
        </is>
      </c>
      <c r="C73" s="39" t="inlineStr">
        <is>
          <t>-</t>
        </is>
      </c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50" t="n"/>
    </row>
    <row r="74" ht="18.75" customHeight="1">
      <c r="B74" s="55" t="inlineStr">
        <is>
          <t>Outflow : 返還借款</t>
        </is>
      </c>
      <c r="C74" s="39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50" t="n"/>
    </row>
    <row r="75" ht="18.75" customHeight="1">
      <c r="B75" s="55" t="inlineStr">
        <is>
          <t>Outflow : 利息費用</t>
        </is>
      </c>
      <c r="C75" s="39" t="inlineStr">
        <is>
          <t>-</t>
        </is>
      </c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50" t="n"/>
    </row>
    <row r="76" ht="18.75" customHeight="1">
      <c r="B76" s="55" t="inlineStr">
        <is>
          <t>Outflow : 維運費</t>
        </is>
      </c>
      <c r="C76" s="39" t="inlineStr">
        <is>
          <t>-</t>
        </is>
      </c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50" t="n"/>
    </row>
    <row r="77" ht="18.75" customHeight="1">
      <c r="B77" s="55" t="inlineStr">
        <is>
          <t>Outflow : 保險費</t>
        </is>
      </c>
      <c r="C77" s="39" t="inlineStr">
        <is>
          <t>-</t>
        </is>
      </c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50" t="n"/>
    </row>
    <row r="78" ht="18.75" customHeight="1">
      <c r="B78" s="55" t="inlineStr">
        <is>
          <t>Outflow : 模組回收費</t>
        </is>
      </c>
      <c r="C78" s="39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50" t="n"/>
    </row>
    <row r="79" ht="18.75" customHeight="1">
      <c r="B79" s="55" t="inlineStr">
        <is>
          <t>Outflow : 其它費用(人事薪資…等)</t>
        </is>
      </c>
      <c r="C79" s="57" t="n"/>
      <c r="D79" s="58" t="n"/>
      <c r="E79" s="59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50" t="n"/>
    </row>
    <row r="80" ht="18.75" customHeight="1">
      <c r="B80" s="55" t="inlineStr">
        <is>
          <t>1%管理費</t>
        </is>
      </c>
      <c r="C80" s="57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50" t="n"/>
    </row>
    <row r="81" ht="18.75" customHeight="1">
      <c r="B81" s="189" t="inlineStr">
        <is>
          <t>稅前淨利</t>
        </is>
      </c>
      <c r="C81" s="65" t="n"/>
      <c r="D81" s="66">
        <f>SUM(D69:D80)</f>
        <v/>
      </c>
      <c r="E81" s="66">
        <f>SUM(E69:E80)</f>
        <v/>
      </c>
      <c r="F81" s="66">
        <f>SUM(F69:F80)</f>
        <v/>
      </c>
      <c r="G81" s="66">
        <f>SUM(G69:G80)</f>
        <v/>
      </c>
      <c r="H81" s="66">
        <f>SUM(H69:H80)</f>
        <v/>
      </c>
      <c r="I81" s="66">
        <f>SUM(I69:I80)</f>
        <v/>
      </c>
      <c r="J81" s="66">
        <f>SUM(J69:J80)</f>
        <v/>
      </c>
      <c r="K81" s="66">
        <f>SUM(K69:K80)</f>
        <v/>
      </c>
      <c r="L81" s="66">
        <f>SUM(L69:L80)</f>
        <v/>
      </c>
      <c r="M81" s="66">
        <f>SUM(M69:M80)</f>
        <v/>
      </c>
      <c r="N81" s="66">
        <f>SUM(N69:N80)</f>
        <v/>
      </c>
      <c r="O81" s="66">
        <f>SUM(O69:O80)</f>
        <v/>
      </c>
      <c r="P81" s="66">
        <f>SUM(P69:P80)</f>
        <v/>
      </c>
      <c r="Q81" s="66">
        <f>SUM(Q69:Q80)</f>
        <v/>
      </c>
      <c r="R81" s="66">
        <f>SUM(R69:R80)</f>
        <v/>
      </c>
      <c r="S81" s="66">
        <f>SUM(S69:S80)</f>
        <v/>
      </c>
      <c r="T81" s="66">
        <f>SUM(T69:T80)</f>
        <v/>
      </c>
      <c r="U81" s="66">
        <f>SUM(U69:U80)</f>
        <v/>
      </c>
      <c r="V81" s="66">
        <f>SUM(V69:V80)</f>
        <v/>
      </c>
      <c r="W81" s="66">
        <f>SUM(W69:W80)</f>
        <v/>
      </c>
      <c r="X81" s="66">
        <f>SUM(X69:X80)</f>
        <v/>
      </c>
    </row>
    <row r="82" ht="18.75" customHeight="1">
      <c r="B82" s="60" t="inlineStr">
        <is>
          <t>所得稅20%</t>
        </is>
      </c>
      <c r="C82" s="57" t="n"/>
      <c r="D82" s="40">
        <f>-D81*0.2</f>
        <v/>
      </c>
      <c r="E82" s="40">
        <f>-E81*0.2</f>
        <v/>
      </c>
      <c r="F82" s="40">
        <f>-F81*0.2</f>
        <v/>
      </c>
      <c r="G82" s="40">
        <f>-G81*0.2</f>
        <v/>
      </c>
      <c r="H82" s="40">
        <f>-H81*0.2</f>
        <v/>
      </c>
      <c r="I82" s="40">
        <f>-I81*0.2</f>
        <v/>
      </c>
      <c r="J82" s="40">
        <f>-J81*0.2</f>
        <v/>
      </c>
      <c r="K82" s="40">
        <f>-K81*0.2</f>
        <v/>
      </c>
      <c r="L82" s="40">
        <f>-L81*0.2</f>
        <v/>
      </c>
      <c r="M82" s="40">
        <f>-M81*0.2</f>
        <v/>
      </c>
      <c r="N82" s="40">
        <f>-N81*0.2</f>
        <v/>
      </c>
      <c r="O82" s="40">
        <f>-O81*0.2</f>
        <v/>
      </c>
      <c r="P82" s="40">
        <f>-P81*0.2</f>
        <v/>
      </c>
      <c r="Q82" s="40">
        <f>-Q81*0.2</f>
        <v/>
      </c>
      <c r="R82" s="40">
        <f>-R81*0.2</f>
        <v/>
      </c>
      <c r="S82" s="40">
        <f>-S81*0.2</f>
        <v/>
      </c>
      <c r="T82" s="40">
        <f>-T81*0.2</f>
        <v/>
      </c>
      <c r="U82" s="40">
        <f>-U81*0.2</f>
        <v/>
      </c>
      <c r="V82" s="40">
        <f>-V81*0.2</f>
        <v/>
      </c>
      <c r="W82" s="40">
        <f>-W81*0.2</f>
        <v/>
      </c>
      <c r="X82" s="40">
        <f>-X81*0.2</f>
        <v/>
      </c>
    </row>
    <row r="83">
      <c r="B83" s="191" t="inlineStr">
        <is>
          <t>稅後淨利</t>
        </is>
      </c>
      <c r="D83" s="40">
        <f>SUM(D81:D82)</f>
        <v/>
      </c>
      <c r="E83" s="40">
        <f>SUM(E81:E82)</f>
        <v/>
      </c>
      <c r="F83" s="40">
        <f>SUM(F81:F82)</f>
        <v/>
      </c>
      <c r="G83" s="40">
        <f>SUM(G81:G82)</f>
        <v/>
      </c>
      <c r="H83" s="40">
        <f>SUM(H81:H82)</f>
        <v/>
      </c>
      <c r="I83" s="40">
        <f>SUM(I81:I82)</f>
        <v/>
      </c>
      <c r="J83" s="40">
        <f>SUM(J81:J82)</f>
        <v/>
      </c>
      <c r="K83" s="40">
        <f>SUM(K81:K82)</f>
        <v/>
      </c>
      <c r="L83" s="40">
        <f>SUM(L81:L82)</f>
        <v/>
      </c>
      <c r="M83" s="40">
        <f>SUM(M81:M82)</f>
        <v/>
      </c>
      <c r="N83" s="40">
        <f>SUM(N81:N82)</f>
        <v/>
      </c>
      <c r="O83" s="40">
        <f>SUM(O81:O82)</f>
        <v/>
      </c>
      <c r="P83" s="40">
        <f>SUM(P81:P82)</f>
        <v/>
      </c>
      <c r="Q83" s="40">
        <f>SUM(Q81:Q82)</f>
        <v/>
      </c>
      <c r="R83" s="40">
        <f>SUM(R81:R82)</f>
        <v/>
      </c>
      <c r="S83" s="40">
        <f>SUM(S81:S82)</f>
        <v/>
      </c>
      <c r="T83" s="40">
        <f>SUM(T81:T82)</f>
        <v/>
      </c>
      <c r="U83" s="40">
        <f>SUM(U81:U82)</f>
        <v/>
      </c>
      <c r="V83" s="40">
        <f>SUM(V81:V82)</f>
        <v/>
      </c>
      <c r="W83" s="40">
        <f>SUM(W81:W82)</f>
        <v/>
      </c>
      <c r="X83" s="40">
        <f>SUM(X81:X82)</f>
        <v/>
      </c>
    </row>
    <row r="84" ht="18.75" customHeight="1">
      <c r="B84" s="70" t="inlineStr">
        <is>
          <t>累計現金流</t>
        </is>
      </c>
      <c r="C84" s="71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3" t="n"/>
    </row>
    <row r="85" ht="18.75" customHeight="1">
      <c r="B85" s="90" t="inlineStr">
        <is>
          <t>回收年限評估</t>
        </is>
      </c>
      <c r="C85" s="91" t="n"/>
      <c r="D85" s="92" t="n"/>
      <c r="E85" s="92" t="n"/>
      <c r="F85" s="92" t="n"/>
      <c r="G85" s="92" t="n"/>
      <c r="H85" s="92" t="n"/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93" t="n"/>
    </row>
    <row r="86" ht="18.75" customHeight="1">
      <c r="B86" s="28" t="n"/>
      <c r="C86" s="149" t="n"/>
      <c r="D86" s="149" t="n"/>
      <c r="E86" s="149" t="n"/>
      <c r="F86" s="59" t="n"/>
      <c r="G86" s="59" t="n"/>
      <c r="H86" s="59" t="n"/>
      <c r="I86" s="59" t="n"/>
      <c r="J86" s="59" t="n"/>
      <c r="K86" s="59" t="n"/>
      <c r="L86" s="59" t="inlineStr">
        <is>
          <t>預估可建置量</t>
        </is>
      </c>
      <c r="M86" s="96" t="n">
        <v>0</v>
      </c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95" t="n"/>
    </row>
    <row r="87" ht="18.75" customHeight="1">
      <c r="C87" s="97" t="inlineStr">
        <is>
          <t>年份</t>
        </is>
      </c>
      <c r="D87" s="98" t="n">
        <v>2020</v>
      </c>
      <c r="E87" s="98" t="n">
        <v>2021</v>
      </c>
      <c r="F87" s="98" t="n">
        <v>2022</v>
      </c>
      <c r="G87" s="98" t="n">
        <v>2023</v>
      </c>
      <c r="H87" s="98" t="n">
        <v>2024</v>
      </c>
      <c r="I87" s="98" t="n">
        <v>2025</v>
      </c>
      <c r="J87" s="98" t="n">
        <v>2026</v>
      </c>
      <c r="K87" s="98" t="n">
        <v>2027</v>
      </c>
      <c r="L87" s="98" t="n">
        <v>2028</v>
      </c>
      <c r="M87" s="98" t="n">
        <v>2029</v>
      </c>
      <c r="N87" s="98" t="n">
        <v>2030</v>
      </c>
      <c r="O87" s="98" t="n">
        <v>2031</v>
      </c>
      <c r="P87" s="98" t="n">
        <v>2032</v>
      </c>
      <c r="Q87" s="98" t="n">
        <v>2033</v>
      </c>
      <c r="R87" s="98" t="n">
        <v>2034</v>
      </c>
      <c r="S87" s="98" t="n">
        <v>2035</v>
      </c>
      <c r="T87" s="98" t="n">
        <v>2036</v>
      </c>
      <c r="U87" s="98" t="n">
        <v>2037</v>
      </c>
      <c r="V87" s="98" t="n">
        <v>2038</v>
      </c>
      <c r="W87" s="98" t="n">
        <v>2039</v>
      </c>
      <c r="X87" s="99" t="n"/>
    </row>
    <row r="88" ht="18.75" customHeight="1">
      <c r="X88" s="99" t="n"/>
    </row>
    <row r="89" ht="18.75" customHeight="1">
      <c r="B89" s="100" t="inlineStr">
        <is>
          <t>(Unit : Currency)</t>
        </is>
      </c>
      <c r="C89" s="101" t="n">
        <v>0</v>
      </c>
      <c r="D89" s="101" t="n">
        <v>1</v>
      </c>
      <c r="E89" s="101" t="n">
        <v>2</v>
      </c>
      <c r="F89" s="101" t="n">
        <v>3</v>
      </c>
      <c r="G89" s="101" t="n">
        <v>4</v>
      </c>
      <c r="H89" s="101" t="n">
        <v>5</v>
      </c>
      <c r="I89" s="101" t="n">
        <v>6</v>
      </c>
      <c r="J89" s="101" t="n">
        <v>7</v>
      </c>
      <c r="K89" s="101" t="n">
        <v>8</v>
      </c>
      <c r="L89" s="101" t="n">
        <v>9</v>
      </c>
      <c r="M89" s="101" t="n">
        <v>10</v>
      </c>
      <c r="N89" s="101" t="n">
        <v>11</v>
      </c>
      <c r="O89" s="101" t="n">
        <v>12</v>
      </c>
      <c r="P89" s="101" t="n">
        <v>13</v>
      </c>
      <c r="Q89" s="101" t="n">
        <v>14</v>
      </c>
      <c r="R89" s="101" t="n">
        <v>15</v>
      </c>
      <c r="S89" s="101" t="n">
        <v>16</v>
      </c>
      <c r="T89" s="101" t="n">
        <v>17</v>
      </c>
      <c r="U89" s="101" t="n">
        <v>18</v>
      </c>
      <c r="V89" s="101" t="n">
        <v>19</v>
      </c>
      <c r="W89" s="101" t="n">
        <v>20</v>
      </c>
      <c r="X89" s="102" t="n"/>
    </row>
    <row r="90" ht="18.75" customHeight="1">
      <c r="B90" s="103" t="inlineStr">
        <is>
          <t>稅後淨利</t>
        </is>
      </c>
      <c r="C90" s="104" t="n"/>
      <c r="D90" s="101">
        <f>D81</f>
        <v/>
      </c>
      <c r="E90" s="101">
        <f>E81</f>
        <v/>
      </c>
      <c r="F90" s="101">
        <f>F81</f>
        <v/>
      </c>
      <c r="G90" s="101">
        <f>G81</f>
        <v/>
      </c>
      <c r="H90" s="101">
        <f>H81</f>
        <v/>
      </c>
      <c r="I90" s="101">
        <f>I81</f>
        <v/>
      </c>
      <c r="J90" s="101">
        <f>J81</f>
        <v/>
      </c>
      <c r="K90" s="101">
        <f>K81</f>
        <v/>
      </c>
      <c r="L90" s="101">
        <f>L81</f>
        <v/>
      </c>
      <c r="M90" s="101">
        <f>M81</f>
        <v/>
      </c>
      <c r="N90" s="101">
        <f>N81</f>
        <v/>
      </c>
      <c r="O90" s="101">
        <f>O81</f>
        <v/>
      </c>
      <c r="P90" s="101">
        <f>P81</f>
        <v/>
      </c>
      <c r="Q90" s="101">
        <f>Q81</f>
        <v/>
      </c>
      <c r="R90" s="101">
        <f>R81</f>
        <v/>
      </c>
      <c r="S90" s="101">
        <f>S81</f>
        <v/>
      </c>
      <c r="T90" s="101">
        <f>T81</f>
        <v/>
      </c>
      <c r="U90" s="101">
        <f>U81</f>
        <v/>
      </c>
      <c r="V90" s="101">
        <f>V81</f>
        <v/>
      </c>
      <c r="W90" s="101">
        <f>W81</f>
        <v/>
      </c>
      <c r="X90" s="104" t="n"/>
      <c r="Y90" s="104" t="n"/>
    </row>
    <row r="91">
      <c r="B91" s="103" t="inlineStr">
        <is>
          <t>設備折舊</t>
        </is>
      </c>
      <c r="C91" s="104" t="n"/>
      <c r="D91" s="105" t="n"/>
      <c r="E91" s="105" t="n"/>
      <c r="F91" s="105" t="n"/>
      <c r="G91" s="105" t="n"/>
      <c r="H91" s="105" t="n"/>
      <c r="I91" s="105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5" t="n"/>
      <c r="T91" s="105" t="n"/>
      <c r="U91" s="105" t="n"/>
      <c r="V91" s="105" t="n"/>
      <c r="W91" s="105" t="n"/>
      <c r="X91" s="77" t="n"/>
    </row>
    <row r="92">
      <c r="B92" s="103" t="inlineStr">
        <is>
          <t>營運活動現金流量</t>
        </is>
      </c>
      <c r="C92" s="104" t="n"/>
      <c r="D92" s="192">
        <f>SUM(D90:D91)</f>
        <v/>
      </c>
      <c r="E92" s="192">
        <f>SUM(E90:E91)</f>
        <v/>
      </c>
      <c r="F92" s="192">
        <f>SUM(F90:F91)</f>
        <v/>
      </c>
      <c r="G92" s="192">
        <f>SUM(G90:G91)</f>
        <v/>
      </c>
      <c r="H92" s="192">
        <f>SUM(H90:H91)</f>
        <v/>
      </c>
      <c r="I92" s="192">
        <f>SUM(I90:I91)</f>
        <v/>
      </c>
      <c r="J92" s="192">
        <f>SUM(J90:J91)</f>
        <v/>
      </c>
      <c r="K92" s="192">
        <f>SUM(K90:K91)</f>
        <v/>
      </c>
      <c r="L92" s="192">
        <f>SUM(L90:L91)</f>
        <v/>
      </c>
      <c r="M92" s="192">
        <f>SUM(M90:M91)</f>
        <v/>
      </c>
      <c r="N92" s="192">
        <f>SUM(N90:N91)</f>
        <v/>
      </c>
      <c r="O92" s="192">
        <f>SUM(O90:O91)</f>
        <v/>
      </c>
      <c r="P92" s="192">
        <f>SUM(P90:P91)</f>
        <v/>
      </c>
      <c r="Q92" s="192">
        <f>SUM(Q90:Q91)</f>
        <v/>
      </c>
      <c r="R92" s="192">
        <f>SUM(R90:R91)</f>
        <v/>
      </c>
      <c r="S92" s="192">
        <f>SUM(S90:S91)</f>
        <v/>
      </c>
      <c r="T92" s="192">
        <f>SUM(T90:T91)</f>
        <v/>
      </c>
      <c r="U92" s="192">
        <f>SUM(U90:U91)</f>
        <v/>
      </c>
      <c r="V92" s="192">
        <f>SUM(V90:V91)</f>
        <v/>
      </c>
      <c r="W92" s="192">
        <f>SUM(W90:W91)</f>
        <v/>
      </c>
      <c r="X92" s="107" t="n"/>
    </row>
    <row r="93">
      <c r="B93" s="103" t="n"/>
      <c r="C93" s="104" t="n"/>
      <c r="D93" s="104" t="n"/>
      <c r="E93" s="104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99" t="n"/>
    </row>
    <row r="94">
      <c r="B94" s="109" t="inlineStr">
        <is>
          <t>投資活動-設備支出</t>
        </is>
      </c>
      <c r="C94" s="110" t="n"/>
      <c r="D94" s="111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O94" s="110" t="n"/>
      <c r="P94" s="110" t="n"/>
      <c r="Q94" s="110" t="n"/>
      <c r="R94" s="110" t="n"/>
      <c r="S94" s="110" t="n"/>
      <c r="T94" s="110" t="n"/>
      <c r="U94" s="110" t="n"/>
      <c r="V94" s="110" t="n"/>
      <c r="W94" s="110" t="n"/>
      <c r="X94" s="77" t="n"/>
    </row>
    <row r="95">
      <c r="B95" s="103" t="n"/>
      <c r="C95" s="104" t="n"/>
      <c r="D95" s="104" t="n"/>
      <c r="E95" s="104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99" t="n"/>
    </row>
    <row r="96">
      <c r="B96" s="103" t="n"/>
      <c r="C96" s="104" t="n"/>
      <c r="D96" s="104" t="n"/>
      <c r="E96" s="104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99" t="n"/>
    </row>
    <row r="97">
      <c r="B97" s="109" t="inlineStr">
        <is>
          <t>理財活動-借款</t>
        </is>
      </c>
      <c r="C97" s="110" t="n"/>
      <c r="D97" s="111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O97" s="110" t="n"/>
      <c r="P97" s="110" t="n"/>
      <c r="Q97" s="110" t="n"/>
      <c r="R97" s="110" t="n"/>
      <c r="S97" s="110" t="n"/>
      <c r="T97" s="110" t="n"/>
      <c r="U97" s="110" t="n"/>
      <c r="V97" s="110" t="n"/>
      <c r="W97" s="110" t="n"/>
      <c r="X97" s="99" t="n"/>
    </row>
    <row r="98">
      <c r="B98" s="103" t="inlineStr">
        <is>
          <t>理財活動-還款</t>
        </is>
      </c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8" t="n"/>
      <c r="U98" s="108" t="n"/>
      <c r="V98" s="108" t="n"/>
      <c r="W98" s="108" t="n"/>
      <c r="X98" s="77" t="n"/>
    </row>
    <row r="99">
      <c r="B99" s="103" t="inlineStr">
        <is>
          <t>理財活動-現金增資</t>
        </is>
      </c>
      <c r="C99" s="108" t="n"/>
      <c r="D99" s="104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7" t="n"/>
    </row>
    <row r="100">
      <c r="B100" s="103" t="inlineStr">
        <is>
          <t>現金股利</t>
        </is>
      </c>
      <c r="C100" s="108" t="n"/>
      <c r="D100" s="108" t="n"/>
      <c r="E100" s="112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  <c r="U100" s="104" t="n"/>
      <c r="V100" s="108" t="n"/>
      <c r="W100" s="104" t="n"/>
      <c r="X100" s="107" t="n"/>
    </row>
    <row r="101">
      <c r="B101" s="113" t="inlineStr">
        <is>
          <t>年底減資</t>
        </is>
      </c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5" t="n"/>
      <c r="S101" s="115" t="n"/>
      <c r="T101" s="115" t="n"/>
      <c r="U101" s="115" t="n"/>
      <c r="V101" s="114" t="n"/>
      <c r="W101" s="114" t="n"/>
      <c r="X101" s="107" t="n"/>
    </row>
    <row r="102"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7" t="n"/>
    </row>
    <row r="103"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7" t="n"/>
    </row>
    <row r="104">
      <c r="B104" s="103" t="inlineStr">
        <is>
          <t>現金淨流入(出 )</t>
        </is>
      </c>
      <c r="D104" s="108" t="n"/>
      <c r="E104" s="106" t="n"/>
      <c r="F104" s="106" t="n"/>
      <c r="G104" s="106" t="n"/>
      <c r="H104" s="106" t="n"/>
      <c r="I104" s="106" t="n"/>
      <c r="J104" s="106" t="n"/>
      <c r="K104" s="106" t="n"/>
      <c r="L104" s="106" t="n"/>
      <c r="M104" s="106" t="n"/>
      <c r="N104" s="106" t="n"/>
      <c r="O104" s="106" t="n"/>
      <c r="P104" s="106" t="n"/>
      <c r="Q104" s="106" t="n"/>
      <c r="R104" s="106" t="n"/>
      <c r="S104" s="106" t="n"/>
      <c r="T104" s="106" t="n"/>
      <c r="U104" s="106" t="n"/>
      <c r="V104" s="106" t="n"/>
      <c r="W104" s="106" t="n"/>
      <c r="X104" s="107" t="n"/>
    </row>
    <row r="105">
      <c r="B105" s="103" t="inlineStr">
        <is>
          <t>期初淨現金</t>
        </is>
      </c>
      <c r="C105" s="108" t="n"/>
      <c r="D105" s="108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8" t="n"/>
      <c r="W105" s="108" t="n"/>
      <c r="X105" s="99" t="n"/>
    </row>
    <row r="106">
      <c r="B106" s="103" t="inlineStr">
        <is>
          <t>期未淨現金</t>
        </is>
      </c>
      <c r="C106" s="108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  <c r="U106" s="104" t="n"/>
      <c r="V106" s="108" t="n"/>
      <c r="W106" s="108" t="n"/>
      <c r="X106" s="99" t="n"/>
    </row>
    <row r="107">
      <c r="B107" s="103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16" t="n"/>
    </row>
    <row r="108">
      <c r="B108" s="103" t="n"/>
      <c r="C108" s="104" t="n"/>
      <c r="D108" s="104" t="n"/>
      <c r="E108" s="104" t="n"/>
      <c r="F108" s="108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16" t="n"/>
    </row>
    <row r="109">
      <c r="B109" s="117" t="inlineStr">
        <is>
          <t>成本法實際現金流</t>
        </is>
      </c>
      <c r="C109" s="118" t="n"/>
      <c r="D109" s="193">
        <f>-D97</f>
        <v/>
      </c>
      <c r="E109" s="192">
        <f>-E100-E101</f>
        <v/>
      </c>
      <c r="F109" s="192">
        <f>-F100-F101</f>
        <v/>
      </c>
      <c r="G109" s="192">
        <f>-G100-G101</f>
        <v/>
      </c>
      <c r="H109" s="192">
        <f>-H100-H101</f>
        <v/>
      </c>
      <c r="I109" s="192">
        <f>-I100-I101</f>
        <v/>
      </c>
      <c r="J109" s="192">
        <f>-J100-J101</f>
        <v/>
      </c>
      <c r="K109" s="192">
        <f>-K100-K101</f>
        <v/>
      </c>
      <c r="L109" s="192">
        <f>-L100-L101</f>
        <v/>
      </c>
      <c r="M109" s="192">
        <f>-M100-M101</f>
        <v/>
      </c>
      <c r="N109" s="192">
        <f>-N100-N101</f>
        <v/>
      </c>
      <c r="O109" s="192">
        <f>-O100-O101</f>
        <v/>
      </c>
      <c r="P109" s="192">
        <f>-P100-P101</f>
        <v/>
      </c>
      <c r="Q109" s="192">
        <f>-Q100-Q101</f>
        <v/>
      </c>
      <c r="R109" s="192">
        <f>-R100-R101</f>
        <v/>
      </c>
      <c r="S109" s="192">
        <f>-S100-S101</f>
        <v/>
      </c>
      <c r="T109" s="192">
        <f>-T100-T101</f>
        <v/>
      </c>
      <c r="U109" s="192">
        <f>-U100-U101</f>
        <v/>
      </c>
      <c r="V109" s="192">
        <f>-V100-V101</f>
        <v/>
      </c>
      <c r="W109" s="192">
        <f>-W100-W101</f>
        <v/>
      </c>
      <c r="X109" s="192">
        <f>-X100-X101</f>
        <v/>
      </c>
    </row>
    <row r="110">
      <c r="B110" s="103" t="inlineStr">
        <is>
          <t>成本法IRR</t>
        </is>
      </c>
      <c r="C110" s="120">
        <f>IRR(D109:X109)</f>
        <v/>
      </c>
      <c r="D110" s="150" t="n"/>
      <c r="E110" s="150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  <c r="U110" s="104" t="n"/>
      <c r="V110" s="104" t="n"/>
      <c r="W110" s="104" t="n"/>
      <c r="X110" s="116" t="n"/>
    </row>
    <row r="111">
      <c r="B111" s="117" t="inlineStr">
        <is>
          <t>權益法實際現金流</t>
        </is>
      </c>
      <c r="C111" s="118" t="n"/>
      <c r="D111" s="193">
        <f>D90-D99</f>
        <v/>
      </c>
      <c r="E111" s="192">
        <f>E90</f>
        <v/>
      </c>
      <c r="F111" s="192">
        <f>F90</f>
        <v/>
      </c>
      <c r="G111" s="192">
        <f>G90</f>
        <v/>
      </c>
      <c r="H111" s="192">
        <f>H90</f>
        <v/>
      </c>
      <c r="I111" s="192">
        <f>I90</f>
        <v/>
      </c>
      <c r="J111" s="192">
        <f>J90</f>
        <v/>
      </c>
      <c r="K111" s="192">
        <f>K90</f>
        <v/>
      </c>
      <c r="L111" s="192">
        <f>L90</f>
        <v/>
      </c>
      <c r="M111" s="192">
        <f>M90</f>
        <v/>
      </c>
      <c r="N111" s="192">
        <f>N90</f>
        <v/>
      </c>
      <c r="O111" s="192">
        <f>O90</f>
        <v/>
      </c>
      <c r="P111" s="192">
        <f>P90</f>
        <v/>
      </c>
      <c r="Q111" s="192">
        <f>Q90</f>
        <v/>
      </c>
      <c r="R111" s="192">
        <f>R90</f>
        <v/>
      </c>
      <c r="S111" s="192">
        <f>S90</f>
        <v/>
      </c>
      <c r="T111" s="192">
        <f>T90</f>
        <v/>
      </c>
      <c r="U111" s="192">
        <f>U90</f>
        <v/>
      </c>
      <c r="V111" s="192">
        <f>V90</f>
        <v/>
      </c>
      <c r="W111" s="192">
        <f>W90</f>
        <v/>
      </c>
      <c r="X111" s="77" t="n"/>
    </row>
    <row r="112">
      <c r="B112" s="117" t="inlineStr">
        <is>
          <t>權益法IRR</t>
        </is>
      </c>
      <c r="C112" s="120">
        <f>IRR(D111:W111)</f>
        <v/>
      </c>
      <c r="D112" s="150" t="n"/>
      <c r="E112" s="150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  <c r="U112" s="104" t="n"/>
      <c r="V112" s="104" t="n"/>
      <c r="W112" s="104" t="n"/>
      <c r="X112" s="116" t="n"/>
    </row>
    <row r="113">
      <c r="B113" s="103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16" t="n"/>
    </row>
    <row r="114">
      <c r="B114" s="103" t="inlineStr">
        <is>
          <t>借款餘額</t>
        </is>
      </c>
      <c r="C114" s="108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8" t="n"/>
      <c r="U114" s="108" t="n"/>
      <c r="V114" s="108" t="n"/>
      <c r="W114" s="108" t="n"/>
      <c r="X114" s="108" t="n"/>
    </row>
    <row r="115"/>
    <row r="116">
      <c r="B116" s="122" t="n"/>
    </row>
    <row r="117" ht="16.5" customHeight="1">
      <c r="G117" s="6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0.5703125" customWidth="1" min="1" max="1"/>
    <col width="33.140625" customWidth="1" min="2" max="2"/>
    <col width="19.42578125" customWidth="1" min="3" max="3"/>
    <col width="17.85546875" customWidth="1" min="4" max="4"/>
    <col width="17.85546875" customWidth="1" min="24" max="24"/>
    <col width="30" customWidth="1" min="25" max="25"/>
    <col width="13.5703125" customWidth="1" min="26" max="26"/>
    <col width="19.5703125" customWidth="1" min="30" max="30"/>
    <col width="20.5703125" customWidth="1" min="31" max="31"/>
    <col width="20.28515625" customWidth="1" min="32" max="32"/>
    <col width="20.85546875" customWidth="1" min="33" max="33"/>
    <col width="15.5703125" customWidth="1" min="34" max="34"/>
    <col width="36.85546875" customWidth="1" min="35" max="35"/>
    <col width="32.5703125" customWidth="1" min="36" max="36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7</t>
        </is>
      </c>
    </row>
    <row r="5" ht="22.5" customHeight="1">
      <c r="B5" s="161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第6次滾算摘要</t>
        </is>
      </c>
    </row>
    <row r="6" ht="20.25" customHeight="1">
      <c r="B6" s="162" t="n"/>
      <c r="C6" s="163" t="n"/>
      <c r="D6" s="163" t="n"/>
      <c r="E6" s="163" t="n"/>
      <c r="M6" t="inlineStr">
        <is>
          <t>價金: 23000</t>
        </is>
      </c>
    </row>
    <row r="7" ht="22.5" customHeight="1">
      <c r="B7" s="164" t="inlineStr">
        <is>
          <t>綜合損益表</t>
        </is>
      </c>
      <c r="C7" s="153" t="n"/>
      <c r="D7" s="153" t="n"/>
      <c r="E7" s="154" t="n"/>
      <c r="M7" t="inlineStr">
        <is>
          <t>專案IRR: 7.06</t>
        </is>
      </c>
    </row>
    <row r="8" ht="22.5" customHeight="1">
      <c r="B8" s="165" t="inlineStr">
        <is>
          <t>收入</t>
        </is>
      </c>
      <c r="C8" s="166" t="n"/>
      <c r="D8" s="166" t="n"/>
      <c r="E8" s="167" t="n"/>
      <c r="M8" t="inlineStr">
        <is>
          <t>權益法IRR: 23.4</t>
        </is>
      </c>
    </row>
    <row r="9" ht="22.5" customHeight="1">
      <c r="B9" s="168" t="inlineStr">
        <is>
          <t>收支項目</t>
        </is>
      </c>
      <c r="C9" s="169" t="inlineStr">
        <is>
          <t>相關參數</t>
        </is>
      </c>
      <c r="D9" s="169" t="inlineStr">
        <is>
          <t>參數數值</t>
        </is>
      </c>
      <c r="E9" s="170" t="inlineStr">
        <is>
          <t>年限</t>
        </is>
      </c>
      <c r="M9" t="inlineStr">
        <is>
          <t>利潤率: 20.00%</t>
        </is>
      </c>
    </row>
    <row r="10" ht="21.75" customHeight="1">
      <c r="B10" s="171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72" t="n">
        <v>20</v>
      </c>
      <c r="M10" t="inlineStr">
        <is>
          <t>第6次滾算，減少 1000 元 - 現金模式，每次減少 1000 元</t>
        </is>
      </c>
    </row>
    <row r="11" ht="21.75" customHeight="1">
      <c r="B11" s="173" t="n"/>
      <c r="C11" s="159" t="inlineStr">
        <is>
          <t>首年衰退率</t>
        </is>
      </c>
      <c r="D11" s="174" t="n">
        <v>0.01</v>
      </c>
      <c r="E11" s="173" t="n"/>
    </row>
    <row r="12" ht="21.75" customHeight="1">
      <c r="B12" s="173" t="n"/>
      <c r="C12" s="159" t="inlineStr">
        <is>
          <t>次年衰退率</t>
        </is>
      </c>
      <c r="D12" s="175" t="n">
        <v>0.004</v>
      </c>
      <c r="E12" s="173" t="n"/>
    </row>
    <row r="13" ht="22.5" customHeight="1">
      <c r="B13" s="173" t="n"/>
      <c r="C13" s="176" t="inlineStr">
        <is>
          <t>躉售費率(FIT)</t>
        </is>
      </c>
      <c r="D13" s="176" t="n">
        <v>3.7152</v>
      </c>
      <c r="E13" s="173" t="n"/>
    </row>
    <row r="14" ht="22.5" customHeight="1">
      <c r="B14" s="177" t="inlineStr">
        <is>
          <t>支出</t>
        </is>
      </c>
      <c r="C14" s="153" t="n"/>
      <c r="D14" s="153" t="n"/>
      <c r="E14" s="154" t="n"/>
    </row>
    <row r="15" ht="22.5" customHeight="1">
      <c r="B15" s="168" t="inlineStr">
        <is>
          <t>收支項目</t>
        </is>
      </c>
      <c r="C15" s="169" t="inlineStr">
        <is>
          <t>相關參數</t>
        </is>
      </c>
      <c r="D15" s="169" t="inlineStr">
        <is>
          <t>參數數值</t>
        </is>
      </c>
      <c r="E15" s="178" t="inlineStr">
        <is>
          <t>攤提年限</t>
        </is>
      </c>
    </row>
    <row r="16" ht="21.75" customHeight="1">
      <c r="B16" s="179" t="inlineStr">
        <is>
          <t>設備費用(價金)</t>
        </is>
      </c>
      <c r="C16" s="180" t="inlineStr">
        <is>
          <t>每kWp設備成本</t>
        </is>
      </c>
      <c r="D16" s="156" t="n">
        <v>23000</v>
      </c>
      <c r="E16" s="181" t="n">
        <v>20</v>
      </c>
    </row>
    <row r="17" ht="21.75" customHeight="1">
      <c r="B17" s="173" t="n"/>
      <c r="C17" s="159" t="inlineStr">
        <is>
          <t>信邦利潤率</t>
        </is>
      </c>
      <c r="D17" s="159" t="n">
        <v>0.2</v>
      </c>
      <c r="E17" s="173" t="n"/>
    </row>
    <row r="18" ht="21.75" customHeight="1">
      <c r="B18" s="182" t="n"/>
      <c r="C18" s="159" t="inlineStr">
        <is>
          <t>開發費</t>
        </is>
      </c>
      <c r="D18" s="159" t="n">
        <v>2000</v>
      </c>
      <c r="E18" s="182" t="n"/>
    </row>
    <row r="19" ht="54" customHeight="1">
      <c r="B19" s="183" t="inlineStr">
        <is>
          <t>租金費用</t>
        </is>
      </c>
      <c r="C19" s="184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3" t="n"/>
      <c r="C20" s="185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82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61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61" t="inlineStr">
        <is>
          <t>保險費用</t>
        </is>
      </c>
      <c r="C23" s="186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61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61" t="inlineStr">
        <is>
          <t>利息費用</t>
        </is>
      </c>
      <c r="C25" s="159" t="inlineStr">
        <is>
          <t>銀行利率</t>
        </is>
      </c>
      <c r="D25" s="187" t="n">
        <v>0.025595</v>
      </c>
      <c r="E25" s="160" t="n">
        <v>0</v>
      </c>
    </row>
    <row r="26" ht="22.5" customHeight="1">
      <c r="B26" s="161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2" t="n"/>
      <c r="C27" s="163" t="n"/>
      <c r="D27" s="163" t="n"/>
      <c r="E27" s="163" t="n"/>
    </row>
    <row r="28" ht="20.25" customHeight="1">
      <c r="B28" s="162" t="n"/>
      <c r="C28" s="163" t="n"/>
      <c r="D28" s="163" t="n"/>
      <c r="E28" s="163" t="n"/>
    </row>
    <row r="29" ht="22.5" customHeight="1">
      <c r="B29" s="164" t="inlineStr">
        <is>
          <t>現金流量表</t>
        </is>
      </c>
      <c r="C29" s="153" t="n"/>
      <c r="D29" s="154" t="n"/>
      <c r="E29" s="163" t="n"/>
    </row>
    <row r="30" ht="22.5" customHeight="1">
      <c r="B30" s="168" t="inlineStr">
        <is>
          <t>金流項目</t>
        </is>
      </c>
      <c r="C30" s="169" t="inlineStr">
        <is>
          <t>相關參數</t>
        </is>
      </c>
      <c r="D30" s="178" t="inlineStr">
        <is>
          <t>參數數值</t>
        </is>
      </c>
      <c r="E30" s="163" t="n"/>
    </row>
    <row r="31" ht="18.75" customHeight="1">
      <c r="B31" s="155" t="inlineStr">
        <is>
          <t>貸款成數</t>
        </is>
      </c>
      <c r="C31" s="180" t="inlineStr">
        <is>
          <t>占總設備費用比例</t>
        </is>
      </c>
      <c r="D31" s="156" t="n">
        <v>0.8</v>
      </c>
      <c r="E31" s="163" t="n"/>
    </row>
    <row r="32" ht="18.75" customHeight="1">
      <c r="B32" s="188" t="inlineStr">
        <is>
          <t>貸款還款</t>
        </is>
      </c>
      <c r="C32" s="156" t="inlineStr">
        <is>
          <t>攤還期數</t>
        </is>
      </c>
      <c r="D32" s="156" t="n">
        <v>15</v>
      </c>
      <c r="E32" s="163" t="n"/>
    </row>
    <row r="33" ht="18.75" customHeight="1">
      <c r="B33" s="161" t="inlineStr">
        <is>
          <t>現金股利</t>
        </is>
      </c>
      <c r="C33" s="159" t="inlineStr">
        <is>
          <t>股利比率</t>
        </is>
      </c>
      <c r="D33" s="159" t="n">
        <v>0.9</v>
      </c>
      <c r="E33" s="163" t="n"/>
    </row>
    <row r="34" ht="18.75" customHeight="1">
      <c r="B34" s="161" t="inlineStr">
        <is>
          <t>年底減資</t>
        </is>
      </c>
      <c r="C34" s="159" t="inlineStr">
        <is>
          <t>攤還期數</t>
        </is>
      </c>
      <c r="D34" s="159" t="n">
        <v>4</v>
      </c>
      <c r="E34" s="163" t="n"/>
    </row>
    <row r="35" ht="18.75" customHeight="1"/>
    <row r="36" ht="18.75" customHeight="1"/>
    <row r="37" ht="18.75" customHeight="1">
      <c r="B37" s="28" t="n"/>
      <c r="C37" s="29" t="inlineStr">
        <is>
          <t>年份</t>
        </is>
      </c>
      <c r="D37" s="29" t="n">
        <v>2020</v>
      </c>
      <c r="E37" s="29" t="n">
        <v>2021</v>
      </c>
      <c r="F37" s="29" t="n">
        <v>2022</v>
      </c>
      <c r="G37" s="29" t="n">
        <v>2023</v>
      </c>
      <c r="H37" s="29" t="n">
        <v>2024</v>
      </c>
      <c r="I37" s="29" t="n">
        <v>2025</v>
      </c>
      <c r="J37" s="29" t="n">
        <v>2026</v>
      </c>
      <c r="K37" s="29" t="n">
        <v>2027</v>
      </c>
      <c r="L37" s="29" t="n">
        <v>2028</v>
      </c>
      <c r="M37" s="29" t="n">
        <v>2029</v>
      </c>
      <c r="N37" s="29" t="n">
        <v>2030</v>
      </c>
      <c r="O37" s="29" t="n">
        <v>2031</v>
      </c>
      <c r="P37" s="29" t="n">
        <v>2032</v>
      </c>
      <c r="Q37" s="29" t="n">
        <v>2033</v>
      </c>
      <c r="R37" s="29" t="n">
        <v>2034</v>
      </c>
      <c r="S37" s="29" t="n">
        <v>2035</v>
      </c>
      <c r="T37" s="29" t="n">
        <v>2036</v>
      </c>
      <c r="U37" s="29" t="n">
        <v>2037</v>
      </c>
      <c r="V37" s="29" t="n">
        <v>2038</v>
      </c>
      <c r="W37" s="29" t="n">
        <v>2039</v>
      </c>
      <c r="X37" s="30" t="n"/>
    </row>
    <row r="38" ht="18.75" customHeight="1">
      <c r="B38" s="31" t="n">
        <v>0</v>
      </c>
      <c r="C38" s="32" t="n"/>
      <c r="D38" s="33" t="n"/>
      <c r="E38" s="33" t="n"/>
      <c r="F38" s="34" t="inlineStr">
        <is>
          <t>手動計算值</t>
        </is>
      </c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6" t="inlineStr">
        <is>
          <t>償還年限</t>
        </is>
      </c>
      <c r="U38" s="35" t="n"/>
      <c r="V38" s="35" t="n"/>
      <c r="W38" s="35" t="n"/>
      <c r="X38" s="37" t="n"/>
    </row>
    <row r="39" ht="18.75" customHeight="1">
      <c r="B39" s="38" t="inlineStr">
        <is>
          <t>(Unit : Currency)</t>
        </is>
      </c>
      <c r="C39" s="39" t="n">
        <v>0</v>
      </c>
      <c r="D39" s="40" t="n">
        <v>1</v>
      </c>
      <c r="E39" s="40" t="n">
        <v>2</v>
      </c>
      <c r="F39" s="40" t="n">
        <v>3</v>
      </c>
      <c r="G39" s="40" t="n">
        <v>4</v>
      </c>
      <c r="H39" s="40" t="n">
        <v>5</v>
      </c>
      <c r="I39" s="40" t="n">
        <v>6</v>
      </c>
      <c r="J39" s="40" t="n">
        <v>7</v>
      </c>
      <c r="K39" s="40" t="n">
        <v>8</v>
      </c>
      <c r="L39" s="40" t="n">
        <v>9</v>
      </c>
      <c r="M39" s="40" t="n">
        <v>10</v>
      </c>
      <c r="N39" s="40" t="n">
        <v>11</v>
      </c>
      <c r="O39" s="40" t="n">
        <v>12</v>
      </c>
      <c r="P39" s="40" t="n">
        <v>13</v>
      </c>
      <c r="Q39" s="40" t="n">
        <v>14</v>
      </c>
      <c r="R39" s="40" t="n">
        <v>15</v>
      </c>
      <c r="S39" s="40" t="n">
        <v>16</v>
      </c>
      <c r="T39" s="41" t="n">
        <v>17</v>
      </c>
      <c r="U39" s="40" t="n">
        <v>18</v>
      </c>
      <c r="V39" s="40" t="n">
        <v>19</v>
      </c>
      <c r="W39" s="40" t="n">
        <v>20</v>
      </c>
      <c r="X39" s="42" t="n"/>
    </row>
    <row r="40" ht="18.75" customHeight="1">
      <c r="B40" s="43" t="inlineStr">
        <is>
          <t>發電度數(KWH)</t>
        </is>
      </c>
      <c r="C40" s="39" t="n">
        <v>0</v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4" t="n"/>
    </row>
    <row r="41" ht="18.75" customHeight="1">
      <c r="B41" s="45" t="inlineStr">
        <is>
          <t>Inflow : 電費收入</t>
        </is>
      </c>
      <c r="C41" s="46" t="inlineStr">
        <is>
          <t>-</t>
        </is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8" t="n"/>
    </row>
    <row r="42" ht="18.75" customHeight="1">
      <c r="B42" s="49" t="inlineStr">
        <is>
          <t>Inflow : 政府補助</t>
        </is>
      </c>
      <c r="C42" s="39" t="inlineStr">
        <is>
          <t>-</t>
        </is>
      </c>
      <c r="D42" s="40" t="n"/>
      <c r="E42" s="40" t="n"/>
      <c r="F42" s="40" t="n"/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40" t="inlineStr">
        <is>
          <t>-</t>
        </is>
      </c>
      <c r="X42" s="50" t="n"/>
    </row>
    <row r="43" ht="18.75" customHeight="1">
      <c r="B43" s="51" t="inlineStr">
        <is>
          <t>Inflow : 銀行借款</t>
        </is>
      </c>
      <c r="C43" s="52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4" t="n"/>
    </row>
    <row r="44" ht="18.75" customHeight="1">
      <c r="B44" s="55" t="inlineStr">
        <is>
          <t>Outflow : 設備費用</t>
        </is>
      </c>
      <c r="C44" s="39" t="n"/>
      <c r="D44" s="56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50" t="n"/>
    </row>
    <row r="45" ht="18.75" customHeight="1">
      <c r="B45" s="55" t="inlineStr">
        <is>
          <t>Outflow : 設備放置區域租金</t>
        </is>
      </c>
      <c r="C45" s="39" t="inlineStr">
        <is>
          <t>-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50" t="n"/>
    </row>
    <row r="46" ht="18.75" customHeight="1">
      <c r="B46" s="55" t="inlineStr">
        <is>
          <t>Outflow : 返還借款</t>
        </is>
      </c>
      <c r="C46" s="39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50" t="n"/>
    </row>
    <row r="47" ht="18.75" customHeight="1">
      <c r="B47" s="55" t="inlineStr">
        <is>
          <t>Outflow : 利息費用</t>
        </is>
      </c>
      <c r="C47" s="39" t="inlineStr">
        <is>
          <t>-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50" t="n"/>
    </row>
    <row r="48" ht="18.75" customHeight="1">
      <c r="B48" s="55" t="inlineStr">
        <is>
          <t>Outflow : 維運費</t>
        </is>
      </c>
      <c r="C48" s="39" t="inlineStr">
        <is>
          <t>-</t>
        </is>
      </c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50" t="n"/>
    </row>
    <row r="49" ht="18.75" customHeight="1">
      <c r="B49" s="55" t="inlineStr">
        <is>
          <t>Outflow : 保險費</t>
        </is>
      </c>
      <c r="C49" s="39" t="inlineStr">
        <is>
          <t>-</t>
        </is>
      </c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50" t="n"/>
    </row>
    <row r="50" ht="18.75" customHeight="1">
      <c r="B50" s="55" t="inlineStr">
        <is>
          <t>Outflow : 模組回收費</t>
        </is>
      </c>
      <c r="C50" s="39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50" t="n"/>
    </row>
    <row r="51" ht="18.75" customHeight="1">
      <c r="B51" s="55" t="inlineStr">
        <is>
          <t>Outflow : 其它費用(人事薪資…等)</t>
        </is>
      </c>
      <c r="C51" s="57" t="n"/>
      <c r="D51" s="58" t="n"/>
      <c r="E51" s="59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50" t="n"/>
    </row>
    <row r="52" ht="18.75" customHeight="1">
      <c r="B52" s="55" t="inlineStr">
        <is>
          <t>1%管理費</t>
        </is>
      </c>
      <c r="C52" s="57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50" t="n"/>
    </row>
    <row r="53" ht="18.75" customHeight="1">
      <c r="B53" s="60" t="inlineStr">
        <is>
          <t>績效獎金</t>
        </is>
      </c>
      <c r="C53" s="57" t="n"/>
      <c r="D53" s="61" t="n"/>
      <c r="E53" s="61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50" t="n"/>
    </row>
    <row r="54" ht="18.75" customHeight="1">
      <c r="B54" s="60" t="inlineStr">
        <is>
          <t>所得稅20%</t>
        </is>
      </c>
      <c r="C54" s="57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50" t="n"/>
    </row>
    <row r="55" ht="18.75" customHeight="1">
      <c r="B55" s="189" t="inlineStr">
        <is>
          <t>現金流</t>
        </is>
      </c>
      <c r="C55" s="71">
        <f>C44</f>
        <v/>
      </c>
      <c r="D55" s="66">
        <f>SUM(D41:D54)</f>
        <v/>
      </c>
      <c r="E55" s="66">
        <f>SUM(E41:E54)</f>
        <v/>
      </c>
      <c r="F55" s="66">
        <f>SUM(F41:F54)</f>
        <v/>
      </c>
      <c r="G55" s="66">
        <f>SUM(G41:G54)</f>
        <v/>
      </c>
      <c r="H55" s="66">
        <f>SUM(H41:H54)</f>
        <v/>
      </c>
      <c r="I55" s="66">
        <f>SUM(I41:I54)</f>
        <v/>
      </c>
      <c r="J55" s="66">
        <f>SUM(J41:J54)</f>
        <v/>
      </c>
      <c r="K55" s="66">
        <f>SUM(K41:K54)</f>
        <v/>
      </c>
      <c r="L55" s="66">
        <f>SUM(L41:L54)</f>
        <v/>
      </c>
      <c r="M55" s="66">
        <f>SUM(M41:M54)</f>
        <v/>
      </c>
      <c r="N55" s="66">
        <f>SUM(N41:N54)</f>
        <v/>
      </c>
      <c r="O55" s="66">
        <f>SUM(O41:O54)</f>
        <v/>
      </c>
      <c r="P55" s="66">
        <f>SUM(P41:P54)</f>
        <v/>
      </c>
      <c r="Q55" s="66">
        <f>SUM(Q41:Q54)</f>
        <v/>
      </c>
      <c r="R55" s="66">
        <f>SUM(R41:R54)</f>
        <v/>
      </c>
      <c r="S55" s="66">
        <f>SUM(S41:S54)</f>
        <v/>
      </c>
      <c r="T55" s="66">
        <f>SUM(T41:T54)</f>
        <v/>
      </c>
      <c r="U55" s="66">
        <f>SUM(U41:U54)</f>
        <v/>
      </c>
      <c r="V55" s="66">
        <f>SUM(V41:V54)</f>
        <v/>
      </c>
      <c r="W55" s="66">
        <f>SUM(W41:W54)</f>
        <v/>
      </c>
      <c r="X55" s="66">
        <f>SUM(X41:X54)</f>
        <v/>
      </c>
      <c r="Y55" s="68" t="n"/>
      <c r="Z55" s="69" t="n"/>
      <c r="AA55" s="68" t="n"/>
      <c r="AB55" s="68" t="n"/>
      <c r="AC55" s="68" t="n"/>
      <c r="AD55" s="68" t="n"/>
      <c r="AE55" s="68" t="n"/>
      <c r="AF55" s="68" t="n"/>
      <c r="AG55" s="68" t="n"/>
      <c r="AH55" s="68" t="n"/>
      <c r="AI55" s="68" t="n"/>
      <c r="AJ55" s="68" t="n"/>
    </row>
    <row r="56" ht="18.75" customHeight="1">
      <c r="B56" s="70" t="inlineStr">
        <is>
          <t>累計現金流</t>
        </is>
      </c>
      <c r="D56" s="72">
        <f>C55+D55</f>
        <v/>
      </c>
      <c r="E56" s="72">
        <f>D56+E55</f>
        <v/>
      </c>
      <c r="F56" s="72">
        <f>E56+F55</f>
        <v/>
      </c>
      <c r="G56" s="72">
        <f>F56+G55</f>
        <v/>
      </c>
      <c r="H56" s="72">
        <f>G56+H55</f>
        <v/>
      </c>
      <c r="I56" s="72">
        <f>H56+I55</f>
        <v/>
      </c>
      <c r="J56" s="72">
        <f>I56+J55</f>
        <v/>
      </c>
      <c r="K56" s="72">
        <f>J56+K55</f>
        <v/>
      </c>
      <c r="L56" s="72">
        <f>K56+L55</f>
        <v/>
      </c>
      <c r="M56" s="72">
        <f>L56+M55</f>
        <v/>
      </c>
      <c r="N56" s="72">
        <f>M56+N55</f>
        <v/>
      </c>
      <c r="O56" s="72">
        <f>N56+O55</f>
        <v/>
      </c>
      <c r="P56" s="72">
        <f>O56+P55</f>
        <v/>
      </c>
      <c r="Q56" s="72">
        <f>P56+Q55</f>
        <v/>
      </c>
      <c r="R56" s="72">
        <f>Q56+R55</f>
        <v/>
      </c>
      <c r="S56" s="72">
        <f>R56+S55</f>
        <v/>
      </c>
      <c r="T56" s="72">
        <f>S56+T55</f>
        <v/>
      </c>
      <c r="U56" s="72">
        <f>T56+U55</f>
        <v/>
      </c>
      <c r="V56" s="72">
        <f>U56+V55</f>
        <v/>
      </c>
      <c r="W56" s="72">
        <f>V56+W55</f>
        <v/>
      </c>
      <c r="X56" s="72">
        <f>W56+X55</f>
        <v/>
      </c>
      <c r="Y56" s="68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  <c r="AJ56" s="68" t="n"/>
    </row>
    <row r="57" ht="18.75" customHeight="1">
      <c r="B57" s="74" t="inlineStr">
        <is>
          <t>Discounted cash flow</t>
        </is>
      </c>
      <c r="C57" s="75" t="n">
        <v>-37721416.4</v>
      </c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  <c r="AJ57" s="68" t="n"/>
    </row>
    <row r="58" ht="18.75" customHeight="1">
      <c r="B58" s="74" t="inlineStr">
        <is>
          <t>Minus : Depreciation</t>
        </is>
      </c>
      <c r="C58" s="79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  <c r="W58" s="61" t="n"/>
      <c r="X58" s="80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  <c r="AJ58" s="68" t="n"/>
    </row>
    <row r="59" ht="18.75" customHeight="1">
      <c r="B59" s="74" t="inlineStr">
        <is>
          <t>Plus : Principle payment</t>
        </is>
      </c>
      <c r="C59" s="79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61" t="n"/>
      <c r="U59" s="61" t="n"/>
      <c r="V59" s="61" t="n"/>
      <c r="W59" s="61" t="n"/>
      <c r="X59" s="80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  <c r="AJ59" s="68" t="n"/>
    </row>
    <row r="60" ht="18.75" customHeight="1">
      <c r="B60" s="81" t="inlineStr">
        <is>
          <t>Profit</t>
        </is>
      </c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85" t="inlineStr">
        <is>
          <t>EPS</t>
        </is>
      </c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  <c r="AJ61" s="68" t="n"/>
    </row>
    <row r="62" ht="18.75" customHeight="1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  <c r="AJ62" s="68" t="n"/>
    </row>
    <row r="63" ht="18.75" customHeight="1">
      <c r="B63" s="190" t="inlineStr">
        <is>
          <t>專案法IRR</t>
        </is>
      </c>
      <c r="C63" s="149">
        <f>IRR(C55:X55)</f>
        <v/>
      </c>
      <c r="D63" s="149" t="n"/>
      <c r="E63" s="14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95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  <c r="AJ63" s="68" t="n"/>
    </row>
    <row r="64" ht="18.75" customHeight="1">
      <c r="B64" s="28" t="n"/>
      <c r="C64" s="149" t="n"/>
      <c r="D64" s="149" t="n"/>
      <c r="E64" s="149" t="n"/>
      <c r="F64" s="59" t="n"/>
      <c r="G64" s="59" t="n"/>
      <c r="H64" s="59" t="n"/>
      <c r="I64" s="59" t="n"/>
      <c r="J64" s="59" t="n"/>
      <c r="K64" s="59" t="n"/>
      <c r="L64" s="59" t="n"/>
      <c r="M64" s="96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95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  <c r="AJ64" s="68" t="n"/>
    </row>
    <row r="65" ht="18.75" customHeight="1">
      <c r="B65" s="28" t="n"/>
      <c r="C65" s="29" t="inlineStr">
        <is>
          <t>年份</t>
        </is>
      </c>
      <c r="D65" s="29" t="n">
        <v>2020</v>
      </c>
      <c r="E65" s="29" t="n">
        <v>2021</v>
      </c>
      <c r="F65" s="29" t="n">
        <v>2022</v>
      </c>
      <c r="G65" s="29" t="n">
        <v>2023</v>
      </c>
      <c r="H65" s="29" t="n">
        <v>2024</v>
      </c>
      <c r="I65" s="29" t="n">
        <v>2025</v>
      </c>
      <c r="J65" s="29" t="n">
        <v>2026</v>
      </c>
      <c r="K65" s="29" t="n">
        <v>2027</v>
      </c>
      <c r="L65" s="29" t="n">
        <v>2028</v>
      </c>
      <c r="M65" s="29" t="n">
        <v>2029</v>
      </c>
      <c r="N65" s="29" t="n">
        <v>2030</v>
      </c>
      <c r="O65" s="29" t="n">
        <v>2031</v>
      </c>
      <c r="P65" s="29" t="n">
        <v>2032</v>
      </c>
      <c r="Q65" s="29" t="n">
        <v>2033</v>
      </c>
      <c r="R65" s="29" t="n">
        <v>2034</v>
      </c>
      <c r="S65" s="29" t="n">
        <v>2035</v>
      </c>
      <c r="T65" s="29" t="n">
        <v>2036</v>
      </c>
      <c r="U65" s="29" t="n">
        <v>2037</v>
      </c>
      <c r="V65" s="29" t="n">
        <v>2038</v>
      </c>
      <c r="W65" s="29" t="n">
        <v>2039</v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 ht="18.75" customHeight="1">
      <c r="B66" s="31" t="n">
        <v>0</v>
      </c>
      <c r="C66" s="32" t="n"/>
      <c r="D66" s="33" t="n"/>
      <c r="E66" s="33" t="n"/>
      <c r="F66" s="34" t="inlineStr">
        <is>
          <t>手動計算值</t>
        </is>
      </c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6" t="inlineStr">
        <is>
          <t>償還年限</t>
        </is>
      </c>
      <c r="U66" s="35" t="n"/>
      <c r="V66" s="35" t="n"/>
      <c r="W66" s="35" t="n"/>
      <c r="X66" s="37" t="n"/>
    </row>
    <row r="67" ht="18.75" customHeight="1">
      <c r="B67" s="38" t="inlineStr">
        <is>
          <t>(Unit : Currency)</t>
        </is>
      </c>
      <c r="C67" s="39" t="n">
        <v>0</v>
      </c>
      <c r="D67" s="40" t="n">
        <v>1</v>
      </c>
      <c r="E67" s="40" t="n">
        <v>2</v>
      </c>
      <c r="F67" s="40" t="n">
        <v>3</v>
      </c>
      <c r="G67" s="40" t="n">
        <v>4</v>
      </c>
      <c r="H67" s="40" t="n">
        <v>5</v>
      </c>
      <c r="I67" s="40" t="n">
        <v>6</v>
      </c>
      <c r="J67" s="40" t="n">
        <v>7</v>
      </c>
      <c r="K67" s="40" t="n">
        <v>8</v>
      </c>
      <c r="L67" s="40" t="n">
        <v>9</v>
      </c>
      <c r="M67" s="40" t="n">
        <v>10</v>
      </c>
      <c r="N67" s="40" t="n">
        <v>11</v>
      </c>
      <c r="O67" s="40" t="n">
        <v>12</v>
      </c>
      <c r="P67" s="40" t="n">
        <v>13</v>
      </c>
      <c r="Q67" s="40" t="n">
        <v>14</v>
      </c>
      <c r="R67" s="40" t="n">
        <v>15</v>
      </c>
      <c r="S67" s="40" t="n">
        <v>16</v>
      </c>
      <c r="T67" s="41" t="n">
        <v>17</v>
      </c>
      <c r="U67" s="40" t="n">
        <v>18</v>
      </c>
      <c r="V67" s="40" t="n">
        <v>19</v>
      </c>
      <c r="W67" s="40" t="n">
        <v>20</v>
      </c>
      <c r="X67" s="42" t="n"/>
    </row>
    <row r="68" ht="18.75" customHeight="1">
      <c r="B68" s="43" t="inlineStr">
        <is>
          <t>發電度數(KWH)</t>
        </is>
      </c>
      <c r="C68" s="39" t="n">
        <v>0</v>
      </c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4" t="n"/>
    </row>
    <row r="69" ht="18.75" customHeight="1">
      <c r="B69" s="45" t="inlineStr">
        <is>
          <t>Inflow : 電費收入</t>
        </is>
      </c>
      <c r="C69" s="46" t="inlineStr">
        <is>
          <t>-</t>
        </is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8" t="n"/>
    </row>
    <row r="70" ht="18.75" customHeight="1">
      <c r="B70" s="49" t="inlineStr">
        <is>
          <t>Inflow : 政府補助</t>
        </is>
      </c>
      <c r="C70" s="39" t="inlineStr">
        <is>
          <t>-</t>
        </is>
      </c>
      <c r="D70" s="40" t="n"/>
      <c r="E70" s="40" t="n"/>
      <c r="F70" s="40" t="n"/>
      <c r="G70" s="40" t="inlineStr">
        <is>
          <t>-</t>
        </is>
      </c>
      <c r="H70" s="40" t="inlineStr">
        <is>
          <t>-</t>
        </is>
      </c>
      <c r="I70" s="40" t="inlineStr">
        <is>
          <t>-</t>
        </is>
      </c>
      <c r="J70" s="40" t="inlineStr">
        <is>
          <t>-</t>
        </is>
      </c>
      <c r="K70" s="40" t="inlineStr">
        <is>
          <t>-</t>
        </is>
      </c>
      <c r="L70" s="40" t="inlineStr">
        <is>
          <t>-</t>
        </is>
      </c>
      <c r="M70" s="40" t="inlineStr">
        <is>
          <t>-</t>
        </is>
      </c>
      <c r="N70" s="40" t="inlineStr">
        <is>
          <t>-</t>
        </is>
      </c>
      <c r="O70" s="40" t="inlineStr">
        <is>
          <t>-</t>
        </is>
      </c>
      <c r="P70" s="40" t="inlineStr">
        <is>
          <t>-</t>
        </is>
      </c>
      <c r="Q70" s="40" t="inlineStr">
        <is>
          <t>-</t>
        </is>
      </c>
      <c r="R70" s="40" t="inlineStr">
        <is>
          <t>-</t>
        </is>
      </c>
      <c r="S70" s="40" t="inlineStr">
        <is>
          <t>-</t>
        </is>
      </c>
      <c r="T70" s="40" t="inlineStr">
        <is>
          <t>-</t>
        </is>
      </c>
      <c r="U70" s="40" t="inlineStr">
        <is>
          <t>-</t>
        </is>
      </c>
      <c r="V70" s="40" t="inlineStr">
        <is>
          <t>-</t>
        </is>
      </c>
      <c r="W70" s="40" t="inlineStr">
        <is>
          <t>-</t>
        </is>
      </c>
      <c r="X70" s="50" t="n"/>
    </row>
    <row r="71" ht="18.75" customHeight="1">
      <c r="B71" s="51" t="inlineStr">
        <is>
          <t>Inflow : 銀行借款</t>
        </is>
      </c>
      <c r="C71" s="52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4" t="n"/>
    </row>
    <row r="72" ht="18.75" customHeight="1">
      <c r="B72" s="55" t="inlineStr">
        <is>
          <t>Outflow : 設備折舊</t>
        </is>
      </c>
      <c r="C72" s="39" t="n"/>
      <c r="D72" s="56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50" t="n"/>
    </row>
    <row r="73" ht="18.75" customHeight="1">
      <c r="B73" s="55" t="inlineStr">
        <is>
          <t>Outflow : 設備放置區域租金</t>
        </is>
      </c>
      <c r="C73" s="39" t="inlineStr">
        <is>
          <t>-</t>
        </is>
      </c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50" t="n"/>
    </row>
    <row r="74" ht="18.75" customHeight="1">
      <c r="B74" s="55" t="inlineStr">
        <is>
          <t>Outflow : 返還借款</t>
        </is>
      </c>
      <c r="C74" s="39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50" t="n"/>
    </row>
    <row r="75" ht="18.75" customHeight="1">
      <c r="B75" s="55" t="inlineStr">
        <is>
          <t>Outflow : 利息費用</t>
        </is>
      </c>
      <c r="C75" s="39" t="inlineStr">
        <is>
          <t>-</t>
        </is>
      </c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50" t="n"/>
    </row>
    <row r="76" ht="18.75" customHeight="1">
      <c r="B76" s="55" t="inlineStr">
        <is>
          <t>Outflow : 維運費</t>
        </is>
      </c>
      <c r="C76" s="39" t="inlineStr">
        <is>
          <t>-</t>
        </is>
      </c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50" t="n"/>
    </row>
    <row r="77" ht="18.75" customHeight="1">
      <c r="B77" s="55" t="inlineStr">
        <is>
          <t>Outflow : 保險費</t>
        </is>
      </c>
      <c r="C77" s="39" t="inlineStr">
        <is>
          <t>-</t>
        </is>
      </c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50" t="n"/>
    </row>
    <row r="78" ht="18.75" customHeight="1">
      <c r="B78" s="55" t="inlineStr">
        <is>
          <t>Outflow : 模組回收費</t>
        </is>
      </c>
      <c r="C78" s="39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50" t="n"/>
    </row>
    <row r="79" ht="18.75" customHeight="1">
      <c r="B79" s="55" t="inlineStr">
        <is>
          <t>Outflow : 其它費用(人事薪資…等)</t>
        </is>
      </c>
      <c r="C79" s="57" t="n"/>
      <c r="D79" s="58" t="n"/>
      <c r="E79" s="59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50" t="n"/>
    </row>
    <row r="80" ht="18.75" customHeight="1">
      <c r="B80" s="55" t="inlineStr">
        <is>
          <t>1%管理費</t>
        </is>
      </c>
      <c r="C80" s="57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50" t="n"/>
    </row>
    <row r="81" ht="18.75" customHeight="1">
      <c r="B81" s="189" t="inlineStr">
        <is>
          <t>稅前淨利</t>
        </is>
      </c>
      <c r="C81" s="65" t="n"/>
      <c r="D81" s="66">
        <f>SUM(D69:D80)</f>
        <v/>
      </c>
      <c r="E81" s="66">
        <f>SUM(E69:E80)</f>
        <v/>
      </c>
      <c r="F81" s="66">
        <f>SUM(F69:F80)</f>
        <v/>
      </c>
      <c r="G81" s="66">
        <f>SUM(G69:G80)</f>
        <v/>
      </c>
      <c r="H81" s="66">
        <f>SUM(H69:H80)</f>
        <v/>
      </c>
      <c r="I81" s="66">
        <f>SUM(I69:I80)</f>
        <v/>
      </c>
      <c r="J81" s="66">
        <f>SUM(J69:J80)</f>
        <v/>
      </c>
      <c r="K81" s="66">
        <f>SUM(K69:K80)</f>
        <v/>
      </c>
      <c r="L81" s="66">
        <f>SUM(L69:L80)</f>
        <v/>
      </c>
      <c r="M81" s="66">
        <f>SUM(M69:M80)</f>
        <v/>
      </c>
      <c r="N81" s="66">
        <f>SUM(N69:N80)</f>
        <v/>
      </c>
      <c r="O81" s="66">
        <f>SUM(O69:O80)</f>
        <v/>
      </c>
      <c r="P81" s="66">
        <f>SUM(P69:P80)</f>
        <v/>
      </c>
      <c r="Q81" s="66">
        <f>SUM(Q69:Q80)</f>
        <v/>
      </c>
      <c r="R81" s="66">
        <f>SUM(R69:R80)</f>
        <v/>
      </c>
      <c r="S81" s="66">
        <f>SUM(S69:S80)</f>
        <v/>
      </c>
      <c r="T81" s="66">
        <f>SUM(T69:T80)</f>
        <v/>
      </c>
      <c r="U81" s="66">
        <f>SUM(U69:U80)</f>
        <v/>
      </c>
      <c r="V81" s="66">
        <f>SUM(V69:V80)</f>
        <v/>
      </c>
      <c r="W81" s="66">
        <f>SUM(W69:W80)</f>
        <v/>
      </c>
      <c r="X81" s="66">
        <f>SUM(X69:X80)</f>
        <v/>
      </c>
    </row>
    <row r="82" ht="18.75" customHeight="1">
      <c r="B82" s="60" t="inlineStr">
        <is>
          <t>所得稅20%</t>
        </is>
      </c>
      <c r="C82" s="57" t="n"/>
      <c r="D82" s="40">
        <f>-D81*0.2</f>
        <v/>
      </c>
      <c r="E82" s="40">
        <f>-E81*0.2</f>
        <v/>
      </c>
      <c r="F82" s="40">
        <f>-F81*0.2</f>
        <v/>
      </c>
      <c r="G82" s="40">
        <f>-G81*0.2</f>
        <v/>
      </c>
      <c r="H82" s="40">
        <f>-H81*0.2</f>
        <v/>
      </c>
      <c r="I82" s="40">
        <f>-I81*0.2</f>
        <v/>
      </c>
      <c r="J82" s="40">
        <f>-J81*0.2</f>
        <v/>
      </c>
      <c r="K82" s="40">
        <f>-K81*0.2</f>
        <v/>
      </c>
      <c r="L82" s="40">
        <f>-L81*0.2</f>
        <v/>
      </c>
      <c r="M82" s="40">
        <f>-M81*0.2</f>
        <v/>
      </c>
      <c r="N82" s="40">
        <f>-N81*0.2</f>
        <v/>
      </c>
      <c r="O82" s="40">
        <f>-O81*0.2</f>
        <v/>
      </c>
      <c r="P82" s="40">
        <f>-P81*0.2</f>
        <v/>
      </c>
      <c r="Q82" s="40">
        <f>-Q81*0.2</f>
        <v/>
      </c>
      <c r="R82" s="40">
        <f>-R81*0.2</f>
        <v/>
      </c>
      <c r="S82" s="40">
        <f>-S81*0.2</f>
        <v/>
      </c>
      <c r="T82" s="40">
        <f>-T81*0.2</f>
        <v/>
      </c>
      <c r="U82" s="40">
        <f>-U81*0.2</f>
        <v/>
      </c>
      <c r="V82" s="40">
        <f>-V81*0.2</f>
        <v/>
      </c>
      <c r="W82" s="40">
        <f>-W81*0.2</f>
        <v/>
      </c>
      <c r="X82" s="40">
        <f>-X81*0.2</f>
        <v/>
      </c>
    </row>
    <row r="83">
      <c r="B83" s="191" t="inlineStr">
        <is>
          <t>稅後淨利</t>
        </is>
      </c>
      <c r="D83" s="40">
        <f>SUM(D81:D82)</f>
        <v/>
      </c>
      <c r="E83" s="40">
        <f>SUM(E81:E82)</f>
        <v/>
      </c>
      <c r="F83" s="40">
        <f>SUM(F81:F82)</f>
        <v/>
      </c>
      <c r="G83" s="40">
        <f>SUM(G81:G82)</f>
        <v/>
      </c>
      <c r="H83" s="40">
        <f>SUM(H81:H82)</f>
        <v/>
      </c>
      <c r="I83" s="40">
        <f>SUM(I81:I82)</f>
        <v/>
      </c>
      <c r="J83" s="40">
        <f>SUM(J81:J82)</f>
        <v/>
      </c>
      <c r="K83" s="40">
        <f>SUM(K81:K82)</f>
        <v/>
      </c>
      <c r="L83" s="40">
        <f>SUM(L81:L82)</f>
        <v/>
      </c>
      <c r="M83" s="40">
        <f>SUM(M81:M82)</f>
        <v/>
      </c>
      <c r="N83" s="40">
        <f>SUM(N81:N82)</f>
        <v/>
      </c>
      <c r="O83" s="40">
        <f>SUM(O81:O82)</f>
        <v/>
      </c>
      <c r="P83" s="40">
        <f>SUM(P81:P82)</f>
        <v/>
      </c>
      <c r="Q83" s="40">
        <f>SUM(Q81:Q82)</f>
        <v/>
      </c>
      <c r="R83" s="40">
        <f>SUM(R81:R82)</f>
        <v/>
      </c>
      <c r="S83" s="40">
        <f>SUM(S81:S82)</f>
        <v/>
      </c>
      <c r="T83" s="40">
        <f>SUM(T81:T82)</f>
        <v/>
      </c>
      <c r="U83" s="40">
        <f>SUM(U81:U82)</f>
        <v/>
      </c>
      <c r="V83" s="40">
        <f>SUM(V81:V82)</f>
        <v/>
      </c>
      <c r="W83" s="40">
        <f>SUM(W81:W82)</f>
        <v/>
      </c>
      <c r="X83" s="40">
        <f>SUM(X81:X82)</f>
        <v/>
      </c>
    </row>
    <row r="84" ht="18.75" customHeight="1">
      <c r="B84" s="70" t="inlineStr">
        <is>
          <t>累計現金流</t>
        </is>
      </c>
      <c r="C84" s="71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3" t="n"/>
    </row>
    <row r="85" ht="18.75" customHeight="1">
      <c r="B85" s="90" t="inlineStr">
        <is>
          <t>回收年限評估</t>
        </is>
      </c>
      <c r="C85" s="91" t="n"/>
      <c r="D85" s="92" t="n"/>
      <c r="E85" s="92" t="n"/>
      <c r="F85" s="92" t="n"/>
      <c r="G85" s="92" t="n"/>
      <c r="H85" s="92" t="n"/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93" t="n"/>
    </row>
    <row r="86" ht="18.75" customHeight="1">
      <c r="B86" s="28" t="n"/>
      <c r="C86" s="149" t="n"/>
      <c r="D86" s="149" t="n"/>
      <c r="E86" s="149" t="n"/>
      <c r="F86" s="59" t="n"/>
      <c r="G86" s="59" t="n"/>
      <c r="H86" s="59" t="n"/>
      <c r="I86" s="59" t="n"/>
      <c r="J86" s="59" t="n"/>
      <c r="K86" s="59" t="n"/>
      <c r="L86" s="59" t="inlineStr">
        <is>
          <t>預估可建置量</t>
        </is>
      </c>
      <c r="M86" s="96" t="n">
        <v>0</v>
      </c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95" t="n"/>
    </row>
    <row r="87" ht="18.75" customHeight="1">
      <c r="C87" s="97" t="inlineStr">
        <is>
          <t>年份</t>
        </is>
      </c>
      <c r="D87" s="98" t="n">
        <v>2020</v>
      </c>
      <c r="E87" s="98" t="n">
        <v>2021</v>
      </c>
      <c r="F87" s="98" t="n">
        <v>2022</v>
      </c>
      <c r="G87" s="98" t="n">
        <v>2023</v>
      </c>
      <c r="H87" s="98" t="n">
        <v>2024</v>
      </c>
      <c r="I87" s="98" t="n">
        <v>2025</v>
      </c>
      <c r="J87" s="98" t="n">
        <v>2026</v>
      </c>
      <c r="K87" s="98" t="n">
        <v>2027</v>
      </c>
      <c r="L87" s="98" t="n">
        <v>2028</v>
      </c>
      <c r="M87" s="98" t="n">
        <v>2029</v>
      </c>
      <c r="N87" s="98" t="n">
        <v>2030</v>
      </c>
      <c r="O87" s="98" t="n">
        <v>2031</v>
      </c>
      <c r="P87" s="98" t="n">
        <v>2032</v>
      </c>
      <c r="Q87" s="98" t="n">
        <v>2033</v>
      </c>
      <c r="R87" s="98" t="n">
        <v>2034</v>
      </c>
      <c r="S87" s="98" t="n">
        <v>2035</v>
      </c>
      <c r="T87" s="98" t="n">
        <v>2036</v>
      </c>
      <c r="U87" s="98" t="n">
        <v>2037</v>
      </c>
      <c r="V87" s="98" t="n">
        <v>2038</v>
      </c>
      <c r="W87" s="98" t="n">
        <v>2039</v>
      </c>
      <c r="X87" s="99" t="n"/>
    </row>
    <row r="88" ht="18.75" customHeight="1">
      <c r="X88" s="99" t="n"/>
    </row>
    <row r="89" ht="18.75" customHeight="1">
      <c r="B89" s="100" t="inlineStr">
        <is>
          <t>(Unit : Currency)</t>
        </is>
      </c>
      <c r="C89" s="101" t="n">
        <v>0</v>
      </c>
      <c r="D89" s="101" t="n">
        <v>1</v>
      </c>
      <c r="E89" s="101" t="n">
        <v>2</v>
      </c>
      <c r="F89" s="101" t="n">
        <v>3</v>
      </c>
      <c r="G89" s="101" t="n">
        <v>4</v>
      </c>
      <c r="H89" s="101" t="n">
        <v>5</v>
      </c>
      <c r="I89" s="101" t="n">
        <v>6</v>
      </c>
      <c r="J89" s="101" t="n">
        <v>7</v>
      </c>
      <c r="K89" s="101" t="n">
        <v>8</v>
      </c>
      <c r="L89" s="101" t="n">
        <v>9</v>
      </c>
      <c r="M89" s="101" t="n">
        <v>10</v>
      </c>
      <c r="N89" s="101" t="n">
        <v>11</v>
      </c>
      <c r="O89" s="101" t="n">
        <v>12</v>
      </c>
      <c r="P89" s="101" t="n">
        <v>13</v>
      </c>
      <c r="Q89" s="101" t="n">
        <v>14</v>
      </c>
      <c r="R89" s="101" t="n">
        <v>15</v>
      </c>
      <c r="S89" s="101" t="n">
        <v>16</v>
      </c>
      <c r="T89" s="101" t="n">
        <v>17</v>
      </c>
      <c r="U89" s="101" t="n">
        <v>18</v>
      </c>
      <c r="V89" s="101" t="n">
        <v>19</v>
      </c>
      <c r="W89" s="101" t="n">
        <v>20</v>
      </c>
      <c r="X89" s="102" t="n"/>
    </row>
    <row r="90" ht="18.75" customHeight="1">
      <c r="B90" s="103" t="inlineStr">
        <is>
          <t>稅後淨利</t>
        </is>
      </c>
      <c r="C90" s="104" t="n"/>
      <c r="D90" s="101">
        <f>D81</f>
        <v/>
      </c>
      <c r="E90" s="101">
        <f>E81</f>
        <v/>
      </c>
      <c r="F90" s="101">
        <f>F81</f>
        <v/>
      </c>
      <c r="G90" s="101">
        <f>G81</f>
        <v/>
      </c>
      <c r="H90" s="101">
        <f>H81</f>
        <v/>
      </c>
      <c r="I90" s="101">
        <f>I81</f>
        <v/>
      </c>
      <c r="J90" s="101">
        <f>J81</f>
        <v/>
      </c>
      <c r="K90" s="101">
        <f>K81</f>
        <v/>
      </c>
      <c r="L90" s="101">
        <f>L81</f>
        <v/>
      </c>
      <c r="M90" s="101">
        <f>M81</f>
        <v/>
      </c>
      <c r="N90" s="101">
        <f>N81</f>
        <v/>
      </c>
      <c r="O90" s="101">
        <f>O81</f>
        <v/>
      </c>
      <c r="P90" s="101">
        <f>P81</f>
        <v/>
      </c>
      <c r="Q90" s="101">
        <f>Q81</f>
        <v/>
      </c>
      <c r="R90" s="101">
        <f>R81</f>
        <v/>
      </c>
      <c r="S90" s="101">
        <f>S81</f>
        <v/>
      </c>
      <c r="T90" s="101">
        <f>T81</f>
        <v/>
      </c>
      <c r="U90" s="101">
        <f>U81</f>
        <v/>
      </c>
      <c r="V90" s="101">
        <f>V81</f>
        <v/>
      </c>
      <c r="W90" s="101">
        <f>W81</f>
        <v/>
      </c>
      <c r="X90" s="104" t="n"/>
      <c r="Y90" s="104" t="n"/>
    </row>
    <row r="91">
      <c r="B91" s="103" t="inlineStr">
        <is>
          <t>設備折舊</t>
        </is>
      </c>
      <c r="C91" s="104" t="n"/>
      <c r="D91" s="105" t="n"/>
      <c r="E91" s="105" t="n"/>
      <c r="F91" s="105" t="n"/>
      <c r="G91" s="105" t="n"/>
      <c r="H91" s="105" t="n"/>
      <c r="I91" s="105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5" t="n"/>
      <c r="T91" s="105" t="n"/>
      <c r="U91" s="105" t="n"/>
      <c r="V91" s="105" t="n"/>
      <c r="W91" s="105" t="n"/>
      <c r="X91" s="77" t="n"/>
    </row>
    <row r="92">
      <c r="B92" s="103" t="inlineStr">
        <is>
          <t>營運活動現金流量</t>
        </is>
      </c>
      <c r="C92" s="104" t="n"/>
      <c r="D92" s="192">
        <f>SUM(D90:D91)</f>
        <v/>
      </c>
      <c r="E92" s="192">
        <f>SUM(E90:E91)</f>
        <v/>
      </c>
      <c r="F92" s="192">
        <f>SUM(F90:F91)</f>
        <v/>
      </c>
      <c r="G92" s="192">
        <f>SUM(G90:G91)</f>
        <v/>
      </c>
      <c r="H92" s="192">
        <f>SUM(H90:H91)</f>
        <v/>
      </c>
      <c r="I92" s="192">
        <f>SUM(I90:I91)</f>
        <v/>
      </c>
      <c r="J92" s="192">
        <f>SUM(J90:J91)</f>
        <v/>
      </c>
      <c r="K92" s="192">
        <f>SUM(K90:K91)</f>
        <v/>
      </c>
      <c r="L92" s="192">
        <f>SUM(L90:L91)</f>
        <v/>
      </c>
      <c r="M92" s="192">
        <f>SUM(M90:M91)</f>
        <v/>
      </c>
      <c r="N92" s="192">
        <f>SUM(N90:N91)</f>
        <v/>
      </c>
      <c r="O92" s="192">
        <f>SUM(O90:O91)</f>
        <v/>
      </c>
      <c r="P92" s="192">
        <f>SUM(P90:P91)</f>
        <v/>
      </c>
      <c r="Q92" s="192">
        <f>SUM(Q90:Q91)</f>
        <v/>
      </c>
      <c r="R92" s="192">
        <f>SUM(R90:R91)</f>
        <v/>
      </c>
      <c r="S92" s="192">
        <f>SUM(S90:S91)</f>
        <v/>
      </c>
      <c r="T92" s="192">
        <f>SUM(T90:T91)</f>
        <v/>
      </c>
      <c r="U92" s="192">
        <f>SUM(U90:U91)</f>
        <v/>
      </c>
      <c r="V92" s="192">
        <f>SUM(V90:V91)</f>
        <v/>
      </c>
      <c r="W92" s="192">
        <f>SUM(W90:W91)</f>
        <v/>
      </c>
      <c r="X92" s="107" t="n"/>
    </row>
    <row r="93">
      <c r="B93" s="103" t="n"/>
      <c r="C93" s="104" t="n"/>
      <c r="D93" s="104" t="n"/>
      <c r="E93" s="104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99" t="n"/>
    </row>
    <row r="94">
      <c r="B94" s="109" t="inlineStr">
        <is>
          <t>投資活動-設備支出</t>
        </is>
      </c>
      <c r="C94" s="110" t="n"/>
      <c r="D94" s="111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O94" s="110" t="n"/>
      <c r="P94" s="110" t="n"/>
      <c r="Q94" s="110" t="n"/>
      <c r="R94" s="110" t="n"/>
      <c r="S94" s="110" t="n"/>
      <c r="T94" s="110" t="n"/>
      <c r="U94" s="110" t="n"/>
      <c r="V94" s="110" t="n"/>
      <c r="W94" s="110" t="n"/>
      <c r="X94" s="77" t="n"/>
    </row>
    <row r="95">
      <c r="B95" s="103" t="n"/>
      <c r="C95" s="104" t="n"/>
      <c r="D95" s="104" t="n"/>
      <c r="E95" s="104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99" t="n"/>
    </row>
    <row r="96">
      <c r="B96" s="103" t="n"/>
      <c r="C96" s="104" t="n"/>
      <c r="D96" s="104" t="n"/>
      <c r="E96" s="104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99" t="n"/>
    </row>
    <row r="97">
      <c r="B97" s="109" t="inlineStr">
        <is>
          <t>理財活動-借款</t>
        </is>
      </c>
      <c r="C97" s="110" t="n"/>
      <c r="D97" s="111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O97" s="110" t="n"/>
      <c r="P97" s="110" t="n"/>
      <c r="Q97" s="110" t="n"/>
      <c r="R97" s="110" t="n"/>
      <c r="S97" s="110" t="n"/>
      <c r="T97" s="110" t="n"/>
      <c r="U97" s="110" t="n"/>
      <c r="V97" s="110" t="n"/>
      <c r="W97" s="110" t="n"/>
      <c r="X97" s="99" t="n"/>
    </row>
    <row r="98">
      <c r="B98" s="103" t="inlineStr">
        <is>
          <t>理財活動-還款</t>
        </is>
      </c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8" t="n"/>
      <c r="U98" s="108" t="n"/>
      <c r="V98" s="108" t="n"/>
      <c r="W98" s="108" t="n"/>
      <c r="X98" s="77" t="n"/>
    </row>
    <row r="99">
      <c r="B99" s="103" t="inlineStr">
        <is>
          <t>理財活動-現金增資</t>
        </is>
      </c>
      <c r="C99" s="108" t="n"/>
      <c r="D99" s="104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7" t="n"/>
    </row>
    <row r="100">
      <c r="B100" s="103" t="inlineStr">
        <is>
          <t>現金股利</t>
        </is>
      </c>
      <c r="C100" s="108" t="n"/>
      <c r="D100" s="108" t="n"/>
      <c r="E100" s="112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  <c r="U100" s="104" t="n"/>
      <c r="V100" s="108" t="n"/>
      <c r="W100" s="104" t="n"/>
      <c r="X100" s="107" t="n"/>
    </row>
    <row r="101">
      <c r="B101" s="113" t="inlineStr">
        <is>
          <t>年底減資</t>
        </is>
      </c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5" t="n"/>
      <c r="S101" s="115" t="n"/>
      <c r="T101" s="115" t="n"/>
      <c r="U101" s="115" t="n"/>
      <c r="V101" s="114" t="n"/>
      <c r="W101" s="114" t="n"/>
      <c r="X101" s="107" t="n"/>
    </row>
    <row r="102"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7" t="n"/>
    </row>
    <row r="103"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7" t="n"/>
    </row>
    <row r="104">
      <c r="B104" s="103" t="inlineStr">
        <is>
          <t>現金淨流入(出 )</t>
        </is>
      </c>
      <c r="D104" s="108" t="n"/>
      <c r="E104" s="106" t="n"/>
      <c r="F104" s="106" t="n"/>
      <c r="G104" s="106" t="n"/>
      <c r="H104" s="106" t="n"/>
      <c r="I104" s="106" t="n"/>
      <c r="J104" s="106" t="n"/>
      <c r="K104" s="106" t="n"/>
      <c r="L104" s="106" t="n"/>
      <c r="M104" s="106" t="n"/>
      <c r="N104" s="106" t="n"/>
      <c r="O104" s="106" t="n"/>
      <c r="P104" s="106" t="n"/>
      <c r="Q104" s="106" t="n"/>
      <c r="R104" s="106" t="n"/>
      <c r="S104" s="106" t="n"/>
      <c r="T104" s="106" t="n"/>
      <c r="U104" s="106" t="n"/>
      <c r="V104" s="106" t="n"/>
      <c r="W104" s="106" t="n"/>
      <c r="X104" s="107" t="n"/>
    </row>
    <row r="105">
      <c r="B105" s="103" t="inlineStr">
        <is>
          <t>期初淨現金</t>
        </is>
      </c>
      <c r="C105" s="108" t="n"/>
      <c r="D105" s="108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8" t="n"/>
      <c r="W105" s="108" t="n"/>
      <c r="X105" s="99" t="n"/>
    </row>
    <row r="106">
      <c r="B106" s="103" t="inlineStr">
        <is>
          <t>期未淨現金</t>
        </is>
      </c>
      <c r="C106" s="108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  <c r="U106" s="104" t="n"/>
      <c r="V106" s="108" t="n"/>
      <c r="W106" s="108" t="n"/>
      <c r="X106" s="99" t="n"/>
    </row>
    <row r="107">
      <c r="B107" s="103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16" t="n"/>
    </row>
    <row r="108">
      <c r="B108" s="103" t="n"/>
      <c r="C108" s="104" t="n"/>
      <c r="D108" s="104" t="n"/>
      <c r="E108" s="104" t="n"/>
      <c r="F108" s="108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16" t="n"/>
    </row>
    <row r="109">
      <c r="B109" s="117" t="inlineStr">
        <is>
          <t>成本法實際現金流</t>
        </is>
      </c>
      <c r="C109" s="118" t="n"/>
      <c r="D109" s="193">
        <f>-D97</f>
        <v/>
      </c>
      <c r="E109" s="192">
        <f>-E100-E101</f>
        <v/>
      </c>
      <c r="F109" s="192">
        <f>-F100-F101</f>
        <v/>
      </c>
      <c r="G109" s="192">
        <f>-G100-G101</f>
        <v/>
      </c>
      <c r="H109" s="192">
        <f>-H100-H101</f>
        <v/>
      </c>
      <c r="I109" s="192">
        <f>-I100-I101</f>
        <v/>
      </c>
      <c r="J109" s="192">
        <f>-J100-J101</f>
        <v/>
      </c>
      <c r="K109" s="192">
        <f>-K100-K101</f>
        <v/>
      </c>
      <c r="L109" s="192">
        <f>-L100-L101</f>
        <v/>
      </c>
      <c r="M109" s="192">
        <f>-M100-M101</f>
        <v/>
      </c>
      <c r="N109" s="192">
        <f>-N100-N101</f>
        <v/>
      </c>
      <c r="O109" s="192">
        <f>-O100-O101</f>
        <v/>
      </c>
      <c r="P109" s="192">
        <f>-P100-P101</f>
        <v/>
      </c>
      <c r="Q109" s="192">
        <f>-Q100-Q101</f>
        <v/>
      </c>
      <c r="R109" s="192">
        <f>-R100-R101</f>
        <v/>
      </c>
      <c r="S109" s="192">
        <f>-S100-S101</f>
        <v/>
      </c>
      <c r="T109" s="192">
        <f>-T100-T101</f>
        <v/>
      </c>
      <c r="U109" s="192">
        <f>-U100-U101</f>
        <v/>
      </c>
      <c r="V109" s="192">
        <f>-V100-V101</f>
        <v/>
      </c>
      <c r="W109" s="192">
        <f>-W100-W101</f>
        <v/>
      </c>
      <c r="X109" s="192">
        <f>-X100-X101</f>
        <v/>
      </c>
    </row>
    <row r="110">
      <c r="B110" s="103" t="inlineStr">
        <is>
          <t>成本法IRR</t>
        </is>
      </c>
      <c r="C110" s="120">
        <f>IRR(D109:X109)</f>
        <v/>
      </c>
      <c r="D110" s="150" t="n"/>
      <c r="E110" s="150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  <c r="U110" s="104" t="n"/>
      <c r="V110" s="104" t="n"/>
      <c r="W110" s="104" t="n"/>
      <c r="X110" s="116" t="n"/>
    </row>
    <row r="111">
      <c r="B111" s="117" t="inlineStr">
        <is>
          <t>權益法實際現金流</t>
        </is>
      </c>
      <c r="C111" s="118" t="n"/>
      <c r="D111" s="193">
        <f>D90-D99</f>
        <v/>
      </c>
      <c r="E111" s="192">
        <f>E90</f>
        <v/>
      </c>
      <c r="F111" s="192">
        <f>F90</f>
        <v/>
      </c>
      <c r="G111" s="192">
        <f>G90</f>
        <v/>
      </c>
      <c r="H111" s="192">
        <f>H90</f>
        <v/>
      </c>
      <c r="I111" s="192">
        <f>I90</f>
        <v/>
      </c>
      <c r="J111" s="192">
        <f>J90</f>
        <v/>
      </c>
      <c r="K111" s="192">
        <f>K90</f>
        <v/>
      </c>
      <c r="L111" s="192">
        <f>L90</f>
        <v/>
      </c>
      <c r="M111" s="192">
        <f>M90</f>
        <v/>
      </c>
      <c r="N111" s="192">
        <f>N90</f>
        <v/>
      </c>
      <c r="O111" s="192">
        <f>O90</f>
        <v/>
      </c>
      <c r="P111" s="192">
        <f>P90</f>
        <v/>
      </c>
      <c r="Q111" s="192">
        <f>Q90</f>
        <v/>
      </c>
      <c r="R111" s="192">
        <f>R90</f>
        <v/>
      </c>
      <c r="S111" s="192">
        <f>S90</f>
        <v/>
      </c>
      <c r="T111" s="192">
        <f>T90</f>
        <v/>
      </c>
      <c r="U111" s="192">
        <f>U90</f>
        <v/>
      </c>
      <c r="V111" s="192">
        <f>V90</f>
        <v/>
      </c>
      <c r="W111" s="192">
        <f>W90</f>
        <v/>
      </c>
      <c r="X111" s="77" t="n"/>
    </row>
    <row r="112">
      <c r="B112" s="117" t="inlineStr">
        <is>
          <t>權益法IRR</t>
        </is>
      </c>
      <c r="C112" s="120">
        <f>IRR(D111:W111)</f>
        <v/>
      </c>
      <c r="D112" s="150" t="n"/>
      <c r="E112" s="150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  <c r="U112" s="104" t="n"/>
      <c r="V112" s="104" t="n"/>
      <c r="W112" s="104" t="n"/>
      <c r="X112" s="116" t="n"/>
    </row>
    <row r="113">
      <c r="B113" s="103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16" t="n"/>
    </row>
    <row r="114">
      <c r="B114" s="103" t="inlineStr">
        <is>
          <t>借款餘額</t>
        </is>
      </c>
      <c r="C114" s="108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8" t="n"/>
      <c r="U114" s="108" t="n"/>
      <c r="V114" s="108" t="n"/>
      <c r="W114" s="108" t="n"/>
      <c r="X114" s="108" t="n"/>
    </row>
    <row r="115"/>
    <row r="116">
      <c r="B116" s="122" t="n"/>
    </row>
    <row r="117" ht="16.5" customHeight="1">
      <c r="G117" s="6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0.5703125" customWidth="1" min="1" max="1"/>
    <col width="33.140625" customWidth="1" min="2" max="2"/>
    <col width="19.42578125" customWidth="1" min="3" max="3"/>
    <col width="17.85546875" customWidth="1" min="4" max="4"/>
    <col width="17.85546875" customWidth="1" min="24" max="24"/>
    <col width="30" customWidth="1" min="25" max="25"/>
    <col width="13.5703125" customWidth="1" min="26" max="26"/>
    <col width="19.5703125" customWidth="1" min="30" max="30"/>
    <col width="20.5703125" customWidth="1" min="31" max="31"/>
    <col width="20.28515625" customWidth="1" min="32" max="32"/>
    <col width="20.85546875" customWidth="1" min="33" max="33"/>
    <col width="15.5703125" customWidth="1" min="34" max="34"/>
    <col width="36.85546875" customWidth="1" min="35" max="35"/>
    <col width="32.5703125" customWidth="1" min="36" max="36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8</t>
        </is>
      </c>
    </row>
    <row r="5" ht="22.5" customHeight="1">
      <c r="B5" s="161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第7次滾算摘要</t>
        </is>
      </c>
    </row>
    <row r="6" ht="20.25" customHeight="1">
      <c r="B6" s="162" t="n"/>
      <c r="C6" s="163" t="n"/>
      <c r="D6" s="163" t="n"/>
      <c r="E6" s="163" t="n"/>
      <c r="M6" t="inlineStr">
        <is>
          <t>價金: 22000</t>
        </is>
      </c>
    </row>
    <row r="7" ht="22.5" customHeight="1">
      <c r="B7" s="164" t="inlineStr">
        <is>
          <t>綜合損益表</t>
        </is>
      </c>
      <c r="C7" s="153" t="n"/>
      <c r="D7" s="153" t="n"/>
      <c r="E7" s="154" t="n"/>
      <c r="M7" t="inlineStr">
        <is>
          <t>專案IRR: 7.56</t>
        </is>
      </c>
    </row>
    <row r="8" ht="22.5" customHeight="1">
      <c r="B8" s="165" t="inlineStr">
        <is>
          <t>收入</t>
        </is>
      </c>
      <c r="C8" s="166" t="n"/>
      <c r="D8" s="166" t="n"/>
      <c r="E8" s="167" t="n"/>
      <c r="M8" t="inlineStr">
        <is>
          <t>權益法IRR: 26.41</t>
        </is>
      </c>
    </row>
    <row r="9" ht="22.5" customHeight="1">
      <c r="B9" s="168" t="inlineStr">
        <is>
          <t>收支項目</t>
        </is>
      </c>
      <c r="C9" s="169" t="inlineStr">
        <is>
          <t>相關參數</t>
        </is>
      </c>
      <c r="D9" s="169" t="inlineStr">
        <is>
          <t>參數數值</t>
        </is>
      </c>
      <c r="E9" s="170" t="inlineStr">
        <is>
          <t>年限</t>
        </is>
      </c>
      <c r="M9" t="inlineStr">
        <is>
          <t>利潤率: 20.00%</t>
        </is>
      </c>
    </row>
    <row r="10" ht="21.75" customHeight="1">
      <c r="B10" s="171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72" t="n">
        <v>20</v>
      </c>
      <c r="M10" t="inlineStr">
        <is>
          <t>第7次滾算，減少 1000 元 - 現金模式，每次減少 1000 元</t>
        </is>
      </c>
    </row>
    <row r="11" ht="21.75" customHeight="1">
      <c r="B11" s="173" t="n"/>
      <c r="C11" s="159" t="inlineStr">
        <is>
          <t>首年衰退率</t>
        </is>
      </c>
      <c r="D11" s="174" t="n">
        <v>0.01</v>
      </c>
      <c r="E11" s="173" t="n"/>
    </row>
    <row r="12" ht="21.75" customHeight="1">
      <c r="B12" s="173" t="n"/>
      <c r="C12" s="159" t="inlineStr">
        <is>
          <t>次年衰退率</t>
        </is>
      </c>
      <c r="D12" s="175" t="n">
        <v>0.004</v>
      </c>
      <c r="E12" s="173" t="n"/>
    </row>
    <row r="13" ht="22.5" customHeight="1">
      <c r="B13" s="173" t="n"/>
      <c r="C13" s="176" t="inlineStr">
        <is>
          <t>躉售費率(FIT)</t>
        </is>
      </c>
      <c r="D13" s="176" t="n">
        <v>3.7152</v>
      </c>
      <c r="E13" s="173" t="n"/>
    </row>
    <row r="14" ht="22.5" customHeight="1">
      <c r="B14" s="177" t="inlineStr">
        <is>
          <t>支出</t>
        </is>
      </c>
      <c r="C14" s="153" t="n"/>
      <c r="D14" s="153" t="n"/>
      <c r="E14" s="154" t="n"/>
    </row>
    <row r="15" ht="22.5" customHeight="1">
      <c r="B15" s="168" t="inlineStr">
        <is>
          <t>收支項目</t>
        </is>
      </c>
      <c r="C15" s="169" t="inlineStr">
        <is>
          <t>相關參數</t>
        </is>
      </c>
      <c r="D15" s="169" t="inlineStr">
        <is>
          <t>參數數值</t>
        </is>
      </c>
      <c r="E15" s="178" t="inlineStr">
        <is>
          <t>攤提年限</t>
        </is>
      </c>
    </row>
    <row r="16" ht="21.75" customHeight="1">
      <c r="B16" s="179" t="inlineStr">
        <is>
          <t>設備費用(價金)</t>
        </is>
      </c>
      <c r="C16" s="180" t="inlineStr">
        <is>
          <t>每kWp設備成本</t>
        </is>
      </c>
      <c r="D16" s="156" t="n">
        <v>22000</v>
      </c>
      <c r="E16" s="181" t="n">
        <v>20</v>
      </c>
    </row>
    <row r="17" ht="21.75" customHeight="1">
      <c r="B17" s="173" t="n"/>
      <c r="C17" s="159" t="inlineStr">
        <is>
          <t>信邦利潤率</t>
        </is>
      </c>
      <c r="D17" s="159" t="n">
        <v>0.2</v>
      </c>
      <c r="E17" s="173" t="n"/>
    </row>
    <row r="18" ht="21.75" customHeight="1">
      <c r="B18" s="182" t="n"/>
      <c r="C18" s="159" t="inlineStr">
        <is>
          <t>開發費</t>
        </is>
      </c>
      <c r="D18" s="159" t="n">
        <v>2000</v>
      </c>
      <c r="E18" s="182" t="n"/>
    </row>
    <row r="19" ht="54" customHeight="1">
      <c r="B19" s="183" t="inlineStr">
        <is>
          <t>租金費用</t>
        </is>
      </c>
      <c r="C19" s="184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3" t="n"/>
      <c r="C20" s="185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82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61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61" t="inlineStr">
        <is>
          <t>保險費用</t>
        </is>
      </c>
      <c r="C23" s="186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61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61" t="inlineStr">
        <is>
          <t>利息費用</t>
        </is>
      </c>
      <c r="C25" s="159" t="inlineStr">
        <is>
          <t>銀行利率</t>
        </is>
      </c>
      <c r="D25" s="187" t="n">
        <v>0.025595</v>
      </c>
      <c r="E25" s="160" t="n">
        <v>0</v>
      </c>
    </row>
    <row r="26" ht="22.5" customHeight="1">
      <c r="B26" s="161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2" t="n"/>
      <c r="C27" s="163" t="n"/>
      <c r="D27" s="163" t="n"/>
      <c r="E27" s="163" t="n"/>
    </row>
    <row r="28" ht="20.25" customHeight="1">
      <c r="B28" s="162" t="n"/>
      <c r="C28" s="163" t="n"/>
      <c r="D28" s="163" t="n"/>
      <c r="E28" s="163" t="n"/>
    </row>
    <row r="29" ht="22.5" customHeight="1">
      <c r="B29" s="164" t="inlineStr">
        <is>
          <t>現金流量表</t>
        </is>
      </c>
      <c r="C29" s="153" t="n"/>
      <c r="D29" s="154" t="n"/>
      <c r="E29" s="163" t="n"/>
    </row>
    <row r="30" ht="22.5" customHeight="1">
      <c r="B30" s="168" t="inlineStr">
        <is>
          <t>金流項目</t>
        </is>
      </c>
      <c r="C30" s="169" t="inlineStr">
        <is>
          <t>相關參數</t>
        </is>
      </c>
      <c r="D30" s="178" t="inlineStr">
        <is>
          <t>參數數值</t>
        </is>
      </c>
      <c r="E30" s="163" t="n"/>
    </row>
    <row r="31" ht="18.75" customHeight="1">
      <c r="B31" s="155" t="inlineStr">
        <is>
          <t>貸款成數</t>
        </is>
      </c>
      <c r="C31" s="180" t="inlineStr">
        <is>
          <t>占總設備費用比例</t>
        </is>
      </c>
      <c r="D31" s="156" t="n">
        <v>0.8</v>
      </c>
      <c r="E31" s="163" t="n"/>
    </row>
    <row r="32" ht="18.75" customHeight="1">
      <c r="B32" s="188" t="inlineStr">
        <is>
          <t>貸款還款</t>
        </is>
      </c>
      <c r="C32" s="156" t="inlineStr">
        <is>
          <t>攤還期數</t>
        </is>
      </c>
      <c r="D32" s="156" t="n">
        <v>15</v>
      </c>
      <c r="E32" s="163" t="n"/>
    </row>
    <row r="33" ht="18.75" customHeight="1">
      <c r="B33" s="161" t="inlineStr">
        <is>
          <t>現金股利</t>
        </is>
      </c>
      <c r="C33" s="159" t="inlineStr">
        <is>
          <t>股利比率</t>
        </is>
      </c>
      <c r="D33" s="159" t="n">
        <v>0.9</v>
      </c>
      <c r="E33" s="163" t="n"/>
    </row>
    <row r="34" ht="18.75" customHeight="1">
      <c r="B34" s="161" t="inlineStr">
        <is>
          <t>年底減資</t>
        </is>
      </c>
      <c r="C34" s="159" t="inlineStr">
        <is>
          <t>攤還期數</t>
        </is>
      </c>
      <c r="D34" s="159" t="n">
        <v>4</v>
      </c>
      <c r="E34" s="163" t="n"/>
    </row>
    <row r="35" ht="18.75" customHeight="1"/>
    <row r="36" ht="18.75" customHeight="1"/>
    <row r="37" ht="18.75" customHeight="1">
      <c r="B37" s="28" t="n"/>
      <c r="C37" s="29" t="inlineStr">
        <is>
          <t>年份</t>
        </is>
      </c>
      <c r="D37" s="29" t="n">
        <v>2020</v>
      </c>
      <c r="E37" s="29" t="n">
        <v>2021</v>
      </c>
      <c r="F37" s="29" t="n">
        <v>2022</v>
      </c>
      <c r="G37" s="29" t="n">
        <v>2023</v>
      </c>
      <c r="H37" s="29" t="n">
        <v>2024</v>
      </c>
      <c r="I37" s="29" t="n">
        <v>2025</v>
      </c>
      <c r="J37" s="29" t="n">
        <v>2026</v>
      </c>
      <c r="K37" s="29" t="n">
        <v>2027</v>
      </c>
      <c r="L37" s="29" t="n">
        <v>2028</v>
      </c>
      <c r="M37" s="29" t="n">
        <v>2029</v>
      </c>
      <c r="N37" s="29" t="n">
        <v>2030</v>
      </c>
      <c r="O37" s="29" t="n">
        <v>2031</v>
      </c>
      <c r="P37" s="29" t="n">
        <v>2032</v>
      </c>
      <c r="Q37" s="29" t="n">
        <v>2033</v>
      </c>
      <c r="R37" s="29" t="n">
        <v>2034</v>
      </c>
      <c r="S37" s="29" t="n">
        <v>2035</v>
      </c>
      <c r="T37" s="29" t="n">
        <v>2036</v>
      </c>
      <c r="U37" s="29" t="n">
        <v>2037</v>
      </c>
      <c r="V37" s="29" t="n">
        <v>2038</v>
      </c>
      <c r="W37" s="29" t="n">
        <v>2039</v>
      </c>
      <c r="X37" s="30" t="n"/>
    </row>
    <row r="38" ht="18.75" customHeight="1">
      <c r="B38" s="31" t="n">
        <v>0</v>
      </c>
      <c r="C38" s="32" t="n"/>
      <c r="D38" s="33" t="n"/>
      <c r="E38" s="33" t="n"/>
      <c r="F38" s="34" t="inlineStr">
        <is>
          <t>手動計算值</t>
        </is>
      </c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6" t="inlineStr">
        <is>
          <t>償還年限</t>
        </is>
      </c>
      <c r="U38" s="35" t="n"/>
      <c r="V38" s="35" t="n"/>
      <c r="W38" s="35" t="n"/>
      <c r="X38" s="37" t="n"/>
    </row>
    <row r="39" ht="18.75" customHeight="1">
      <c r="B39" s="38" t="inlineStr">
        <is>
          <t>(Unit : Currency)</t>
        </is>
      </c>
      <c r="C39" s="39" t="n">
        <v>0</v>
      </c>
      <c r="D39" s="40" t="n">
        <v>1</v>
      </c>
      <c r="E39" s="40" t="n">
        <v>2</v>
      </c>
      <c r="F39" s="40" t="n">
        <v>3</v>
      </c>
      <c r="G39" s="40" t="n">
        <v>4</v>
      </c>
      <c r="H39" s="40" t="n">
        <v>5</v>
      </c>
      <c r="I39" s="40" t="n">
        <v>6</v>
      </c>
      <c r="J39" s="40" t="n">
        <v>7</v>
      </c>
      <c r="K39" s="40" t="n">
        <v>8</v>
      </c>
      <c r="L39" s="40" t="n">
        <v>9</v>
      </c>
      <c r="M39" s="40" t="n">
        <v>10</v>
      </c>
      <c r="N39" s="40" t="n">
        <v>11</v>
      </c>
      <c r="O39" s="40" t="n">
        <v>12</v>
      </c>
      <c r="P39" s="40" t="n">
        <v>13</v>
      </c>
      <c r="Q39" s="40" t="n">
        <v>14</v>
      </c>
      <c r="R39" s="40" t="n">
        <v>15</v>
      </c>
      <c r="S39" s="40" t="n">
        <v>16</v>
      </c>
      <c r="T39" s="41" t="n">
        <v>17</v>
      </c>
      <c r="U39" s="40" t="n">
        <v>18</v>
      </c>
      <c r="V39" s="40" t="n">
        <v>19</v>
      </c>
      <c r="W39" s="40" t="n">
        <v>20</v>
      </c>
      <c r="X39" s="42" t="n"/>
    </row>
    <row r="40" ht="18.75" customHeight="1">
      <c r="B40" s="43" t="inlineStr">
        <is>
          <t>發電度數(KWH)</t>
        </is>
      </c>
      <c r="C40" s="39" t="n">
        <v>0</v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4" t="n"/>
    </row>
    <row r="41" ht="18.75" customHeight="1">
      <c r="B41" s="45" t="inlineStr">
        <is>
          <t>Inflow : 電費收入</t>
        </is>
      </c>
      <c r="C41" s="46" t="inlineStr">
        <is>
          <t>-</t>
        </is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8" t="n"/>
    </row>
    <row r="42" ht="18.75" customHeight="1">
      <c r="B42" s="49" t="inlineStr">
        <is>
          <t>Inflow : 政府補助</t>
        </is>
      </c>
      <c r="C42" s="39" t="inlineStr">
        <is>
          <t>-</t>
        </is>
      </c>
      <c r="D42" s="40" t="n"/>
      <c r="E42" s="40" t="n"/>
      <c r="F42" s="40" t="n"/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40" t="inlineStr">
        <is>
          <t>-</t>
        </is>
      </c>
      <c r="X42" s="50" t="n"/>
    </row>
    <row r="43" ht="18.75" customHeight="1">
      <c r="B43" s="51" t="inlineStr">
        <is>
          <t>Inflow : 銀行借款</t>
        </is>
      </c>
      <c r="C43" s="52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4" t="n"/>
    </row>
    <row r="44" ht="18.75" customHeight="1">
      <c r="B44" s="55" t="inlineStr">
        <is>
          <t>Outflow : 設備費用</t>
        </is>
      </c>
      <c r="C44" s="39" t="n"/>
      <c r="D44" s="56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50" t="n"/>
    </row>
    <row r="45" ht="18.75" customHeight="1">
      <c r="B45" s="55" t="inlineStr">
        <is>
          <t>Outflow : 設備放置區域租金</t>
        </is>
      </c>
      <c r="C45" s="39" t="inlineStr">
        <is>
          <t>-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50" t="n"/>
    </row>
    <row r="46" ht="18.75" customHeight="1">
      <c r="B46" s="55" t="inlineStr">
        <is>
          <t>Outflow : 返還借款</t>
        </is>
      </c>
      <c r="C46" s="39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50" t="n"/>
    </row>
    <row r="47" ht="18.75" customHeight="1">
      <c r="B47" s="55" t="inlineStr">
        <is>
          <t>Outflow : 利息費用</t>
        </is>
      </c>
      <c r="C47" s="39" t="inlineStr">
        <is>
          <t>-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50" t="n"/>
    </row>
    <row r="48" ht="18.75" customHeight="1">
      <c r="B48" s="55" t="inlineStr">
        <is>
          <t>Outflow : 維運費</t>
        </is>
      </c>
      <c r="C48" s="39" t="inlineStr">
        <is>
          <t>-</t>
        </is>
      </c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50" t="n"/>
    </row>
    <row r="49" ht="18.75" customHeight="1">
      <c r="B49" s="55" t="inlineStr">
        <is>
          <t>Outflow : 保險費</t>
        </is>
      </c>
      <c r="C49" s="39" t="inlineStr">
        <is>
          <t>-</t>
        </is>
      </c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50" t="n"/>
    </row>
    <row r="50" ht="18.75" customHeight="1">
      <c r="B50" s="55" t="inlineStr">
        <is>
          <t>Outflow : 模組回收費</t>
        </is>
      </c>
      <c r="C50" s="39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50" t="n"/>
    </row>
    <row r="51" ht="18.75" customHeight="1">
      <c r="B51" s="55" t="inlineStr">
        <is>
          <t>Outflow : 其它費用(人事薪資…等)</t>
        </is>
      </c>
      <c r="C51" s="57" t="n"/>
      <c r="D51" s="58" t="n"/>
      <c r="E51" s="59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50" t="n"/>
    </row>
    <row r="52" ht="18.75" customHeight="1">
      <c r="B52" s="55" t="inlineStr">
        <is>
          <t>1%管理費</t>
        </is>
      </c>
      <c r="C52" s="57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50" t="n"/>
    </row>
    <row r="53" ht="18.75" customHeight="1">
      <c r="B53" s="60" t="inlineStr">
        <is>
          <t>績效獎金</t>
        </is>
      </c>
      <c r="C53" s="57" t="n"/>
      <c r="D53" s="61" t="n"/>
      <c r="E53" s="61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50" t="n"/>
    </row>
    <row r="54" ht="18.75" customHeight="1">
      <c r="B54" s="60" t="inlineStr">
        <is>
          <t>所得稅20%</t>
        </is>
      </c>
      <c r="C54" s="57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50" t="n"/>
    </row>
    <row r="55" ht="18.75" customHeight="1">
      <c r="B55" s="189" t="inlineStr">
        <is>
          <t>現金流</t>
        </is>
      </c>
      <c r="C55" s="71">
        <f>C44</f>
        <v/>
      </c>
      <c r="D55" s="66">
        <f>SUM(D41:D54)</f>
        <v/>
      </c>
      <c r="E55" s="66">
        <f>SUM(E41:E54)</f>
        <v/>
      </c>
      <c r="F55" s="66">
        <f>SUM(F41:F54)</f>
        <v/>
      </c>
      <c r="G55" s="66">
        <f>SUM(G41:G54)</f>
        <v/>
      </c>
      <c r="H55" s="66">
        <f>SUM(H41:H54)</f>
        <v/>
      </c>
      <c r="I55" s="66">
        <f>SUM(I41:I54)</f>
        <v/>
      </c>
      <c r="J55" s="66">
        <f>SUM(J41:J54)</f>
        <v/>
      </c>
      <c r="K55" s="66">
        <f>SUM(K41:K54)</f>
        <v/>
      </c>
      <c r="L55" s="66">
        <f>SUM(L41:L54)</f>
        <v/>
      </c>
      <c r="M55" s="66">
        <f>SUM(M41:M54)</f>
        <v/>
      </c>
      <c r="N55" s="66">
        <f>SUM(N41:N54)</f>
        <v/>
      </c>
      <c r="O55" s="66">
        <f>SUM(O41:O54)</f>
        <v/>
      </c>
      <c r="P55" s="66">
        <f>SUM(P41:P54)</f>
        <v/>
      </c>
      <c r="Q55" s="66">
        <f>SUM(Q41:Q54)</f>
        <v/>
      </c>
      <c r="R55" s="66">
        <f>SUM(R41:R54)</f>
        <v/>
      </c>
      <c r="S55" s="66">
        <f>SUM(S41:S54)</f>
        <v/>
      </c>
      <c r="T55" s="66">
        <f>SUM(T41:T54)</f>
        <v/>
      </c>
      <c r="U55" s="66">
        <f>SUM(U41:U54)</f>
        <v/>
      </c>
      <c r="V55" s="66">
        <f>SUM(V41:V54)</f>
        <v/>
      </c>
      <c r="W55" s="66">
        <f>SUM(W41:W54)</f>
        <v/>
      </c>
      <c r="X55" s="66">
        <f>SUM(X41:X54)</f>
        <v/>
      </c>
      <c r="Y55" s="68" t="n"/>
      <c r="Z55" s="69" t="n"/>
      <c r="AA55" s="68" t="n"/>
      <c r="AB55" s="68" t="n"/>
      <c r="AC55" s="68" t="n"/>
      <c r="AD55" s="68" t="n"/>
      <c r="AE55" s="68" t="n"/>
      <c r="AF55" s="68" t="n"/>
      <c r="AG55" s="68" t="n"/>
      <c r="AH55" s="68" t="n"/>
      <c r="AI55" s="68" t="n"/>
      <c r="AJ55" s="68" t="n"/>
    </row>
    <row r="56" ht="18.75" customHeight="1">
      <c r="B56" s="70" t="inlineStr">
        <is>
          <t>累計現金流</t>
        </is>
      </c>
      <c r="D56" s="72">
        <f>C55+D55</f>
        <v/>
      </c>
      <c r="E56" s="72">
        <f>D56+E55</f>
        <v/>
      </c>
      <c r="F56" s="72">
        <f>E56+F55</f>
        <v/>
      </c>
      <c r="G56" s="72">
        <f>F56+G55</f>
        <v/>
      </c>
      <c r="H56" s="72">
        <f>G56+H55</f>
        <v/>
      </c>
      <c r="I56" s="72">
        <f>H56+I55</f>
        <v/>
      </c>
      <c r="J56" s="72">
        <f>I56+J55</f>
        <v/>
      </c>
      <c r="K56" s="72">
        <f>J56+K55</f>
        <v/>
      </c>
      <c r="L56" s="72">
        <f>K56+L55</f>
        <v/>
      </c>
      <c r="M56" s="72">
        <f>L56+M55</f>
        <v/>
      </c>
      <c r="N56" s="72">
        <f>M56+N55</f>
        <v/>
      </c>
      <c r="O56" s="72">
        <f>N56+O55</f>
        <v/>
      </c>
      <c r="P56" s="72">
        <f>O56+P55</f>
        <v/>
      </c>
      <c r="Q56" s="72">
        <f>P56+Q55</f>
        <v/>
      </c>
      <c r="R56" s="72">
        <f>Q56+R55</f>
        <v/>
      </c>
      <c r="S56" s="72">
        <f>R56+S55</f>
        <v/>
      </c>
      <c r="T56" s="72">
        <f>S56+T55</f>
        <v/>
      </c>
      <c r="U56" s="72">
        <f>T56+U55</f>
        <v/>
      </c>
      <c r="V56" s="72">
        <f>U56+V55</f>
        <v/>
      </c>
      <c r="W56" s="72">
        <f>V56+W55</f>
        <v/>
      </c>
      <c r="X56" s="72">
        <f>W56+X55</f>
        <v/>
      </c>
      <c r="Y56" s="68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  <c r="AJ56" s="68" t="n"/>
    </row>
    <row r="57" ht="18.75" customHeight="1">
      <c r="B57" s="74" t="inlineStr">
        <is>
          <t>Discounted cash flow</t>
        </is>
      </c>
      <c r="C57" s="75" t="n">
        <v>-37721416.4</v>
      </c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  <c r="AJ57" s="68" t="n"/>
    </row>
    <row r="58" ht="18.75" customHeight="1">
      <c r="B58" s="74" t="inlineStr">
        <is>
          <t>Minus : Depreciation</t>
        </is>
      </c>
      <c r="C58" s="79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  <c r="W58" s="61" t="n"/>
      <c r="X58" s="80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  <c r="AJ58" s="68" t="n"/>
    </row>
    <row r="59" ht="18.75" customHeight="1">
      <c r="B59" s="74" t="inlineStr">
        <is>
          <t>Plus : Principle payment</t>
        </is>
      </c>
      <c r="C59" s="79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61" t="n"/>
      <c r="U59" s="61" t="n"/>
      <c r="V59" s="61" t="n"/>
      <c r="W59" s="61" t="n"/>
      <c r="X59" s="80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  <c r="AJ59" s="68" t="n"/>
    </row>
    <row r="60" ht="18.75" customHeight="1">
      <c r="B60" s="81" t="inlineStr">
        <is>
          <t>Profit</t>
        </is>
      </c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85" t="inlineStr">
        <is>
          <t>EPS</t>
        </is>
      </c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  <c r="AJ61" s="68" t="n"/>
    </row>
    <row r="62" ht="18.75" customHeight="1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  <c r="AJ62" s="68" t="n"/>
    </row>
    <row r="63" ht="18.75" customHeight="1">
      <c r="B63" s="190" t="inlineStr">
        <is>
          <t>專案法IRR</t>
        </is>
      </c>
      <c r="C63" s="149">
        <f>IRR(C55:X55)</f>
        <v/>
      </c>
      <c r="D63" s="149" t="n"/>
      <c r="E63" s="14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95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  <c r="AJ63" s="68" t="n"/>
    </row>
    <row r="64" ht="18.75" customHeight="1">
      <c r="B64" s="28" t="n"/>
      <c r="C64" s="149" t="n"/>
      <c r="D64" s="149" t="n"/>
      <c r="E64" s="149" t="n"/>
      <c r="F64" s="59" t="n"/>
      <c r="G64" s="59" t="n"/>
      <c r="H64" s="59" t="n"/>
      <c r="I64" s="59" t="n"/>
      <c r="J64" s="59" t="n"/>
      <c r="K64" s="59" t="n"/>
      <c r="L64" s="59" t="n"/>
      <c r="M64" s="96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95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  <c r="AJ64" s="68" t="n"/>
    </row>
    <row r="65" ht="18.75" customHeight="1">
      <c r="B65" s="28" t="n"/>
      <c r="C65" s="29" t="inlineStr">
        <is>
          <t>年份</t>
        </is>
      </c>
      <c r="D65" s="29" t="n">
        <v>2020</v>
      </c>
      <c r="E65" s="29" t="n">
        <v>2021</v>
      </c>
      <c r="F65" s="29" t="n">
        <v>2022</v>
      </c>
      <c r="G65" s="29" t="n">
        <v>2023</v>
      </c>
      <c r="H65" s="29" t="n">
        <v>2024</v>
      </c>
      <c r="I65" s="29" t="n">
        <v>2025</v>
      </c>
      <c r="J65" s="29" t="n">
        <v>2026</v>
      </c>
      <c r="K65" s="29" t="n">
        <v>2027</v>
      </c>
      <c r="L65" s="29" t="n">
        <v>2028</v>
      </c>
      <c r="M65" s="29" t="n">
        <v>2029</v>
      </c>
      <c r="N65" s="29" t="n">
        <v>2030</v>
      </c>
      <c r="O65" s="29" t="n">
        <v>2031</v>
      </c>
      <c r="P65" s="29" t="n">
        <v>2032</v>
      </c>
      <c r="Q65" s="29" t="n">
        <v>2033</v>
      </c>
      <c r="R65" s="29" t="n">
        <v>2034</v>
      </c>
      <c r="S65" s="29" t="n">
        <v>2035</v>
      </c>
      <c r="T65" s="29" t="n">
        <v>2036</v>
      </c>
      <c r="U65" s="29" t="n">
        <v>2037</v>
      </c>
      <c r="V65" s="29" t="n">
        <v>2038</v>
      </c>
      <c r="W65" s="29" t="n">
        <v>2039</v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 ht="18.75" customHeight="1">
      <c r="B66" s="31" t="n">
        <v>0</v>
      </c>
      <c r="C66" s="32" t="n"/>
      <c r="D66" s="33" t="n"/>
      <c r="E66" s="33" t="n"/>
      <c r="F66" s="34" t="inlineStr">
        <is>
          <t>手動計算值</t>
        </is>
      </c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6" t="inlineStr">
        <is>
          <t>償還年限</t>
        </is>
      </c>
      <c r="U66" s="35" t="n"/>
      <c r="V66" s="35" t="n"/>
      <c r="W66" s="35" t="n"/>
      <c r="X66" s="37" t="n"/>
    </row>
    <row r="67" ht="18.75" customHeight="1">
      <c r="B67" s="38" t="inlineStr">
        <is>
          <t>(Unit : Currency)</t>
        </is>
      </c>
      <c r="C67" s="39" t="n">
        <v>0</v>
      </c>
      <c r="D67" s="40" t="n">
        <v>1</v>
      </c>
      <c r="E67" s="40" t="n">
        <v>2</v>
      </c>
      <c r="F67" s="40" t="n">
        <v>3</v>
      </c>
      <c r="G67" s="40" t="n">
        <v>4</v>
      </c>
      <c r="H67" s="40" t="n">
        <v>5</v>
      </c>
      <c r="I67" s="40" t="n">
        <v>6</v>
      </c>
      <c r="J67" s="40" t="n">
        <v>7</v>
      </c>
      <c r="K67" s="40" t="n">
        <v>8</v>
      </c>
      <c r="L67" s="40" t="n">
        <v>9</v>
      </c>
      <c r="M67" s="40" t="n">
        <v>10</v>
      </c>
      <c r="N67" s="40" t="n">
        <v>11</v>
      </c>
      <c r="O67" s="40" t="n">
        <v>12</v>
      </c>
      <c r="P67" s="40" t="n">
        <v>13</v>
      </c>
      <c r="Q67" s="40" t="n">
        <v>14</v>
      </c>
      <c r="R67" s="40" t="n">
        <v>15</v>
      </c>
      <c r="S67" s="40" t="n">
        <v>16</v>
      </c>
      <c r="T67" s="41" t="n">
        <v>17</v>
      </c>
      <c r="U67" s="40" t="n">
        <v>18</v>
      </c>
      <c r="V67" s="40" t="n">
        <v>19</v>
      </c>
      <c r="W67" s="40" t="n">
        <v>20</v>
      </c>
      <c r="X67" s="42" t="n"/>
    </row>
    <row r="68" ht="18.75" customHeight="1">
      <c r="B68" s="43" t="inlineStr">
        <is>
          <t>發電度數(KWH)</t>
        </is>
      </c>
      <c r="C68" s="39" t="n">
        <v>0</v>
      </c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4" t="n"/>
    </row>
    <row r="69" ht="18.75" customHeight="1">
      <c r="B69" s="45" t="inlineStr">
        <is>
          <t>Inflow : 電費收入</t>
        </is>
      </c>
      <c r="C69" s="46" t="inlineStr">
        <is>
          <t>-</t>
        </is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8" t="n"/>
    </row>
    <row r="70" ht="18.75" customHeight="1">
      <c r="B70" s="49" t="inlineStr">
        <is>
          <t>Inflow : 政府補助</t>
        </is>
      </c>
      <c r="C70" s="39" t="inlineStr">
        <is>
          <t>-</t>
        </is>
      </c>
      <c r="D70" s="40" t="n"/>
      <c r="E70" s="40" t="n"/>
      <c r="F70" s="40" t="n"/>
      <c r="G70" s="40" t="inlineStr">
        <is>
          <t>-</t>
        </is>
      </c>
      <c r="H70" s="40" t="inlineStr">
        <is>
          <t>-</t>
        </is>
      </c>
      <c r="I70" s="40" t="inlineStr">
        <is>
          <t>-</t>
        </is>
      </c>
      <c r="J70" s="40" t="inlineStr">
        <is>
          <t>-</t>
        </is>
      </c>
      <c r="K70" s="40" t="inlineStr">
        <is>
          <t>-</t>
        </is>
      </c>
      <c r="L70" s="40" t="inlineStr">
        <is>
          <t>-</t>
        </is>
      </c>
      <c r="M70" s="40" t="inlineStr">
        <is>
          <t>-</t>
        </is>
      </c>
      <c r="N70" s="40" t="inlineStr">
        <is>
          <t>-</t>
        </is>
      </c>
      <c r="O70" s="40" t="inlineStr">
        <is>
          <t>-</t>
        </is>
      </c>
      <c r="P70" s="40" t="inlineStr">
        <is>
          <t>-</t>
        </is>
      </c>
      <c r="Q70" s="40" t="inlineStr">
        <is>
          <t>-</t>
        </is>
      </c>
      <c r="R70" s="40" t="inlineStr">
        <is>
          <t>-</t>
        </is>
      </c>
      <c r="S70" s="40" t="inlineStr">
        <is>
          <t>-</t>
        </is>
      </c>
      <c r="T70" s="40" t="inlineStr">
        <is>
          <t>-</t>
        </is>
      </c>
      <c r="U70" s="40" t="inlineStr">
        <is>
          <t>-</t>
        </is>
      </c>
      <c r="V70" s="40" t="inlineStr">
        <is>
          <t>-</t>
        </is>
      </c>
      <c r="W70" s="40" t="inlineStr">
        <is>
          <t>-</t>
        </is>
      </c>
      <c r="X70" s="50" t="n"/>
    </row>
    <row r="71" ht="18.75" customHeight="1">
      <c r="B71" s="51" t="inlineStr">
        <is>
          <t>Inflow : 銀行借款</t>
        </is>
      </c>
      <c r="C71" s="52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4" t="n"/>
    </row>
    <row r="72" ht="18.75" customHeight="1">
      <c r="B72" s="55" t="inlineStr">
        <is>
          <t>Outflow : 設備折舊</t>
        </is>
      </c>
      <c r="C72" s="39" t="n"/>
      <c r="D72" s="56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50" t="n"/>
    </row>
    <row r="73" ht="18.75" customHeight="1">
      <c r="B73" s="55" t="inlineStr">
        <is>
          <t>Outflow : 設備放置區域租金</t>
        </is>
      </c>
      <c r="C73" s="39" t="inlineStr">
        <is>
          <t>-</t>
        </is>
      </c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50" t="n"/>
    </row>
    <row r="74" ht="18.75" customHeight="1">
      <c r="B74" s="55" t="inlineStr">
        <is>
          <t>Outflow : 返還借款</t>
        </is>
      </c>
      <c r="C74" s="39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50" t="n"/>
    </row>
    <row r="75" ht="18.75" customHeight="1">
      <c r="B75" s="55" t="inlineStr">
        <is>
          <t>Outflow : 利息費用</t>
        </is>
      </c>
      <c r="C75" s="39" t="inlineStr">
        <is>
          <t>-</t>
        </is>
      </c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50" t="n"/>
    </row>
    <row r="76" ht="18.75" customHeight="1">
      <c r="B76" s="55" t="inlineStr">
        <is>
          <t>Outflow : 維運費</t>
        </is>
      </c>
      <c r="C76" s="39" t="inlineStr">
        <is>
          <t>-</t>
        </is>
      </c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50" t="n"/>
    </row>
    <row r="77" ht="18.75" customHeight="1">
      <c r="B77" s="55" t="inlineStr">
        <is>
          <t>Outflow : 保險費</t>
        </is>
      </c>
      <c r="C77" s="39" t="inlineStr">
        <is>
          <t>-</t>
        </is>
      </c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50" t="n"/>
    </row>
    <row r="78" ht="18.75" customHeight="1">
      <c r="B78" s="55" t="inlineStr">
        <is>
          <t>Outflow : 模組回收費</t>
        </is>
      </c>
      <c r="C78" s="39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50" t="n"/>
    </row>
    <row r="79" ht="18.75" customHeight="1">
      <c r="B79" s="55" t="inlineStr">
        <is>
          <t>Outflow : 其它費用(人事薪資…等)</t>
        </is>
      </c>
      <c r="C79" s="57" t="n"/>
      <c r="D79" s="58" t="n"/>
      <c r="E79" s="59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50" t="n"/>
    </row>
    <row r="80" ht="18.75" customHeight="1">
      <c r="B80" s="55" t="inlineStr">
        <is>
          <t>1%管理費</t>
        </is>
      </c>
      <c r="C80" s="57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50" t="n"/>
    </row>
    <row r="81" ht="18.75" customHeight="1">
      <c r="B81" s="189" t="inlineStr">
        <is>
          <t>稅前淨利</t>
        </is>
      </c>
      <c r="C81" s="65" t="n"/>
      <c r="D81" s="66">
        <f>SUM(D69:D80)</f>
        <v/>
      </c>
      <c r="E81" s="66">
        <f>SUM(E69:E80)</f>
        <v/>
      </c>
      <c r="F81" s="66">
        <f>SUM(F69:F80)</f>
        <v/>
      </c>
      <c r="G81" s="66">
        <f>SUM(G69:G80)</f>
        <v/>
      </c>
      <c r="H81" s="66">
        <f>SUM(H69:H80)</f>
        <v/>
      </c>
      <c r="I81" s="66">
        <f>SUM(I69:I80)</f>
        <v/>
      </c>
      <c r="J81" s="66">
        <f>SUM(J69:J80)</f>
        <v/>
      </c>
      <c r="K81" s="66">
        <f>SUM(K69:K80)</f>
        <v/>
      </c>
      <c r="L81" s="66">
        <f>SUM(L69:L80)</f>
        <v/>
      </c>
      <c r="M81" s="66">
        <f>SUM(M69:M80)</f>
        <v/>
      </c>
      <c r="N81" s="66">
        <f>SUM(N69:N80)</f>
        <v/>
      </c>
      <c r="O81" s="66">
        <f>SUM(O69:O80)</f>
        <v/>
      </c>
      <c r="P81" s="66">
        <f>SUM(P69:P80)</f>
        <v/>
      </c>
      <c r="Q81" s="66">
        <f>SUM(Q69:Q80)</f>
        <v/>
      </c>
      <c r="R81" s="66">
        <f>SUM(R69:R80)</f>
        <v/>
      </c>
      <c r="S81" s="66">
        <f>SUM(S69:S80)</f>
        <v/>
      </c>
      <c r="T81" s="66">
        <f>SUM(T69:T80)</f>
        <v/>
      </c>
      <c r="U81" s="66">
        <f>SUM(U69:U80)</f>
        <v/>
      </c>
      <c r="V81" s="66">
        <f>SUM(V69:V80)</f>
        <v/>
      </c>
      <c r="W81" s="66">
        <f>SUM(W69:W80)</f>
        <v/>
      </c>
      <c r="X81" s="66">
        <f>SUM(X69:X80)</f>
        <v/>
      </c>
    </row>
    <row r="82" ht="18.75" customHeight="1">
      <c r="B82" s="60" t="inlineStr">
        <is>
          <t>所得稅20%</t>
        </is>
      </c>
      <c r="C82" s="57" t="n"/>
      <c r="D82" s="40">
        <f>-D81*0.2</f>
        <v/>
      </c>
      <c r="E82" s="40">
        <f>-E81*0.2</f>
        <v/>
      </c>
      <c r="F82" s="40">
        <f>-F81*0.2</f>
        <v/>
      </c>
      <c r="G82" s="40">
        <f>-G81*0.2</f>
        <v/>
      </c>
      <c r="H82" s="40">
        <f>-H81*0.2</f>
        <v/>
      </c>
      <c r="I82" s="40">
        <f>-I81*0.2</f>
        <v/>
      </c>
      <c r="J82" s="40">
        <f>-J81*0.2</f>
        <v/>
      </c>
      <c r="K82" s="40">
        <f>-K81*0.2</f>
        <v/>
      </c>
      <c r="L82" s="40">
        <f>-L81*0.2</f>
        <v/>
      </c>
      <c r="M82" s="40">
        <f>-M81*0.2</f>
        <v/>
      </c>
      <c r="N82" s="40">
        <f>-N81*0.2</f>
        <v/>
      </c>
      <c r="O82" s="40">
        <f>-O81*0.2</f>
        <v/>
      </c>
      <c r="P82" s="40">
        <f>-P81*0.2</f>
        <v/>
      </c>
      <c r="Q82" s="40">
        <f>-Q81*0.2</f>
        <v/>
      </c>
      <c r="R82" s="40">
        <f>-R81*0.2</f>
        <v/>
      </c>
      <c r="S82" s="40">
        <f>-S81*0.2</f>
        <v/>
      </c>
      <c r="T82" s="40">
        <f>-T81*0.2</f>
        <v/>
      </c>
      <c r="U82" s="40">
        <f>-U81*0.2</f>
        <v/>
      </c>
      <c r="V82" s="40">
        <f>-V81*0.2</f>
        <v/>
      </c>
      <c r="W82" s="40">
        <f>-W81*0.2</f>
        <v/>
      </c>
      <c r="X82" s="40">
        <f>-X81*0.2</f>
        <v/>
      </c>
    </row>
    <row r="83">
      <c r="B83" s="191" t="inlineStr">
        <is>
          <t>稅後淨利</t>
        </is>
      </c>
      <c r="D83" s="40">
        <f>SUM(D81:D82)</f>
        <v/>
      </c>
      <c r="E83" s="40">
        <f>SUM(E81:E82)</f>
        <v/>
      </c>
      <c r="F83" s="40">
        <f>SUM(F81:F82)</f>
        <v/>
      </c>
      <c r="G83" s="40">
        <f>SUM(G81:G82)</f>
        <v/>
      </c>
      <c r="H83" s="40">
        <f>SUM(H81:H82)</f>
        <v/>
      </c>
      <c r="I83" s="40">
        <f>SUM(I81:I82)</f>
        <v/>
      </c>
      <c r="J83" s="40">
        <f>SUM(J81:J82)</f>
        <v/>
      </c>
      <c r="K83" s="40">
        <f>SUM(K81:K82)</f>
        <v/>
      </c>
      <c r="L83" s="40">
        <f>SUM(L81:L82)</f>
        <v/>
      </c>
      <c r="M83" s="40">
        <f>SUM(M81:M82)</f>
        <v/>
      </c>
      <c r="N83" s="40">
        <f>SUM(N81:N82)</f>
        <v/>
      </c>
      <c r="O83" s="40">
        <f>SUM(O81:O82)</f>
        <v/>
      </c>
      <c r="P83" s="40">
        <f>SUM(P81:P82)</f>
        <v/>
      </c>
      <c r="Q83" s="40">
        <f>SUM(Q81:Q82)</f>
        <v/>
      </c>
      <c r="R83" s="40">
        <f>SUM(R81:R82)</f>
        <v/>
      </c>
      <c r="S83" s="40">
        <f>SUM(S81:S82)</f>
        <v/>
      </c>
      <c r="T83" s="40">
        <f>SUM(T81:T82)</f>
        <v/>
      </c>
      <c r="U83" s="40">
        <f>SUM(U81:U82)</f>
        <v/>
      </c>
      <c r="V83" s="40">
        <f>SUM(V81:V82)</f>
        <v/>
      </c>
      <c r="W83" s="40">
        <f>SUM(W81:W82)</f>
        <v/>
      </c>
      <c r="X83" s="40">
        <f>SUM(X81:X82)</f>
        <v/>
      </c>
    </row>
    <row r="84" ht="18.75" customHeight="1">
      <c r="B84" s="70" t="inlineStr">
        <is>
          <t>累計現金流</t>
        </is>
      </c>
      <c r="C84" s="71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3" t="n"/>
    </row>
    <row r="85" ht="18.75" customHeight="1">
      <c r="B85" s="90" t="inlineStr">
        <is>
          <t>回收年限評估</t>
        </is>
      </c>
      <c r="C85" s="91" t="n"/>
      <c r="D85" s="92" t="n"/>
      <c r="E85" s="92" t="n"/>
      <c r="F85" s="92" t="n"/>
      <c r="G85" s="92" t="n"/>
      <c r="H85" s="92" t="n"/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93" t="n"/>
    </row>
    <row r="86" ht="18.75" customHeight="1">
      <c r="B86" s="28" t="n"/>
      <c r="C86" s="149" t="n"/>
      <c r="D86" s="149" t="n"/>
      <c r="E86" s="149" t="n"/>
      <c r="F86" s="59" t="n"/>
      <c r="G86" s="59" t="n"/>
      <c r="H86" s="59" t="n"/>
      <c r="I86" s="59" t="n"/>
      <c r="J86" s="59" t="n"/>
      <c r="K86" s="59" t="n"/>
      <c r="L86" s="59" t="inlineStr">
        <is>
          <t>預估可建置量</t>
        </is>
      </c>
      <c r="M86" s="96" t="n">
        <v>0</v>
      </c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95" t="n"/>
    </row>
    <row r="87" ht="18.75" customHeight="1">
      <c r="C87" s="97" t="inlineStr">
        <is>
          <t>年份</t>
        </is>
      </c>
      <c r="D87" s="98" t="n">
        <v>2020</v>
      </c>
      <c r="E87" s="98" t="n">
        <v>2021</v>
      </c>
      <c r="F87" s="98" t="n">
        <v>2022</v>
      </c>
      <c r="G87" s="98" t="n">
        <v>2023</v>
      </c>
      <c r="H87" s="98" t="n">
        <v>2024</v>
      </c>
      <c r="I87" s="98" t="n">
        <v>2025</v>
      </c>
      <c r="J87" s="98" t="n">
        <v>2026</v>
      </c>
      <c r="K87" s="98" t="n">
        <v>2027</v>
      </c>
      <c r="L87" s="98" t="n">
        <v>2028</v>
      </c>
      <c r="M87" s="98" t="n">
        <v>2029</v>
      </c>
      <c r="N87" s="98" t="n">
        <v>2030</v>
      </c>
      <c r="O87" s="98" t="n">
        <v>2031</v>
      </c>
      <c r="P87" s="98" t="n">
        <v>2032</v>
      </c>
      <c r="Q87" s="98" t="n">
        <v>2033</v>
      </c>
      <c r="R87" s="98" t="n">
        <v>2034</v>
      </c>
      <c r="S87" s="98" t="n">
        <v>2035</v>
      </c>
      <c r="T87" s="98" t="n">
        <v>2036</v>
      </c>
      <c r="U87" s="98" t="n">
        <v>2037</v>
      </c>
      <c r="V87" s="98" t="n">
        <v>2038</v>
      </c>
      <c r="W87" s="98" t="n">
        <v>2039</v>
      </c>
      <c r="X87" s="99" t="n"/>
    </row>
    <row r="88" ht="18.75" customHeight="1">
      <c r="X88" s="99" t="n"/>
    </row>
    <row r="89" ht="18.75" customHeight="1">
      <c r="B89" s="100" t="inlineStr">
        <is>
          <t>(Unit : Currency)</t>
        </is>
      </c>
      <c r="C89" s="101" t="n">
        <v>0</v>
      </c>
      <c r="D89" s="101" t="n">
        <v>1</v>
      </c>
      <c r="E89" s="101" t="n">
        <v>2</v>
      </c>
      <c r="F89" s="101" t="n">
        <v>3</v>
      </c>
      <c r="G89" s="101" t="n">
        <v>4</v>
      </c>
      <c r="H89" s="101" t="n">
        <v>5</v>
      </c>
      <c r="I89" s="101" t="n">
        <v>6</v>
      </c>
      <c r="J89" s="101" t="n">
        <v>7</v>
      </c>
      <c r="K89" s="101" t="n">
        <v>8</v>
      </c>
      <c r="L89" s="101" t="n">
        <v>9</v>
      </c>
      <c r="M89" s="101" t="n">
        <v>10</v>
      </c>
      <c r="N89" s="101" t="n">
        <v>11</v>
      </c>
      <c r="O89" s="101" t="n">
        <v>12</v>
      </c>
      <c r="P89" s="101" t="n">
        <v>13</v>
      </c>
      <c r="Q89" s="101" t="n">
        <v>14</v>
      </c>
      <c r="R89" s="101" t="n">
        <v>15</v>
      </c>
      <c r="S89" s="101" t="n">
        <v>16</v>
      </c>
      <c r="T89" s="101" t="n">
        <v>17</v>
      </c>
      <c r="U89" s="101" t="n">
        <v>18</v>
      </c>
      <c r="V89" s="101" t="n">
        <v>19</v>
      </c>
      <c r="W89" s="101" t="n">
        <v>20</v>
      </c>
      <c r="X89" s="102" t="n"/>
    </row>
    <row r="90" ht="18.75" customHeight="1">
      <c r="B90" s="103" t="inlineStr">
        <is>
          <t>稅後淨利</t>
        </is>
      </c>
      <c r="C90" s="104" t="n"/>
      <c r="D90" s="101">
        <f>D81</f>
        <v/>
      </c>
      <c r="E90" s="101">
        <f>E81</f>
        <v/>
      </c>
      <c r="F90" s="101">
        <f>F81</f>
        <v/>
      </c>
      <c r="G90" s="101">
        <f>G81</f>
        <v/>
      </c>
      <c r="H90" s="101">
        <f>H81</f>
        <v/>
      </c>
      <c r="I90" s="101">
        <f>I81</f>
        <v/>
      </c>
      <c r="J90" s="101">
        <f>J81</f>
        <v/>
      </c>
      <c r="K90" s="101">
        <f>K81</f>
        <v/>
      </c>
      <c r="L90" s="101">
        <f>L81</f>
        <v/>
      </c>
      <c r="M90" s="101">
        <f>M81</f>
        <v/>
      </c>
      <c r="N90" s="101">
        <f>N81</f>
        <v/>
      </c>
      <c r="O90" s="101">
        <f>O81</f>
        <v/>
      </c>
      <c r="P90" s="101">
        <f>P81</f>
        <v/>
      </c>
      <c r="Q90" s="101">
        <f>Q81</f>
        <v/>
      </c>
      <c r="R90" s="101">
        <f>R81</f>
        <v/>
      </c>
      <c r="S90" s="101">
        <f>S81</f>
        <v/>
      </c>
      <c r="T90" s="101">
        <f>T81</f>
        <v/>
      </c>
      <c r="U90" s="101">
        <f>U81</f>
        <v/>
      </c>
      <c r="V90" s="101">
        <f>V81</f>
        <v/>
      </c>
      <c r="W90" s="101">
        <f>W81</f>
        <v/>
      </c>
      <c r="X90" s="104" t="n"/>
      <c r="Y90" s="104" t="n"/>
    </row>
    <row r="91">
      <c r="B91" s="103" t="inlineStr">
        <is>
          <t>設備折舊</t>
        </is>
      </c>
      <c r="C91" s="104" t="n"/>
      <c r="D91" s="105" t="n"/>
      <c r="E91" s="105" t="n"/>
      <c r="F91" s="105" t="n"/>
      <c r="G91" s="105" t="n"/>
      <c r="H91" s="105" t="n"/>
      <c r="I91" s="105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5" t="n"/>
      <c r="T91" s="105" t="n"/>
      <c r="U91" s="105" t="n"/>
      <c r="V91" s="105" t="n"/>
      <c r="W91" s="105" t="n"/>
      <c r="X91" s="77" t="n"/>
    </row>
    <row r="92">
      <c r="B92" s="103" t="inlineStr">
        <is>
          <t>營運活動現金流量</t>
        </is>
      </c>
      <c r="C92" s="104" t="n"/>
      <c r="D92" s="192">
        <f>SUM(D90:D91)</f>
        <v/>
      </c>
      <c r="E92" s="192">
        <f>SUM(E90:E91)</f>
        <v/>
      </c>
      <c r="F92" s="192">
        <f>SUM(F90:F91)</f>
        <v/>
      </c>
      <c r="G92" s="192">
        <f>SUM(G90:G91)</f>
        <v/>
      </c>
      <c r="H92" s="192">
        <f>SUM(H90:H91)</f>
        <v/>
      </c>
      <c r="I92" s="192">
        <f>SUM(I90:I91)</f>
        <v/>
      </c>
      <c r="J92" s="192">
        <f>SUM(J90:J91)</f>
        <v/>
      </c>
      <c r="K92" s="192">
        <f>SUM(K90:K91)</f>
        <v/>
      </c>
      <c r="L92" s="192">
        <f>SUM(L90:L91)</f>
        <v/>
      </c>
      <c r="M92" s="192">
        <f>SUM(M90:M91)</f>
        <v/>
      </c>
      <c r="N92" s="192">
        <f>SUM(N90:N91)</f>
        <v/>
      </c>
      <c r="O92" s="192">
        <f>SUM(O90:O91)</f>
        <v/>
      </c>
      <c r="P92" s="192">
        <f>SUM(P90:P91)</f>
        <v/>
      </c>
      <c r="Q92" s="192">
        <f>SUM(Q90:Q91)</f>
        <v/>
      </c>
      <c r="R92" s="192">
        <f>SUM(R90:R91)</f>
        <v/>
      </c>
      <c r="S92" s="192">
        <f>SUM(S90:S91)</f>
        <v/>
      </c>
      <c r="T92" s="192">
        <f>SUM(T90:T91)</f>
        <v/>
      </c>
      <c r="U92" s="192">
        <f>SUM(U90:U91)</f>
        <v/>
      </c>
      <c r="V92" s="192">
        <f>SUM(V90:V91)</f>
        <v/>
      </c>
      <c r="W92" s="192">
        <f>SUM(W90:W91)</f>
        <v/>
      </c>
      <c r="X92" s="107" t="n"/>
    </row>
    <row r="93">
      <c r="B93" s="103" t="n"/>
      <c r="C93" s="104" t="n"/>
      <c r="D93" s="104" t="n"/>
      <c r="E93" s="104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99" t="n"/>
    </row>
    <row r="94">
      <c r="B94" s="109" t="inlineStr">
        <is>
          <t>投資活動-設備支出</t>
        </is>
      </c>
      <c r="C94" s="110" t="n"/>
      <c r="D94" s="111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O94" s="110" t="n"/>
      <c r="P94" s="110" t="n"/>
      <c r="Q94" s="110" t="n"/>
      <c r="R94" s="110" t="n"/>
      <c r="S94" s="110" t="n"/>
      <c r="T94" s="110" t="n"/>
      <c r="U94" s="110" t="n"/>
      <c r="V94" s="110" t="n"/>
      <c r="W94" s="110" t="n"/>
      <c r="X94" s="77" t="n"/>
    </row>
    <row r="95">
      <c r="B95" s="103" t="n"/>
      <c r="C95" s="104" t="n"/>
      <c r="D95" s="104" t="n"/>
      <c r="E95" s="104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99" t="n"/>
    </row>
    <row r="96">
      <c r="B96" s="103" t="n"/>
      <c r="C96" s="104" t="n"/>
      <c r="D96" s="104" t="n"/>
      <c r="E96" s="104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99" t="n"/>
    </row>
    <row r="97">
      <c r="B97" s="109" t="inlineStr">
        <is>
          <t>理財活動-借款</t>
        </is>
      </c>
      <c r="C97" s="110" t="n"/>
      <c r="D97" s="111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O97" s="110" t="n"/>
      <c r="P97" s="110" t="n"/>
      <c r="Q97" s="110" t="n"/>
      <c r="R97" s="110" t="n"/>
      <c r="S97" s="110" t="n"/>
      <c r="T97" s="110" t="n"/>
      <c r="U97" s="110" t="n"/>
      <c r="V97" s="110" t="n"/>
      <c r="W97" s="110" t="n"/>
      <c r="X97" s="99" t="n"/>
    </row>
    <row r="98">
      <c r="B98" s="103" t="inlineStr">
        <is>
          <t>理財活動-還款</t>
        </is>
      </c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8" t="n"/>
      <c r="U98" s="108" t="n"/>
      <c r="V98" s="108" t="n"/>
      <c r="W98" s="108" t="n"/>
      <c r="X98" s="77" t="n"/>
    </row>
    <row r="99">
      <c r="B99" s="103" t="inlineStr">
        <is>
          <t>理財活動-現金增資</t>
        </is>
      </c>
      <c r="C99" s="108" t="n"/>
      <c r="D99" s="104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7" t="n"/>
    </row>
    <row r="100">
      <c r="B100" s="103" t="inlineStr">
        <is>
          <t>現金股利</t>
        </is>
      </c>
      <c r="C100" s="108" t="n"/>
      <c r="D100" s="108" t="n"/>
      <c r="E100" s="112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  <c r="U100" s="104" t="n"/>
      <c r="V100" s="108" t="n"/>
      <c r="W100" s="104" t="n"/>
      <c r="X100" s="107" t="n"/>
    </row>
    <row r="101">
      <c r="B101" s="113" t="inlineStr">
        <is>
          <t>年底減資</t>
        </is>
      </c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5" t="n"/>
      <c r="S101" s="115" t="n"/>
      <c r="T101" s="115" t="n"/>
      <c r="U101" s="115" t="n"/>
      <c r="V101" s="114" t="n"/>
      <c r="W101" s="114" t="n"/>
      <c r="X101" s="107" t="n"/>
    </row>
    <row r="102"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7" t="n"/>
    </row>
    <row r="103"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7" t="n"/>
    </row>
    <row r="104">
      <c r="B104" s="103" t="inlineStr">
        <is>
          <t>現金淨流入(出 )</t>
        </is>
      </c>
      <c r="D104" s="108" t="n"/>
      <c r="E104" s="106" t="n"/>
      <c r="F104" s="106" t="n"/>
      <c r="G104" s="106" t="n"/>
      <c r="H104" s="106" t="n"/>
      <c r="I104" s="106" t="n"/>
      <c r="J104" s="106" t="n"/>
      <c r="K104" s="106" t="n"/>
      <c r="L104" s="106" t="n"/>
      <c r="M104" s="106" t="n"/>
      <c r="N104" s="106" t="n"/>
      <c r="O104" s="106" t="n"/>
      <c r="P104" s="106" t="n"/>
      <c r="Q104" s="106" t="n"/>
      <c r="R104" s="106" t="n"/>
      <c r="S104" s="106" t="n"/>
      <c r="T104" s="106" t="n"/>
      <c r="U104" s="106" t="n"/>
      <c r="V104" s="106" t="n"/>
      <c r="W104" s="106" t="n"/>
      <c r="X104" s="107" t="n"/>
    </row>
    <row r="105">
      <c r="B105" s="103" t="inlineStr">
        <is>
          <t>期初淨現金</t>
        </is>
      </c>
      <c r="C105" s="108" t="n"/>
      <c r="D105" s="108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8" t="n"/>
      <c r="W105" s="108" t="n"/>
      <c r="X105" s="99" t="n"/>
    </row>
    <row r="106">
      <c r="B106" s="103" t="inlineStr">
        <is>
          <t>期未淨現金</t>
        </is>
      </c>
      <c r="C106" s="108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  <c r="U106" s="104" t="n"/>
      <c r="V106" s="108" t="n"/>
      <c r="W106" s="108" t="n"/>
      <c r="X106" s="99" t="n"/>
    </row>
    <row r="107">
      <c r="B107" s="103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16" t="n"/>
    </row>
    <row r="108">
      <c r="B108" s="103" t="n"/>
      <c r="C108" s="104" t="n"/>
      <c r="D108" s="104" t="n"/>
      <c r="E108" s="104" t="n"/>
      <c r="F108" s="108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16" t="n"/>
    </row>
    <row r="109">
      <c r="B109" s="117" t="inlineStr">
        <is>
          <t>成本法實際現金流</t>
        </is>
      </c>
      <c r="C109" s="118" t="n"/>
      <c r="D109" s="193">
        <f>-D97</f>
        <v/>
      </c>
      <c r="E109" s="192">
        <f>-E100-E101</f>
        <v/>
      </c>
      <c r="F109" s="192">
        <f>-F100-F101</f>
        <v/>
      </c>
      <c r="G109" s="192">
        <f>-G100-G101</f>
        <v/>
      </c>
      <c r="H109" s="192">
        <f>-H100-H101</f>
        <v/>
      </c>
      <c r="I109" s="192">
        <f>-I100-I101</f>
        <v/>
      </c>
      <c r="J109" s="192">
        <f>-J100-J101</f>
        <v/>
      </c>
      <c r="K109" s="192">
        <f>-K100-K101</f>
        <v/>
      </c>
      <c r="L109" s="192">
        <f>-L100-L101</f>
        <v/>
      </c>
      <c r="M109" s="192">
        <f>-M100-M101</f>
        <v/>
      </c>
      <c r="N109" s="192">
        <f>-N100-N101</f>
        <v/>
      </c>
      <c r="O109" s="192">
        <f>-O100-O101</f>
        <v/>
      </c>
      <c r="P109" s="192">
        <f>-P100-P101</f>
        <v/>
      </c>
      <c r="Q109" s="192">
        <f>-Q100-Q101</f>
        <v/>
      </c>
      <c r="R109" s="192">
        <f>-R100-R101</f>
        <v/>
      </c>
      <c r="S109" s="192">
        <f>-S100-S101</f>
        <v/>
      </c>
      <c r="T109" s="192">
        <f>-T100-T101</f>
        <v/>
      </c>
      <c r="U109" s="192">
        <f>-U100-U101</f>
        <v/>
      </c>
      <c r="V109" s="192">
        <f>-V100-V101</f>
        <v/>
      </c>
      <c r="W109" s="192">
        <f>-W100-W101</f>
        <v/>
      </c>
      <c r="X109" s="192">
        <f>-X100-X101</f>
        <v/>
      </c>
    </row>
    <row r="110">
      <c r="B110" s="103" t="inlineStr">
        <is>
          <t>成本法IRR</t>
        </is>
      </c>
      <c r="C110" s="120">
        <f>IRR(D109:X109)</f>
        <v/>
      </c>
      <c r="D110" s="150" t="n"/>
      <c r="E110" s="150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  <c r="U110" s="104" t="n"/>
      <c r="V110" s="104" t="n"/>
      <c r="W110" s="104" t="n"/>
      <c r="X110" s="116" t="n"/>
    </row>
    <row r="111">
      <c r="B111" s="117" t="inlineStr">
        <is>
          <t>權益法實際現金流</t>
        </is>
      </c>
      <c r="C111" s="118" t="n"/>
      <c r="D111" s="193">
        <f>D90-D99</f>
        <v/>
      </c>
      <c r="E111" s="192">
        <f>E90</f>
        <v/>
      </c>
      <c r="F111" s="192">
        <f>F90</f>
        <v/>
      </c>
      <c r="G111" s="192">
        <f>G90</f>
        <v/>
      </c>
      <c r="H111" s="192">
        <f>H90</f>
        <v/>
      </c>
      <c r="I111" s="192">
        <f>I90</f>
        <v/>
      </c>
      <c r="J111" s="192">
        <f>J90</f>
        <v/>
      </c>
      <c r="K111" s="192">
        <f>K90</f>
        <v/>
      </c>
      <c r="L111" s="192">
        <f>L90</f>
        <v/>
      </c>
      <c r="M111" s="192">
        <f>M90</f>
        <v/>
      </c>
      <c r="N111" s="192">
        <f>N90</f>
        <v/>
      </c>
      <c r="O111" s="192">
        <f>O90</f>
        <v/>
      </c>
      <c r="P111" s="192">
        <f>P90</f>
        <v/>
      </c>
      <c r="Q111" s="192">
        <f>Q90</f>
        <v/>
      </c>
      <c r="R111" s="192">
        <f>R90</f>
        <v/>
      </c>
      <c r="S111" s="192">
        <f>S90</f>
        <v/>
      </c>
      <c r="T111" s="192">
        <f>T90</f>
        <v/>
      </c>
      <c r="U111" s="192">
        <f>U90</f>
        <v/>
      </c>
      <c r="V111" s="192">
        <f>V90</f>
        <v/>
      </c>
      <c r="W111" s="192">
        <f>W90</f>
        <v/>
      </c>
      <c r="X111" s="77" t="n"/>
    </row>
    <row r="112">
      <c r="B112" s="117" t="inlineStr">
        <is>
          <t>權益法IRR</t>
        </is>
      </c>
      <c r="C112" s="120">
        <f>IRR(D111:W111)</f>
        <v/>
      </c>
      <c r="D112" s="150" t="n"/>
      <c r="E112" s="150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  <c r="U112" s="104" t="n"/>
      <c r="V112" s="104" t="n"/>
      <c r="W112" s="104" t="n"/>
      <c r="X112" s="116" t="n"/>
    </row>
    <row r="113">
      <c r="B113" s="103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16" t="n"/>
    </row>
    <row r="114">
      <c r="B114" s="103" t="inlineStr">
        <is>
          <t>借款餘額</t>
        </is>
      </c>
      <c r="C114" s="108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8" t="n"/>
      <c r="U114" s="108" t="n"/>
      <c r="V114" s="108" t="n"/>
      <c r="W114" s="108" t="n"/>
      <c r="X114" s="108" t="n"/>
    </row>
    <row r="115"/>
    <row r="116">
      <c r="B116" s="122" t="n"/>
    </row>
    <row r="117" ht="16.5" customHeight="1">
      <c r="G117" s="69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0.5703125" customWidth="1" min="1" max="1"/>
    <col width="33.140625" customWidth="1" min="2" max="2"/>
    <col width="19.42578125" customWidth="1" min="3" max="3"/>
    <col width="17.85546875" customWidth="1" min="4" max="4"/>
    <col width="17.85546875" customWidth="1" min="24" max="24"/>
    <col width="30" customWidth="1" min="25" max="25"/>
    <col width="13.5703125" customWidth="1" min="26" max="26"/>
    <col width="19.5703125" customWidth="1" min="30" max="30"/>
    <col width="20.5703125" customWidth="1" min="31" max="31"/>
    <col width="20.28515625" customWidth="1" min="32" max="32"/>
    <col width="20.85546875" customWidth="1" min="33" max="33"/>
    <col width="15.5703125" customWidth="1" min="34" max="34"/>
    <col width="36.85546875" customWidth="1" min="35" max="35"/>
    <col width="32.5703125" customWidth="1" min="36" max="36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9</t>
        </is>
      </c>
    </row>
    <row r="5" ht="22.5" customHeight="1">
      <c r="B5" s="161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第8次滾算摘要</t>
        </is>
      </c>
    </row>
    <row r="6" ht="20.25" customHeight="1">
      <c r="B6" s="162" t="n"/>
      <c r="C6" s="163" t="n"/>
      <c r="D6" s="163" t="n"/>
      <c r="E6" s="163" t="n"/>
      <c r="M6" t="inlineStr">
        <is>
          <t>價金: 21000</t>
        </is>
      </c>
    </row>
    <row r="7" ht="22.5" customHeight="1">
      <c r="B7" s="164" t="inlineStr">
        <is>
          <t>綜合損益表</t>
        </is>
      </c>
      <c r="C7" s="153" t="n"/>
      <c r="D7" s="153" t="n"/>
      <c r="E7" s="154" t="n"/>
      <c r="M7" t="inlineStr">
        <is>
          <t>專案IRR: 8.1</t>
        </is>
      </c>
    </row>
    <row r="8" ht="22.5" customHeight="1">
      <c r="B8" s="165" t="inlineStr">
        <is>
          <t>收入</t>
        </is>
      </c>
      <c r="C8" s="166" t="n"/>
      <c r="D8" s="166" t="n"/>
      <c r="E8" s="167" t="n"/>
      <c r="M8" t="inlineStr">
        <is>
          <t>權益法IRR: 29.94</t>
        </is>
      </c>
    </row>
    <row r="9" ht="22.5" customHeight="1">
      <c r="B9" s="168" t="inlineStr">
        <is>
          <t>收支項目</t>
        </is>
      </c>
      <c r="C9" s="169" t="inlineStr">
        <is>
          <t>相關參數</t>
        </is>
      </c>
      <c r="D9" s="169" t="inlineStr">
        <is>
          <t>參數數值</t>
        </is>
      </c>
      <c r="E9" s="170" t="inlineStr">
        <is>
          <t>年限</t>
        </is>
      </c>
      <c r="M9" t="inlineStr">
        <is>
          <t>利潤率: 20.00%</t>
        </is>
      </c>
    </row>
    <row r="10" ht="21.75" customHeight="1">
      <c r="B10" s="171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72" t="n">
        <v>20</v>
      </c>
      <c r="M10" t="inlineStr">
        <is>
          <t>第8次滾算，減少 1000 元 - 現金模式，每次減少 1000 元</t>
        </is>
      </c>
    </row>
    <row r="11" ht="21.75" customHeight="1">
      <c r="B11" s="173" t="n"/>
      <c r="C11" s="159" t="inlineStr">
        <is>
          <t>首年衰退率</t>
        </is>
      </c>
      <c r="D11" s="174" t="n">
        <v>0.01</v>
      </c>
      <c r="E11" s="173" t="n"/>
    </row>
    <row r="12" ht="21.75" customHeight="1">
      <c r="B12" s="173" t="n"/>
      <c r="C12" s="159" t="inlineStr">
        <is>
          <t>次年衰退率</t>
        </is>
      </c>
      <c r="D12" s="175" t="n">
        <v>0.004</v>
      </c>
      <c r="E12" s="173" t="n"/>
    </row>
    <row r="13" ht="22.5" customHeight="1">
      <c r="B13" s="173" t="n"/>
      <c r="C13" s="176" t="inlineStr">
        <is>
          <t>躉售費率(FIT)</t>
        </is>
      </c>
      <c r="D13" s="176" t="n">
        <v>3.7152</v>
      </c>
      <c r="E13" s="173" t="n"/>
    </row>
    <row r="14" ht="22.5" customHeight="1">
      <c r="B14" s="177" t="inlineStr">
        <is>
          <t>支出</t>
        </is>
      </c>
      <c r="C14" s="153" t="n"/>
      <c r="D14" s="153" t="n"/>
      <c r="E14" s="154" t="n"/>
    </row>
    <row r="15" ht="22.5" customHeight="1">
      <c r="B15" s="168" t="inlineStr">
        <is>
          <t>收支項目</t>
        </is>
      </c>
      <c r="C15" s="169" t="inlineStr">
        <is>
          <t>相關參數</t>
        </is>
      </c>
      <c r="D15" s="169" t="inlineStr">
        <is>
          <t>參數數值</t>
        </is>
      </c>
      <c r="E15" s="178" t="inlineStr">
        <is>
          <t>攤提年限</t>
        </is>
      </c>
    </row>
    <row r="16" ht="21.75" customHeight="1">
      <c r="B16" s="179" t="inlineStr">
        <is>
          <t>設備費用(價金)</t>
        </is>
      </c>
      <c r="C16" s="180" t="inlineStr">
        <is>
          <t>每kWp設備成本</t>
        </is>
      </c>
      <c r="D16" s="156" t="n">
        <v>21000</v>
      </c>
      <c r="E16" s="181" t="n">
        <v>20</v>
      </c>
    </row>
    <row r="17" ht="21.75" customHeight="1">
      <c r="B17" s="173" t="n"/>
      <c r="C17" s="159" t="inlineStr">
        <is>
          <t>信邦利潤率</t>
        </is>
      </c>
      <c r="D17" s="159" t="n">
        <v>0.2</v>
      </c>
      <c r="E17" s="173" t="n"/>
    </row>
    <row r="18" ht="21.75" customHeight="1">
      <c r="B18" s="182" t="n"/>
      <c r="C18" s="159" t="inlineStr">
        <is>
          <t>開發費</t>
        </is>
      </c>
      <c r="D18" s="159" t="n">
        <v>2000</v>
      </c>
      <c r="E18" s="182" t="n"/>
    </row>
    <row r="19" ht="54" customHeight="1">
      <c r="B19" s="183" t="inlineStr">
        <is>
          <t>租金費用</t>
        </is>
      </c>
      <c r="C19" s="184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3" t="n"/>
      <c r="C20" s="185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82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61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61" t="inlineStr">
        <is>
          <t>保險費用</t>
        </is>
      </c>
      <c r="C23" s="186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61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61" t="inlineStr">
        <is>
          <t>利息費用</t>
        </is>
      </c>
      <c r="C25" s="159" t="inlineStr">
        <is>
          <t>銀行利率</t>
        </is>
      </c>
      <c r="D25" s="187" t="n">
        <v>0.025595</v>
      </c>
      <c r="E25" s="160" t="n">
        <v>0</v>
      </c>
    </row>
    <row r="26" ht="22.5" customHeight="1">
      <c r="B26" s="161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2" t="n"/>
      <c r="C27" s="163" t="n"/>
      <c r="D27" s="163" t="n"/>
      <c r="E27" s="163" t="n"/>
    </row>
    <row r="28" ht="20.25" customHeight="1">
      <c r="B28" s="162" t="n"/>
      <c r="C28" s="163" t="n"/>
      <c r="D28" s="163" t="n"/>
      <c r="E28" s="163" t="n"/>
    </row>
    <row r="29" ht="22.5" customHeight="1">
      <c r="B29" s="164" t="inlineStr">
        <is>
          <t>現金流量表</t>
        </is>
      </c>
      <c r="C29" s="153" t="n"/>
      <c r="D29" s="154" t="n"/>
      <c r="E29" s="163" t="n"/>
    </row>
    <row r="30" ht="22.5" customHeight="1">
      <c r="B30" s="168" t="inlineStr">
        <is>
          <t>金流項目</t>
        </is>
      </c>
      <c r="C30" s="169" t="inlineStr">
        <is>
          <t>相關參數</t>
        </is>
      </c>
      <c r="D30" s="178" t="inlineStr">
        <is>
          <t>參數數值</t>
        </is>
      </c>
      <c r="E30" s="163" t="n"/>
    </row>
    <row r="31" ht="18.75" customHeight="1">
      <c r="B31" s="155" t="inlineStr">
        <is>
          <t>貸款成數</t>
        </is>
      </c>
      <c r="C31" s="180" t="inlineStr">
        <is>
          <t>占總設備費用比例</t>
        </is>
      </c>
      <c r="D31" s="156" t="n">
        <v>0.8</v>
      </c>
      <c r="E31" s="163" t="n"/>
    </row>
    <row r="32" ht="18.75" customHeight="1">
      <c r="B32" s="188" t="inlineStr">
        <is>
          <t>貸款還款</t>
        </is>
      </c>
      <c r="C32" s="156" t="inlineStr">
        <is>
          <t>攤還期數</t>
        </is>
      </c>
      <c r="D32" s="156" t="n">
        <v>15</v>
      </c>
      <c r="E32" s="163" t="n"/>
    </row>
    <row r="33" ht="18.75" customHeight="1">
      <c r="B33" s="161" t="inlineStr">
        <is>
          <t>現金股利</t>
        </is>
      </c>
      <c r="C33" s="159" t="inlineStr">
        <is>
          <t>股利比率</t>
        </is>
      </c>
      <c r="D33" s="159" t="n">
        <v>0.9</v>
      </c>
      <c r="E33" s="163" t="n"/>
    </row>
    <row r="34" ht="18.75" customHeight="1">
      <c r="B34" s="161" t="inlineStr">
        <is>
          <t>年底減資</t>
        </is>
      </c>
      <c r="C34" s="159" t="inlineStr">
        <is>
          <t>攤還期數</t>
        </is>
      </c>
      <c r="D34" s="159" t="n">
        <v>4</v>
      </c>
      <c r="E34" s="163" t="n"/>
    </row>
    <row r="35" ht="18.75" customHeight="1"/>
    <row r="36" ht="18.75" customHeight="1"/>
    <row r="37" ht="18.75" customHeight="1">
      <c r="B37" s="28" t="n"/>
      <c r="C37" s="29" t="inlineStr">
        <is>
          <t>年份</t>
        </is>
      </c>
      <c r="D37" s="29" t="n">
        <v>2020</v>
      </c>
      <c r="E37" s="29" t="n">
        <v>2021</v>
      </c>
      <c r="F37" s="29" t="n">
        <v>2022</v>
      </c>
      <c r="G37" s="29" t="n">
        <v>2023</v>
      </c>
      <c r="H37" s="29" t="n">
        <v>2024</v>
      </c>
      <c r="I37" s="29" t="n">
        <v>2025</v>
      </c>
      <c r="J37" s="29" t="n">
        <v>2026</v>
      </c>
      <c r="K37" s="29" t="n">
        <v>2027</v>
      </c>
      <c r="L37" s="29" t="n">
        <v>2028</v>
      </c>
      <c r="M37" s="29" t="n">
        <v>2029</v>
      </c>
      <c r="N37" s="29" t="n">
        <v>2030</v>
      </c>
      <c r="O37" s="29" t="n">
        <v>2031</v>
      </c>
      <c r="P37" s="29" t="n">
        <v>2032</v>
      </c>
      <c r="Q37" s="29" t="n">
        <v>2033</v>
      </c>
      <c r="R37" s="29" t="n">
        <v>2034</v>
      </c>
      <c r="S37" s="29" t="n">
        <v>2035</v>
      </c>
      <c r="T37" s="29" t="n">
        <v>2036</v>
      </c>
      <c r="U37" s="29" t="n">
        <v>2037</v>
      </c>
      <c r="V37" s="29" t="n">
        <v>2038</v>
      </c>
      <c r="W37" s="29" t="n">
        <v>2039</v>
      </c>
      <c r="X37" s="30" t="n"/>
    </row>
    <row r="38" ht="18.75" customHeight="1">
      <c r="B38" s="31" t="n">
        <v>0</v>
      </c>
      <c r="C38" s="32" t="n"/>
      <c r="D38" s="33" t="n"/>
      <c r="E38" s="33" t="n"/>
      <c r="F38" s="34" t="inlineStr">
        <is>
          <t>手動計算值</t>
        </is>
      </c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6" t="inlineStr">
        <is>
          <t>償還年限</t>
        </is>
      </c>
      <c r="U38" s="35" t="n"/>
      <c r="V38" s="35" t="n"/>
      <c r="W38" s="35" t="n"/>
      <c r="X38" s="37" t="n"/>
    </row>
    <row r="39" ht="18.75" customHeight="1">
      <c r="B39" s="38" t="inlineStr">
        <is>
          <t>(Unit : Currency)</t>
        </is>
      </c>
      <c r="C39" s="39" t="n">
        <v>0</v>
      </c>
      <c r="D39" s="40" t="n">
        <v>1</v>
      </c>
      <c r="E39" s="40" t="n">
        <v>2</v>
      </c>
      <c r="F39" s="40" t="n">
        <v>3</v>
      </c>
      <c r="G39" s="40" t="n">
        <v>4</v>
      </c>
      <c r="H39" s="40" t="n">
        <v>5</v>
      </c>
      <c r="I39" s="40" t="n">
        <v>6</v>
      </c>
      <c r="J39" s="40" t="n">
        <v>7</v>
      </c>
      <c r="K39" s="40" t="n">
        <v>8</v>
      </c>
      <c r="L39" s="40" t="n">
        <v>9</v>
      </c>
      <c r="M39" s="40" t="n">
        <v>10</v>
      </c>
      <c r="N39" s="40" t="n">
        <v>11</v>
      </c>
      <c r="O39" s="40" t="n">
        <v>12</v>
      </c>
      <c r="P39" s="40" t="n">
        <v>13</v>
      </c>
      <c r="Q39" s="40" t="n">
        <v>14</v>
      </c>
      <c r="R39" s="40" t="n">
        <v>15</v>
      </c>
      <c r="S39" s="40" t="n">
        <v>16</v>
      </c>
      <c r="T39" s="41" t="n">
        <v>17</v>
      </c>
      <c r="U39" s="40" t="n">
        <v>18</v>
      </c>
      <c r="V39" s="40" t="n">
        <v>19</v>
      </c>
      <c r="W39" s="40" t="n">
        <v>20</v>
      </c>
      <c r="X39" s="42" t="n"/>
    </row>
    <row r="40" ht="18.75" customHeight="1">
      <c r="B40" s="43" t="inlineStr">
        <is>
          <t>發電度數(KWH)</t>
        </is>
      </c>
      <c r="C40" s="39" t="n">
        <v>0</v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4" t="n"/>
    </row>
    <row r="41" ht="18.75" customHeight="1">
      <c r="B41" s="45" t="inlineStr">
        <is>
          <t>Inflow : 電費收入</t>
        </is>
      </c>
      <c r="C41" s="46" t="inlineStr">
        <is>
          <t>-</t>
        </is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8" t="n"/>
    </row>
    <row r="42" ht="18.75" customHeight="1">
      <c r="B42" s="49" t="inlineStr">
        <is>
          <t>Inflow : 政府補助</t>
        </is>
      </c>
      <c r="C42" s="39" t="inlineStr">
        <is>
          <t>-</t>
        </is>
      </c>
      <c r="D42" s="40" t="n"/>
      <c r="E42" s="40" t="n"/>
      <c r="F42" s="40" t="n"/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40" t="inlineStr">
        <is>
          <t>-</t>
        </is>
      </c>
      <c r="X42" s="50" t="n"/>
    </row>
    <row r="43" ht="18.75" customHeight="1">
      <c r="B43" s="51" t="inlineStr">
        <is>
          <t>Inflow : 銀行借款</t>
        </is>
      </c>
      <c r="C43" s="52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4" t="n"/>
    </row>
    <row r="44" ht="18.75" customHeight="1">
      <c r="B44" s="55" t="inlineStr">
        <is>
          <t>Outflow : 設備費用</t>
        </is>
      </c>
      <c r="C44" s="39" t="n"/>
      <c r="D44" s="56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50" t="n"/>
    </row>
    <row r="45" ht="18.75" customHeight="1">
      <c r="B45" s="55" t="inlineStr">
        <is>
          <t>Outflow : 設備放置區域租金</t>
        </is>
      </c>
      <c r="C45" s="39" t="inlineStr">
        <is>
          <t>-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50" t="n"/>
    </row>
    <row r="46" ht="18.75" customHeight="1">
      <c r="B46" s="55" t="inlineStr">
        <is>
          <t>Outflow : 返還借款</t>
        </is>
      </c>
      <c r="C46" s="39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50" t="n"/>
    </row>
    <row r="47" ht="18.75" customHeight="1">
      <c r="B47" s="55" t="inlineStr">
        <is>
          <t>Outflow : 利息費用</t>
        </is>
      </c>
      <c r="C47" s="39" t="inlineStr">
        <is>
          <t>-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50" t="n"/>
    </row>
    <row r="48" ht="18.75" customHeight="1">
      <c r="B48" s="55" t="inlineStr">
        <is>
          <t>Outflow : 維運費</t>
        </is>
      </c>
      <c r="C48" s="39" t="inlineStr">
        <is>
          <t>-</t>
        </is>
      </c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50" t="n"/>
    </row>
    <row r="49" ht="18.75" customHeight="1">
      <c r="B49" s="55" t="inlineStr">
        <is>
          <t>Outflow : 保險費</t>
        </is>
      </c>
      <c r="C49" s="39" t="inlineStr">
        <is>
          <t>-</t>
        </is>
      </c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50" t="n"/>
    </row>
    <row r="50" ht="18.75" customHeight="1">
      <c r="B50" s="55" t="inlineStr">
        <is>
          <t>Outflow : 模組回收費</t>
        </is>
      </c>
      <c r="C50" s="39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50" t="n"/>
    </row>
    <row r="51" ht="18.75" customHeight="1">
      <c r="B51" s="55" t="inlineStr">
        <is>
          <t>Outflow : 其它費用(人事薪資…等)</t>
        </is>
      </c>
      <c r="C51" s="57" t="n"/>
      <c r="D51" s="58" t="n"/>
      <c r="E51" s="59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50" t="n"/>
    </row>
    <row r="52" ht="18.75" customHeight="1">
      <c r="B52" s="55" t="inlineStr">
        <is>
          <t>1%管理費</t>
        </is>
      </c>
      <c r="C52" s="57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50" t="n"/>
    </row>
    <row r="53" ht="18.75" customHeight="1">
      <c r="B53" s="60" t="inlineStr">
        <is>
          <t>績效獎金</t>
        </is>
      </c>
      <c r="C53" s="57" t="n"/>
      <c r="D53" s="61" t="n"/>
      <c r="E53" s="61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50" t="n"/>
    </row>
    <row r="54" ht="18.75" customHeight="1">
      <c r="B54" s="60" t="inlineStr">
        <is>
          <t>所得稅20%</t>
        </is>
      </c>
      <c r="C54" s="57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50" t="n"/>
    </row>
    <row r="55" ht="18.75" customHeight="1">
      <c r="B55" s="189" t="inlineStr">
        <is>
          <t>現金流</t>
        </is>
      </c>
      <c r="C55" s="71">
        <f>C44</f>
        <v/>
      </c>
      <c r="D55" s="66">
        <f>SUM(D41:D54)</f>
        <v/>
      </c>
      <c r="E55" s="66">
        <f>SUM(E41:E54)</f>
        <v/>
      </c>
      <c r="F55" s="66">
        <f>SUM(F41:F54)</f>
        <v/>
      </c>
      <c r="G55" s="66">
        <f>SUM(G41:G54)</f>
        <v/>
      </c>
      <c r="H55" s="66">
        <f>SUM(H41:H54)</f>
        <v/>
      </c>
      <c r="I55" s="66">
        <f>SUM(I41:I54)</f>
        <v/>
      </c>
      <c r="J55" s="66">
        <f>SUM(J41:J54)</f>
        <v/>
      </c>
      <c r="K55" s="66">
        <f>SUM(K41:K54)</f>
        <v/>
      </c>
      <c r="L55" s="66">
        <f>SUM(L41:L54)</f>
        <v/>
      </c>
      <c r="M55" s="66">
        <f>SUM(M41:M54)</f>
        <v/>
      </c>
      <c r="N55" s="66">
        <f>SUM(N41:N54)</f>
        <v/>
      </c>
      <c r="O55" s="66">
        <f>SUM(O41:O54)</f>
        <v/>
      </c>
      <c r="P55" s="66">
        <f>SUM(P41:P54)</f>
        <v/>
      </c>
      <c r="Q55" s="66">
        <f>SUM(Q41:Q54)</f>
        <v/>
      </c>
      <c r="R55" s="66">
        <f>SUM(R41:R54)</f>
        <v/>
      </c>
      <c r="S55" s="66">
        <f>SUM(S41:S54)</f>
        <v/>
      </c>
      <c r="T55" s="66">
        <f>SUM(T41:T54)</f>
        <v/>
      </c>
      <c r="U55" s="66">
        <f>SUM(U41:U54)</f>
        <v/>
      </c>
      <c r="V55" s="66">
        <f>SUM(V41:V54)</f>
        <v/>
      </c>
      <c r="W55" s="66">
        <f>SUM(W41:W54)</f>
        <v/>
      </c>
      <c r="X55" s="66">
        <f>SUM(X41:X54)</f>
        <v/>
      </c>
      <c r="Y55" s="68" t="n"/>
      <c r="Z55" s="69" t="n"/>
      <c r="AA55" s="68" t="n"/>
      <c r="AB55" s="68" t="n"/>
      <c r="AC55" s="68" t="n"/>
      <c r="AD55" s="68" t="n"/>
      <c r="AE55" s="68" t="n"/>
      <c r="AF55" s="68" t="n"/>
      <c r="AG55" s="68" t="n"/>
      <c r="AH55" s="68" t="n"/>
      <c r="AI55" s="68" t="n"/>
      <c r="AJ55" s="68" t="n"/>
    </row>
    <row r="56" ht="18.75" customHeight="1">
      <c r="B56" s="70" t="inlineStr">
        <is>
          <t>累計現金流</t>
        </is>
      </c>
      <c r="D56" s="72">
        <f>C55+D55</f>
        <v/>
      </c>
      <c r="E56" s="72">
        <f>D56+E55</f>
        <v/>
      </c>
      <c r="F56" s="72">
        <f>E56+F55</f>
        <v/>
      </c>
      <c r="G56" s="72">
        <f>F56+G55</f>
        <v/>
      </c>
      <c r="H56" s="72">
        <f>G56+H55</f>
        <v/>
      </c>
      <c r="I56" s="72">
        <f>H56+I55</f>
        <v/>
      </c>
      <c r="J56" s="72">
        <f>I56+J55</f>
        <v/>
      </c>
      <c r="K56" s="72">
        <f>J56+K55</f>
        <v/>
      </c>
      <c r="L56" s="72">
        <f>K56+L55</f>
        <v/>
      </c>
      <c r="M56" s="72">
        <f>L56+M55</f>
        <v/>
      </c>
      <c r="N56" s="72">
        <f>M56+N55</f>
        <v/>
      </c>
      <c r="O56" s="72">
        <f>N56+O55</f>
        <v/>
      </c>
      <c r="P56" s="72">
        <f>O56+P55</f>
        <v/>
      </c>
      <c r="Q56" s="72">
        <f>P56+Q55</f>
        <v/>
      </c>
      <c r="R56" s="72">
        <f>Q56+R55</f>
        <v/>
      </c>
      <c r="S56" s="72">
        <f>R56+S55</f>
        <v/>
      </c>
      <c r="T56" s="72">
        <f>S56+T55</f>
        <v/>
      </c>
      <c r="U56" s="72">
        <f>T56+U55</f>
        <v/>
      </c>
      <c r="V56" s="72">
        <f>U56+V55</f>
        <v/>
      </c>
      <c r="W56" s="72">
        <f>V56+W55</f>
        <v/>
      </c>
      <c r="X56" s="72">
        <f>W56+X55</f>
        <v/>
      </c>
      <c r="Y56" s="68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  <c r="AJ56" s="68" t="n"/>
    </row>
    <row r="57" ht="18.75" customHeight="1">
      <c r="B57" s="74" t="inlineStr">
        <is>
          <t>Discounted cash flow</t>
        </is>
      </c>
      <c r="C57" s="75" t="n">
        <v>-37721416.4</v>
      </c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  <c r="AJ57" s="68" t="n"/>
    </row>
    <row r="58" ht="18.75" customHeight="1">
      <c r="B58" s="74" t="inlineStr">
        <is>
          <t>Minus : Depreciation</t>
        </is>
      </c>
      <c r="C58" s="79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  <c r="W58" s="61" t="n"/>
      <c r="X58" s="80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  <c r="AJ58" s="68" t="n"/>
    </row>
    <row r="59" ht="18.75" customHeight="1">
      <c r="B59" s="74" t="inlineStr">
        <is>
          <t>Plus : Principle payment</t>
        </is>
      </c>
      <c r="C59" s="79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61" t="n"/>
      <c r="U59" s="61" t="n"/>
      <c r="V59" s="61" t="n"/>
      <c r="W59" s="61" t="n"/>
      <c r="X59" s="80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  <c r="AJ59" s="68" t="n"/>
    </row>
    <row r="60" ht="18.75" customHeight="1">
      <c r="B60" s="81" t="inlineStr">
        <is>
          <t>Profit</t>
        </is>
      </c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85" t="inlineStr">
        <is>
          <t>EPS</t>
        </is>
      </c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  <c r="AJ61" s="68" t="n"/>
    </row>
    <row r="62" ht="18.75" customHeight="1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  <c r="AJ62" s="68" t="n"/>
    </row>
    <row r="63" ht="18.75" customHeight="1">
      <c r="B63" s="190" t="inlineStr">
        <is>
          <t>專案法IRR</t>
        </is>
      </c>
      <c r="C63" s="149">
        <f>IRR(C55:X55)</f>
        <v/>
      </c>
      <c r="D63" s="149" t="n"/>
      <c r="E63" s="14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95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  <c r="AJ63" s="68" t="n"/>
    </row>
    <row r="64" ht="18.75" customHeight="1">
      <c r="B64" s="28" t="n"/>
      <c r="C64" s="149" t="n"/>
      <c r="D64" s="149" t="n"/>
      <c r="E64" s="149" t="n"/>
      <c r="F64" s="59" t="n"/>
      <c r="G64" s="59" t="n"/>
      <c r="H64" s="59" t="n"/>
      <c r="I64" s="59" t="n"/>
      <c r="J64" s="59" t="n"/>
      <c r="K64" s="59" t="n"/>
      <c r="L64" s="59" t="n"/>
      <c r="M64" s="96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95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  <c r="AJ64" s="68" t="n"/>
    </row>
    <row r="65" ht="18.75" customHeight="1">
      <c r="B65" s="28" t="n"/>
      <c r="C65" s="29" t="inlineStr">
        <is>
          <t>年份</t>
        </is>
      </c>
      <c r="D65" s="29" t="n">
        <v>2020</v>
      </c>
      <c r="E65" s="29" t="n">
        <v>2021</v>
      </c>
      <c r="F65" s="29" t="n">
        <v>2022</v>
      </c>
      <c r="G65" s="29" t="n">
        <v>2023</v>
      </c>
      <c r="H65" s="29" t="n">
        <v>2024</v>
      </c>
      <c r="I65" s="29" t="n">
        <v>2025</v>
      </c>
      <c r="J65" s="29" t="n">
        <v>2026</v>
      </c>
      <c r="K65" s="29" t="n">
        <v>2027</v>
      </c>
      <c r="L65" s="29" t="n">
        <v>2028</v>
      </c>
      <c r="M65" s="29" t="n">
        <v>2029</v>
      </c>
      <c r="N65" s="29" t="n">
        <v>2030</v>
      </c>
      <c r="O65" s="29" t="n">
        <v>2031</v>
      </c>
      <c r="P65" s="29" t="n">
        <v>2032</v>
      </c>
      <c r="Q65" s="29" t="n">
        <v>2033</v>
      </c>
      <c r="R65" s="29" t="n">
        <v>2034</v>
      </c>
      <c r="S65" s="29" t="n">
        <v>2035</v>
      </c>
      <c r="T65" s="29" t="n">
        <v>2036</v>
      </c>
      <c r="U65" s="29" t="n">
        <v>2037</v>
      </c>
      <c r="V65" s="29" t="n">
        <v>2038</v>
      </c>
      <c r="W65" s="29" t="n">
        <v>2039</v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 ht="18.75" customHeight="1">
      <c r="B66" s="31" t="n">
        <v>0</v>
      </c>
      <c r="C66" s="32" t="n"/>
      <c r="D66" s="33" t="n"/>
      <c r="E66" s="33" t="n"/>
      <c r="F66" s="34" t="inlineStr">
        <is>
          <t>手動計算值</t>
        </is>
      </c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6" t="inlineStr">
        <is>
          <t>償還年限</t>
        </is>
      </c>
      <c r="U66" s="35" t="n"/>
      <c r="V66" s="35" t="n"/>
      <c r="W66" s="35" t="n"/>
      <c r="X66" s="37" t="n"/>
    </row>
    <row r="67" ht="18.75" customHeight="1">
      <c r="B67" s="38" t="inlineStr">
        <is>
          <t>(Unit : Currency)</t>
        </is>
      </c>
      <c r="C67" s="39" t="n">
        <v>0</v>
      </c>
      <c r="D67" s="40" t="n">
        <v>1</v>
      </c>
      <c r="E67" s="40" t="n">
        <v>2</v>
      </c>
      <c r="F67" s="40" t="n">
        <v>3</v>
      </c>
      <c r="G67" s="40" t="n">
        <v>4</v>
      </c>
      <c r="H67" s="40" t="n">
        <v>5</v>
      </c>
      <c r="I67" s="40" t="n">
        <v>6</v>
      </c>
      <c r="J67" s="40" t="n">
        <v>7</v>
      </c>
      <c r="K67" s="40" t="n">
        <v>8</v>
      </c>
      <c r="L67" s="40" t="n">
        <v>9</v>
      </c>
      <c r="M67" s="40" t="n">
        <v>10</v>
      </c>
      <c r="N67" s="40" t="n">
        <v>11</v>
      </c>
      <c r="O67" s="40" t="n">
        <v>12</v>
      </c>
      <c r="P67" s="40" t="n">
        <v>13</v>
      </c>
      <c r="Q67" s="40" t="n">
        <v>14</v>
      </c>
      <c r="R67" s="40" t="n">
        <v>15</v>
      </c>
      <c r="S67" s="40" t="n">
        <v>16</v>
      </c>
      <c r="T67" s="41" t="n">
        <v>17</v>
      </c>
      <c r="U67" s="40" t="n">
        <v>18</v>
      </c>
      <c r="V67" s="40" t="n">
        <v>19</v>
      </c>
      <c r="W67" s="40" t="n">
        <v>20</v>
      </c>
      <c r="X67" s="42" t="n"/>
    </row>
    <row r="68" ht="18.75" customHeight="1">
      <c r="B68" s="43" t="inlineStr">
        <is>
          <t>發電度數(KWH)</t>
        </is>
      </c>
      <c r="C68" s="39" t="n">
        <v>0</v>
      </c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4" t="n"/>
    </row>
    <row r="69" ht="18.75" customHeight="1">
      <c r="B69" s="45" t="inlineStr">
        <is>
          <t>Inflow : 電費收入</t>
        </is>
      </c>
      <c r="C69" s="46" t="inlineStr">
        <is>
          <t>-</t>
        </is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8" t="n"/>
    </row>
    <row r="70" ht="18.75" customHeight="1">
      <c r="B70" s="49" t="inlineStr">
        <is>
          <t>Inflow : 政府補助</t>
        </is>
      </c>
      <c r="C70" s="39" t="inlineStr">
        <is>
          <t>-</t>
        </is>
      </c>
      <c r="D70" s="40" t="n"/>
      <c r="E70" s="40" t="n"/>
      <c r="F70" s="40" t="n"/>
      <c r="G70" s="40" t="inlineStr">
        <is>
          <t>-</t>
        </is>
      </c>
      <c r="H70" s="40" t="inlineStr">
        <is>
          <t>-</t>
        </is>
      </c>
      <c r="I70" s="40" t="inlineStr">
        <is>
          <t>-</t>
        </is>
      </c>
      <c r="J70" s="40" t="inlineStr">
        <is>
          <t>-</t>
        </is>
      </c>
      <c r="K70" s="40" t="inlineStr">
        <is>
          <t>-</t>
        </is>
      </c>
      <c r="L70" s="40" t="inlineStr">
        <is>
          <t>-</t>
        </is>
      </c>
      <c r="M70" s="40" t="inlineStr">
        <is>
          <t>-</t>
        </is>
      </c>
      <c r="N70" s="40" t="inlineStr">
        <is>
          <t>-</t>
        </is>
      </c>
      <c r="O70" s="40" t="inlineStr">
        <is>
          <t>-</t>
        </is>
      </c>
      <c r="P70" s="40" t="inlineStr">
        <is>
          <t>-</t>
        </is>
      </c>
      <c r="Q70" s="40" t="inlineStr">
        <is>
          <t>-</t>
        </is>
      </c>
      <c r="R70" s="40" t="inlineStr">
        <is>
          <t>-</t>
        </is>
      </c>
      <c r="S70" s="40" t="inlineStr">
        <is>
          <t>-</t>
        </is>
      </c>
      <c r="T70" s="40" t="inlineStr">
        <is>
          <t>-</t>
        </is>
      </c>
      <c r="U70" s="40" t="inlineStr">
        <is>
          <t>-</t>
        </is>
      </c>
      <c r="V70" s="40" t="inlineStr">
        <is>
          <t>-</t>
        </is>
      </c>
      <c r="W70" s="40" t="inlineStr">
        <is>
          <t>-</t>
        </is>
      </c>
      <c r="X70" s="50" t="n"/>
    </row>
    <row r="71" ht="18.75" customHeight="1">
      <c r="B71" s="51" t="inlineStr">
        <is>
          <t>Inflow : 銀行借款</t>
        </is>
      </c>
      <c r="C71" s="52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4" t="n"/>
    </row>
    <row r="72" ht="18.75" customHeight="1">
      <c r="B72" s="55" t="inlineStr">
        <is>
          <t>Outflow : 設備折舊</t>
        </is>
      </c>
      <c r="C72" s="39" t="n"/>
      <c r="D72" s="56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50" t="n"/>
    </row>
    <row r="73" ht="18.75" customHeight="1">
      <c r="B73" s="55" t="inlineStr">
        <is>
          <t>Outflow : 設備放置區域租金</t>
        </is>
      </c>
      <c r="C73" s="39" t="inlineStr">
        <is>
          <t>-</t>
        </is>
      </c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50" t="n"/>
    </row>
    <row r="74" ht="18.75" customHeight="1">
      <c r="B74" s="55" t="inlineStr">
        <is>
          <t>Outflow : 返還借款</t>
        </is>
      </c>
      <c r="C74" s="39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50" t="n"/>
    </row>
    <row r="75" ht="18.75" customHeight="1">
      <c r="B75" s="55" t="inlineStr">
        <is>
          <t>Outflow : 利息費用</t>
        </is>
      </c>
      <c r="C75" s="39" t="inlineStr">
        <is>
          <t>-</t>
        </is>
      </c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50" t="n"/>
    </row>
    <row r="76" ht="18.75" customHeight="1">
      <c r="B76" s="55" t="inlineStr">
        <is>
          <t>Outflow : 維運費</t>
        </is>
      </c>
      <c r="C76" s="39" t="inlineStr">
        <is>
          <t>-</t>
        </is>
      </c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50" t="n"/>
    </row>
    <row r="77" ht="18.75" customHeight="1">
      <c r="B77" s="55" t="inlineStr">
        <is>
          <t>Outflow : 保險費</t>
        </is>
      </c>
      <c r="C77" s="39" t="inlineStr">
        <is>
          <t>-</t>
        </is>
      </c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50" t="n"/>
    </row>
    <row r="78" ht="18.75" customHeight="1">
      <c r="B78" s="55" t="inlineStr">
        <is>
          <t>Outflow : 模組回收費</t>
        </is>
      </c>
      <c r="C78" s="39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50" t="n"/>
    </row>
    <row r="79" ht="18.75" customHeight="1">
      <c r="B79" s="55" t="inlineStr">
        <is>
          <t>Outflow : 其它費用(人事薪資…等)</t>
        </is>
      </c>
      <c r="C79" s="57" t="n"/>
      <c r="D79" s="58" t="n"/>
      <c r="E79" s="59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50" t="n"/>
    </row>
    <row r="80" ht="18.75" customHeight="1">
      <c r="B80" s="55" t="inlineStr">
        <is>
          <t>1%管理費</t>
        </is>
      </c>
      <c r="C80" s="57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50" t="n"/>
    </row>
    <row r="81" ht="18.75" customHeight="1">
      <c r="B81" s="189" t="inlineStr">
        <is>
          <t>稅前淨利</t>
        </is>
      </c>
      <c r="C81" s="65" t="n"/>
      <c r="D81" s="66">
        <f>SUM(D69:D80)</f>
        <v/>
      </c>
      <c r="E81" s="66">
        <f>SUM(E69:E80)</f>
        <v/>
      </c>
      <c r="F81" s="66">
        <f>SUM(F69:F80)</f>
        <v/>
      </c>
      <c r="G81" s="66">
        <f>SUM(G69:G80)</f>
        <v/>
      </c>
      <c r="H81" s="66">
        <f>SUM(H69:H80)</f>
        <v/>
      </c>
      <c r="I81" s="66">
        <f>SUM(I69:I80)</f>
        <v/>
      </c>
      <c r="J81" s="66">
        <f>SUM(J69:J80)</f>
        <v/>
      </c>
      <c r="K81" s="66">
        <f>SUM(K69:K80)</f>
        <v/>
      </c>
      <c r="L81" s="66">
        <f>SUM(L69:L80)</f>
        <v/>
      </c>
      <c r="M81" s="66">
        <f>SUM(M69:M80)</f>
        <v/>
      </c>
      <c r="N81" s="66">
        <f>SUM(N69:N80)</f>
        <v/>
      </c>
      <c r="O81" s="66">
        <f>SUM(O69:O80)</f>
        <v/>
      </c>
      <c r="P81" s="66">
        <f>SUM(P69:P80)</f>
        <v/>
      </c>
      <c r="Q81" s="66">
        <f>SUM(Q69:Q80)</f>
        <v/>
      </c>
      <c r="R81" s="66">
        <f>SUM(R69:R80)</f>
        <v/>
      </c>
      <c r="S81" s="66">
        <f>SUM(S69:S80)</f>
        <v/>
      </c>
      <c r="T81" s="66">
        <f>SUM(T69:T80)</f>
        <v/>
      </c>
      <c r="U81" s="66">
        <f>SUM(U69:U80)</f>
        <v/>
      </c>
      <c r="V81" s="66">
        <f>SUM(V69:V80)</f>
        <v/>
      </c>
      <c r="W81" s="66">
        <f>SUM(W69:W80)</f>
        <v/>
      </c>
      <c r="X81" s="66">
        <f>SUM(X69:X80)</f>
        <v/>
      </c>
    </row>
    <row r="82" ht="18.75" customHeight="1">
      <c r="B82" s="60" t="inlineStr">
        <is>
          <t>所得稅20%</t>
        </is>
      </c>
      <c r="C82" s="57" t="n"/>
      <c r="D82" s="40">
        <f>-D81*0.2</f>
        <v/>
      </c>
      <c r="E82" s="40">
        <f>-E81*0.2</f>
        <v/>
      </c>
      <c r="F82" s="40">
        <f>-F81*0.2</f>
        <v/>
      </c>
      <c r="G82" s="40">
        <f>-G81*0.2</f>
        <v/>
      </c>
      <c r="H82" s="40">
        <f>-H81*0.2</f>
        <v/>
      </c>
      <c r="I82" s="40">
        <f>-I81*0.2</f>
        <v/>
      </c>
      <c r="J82" s="40">
        <f>-J81*0.2</f>
        <v/>
      </c>
      <c r="K82" s="40">
        <f>-K81*0.2</f>
        <v/>
      </c>
      <c r="L82" s="40">
        <f>-L81*0.2</f>
        <v/>
      </c>
      <c r="M82" s="40">
        <f>-M81*0.2</f>
        <v/>
      </c>
      <c r="N82" s="40">
        <f>-N81*0.2</f>
        <v/>
      </c>
      <c r="O82" s="40">
        <f>-O81*0.2</f>
        <v/>
      </c>
      <c r="P82" s="40">
        <f>-P81*0.2</f>
        <v/>
      </c>
      <c r="Q82" s="40">
        <f>-Q81*0.2</f>
        <v/>
      </c>
      <c r="R82" s="40">
        <f>-R81*0.2</f>
        <v/>
      </c>
      <c r="S82" s="40">
        <f>-S81*0.2</f>
        <v/>
      </c>
      <c r="T82" s="40">
        <f>-T81*0.2</f>
        <v/>
      </c>
      <c r="U82" s="40">
        <f>-U81*0.2</f>
        <v/>
      </c>
      <c r="V82" s="40">
        <f>-V81*0.2</f>
        <v/>
      </c>
      <c r="W82" s="40">
        <f>-W81*0.2</f>
        <v/>
      </c>
      <c r="X82" s="40">
        <f>-X81*0.2</f>
        <v/>
      </c>
    </row>
    <row r="83">
      <c r="B83" s="191" t="inlineStr">
        <is>
          <t>稅後淨利</t>
        </is>
      </c>
      <c r="D83" s="40">
        <f>SUM(D81:D82)</f>
        <v/>
      </c>
      <c r="E83" s="40">
        <f>SUM(E81:E82)</f>
        <v/>
      </c>
      <c r="F83" s="40">
        <f>SUM(F81:F82)</f>
        <v/>
      </c>
      <c r="G83" s="40">
        <f>SUM(G81:G82)</f>
        <v/>
      </c>
      <c r="H83" s="40">
        <f>SUM(H81:H82)</f>
        <v/>
      </c>
      <c r="I83" s="40">
        <f>SUM(I81:I82)</f>
        <v/>
      </c>
      <c r="J83" s="40">
        <f>SUM(J81:J82)</f>
        <v/>
      </c>
      <c r="K83" s="40">
        <f>SUM(K81:K82)</f>
        <v/>
      </c>
      <c r="L83" s="40">
        <f>SUM(L81:L82)</f>
        <v/>
      </c>
      <c r="M83" s="40">
        <f>SUM(M81:M82)</f>
        <v/>
      </c>
      <c r="N83" s="40">
        <f>SUM(N81:N82)</f>
        <v/>
      </c>
      <c r="O83" s="40">
        <f>SUM(O81:O82)</f>
        <v/>
      </c>
      <c r="P83" s="40">
        <f>SUM(P81:P82)</f>
        <v/>
      </c>
      <c r="Q83" s="40">
        <f>SUM(Q81:Q82)</f>
        <v/>
      </c>
      <c r="R83" s="40">
        <f>SUM(R81:R82)</f>
        <v/>
      </c>
      <c r="S83" s="40">
        <f>SUM(S81:S82)</f>
        <v/>
      </c>
      <c r="T83" s="40">
        <f>SUM(T81:T82)</f>
        <v/>
      </c>
      <c r="U83" s="40">
        <f>SUM(U81:U82)</f>
        <v/>
      </c>
      <c r="V83" s="40">
        <f>SUM(V81:V82)</f>
        <v/>
      </c>
      <c r="W83" s="40">
        <f>SUM(W81:W82)</f>
        <v/>
      </c>
      <c r="X83" s="40">
        <f>SUM(X81:X82)</f>
        <v/>
      </c>
    </row>
    <row r="84" ht="18.75" customHeight="1">
      <c r="B84" s="70" t="inlineStr">
        <is>
          <t>累計現金流</t>
        </is>
      </c>
      <c r="C84" s="71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3" t="n"/>
    </row>
    <row r="85" ht="18.75" customHeight="1">
      <c r="B85" s="90" t="inlineStr">
        <is>
          <t>回收年限評估</t>
        </is>
      </c>
      <c r="C85" s="91" t="n"/>
      <c r="D85" s="92" t="n"/>
      <c r="E85" s="92" t="n"/>
      <c r="F85" s="92" t="n"/>
      <c r="G85" s="92" t="n"/>
      <c r="H85" s="92" t="n"/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93" t="n"/>
    </row>
    <row r="86" ht="18.75" customHeight="1">
      <c r="B86" s="28" t="n"/>
      <c r="C86" s="149" t="n"/>
      <c r="D86" s="149" t="n"/>
      <c r="E86" s="149" t="n"/>
      <c r="F86" s="59" t="n"/>
      <c r="G86" s="59" t="n"/>
      <c r="H86" s="59" t="n"/>
      <c r="I86" s="59" t="n"/>
      <c r="J86" s="59" t="n"/>
      <c r="K86" s="59" t="n"/>
      <c r="L86" s="59" t="inlineStr">
        <is>
          <t>預估可建置量</t>
        </is>
      </c>
      <c r="M86" s="96" t="n">
        <v>0</v>
      </c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95" t="n"/>
    </row>
    <row r="87" ht="18.75" customHeight="1">
      <c r="C87" s="97" t="inlineStr">
        <is>
          <t>年份</t>
        </is>
      </c>
      <c r="D87" s="98" t="n">
        <v>2020</v>
      </c>
      <c r="E87" s="98" t="n">
        <v>2021</v>
      </c>
      <c r="F87" s="98" t="n">
        <v>2022</v>
      </c>
      <c r="G87" s="98" t="n">
        <v>2023</v>
      </c>
      <c r="H87" s="98" t="n">
        <v>2024</v>
      </c>
      <c r="I87" s="98" t="n">
        <v>2025</v>
      </c>
      <c r="J87" s="98" t="n">
        <v>2026</v>
      </c>
      <c r="K87" s="98" t="n">
        <v>2027</v>
      </c>
      <c r="L87" s="98" t="n">
        <v>2028</v>
      </c>
      <c r="M87" s="98" t="n">
        <v>2029</v>
      </c>
      <c r="N87" s="98" t="n">
        <v>2030</v>
      </c>
      <c r="O87" s="98" t="n">
        <v>2031</v>
      </c>
      <c r="P87" s="98" t="n">
        <v>2032</v>
      </c>
      <c r="Q87" s="98" t="n">
        <v>2033</v>
      </c>
      <c r="R87" s="98" t="n">
        <v>2034</v>
      </c>
      <c r="S87" s="98" t="n">
        <v>2035</v>
      </c>
      <c r="T87" s="98" t="n">
        <v>2036</v>
      </c>
      <c r="U87" s="98" t="n">
        <v>2037</v>
      </c>
      <c r="V87" s="98" t="n">
        <v>2038</v>
      </c>
      <c r="W87" s="98" t="n">
        <v>2039</v>
      </c>
      <c r="X87" s="99" t="n"/>
    </row>
    <row r="88" ht="18.75" customHeight="1">
      <c r="X88" s="99" t="n"/>
    </row>
    <row r="89" ht="18.75" customHeight="1">
      <c r="B89" s="100" t="inlineStr">
        <is>
          <t>(Unit : Currency)</t>
        </is>
      </c>
      <c r="C89" s="101" t="n">
        <v>0</v>
      </c>
      <c r="D89" s="101" t="n">
        <v>1</v>
      </c>
      <c r="E89" s="101" t="n">
        <v>2</v>
      </c>
      <c r="F89" s="101" t="n">
        <v>3</v>
      </c>
      <c r="G89" s="101" t="n">
        <v>4</v>
      </c>
      <c r="H89" s="101" t="n">
        <v>5</v>
      </c>
      <c r="I89" s="101" t="n">
        <v>6</v>
      </c>
      <c r="J89" s="101" t="n">
        <v>7</v>
      </c>
      <c r="K89" s="101" t="n">
        <v>8</v>
      </c>
      <c r="L89" s="101" t="n">
        <v>9</v>
      </c>
      <c r="M89" s="101" t="n">
        <v>10</v>
      </c>
      <c r="N89" s="101" t="n">
        <v>11</v>
      </c>
      <c r="O89" s="101" t="n">
        <v>12</v>
      </c>
      <c r="P89" s="101" t="n">
        <v>13</v>
      </c>
      <c r="Q89" s="101" t="n">
        <v>14</v>
      </c>
      <c r="R89" s="101" t="n">
        <v>15</v>
      </c>
      <c r="S89" s="101" t="n">
        <v>16</v>
      </c>
      <c r="T89" s="101" t="n">
        <v>17</v>
      </c>
      <c r="U89" s="101" t="n">
        <v>18</v>
      </c>
      <c r="V89" s="101" t="n">
        <v>19</v>
      </c>
      <c r="W89" s="101" t="n">
        <v>20</v>
      </c>
      <c r="X89" s="102" t="n"/>
    </row>
    <row r="90" ht="18.75" customHeight="1">
      <c r="B90" s="103" t="inlineStr">
        <is>
          <t>稅後淨利</t>
        </is>
      </c>
      <c r="C90" s="104" t="n"/>
      <c r="D90" s="101">
        <f>D81</f>
        <v/>
      </c>
      <c r="E90" s="101">
        <f>E81</f>
        <v/>
      </c>
      <c r="F90" s="101">
        <f>F81</f>
        <v/>
      </c>
      <c r="G90" s="101">
        <f>G81</f>
        <v/>
      </c>
      <c r="H90" s="101">
        <f>H81</f>
        <v/>
      </c>
      <c r="I90" s="101">
        <f>I81</f>
        <v/>
      </c>
      <c r="J90" s="101">
        <f>J81</f>
        <v/>
      </c>
      <c r="K90" s="101">
        <f>K81</f>
        <v/>
      </c>
      <c r="L90" s="101">
        <f>L81</f>
        <v/>
      </c>
      <c r="M90" s="101">
        <f>M81</f>
        <v/>
      </c>
      <c r="N90" s="101">
        <f>N81</f>
        <v/>
      </c>
      <c r="O90" s="101">
        <f>O81</f>
        <v/>
      </c>
      <c r="P90" s="101">
        <f>P81</f>
        <v/>
      </c>
      <c r="Q90" s="101">
        <f>Q81</f>
        <v/>
      </c>
      <c r="R90" s="101">
        <f>R81</f>
        <v/>
      </c>
      <c r="S90" s="101">
        <f>S81</f>
        <v/>
      </c>
      <c r="T90" s="101">
        <f>T81</f>
        <v/>
      </c>
      <c r="U90" s="101">
        <f>U81</f>
        <v/>
      </c>
      <c r="V90" s="101">
        <f>V81</f>
        <v/>
      </c>
      <c r="W90" s="101">
        <f>W81</f>
        <v/>
      </c>
      <c r="X90" s="104" t="n"/>
      <c r="Y90" s="104" t="n"/>
    </row>
    <row r="91">
      <c r="B91" s="103" t="inlineStr">
        <is>
          <t>設備折舊</t>
        </is>
      </c>
      <c r="C91" s="104" t="n"/>
      <c r="D91" s="105" t="n"/>
      <c r="E91" s="105" t="n"/>
      <c r="F91" s="105" t="n"/>
      <c r="G91" s="105" t="n"/>
      <c r="H91" s="105" t="n"/>
      <c r="I91" s="105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5" t="n"/>
      <c r="T91" s="105" t="n"/>
      <c r="U91" s="105" t="n"/>
      <c r="V91" s="105" t="n"/>
      <c r="W91" s="105" t="n"/>
      <c r="X91" s="77" t="n"/>
    </row>
    <row r="92">
      <c r="B92" s="103" t="inlineStr">
        <is>
          <t>營運活動現金流量</t>
        </is>
      </c>
      <c r="C92" s="104" t="n"/>
      <c r="D92" s="192">
        <f>SUM(D90:D91)</f>
        <v/>
      </c>
      <c r="E92" s="192">
        <f>SUM(E90:E91)</f>
        <v/>
      </c>
      <c r="F92" s="192">
        <f>SUM(F90:F91)</f>
        <v/>
      </c>
      <c r="G92" s="192">
        <f>SUM(G90:G91)</f>
        <v/>
      </c>
      <c r="H92" s="192">
        <f>SUM(H90:H91)</f>
        <v/>
      </c>
      <c r="I92" s="192">
        <f>SUM(I90:I91)</f>
        <v/>
      </c>
      <c r="J92" s="192">
        <f>SUM(J90:J91)</f>
        <v/>
      </c>
      <c r="K92" s="192">
        <f>SUM(K90:K91)</f>
        <v/>
      </c>
      <c r="L92" s="192">
        <f>SUM(L90:L91)</f>
        <v/>
      </c>
      <c r="M92" s="192">
        <f>SUM(M90:M91)</f>
        <v/>
      </c>
      <c r="N92" s="192">
        <f>SUM(N90:N91)</f>
        <v/>
      </c>
      <c r="O92" s="192">
        <f>SUM(O90:O91)</f>
        <v/>
      </c>
      <c r="P92" s="192">
        <f>SUM(P90:P91)</f>
        <v/>
      </c>
      <c r="Q92" s="192">
        <f>SUM(Q90:Q91)</f>
        <v/>
      </c>
      <c r="R92" s="192">
        <f>SUM(R90:R91)</f>
        <v/>
      </c>
      <c r="S92" s="192">
        <f>SUM(S90:S91)</f>
        <v/>
      </c>
      <c r="T92" s="192">
        <f>SUM(T90:T91)</f>
        <v/>
      </c>
      <c r="U92" s="192">
        <f>SUM(U90:U91)</f>
        <v/>
      </c>
      <c r="V92" s="192">
        <f>SUM(V90:V91)</f>
        <v/>
      </c>
      <c r="W92" s="192">
        <f>SUM(W90:W91)</f>
        <v/>
      </c>
      <c r="X92" s="107" t="n"/>
    </row>
    <row r="93">
      <c r="B93" s="103" t="n"/>
      <c r="C93" s="104" t="n"/>
      <c r="D93" s="104" t="n"/>
      <c r="E93" s="104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99" t="n"/>
    </row>
    <row r="94">
      <c r="B94" s="109" t="inlineStr">
        <is>
          <t>投資活動-設備支出</t>
        </is>
      </c>
      <c r="C94" s="110" t="n"/>
      <c r="D94" s="111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O94" s="110" t="n"/>
      <c r="P94" s="110" t="n"/>
      <c r="Q94" s="110" t="n"/>
      <c r="R94" s="110" t="n"/>
      <c r="S94" s="110" t="n"/>
      <c r="T94" s="110" t="n"/>
      <c r="U94" s="110" t="n"/>
      <c r="V94" s="110" t="n"/>
      <c r="W94" s="110" t="n"/>
      <c r="X94" s="77" t="n"/>
    </row>
    <row r="95">
      <c r="B95" s="103" t="n"/>
      <c r="C95" s="104" t="n"/>
      <c r="D95" s="104" t="n"/>
      <c r="E95" s="104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99" t="n"/>
    </row>
    <row r="96">
      <c r="B96" s="103" t="n"/>
      <c r="C96" s="104" t="n"/>
      <c r="D96" s="104" t="n"/>
      <c r="E96" s="104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99" t="n"/>
    </row>
    <row r="97">
      <c r="B97" s="109" t="inlineStr">
        <is>
          <t>理財活動-借款</t>
        </is>
      </c>
      <c r="C97" s="110" t="n"/>
      <c r="D97" s="111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O97" s="110" t="n"/>
      <c r="P97" s="110" t="n"/>
      <c r="Q97" s="110" t="n"/>
      <c r="R97" s="110" t="n"/>
      <c r="S97" s="110" t="n"/>
      <c r="T97" s="110" t="n"/>
      <c r="U97" s="110" t="n"/>
      <c r="V97" s="110" t="n"/>
      <c r="W97" s="110" t="n"/>
      <c r="X97" s="99" t="n"/>
    </row>
    <row r="98">
      <c r="B98" s="103" t="inlineStr">
        <is>
          <t>理財活動-還款</t>
        </is>
      </c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8" t="n"/>
      <c r="U98" s="108" t="n"/>
      <c r="V98" s="108" t="n"/>
      <c r="W98" s="108" t="n"/>
      <c r="X98" s="77" t="n"/>
    </row>
    <row r="99">
      <c r="B99" s="103" t="inlineStr">
        <is>
          <t>理財活動-現金增資</t>
        </is>
      </c>
      <c r="C99" s="108" t="n"/>
      <c r="D99" s="104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7" t="n"/>
    </row>
    <row r="100">
      <c r="B100" s="103" t="inlineStr">
        <is>
          <t>現金股利</t>
        </is>
      </c>
      <c r="C100" s="108" t="n"/>
      <c r="D100" s="108" t="n"/>
      <c r="E100" s="112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  <c r="U100" s="104" t="n"/>
      <c r="V100" s="108" t="n"/>
      <c r="W100" s="104" t="n"/>
      <c r="X100" s="107" t="n"/>
    </row>
    <row r="101">
      <c r="B101" s="113" t="inlineStr">
        <is>
          <t>年底減資</t>
        </is>
      </c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5" t="n"/>
      <c r="S101" s="115" t="n"/>
      <c r="T101" s="115" t="n"/>
      <c r="U101" s="115" t="n"/>
      <c r="V101" s="114" t="n"/>
      <c r="W101" s="114" t="n"/>
      <c r="X101" s="107" t="n"/>
    </row>
    <row r="102"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7" t="n"/>
    </row>
    <row r="103"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7" t="n"/>
    </row>
    <row r="104">
      <c r="B104" s="103" t="inlineStr">
        <is>
          <t>現金淨流入(出 )</t>
        </is>
      </c>
      <c r="D104" s="108" t="n"/>
      <c r="E104" s="106" t="n"/>
      <c r="F104" s="106" t="n"/>
      <c r="G104" s="106" t="n"/>
      <c r="H104" s="106" t="n"/>
      <c r="I104" s="106" t="n"/>
      <c r="J104" s="106" t="n"/>
      <c r="K104" s="106" t="n"/>
      <c r="L104" s="106" t="n"/>
      <c r="M104" s="106" t="n"/>
      <c r="N104" s="106" t="n"/>
      <c r="O104" s="106" t="n"/>
      <c r="P104" s="106" t="n"/>
      <c r="Q104" s="106" t="n"/>
      <c r="R104" s="106" t="n"/>
      <c r="S104" s="106" t="n"/>
      <c r="T104" s="106" t="n"/>
      <c r="U104" s="106" t="n"/>
      <c r="V104" s="106" t="n"/>
      <c r="W104" s="106" t="n"/>
      <c r="X104" s="107" t="n"/>
    </row>
    <row r="105">
      <c r="B105" s="103" t="inlineStr">
        <is>
          <t>期初淨現金</t>
        </is>
      </c>
      <c r="C105" s="108" t="n"/>
      <c r="D105" s="108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8" t="n"/>
      <c r="W105" s="108" t="n"/>
      <c r="X105" s="99" t="n"/>
    </row>
    <row r="106">
      <c r="B106" s="103" t="inlineStr">
        <is>
          <t>期未淨現金</t>
        </is>
      </c>
      <c r="C106" s="108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  <c r="U106" s="104" t="n"/>
      <c r="V106" s="108" t="n"/>
      <c r="W106" s="108" t="n"/>
      <c r="X106" s="99" t="n"/>
    </row>
    <row r="107">
      <c r="B107" s="103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16" t="n"/>
    </row>
    <row r="108">
      <c r="B108" s="103" t="n"/>
      <c r="C108" s="104" t="n"/>
      <c r="D108" s="104" t="n"/>
      <c r="E108" s="104" t="n"/>
      <c r="F108" s="108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16" t="n"/>
    </row>
    <row r="109">
      <c r="B109" s="117" t="inlineStr">
        <is>
          <t>成本法實際現金流</t>
        </is>
      </c>
      <c r="C109" s="118" t="n"/>
      <c r="D109" s="193">
        <f>-D97</f>
        <v/>
      </c>
      <c r="E109" s="192">
        <f>-E100-E101</f>
        <v/>
      </c>
      <c r="F109" s="192">
        <f>-F100-F101</f>
        <v/>
      </c>
      <c r="G109" s="192">
        <f>-G100-G101</f>
        <v/>
      </c>
      <c r="H109" s="192">
        <f>-H100-H101</f>
        <v/>
      </c>
      <c r="I109" s="192">
        <f>-I100-I101</f>
        <v/>
      </c>
      <c r="J109" s="192">
        <f>-J100-J101</f>
        <v/>
      </c>
      <c r="K109" s="192">
        <f>-K100-K101</f>
        <v/>
      </c>
      <c r="L109" s="192">
        <f>-L100-L101</f>
        <v/>
      </c>
      <c r="M109" s="192">
        <f>-M100-M101</f>
        <v/>
      </c>
      <c r="N109" s="192">
        <f>-N100-N101</f>
        <v/>
      </c>
      <c r="O109" s="192">
        <f>-O100-O101</f>
        <v/>
      </c>
      <c r="P109" s="192">
        <f>-P100-P101</f>
        <v/>
      </c>
      <c r="Q109" s="192">
        <f>-Q100-Q101</f>
        <v/>
      </c>
      <c r="R109" s="192">
        <f>-R100-R101</f>
        <v/>
      </c>
      <c r="S109" s="192">
        <f>-S100-S101</f>
        <v/>
      </c>
      <c r="T109" s="192">
        <f>-T100-T101</f>
        <v/>
      </c>
      <c r="U109" s="192">
        <f>-U100-U101</f>
        <v/>
      </c>
      <c r="V109" s="192">
        <f>-V100-V101</f>
        <v/>
      </c>
      <c r="W109" s="192">
        <f>-W100-W101</f>
        <v/>
      </c>
      <c r="X109" s="192">
        <f>-X100-X101</f>
        <v/>
      </c>
    </row>
    <row r="110">
      <c r="B110" s="103" t="inlineStr">
        <is>
          <t>成本法IRR</t>
        </is>
      </c>
      <c r="C110" s="120">
        <f>IRR(D109:X109)</f>
        <v/>
      </c>
      <c r="D110" s="150" t="n"/>
      <c r="E110" s="150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  <c r="U110" s="104" t="n"/>
      <c r="V110" s="104" t="n"/>
      <c r="W110" s="104" t="n"/>
      <c r="X110" s="116" t="n"/>
    </row>
    <row r="111">
      <c r="B111" s="117" t="inlineStr">
        <is>
          <t>權益法實際現金流</t>
        </is>
      </c>
      <c r="C111" s="118" t="n"/>
      <c r="D111" s="193">
        <f>D90-D99</f>
        <v/>
      </c>
      <c r="E111" s="192">
        <f>E90</f>
        <v/>
      </c>
      <c r="F111" s="192">
        <f>F90</f>
        <v/>
      </c>
      <c r="G111" s="192">
        <f>G90</f>
        <v/>
      </c>
      <c r="H111" s="192">
        <f>H90</f>
        <v/>
      </c>
      <c r="I111" s="192">
        <f>I90</f>
        <v/>
      </c>
      <c r="J111" s="192">
        <f>J90</f>
        <v/>
      </c>
      <c r="K111" s="192">
        <f>K90</f>
        <v/>
      </c>
      <c r="L111" s="192">
        <f>L90</f>
        <v/>
      </c>
      <c r="M111" s="192">
        <f>M90</f>
        <v/>
      </c>
      <c r="N111" s="192">
        <f>N90</f>
        <v/>
      </c>
      <c r="O111" s="192">
        <f>O90</f>
        <v/>
      </c>
      <c r="P111" s="192">
        <f>P90</f>
        <v/>
      </c>
      <c r="Q111" s="192">
        <f>Q90</f>
        <v/>
      </c>
      <c r="R111" s="192">
        <f>R90</f>
        <v/>
      </c>
      <c r="S111" s="192">
        <f>S90</f>
        <v/>
      </c>
      <c r="T111" s="192">
        <f>T90</f>
        <v/>
      </c>
      <c r="U111" s="192">
        <f>U90</f>
        <v/>
      </c>
      <c r="V111" s="192">
        <f>V90</f>
        <v/>
      </c>
      <c r="W111" s="192">
        <f>W90</f>
        <v/>
      </c>
      <c r="X111" s="77" t="n"/>
    </row>
    <row r="112">
      <c r="B112" s="117" t="inlineStr">
        <is>
          <t>權益法IRR</t>
        </is>
      </c>
      <c r="C112" s="120">
        <f>IRR(D111:W111)</f>
        <v/>
      </c>
      <c r="D112" s="150" t="n"/>
      <c r="E112" s="150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  <c r="U112" s="104" t="n"/>
      <c r="V112" s="104" t="n"/>
      <c r="W112" s="104" t="n"/>
      <c r="X112" s="116" t="n"/>
    </row>
    <row r="113">
      <c r="B113" s="103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16" t="n"/>
    </row>
    <row r="114">
      <c r="B114" s="103" t="inlineStr">
        <is>
          <t>借款餘額</t>
        </is>
      </c>
      <c r="C114" s="108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8" t="n"/>
      <c r="U114" s="108" t="n"/>
      <c r="V114" s="108" t="n"/>
      <c r="W114" s="108" t="n"/>
      <c r="X114" s="108" t="n"/>
    </row>
    <row r="115"/>
    <row r="116">
      <c r="B116" s="122" t="n"/>
    </row>
    <row r="117" ht="16.5" customHeight="1">
      <c r="G117" s="69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0.5703125" customWidth="1" min="1" max="1"/>
    <col width="33.140625" customWidth="1" min="2" max="2"/>
    <col width="19.42578125" customWidth="1" min="3" max="3"/>
    <col width="17.85546875" customWidth="1" min="4" max="4"/>
    <col width="17.85546875" customWidth="1" min="24" max="24"/>
    <col width="30" customWidth="1" min="25" max="25"/>
    <col width="13.5703125" customWidth="1" min="26" max="26"/>
    <col width="19.5703125" customWidth="1" min="30" max="30"/>
    <col width="20.5703125" customWidth="1" min="31" max="31"/>
    <col width="20.28515625" customWidth="1" min="32" max="32"/>
    <col width="20.85546875" customWidth="1" min="33" max="33"/>
    <col width="15.5703125" customWidth="1" min="34" max="34"/>
    <col width="36.85546875" customWidth="1" min="35" max="35"/>
    <col width="32.5703125" customWidth="1" min="36" max="36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10</t>
        </is>
      </c>
    </row>
    <row r="5" ht="22.5" customHeight="1">
      <c r="B5" s="161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第9次滾算摘要</t>
        </is>
      </c>
    </row>
    <row r="6" ht="20.25" customHeight="1">
      <c r="B6" s="162" t="n"/>
      <c r="C6" s="163" t="n"/>
      <c r="D6" s="163" t="n"/>
      <c r="E6" s="163" t="n"/>
      <c r="M6" t="inlineStr">
        <is>
          <t>價金: 20000</t>
        </is>
      </c>
    </row>
    <row r="7" ht="22.5" customHeight="1">
      <c r="B7" s="164" t="inlineStr">
        <is>
          <t>綜合損益表</t>
        </is>
      </c>
      <c r="C7" s="153" t="n"/>
      <c r="D7" s="153" t="n"/>
      <c r="E7" s="154" t="n"/>
      <c r="M7" t="inlineStr">
        <is>
          <t>專案IRR: 8.67</t>
        </is>
      </c>
    </row>
    <row r="8" ht="22.5" customHeight="1">
      <c r="B8" s="165" t="inlineStr">
        <is>
          <t>收入</t>
        </is>
      </c>
      <c r="C8" s="166" t="n"/>
      <c r="D8" s="166" t="n"/>
      <c r="E8" s="167" t="n"/>
      <c r="M8" t="inlineStr">
        <is>
          <t>權益法IRR: 34.13</t>
        </is>
      </c>
    </row>
    <row r="9" ht="22.5" customHeight="1">
      <c r="B9" s="168" t="inlineStr">
        <is>
          <t>收支項目</t>
        </is>
      </c>
      <c r="C9" s="169" t="inlineStr">
        <is>
          <t>相關參數</t>
        </is>
      </c>
      <c r="D9" s="169" t="inlineStr">
        <is>
          <t>參數數值</t>
        </is>
      </c>
      <c r="E9" s="170" t="inlineStr">
        <is>
          <t>年限</t>
        </is>
      </c>
      <c r="M9" t="inlineStr">
        <is>
          <t>利潤率: 20.00%</t>
        </is>
      </c>
    </row>
    <row r="10" ht="21.75" customHeight="1">
      <c r="B10" s="171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72" t="n">
        <v>20</v>
      </c>
      <c r="M10" t="inlineStr">
        <is>
          <t>第9次滾算，減少 1000 元 - 現金模式，每次減少 1000 元</t>
        </is>
      </c>
    </row>
    <row r="11" ht="21.75" customHeight="1">
      <c r="B11" s="173" t="n"/>
      <c r="C11" s="159" t="inlineStr">
        <is>
          <t>首年衰退率</t>
        </is>
      </c>
      <c r="D11" s="174" t="n">
        <v>0.01</v>
      </c>
      <c r="E11" s="173" t="n"/>
    </row>
    <row r="12" ht="21.75" customHeight="1">
      <c r="B12" s="173" t="n"/>
      <c r="C12" s="159" t="inlineStr">
        <is>
          <t>次年衰退率</t>
        </is>
      </c>
      <c r="D12" s="175" t="n">
        <v>0.004</v>
      </c>
      <c r="E12" s="173" t="n"/>
    </row>
    <row r="13" ht="22.5" customHeight="1">
      <c r="B13" s="173" t="n"/>
      <c r="C13" s="176" t="inlineStr">
        <is>
          <t>躉售費率(FIT)</t>
        </is>
      </c>
      <c r="D13" s="176" t="n">
        <v>3.7152</v>
      </c>
      <c r="E13" s="173" t="n"/>
    </row>
    <row r="14" ht="22.5" customHeight="1">
      <c r="B14" s="177" t="inlineStr">
        <is>
          <t>支出</t>
        </is>
      </c>
      <c r="C14" s="153" t="n"/>
      <c r="D14" s="153" t="n"/>
      <c r="E14" s="154" t="n"/>
    </row>
    <row r="15" ht="22.5" customHeight="1">
      <c r="B15" s="168" t="inlineStr">
        <is>
          <t>收支項目</t>
        </is>
      </c>
      <c r="C15" s="169" t="inlineStr">
        <is>
          <t>相關參數</t>
        </is>
      </c>
      <c r="D15" s="169" t="inlineStr">
        <is>
          <t>參數數值</t>
        </is>
      </c>
      <c r="E15" s="178" t="inlineStr">
        <is>
          <t>攤提年限</t>
        </is>
      </c>
    </row>
    <row r="16" ht="21.75" customHeight="1">
      <c r="B16" s="179" t="inlineStr">
        <is>
          <t>設備費用(價金)</t>
        </is>
      </c>
      <c r="C16" s="180" t="inlineStr">
        <is>
          <t>每kWp設備成本</t>
        </is>
      </c>
      <c r="D16" s="156" t="n">
        <v>20000</v>
      </c>
      <c r="E16" s="181" t="n">
        <v>20</v>
      </c>
    </row>
    <row r="17" ht="21.75" customHeight="1">
      <c r="B17" s="173" t="n"/>
      <c r="C17" s="159" t="inlineStr">
        <is>
          <t>信邦利潤率</t>
        </is>
      </c>
      <c r="D17" s="159" t="n">
        <v>0.2</v>
      </c>
      <c r="E17" s="173" t="n"/>
    </row>
    <row r="18" ht="21.75" customHeight="1">
      <c r="B18" s="182" t="n"/>
      <c r="C18" s="159" t="inlineStr">
        <is>
          <t>開發費</t>
        </is>
      </c>
      <c r="D18" s="159" t="n">
        <v>2000</v>
      </c>
      <c r="E18" s="182" t="n"/>
    </row>
    <row r="19" ht="54" customHeight="1">
      <c r="B19" s="183" t="inlineStr">
        <is>
          <t>租金費用</t>
        </is>
      </c>
      <c r="C19" s="184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3" t="n"/>
      <c r="C20" s="185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82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61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61" t="inlineStr">
        <is>
          <t>保險費用</t>
        </is>
      </c>
      <c r="C23" s="186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61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61" t="inlineStr">
        <is>
          <t>利息費用</t>
        </is>
      </c>
      <c r="C25" s="159" t="inlineStr">
        <is>
          <t>銀行利率</t>
        </is>
      </c>
      <c r="D25" s="187" t="n">
        <v>0.025595</v>
      </c>
      <c r="E25" s="160" t="n">
        <v>0</v>
      </c>
    </row>
    <row r="26" ht="22.5" customHeight="1">
      <c r="B26" s="161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2" t="n"/>
      <c r="C27" s="163" t="n"/>
      <c r="D27" s="163" t="n"/>
      <c r="E27" s="163" t="n"/>
    </row>
    <row r="28" ht="20.25" customHeight="1">
      <c r="B28" s="162" t="n"/>
      <c r="C28" s="163" t="n"/>
      <c r="D28" s="163" t="n"/>
      <c r="E28" s="163" t="n"/>
    </row>
    <row r="29" ht="22.5" customHeight="1">
      <c r="B29" s="164" t="inlineStr">
        <is>
          <t>現金流量表</t>
        </is>
      </c>
      <c r="C29" s="153" t="n"/>
      <c r="D29" s="154" t="n"/>
      <c r="E29" s="163" t="n"/>
    </row>
    <row r="30" ht="22.5" customHeight="1">
      <c r="B30" s="168" t="inlineStr">
        <is>
          <t>金流項目</t>
        </is>
      </c>
      <c r="C30" s="169" t="inlineStr">
        <is>
          <t>相關參數</t>
        </is>
      </c>
      <c r="D30" s="178" t="inlineStr">
        <is>
          <t>參數數值</t>
        </is>
      </c>
      <c r="E30" s="163" t="n"/>
    </row>
    <row r="31" ht="18.75" customHeight="1">
      <c r="B31" s="155" t="inlineStr">
        <is>
          <t>貸款成數</t>
        </is>
      </c>
      <c r="C31" s="180" t="inlineStr">
        <is>
          <t>占總設備費用比例</t>
        </is>
      </c>
      <c r="D31" s="156" t="n">
        <v>0.8</v>
      </c>
      <c r="E31" s="163" t="n"/>
    </row>
    <row r="32" ht="18.75" customHeight="1">
      <c r="B32" s="188" t="inlineStr">
        <is>
          <t>貸款還款</t>
        </is>
      </c>
      <c r="C32" s="156" t="inlineStr">
        <is>
          <t>攤還期數</t>
        </is>
      </c>
      <c r="D32" s="156" t="n">
        <v>15</v>
      </c>
      <c r="E32" s="163" t="n"/>
    </row>
    <row r="33" ht="18.75" customHeight="1">
      <c r="B33" s="161" t="inlineStr">
        <is>
          <t>現金股利</t>
        </is>
      </c>
      <c r="C33" s="159" t="inlineStr">
        <is>
          <t>股利比率</t>
        </is>
      </c>
      <c r="D33" s="159" t="n">
        <v>0.9</v>
      </c>
      <c r="E33" s="163" t="n"/>
    </row>
    <row r="34" ht="18.75" customHeight="1">
      <c r="B34" s="161" t="inlineStr">
        <is>
          <t>年底減資</t>
        </is>
      </c>
      <c r="C34" s="159" t="inlineStr">
        <is>
          <t>攤還期數</t>
        </is>
      </c>
      <c r="D34" s="159" t="n">
        <v>4</v>
      </c>
      <c r="E34" s="163" t="n"/>
    </row>
    <row r="35" ht="18.75" customHeight="1"/>
    <row r="36" ht="18.75" customHeight="1"/>
    <row r="37" ht="18.75" customHeight="1">
      <c r="B37" s="28" t="n"/>
      <c r="C37" s="29" t="inlineStr">
        <is>
          <t>年份</t>
        </is>
      </c>
      <c r="D37" s="29" t="n">
        <v>2020</v>
      </c>
      <c r="E37" s="29" t="n">
        <v>2021</v>
      </c>
      <c r="F37" s="29" t="n">
        <v>2022</v>
      </c>
      <c r="G37" s="29" t="n">
        <v>2023</v>
      </c>
      <c r="H37" s="29" t="n">
        <v>2024</v>
      </c>
      <c r="I37" s="29" t="n">
        <v>2025</v>
      </c>
      <c r="J37" s="29" t="n">
        <v>2026</v>
      </c>
      <c r="K37" s="29" t="n">
        <v>2027</v>
      </c>
      <c r="L37" s="29" t="n">
        <v>2028</v>
      </c>
      <c r="M37" s="29" t="n">
        <v>2029</v>
      </c>
      <c r="N37" s="29" t="n">
        <v>2030</v>
      </c>
      <c r="O37" s="29" t="n">
        <v>2031</v>
      </c>
      <c r="P37" s="29" t="n">
        <v>2032</v>
      </c>
      <c r="Q37" s="29" t="n">
        <v>2033</v>
      </c>
      <c r="R37" s="29" t="n">
        <v>2034</v>
      </c>
      <c r="S37" s="29" t="n">
        <v>2035</v>
      </c>
      <c r="T37" s="29" t="n">
        <v>2036</v>
      </c>
      <c r="U37" s="29" t="n">
        <v>2037</v>
      </c>
      <c r="V37" s="29" t="n">
        <v>2038</v>
      </c>
      <c r="W37" s="29" t="n">
        <v>2039</v>
      </c>
      <c r="X37" s="30" t="n"/>
    </row>
    <row r="38" ht="18.75" customHeight="1">
      <c r="B38" s="31" t="n">
        <v>0</v>
      </c>
      <c r="C38" s="32" t="n"/>
      <c r="D38" s="33" t="n"/>
      <c r="E38" s="33" t="n"/>
      <c r="F38" s="34" t="inlineStr">
        <is>
          <t>手動計算值</t>
        </is>
      </c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6" t="inlineStr">
        <is>
          <t>償還年限</t>
        </is>
      </c>
      <c r="U38" s="35" t="n"/>
      <c r="V38" s="35" t="n"/>
      <c r="W38" s="35" t="n"/>
      <c r="X38" s="37" t="n"/>
    </row>
    <row r="39" ht="18.75" customHeight="1">
      <c r="B39" s="38" t="inlineStr">
        <is>
          <t>(Unit : Currency)</t>
        </is>
      </c>
      <c r="C39" s="39" t="n">
        <v>0</v>
      </c>
      <c r="D39" s="40" t="n">
        <v>1</v>
      </c>
      <c r="E39" s="40" t="n">
        <v>2</v>
      </c>
      <c r="F39" s="40" t="n">
        <v>3</v>
      </c>
      <c r="G39" s="40" t="n">
        <v>4</v>
      </c>
      <c r="H39" s="40" t="n">
        <v>5</v>
      </c>
      <c r="I39" s="40" t="n">
        <v>6</v>
      </c>
      <c r="J39" s="40" t="n">
        <v>7</v>
      </c>
      <c r="K39" s="40" t="n">
        <v>8</v>
      </c>
      <c r="L39" s="40" t="n">
        <v>9</v>
      </c>
      <c r="M39" s="40" t="n">
        <v>10</v>
      </c>
      <c r="N39" s="40" t="n">
        <v>11</v>
      </c>
      <c r="O39" s="40" t="n">
        <v>12</v>
      </c>
      <c r="P39" s="40" t="n">
        <v>13</v>
      </c>
      <c r="Q39" s="40" t="n">
        <v>14</v>
      </c>
      <c r="R39" s="40" t="n">
        <v>15</v>
      </c>
      <c r="S39" s="40" t="n">
        <v>16</v>
      </c>
      <c r="T39" s="41" t="n">
        <v>17</v>
      </c>
      <c r="U39" s="40" t="n">
        <v>18</v>
      </c>
      <c r="V39" s="40" t="n">
        <v>19</v>
      </c>
      <c r="W39" s="40" t="n">
        <v>20</v>
      </c>
      <c r="X39" s="42" t="n"/>
    </row>
    <row r="40" ht="18.75" customHeight="1">
      <c r="B40" s="43" t="inlineStr">
        <is>
          <t>發電度數(KWH)</t>
        </is>
      </c>
      <c r="C40" s="39" t="n">
        <v>0</v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4" t="n"/>
    </row>
    <row r="41" ht="18.75" customHeight="1">
      <c r="B41" s="45" t="inlineStr">
        <is>
          <t>Inflow : 電費收入</t>
        </is>
      </c>
      <c r="C41" s="46" t="inlineStr">
        <is>
          <t>-</t>
        </is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8" t="n"/>
    </row>
    <row r="42" ht="18.75" customHeight="1">
      <c r="B42" s="49" t="inlineStr">
        <is>
          <t>Inflow : 政府補助</t>
        </is>
      </c>
      <c r="C42" s="39" t="inlineStr">
        <is>
          <t>-</t>
        </is>
      </c>
      <c r="D42" s="40" t="n"/>
      <c r="E42" s="40" t="n"/>
      <c r="F42" s="40" t="n"/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40" t="inlineStr">
        <is>
          <t>-</t>
        </is>
      </c>
      <c r="X42" s="50" t="n"/>
    </row>
    <row r="43" ht="18.75" customHeight="1">
      <c r="B43" s="51" t="inlineStr">
        <is>
          <t>Inflow : 銀行借款</t>
        </is>
      </c>
      <c r="C43" s="52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4" t="n"/>
    </row>
    <row r="44" ht="18.75" customHeight="1">
      <c r="B44" s="55" t="inlineStr">
        <is>
          <t>Outflow : 設備費用</t>
        </is>
      </c>
      <c r="C44" s="39" t="n"/>
      <c r="D44" s="56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50" t="n"/>
    </row>
    <row r="45" ht="18.75" customHeight="1">
      <c r="B45" s="55" t="inlineStr">
        <is>
          <t>Outflow : 設備放置區域租金</t>
        </is>
      </c>
      <c r="C45" s="39" t="inlineStr">
        <is>
          <t>-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50" t="n"/>
    </row>
    <row r="46" ht="18.75" customHeight="1">
      <c r="B46" s="55" t="inlineStr">
        <is>
          <t>Outflow : 返還借款</t>
        </is>
      </c>
      <c r="C46" s="39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50" t="n"/>
    </row>
    <row r="47" ht="18.75" customHeight="1">
      <c r="B47" s="55" t="inlineStr">
        <is>
          <t>Outflow : 利息費用</t>
        </is>
      </c>
      <c r="C47" s="39" t="inlineStr">
        <is>
          <t>-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50" t="n"/>
    </row>
    <row r="48" ht="18.75" customHeight="1">
      <c r="B48" s="55" t="inlineStr">
        <is>
          <t>Outflow : 維運費</t>
        </is>
      </c>
      <c r="C48" s="39" t="inlineStr">
        <is>
          <t>-</t>
        </is>
      </c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50" t="n"/>
    </row>
    <row r="49" ht="18.75" customHeight="1">
      <c r="B49" s="55" t="inlineStr">
        <is>
          <t>Outflow : 保險費</t>
        </is>
      </c>
      <c r="C49" s="39" t="inlineStr">
        <is>
          <t>-</t>
        </is>
      </c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50" t="n"/>
    </row>
    <row r="50" ht="18.75" customHeight="1">
      <c r="B50" s="55" t="inlineStr">
        <is>
          <t>Outflow : 模組回收費</t>
        </is>
      </c>
      <c r="C50" s="39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50" t="n"/>
    </row>
    <row r="51" ht="18.75" customHeight="1">
      <c r="B51" s="55" t="inlineStr">
        <is>
          <t>Outflow : 其它費用(人事薪資…等)</t>
        </is>
      </c>
      <c r="C51" s="57" t="n"/>
      <c r="D51" s="58" t="n"/>
      <c r="E51" s="59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50" t="n"/>
    </row>
    <row r="52" ht="18.75" customHeight="1">
      <c r="B52" s="55" t="inlineStr">
        <is>
          <t>1%管理費</t>
        </is>
      </c>
      <c r="C52" s="57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50" t="n"/>
    </row>
    <row r="53" ht="18.75" customHeight="1">
      <c r="B53" s="60" t="inlineStr">
        <is>
          <t>績效獎金</t>
        </is>
      </c>
      <c r="C53" s="57" t="n"/>
      <c r="D53" s="61" t="n"/>
      <c r="E53" s="61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50" t="n"/>
    </row>
    <row r="54" ht="18.75" customHeight="1">
      <c r="B54" s="60" t="inlineStr">
        <is>
          <t>所得稅20%</t>
        </is>
      </c>
      <c r="C54" s="57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50" t="n"/>
    </row>
    <row r="55" ht="18.75" customHeight="1">
      <c r="B55" s="189" t="inlineStr">
        <is>
          <t>現金流</t>
        </is>
      </c>
      <c r="C55" s="71">
        <f>C44</f>
        <v/>
      </c>
      <c r="D55" s="66">
        <f>SUM(D41:D54)</f>
        <v/>
      </c>
      <c r="E55" s="66">
        <f>SUM(E41:E54)</f>
        <v/>
      </c>
      <c r="F55" s="66">
        <f>SUM(F41:F54)</f>
        <v/>
      </c>
      <c r="G55" s="66">
        <f>SUM(G41:G54)</f>
        <v/>
      </c>
      <c r="H55" s="66">
        <f>SUM(H41:H54)</f>
        <v/>
      </c>
      <c r="I55" s="66">
        <f>SUM(I41:I54)</f>
        <v/>
      </c>
      <c r="J55" s="66">
        <f>SUM(J41:J54)</f>
        <v/>
      </c>
      <c r="K55" s="66">
        <f>SUM(K41:K54)</f>
        <v/>
      </c>
      <c r="L55" s="66">
        <f>SUM(L41:L54)</f>
        <v/>
      </c>
      <c r="M55" s="66">
        <f>SUM(M41:M54)</f>
        <v/>
      </c>
      <c r="N55" s="66">
        <f>SUM(N41:N54)</f>
        <v/>
      </c>
      <c r="O55" s="66">
        <f>SUM(O41:O54)</f>
        <v/>
      </c>
      <c r="P55" s="66">
        <f>SUM(P41:P54)</f>
        <v/>
      </c>
      <c r="Q55" s="66">
        <f>SUM(Q41:Q54)</f>
        <v/>
      </c>
      <c r="R55" s="66">
        <f>SUM(R41:R54)</f>
        <v/>
      </c>
      <c r="S55" s="66">
        <f>SUM(S41:S54)</f>
        <v/>
      </c>
      <c r="T55" s="66">
        <f>SUM(T41:T54)</f>
        <v/>
      </c>
      <c r="U55" s="66">
        <f>SUM(U41:U54)</f>
        <v/>
      </c>
      <c r="V55" s="66">
        <f>SUM(V41:V54)</f>
        <v/>
      </c>
      <c r="W55" s="66">
        <f>SUM(W41:W54)</f>
        <v/>
      </c>
      <c r="X55" s="66">
        <f>SUM(X41:X54)</f>
        <v/>
      </c>
      <c r="Y55" s="68" t="n"/>
      <c r="Z55" s="69" t="n"/>
      <c r="AA55" s="68" t="n"/>
      <c r="AB55" s="68" t="n"/>
      <c r="AC55" s="68" t="n"/>
      <c r="AD55" s="68" t="n"/>
      <c r="AE55" s="68" t="n"/>
      <c r="AF55" s="68" t="n"/>
      <c r="AG55" s="68" t="n"/>
      <c r="AH55" s="68" t="n"/>
      <c r="AI55" s="68" t="n"/>
      <c r="AJ55" s="68" t="n"/>
    </row>
    <row r="56" ht="18.75" customHeight="1">
      <c r="B56" s="70" t="inlineStr">
        <is>
          <t>累計現金流</t>
        </is>
      </c>
      <c r="D56" s="72">
        <f>C55+D55</f>
        <v/>
      </c>
      <c r="E56" s="72">
        <f>D56+E55</f>
        <v/>
      </c>
      <c r="F56" s="72">
        <f>E56+F55</f>
        <v/>
      </c>
      <c r="G56" s="72">
        <f>F56+G55</f>
        <v/>
      </c>
      <c r="H56" s="72">
        <f>G56+H55</f>
        <v/>
      </c>
      <c r="I56" s="72">
        <f>H56+I55</f>
        <v/>
      </c>
      <c r="J56" s="72">
        <f>I56+J55</f>
        <v/>
      </c>
      <c r="K56" s="72">
        <f>J56+K55</f>
        <v/>
      </c>
      <c r="L56" s="72">
        <f>K56+L55</f>
        <v/>
      </c>
      <c r="M56" s="72">
        <f>L56+M55</f>
        <v/>
      </c>
      <c r="N56" s="72">
        <f>M56+N55</f>
        <v/>
      </c>
      <c r="O56" s="72">
        <f>N56+O55</f>
        <v/>
      </c>
      <c r="P56" s="72">
        <f>O56+P55</f>
        <v/>
      </c>
      <c r="Q56" s="72">
        <f>P56+Q55</f>
        <v/>
      </c>
      <c r="R56" s="72">
        <f>Q56+R55</f>
        <v/>
      </c>
      <c r="S56" s="72">
        <f>R56+S55</f>
        <v/>
      </c>
      <c r="T56" s="72">
        <f>S56+T55</f>
        <v/>
      </c>
      <c r="U56" s="72">
        <f>T56+U55</f>
        <v/>
      </c>
      <c r="V56" s="72">
        <f>U56+V55</f>
        <v/>
      </c>
      <c r="W56" s="72">
        <f>V56+W55</f>
        <v/>
      </c>
      <c r="X56" s="72">
        <f>W56+X55</f>
        <v/>
      </c>
      <c r="Y56" s="68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  <c r="AJ56" s="68" t="n"/>
    </row>
    <row r="57" ht="18.75" customHeight="1">
      <c r="B57" s="74" t="inlineStr">
        <is>
          <t>Discounted cash flow</t>
        </is>
      </c>
      <c r="C57" s="75" t="n">
        <v>-37721416.4</v>
      </c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  <c r="AJ57" s="68" t="n"/>
    </row>
    <row r="58" ht="18.75" customHeight="1">
      <c r="B58" s="74" t="inlineStr">
        <is>
          <t>Minus : Depreciation</t>
        </is>
      </c>
      <c r="C58" s="79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  <c r="W58" s="61" t="n"/>
      <c r="X58" s="80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  <c r="AJ58" s="68" t="n"/>
    </row>
    <row r="59" ht="18.75" customHeight="1">
      <c r="B59" s="74" t="inlineStr">
        <is>
          <t>Plus : Principle payment</t>
        </is>
      </c>
      <c r="C59" s="79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61" t="n"/>
      <c r="U59" s="61" t="n"/>
      <c r="V59" s="61" t="n"/>
      <c r="W59" s="61" t="n"/>
      <c r="X59" s="80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  <c r="AJ59" s="68" t="n"/>
    </row>
    <row r="60" ht="18.75" customHeight="1">
      <c r="B60" s="81" t="inlineStr">
        <is>
          <t>Profit</t>
        </is>
      </c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85" t="inlineStr">
        <is>
          <t>EPS</t>
        </is>
      </c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  <c r="AJ61" s="68" t="n"/>
    </row>
    <row r="62" ht="18.75" customHeight="1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  <c r="AJ62" s="68" t="n"/>
    </row>
    <row r="63" ht="18.75" customHeight="1">
      <c r="B63" s="190" t="inlineStr">
        <is>
          <t>專案法IRR</t>
        </is>
      </c>
      <c r="C63" s="149">
        <f>IRR(C55:X55)</f>
        <v/>
      </c>
      <c r="D63" s="149" t="n"/>
      <c r="E63" s="14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95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  <c r="AJ63" s="68" t="n"/>
    </row>
    <row r="64" ht="18.75" customHeight="1">
      <c r="B64" s="28" t="n"/>
      <c r="C64" s="149" t="n"/>
      <c r="D64" s="149" t="n"/>
      <c r="E64" s="149" t="n"/>
      <c r="F64" s="59" t="n"/>
      <c r="G64" s="59" t="n"/>
      <c r="H64" s="59" t="n"/>
      <c r="I64" s="59" t="n"/>
      <c r="J64" s="59" t="n"/>
      <c r="K64" s="59" t="n"/>
      <c r="L64" s="59" t="n"/>
      <c r="M64" s="96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95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  <c r="AJ64" s="68" t="n"/>
    </row>
    <row r="65" ht="18.75" customHeight="1">
      <c r="B65" s="28" t="n"/>
      <c r="C65" s="29" t="inlineStr">
        <is>
          <t>年份</t>
        </is>
      </c>
      <c r="D65" s="29" t="n">
        <v>2020</v>
      </c>
      <c r="E65" s="29" t="n">
        <v>2021</v>
      </c>
      <c r="F65" s="29" t="n">
        <v>2022</v>
      </c>
      <c r="G65" s="29" t="n">
        <v>2023</v>
      </c>
      <c r="H65" s="29" t="n">
        <v>2024</v>
      </c>
      <c r="I65" s="29" t="n">
        <v>2025</v>
      </c>
      <c r="J65" s="29" t="n">
        <v>2026</v>
      </c>
      <c r="K65" s="29" t="n">
        <v>2027</v>
      </c>
      <c r="L65" s="29" t="n">
        <v>2028</v>
      </c>
      <c r="M65" s="29" t="n">
        <v>2029</v>
      </c>
      <c r="N65" s="29" t="n">
        <v>2030</v>
      </c>
      <c r="O65" s="29" t="n">
        <v>2031</v>
      </c>
      <c r="P65" s="29" t="n">
        <v>2032</v>
      </c>
      <c r="Q65" s="29" t="n">
        <v>2033</v>
      </c>
      <c r="R65" s="29" t="n">
        <v>2034</v>
      </c>
      <c r="S65" s="29" t="n">
        <v>2035</v>
      </c>
      <c r="T65" s="29" t="n">
        <v>2036</v>
      </c>
      <c r="U65" s="29" t="n">
        <v>2037</v>
      </c>
      <c r="V65" s="29" t="n">
        <v>2038</v>
      </c>
      <c r="W65" s="29" t="n">
        <v>2039</v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 ht="18.75" customHeight="1">
      <c r="B66" s="31" t="n">
        <v>0</v>
      </c>
      <c r="C66" s="32" t="n"/>
      <c r="D66" s="33" t="n"/>
      <c r="E66" s="33" t="n"/>
      <c r="F66" s="34" t="inlineStr">
        <is>
          <t>手動計算值</t>
        </is>
      </c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6" t="inlineStr">
        <is>
          <t>償還年限</t>
        </is>
      </c>
      <c r="U66" s="35" t="n"/>
      <c r="V66" s="35" t="n"/>
      <c r="W66" s="35" t="n"/>
      <c r="X66" s="37" t="n"/>
    </row>
    <row r="67" ht="18.75" customHeight="1">
      <c r="B67" s="38" t="inlineStr">
        <is>
          <t>(Unit : Currency)</t>
        </is>
      </c>
      <c r="C67" s="39" t="n">
        <v>0</v>
      </c>
      <c r="D67" s="40" t="n">
        <v>1</v>
      </c>
      <c r="E67" s="40" t="n">
        <v>2</v>
      </c>
      <c r="F67" s="40" t="n">
        <v>3</v>
      </c>
      <c r="G67" s="40" t="n">
        <v>4</v>
      </c>
      <c r="H67" s="40" t="n">
        <v>5</v>
      </c>
      <c r="I67" s="40" t="n">
        <v>6</v>
      </c>
      <c r="J67" s="40" t="n">
        <v>7</v>
      </c>
      <c r="K67" s="40" t="n">
        <v>8</v>
      </c>
      <c r="L67" s="40" t="n">
        <v>9</v>
      </c>
      <c r="M67" s="40" t="n">
        <v>10</v>
      </c>
      <c r="N67" s="40" t="n">
        <v>11</v>
      </c>
      <c r="O67" s="40" t="n">
        <v>12</v>
      </c>
      <c r="P67" s="40" t="n">
        <v>13</v>
      </c>
      <c r="Q67" s="40" t="n">
        <v>14</v>
      </c>
      <c r="R67" s="40" t="n">
        <v>15</v>
      </c>
      <c r="S67" s="40" t="n">
        <v>16</v>
      </c>
      <c r="T67" s="41" t="n">
        <v>17</v>
      </c>
      <c r="U67" s="40" t="n">
        <v>18</v>
      </c>
      <c r="V67" s="40" t="n">
        <v>19</v>
      </c>
      <c r="W67" s="40" t="n">
        <v>20</v>
      </c>
      <c r="X67" s="42" t="n"/>
    </row>
    <row r="68" ht="18.75" customHeight="1">
      <c r="B68" s="43" t="inlineStr">
        <is>
          <t>發電度數(KWH)</t>
        </is>
      </c>
      <c r="C68" s="39" t="n">
        <v>0</v>
      </c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4" t="n"/>
    </row>
    <row r="69" ht="18.75" customHeight="1">
      <c r="B69" s="45" t="inlineStr">
        <is>
          <t>Inflow : 電費收入</t>
        </is>
      </c>
      <c r="C69" s="46" t="inlineStr">
        <is>
          <t>-</t>
        </is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8" t="n"/>
    </row>
    <row r="70" ht="18.75" customHeight="1">
      <c r="B70" s="49" t="inlineStr">
        <is>
          <t>Inflow : 政府補助</t>
        </is>
      </c>
      <c r="C70" s="39" t="inlineStr">
        <is>
          <t>-</t>
        </is>
      </c>
      <c r="D70" s="40" t="n"/>
      <c r="E70" s="40" t="n"/>
      <c r="F70" s="40" t="n"/>
      <c r="G70" s="40" t="inlineStr">
        <is>
          <t>-</t>
        </is>
      </c>
      <c r="H70" s="40" t="inlineStr">
        <is>
          <t>-</t>
        </is>
      </c>
      <c r="I70" s="40" t="inlineStr">
        <is>
          <t>-</t>
        </is>
      </c>
      <c r="J70" s="40" t="inlineStr">
        <is>
          <t>-</t>
        </is>
      </c>
      <c r="K70" s="40" t="inlineStr">
        <is>
          <t>-</t>
        </is>
      </c>
      <c r="L70" s="40" t="inlineStr">
        <is>
          <t>-</t>
        </is>
      </c>
      <c r="M70" s="40" t="inlineStr">
        <is>
          <t>-</t>
        </is>
      </c>
      <c r="N70" s="40" t="inlineStr">
        <is>
          <t>-</t>
        </is>
      </c>
      <c r="O70" s="40" t="inlineStr">
        <is>
          <t>-</t>
        </is>
      </c>
      <c r="P70" s="40" t="inlineStr">
        <is>
          <t>-</t>
        </is>
      </c>
      <c r="Q70" s="40" t="inlineStr">
        <is>
          <t>-</t>
        </is>
      </c>
      <c r="R70" s="40" t="inlineStr">
        <is>
          <t>-</t>
        </is>
      </c>
      <c r="S70" s="40" t="inlineStr">
        <is>
          <t>-</t>
        </is>
      </c>
      <c r="T70" s="40" t="inlineStr">
        <is>
          <t>-</t>
        </is>
      </c>
      <c r="U70" s="40" t="inlineStr">
        <is>
          <t>-</t>
        </is>
      </c>
      <c r="V70" s="40" t="inlineStr">
        <is>
          <t>-</t>
        </is>
      </c>
      <c r="W70" s="40" t="inlineStr">
        <is>
          <t>-</t>
        </is>
      </c>
      <c r="X70" s="50" t="n"/>
    </row>
    <row r="71" ht="18.75" customHeight="1">
      <c r="B71" s="51" t="inlineStr">
        <is>
          <t>Inflow : 銀行借款</t>
        </is>
      </c>
      <c r="C71" s="52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4" t="n"/>
    </row>
    <row r="72" ht="18.75" customHeight="1">
      <c r="B72" s="55" t="inlineStr">
        <is>
          <t>Outflow : 設備折舊</t>
        </is>
      </c>
      <c r="C72" s="39" t="n"/>
      <c r="D72" s="56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50" t="n"/>
    </row>
    <row r="73" ht="18.75" customHeight="1">
      <c r="B73" s="55" t="inlineStr">
        <is>
          <t>Outflow : 設備放置區域租金</t>
        </is>
      </c>
      <c r="C73" s="39" t="inlineStr">
        <is>
          <t>-</t>
        </is>
      </c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50" t="n"/>
    </row>
    <row r="74" ht="18.75" customHeight="1">
      <c r="B74" s="55" t="inlineStr">
        <is>
          <t>Outflow : 返還借款</t>
        </is>
      </c>
      <c r="C74" s="39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50" t="n"/>
    </row>
    <row r="75" ht="18.75" customHeight="1">
      <c r="B75" s="55" t="inlineStr">
        <is>
          <t>Outflow : 利息費用</t>
        </is>
      </c>
      <c r="C75" s="39" t="inlineStr">
        <is>
          <t>-</t>
        </is>
      </c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50" t="n"/>
    </row>
    <row r="76" ht="18.75" customHeight="1">
      <c r="B76" s="55" t="inlineStr">
        <is>
          <t>Outflow : 維運費</t>
        </is>
      </c>
      <c r="C76" s="39" t="inlineStr">
        <is>
          <t>-</t>
        </is>
      </c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50" t="n"/>
    </row>
    <row r="77" ht="18.75" customHeight="1">
      <c r="B77" s="55" t="inlineStr">
        <is>
          <t>Outflow : 保險費</t>
        </is>
      </c>
      <c r="C77" s="39" t="inlineStr">
        <is>
          <t>-</t>
        </is>
      </c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50" t="n"/>
    </row>
    <row r="78" ht="18.75" customHeight="1">
      <c r="B78" s="55" t="inlineStr">
        <is>
          <t>Outflow : 模組回收費</t>
        </is>
      </c>
      <c r="C78" s="39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50" t="n"/>
    </row>
    <row r="79" ht="18.75" customHeight="1">
      <c r="B79" s="55" t="inlineStr">
        <is>
          <t>Outflow : 其它費用(人事薪資…等)</t>
        </is>
      </c>
      <c r="C79" s="57" t="n"/>
      <c r="D79" s="58" t="n"/>
      <c r="E79" s="59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50" t="n"/>
    </row>
    <row r="80" ht="18.75" customHeight="1">
      <c r="B80" s="55" t="inlineStr">
        <is>
          <t>1%管理費</t>
        </is>
      </c>
      <c r="C80" s="57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50" t="n"/>
    </row>
    <row r="81" ht="18.75" customHeight="1">
      <c r="B81" s="189" t="inlineStr">
        <is>
          <t>稅前淨利</t>
        </is>
      </c>
      <c r="C81" s="65" t="n"/>
      <c r="D81" s="66">
        <f>SUM(D69:D80)</f>
        <v/>
      </c>
      <c r="E81" s="66">
        <f>SUM(E69:E80)</f>
        <v/>
      </c>
      <c r="F81" s="66">
        <f>SUM(F69:F80)</f>
        <v/>
      </c>
      <c r="G81" s="66">
        <f>SUM(G69:G80)</f>
        <v/>
      </c>
      <c r="H81" s="66">
        <f>SUM(H69:H80)</f>
        <v/>
      </c>
      <c r="I81" s="66">
        <f>SUM(I69:I80)</f>
        <v/>
      </c>
      <c r="J81" s="66">
        <f>SUM(J69:J80)</f>
        <v/>
      </c>
      <c r="K81" s="66">
        <f>SUM(K69:K80)</f>
        <v/>
      </c>
      <c r="L81" s="66">
        <f>SUM(L69:L80)</f>
        <v/>
      </c>
      <c r="M81" s="66">
        <f>SUM(M69:M80)</f>
        <v/>
      </c>
      <c r="N81" s="66">
        <f>SUM(N69:N80)</f>
        <v/>
      </c>
      <c r="O81" s="66">
        <f>SUM(O69:O80)</f>
        <v/>
      </c>
      <c r="P81" s="66">
        <f>SUM(P69:P80)</f>
        <v/>
      </c>
      <c r="Q81" s="66">
        <f>SUM(Q69:Q80)</f>
        <v/>
      </c>
      <c r="R81" s="66">
        <f>SUM(R69:R80)</f>
        <v/>
      </c>
      <c r="S81" s="66">
        <f>SUM(S69:S80)</f>
        <v/>
      </c>
      <c r="T81" s="66">
        <f>SUM(T69:T80)</f>
        <v/>
      </c>
      <c r="U81" s="66">
        <f>SUM(U69:U80)</f>
        <v/>
      </c>
      <c r="V81" s="66">
        <f>SUM(V69:V80)</f>
        <v/>
      </c>
      <c r="W81" s="66">
        <f>SUM(W69:W80)</f>
        <v/>
      </c>
      <c r="X81" s="66">
        <f>SUM(X69:X80)</f>
        <v/>
      </c>
    </row>
    <row r="82" ht="18.75" customHeight="1">
      <c r="B82" s="60" t="inlineStr">
        <is>
          <t>所得稅20%</t>
        </is>
      </c>
      <c r="C82" s="57" t="n"/>
      <c r="D82" s="40">
        <f>-D81*0.2</f>
        <v/>
      </c>
      <c r="E82" s="40">
        <f>-E81*0.2</f>
        <v/>
      </c>
      <c r="F82" s="40">
        <f>-F81*0.2</f>
        <v/>
      </c>
      <c r="G82" s="40">
        <f>-G81*0.2</f>
        <v/>
      </c>
      <c r="H82" s="40">
        <f>-H81*0.2</f>
        <v/>
      </c>
      <c r="I82" s="40">
        <f>-I81*0.2</f>
        <v/>
      </c>
      <c r="J82" s="40">
        <f>-J81*0.2</f>
        <v/>
      </c>
      <c r="K82" s="40">
        <f>-K81*0.2</f>
        <v/>
      </c>
      <c r="L82" s="40">
        <f>-L81*0.2</f>
        <v/>
      </c>
      <c r="M82" s="40">
        <f>-M81*0.2</f>
        <v/>
      </c>
      <c r="N82" s="40">
        <f>-N81*0.2</f>
        <v/>
      </c>
      <c r="O82" s="40">
        <f>-O81*0.2</f>
        <v/>
      </c>
      <c r="P82" s="40">
        <f>-P81*0.2</f>
        <v/>
      </c>
      <c r="Q82" s="40">
        <f>-Q81*0.2</f>
        <v/>
      </c>
      <c r="R82" s="40">
        <f>-R81*0.2</f>
        <v/>
      </c>
      <c r="S82" s="40">
        <f>-S81*0.2</f>
        <v/>
      </c>
      <c r="T82" s="40">
        <f>-T81*0.2</f>
        <v/>
      </c>
      <c r="U82" s="40">
        <f>-U81*0.2</f>
        <v/>
      </c>
      <c r="V82" s="40">
        <f>-V81*0.2</f>
        <v/>
      </c>
      <c r="W82" s="40">
        <f>-W81*0.2</f>
        <v/>
      </c>
      <c r="X82" s="40">
        <f>-X81*0.2</f>
        <v/>
      </c>
    </row>
    <row r="83">
      <c r="B83" s="191" t="inlineStr">
        <is>
          <t>稅後淨利</t>
        </is>
      </c>
      <c r="D83" s="40">
        <f>SUM(D81:D82)</f>
        <v/>
      </c>
      <c r="E83" s="40">
        <f>SUM(E81:E82)</f>
        <v/>
      </c>
      <c r="F83" s="40">
        <f>SUM(F81:F82)</f>
        <v/>
      </c>
      <c r="G83" s="40">
        <f>SUM(G81:G82)</f>
        <v/>
      </c>
      <c r="H83" s="40">
        <f>SUM(H81:H82)</f>
        <v/>
      </c>
      <c r="I83" s="40">
        <f>SUM(I81:I82)</f>
        <v/>
      </c>
      <c r="J83" s="40">
        <f>SUM(J81:J82)</f>
        <v/>
      </c>
      <c r="K83" s="40">
        <f>SUM(K81:K82)</f>
        <v/>
      </c>
      <c r="L83" s="40">
        <f>SUM(L81:L82)</f>
        <v/>
      </c>
      <c r="M83" s="40">
        <f>SUM(M81:M82)</f>
        <v/>
      </c>
      <c r="N83" s="40">
        <f>SUM(N81:N82)</f>
        <v/>
      </c>
      <c r="O83" s="40">
        <f>SUM(O81:O82)</f>
        <v/>
      </c>
      <c r="P83" s="40">
        <f>SUM(P81:P82)</f>
        <v/>
      </c>
      <c r="Q83" s="40">
        <f>SUM(Q81:Q82)</f>
        <v/>
      </c>
      <c r="R83" s="40">
        <f>SUM(R81:R82)</f>
        <v/>
      </c>
      <c r="S83" s="40">
        <f>SUM(S81:S82)</f>
        <v/>
      </c>
      <c r="T83" s="40">
        <f>SUM(T81:T82)</f>
        <v/>
      </c>
      <c r="U83" s="40">
        <f>SUM(U81:U82)</f>
        <v/>
      </c>
      <c r="V83" s="40">
        <f>SUM(V81:V82)</f>
        <v/>
      </c>
      <c r="W83" s="40">
        <f>SUM(W81:W82)</f>
        <v/>
      </c>
      <c r="X83" s="40">
        <f>SUM(X81:X82)</f>
        <v/>
      </c>
    </row>
    <row r="84" ht="18.75" customHeight="1">
      <c r="B84" s="70" t="inlineStr">
        <is>
          <t>累計現金流</t>
        </is>
      </c>
      <c r="C84" s="71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3" t="n"/>
    </row>
    <row r="85" ht="18.75" customHeight="1">
      <c r="B85" s="90" t="inlineStr">
        <is>
          <t>回收年限評估</t>
        </is>
      </c>
      <c r="C85" s="91" t="n"/>
      <c r="D85" s="92" t="n"/>
      <c r="E85" s="92" t="n"/>
      <c r="F85" s="92" t="n"/>
      <c r="G85" s="92" t="n"/>
      <c r="H85" s="92" t="n"/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93" t="n"/>
    </row>
    <row r="86" ht="18.75" customHeight="1">
      <c r="B86" s="28" t="n"/>
      <c r="C86" s="149" t="n"/>
      <c r="D86" s="149" t="n"/>
      <c r="E86" s="149" t="n"/>
      <c r="F86" s="59" t="n"/>
      <c r="G86" s="59" t="n"/>
      <c r="H86" s="59" t="n"/>
      <c r="I86" s="59" t="n"/>
      <c r="J86" s="59" t="n"/>
      <c r="K86" s="59" t="n"/>
      <c r="L86" s="59" t="inlineStr">
        <is>
          <t>預估可建置量</t>
        </is>
      </c>
      <c r="M86" s="96" t="n">
        <v>0</v>
      </c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95" t="n"/>
    </row>
    <row r="87" ht="18.75" customHeight="1">
      <c r="C87" s="97" t="inlineStr">
        <is>
          <t>年份</t>
        </is>
      </c>
      <c r="D87" s="98" t="n">
        <v>2020</v>
      </c>
      <c r="E87" s="98" t="n">
        <v>2021</v>
      </c>
      <c r="F87" s="98" t="n">
        <v>2022</v>
      </c>
      <c r="G87" s="98" t="n">
        <v>2023</v>
      </c>
      <c r="H87" s="98" t="n">
        <v>2024</v>
      </c>
      <c r="I87" s="98" t="n">
        <v>2025</v>
      </c>
      <c r="J87" s="98" t="n">
        <v>2026</v>
      </c>
      <c r="K87" s="98" t="n">
        <v>2027</v>
      </c>
      <c r="L87" s="98" t="n">
        <v>2028</v>
      </c>
      <c r="M87" s="98" t="n">
        <v>2029</v>
      </c>
      <c r="N87" s="98" t="n">
        <v>2030</v>
      </c>
      <c r="O87" s="98" t="n">
        <v>2031</v>
      </c>
      <c r="P87" s="98" t="n">
        <v>2032</v>
      </c>
      <c r="Q87" s="98" t="n">
        <v>2033</v>
      </c>
      <c r="R87" s="98" t="n">
        <v>2034</v>
      </c>
      <c r="S87" s="98" t="n">
        <v>2035</v>
      </c>
      <c r="T87" s="98" t="n">
        <v>2036</v>
      </c>
      <c r="U87" s="98" t="n">
        <v>2037</v>
      </c>
      <c r="V87" s="98" t="n">
        <v>2038</v>
      </c>
      <c r="W87" s="98" t="n">
        <v>2039</v>
      </c>
      <c r="X87" s="99" t="n"/>
    </row>
    <row r="88" ht="18.75" customHeight="1">
      <c r="X88" s="99" t="n"/>
    </row>
    <row r="89" ht="18.75" customHeight="1">
      <c r="B89" s="100" t="inlineStr">
        <is>
          <t>(Unit : Currency)</t>
        </is>
      </c>
      <c r="C89" s="101" t="n">
        <v>0</v>
      </c>
      <c r="D89" s="101" t="n">
        <v>1</v>
      </c>
      <c r="E89" s="101" t="n">
        <v>2</v>
      </c>
      <c r="F89" s="101" t="n">
        <v>3</v>
      </c>
      <c r="G89" s="101" t="n">
        <v>4</v>
      </c>
      <c r="H89" s="101" t="n">
        <v>5</v>
      </c>
      <c r="I89" s="101" t="n">
        <v>6</v>
      </c>
      <c r="J89" s="101" t="n">
        <v>7</v>
      </c>
      <c r="K89" s="101" t="n">
        <v>8</v>
      </c>
      <c r="L89" s="101" t="n">
        <v>9</v>
      </c>
      <c r="M89" s="101" t="n">
        <v>10</v>
      </c>
      <c r="N89" s="101" t="n">
        <v>11</v>
      </c>
      <c r="O89" s="101" t="n">
        <v>12</v>
      </c>
      <c r="P89" s="101" t="n">
        <v>13</v>
      </c>
      <c r="Q89" s="101" t="n">
        <v>14</v>
      </c>
      <c r="R89" s="101" t="n">
        <v>15</v>
      </c>
      <c r="S89" s="101" t="n">
        <v>16</v>
      </c>
      <c r="T89" s="101" t="n">
        <v>17</v>
      </c>
      <c r="U89" s="101" t="n">
        <v>18</v>
      </c>
      <c r="V89" s="101" t="n">
        <v>19</v>
      </c>
      <c r="W89" s="101" t="n">
        <v>20</v>
      </c>
      <c r="X89" s="102" t="n"/>
    </row>
    <row r="90" ht="18.75" customHeight="1">
      <c r="B90" s="103" t="inlineStr">
        <is>
          <t>稅後淨利</t>
        </is>
      </c>
      <c r="C90" s="104" t="n"/>
      <c r="D90" s="101">
        <f>D81</f>
        <v/>
      </c>
      <c r="E90" s="101">
        <f>E81</f>
        <v/>
      </c>
      <c r="F90" s="101">
        <f>F81</f>
        <v/>
      </c>
      <c r="G90" s="101">
        <f>G81</f>
        <v/>
      </c>
      <c r="H90" s="101">
        <f>H81</f>
        <v/>
      </c>
      <c r="I90" s="101">
        <f>I81</f>
        <v/>
      </c>
      <c r="J90" s="101">
        <f>J81</f>
        <v/>
      </c>
      <c r="K90" s="101">
        <f>K81</f>
        <v/>
      </c>
      <c r="L90" s="101">
        <f>L81</f>
        <v/>
      </c>
      <c r="M90" s="101">
        <f>M81</f>
        <v/>
      </c>
      <c r="N90" s="101">
        <f>N81</f>
        <v/>
      </c>
      <c r="O90" s="101">
        <f>O81</f>
        <v/>
      </c>
      <c r="P90" s="101">
        <f>P81</f>
        <v/>
      </c>
      <c r="Q90" s="101">
        <f>Q81</f>
        <v/>
      </c>
      <c r="R90" s="101">
        <f>R81</f>
        <v/>
      </c>
      <c r="S90" s="101">
        <f>S81</f>
        <v/>
      </c>
      <c r="T90" s="101">
        <f>T81</f>
        <v/>
      </c>
      <c r="U90" s="101">
        <f>U81</f>
        <v/>
      </c>
      <c r="V90" s="101">
        <f>V81</f>
        <v/>
      </c>
      <c r="W90" s="101">
        <f>W81</f>
        <v/>
      </c>
      <c r="X90" s="104" t="n"/>
      <c r="Y90" s="104" t="n"/>
    </row>
    <row r="91">
      <c r="B91" s="103" t="inlineStr">
        <is>
          <t>設備折舊</t>
        </is>
      </c>
      <c r="C91" s="104" t="n"/>
      <c r="D91" s="105" t="n"/>
      <c r="E91" s="105" t="n"/>
      <c r="F91" s="105" t="n"/>
      <c r="G91" s="105" t="n"/>
      <c r="H91" s="105" t="n"/>
      <c r="I91" s="105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5" t="n"/>
      <c r="T91" s="105" t="n"/>
      <c r="U91" s="105" t="n"/>
      <c r="V91" s="105" t="n"/>
      <c r="W91" s="105" t="n"/>
      <c r="X91" s="77" t="n"/>
    </row>
    <row r="92">
      <c r="B92" s="103" t="inlineStr">
        <is>
          <t>營運活動現金流量</t>
        </is>
      </c>
      <c r="C92" s="104" t="n"/>
      <c r="D92" s="192">
        <f>SUM(D90:D91)</f>
        <v/>
      </c>
      <c r="E92" s="192">
        <f>SUM(E90:E91)</f>
        <v/>
      </c>
      <c r="F92" s="192">
        <f>SUM(F90:F91)</f>
        <v/>
      </c>
      <c r="G92" s="192">
        <f>SUM(G90:G91)</f>
        <v/>
      </c>
      <c r="H92" s="192">
        <f>SUM(H90:H91)</f>
        <v/>
      </c>
      <c r="I92" s="192">
        <f>SUM(I90:I91)</f>
        <v/>
      </c>
      <c r="J92" s="192">
        <f>SUM(J90:J91)</f>
        <v/>
      </c>
      <c r="K92" s="192">
        <f>SUM(K90:K91)</f>
        <v/>
      </c>
      <c r="L92" s="192">
        <f>SUM(L90:L91)</f>
        <v/>
      </c>
      <c r="M92" s="192">
        <f>SUM(M90:M91)</f>
        <v/>
      </c>
      <c r="N92" s="192">
        <f>SUM(N90:N91)</f>
        <v/>
      </c>
      <c r="O92" s="192">
        <f>SUM(O90:O91)</f>
        <v/>
      </c>
      <c r="P92" s="192">
        <f>SUM(P90:P91)</f>
        <v/>
      </c>
      <c r="Q92" s="192">
        <f>SUM(Q90:Q91)</f>
        <v/>
      </c>
      <c r="R92" s="192">
        <f>SUM(R90:R91)</f>
        <v/>
      </c>
      <c r="S92" s="192">
        <f>SUM(S90:S91)</f>
        <v/>
      </c>
      <c r="T92" s="192">
        <f>SUM(T90:T91)</f>
        <v/>
      </c>
      <c r="U92" s="192">
        <f>SUM(U90:U91)</f>
        <v/>
      </c>
      <c r="V92" s="192">
        <f>SUM(V90:V91)</f>
        <v/>
      </c>
      <c r="W92" s="192">
        <f>SUM(W90:W91)</f>
        <v/>
      </c>
      <c r="X92" s="107" t="n"/>
    </row>
    <row r="93">
      <c r="B93" s="103" t="n"/>
      <c r="C93" s="104" t="n"/>
      <c r="D93" s="104" t="n"/>
      <c r="E93" s="104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99" t="n"/>
    </row>
    <row r="94">
      <c r="B94" s="109" t="inlineStr">
        <is>
          <t>投資活動-設備支出</t>
        </is>
      </c>
      <c r="C94" s="110" t="n"/>
      <c r="D94" s="111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O94" s="110" t="n"/>
      <c r="P94" s="110" t="n"/>
      <c r="Q94" s="110" t="n"/>
      <c r="R94" s="110" t="n"/>
      <c r="S94" s="110" t="n"/>
      <c r="T94" s="110" t="n"/>
      <c r="U94" s="110" t="n"/>
      <c r="V94" s="110" t="n"/>
      <c r="W94" s="110" t="n"/>
      <c r="X94" s="77" t="n"/>
    </row>
    <row r="95">
      <c r="B95" s="103" t="n"/>
      <c r="C95" s="104" t="n"/>
      <c r="D95" s="104" t="n"/>
      <c r="E95" s="104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99" t="n"/>
    </row>
    <row r="96">
      <c r="B96" s="103" t="n"/>
      <c r="C96" s="104" t="n"/>
      <c r="D96" s="104" t="n"/>
      <c r="E96" s="104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99" t="n"/>
    </row>
    <row r="97">
      <c r="B97" s="109" t="inlineStr">
        <is>
          <t>理財活動-借款</t>
        </is>
      </c>
      <c r="C97" s="110" t="n"/>
      <c r="D97" s="111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O97" s="110" t="n"/>
      <c r="P97" s="110" t="n"/>
      <c r="Q97" s="110" t="n"/>
      <c r="R97" s="110" t="n"/>
      <c r="S97" s="110" t="n"/>
      <c r="T97" s="110" t="n"/>
      <c r="U97" s="110" t="n"/>
      <c r="V97" s="110" t="n"/>
      <c r="W97" s="110" t="n"/>
      <c r="X97" s="99" t="n"/>
    </row>
    <row r="98">
      <c r="B98" s="103" t="inlineStr">
        <is>
          <t>理財活動-還款</t>
        </is>
      </c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8" t="n"/>
      <c r="U98" s="108" t="n"/>
      <c r="V98" s="108" t="n"/>
      <c r="W98" s="108" t="n"/>
      <c r="X98" s="77" t="n"/>
    </row>
    <row r="99">
      <c r="B99" s="103" t="inlineStr">
        <is>
          <t>理財活動-現金增資</t>
        </is>
      </c>
      <c r="C99" s="108" t="n"/>
      <c r="D99" s="104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7" t="n"/>
    </row>
    <row r="100">
      <c r="B100" s="103" t="inlineStr">
        <is>
          <t>現金股利</t>
        </is>
      </c>
      <c r="C100" s="108" t="n"/>
      <c r="D100" s="108" t="n"/>
      <c r="E100" s="112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  <c r="U100" s="104" t="n"/>
      <c r="V100" s="108" t="n"/>
      <c r="W100" s="104" t="n"/>
      <c r="X100" s="107" t="n"/>
    </row>
    <row r="101">
      <c r="B101" s="113" t="inlineStr">
        <is>
          <t>年底減資</t>
        </is>
      </c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5" t="n"/>
      <c r="S101" s="115" t="n"/>
      <c r="T101" s="115" t="n"/>
      <c r="U101" s="115" t="n"/>
      <c r="V101" s="114" t="n"/>
      <c r="W101" s="114" t="n"/>
      <c r="X101" s="107" t="n"/>
    </row>
    <row r="102"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7" t="n"/>
    </row>
    <row r="103"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7" t="n"/>
    </row>
    <row r="104">
      <c r="B104" s="103" t="inlineStr">
        <is>
          <t>現金淨流入(出 )</t>
        </is>
      </c>
      <c r="D104" s="108" t="n"/>
      <c r="E104" s="106" t="n"/>
      <c r="F104" s="106" t="n"/>
      <c r="G104" s="106" t="n"/>
      <c r="H104" s="106" t="n"/>
      <c r="I104" s="106" t="n"/>
      <c r="J104" s="106" t="n"/>
      <c r="K104" s="106" t="n"/>
      <c r="L104" s="106" t="n"/>
      <c r="M104" s="106" t="n"/>
      <c r="N104" s="106" t="n"/>
      <c r="O104" s="106" t="n"/>
      <c r="P104" s="106" t="n"/>
      <c r="Q104" s="106" t="n"/>
      <c r="R104" s="106" t="n"/>
      <c r="S104" s="106" t="n"/>
      <c r="T104" s="106" t="n"/>
      <c r="U104" s="106" t="n"/>
      <c r="V104" s="106" t="n"/>
      <c r="W104" s="106" t="n"/>
      <c r="X104" s="107" t="n"/>
    </row>
    <row r="105">
      <c r="B105" s="103" t="inlineStr">
        <is>
          <t>期初淨現金</t>
        </is>
      </c>
      <c r="C105" s="108" t="n"/>
      <c r="D105" s="108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8" t="n"/>
      <c r="W105" s="108" t="n"/>
      <c r="X105" s="99" t="n"/>
    </row>
    <row r="106">
      <c r="B106" s="103" t="inlineStr">
        <is>
          <t>期未淨現金</t>
        </is>
      </c>
      <c r="C106" s="108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  <c r="U106" s="104" t="n"/>
      <c r="V106" s="108" t="n"/>
      <c r="W106" s="108" t="n"/>
      <c r="X106" s="99" t="n"/>
    </row>
    <row r="107">
      <c r="B107" s="103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16" t="n"/>
    </row>
    <row r="108">
      <c r="B108" s="103" t="n"/>
      <c r="C108" s="104" t="n"/>
      <c r="D108" s="104" t="n"/>
      <c r="E108" s="104" t="n"/>
      <c r="F108" s="108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16" t="n"/>
    </row>
    <row r="109">
      <c r="B109" s="117" t="inlineStr">
        <is>
          <t>成本法實際現金流</t>
        </is>
      </c>
      <c r="C109" s="118" t="n"/>
      <c r="D109" s="193">
        <f>-D97</f>
        <v/>
      </c>
      <c r="E109" s="192">
        <f>-E100-E101</f>
        <v/>
      </c>
      <c r="F109" s="192">
        <f>-F100-F101</f>
        <v/>
      </c>
      <c r="G109" s="192">
        <f>-G100-G101</f>
        <v/>
      </c>
      <c r="H109" s="192">
        <f>-H100-H101</f>
        <v/>
      </c>
      <c r="I109" s="192">
        <f>-I100-I101</f>
        <v/>
      </c>
      <c r="J109" s="192">
        <f>-J100-J101</f>
        <v/>
      </c>
      <c r="K109" s="192">
        <f>-K100-K101</f>
        <v/>
      </c>
      <c r="L109" s="192">
        <f>-L100-L101</f>
        <v/>
      </c>
      <c r="M109" s="192">
        <f>-M100-M101</f>
        <v/>
      </c>
      <c r="N109" s="192">
        <f>-N100-N101</f>
        <v/>
      </c>
      <c r="O109" s="192">
        <f>-O100-O101</f>
        <v/>
      </c>
      <c r="P109" s="192">
        <f>-P100-P101</f>
        <v/>
      </c>
      <c r="Q109" s="192">
        <f>-Q100-Q101</f>
        <v/>
      </c>
      <c r="R109" s="192">
        <f>-R100-R101</f>
        <v/>
      </c>
      <c r="S109" s="192">
        <f>-S100-S101</f>
        <v/>
      </c>
      <c r="T109" s="192">
        <f>-T100-T101</f>
        <v/>
      </c>
      <c r="U109" s="192">
        <f>-U100-U101</f>
        <v/>
      </c>
      <c r="V109" s="192">
        <f>-V100-V101</f>
        <v/>
      </c>
      <c r="W109" s="192">
        <f>-W100-W101</f>
        <v/>
      </c>
      <c r="X109" s="192">
        <f>-X100-X101</f>
        <v/>
      </c>
    </row>
    <row r="110">
      <c r="B110" s="103" t="inlineStr">
        <is>
          <t>成本法IRR</t>
        </is>
      </c>
      <c r="C110" s="120">
        <f>IRR(D109:X109)</f>
        <v/>
      </c>
      <c r="D110" s="150" t="n"/>
      <c r="E110" s="150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  <c r="U110" s="104" t="n"/>
      <c r="V110" s="104" t="n"/>
      <c r="W110" s="104" t="n"/>
      <c r="X110" s="116" t="n"/>
    </row>
    <row r="111">
      <c r="B111" s="117" t="inlineStr">
        <is>
          <t>權益法實際現金流</t>
        </is>
      </c>
      <c r="C111" s="118" t="n"/>
      <c r="D111" s="193">
        <f>D90-D99</f>
        <v/>
      </c>
      <c r="E111" s="192">
        <f>E90</f>
        <v/>
      </c>
      <c r="F111" s="192">
        <f>F90</f>
        <v/>
      </c>
      <c r="G111" s="192">
        <f>G90</f>
        <v/>
      </c>
      <c r="H111" s="192">
        <f>H90</f>
        <v/>
      </c>
      <c r="I111" s="192">
        <f>I90</f>
        <v/>
      </c>
      <c r="J111" s="192">
        <f>J90</f>
        <v/>
      </c>
      <c r="K111" s="192">
        <f>K90</f>
        <v/>
      </c>
      <c r="L111" s="192">
        <f>L90</f>
        <v/>
      </c>
      <c r="M111" s="192">
        <f>M90</f>
        <v/>
      </c>
      <c r="N111" s="192">
        <f>N90</f>
        <v/>
      </c>
      <c r="O111" s="192">
        <f>O90</f>
        <v/>
      </c>
      <c r="P111" s="192">
        <f>P90</f>
        <v/>
      </c>
      <c r="Q111" s="192">
        <f>Q90</f>
        <v/>
      </c>
      <c r="R111" s="192">
        <f>R90</f>
        <v/>
      </c>
      <c r="S111" s="192">
        <f>S90</f>
        <v/>
      </c>
      <c r="T111" s="192">
        <f>T90</f>
        <v/>
      </c>
      <c r="U111" s="192">
        <f>U90</f>
        <v/>
      </c>
      <c r="V111" s="192">
        <f>V90</f>
        <v/>
      </c>
      <c r="W111" s="192">
        <f>W90</f>
        <v/>
      </c>
      <c r="X111" s="77" t="n"/>
    </row>
    <row r="112">
      <c r="B112" s="117" t="inlineStr">
        <is>
          <t>權益法IRR</t>
        </is>
      </c>
      <c r="C112" s="120">
        <f>IRR(D111:W111)</f>
        <v/>
      </c>
      <c r="D112" s="150" t="n"/>
      <c r="E112" s="150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  <c r="U112" s="104" t="n"/>
      <c r="V112" s="104" t="n"/>
      <c r="W112" s="104" t="n"/>
      <c r="X112" s="116" t="n"/>
    </row>
    <row r="113">
      <c r="B113" s="103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16" t="n"/>
    </row>
    <row r="114">
      <c r="B114" s="103" t="inlineStr">
        <is>
          <t>借款餘額</t>
        </is>
      </c>
      <c r="C114" s="108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8" t="n"/>
      <c r="U114" s="108" t="n"/>
      <c r="V114" s="108" t="n"/>
      <c r="W114" s="108" t="n"/>
      <c r="X114" s="108" t="n"/>
    </row>
    <row r="115"/>
    <row r="116">
      <c r="B116" s="122" t="n"/>
    </row>
    <row r="117" ht="16.5" customHeight="1">
      <c r="G117" s="6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王竣生</dc:creator>
  <dcterms:created xsi:type="dcterms:W3CDTF">2015-06-05T18:19:34Z</dcterms:created>
  <dcterms:modified xsi:type="dcterms:W3CDTF">2026-01-26T17:00:31Z</dcterms:modified>
  <cp:lastModifiedBy>王竣生</cp:lastModifiedBy>
</cp:coreProperties>
</file>