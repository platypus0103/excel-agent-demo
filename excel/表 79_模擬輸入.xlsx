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#,##0.00%"/>
    <numFmt numFmtId="166" formatCode="0.00_);[Red]\(0.00\)"/>
    <numFmt numFmtId="167" formatCode="&quot;$&quot;#,##0.00_);[Red]\(&quot;$&quot;#,##0.00\)"/>
    <numFmt numFmtId="168" formatCode="0.00000%"/>
    <numFmt numFmtId="169" formatCode="_-&quot;$&quot;* #,##0.00_-;\-&quot;$&quot;* #,##0.00_-;_-&quot;$&quot;* &quot;-&quot;??_-;_-@_-"/>
    <numFmt numFmtId="170" formatCode="0.0000%"/>
    <numFmt numFmtId="171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3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7" fontId="16" fillId="9" borderId="25" applyAlignment="1" pivotButton="0" quotePrefix="0" xfId="0">
      <alignment horizontal="left"/>
    </xf>
    <xf numFmtId="167" fontId="14" fillId="0" borderId="17" applyAlignment="1" pivotButton="0" quotePrefix="0" xfId="0">
      <alignment horizontal="center"/>
    </xf>
    <xf numFmtId="167" fontId="14" fillId="0" borderId="18" applyAlignment="1" pivotButton="0" quotePrefix="0" xfId="0">
      <alignment horizontal="center"/>
    </xf>
    <xf numFmtId="167" fontId="14" fillId="0" borderId="20" applyAlignment="1" pivotButton="0" quotePrefix="0" xfId="0">
      <alignment horizontal="center"/>
    </xf>
    <xf numFmtId="167" fontId="16" fillId="9" borderId="26" applyAlignment="1" pivotButton="0" quotePrefix="0" xfId="0">
      <alignment horizontal="left"/>
    </xf>
    <xf numFmtId="167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7" fontId="14" fillId="0" borderId="22" applyAlignment="1" pivotButton="0" quotePrefix="0" xfId="0">
      <alignment horizontal="center"/>
    </xf>
    <xf numFmtId="167" fontId="16" fillId="9" borderId="27" applyAlignment="1" pivotButton="0" quotePrefix="0" xfId="0">
      <alignment horizontal="left"/>
    </xf>
    <xf numFmtId="167" fontId="14" fillId="0" borderId="28" applyAlignment="1" pivotButton="0" quotePrefix="0" xfId="0">
      <alignment horizontal="center"/>
    </xf>
    <xf numFmtId="167" fontId="14" fillId="0" borderId="29" applyAlignment="1" pivotButton="0" quotePrefix="0" xfId="0">
      <alignment horizontal="center"/>
    </xf>
    <xf numFmtId="167" fontId="14" fillId="0" borderId="30" applyAlignment="1" pivotButton="0" quotePrefix="0" xfId="0">
      <alignment horizontal="center"/>
    </xf>
    <xf numFmtId="167" fontId="16" fillId="10" borderId="26" applyAlignment="1" pivotButton="0" quotePrefix="0" xfId="0">
      <alignment horizontal="left"/>
    </xf>
    <xf numFmtId="167" fontId="14" fillId="7" borderId="14" applyAlignment="1" pivotButton="0" quotePrefix="0" xfId="0">
      <alignment horizontal="center"/>
    </xf>
    <xf numFmtId="167" fontId="9" fillId="0" borderId="15" applyAlignment="1" pivotButton="0" quotePrefix="0" xfId="0">
      <alignment horizontal="left"/>
    </xf>
    <xf numFmtId="167" fontId="9" fillId="0" borderId="31" applyAlignment="1" pivotButton="0" quotePrefix="0" xfId="0">
      <alignment horizontal="left"/>
    </xf>
    <xf numFmtId="167" fontId="9" fillId="0" borderId="0" applyAlignment="1" pivotButton="0" quotePrefix="0" xfId="0">
      <alignment horizontal="left"/>
    </xf>
    <xf numFmtId="167" fontId="17" fillId="10" borderId="26" applyAlignment="1" pivotButton="0" quotePrefix="0" xfId="0">
      <alignment horizontal="left"/>
    </xf>
    <xf numFmtId="167" fontId="9" fillId="0" borderId="0" applyAlignment="1" pivotButton="0" quotePrefix="0" xfId="0">
      <alignment horizontal="center"/>
    </xf>
    <xf numFmtId="167" fontId="32" fillId="0" borderId="16" applyAlignment="1" pivotButton="0" quotePrefix="0" xfId="0">
      <alignment horizontal="right"/>
    </xf>
    <xf numFmtId="167" fontId="21" fillId="0" borderId="28" applyAlignment="1" pivotButton="0" quotePrefix="0" xfId="0">
      <alignment horizontal="center"/>
    </xf>
    <xf numFmtId="167" fontId="18" fillId="0" borderId="32" applyAlignment="1" pivotButton="0" quotePrefix="0" xfId="0">
      <alignment horizontal="center"/>
    </xf>
    <xf numFmtId="167" fontId="19" fillId="0" borderId="0" applyAlignment="1" pivotButton="0" quotePrefix="0" xfId="0">
      <alignment horizontal="left"/>
    </xf>
    <xf numFmtId="167" fontId="19" fillId="0" borderId="0" applyAlignment="1" pivotButton="0" quotePrefix="0" xfId="0">
      <alignment horizontal="right"/>
    </xf>
    <xf numFmtId="167" fontId="20" fillId="0" borderId="23" applyAlignment="1" pivotButton="0" quotePrefix="0" xfId="0">
      <alignment horizontal="right"/>
    </xf>
    <xf numFmtId="167" fontId="21" fillId="0" borderId="29" applyAlignment="1" pivotButton="0" quotePrefix="0" xfId="0">
      <alignment horizontal="center"/>
    </xf>
    <xf numFmtId="167" fontId="16" fillId="0" borderId="21" applyAlignment="1" pivotButton="0" quotePrefix="0" xfId="0">
      <alignment horizontal="left"/>
    </xf>
    <xf numFmtId="167" fontId="22" fillId="0" borderId="15" applyAlignment="1" pivotButton="0" quotePrefix="0" xfId="0">
      <alignment horizontal="center"/>
    </xf>
    <xf numFmtId="167" fontId="22" fillId="0" borderId="0" applyAlignment="1" pivotButton="0" quotePrefix="0" xfId="0">
      <alignment horizontal="center"/>
    </xf>
    <xf numFmtId="167" fontId="16" fillId="0" borderId="0" applyAlignment="1" pivotButton="0" quotePrefix="0" xfId="0">
      <alignment horizontal="center"/>
    </xf>
    <xf numFmtId="167" fontId="16" fillId="0" borderId="22" applyAlignment="1" pivotButton="0" quotePrefix="0" xfId="0">
      <alignment horizontal="center"/>
    </xf>
    <xf numFmtId="167" fontId="9" fillId="0" borderId="15" applyAlignment="1" pivotButton="0" quotePrefix="0" xfId="0">
      <alignment horizontal="center"/>
    </xf>
    <xf numFmtId="167" fontId="9" fillId="0" borderId="22" applyAlignment="1" pivotButton="0" quotePrefix="0" xfId="0">
      <alignment horizontal="center"/>
    </xf>
    <xf numFmtId="167" fontId="23" fillId="0" borderId="33" applyAlignment="1" pivotButton="0" quotePrefix="0" xfId="0">
      <alignment horizontal="left"/>
    </xf>
    <xf numFmtId="167" fontId="24" fillId="0" borderId="13" applyAlignment="1" pivotButton="0" quotePrefix="0" xfId="0">
      <alignment horizontal="center"/>
    </xf>
    <xf numFmtId="167" fontId="24" fillId="0" borderId="34" applyAlignment="1" pivotButton="0" quotePrefix="0" xfId="0">
      <alignment horizontal="center"/>
    </xf>
    <xf numFmtId="167" fontId="24" fillId="0" borderId="35" applyAlignment="1" pivotButton="0" quotePrefix="0" xfId="0">
      <alignment horizontal="center"/>
    </xf>
    <xf numFmtId="167" fontId="21" fillId="0" borderId="21" applyAlignment="1" pivotButton="0" quotePrefix="0" xfId="0">
      <alignment horizontal="left"/>
    </xf>
    <xf numFmtId="167" fontId="24" fillId="0" borderId="15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center"/>
    </xf>
    <xf numFmtId="167" fontId="21" fillId="0" borderId="22" applyAlignment="1" pivotButton="0" quotePrefix="0" xfId="0">
      <alignment horizontal="center"/>
    </xf>
    <xf numFmtId="167" fontId="25" fillId="0" borderId="23" applyAlignment="1" pivotButton="0" quotePrefix="0" xfId="0">
      <alignment horizontal="right"/>
    </xf>
    <xf numFmtId="167" fontId="24" fillId="0" borderId="28" applyAlignment="1" pivotButton="0" quotePrefix="0" xfId="0">
      <alignment horizontal="center"/>
    </xf>
    <xf numFmtId="167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7" fontId="18" fillId="0" borderId="18" applyAlignment="1" pivotButton="0" quotePrefix="0" xfId="0">
      <alignment horizontal="center"/>
    </xf>
    <xf numFmtId="167" fontId="34" fillId="0" borderId="0" applyAlignment="1" pivotButton="0" quotePrefix="0" xfId="0">
      <alignment horizontal="right"/>
    </xf>
    <xf numFmtId="167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left"/>
    </xf>
    <xf numFmtId="167" fontId="8" fillId="0" borderId="0" applyAlignment="1" pivotButton="0" quotePrefix="0" xfId="0">
      <alignment horizontal="center"/>
    </xf>
    <xf numFmtId="167" fontId="8" fillId="12" borderId="14" applyAlignment="1" pivotButton="0" quotePrefix="0" xfId="0">
      <alignment horizontal="center"/>
    </xf>
    <xf numFmtId="167" fontId="8" fillId="0" borderId="34" applyAlignment="1" pivotButton="0" quotePrefix="0" xfId="0">
      <alignment horizontal="center"/>
    </xf>
    <xf numFmtId="167" fontId="16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left"/>
    </xf>
    <xf numFmtId="167" fontId="8" fillId="0" borderId="38" applyAlignment="1" pivotButton="0" quotePrefix="0" xfId="0">
      <alignment horizontal="left"/>
    </xf>
    <xf numFmtId="167" fontId="8" fillId="0" borderId="38" applyAlignment="1" pivotButton="0" quotePrefix="0" xfId="0">
      <alignment horizontal="right"/>
    </xf>
    <xf numFmtId="167" fontId="8" fillId="0" borderId="38" applyAlignment="1" pivotButton="0" quotePrefix="0" xfId="0">
      <alignment horizontal="center"/>
    </xf>
    <xf numFmtId="169" fontId="8" fillId="13" borderId="14" applyAlignment="1" pivotButton="0" quotePrefix="0" xfId="0">
      <alignment horizontal="center"/>
    </xf>
    <xf numFmtId="169" fontId="16" fillId="0" borderId="0" applyAlignment="1" pivotButton="0" quotePrefix="0" xfId="0">
      <alignment horizontal="center"/>
    </xf>
    <xf numFmtId="167" fontId="8" fillId="0" borderId="39" applyAlignment="1" pivotButton="0" quotePrefix="0" xfId="0">
      <alignment horizontal="left"/>
    </xf>
    <xf numFmtId="167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left"/>
    </xf>
    <xf numFmtId="167" fontId="35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left"/>
    </xf>
    <xf numFmtId="167" fontId="8" fillId="0" borderId="34" applyAlignment="1" pivotButton="0" quotePrefix="0" xfId="0">
      <alignment horizontal="right"/>
    </xf>
    <xf numFmtId="167" fontId="8" fillId="5" borderId="40" applyAlignment="1" pivotButton="0" quotePrefix="0" xfId="0">
      <alignment horizontal="center"/>
    </xf>
    <xf numFmtId="170" fontId="8" fillId="7" borderId="14" applyAlignment="1" pivotButton="0" quotePrefix="0" xfId="0">
      <alignment horizontal="left"/>
    </xf>
    <xf numFmtId="171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3" workbookViewId="0">
      <selection activeCell="C17" sqref="C17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2020</v>
      </c>
      <c r="C5" s="7" t="inlineStr">
        <is>
          <t>結束年度</t>
        </is>
      </c>
      <c r="D5" s="7" t="n">
        <v>2039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30000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0.2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2000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11" customWidth="1" min="6" max="6"/>
    <col width="14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30000</v>
      </c>
      <c r="C2" t="n">
        <v>4.29</v>
      </c>
      <c r="D2" t="n">
        <v>10.43</v>
      </c>
      <c r="E2" s="151" t="n">
        <v>0.2</v>
      </c>
      <c r="F2" t="n">
        <v>2398550</v>
      </c>
      <c r="G2" t="n">
        <v>5500</v>
      </c>
      <c r="H2" t="n">
        <v>2000</v>
      </c>
      <c r="I2" t="inlineStr">
        <is>
          <t>初始價金 - 現金模式，每次減少 2000 元，邊界值 20000 元</t>
        </is>
      </c>
    </row>
    <row r="3">
      <c r="A3" t="n">
        <v>2</v>
      </c>
      <c r="B3" t="n">
        <v>28000</v>
      </c>
      <c r="C3" t="n">
        <v>4.98</v>
      </c>
      <c r="D3" t="n">
        <v>13.18</v>
      </c>
      <c r="E3" s="151" t="n">
        <v>0.2</v>
      </c>
      <c r="F3" t="n">
        <v>2180500</v>
      </c>
      <c r="G3" t="n">
        <v>5000</v>
      </c>
      <c r="H3" t="n">
        <v>2000</v>
      </c>
      <c r="I3" t="inlineStr">
        <is>
          <t>第1次滾算，減少 2000 元 - 現金模式，每次減少 2000 元</t>
        </is>
      </c>
    </row>
    <row r="4">
      <c r="A4" t="n">
        <v>3</v>
      </c>
      <c r="B4" t="n">
        <v>26000</v>
      </c>
      <c r="C4" t="n">
        <v>5.74</v>
      </c>
      <c r="D4" t="n">
        <v>16.54</v>
      </c>
      <c r="E4" s="151" t="n">
        <v>0.2</v>
      </c>
      <c r="F4" t="n">
        <v>1962450</v>
      </c>
      <c r="G4" t="n">
        <v>4500</v>
      </c>
      <c r="H4" t="n">
        <v>2000</v>
      </c>
      <c r="I4" t="inlineStr">
        <is>
          <t>第2次滾算，減少 2000 元 - 現金模式，每次減少 2000 元</t>
        </is>
      </c>
    </row>
    <row r="5">
      <c r="A5" t="n">
        <v>4</v>
      </c>
      <c r="B5" t="n">
        <v>24000</v>
      </c>
      <c r="C5" t="n">
        <v>6.59</v>
      </c>
      <c r="D5" t="n">
        <v>20.81</v>
      </c>
      <c r="E5" s="151" t="n">
        <v>0.2</v>
      </c>
      <c r="F5" t="n">
        <v>1744400</v>
      </c>
      <c r="G5" t="n">
        <v>4000</v>
      </c>
      <c r="H5" t="n">
        <v>2000</v>
      </c>
      <c r="I5" t="inlineStr">
        <is>
          <t>第3次滾算，減少 2000 元 - 現金模式，每次減少 2000 元</t>
        </is>
      </c>
    </row>
    <row r="6">
      <c r="A6" t="n">
        <v>5</v>
      </c>
      <c r="B6" t="n">
        <v>22000</v>
      </c>
      <c r="C6" t="n">
        <v>7.56</v>
      </c>
      <c r="D6" t="n">
        <v>26.41</v>
      </c>
      <c r="E6" s="151" t="n">
        <v>0.2</v>
      </c>
      <c r="F6" t="n">
        <v>1526350</v>
      </c>
      <c r="G6" t="n">
        <v>3500</v>
      </c>
      <c r="H6" t="n">
        <v>2000</v>
      </c>
      <c r="I6" t="inlineStr">
        <is>
          <t>第4次滾算，減少 2000 元 - 現金模式，每次減少 2000 元</t>
        </is>
      </c>
    </row>
    <row r="7">
      <c r="A7" t="n">
        <v>6</v>
      </c>
      <c r="B7" t="n">
        <v>20000</v>
      </c>
      <c r="C7" t="n">
        <v>8.67</v>
      </c>
      <c r="D7" t="n">
        <v>34.13</v>
      </c>
      <c r="E7" s="151" t="n">
        <v>0.2</v>
      </c>
      <c r="F7" t="n">
        <v>1308300</v>
      </c>
      <c r="G7" t="n">
        <v>3000</v>
      </c>
      <c r="H7" t="n">
        <v>2000</v>
      </c>
      <c r="I7" t="inlineStr">
        <is>
          <t>第5次滾算，減少 2000 元 - 現金模式，每次減少 2000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4.29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10.43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-39249</v>
      </c>
      <c r="E49" s="202" t="n">
        <v>-39249</v>
      </c>
      <c r="F49" s="202" t="n">
        <v>-39249</v>
      </c>
      <c r="G49" s="202" t="n">
        <v>-39249</v>
      </c>
      <c r="H49" s="202" t="n">
        <v>-39249</v>
      </c>
      <c r="I49" s="202" t="n">
        <v>-39249</v>
      </c>
      <c r="J49" s="202" t="n">
        <v>-39249</v>
      </c>
      <c r="K49" s="202" t="n">
        <v>-39249</v>
      </c>
      <c r="L49" s="202" t="n">
        <v>-39249</v>
      </c>
      <c r="M49" s="202" t="n">
        <v>-39249</v>
      </c>
      <c r="N49" s="202" t="n">
        <v>-39249</v>
      </c>
      <c r="O49" s="202" t="n">
        <v>-39249</v>
      </c>
      <c r="P49" s="202" t="n">
        <v>-39249</v>
      </c>
      <c r="Q49" s="202" t="n">
        <v>-39249</v>
      </c>
      <c r="R49" s="202" t="n">
        <v>-39249</v>
      </c>
      <c r="S49" s="202" t="n">
        <v>-39249</v>
      </c>
      <c r="T49" s="202" t="n">
        <v>-39249</v>
      </c>
      <c r="U49" s="202" t="n">
        <v>-39249</v>
      </c>
      <c r="V49" s="202" t="n">
        <v>-39249</v>
      </c>
      <c r="W49" s="202" t="n">
        <v>-39249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-352718.5522</v>
      </c>
      <c r="E75" s="202" t="n">
        <v>-329203.9820533333</v>
      </c>
      <c r="F75" s="202" t="n">
        <v>-305689.4119066666</v>
      </c>
      <c r="G75" s="202" t="n">
        <v>-282174.84176</v>
      </c>
      <c r="H75" s="202" t="n">
        <v>-258660.2716133333</v>
      </c>
      <c r="I75" s="202" t="n">
        <v>-235145.7014666667</v>
      </c>
      <c r="J75" s="202" t="n">
        <v>-211631.13132</v>
      </c>
      <c r="K75" s="202" t="n">
        <v>-188116.5611733333</v>
      </c>
      <c r="L75" s="202" t="n">
        <v>-164601.9910266667</v>
      </c>
      <c r="M75" s="202" t="n">
        <v>-141087.42088</v>
      </c>
      <c r="N75" s="202" t="n">
        <v>-117572.8507333333</v>
      </c>
      <c r="O75" s="202" t="n">
        <v>-94058.28058666666</v>
      </c>
      <c r="P75" s="202" t="n">
        <v>-70543.71044</v>
      </c>
      <c r="Q75" s="202" t="n">
        <v>-47029.14029333333</v>
      </c>
      <c r="R75" s="202" t="n">
        <v>-23514.57014666667</v>
      </c>
      <c r="S75" s="202" t="n">
        <v>-4.19758e-22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-918717.3333333334</v>
      </c>
      <c r="F98" s="259" t="n">
        <v>-918717.3333333334</v>
      </c>
      <c r="G98" s="259" t="n">
        <v>-918717.3333333334</v>
      </c>
      <c r="H98" s="259" t="n">
        <v>-918717.3333333334</v>
      </c>
      <c r="I98" s="259" t="n">
        <v>-918717.3333333334</v>
      </c>
      <c r="J98" s="259" t="n">
        <v>-918717.3333333334</v>
      </c>
      <c r="K98" s="259" t="n">
        <v>-918717.3333333334</v>
      </c>
      <c r="L98" s="259" t="n">
        <v>-918717.3333333334</v>
      </c>
      <c r="M98" s="259" t="n">
        <v>-918717.3333333334</v>
      </c>
      <c r="N98" s="259" t="n">
        <v>-918717.3333333334</v>
      </c>
      <c r="O98" s="259" t="n">
        <v>-918717.3333333334</v>
      </c>
      <c r="P98" s="259" t="n">
        <v>-918717.3333333334</v>
      </c>
      <c r="Q98" s="259" t="n">
        <v>-918717.3333333334</v>
      </c>
      <c r="R98" s="259" t="n">
        <v>-918717.3333333334</v>
      </c>
      <c r="S98" s="259" t="n">
        <v>-918717.3333333334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-861297.5</v>
      </c>
      <c r="U101" s="274" t="n">
        <v>-861297.5</v>
      </c>
      <c r="V101" s="273" t="n">
        <v>-861297.5</v>
      </c>
      <c r="W101" s="273" t="n">
        <v>-861297.5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5"/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4.98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13.18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-36632.4</v>
      </c>
      <c r="E49" s="202" t="n">
        <v>-36632.4</v>
      </c>
      <c r="F49" s="202" t="n">
        <v>-36632.4</v>
      </c>
      <c r="G49" s="202" t="n">
        <v>-36632.4</v>
      </c>
      <c r="H49" s="202" t="n">
        <v>-36632.4</v>
      </c>
      <c r="I49" s="202" t="n">
        <v>-36632.4</v>
      </c>
      <c r="J49" s="202" t="n">
        <v>-36632.4</v>
      </c>
      <c r="K49" s="202" t="n">
        <v>-36632.4</v>
      </c>
      <c r="L49" s="202" t="n">
        <v>-36632.4</v>
      </c>
      <c r="M49" s="202" t="n">
        <v>-36632.4</v>
      </c>
      <c r="N49" s="202" t="n">
        <v>-36632.4</v>
      </c>
      <c r="O49" s="202" t="n">
        <v>-36632.4</v>
      </c>
      <c r="P49" s="202" t="n">
        <v>-36632.4</v>
      </c>
      <c r="Q49" s="202" t="n">
        <v>-36632.4</v>
      </c>
      <c r="R49" s="202" t="n">
        <v>-36632.4</v>
      </c>
      <c r="S49" s="202" t="n">
        <v>-36632.4</v>
      </c>
      <c r="T49" s="202" t="n">
        <v>-36632.4</v>
      </c>
      <c r="U49" s="202" t="n">
        <v>-36632.4</v>
      </c>
      <c r="V49" s="202" t="n">
        <v>-36632.4</v>
      </c>
      <c r="W49" s="202" t="n">
        <v>-36632.4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-330394.5932</v>
      </c>
      <c r="E75" s="202" t="n">
        <v>-308368.2869866667</v>
      </c>
      <c r="F75" s="202" t="n">
        <v>-286341.9807733333</v>
      </c>
      <c r="G75" s="202" t="n">
        <v>-264315.67456</v>
      </c>
      <c r="H75" s="202" t="n">
        <v>-242289.3683466667</v>
      </c>
      <c r="I75" s="202" t="n">
        <v>-220263.0621333333</v>
      </c>
      <c r="J75" s="202" t="n">
        <v>-198236.75592</v>
      </c>
      <c r="K75" s="202" t="n">
        <v>-176210.4497066667</v>
      </c>
      <c r="L75" s="202" t="n">
        <v>-154184.1434933333</v>
      </c>
      <c r="M75" s="202" t="n">
        <v>-132157.83728</v>
      </c>
      <c r="N75" s="202" t="n">
        <v>-110131.5310666667</v>
      </c>
      <c r="O75" s="202" t="n">
        <v>-88105.22485333333</v>
      </c>
      <c r="P75" s="202" t="n">
        <v>-66078.91864</v>
      </c>
      <c r="Q75" s="202" t="n">
        <v>-44052.61242666667</v>
      </c>
      <c r="R75" s="202" t="n">
        <v>-22026.30621333333</v>
      </c>
      <c r="S75" s="202" t="n">
        <v>0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-860570.6666666666</v>
      </c>
      <c r="F98" s="259" t="n">
        <v>-860570.6666666666</v>
      </c>
      <c r="G98" s="259" t="n">
        <v>-860570.6666666666</v>
      </c>
      <c r="H98" s="259" t="n">
        <v>-860570.6666666666</v>
      </c>
      <c r="I98" s="259" t="n">
        <v>-860570.6666666666</v>
      </c>
      <c r="J98" s="259" t="n">
        <v>-860570.6666666666</v>
      </c>
      <c r="K98" s="259" t="n">
        <v>-860570.6666666666</v>
      </c>
      <c r="L98" s="259" t="n">
        <v>-860570.6666666666</v>
      </c>
      <c r="M98" s="259" t="n">
        <v>-860570.6666666666</v>
      </c>
      <c r="N98" s="259" t="n">
        <v>-860570.6666666666</v>
      </c>
      <c r="O98" s="259" t="n">
        <v>-860570.6666666666</v>
      </c>
      <c r="P98" s="259" t="n">
        <v>-860570.6666666666</v>
      </c>
      <c r="Q98" s="259" t="n">
        <v>-860570.6666666666</v>
      </c>
      <c r="R98" s="259" t="n">
        <v>-860570.6666666666</v>
      </c>
      <c r="S98" s="259" t="n">
        <v>-860570.6666666666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-806785</v>
      </c>
      <c r="U101" s="274" t="n">
        <v>-806785</v>
      </c>
      <c r="V101" s="273" t="n">
        <v>-806785</v>
      </c>
      <c r="W101" s="273" t="n">
        <v>-806785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5"/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5.74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16.54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-34015.8</v>
      </c>
      <c r="E49" s="202" t="n">
        <v>-34015.8</v>
      </c>
      <c r="F49" s="202" t="n">
        <v>-34015.8</v>
      </c>
      <c r="G49" s="202" t="n">
        <v>-34015.8</v>
      </c>
      <c r="H49" s="202" t="n">
        <v>-34015.8</v>
      </c>
      <c r="I49" s="202" t="n">
        <v>-34015.8</v>
      </c>
      <c r="J49" s="202" t="n">
        <v>-34015.8</v>
      </c>
      <c r="K49" s="202" t="n">
        <v>-34015.8</v>
      </c>
      <c r="L49" s="202" t="n">
        <v>-34015.8</v>
      </c>
      <c r="M49" s="202" t="n">
        <v>-34015.8</v>
      </c>
      <c r="N49" s="202" t="n">
        <v>-34015.8</v>
      </c>
      <c r="O49" s="202" t="n">
        <v>-34015.8</v>
      </c>
      <c r="P49" s="202" t="n">
        <v>-34015.8</v>
      </c>
      <c r="Q49" s="202" t="n">
        <v>-34015.8</v>
      </c>
      <c r="R49" s="202" t="n">
        <v>-34015.8</v>
      </c>
      <c r="S49" s="202" t="n">
        <v>-34015.8</v>
      </c>
      <c r="T49" s="202" t="n">
        <v>-34015.8</v>
      </c>
      <c r="U49" s="202" t="n">
        <v>-34015.8</v>
      </c>
      <c r="V49" s="202" t="n">
        <v>-34015.8</v>
      </c>
      <c r="W49" s="202" t="n">
        <v>-34015.8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-308070.6342</v>
      </c>
      <c r="E75" s="202" t="n">
        <v>-287532.59192</v>
      </c>
      <c r="F75" s="202" t="n">
        <v>-266994.54964</v>
      </c>
      <c r="G75" s="202" t="n">
        <v>-246456.50736</v>
      </c>
      <c r="H75" s="202" t="n">
        <v>-225918.46508</v>
      </c>
      <c r="I75" s="202" t="n">
        <v>-205380.4228</v>
      </c>
      <c r="J75" s="202" t="n">
        <v>-184842.38052</v>
      </c>
      <c r="K75" s="202" t="n">
        <v>-164304.33824</v>
      </c>
      <c r="L75" s="202" t="n">
        <v>-143766.29596</v>
      </c>
      <c r="M75" s="202" t="n">
        <v>-123228.25368</v>
      </c>
      <c r="N75" s="202" t="n">
        <v>-102690.2114</v>
      </c>
      <c r="O75" s="202" t="n">
        <v>-82152.16912000001</v>
      </c>
      <c r="P75" s="202" t="n">
        <v>-61614.12684</v>
      </c>
      <c r="Q75" s="202" t="n">
        <v>-41076.08456</v>
      </c>
      <c r="R75" s="202" t="n">
        <v>-20538.04228</v>
      </c>
      <c r="S75" s="202" t="n">
        <v>0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-802424</v>
      </c>
      <c r="F98" s="259" t="n">
        <v>-802424</v>
      </c>
      <c r="G98" s="259" t="n">
        <v>-802424</v>
      </c>
      <c r="H98" s="259" t="n">
        <v>-802424</v>
      </c>
      <c r="I98" s="259" t="n">
        <v>-802424</v>
      </c>
      <c r="J98" s="259" t="n">
        <v>-802424</v>
      </c>
      <c r="K98" s="259" t="n">
        <v>-802424</v>
      </c>
      <c r="L98" s="259" t="n">
        <v>-802424</v>
      </c>
      <c r="M98" s="259" t="n">
        <v>-802424</v>
      </c>
      <c r="N98" s="259" t="n">
        <v>-802424</v>
      </c>
      <c r="O98" s="259" t="n">
        <v>-802424</v>
      </c>
      <c r="P98" s="259" t="n">
        <v>-802424</v>
      </c>
      <c r="Q98" s="259" t="n">
        <v>-802424</v>
      </c>
      <c r="R98" s="259" t="n">
        <v>-802424</v>
      </c>
      <c r="S98" s="259" t="n">
        <v>-802424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-752272.5</v>
      </c>
      <c r="U101" s="274" t="n">
        <v>-752272.5</v>
      </c>
      <c r="V101" s="273" t="n">
        <v>-752272.5</v>
      </c>
      <c r="W101" s="273" t="n">
        <v>-752272.5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5"/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6.59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20.81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-31399.2</v>
      </c>
      <c r="E49" s="202" t="n">
        <v>-31399.2</v>
      </c>
      <c r="F49" s="202" t="n">
        <v>-31399.2</v>
      </c>
      <c r="G49" s="202" t="n">
        <v>-31399.2</v>
      </c>
      <c r="H49" s="202" t="n">
        <v>-31399.2</v>
      </c>
      <c r="I49" s="202" t="n">
        <v>-31399.2</v>
      </c>
      <c r="J49" s="202" t="n">
        <v>-31399.2</v>
      </c>
      <c r="K49" s="202" t="n">
        <v>-31399.2</v>
      </c>
      <c r="L49" s="202" t="n">
        <v>-31399.2</v>
      </c>
      <c r="M49" s="202" t="n">
        <v>-31399.2</v>
      </c>
      <c r="N49" s="202" t="n">
        <v>-31399.2</v>
      </c>
      <c r="O49" s="202" t="n">
        <v>-31399.2</v>
      </c>
      <c r="P49" s="202" t="n">
        <v>-31399.2</v>
      </c>
      <c r="Q49" s="202" t="n">
        <v>-31399.2</v>
      </c>
      <c r="R49" s="202" t="n">
        <v>-31399.2</v>
      </c>
      <c r="S49" s="202" t="n">
        <v>-31399.2</v>
      </c>
      <c r="T49" s="202" t="n">
        <v>-31399.2</v>
      </c>
      <c r="U49" s="202" t="n">
        <v>-31399.2</v>
      </c>
      <c r="V49" s="202" t="n">
        <v>-31399.2</v>
      </c>
      <c r="W49" s="202" t="n">
        <v>-31399.2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-285746.6752</v>
      </c>
      <c r="E75" s="202" t="n">
        <v>-266696.8968533333</v>
      </c>
      <c r="F75" s="202" t="n">
        <v>-247647.1185066667</v>
      </c>
      <c r="G75" s="202" t="n">
        <v>-228597.34016</v>
      </c>
      <c r="H75" s="202" t="n">
        <v>-209547.5618133333</v>
      </c>
      <c r="I75" s="202" t="n">
        <v>-190497.7834666667</v>
      </c>
      <c r="J75" s="202" t="n">
        <v>-171448.00512</v>
      </c>
      <c r="K75" s="202" t="n">
        <v>-152398.2267733333</v>
      </c>
      <c r="L75" s="202" t="n">
        <v>-133348.4484266667</v>
      </c>
      <c r="M75" s="202" t="n">
        <v>-114298.67008</v>
      </c>
      <c r="N75" s="202" t="n">
        <v>-95248.89173333334</v>
      </c>
      <c r="O75" s="202" t="n">
        <v>-76199.11338666666</v>
      </c>
      <c r="P75" s="202" t="n">
        <v>-57149.33504</v>
      </c>
      <c r="Q75" s="202" t="n">
        <v>-38099.55669333333</v>
      </c>
      <c r="R75" s="202" t="n">
        <v>-19049.77834666667</v>
      </c>
      <c r="S75" s="202" t="n">
        <v>-1.89403e-22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-744277.3333333334</v>
      </c>
      <c r="F98" s="259" t="n">
        <v>-744277.3333333334</v>
      </c>
      <c r="G98" s="259" t="n">
        <v>-744277.3333333334</v>
      </c>
      <c r="H98" s="259" t="n">
        <v>-744277.3333333334</v>
      </c>
      <c r="I98" s="259" t="n">
        <v>-744277.3333333334</v>
      </c>
      <c r="J98" s="259" t="n">
        <v>-744277.3333333334</v>
      </c>
      <c r="K98" s="259" t="n">
        <v>-744277.3333333334</v>
      </c>
      <c r="L98" s="259" t="n">
        <v>-744277.3333333334</v>
      </c>
      <c r="M98" s="259" t="n">
        <v>-744277.3333333334</v>
      </c>
      <c r="N98" s="259" t="n">
        <v>-744277.3333333334</v>
      </c>
      <c r="O98" s="259" t="n">
        <v>-744277.3333333334</v>
      </c>
      <c r="P98" s="259" t="n">
        <v>-744277.3333333334</v>
      </c>
      <c r="Q98" s="259" t="n">
        <v>-744277.3333333334</v>
      </c>
      <c r="R98" s="259" t="n">
        <v>-744277.3333333334</v>
      </c>
      <c r="S98" s="259" t="n">
        <v>-744277.3333333334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-697760</v>
      </c>
      <c r="U101" s="274" t="n">
        <v>-697760</v>
      </c>
      <c r="V101" s="273" t="n">
        <v>-697760</v>
      </c>
      <c r="W101" s="273" t="n">
        <v>-697760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5"/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7.56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26.41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-28782.6</v>
      </c>
      <c r="E49" s="202" t="n">
        <v>-28782.6</v>
      </c>
      <c r="F49" s="202" t="n">
        <v>-28782.6</v>
      </c>
      <c r="G49" s="202" t="n">
        <v>-28782.6</v>
      </c>
      <c r="H49" s="202" t="n">
        <v>-28782.6</v>
      </c>
      <c r="I49" s="202" t="n">
        <v>-28782.6</v>
      </c>
      <c r="J49" s="202" t="n">
        <v>-28782.6</v>
      </c>
      <c r="K49" s="202" t="n">
        <v>-28782.6</v>
      </c>
      <c r="L49" s="202" t="n">
        <v>-28782.6</v>
      </c>
      <c r="M49" s="202" t="n">
        <v>-28782.6</v>
      </c>
      <c r="N49" s="202" t="n">
        <v>-28782.6</v>
      </c>
      <c r="O49" s="202" t="n">
        <v>-28782.6</v>
      </c>
      <c r="P49" s="202" t="n">
        <v>-28782.6</v>
      </c>
      <c r="Q49" s="202" t="n">
        <v>-28782.6</v>
      </c>
      <c r="R49" s="202" t="n">
        <v>-28782.6</v>
      </c>
      <c r="S49" s="202" t="n">
        <v>-28782.6</v>
      </c>
      <c r="T49" s="202" t="n">
        <v>-28782.6</v>
      </c>
      <c r="U49" s="202" t="n">
        <v>-28782.6</v>
      </c>
      <c r="V49" s="202" t="n">
        <v>-28782.6</v>
      </c>
      <c r="W49" s="202" t="n">
        <v>-28782.6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-263422.7162</v>
      </c>
      <c r="E75" s="202" t="n">
        <v>-245861.2017866667</v>
      </c>
      <c r="F75" s="202" t="n">
        <v>-228299.6873733333</v>
      </c>
      <c r="G75" s="202" t="n">
        <v>-210738.17296</v>
      </c>
      <c r="H75" s="202" t="n">
        <v>-193176.6585466667</v>
      </c>
      <c r="I75" s="202" t="n">
        <v>-175615.1441333333</v>
      </c>
      <c r="J75" s="202" t="n">
        <v>-158053.62972</v>
      </c>
      <c r="K75" s="202" t="n">
        <v>-140492.1153066667</v>
      </c>
      <c r="L75" s="202" t="n">
        <v>-122930.6008933333</v>
      </c>
      <c r="M75" s="202" t="n">
        <v>-105369.08648</v>
      </c>
      <c r="N75" s="202" t="n">
        <v>-87807.57206666666</v>
      </c>
      <c r="O75" s="202" t="n">
        <v>-70246.05765333334</v>
      </c>
      <c r="P75" s="202" t="n">
        <v>-52684.54324</v>
      </c>
      <c r="Q75" s="202" t="n">
        <v>-35123.02882666667</v>
      </c>
      <c r="R75" s="202" t="n">
        <v>-17561.51441333333</v>
      </c>
      <c r="S75" s="202" t="n">
        <v>0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-686130.6666666666</v>
      </c>
      <c r="F98" s="259" t="n">
        <v>-686130.6666666666</v>
      </c>
      <c r="G98" s="259" t="n">
        <v>-686130.6666666666</v>
      </c>
      <c r="H98" s="259" t="n">
        <v>-686130.6666666666</v>
      </c>
      <c r="I98" s="259" t="n">
        <v>-686130.6666666666</v>
      </c>
      <c r="J98" s="259" t="n">
        <v>-686130.6666666666</v>
      </c>
      <c r="K98" s="259" t="n">
        <v>-686130.6666666666</v>
      </c>
      <c r="L98" s="259" t="n">
        <v>-686130.6666666666</v>
      </c>
      <c r="M98" s="259" t="n">
        <v>-686130.6666666666</v>
      </c>
      <c r="N98" s="259" t="n">
        <v>-686130.6666666666</v>
      </c>
      <c r="O98" s="259" t="n">
        <v>-686130.6666666666</v>
      </c>
      <c r="P98" s="259" t="n">
        <v>-686130.6666666666</v>
      </c>
      <c r="Q98" s="259" t="n">
        <v>-686130.6666666666</v>
      </c>
      <c r="R98" s="259" t="n">
        <v>-686130.6666666666</v>
      </c>
      <c r="S98" s="259" t="n">
        <v>-686130.6666666666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-643247.5</v>
      </c>
      <c r="U101" s="274" t="n">
        <v>-643247.5</v>
      </c>
      <c r="V101" s="273" t="n">
        <v>-643247.5</v>
      </c>
      <c r="W101" s="273" t="n">
        <v>-643247.5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5"/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8.67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34.13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-26166</v>
      </c>
      <c r="E49" s="202" t="n">
        <v>-26166</v>
      </c>
      <c r="F49" s="202" t="n">
        <v>-26166</v>
      </c>
      <c r="G49" s="202" t="n">
        <v>-26166</v>
      </c>
      <c r="H49" s="202" t="n">
        <v>-26166</v>
      </c>
      <c r="I49" s="202" t="n">
        <v>-26166</v>
      </c>
      <c r="J49" s="202" t="n">
        <v>-26166</v>
      </c>
      <c r="K49" s="202" t="n">
        <v>-26166</v>
      </c>
      <c r="L49" s="202" t="n">
        <v>-26166</v>
      </c>
      <c r="M49" s="202" t="n">
        <v>-26166</v>
      </c>
      <c r="N49" s="202" t="n">
        <v>-26166</v>
      </c>
      <c r="O49" s="202" t="n">
        <v>-26166</v>
      </c>
      <c r="P49" s="202" t="n">
        <v>-26166</v>
      </c>
      <c r="Q49" s="202" t="n">
        <v>-26166</v>
      </c>
      <c r="R49" s="202" t="n">
        <v>-26166</v>
      </c>
      <c r="S49" s="202" t="n">
        <v>-26166</v>
      </c>
      <c r="T49" s="202" t="n">
        <v>-26166</v>
      </c>
      <c r="U49" s="202" t="n">
        <v>-26166</v>
      </c>
      <c r="V49" s="202" t="n">
        <v>-26166</v>
      </c>
      <c r="W49" s="202" t="n">
        <v>-26166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-241098.7572</v>
      </c>
      <c r="E75" s="202" t="n">
        <v>-225025.50672</v>
      </c>
      <c r="F75" s="202" t="n">
        <v>-208952.25624</v>
      </c>
      <c r="G75" s="202" t="n">
        <v>-192879.00576</v>
      </c>
      <c r="H75" s="202" t="n">
        <v>-176805.75528</v>
      </c>
      <c r="I75" s="202" t="n">
        <v>-160732.5048</v>
      </c>
      <c r="J75" s="202" t="n">
        <v>-144659.25432</v>
      </c>
      <c r="K75" s="202" t="n">
        <v>-128586.00384</v>
      </c>
      <c r="L75" s="202" t="n">
        <v>-112512.75336</v>
      </c>
      <c r="M75" s="202" t="n">
        <v>-96439.50288</v>
      </c>
      <c r="N75" s="202" t="n">
        <v>-80366.2524</v>
      </c>
      <c r="O75" s="202" t="n">
        <v>-64293.00192</v>
      </c>
      <c r="P75" s="202" t="n">
        <v>-48219.75144</v>
      </c>
      <c r="Q75" s="202" t="n">
        <v>-32146.50096</v>
      </c>
      <c r="R75" s="202" t="n">
        <v>-16073.25048</v>
      </c>
      <c r="S75" s="202" t="n">
        <v>0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-627984</v>
      </c>
      <c r="F98" s="259" t="n">
        <v>-627984</v>
      </c>
      <c r="G98" s="259" t="n">
        <v>-627984</v>
      </c>
      <c r="H98" s="259" t="n">
        <v>-627984</v>
      </c>
      <c r="I98" s="259" t="n">
        <v>-627984</v>
      </c>
      <c r="J98" s="259" t="n">
        <v>-627984</v>
      </c>
      <c r="K98" s="259" t="n">
        <v>-627984</v>
      </c>
      <c r="L98" s="259" t="n">
        <v>-627984</v>
      </c>
      <c r="M98" s="259" t="n">
        <v>-627984</v>
      </c>
      <c r="N98" s="259" t="n">
        <v>-627984</v>
      </c>
      <c r="O98" s="259" t="n">
        <v>-627984</v>
      </c>
      <c r="P98" s="259" t="n">
        <v>-627984</v>
      </c>
      <c r="Q98" s="259" t="n">
        <v>-627984</v>
      </c>
      <c r="R98" s="259" t="n">
        <v>-627984</v>
      </c>
      <c r="S98" s="259" t="n">
        <v>-627984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-588735</v>
      </c>
      <c r="U101" s="274" t="n">
        <v>-588735</v>
      </c>
      <c r="V101" s="273" t="n">
        <v>-588735</v>
      </c>
      <c r="W101" s="273" t="n">
        <v>-588735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5"/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2026-01-28T06:59:51Z</dcterms:modified>
  <cp:lastModifiedBy>王竣生</cp:lastModifiedBy>
</cp:coreProperties>
</file>