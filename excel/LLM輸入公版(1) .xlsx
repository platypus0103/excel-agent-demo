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輸入公版(輸入模擬)" sheetId="1" state="visible" r:id="rId1"/>
    <sheet name="輸入公版(預設)" sheetId="2" state="visible" r:id="rId2"/>
    <sheet name="計算測試" sheetId="3" state="visible" r:id="rId3"/>
    <sheet name="系統輸入表-IRR (中庸)" sheetId="4" state="visible" r:id="rId4"/>
    <sheet name="滾算紀錄單(總紀錄)" sheetId="5" state="visible" r:id="rId5"/>
    <sheet name="滾算紀錄1" sheetId="6" state="visible" r:id="rId6"/>
    <sheet name="開始滾算紀錄1" sheetId="7" state="visible" r:id="rId7"/>
    <sheet name="開始滾算紀錄2" sheetId="8" state="visible" r:id="rId8"/>
    <sheet name="開始滾算紀錄3" sheetId="9" state="visible" r:id="rId9"/>
    <sheet name="開始滾算紀錄4" sheetId="10" state="visible" r:id="rId10"/>
    <sheet name="開始滾算紀錄5" sheetId="11" state="visible" r:id="rId11"/>
    <sheet name="開始滾算紀錄6" sheetId="12" state="visible" r:id="rId12"/>
    <sheet name="開始滾算紀錄7" sheetId="13" state="visible" r:id="rId13"/>
    <sheet name="開始滾算紀錄8" sheetId="14" state="visible" r:id="rId14"/>
    <sheet name="開始滾算紀錄9" sheetId="15" state="visible" r:id="rId15"/>
    <sheet name="開始滾算紀錄10" sheetId="16" state="visible" r:id="rId16"/>
    <sheet name="滾算紀錄2" sheetId="17" state="visible" r:id="rId17"/>
    <sheet name="開始滾算紀錄11" sheetId="18" state="visible" r:id="rId18"/>
    <sheet name="開始滾算紀錄12" sheetId="19" state="visible" r:id="rId19"/>
    <sheet name="開始滾算紀錄13" sheetId="20" state="visible" r:id="rId20"/>
    <sheet name="開始滾算紀錄14" sheetId="21" state="visible" r:id="rId21"/>
    <sheet name="開始滾算紀錄15" sheetId="22" state="visible" r:id="rId22"/>
    <sheet name="開始滾算紀錄16" sheetId="23" state="visible" r:id="rId23"/>
    <sheet name="開始滾算紀錄17" sheetId="24" state="visible" r:id="rId24"/>
    <sheet name="開始滾算紀錄18" sheetId="25" state="visible" r:id="rId25"/>
    <sheet name="開始滾算紀錄19" sheetId="26" state="visible" r:id="rId26"/>
    <sheet name="開始滾算紀錄20" sheetId="27" state="visible" r:id="rId27"/>
    <sheet name="滾算紀錄3" sheetId="28" state="visible" r:id="rId28"/>
    <sheet name="開始滾算紀錄21" sheetId="29" state="visible" r:id="rId29"/>
    <sheet name="開始滾算紀錄22" sheetId="30" state="visible" r:id="rId30"/>
    <sheet name="開始滾算紀錄23" sheetId="31" state="visible" r:id="rId31"/>
    <sheet name="開始滾算紀錄24" sheetId="32" state="visible" r:id="rId32"/>
    <sheet name="開始滾算紀錄25" sheetId="33" state="visible" r:id="rId33"/>
    <sheet name="開始滾算紀錄26" sheetId="34" state="visible" r:id="rId34"/>
    <sheet name="開始滾算紀錄27" sheetId="35" state="visible" r:id="rId35"/>
    <sheet name="開始滾算紀錄28" sheetId="36" state="visible" r:id="rId36"/>
    <sheet name="開始滾算紀錄29" sheetId="37" state="visible" r:id="rId37"/>
    <sheet name="開始滾算紀錄30" sheetId="38" state="visible" r:id="rId38"/>
    <sheet name="滾算紀錄4" sheetId="39" state="visible" r:id="rId39"/>
    <sheet name="滾算紀錄5" sheetId="40" state="visible" r:id="rId40"/>
    <sheet name="滾算紀錄6" sheetId="41" state="visible" r:id="rId41"/>
    <sheet name="滾算紀錄7" sheetId="42" state="visible" r:id="rId42"/>
    <sheet name="滾算紀錄8" sheetId="43" state="visible" r:id="rId43"/>
    <sheet name="滾算紀錄9" sheetId="44" state="visible" r:id="rId44"/>
    <sheet name="滾算紀錄10" sheetId="45" state="visible" r:id="rId45"/>
    <sheet name="滾算紀錄11" sheetId="46" state="visible" r:id="rId46"/>
    <sheet name="滾算紀錄12" sheetId="47" state="visible" r:id="rId47"/>
    <sheet name="滾算紀錄13" sheetId="48" state="visible" r:id="rId48"/>
    <sheet name="滾算紀錄14" sheetId="49" state="visible" r:id="rId49"/>
    <sheet name="滾算紀錄15" sheetId="50" state="visible" r:id="rId50"/>
    <sheet name="滾算紀錄16" sheetId="51" state="visible" r:id="rId51"/>
    <sheet name="滾算紀錄17" sheetId="52" state="visible" r:id="rId52"/>
    <sheet name="滾算紀錄18" sheetId="53" state="visible" r:id="rId53"/>
    <sheet name="滾算紀錄19" sheetId="54" state="visible" r:id="rId54"/>
    <sheet name="滾算紀錄20" sheetId="55" state="visible" r:id="rId55"/>
    <sheet name="滾算紀錄21" sheetId="56" state="visible" r:id="rId56"/>
    <sheet name="滾算紀錄22" sheetId="57" state="visible" r:id="rId57"/>
    <sheet name="滾算紀錄23" sheetId="58" state="visible" r:id="rId58"/>
    <sheet name="滾算紀錄24" sheetId="59" state="visible" r:id="rId59"/>
    <sheet name="滾算紀錄25" sheetId="60" state="visible" r:id="rId60"/>
    <sheet name="滾算紀錄26" sheetId="61" state="visible" r:id="rId61"/>
    <sheet name="滾算紀錄27" sheetId="62" state="visible" r:id="rId62"/>
    <sheet name="滾算紀錄28" sheetId="63" state="visible" r:id="rId63"/>
    <sheet name="滾算紀錄29" sheetId="64" state="visible" r:id="rId64"/>
    <sheet name="滾算紀錄30" sheetId="65" state="visible" r:id="rId65"/>
    <sheet name="滾算紀錄31" sheetId="66" state="visible" r:id="rId66"/>
    <sheet name="滾算紀錄32" sheetId="67" state="visible" r:id="rId67"/>
    <sheet name="滾算紀錄33" sheetId="68" state="visible" r:id="rId68"/>
    <sheet name="滾算紀錄34" sheetId="69" state="visible" r:id="rId69"/>
    <sheet name="滾算紀錄35" sheetId="70" state="visible" r:id="rId70"/>
    <sheet name="滾算紀錄36" sheetId="71" state="visible" r:id="rId71"/>
    <sheet name="滾算紀錄37" sheetId="72" state="visible" r:id="rId72"/>
    <sheet name="滾算紀錄38" sheetId="73" state="visible" r:id="rId73"/>
    <sheet name="滾算紀錄39" sheetId="74" state="visible" r:id="rId7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%"/>
    <numFmt numFmtId="165" formatCode="#,##0.00%"/>
    <numFmt numFmtId="166" formatCode="#,##0.000"/>
  </numFmts>
  <fonts count="3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charset val="136"/>
      <family val="2"/>
      <b val="1"/>
      <color theme="0"/>
      <sz val="12"/>
    </font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</fonts>
  <fills count="23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20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4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2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2" borderId="1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3" pivotButton="0" quotePrefix="0" xfId="0"/>
    <xf numFmtId="0" fontId="3" fillId="4" borderId="13" applyAlignment="1" pivotButton="0" quotePrefix="0" xfId="0">
      <alignment horizontal="center" vertical="center"/>
    </xf>
    <xf numFmtId="0" fontId="0" fillId="0" borderId="4" pivotButton="0" quotePrefix="0" xfId="0"/>
    <xf numFmtId="10" fontId="0" fillId="0" borderId="0" pivotButton="0" quotePrefix="0" xfId="0"/>
    <xf numFmtId="0" fontId="7" fillId="0" borderId="0" applyAlignment="1" pivotButton="0" quotePrefix="0" xfId="0">
      <alignment horizontal="general"/>
    </xf>
    <xf numFmtId="4" fontId="8" fillId="11" borderId="16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3" fontId="7" fillId="0" borderId="0" applyAlignment="1" pivotButton="0" quotePrefix="0" xfId="0">
      <alignment horizontal="general"/>
    </xf>
    <xf numFmtId="4" fontId="9" fillId="0" borderId="19" applyAlignment="1" pivotButton="0" quotePrefix="0" xfId="0">
      <alignment horizontal="left"/>
    </xf>
    <xf numFmtId="3" fontId="10" fillId="0" borderId="19" applyAlignment="1" pivotButton="0" quotePrefix="0" xfId="0">
      <alignment horizontal="left"/>
    </xf>
    <xf numFmtId="3" fontId="10" fillId="0" borderId="19" applyAlignment="1" pivotButton="0" quotePrefix="0" xfId="0">
      <alignment horizontal="center"/>
    </xf>
    <xf numFmtId="4" fontId="9" fillId="0" borderId="20" applyAlignment="1" pivotButton="0" quotePrefix="0" xfId="0">
      <alignment horizontal="left"/>
    </xf>
    <xf numFmtId="3" fontId="10" fillId="0" borderId="20" applyAlignment="1" pivotButton="0" quotePrefix="0" xfId="0">
      <alignment horizontal="left"/>
    </xf>
    <xf numFmtId="3" fontId="10" fillId="0" borderId="20" applyAlignment="1" pivotButton="0" quotePrefix="0" xfId="0">
      <alignment horizontal="center"/>
    </xf>
    <xf numFmtId="4" fontId="10" fillId="0" borderId="20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left"/>
    </xf>
    <xf numFmtId="4" fontId="11" fillId="11" borderId="16" applyAlignment="1" pivotButton="0" quotePrefix="0" xfId="0">
      <alignment horizontal="center"/>
    </xf>
    <xf numFmtId="4" fontId="10" fillId="12" borderId="21" applyAlignment="1" pivotButton="0" quotePrefix="0" xfId="0">
      <alignment horizontal="center"/>
    </xf>
    <xf numFmtId="0" fontId="7" fillId="0" borderId="22" pivotButton="0" quotePrefix="0" xfId="0"/>
    <xf numFmtId="0" fontId="7" fillId="0" borderId="23" pivotButton="0" quotePrefix="0" xfId="0"/>
    <xf numFmtId="4" fontId="10" fillId="0" borderId="24" applyAlignment="1" pivotButton="0" quotePrefix="0" xfId="0">
      <alignment horizontal="left"/>
    </xf>
    <xf numFmtId="3" fontId="10" fillId="0" borderId="25" applyAlignment="1" pivotButton="0" quotePrefix="0" xfId="0">
      <alignment horizontal="left"/>
    </xf>
    <xf numFmtId="3" fontId="9" fillId="0" borderId="26" applyAlignment="1" pivotButton="0" quotePrefix="0" xfId="0">
      <alignment horizontal="left"/>
    </xf>
    <xf numFmtId="4" fontId="10" fillId="0" borderId="27" applyAlignment="1" pivotButton="0" quotePrefix="0" xfId="0">
      <alignment horizontal="left" vertical="top"/>
    </xf>
    <xf numFmtId="3" fontId="10" fillId="0" borderId="27" applyAlignment="1" pivotButton="0" quotePrefix="0" xfId="0">
      <alignment horizontal="left" vertical="top"/>
    </xf>
    <xf numFmtId="0" fontId="7" fillId="0" borderId="27" pivotButton="0" quotePrefix="0" xfId="0"/>
    <xf numFmtId="164" fontId="10" fillId="0" borderId="20" applyAlignment="1" pivotButton="0" quotePrefix="0" xfId="0">
      <alignment horizontal="left"/>
    </xf>
    <xf numFmtId="165" fontId="10" fillId="0" borderId="20" applyAlignment="1" pivotButton="0" quotePrefix="0" xfId="0">
      <alignment horizontal="left"/>
    </xf>
    <xf numFmtId="3" fontId="10" fillId="0" borderId="28" applyAlignment="1" pivotButton="0" quotePrefix="0" xfId="0">
      <alignment horizontal="left"/>
    </xf>
    <xf numFmtId="4" fontId="10" fillId="13" borderId="16" applyAlignment="1" pivotButton="0" quotePrefix="0" xfId="0">
      <alignment horizontal="center"/>
    </xf>
    <xf numFmtId="3" fontId="10" fillId="0" borderId="26" applyAlignment="1" pivotButton="0" quotePrefix="0" xfId="0">
      <alignment horizontal="left"/>
    </xf>
    <xf numFmtId="4" fontId="10" fillId="0" borderId="19" applyAlignment="1" pivotButton="0" quotePrefix="0" xfId="0">
      <alignment horizontal="left" vertical="top"/>
    </xf>
    <xf numFmtId="3" fontId="9" fillId="0" borderId="19" applyAlignment="1" pivotButton="0" quotePrefix="0" xfId="0">
      <alignment horizontal="left"/>
    </xf>
    <xf numFmtId="3" fontId="10" fillId="0" borderId="19" applyAlignment="1" pivotButton="0" quotePrefix="0" xfId="0">
      <alignment horizontal="center" vertical="top"/>
    </xf>
    <xf numFmtId="0" fontId="7" fillId="0" borderId="19" pivotButton="0" quotePrefix="0" xfId="0"/>
    <xf numFmtId="4" fontId="10" fillId="0" borderId="20" applyAlignment="1" pivotButton="0" quotePrefix="0" xfId="0">
      <alignment horizontal="left" vertical="top"/>
    </xf>
    <xf numFmtId="3" fontId="9" fillId="0" borderId="20" applyAlignment="1" pivotButton="0" quotePrefix="0" xfId="0">
      <alignment horizontal="left" wrapText="1"/>
    </xf>
    <xf numFmtId="3" fontId="12" fillId="0" borderId="0" applyAlignment="1" pivotButton="0" quotePrefix="0" xfId="0">
      <alignment horizontal="left"/>
    </xf>
    <xf numFmtId="3" fontId="9" fillId="0" borderId="20" applyAlignment="1" pivotButton="0" quotePrefix="0" xfId="0">
      <alignment horizontal="left"/>
    </xf>
    <xf numFmtId="165" fontId="10" fillId="0" borderId="20" applyAlignment="1" pivotButton="0" quotePrefix="0" xfId="0">
      <alignment horizontal="right"/>
    </xf>
    <xf numFmtId="4" fontId="10" fillId="0" borderId="19" applyAlignment="1" pivotButton="0" quotePrefix="0" xfId="0">
      <alignment horizontal="left"/>
    </xf>
    <xf numFmtId="4" fontId="7" fillId="0" borderId="0" applyAlignment="1" pivotButton="0" quotePrefix="0" xfId="0">
      <alignment horizontal="general"/>
    </xf>
    <xf numFmtId="4" fontId="13" fillId="0" borderId="0" applyAlignment="1" pivotButton="0" quotePrefix="0" xfId="0">
      <alignment horizontal="left"/>
    </xf>
    <xf numFmtId="3" fontId="14" fillId="14" borderId="29" applyAlignment="1" pivotButton="0" quotePrefix="0" xfId="0">
      <alignment horizontal="center"/>
    </xf>
    <xf numFmtId="0" fontId="14" fillId="14" borderId="29" applyAlignment="1" pivotButton="0" quotePrefix="0" xfId="0">
      <alignment horizontal="center"/>
    </xf>
    <xf numFmtId="4" fontId="15" fillId="0" borderId="30" applyAlignment="1" pivotButton="0" quotePrefix="0" xfId="0">
      <alignment horizontal="right"/>
    </xf>
    <xf numFmtId="3" fontId="16" fillId="0" borderId="31" applyAlignment="1" pivotButton="0" quotePrefix="0" xfId="0">
      <alignment horizontal="left"/>
    </xf>
    <xf numFmtId="3" fontId="16" fillId="0" borderId="32" applyAlignment="1" pivotButton="0" quotePrefix="0" xfId="0">
      <alignment horizontal="left"/>
    </xf>
    <xf numFmtId="3" fontId="17" fillId="15" borderId="33" applyAlignment="1" pivotButton="0" quotePrefix="0" xfId="0">
      <alignment horizontal="left"/>
    </xf>
    <xf numFmtId="3" fontId="13" fillId="0" borderId="32" applyAlignment="1" pivotButton="0" quotePrefix="0" xfId="0">
      <alignment horizontal="left"/>
    </xf>
    <xf numFmtId="3" fontId="13" fillId="16" borderId="33" applyAlignment="1" pivotButton="0" quotePrefix="0" xfId="0">
      <alignment horizontal="center"/>
    </xf>
    <xf numFmtId="0" fontId="13" fillId="0" borderId="34" applyAlignment="1" pivotButton="0" quotePrefix="0" xfId="0">
      <alignment horizontal="left"/>
    </xf>
    <xf numFmtId="4" fontId="18" fillId="0" borderId="35" applyAlignment="1" pivotButton="0" quotePrefix="0" xfId="0">
      <alignment horizontal="right"/>
    </xf>
    <xf numFmtId="3" fontId="18" fillId="0" borderId="27" applyAlignment="1" pivotButton="0" quotePrefix="0" xfId="0">
      <alignment horizontal="center"/>
    </xf>
    <xf numFmtId="3" fontId="18" fillId="0" borderId="0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  <xf numFmtId="0" fontId="18" fillId="0" borderId="36" applyAlignment="1" pivotButton="0" quotePrefix="0" xfId="0">
      <alignment horizontal="center"/>
    </xf>
    <xf numFmtId="4" fontId="20" fillId="0" borderId="37" applyAlignment="1" pivotButton="0" quotePrefix="0" xfId="0">
      <alignment horizontal="right"/>
    </xf>
    <xf numFmtId="3" fontId="18" fillId="17" borderId="38" applyAlignment="1" pivotButton="0" quotePrefix="0" xfId="0">
      <alignment horizontal="center"/>
    </xf>
    <xf numFmtId="4" fontId="20" fillId="18" borderId="39" applyAlignment="1" pivotButton="0" quotePrefix="0" xfId="0">
      <alignment horizontal="left"/>
    </xf>
    <xf numFmtId="3" fontId="18" fillId="0" borderId="31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34" applyAlignment="1" pivotButton="0" quotePrefix="0" xfId="0">
      <alignment horizontal="center"/>
    </xf>
    <xf numFmtId="4" fontId="20" fillId="18" borderId="40" applyAlignment="1" pivotButton="0" quotePrefix="0" xfId="0">
      <alignment horizontal="left"/>
    </xf>
    <xf numFmtId="3" fontId="18" fillId="0" borderId="36" applyAlignment="1" pivotButton="0" quotePrefix="0" xfId="0">
      <alignment horizontal="center"/>
    </xf>
    <xf numFmtId="4" fontId="20" fillId="18" borderId="41" applyAlignment="1" pivotButton="0" quotePrefix="0" xfId="0">
      <alignment horizontal="left"/>
    </xf>
    <xf numFmtId="3" fontId="18" fillId="0" borderId="42" applyAlignment="1" pivotButton="0" quotePrefix="0" xfId="0">
      <alignment horizontal="center"/>
    </xf>
    <xf numFmtId="3" fontId="18" fillId="0" borderId="43" applyAlignment="1" pivotButton="0" quotePrefix="0" xfId="0">
      <alignment horizontal="center"/>
    </xf>
    <xf numFmtId="3" fontId="18" fillId="0" borderId="44" applyAlignment="1" pivotButton="0" quotePrefix="0" xfId="0">
      <alignment horizontal="center"/>
    </xf>
    <xf numFmtId="4" fontId="20" fillId="19" borderId="40" applyAlignment="1" pivotButton="0" quotePrefix="0" xfId="0">
      <alignment horizontal="left"/>
    </xf>
    <xf numFmtId="3" fontId="18" fillId="15" borderId="29" applyAlignment="1" pivotButton="0" quotePrefix="0" xfId="0">
      <alignment horizontal="center"/>
    </xf>
    <xf numFmtId="3" fontId="13" fillId="0" borderId="27" applyAlignment="1" pivotButton="0" quotePrefix="0" xfId="0">
      <alignment horizontal="left"/>
    </xf>
    <xf numFmtId="3" fontId="13" fillId="0" borderId="45" applyAlignment="1" pivotButton="0" quotePrefix="0" xfId="0">
      <alignment horizontal="left"/>
    </xf>
    <xf numFmtId="3" fontId="13" fillId="0" borderId="0" applyAlignment="1" pivotButton="0" quotePrefix="0" xfId="0">
      <alignment horizontal="left"/>
    </xf>
    <xf numFmtId="4" fontId="21" fillId="19" borderId="40" applyAlignment="1" pivotButton="0" quotePrefix="0" xfId="0">
      <alignment horizontal="left"/>
    </xf>
    <xf numFmtId="3" fontId="13" fillId="0" borderId="0" applyAlignment="1" pivotButton="0" quotePrefix="0" xfId="0">
      <alignment horizontal="center"/>
    </xf>
    <xf numFmtId="4" fontId="20" fillId="19" borderId="40" applyAlignment="1" pivotButton="0" quotePrefix="0" xfId="0">
      <alignment horizontal="right"/>
    </xf>
    <xf numFmtId="0" fontId="13" fillId="0" borderId="36" applyAlignment="1" pivotButton="0" quotePrefix="0" xfId="0">
      <alignment horizontal="center"/>
    </xf>
    <xf numFmtId="4" fontId="21" fillId="0" borderId="30" applyAlignment="1" pivotButton="0" quotePrefix="0" xfId="0">
      <alignment horizontal="right"/>
    </xf>
    <xf numFmtId="3" fontId="22" fillId="0" borderId="32" applyAlignment="1" pivotButton="0" quotePrefix="0" xfId="0">
      <alignment horizontal="center"/>
    </xf>
    <xf numFmtId="3" fontId="22" fillId="0" borderId="46" applyAlignment="1" pivotButton="0" quotePrefix="0" xfId="0">
      <alignment horizontal="center"/>
    </xf>
    <xf numFmtId="3" fontId="22" fillId="0" borderId="34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3" fontId="23" fillId="0" borderId="0" applyAlignment="1" pivotButton="0" quotePrefix="0" xfId="0">
      <alignment horizontal="right"/>
    </xf>
    <xf numFmtId="4" fontId="24" fillId="0" borderId="37" applyAlignment="1" pivotButton="0" quotePrefix="0" xfId="0">
      <alignment horizontal="right"/>
    </xf>
    <xf numFmtId="3" fontId="25" fillId="0" borderId="42" applyAlignment="1" pivotButton="0" quotePrefix="0" xfId="0">
      <alignment horizontal="center"/>
    </xf>
    <xf numFmtId="3" fontId="25" fillId="0" borderId="43" applyAlignment="1" pivotButton="0" quotePrefix="0" xfId="0">
      <alignment horizontal="center"/>
    </xf>
    <xf numFmtId="3" fontId="25" fillId="0" borderId="44" applyAlignment="1" pivotButton="0" quotePrefix="0" xfId="0">
      <alignment horizontal="center"/>
    </xf>
    <xf numFmtId="4" fontId="20" fillId="0" borderId="35" applyAlignment="1" pivotButton="0" quotePrefix="0" xfId="0">
      <alignment horizontal="left"/>
    </xf>
    <xf numFmtId="3" fontId="26" fillId="0" borderId="27" applyAlignment="1" pivotButton="0" quotePrefix="0" xfId="0">
      <alignment horizontal="center"/>
    </xf>
    <xf numFmtId="3" fontId="26" fillId="0" borderId="0" applyAlignment="1" pivotButton="0" quotePrefix="0" xfId="0">
      <alignment horizontal="center"/>
    </xf>
    <xf numFmtId="3" fontId="20" fillId="0" borderId="0" applyAlignment="1" pivotButton="0" quotePrefix="0" xfId="0">
      <alignment horizontal="center"/>
    </xf>
    <xf numFmtId="3" fontId="20" fillId="0" borderId="36" applyAlignment="1" pivotButton="0" quotePrefix="0" xfId="0">
      <alignment horizontal="center"/>
    </xf>
    <xf numFmtId="3" fontId="13" fillId="0" borderId="27" applyAlignment="1" pivotButton="0" quotePrefix="0" xfId="0">
      <alignment horizontal="center"/>
    </xf>
    <xf numFmtId="3" fontId="13" fillId="0" borderId="36" applyAlignment="1" pivotButton="0" quotePrefix="0" xfId="0">
      <alignment horizontal="center"/>
    </xf>
    <xf numFmtId="4" fontId="27" fillId="0" borderId="47" applyAlignment="1" pivotButton="0" quotePrefix="0" xfId="0">
      <alignment horizontal="left"/>
    </xf>
    <xf numFmtId="3" fontId="28" fillId="0" borderId="20" applyAlignment="1" pivotButton="0" quotePrefix="0" xfId="0">
      <alignment horizontal="center"/>
    </xf>
    <xf numFmtId="3" fontId="28" fillId="0" borderId="48" applyAlignment="1" pivotButton="0" quotePrefix="0" xfId="0">
      <alignment horizontal="center"/>
    </xf>
    <xf numFmtId="3" fontId="28" fillId="0" borderId="49" applyAlignment="1" pivotButton="0" quotePrefix="0" xfId="0">
      <alignment horizontal="center"/>
    </xf>
    <xf numFmtId="4" fontId="25" fillId="0" borderId="35" applyAlignment="1" pivotButton="0" quotePrefix="0" xfId="0">
      <alignment horizontal="left"/>
    </xf>
    <xf numFmtId="3" fontId="28" fillId="0" borderId="27" applyAlignment="1" pivotButton="0" quotePrefix="0" xfId="0">
      <alignment horizontal="center"/>
    </xf>
    <xf numFmtId="3" fontId="28" fillId="0" borderId="0" applyAlignment="1" pivotButton="0" quotePrefix="0" xfId="0">
      <alignment horizontal="center"/>
    </xf>
    <xf numFmtId="4" fontId="25" fillId="0" borderId="0" applyAlignment="1" pivotButton="0" quotePrefix="0" xfId="0">
      <alignment horizontal="center"/>
    </xf>
    <xf numFmtId="4" fontId="25" fillId="0" borderId="36" applyAlignment="1" pivotButton="0" quotePrefix="0" xfId="0">
      <alignment horizontal="center"/>
    </xf>
    <xf numFmtId="4" fontId="29" fillId="0" borderId="37" applyAlignment="1" pivotButton="0" quotePrefix="0" xfId="0">
      <alignment horizontal="right"/>
    </xf>
    <xf numFmtId="3" fontId="28" fillId="0" borderId="42" applyAlignment="1" pivotButton="0" quotePrefix="0" xfId="0">
      <alignment horizontal="center"/>
    </xf>
    <xf numFmtId="3" fontId="25" fillId="0" borderId="17" applyAlignment="1" pivotButton="0" quotePrefix="0" xfId="0">
      <alignment horizontal="center"/>
    </xf>
    <xf numFmtId="4" fontId="25" fillId="0" borderId="50" applyAlignment="1" pivotButton="0" quotePrefix="0" xfId="0">
      <alignment horizontal="center"/>
    </xf>
    <xf numFmtId="166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3" fontId="13" fillId="0" borderId="0" applyAlignment="1" pivotButton="0" quotePrefix="0" xfId="0">
      <alignment horizontal="right"/>
    </xf>
    <xf numFmtId="3" fontId="14" fillId="20" borderId="29" applyAlignment="1" pivotButton="0" quotePrefix="0" xfId="0">
      <alignment horizontal="left"/>
    </xf>
    <xf numFmtId="3" fontId="14" fillId="20" borderId="29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3" fontId="9" fillId="21" borderId="29" applyAlignment="1" pivotButton="0" quotePrefix="0" xfId="0">
      <alignment horizontal="left"/>
    </xf>
    <xf numFmtId="3" fontId="9" fillId="0" borderId="48" applyAlignment="1" pivotButton="0" quotePrefix="0" xfId="0">
      <alignment horizontal="left"/>
    </xf>
    <xf numFmtId="3" fontId="2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4" fontId="9" fillId="0" borderId="51" applyAlignment="1" pivotButton="0" quotePrefix="0" xfId="0">
      <alignment horizontal="left"/>
    </xf>
    <xf numFmtId="3" fontId="9" fillId="0" borderId="51" applyAlignment="1" pivotButton="0" quotePrefix="0" xfId="0">
      <alignment horizontal="right"/>
    </xf>
    <xf numFmtId="3" fontId="9" fillId="0" borderId="51" applyAlignment="1" pivotButton="0" quotePrefix="0" xfId="0">
      <alignment horizontal="left"/>
    </xf>
    <xf numFmtId="3" fontId="9" fillId="22" borderId="29" applyAlignment="1" pivotButton="0" quotePrefix="0" xfId="0">
      <alignment horizontal="left"/>
    </xf>
    <xf numFmtId="4" fontId="9" fillId="0" borderId="52" applyAlignment="1" pivotButton="0" quotePrefix="0" xfId="0">
      <alignment horizontal="left"/>
    </xf>
    <xf numFmtId="3" fontId="9" fillId="0" borderId="52" applyAlignment="1" pivotButton="0" quotePrefix="0" xfId="0">
      <alignment horizontal="right"/>
    </xf>
    <xf numFmtId="3" fontId="9" fillId="0" borderId="52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4" fontId="9" fillId="0" borderId="48" applyAlignment="1" pivotButton="0" quotePrefix="0" xfId="0">
      <alignment horizontal="left"/>
    </xf>
    <xf numFmtId="3" fontId="9" fillId="0" borderId="48" applyAlignment="1" pivotButton="0" quotePrefix="0" xfId="0">
      <alignment horizontal="right"/>
    </xf>
    <xf numFmtId="3" fontId="9" fillId="17" borderId="53" applyAlignment="1" pivotButton="0" quotePrefix="0" xfId="0">
      <alignment horizontal="left"/>
    </xf>
    <xf numFmtId="3" fontId="9" fillId="15" borderId="29" applyAlignment="1" pivotButton="0" quotePrefix="0" xfId="0">
      <alignment horizontal="left"/>
    </xf>
    <xf numFmtId="165" fontId="9" fillId="0" borderId="0" applyAlignment="1" pivotButton="0" quotePrefix="0" xfId="0">
      <alignment horizontal="right"/>
    </xf>
    <xf numFmtId="4" fontId="30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styles" Target="styles.xml" Id="rId75" /><Relationship Type="http://schemas.openxmlformats.org/officeDocument/2006/relationships/theme" Target="theme/theme1.xml" Id="rId7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selection activeCell="C17" sqref="C17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-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inlineStr">
        <is>
          <t>-</t>
        </is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inlineStr">
        <is>
          <t>-</t>
        </is>
      </c>
      <c r="D4" s="7" t="inlineStr">
        <is>
          <t>-</t>
        </is>
      </c>
    </row>
    <row r="5">
      <c r="A5" s="5" t="inlineStr">
        <is>
          <t>起始年度</t>
        </is>
      </c>
      <c r="B5" s="5" t="n">
        <v>2020</v>
      </c>
      <c r="C5" s="5" t="inlineStr">
        <is>
          <t>結束年度</t>
        </is>
      </c>
      <c r="D5" s="5" t="n">
        <v>2039</v>
      </c>
    </row>
    <row r="6" ht="16.5" customHeight="1" s="58" thickBot="1"/>
    <row r="7" ht="17.25" customHeight="1" s="58" thickBot="1">
      <c r="A7" s="62" t="inlineStr">
        <is>
          <t>綜合損益表</t>
        </is>
      </c>
      <c r="B7" s="60" t="n"/>
      <c r="C7" s="60" t="n"/>
      <c r="D7" s="61" t="n"/>
    </row>
    <row r="8" ht="16.5" customHeight="1" s="58" thickBot="1">
      <c r="A8" s="63" t="inlineStr">
        <is>
          <t>收入</t>
        </is>
      </c>
      <c r="D8" s="64" t="n"/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20</v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inlineStr">
        <is>
          <t>-</t>
        </is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inlineStr">
        <is>
          <t>-</t>
        </is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inlineStr">
        <is>
          <t>-</t>
        </is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inlineStr">
        <is>
          <t>-</t>
        </is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topLeftCell="A10" workbookViewId="0">
      <selection activeCell="A29" sqref="A29:C34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n"/>
      <c r="C2" s="51" t="inlineStr">
        <is>
          <t>-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/>
      <c r="C3" s="7" t="inlineStr">
        <is>
          <t>-</t>
        </is>
      </c>
      <c r="D3" s="7" t="inlineStr">
        <is>
          <t>-</t>
        </is>
      </c>
    </row>
    <row r="4">
      <c r="A4" s="2" t="inlineStr">
        <is>
          <t>建置量(kWp)</t>
        </is>
      </c>
      <c r="B4" s="6" t="n"/>
      <c r="C4" s="7" t="inlineStr">
        <is>
          <t>-</t>
        </is>
      </c>
      <c r="D4" s="7" t="inlineStr">
        <is>
          <t>-</t>
        </is>
      </c>
    </row>
    <row r="5">
      <c r="A5" s="5" t="inlineStr">
        <is>
          <t>起始年度</t>
        </is>
      </c>
      <c r="B5" s="5" t="n"/>
      <c r="C5" s="5" t="inlineStr">
        <is>
          <t>結束年度</t>
        </is>
      </c>
      <c r="D5" s="5" t="n"/>
    </row>
    <row r="6" ht="16.5" customHeight="1" s="58" thickBot="1"/>
    <row r="7" ht="17.25" customHeight="1" s="58" thickBot="1">
      <c r="A7" s="62" t="inlineStr">
        <is>
          <t>綜合損益表</t>
        </is>
      </c>
      <c r="B7" s="60" t="n"/>
      <c r="C7" s="60" t="n"/>
      <c r="D7" s="61" t="n"/>
    </row>
    <row r="8" ht="16.5" customHeight="1" s="58" thickBot="1">
      <c r="A8" s="63" t="inlineStr">
        <is>
          <t>收入</t>
        </is>
      </c>
      <c r="D8" s="64" t="n"/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/>
      <c r="D10" s="48" t="n"/>
    </row>
    <row r="11">
      <c r="A11" s="65" t="n"/>
      <c r="B11" s="5" t="inlineStr">
        <is>
          <t>首年衰退率</t>
        </is>
      </c>
      <c r="C11" s="9" t="n"/>
      <c r="D11" s="65" t="n"/>
    </row>
    <row r="12">
      <c r="A12" s="65" t="n"/>
      <c r="B12" s="5" t="inlineStr">
        <is>
          <t>次年衰退率</t>
        </is>
      </c>
      <c r="C12" s="10" t="n"/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/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/>
      <c r="D16" s="51" t="n"/>
    </row>
    <row r="17">
      <c r="A17" s="65" t="n"/>
      <c r="B17" s="5" t="inlineStr">
        <is>
          <t>信邦利潤率</t>
        </is>
      </c>
      <c r="C17" s="6" t="n"/>
      <c r="D17" s="65" t="n"/>
    </row>
    <row r="18">
      <c r="A18" s="67" t="n"/>
      <c r="B18" s="5" t="inlineStr">
        <is>
          <t>開發費</t>
        </is>
      </c>
      <c r="C18" s="6" t="n"/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/>
      <c r="D19" s="51" t="inlineStr">
        <is>
          <t>-</t>
        </is>
      </c>
    </row>
    <row r="20" ht="16.5" customHeight="1" s="58">
      <c r="A20" s="65" t="n"/>
      <c r="B20" s="1" t="inlineStr">
        <is>
          <t>【方式1參數】租金總額</t>
        </is>
      </c>
      <c r="C20" s="6" t="n"/>
      <c r="D20" s="51" t="n"/>
    </row>
    <row r="21">
      <c r="A21" s="67" t="n"/>
      <c r="B21" s="8" t="inlineStr">
        <is>
          <t>【方式2參數】抽成比率</t>
        </is>
      </c>
      <c r="C21" s="6" t="n"/>
      <c r="D21" s="7" t="inlineStr">
        <is>
          <t>-</t>
        </is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/>
      <c r="D22" s="7" t="n"/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/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/>
      <c r="D24" s="7" t="n"/>
    </row>
    <row r="25">
      <c r="A25" s="5" t="inlineStr">
        <is>
          <t>利息費用</t>
        </is>
      </c>
      <c r="B25" s="5" t="inlineStr">
        <is>
          <t>銀行利率</t>
        </is>
      </c>
      <c r="C25" s="11" t="n"/>
      <c r="D25" s="7" t="inlineStr">
        <is>
          <t>-</t>
        </is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inlineStr">
        <is>
          <t>-</t>
        </is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C37" sqref="C37"/>
    </sheetView>
  </sheetViews>
  <sheetFormatPr baseColWidth="8" defaultRowHeight="16.5"/>
  <cols>
    <col width="24.75" bestFit="1" customWidth="1" style="58" min="1" max="1"/>
  </cols>
  <sheetData>
    <row r="1">
      <c r="A1" s="0" t="inlineStr">
        <is>
          <t>模組回收費每千瓦價格</t>
        </is>
      </c>
      <c r="B1" s="0" t="n">
        <v>1000</v>
      </c>
    </row>
    <row r="2">
      <c r="A2" s="0" t="inlineStr">
        <is>
          <t>保險費</t>
        </is>
      </c>
      <c r="B2" s="0" t="n">
        <v>784980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D16" sqref="D16"/>
    </sheetView>
  </sheetViews>
  <sheetFormatPr baseColWidth="8" defaultRowHeight="16.5"/>
  <cols>
    <col width="11.625" bestFit="1" customWidth="1" style="58" min="1" max="1"/>
    <col width="50" bestFit="1" customWidth="1" style="58" min="2" max="2"/>
    <col width="66.375" bestFit="1" customWidth="1" style="58" min="3" max="3"/>
    <col width="51.625" bestFit="1" customWidth="1" style="58" min="4" max="4"/>
    <col width="87.125" bestFit="1" customWidth="1" style="58" min="5" max="5"/>
  </cols>
  <sheetData>
    <row r="1" ht="17.25" customHeight="1" s="58" thickBot="1">
      <c r="A1" s="62" t="inlineStr">
        <is>
          <t>參照表格：綜合損益表</t>
        </is>
      </c>
      <c r="B1" s="60" t="n"/>
      <c r="C1" s="60" t="n"/>
      <c r="D1" s="60" t="n"/>
      <c r="E1" s="61" t="n"/>
    </row>
    <row r="2">
      <c r="A2" s="6" t="n"/>
      <c r="B2" s="7" t="inlineStr">
        <is>
          <t>項目名稱</t>
        </is>
      </c>
      <c r="C2" s="7" t="inlineStr">
        <is>
          <t>計算方式</t>
        </is>
      </c>
      <c r="D2" s="7" t="inlineStr">
        <is>
          <t>輸入方式</t>
        </is>
      </c>
      <c r="E2" s="7" t="inlineStr">
        <is>
          <t>備註</t>
        </is>
      </c>
    </row>
    <row r="3" ht="31.5" customHeight="1" s="58">
      <c r="A3" s="33" t="inlineStr">
        <is>
          <t>收入項</t>
        </is>
      </c>
      <c r="B3" s="6" t="inlineStr">
        <is>
          <t>電費收入</t>
        </is>
      </c>
      <c r="C3" s="6" t="inlineStr">
        <is>
          <t>各期(年)發電度數 * 費率</t>
        </is>
      </c>
      <c r="D3" s="28" t="inlineStr">
        <is>
          <t>使用者介面：輸入費率
資料庫：各期(年)發電度數</t>
        </is>
      </c>
      <c r="E3" s="6" t="inlineStr">
        <is>
          <t>各期(年)發電度數 = 各年度AC發電量 * 模組decay</t>
        </is>
      </c>
    </row>
    <row r="4" ht="78.75" customHeight="1" s="58">
      <c r="A4" s="54" t="inlineStr">
        <is>
          <t>支出項</t>
        </is>
      </c>
      <c r="B4" s="2" t="inlineStr">
        <is>
          <t>報價金額</t>
        </is>
      </c>
      <c r="C4" s="6" t="inlineStr">
        <is>
          <t>報價總金額 =  {[每kw成本價 / (1 - 利潤率) (+開發費)] * 建置容量} / 20</t>
        </is>
      </c>
      <c r="D4" s="28" t="inlineStr">
        <is>
          <t>使用者介面：
輸入建置容量
輸入每kw價格
輸入利潤率
輸入開發費(如須納入考量才輸，否則預設為0)</t>
        </is>
      </c>
      <c r="E4" s="28" t="inlineStr">
        <is>
          <t>在綜合損益表的場景下需要攤提，攤提期數為20年(共20 期)
報價金額為財模範例中的設備費用</t>
        </is>
      </c>
    </row>
    <row r="5" ht="47.25" customHeight="1" s="58">
      <c r="A5" s="65" t="n"/>
      <c r="B5" s="5" t="inlineStr">
        <is>
          <t>設備建置區域租金</t>
        </is>
      </c>
      <c r="C5" s="28" t="inlineStr">
        <is>
          <t>租金總額 / 攤提期數 或
每期電費收入 * 租金抽成%數</t>
        </is>
      </c>
      <c r="D5" s="28" t="inlineStr">
        <is>
          <t>使用者介面(二擇一)：
1. 輸入租金總額
2. 電費收入、租金抽成%數</t>
        </is>
      </c>
      <c r="E5" s="6" t="inlineStr">
        <is>
          <t>攤提期數為20年(共20 期)</t>
        </is>
      </c>
    </row>
    <row r="6" ht="47.25" customHeight="1" s="58">
      <c r="A6" s="65" t="n"/>
      <c r="B6" s="32" t="inlineStr">
        <is>
          <t>利息費用</t>
        </is>
      </c>
      <c r="C6" s="30" t="inlineStr">
        <is>
          <t>借款餘額 * 銀行利率</t>
        </is>
      </c>
      <c r="D6" s="31" t="inlineStr">
        <is>
          <t>使用者介面：
銀行利率
貸款比例(預設0.8)</t>
        </is>
      </c>
      <c r="E6" s="30" t="inlineStr">
        <is>
          <t>借(貸)款餘額 = 前一期借款餘額 - 本金攤還
本金攤還 = 借(貸)款總額 / 攤提期數(通常為15期，發生於1~15期)
借(貸)款總額 = 設備費用 * 貸款比例(通常為0.8)</t>
        </is>
      </c>
    </row>
    <row r="7">
      <c r="A7" s="65" t="n"/>
      <c r="B7" s="5" t="inlineStr">
        <is>
          <t>運維費用</t>
        </is>
      </c>
      <c r="C7" s="6" t="inlineStr">
        <is>
          <t>運維費用總額 / 攤提期數</t>
        </is>
      </c>
      <c r="D7" s="6" t="inlineStr">
        <is>
          <t>使用者介面：輸入金額</t>
        </is>
      </c>
      <c r="E7" s="6" t="inlineStr">
        <is>
          <t>攤提期數為20年(共20 期)，發生於1~20期</t>
        </is>
      </c>
    </row>
    <row r="8" ht="31.5" customHeight="1" s="58">
      <c r="A8" s="65" t="n"/>
      <c r="B8" s="5" t="inlineStr">
        <is>
          <t>保險費用</t>
        </is>
      </c>
      <c r="C8" s="34" t="inlineStr">
        <is>
          <t>保險費用總額 / 攤提期數</t>
        </is>
      </c>
      <c r="D8" s="6" t="inlineStr">
        <is>
          <t>使用者介面：輸入金額</t>
        </is>
      </c>
      <c r="E8" s="35" t="inlineStr">
        <is>
          <t>攤提期數為20年(共20 期)，發生於1~20期
保險費用總額 = 設備費用(攤提前) * 0.003</t>
        </is>
      </c>
    </row>
    <row r="9" ht="31.5" customHeight="1" s="58">
      <c r="A9" s="65" t="n"/>
      <c r="B9" s="5" t="inlineStr">
        <is>
          <t>模組回收費</t>
        </is>
      </c>
      <c r="C9" s="2" t="inlineStr">
        <is>
          <t>模組回收費用 = 每kw價格 * 建置量 / 攤提期數</t>
        </is>
      </c>
      <c r="D9" s="6" t="inlineStr">
        <is>
          <t>使用者介面：輸入金額</t>
        </is>
      </c>
      <c r="E9" s="35" t="inlineStr">
        <is>
          <t xml:space="preserve">攤提期數為10年(共10期)，發生於1~10期
</t>
        </is>
      </c>
    </row>
    <row r="10" ht="31.5" customHeight="1" s="58">
      <c r="A10" s="67" t="n"/>
      <c r="B10" s="26" t="inlineStr">
        <is>
          <t>所得稅</t>
        </is>
      </c>
      <c r="C10" s="6" t="inlineStr">
        <is>
          <t>各期稅前淨利 * 課徵稅率(20%)</t>
        </is>
      </c>
      <c r="D10" s="27" t="inlineStr">
        <is>
          <t>程式計算即可</t>
        </is>
      </c>
      <c r="E10" s="28" t="inlineStr">
        <is>
          <t>稅前淨利 = 各期收入細項 - 對應各期支出細項
營業額 &lt; 120,000 免所得稅</t>
        </is>
      </c>
    </row>
    <row r="11">
      <c r="A11" s="7" t="inlineStr">
        <is>
          <t>金流</t>
        </is>
      </c>
      <c r="B11" s="5" t="inlineStr">
        <is>
          <t>稅後淨利(可計算專案法IRR)</t>
        </is>
      </c>
      <c r="C11" s="6" t="inlineStr">
        <is>
          <t>稅前淨利 - 所得稅</t>
        </is>
      </c>
      <c r="D11" s="28" t="inlineStr">
        <is>
          <t>程式計算即可</t>
        </is>
      </c>
      <c r="E11" s="6" t="inlineStr">
        <is>
          <t>需與回收(益鼎)的專案法IRR結果相等，以確保計算正確。</t>
        </is>
      </c>
    </row>
    <row r="12" ht="17.25" customHeight="1" s="58" thickBot="1"/>
    <row r="13" ht="17.25" customHeight="1" s="58" thickBot="1">
      <c r="A13" s="62" t="inlineStr">
        <is>
          <t>參照表格：現金流量表</t>
        </is>
      </c>
      <c r="B13" s="60" t="n"/>
      <c r="C13" s="60" t="n"/>
      <c r="D13" s="60" t="n"/>
      <c r="E13" s="61" t="n"/>
    </row>
    <row r="14">
      <c r="A14" s="51" t="inlineStr">
        <is>
          <t>分類</t>
        </is>
      </c>
      <c r="B14" s="21" t="inlineStr">
        <is>
          <t>項目名稱</t>
        </is>
      </c>
      <c r="C14" s="24" t="inlineStr">
        <is>
          <t>來源 or 計算方式</t>
        </is>
      </c>
      <c r="D14" s="21" t="inlineStr">
        <is>
          <t>輸入方式</t>
        </is>
      </c>
      <c r="E14" s="21" t="inlineStr">
        <is>
          <t>備註</t>
        </is>
      </c>
    </row>
    <row r="15">
      <c r="A15" s="55" t="inlineStr">
        <is>
          <t>營運現金流</t>
        </is>
      </c>
      <c r="B15" s="6" t="inlineStr">
        <is>
          <t>稅後淨利</t>
        </is>
      </c>
      <c r="C15" s="6" t="inlineStr">
        <is>
          <t>綜合損益表</t>
        </is>
      </c>
      <c r="D15" s="6" t="inlineStr">
        <is>
          <t>系統執行完綜合損益表，計算出20期稅後淨利並代入</t>
        </is>
      </c>
      <c r="E15" s="6" t="n"/>
    </row>
    <row r="16">
      <c r="A16" s="65" t="n"/>
      <c r="B16" s="6" t="inlineStr">
        <is>
          <t>設備折舊</t>
        </is>
      </c>
      <c r="C16" s="6" t="inlineStr">
        <is>
          <t>綜合損益表</t>
        </is>
      </c>
      <c r="D16" s="6" t="inlineStr">
        <is>
          <t>系統執行完綜合損益表，計算出20期設備折舊並代入</t>
        </is>
      </c>
      <c r="E16" s="6" t="inlineStr">
        <is>
          <t>需將綜合損益表的20期攤提轉為正數，因為在現金流量表的場景下，設備折舊為資產回收</t>
        </is>
      </c>
    </row>
    <row r="17">
      <c r="A17" s="67" t="n"/>
      <c r="B17" s="6" t="inlineStr">
        <is>
          <t>營運活動現金流量</t>
        </is>
      </c>
      <c r="C17" s="6" t="inlineStr">
        <is>
          <t>稅後淨利 + 設備折舊</t>
        </is>
      </c>
      <c r="D17" s="2" t="inlineStr">
        <is>
          <t>程式計算，無須使用者輸入</t>
        </is>
      </c>
      <c r="E17" s="6" t="n"/>
    </row>
    <row r="18">
      <c r="A18" s="29" t="inlineStr">
        <is>
          <t>投資活動</t>
        </is>
      </c>
      <c r="B18" s="6" t="inlineStr">
        <is>
          <t>投資活動 - 設備支出</t>
        </is>
      </c>
      <c r="C18" s="2" t="inlineStr">
        <is>
          <t>收支試算表的設備費用</t>
        </is>
      </c>
      <c r="D18" s="6" t="inlineStr">
        <is>
          <t>從收支試算表代入即可</t>
        </is>
      </c>
      <c r="E18" s="6" t="n"/>
    </row>
    <row r="19">
      <c r="A19" s="56" t="inlineStr">
        <is>
          <t>理財活動</t>
        </is>
      </c>
      <c r="B19" s="6" t="inlineStr">
        <is>
          <t>理財活動 - 借款 or 銀行貸款 or 借(貸)款總額</t>
        </is>
      </c>
      <c r="C19" s="6" t="inlineStr">
        <is>
          <t>綜合損益表; 算式：報價總金額 * 貸款比率(通常為0.8)</t>
        </is>
      </c>
      <c r="D19" s="2" t="inlineStr">
        <is>
          <t>程式計算，無須使用者輸入</t>
        </is>
      </c>
      <c r="E19" s="6" t="inlineStr">
        <is>
          <t>對於公司來說，貸款即從銀行得到一筆錢，屬於現金流入，為正數</t>
        </is>
      </c>
    </row>
    <row r="20" ht="31.5" customHeight="1" s="58">
      <c r="A20" s="65" t="n"/>
      <c r="B20" s="6" t="inlineStr">
        <is>
          <t>理財活動 - 還款</t>
        </is>
      </c>
      <c r="C20" s="6" t="inlineStr">
        <is>
          <t>借(貸)款總額 / 攤提期數(通常為15期)</t>
        </is>
      </c>
      <c r="D20" s="6" t="inlineStr">
        <is>
          <t>使用者介面：輸入攤提期數(預設為15)</t>
        </is>
      </c>
      <c r="E20" s="28" t="inlineStr">
        <is>
          <t xml:space="preserve">對於公司來說，還款屬於現金流出，為負數
還款都於第二期開始發生 </t>
        </is>
      </c>
    </row>
    <row r="21">
      <c r="A21" s="65" t="n"/>
      <c r="B21" s="6" t="inlineStr">
        <is>
          <t>理財活動 - 現金增資 or 公司自備款 or 股東投入</t>
        </is>
      </c>
      <c r="C21" s="6" t="inlineStr">
        <is>
          <t>設備支出 * (1 - 貸款比率)(通常為0.2)</t>
        </is>
      </c>
      <c r="D21" s="2" t="inlineStr">
        <is>
          <t>程式計算，無須使用者輸入</t>
        </is>
      </c>
      <c r="E21" s="6" t="inlineStr">
        <is>
          <t>對於公司來說，從股東得到的錢為設備費用的20%，屬於現金流入，為正數</t>
        </is>
      </c>
    </row>
    <row r="22" ht="31.5" customHeight="1" s="58">
      <c r="A22" s="65" t="n"/>
      <c r="B22" s="6" t="inlineStr">
        <is>
          <t>現金股利</t>
        </is>
      </c>
      <c r="C22" s="6" t="inlineStr">
        <is>
          <t>稅後淨利 * 0.9</t>
        </is>
      </c>
      <c r="D22" s="6" t="inlineStr">
        <is>
          <t>使用者介面：輸入股利的比率(預設0.9)</t>
        </is>
      </c>
      <c r="E22" s="28" t="inlineStr">
        <is>
          <t>公司法要求，為營運，至少要從稅後淨利取出10%的保留盈餘作為營運使用，其餘90%作為現金股利分配給股東，屬於現金流出，為負數</t>
        </is>
      </c>
    </row>
    <row r="23">
      <c r="A23" s="67" t="n"/>
      <c r="B23" s="6" t="inlineStr">
        <is>
          <t>年底減資  or 股本攤還</t>
        </is>
      </c>
      <c r="C23" s="6" t="inlineStr">
        <is>
          <t>現金增資 / 攤還期數</t>
        </is>
      </c>
      <c r="D23" s="6" t="inlineStr">
        <is>
          <t>使用者介面：輸入攤還期數(預設為4)</t>
        </is>
      </c>
      <c r="E23" s="6" t="inlineStr">
        <is>
          <t>對於公司來說，除了現金股利外，股東當初投入的股本也應該償還給股東，屬於現金流出，為負數</t>
        </is>
      </c>
    </row>
    <row r="24">
      <c r="A24" s="57" t="inlineStr">
        <is>
          <t>淨現金</t>
        </is>
      </c>
      <c r="B24" s="6" t="inlineStr">
        <is>
          <t>現金淨流入</t>
        </is>
      </c>
      <c r="C24" s="6" t="inlineStr">
        <is>
          <t>營運活動現金流量 + 投資活動 + 理財活動</t>
        </is>
      </c>
      <c r="D24" s="6" t="inlineStr">
        <is>
          <t>程式計算，無須使用者輸入</t>
        </is>
      </c>
      <c r="E24" s="6" t="n"/>
    </row>
    <row r="25">
      <c r="A25" s="65" t="n"/>
      <c r="B25" s="6" t="inlineStr">
        <is>
          <t>期初淨現金</t>
        </is>
      </c>
      <c r="C25" s="6" t="inlineStr">
        <is>
          <t>前一期的期末淨現金</t>
        </is>
      </c>
      <c r="D25" s="6" t="inlineStr">
        <is>
          <t>程式導入，無須使用者輸入</t>
        </is>
      </c>
      <c r="E25" s="6" t="n"/>
    </row>
    <row r="26" ht="31.5" customHeight="1" s="58">
      <c r="A26" s="67" t="n"/>
      <c r="B26" s="6" t="inlineStr">
        <is>
          <t>期末淨現金</t>
        </is>
      </c>
      <c r="C26" s="6" t="inlineStr">
        <is>
          <t>當期現金淨流入 + 當期期初淨現金</t>
        </is>
      </c>
      <c r="D26" s="6" t="inlineStr">
        <is>
          <t>程式計算，無須使用者輸入</t>
        </is>
      </c>
      <c r="E26" s="27" t="inlineStr">
        <is>
          <t>不可出現負數，如有負數，請調整年底減資的期數或本金償還的期數重新滾算
(原因：既要還銀行貸款的本金又要還股東股本)</t>
        </is>
      </c>
    </row>
    <row r="27">
      <c r="A27" s="53" t="inlineStr">
        <is>
          <t>金流</t>
        </is>
      </c>
      <c r="B27" s="6" t="inlineStr">
        <is>
          <t>成本法實際現金流(可計算成本法IRR)</t>
        </is>
      </c>
      <c r="C27" s="6" t="inlineStr">
        <is>
          <t>(現金增資 + 現金股利 + 年底減資) * -1</t>
        </is>
      </c>
      <c r="D27" s="2" t="inlineStr">
        <is>
          <t>程式計算，無須使用者輸入</t>
        </is>
      </c>
      <c r="E27" s="6" t="inlineStr">
        <is>
          <t>這邊須以股東的角度看待金流流向，故數字的正負會倒過來</t>
        </is>
      </c>
    </row>
    <row r="28">
      <c r="A28" s="67" t="n"/>
      <c r="B28" s="6" t="inlineStr">
        <is>
          <t>權益法實際現金流(可計算權益法IRR)</t>
        </is>
      </c>
      <c r="C28" s="6" t="inlineStr">
        <is>
          <t xml:space="preserve"> 稅後淨利 - 現金增資</t>
        </is>
      </c>
      <c r="D28" s="6" t="inlineStr">
        <is>
          <t>程式計算，無須使用者輸入</t>
        </is>
      </c>
      <c r="E28" s="6" t="inlineStr">
        <is>
          <t>這邊須以股東的角度看待金流流向，故數字的正負會倒過來(稅後淨利為正數)</t>
        </is>
      </c>
    </row>
  </sheetData>
  <mergeCells count="7">
    <mergeCell ref="A27:A28"/>
    <mergeCell ref="A4:A10"/>
    <mergeCell ref="A15:A17"/>
    <mergeCell ref="A1:E1"/>
    <mergeCell ref="A19:A23"/>
    <mergeCell ref="A13:E13"/>
    <mergeCell ref="A24:A26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編號</t>
        </is>
      </c>
      <c r="B1" s="0" t="inlineStr">
        <is>
          <t>價金每KW</t>
        </is>
      </c>
      <c r="C1" s="0" t="inlineStr">
        <is>
          <t>專案法IRR</t>
        </is>
      </c>
      <c r="D1" s="0" t="inlineStr">
        <is>
          <t>權益法IRR</t>
        </is>
      </c>
      <c r="E1" s="0" t="inlineStr">
        <is>
          <t>信邦利潤率</t>
        </is>
      </c>
      <c r="F1" s="0" t="inlineStr">
        <is>
          <t>信邦利潤</t>
        </is>
      </c>
      <c r="G1" s="0" t="inlineStr">
        <is>
          <t>每kw信邦利潤</t>
        </is>
      </c>
      <c r="H1" s="0" t="inlineStr">
        <is>
          <t>開發費</t>
        </is>
      </c>
      <c r="I1" s="0" t="inlineStr">
        <is>
          <t>備註</t>
        </is>
      </c>
    </row>
    <row r="2">
      <c r="B2" s="0" t="n">
        <v>30000</v>
      </c>
      <c r="C2" s="0" t="n">
        <v>4.29</v>
      </c>
      <c r="D2" s="0" t="n">
        <v>10.43</v>
      </c>
      <c r="E2" s="68" t="n">
        <v>0.2</v>
      </c>
      <c r="F2" s="0" t="n">
        <v>2398550</v>
      </c>
      <c r="G2" s="0" t="n">
        <v>5500</v>
      </c>
      <c r="H2" s="0" t="n">
        <v>2000</v>
      </c>
      <c r="I2" s="0" t="inlineStr">
        <is>
          <t>初始價金 - 現金模式，每次減少 1000 元，邊界值 20000 元</t>
        </is>
      </c>
    </row>
    <row r="3">
      <c r="B3" s="0" t="n">
        <v>29000</v>
      </c>
      <c r="C3" s="0" t="n">
        <v>4.63</v>
      </c>
      <c r="D3" s="0" t="n">
        <v>11.74</v>
      </c>
      <c r="E3" s="68" t="n">
        <v>0.2</v>
      </c>
      <c r="F3" s="0" t="n">
        <v>2289525</v>
      </c>
      <c r="G3" s="0" t="n">
        <v>5250</v>
      </c>
      <c r="H3" s="0" t="n">
        <v>2000</v>
      </c>
      <c r="I3" s="0" t="inlineStr">
        <is>
          <t>第1次滾算，減少 1000 元 - 現金模式，每次減少 1000 元</t>
        </is>
      </c>
    </row>
    <row r="4">
      <c r="B4" s="0" t="n">
        <v>28000</v>
      </c>
      <c r="C4" s="0" t="n">
        <v>4.98</v>
      </c>
      <c r="D4" s="0" t="n">
        <v>13.18</v>
      </c>
      <c r="E4" s="68" t="n">
        <v>0.2</v>
      </c>
      <c r="F4" s="0" t="n">
        <v>2180500</v>
      </c>
      <c r="G4" s="0" t="n">
        <v>5000</v>
      </c>
      <c r="H4" s="0" t="n">
        <v>2000</v>
      </c>
      <c r="I4" s="0" t="inlineStr">
        <is>
          <t>第2次滾算，減少 1000 元 - 現金模式，每次減少 1000 元</t>
        </is>
      </c>
    </row>
    <row r="5">
      <c r="B5" s="0" t="n">
        <v>27000</v>
      </c>
      <c r="C5" s="0" t="n">
        <v>5.35</v>
      </c>
      <c r="D5" s="0" t="n">
        <v>14.77</v>
      </c>
      <c r="E5" s="68" t="n">
        <v>0.2</v>
      </c>
      <c r="F5" s="0" t="n">
        <v>2071475</v>
      </c>
      <c r="G5" s="0" t="n">
        <v>4750</v>
      </c>
      <c r="H5" s="0" t="n">
        <v>2000</v>
      </c>
      <c r="I5" s="0" t="inlineStr">
        <is>
          <t>第3次滾算，減少 1000 元 - 現金模式，每次減少 1000 元</t>
        </is>
      </c>
    </row>
    <row r="6">
      <c r="B6" s="0" t="n">
        <v>26000</v>
      </c>
      <c r="C6" s="0" t="n">
        <v>5.74</v>
      </c>
      <c r="D6" s="0" t="n">
        <v>16.54</v>
      </c>
      <c r="E6" s="68" t="n">
        <v>0.2</v>
      </c>
      <c r="F6" s="0" t="n">
        <v>1962450</v>
      </c>
      <c r="G6" s="0" t="n">
        <v>4500</v>
      </c>
      <c r="H6" s="0" t="n">
        <v>2000</v>
      </c>
      <c r="I6" s="0" t="inlineStr">
        <is>
          <t>第4次滾算，減少 1000 元 - 現金模式，每次減少 1000 元</t>
        </is>
      </c>
    </row>
    <row r="7">
      <c r="B7" s="0" t="n">
        <v>25000</v>
      </c>
      <c r="C7" s="0" t="n">
        <v>6.15</v>
      </c>
      <c r="D7" s="0" t="n">
        <v>18.54</v>
      </c>
      <c r="E7" s="68" t="n">
        <v>0.2</v>
      </c>
      <c r="F7" s="0" t="n">
        <v>1853425</v>
      </c>
      <c r="G7" s="0" t="n">
        <v>4250</v>
      </c>
      <c r="H7" s="0" t="n">
        <v>2000</v>
      </c>
      <c r="I7" s="0" t="inlineStr">
        <is>
          <t>第5次滾算，減少 1000 元 - 現金模式，每次減少 1000 元</t>
        </is>
      </c>
    </row>
    <row r="8">
      <c r="B8" s="0" t="n">
        <v>24000</v>
      </c>
      <c r="C8" s="0" t="n">
        <v>6.59</v>
      </c>
      <c r="D8" s="0" t="n">
        <v>20.81</v>
      </c>
      <c r="E8" s="68" t="n">
        <v>0.2</v>
      </c>
      <c r="F8" s="0" t="n">
        <v>1744400</v>
      </c>
      <c r="G8" s="0" t="n">
        <v>4000</v>
      </c>
      <c r="H8" s="0" t="n">
        <v>2000</v>
      </c>
      <c r="I8" s="0" t="inlineStr">
        <is>
          <t>第6次滾算，減少 1000 元 - 現金模式，每次減少 1000 元</t>
        </is>
      </c>
    </row>
    <row r="9">
      <c r="B9" s="0" t="n">
        <v>23000</v>
      </c>
      <c r="C9" s="0" t="n">
        <v>7.06</v>
      </c>
      <c r="D9" s="0" t="n">
        <v>23.4</v>
      </c>
      <c r="E9" s="68" t="n">
        <v>0.2</v>
      </c>
      <c r="F9" s="0" t="n">
        <v>1635375</v>
      </c>
      <c r="G9" s="0" t="n">
        <v>3750</v>
      </c>
      <c r="H9" s="0" t="n">
        <v>2000</v>
      </c>
      <c r="I9" s="0" t="inlineStr">
        <is>
          <t>第7次滾算，減少 1000 元 - 現金模式，每次減少 1000 元</t>
        </is>
      </c>
    </row>
    <row r="10">
      <c r="B10" s="0" t="n">
        <v>22000</v>
      </c>
      <c r="C10" s="0" t="n">
        <v>7.56</v>
      </c>
      <c r="D10" s="0" t="n">
        <v>26.41</v>
      </c>
      <c r="E10" s="68" t="n">
        <v>0.2</v>
      </c>
      <c r="F10" s="0" t="n">
        <v>1526350</v>
      </c>
      <c r="G10" s="0" t="n">
        <v>3500</v>
      </c>
      <c r="H10" s="0" t="n">
        <v>2000</v>
      </c>
      <c r="I10" s="0" t="inlineStr">
        <is>
          <t>第8次滾算，減少 1000 元 - 現金模式，每次減少 1000 元</t>
        </is>
      </c>
    </row>
    <row r="11">
      <c r="B11" s="0" t="n">
        <v>21000</v>
      </c>
      <c r="C11" s="0" t="n">
        <v>8.1</v>
      </c>
      <c r="D11" s="0" t="n">
        <v>29.94</v>
      </c>
      <c r="E11" s="68" t="n">
        <v>0.2</v>
      </c>
      <c r="F11" s="0" t="n">
        <v>1417325</v>
      </c>
      <c r="G11" s="0" t="n">
        <v>3250</v>
      </c>
      <c r="H11" s="0" t="n">
        <v>2000</v>
      </c>
      <c r="I11" s="0" t="inlineStr">
        <is>
          <t>第9次滾算，減少 1000 元 - 現金模式，每次減少 1000 元</t>
        </is>
      </c>
    </row>
    <row r="12">
      <c r="B12" s="0" t="n">
        <v>20000</v>
      </c>
      <c r="C12" s="0" t="n">
        <v>8.67</v>
      </c>
      <c r="D12" s="0" t="n">
        <v>34.13</v>
      </c>
      <c r="E12" s="68" t="n">
        <v>0.2</v>
      </c>
      <c r="F12" s="0" t="n">
        <v>1308300</v>
      </c>
      <c r="G12" s="0" t="n">
        <v>3000</v>
      </c>
      <c r="H12" s="0" t="n">
        <v>2000</v>
      </c>
      <c r="I12" s="0" t="inlineStr">
        <is>
          <t>第10次滾算，減少 1000 元 - 現金模式，每次減少 1000 元</t>
        </is>
      </c>
    </row>
    <row r="13">
      <c r="B13" s="0" t="n">
        <v>30000</v>
      </c>
      <c r="C13" s="0" t="n">
        <v>4.29</v>
      </c>
      <c r="D13" s="0" t="n">
        <v>10.43</v>
      </c>
      <c r="E13" s="68" t="n">
        <v>0.2</v>
      </c>
      <c r="F13" s="0" t="n">
        <v>2398550</v>
      </c>
      <c r="G13" s="0" t="n">
        <v>5500</v>
      </c>
      <c r="H13" s="0" t="n">
        <v>2000</v>
      </c>
      <c r="I13" s="0" t="inlineStr">
        <is>
          <t>初始價金 - 現金模式，每次減少 1000 元，邊界值 20000 元</t>
        </is>
      </c>
    </row>
    <row r="14">
      <c r="B14" s="0" t="n">
        <v>29000</v>
      </c>
      <c r="C14" s="0" t="n">
        <v>4.63</v>
      </c>
      <c r="D14" s="0" t="n">
        <v>11.74</v>
      </c>
      <c r="E14" s="68" t="n">
        <v>0.2</v>
      </c>
      <c r="F14" s="0" t="n">
        <v>2289525</v>
      </c>
      <c r="G14" s="0" t="n">
        <v>5250</v>
      </c>
      <c r="H14" s="0" t="n">
        <v>2000</v>
      </c>
      <c r="I14" s="0" t="inlineStr">
        <is>
          <t>第1次滾算，減少 1000 元 - 現金模式，每次減少 1000 元</t>
        </is>
      </c>
    </row>
    <row r="15">
      <c r="B15" s="0" t="n">
        <v>28000</v>
      </c>
      <c r="C15" s="0" t="n">
        <v>4.98</v>
      </c>
      <c r="D15" s="0" t="n">
        <v>13.18</v>
      </c>
      <c r="E15" s="68" t="n">
        <v>0.2</v>
      </c>
      <c r="F15" s="0" t="n">
        <v>2180500</v>
      </c>
      <c r="G15" s="0" t="n">
        <v>5000</v>
      </c>
      <c r="H15" s="0" t="n">
        <v>2000</v>
      </c>
      <c r="I15" s="0" t="inlineStr">
        <is>
          <t>第2次滾算，減少 1000 元 - 現金模式，每次減少 1000 元</t>
        </is>
      </c>
    </row>
    <row r="16">
      <c r="B16" s="0" t="n">
        <v>27000</v>
      </c>
      <c r="C16" s="0" t="n">
        <v>5.35</v>
      </c>
      <c r="D16" s="0" t="n">
        <v>14.77</v>
      </c>
      <c r="E16" s="68" t="n">
        <v>0.2</v>
      </c>
      <c r="F16" s="0" t="n">
        <v>2071475</v>
      </c>
      <c r="G16" s="0" t="n">
        <v>4750</v>
      </c>
      <c r="H16" s="0" t="n">
        <v>2000</v>
      </c>
      <c r="I16" s="0" t="inlineStr">
        <is>
          <t>第3次滾算，減少 1000 元 - 現金模式，每次減少 1000 元</t>
        </is>
      </c>
    </row>
    <row r="17">
      <c r="B17" s="0" t="n">
        <v>26000</v>
      </c>
      <c r="C17" s="0" t="n">
        <v>5.74</v>
      </c>
      <c r="D17" s="0" t="n">
        <v>16.54</v>
      </c>
      <c r="E17" s="68" t="n">
        <v>0.2</v>
      </c>
      <c r="F17" s="0" t="n">
        <v>1962450</v>
      </c>
      <c r="G17" s="0" t="n">
        <v>4500</v>
      </c>
      <c r="H17" s="0" t="n">
        <v>2000</v>
      </c>
      <c r="I17" s="0" t="inlineStr">
        <is>
          <t>第4次滾算，減少 1000 元 - 現金模式，每次減少 1000 元</t>
        </is>
      </c>
    </row>
    <row r="18">
      <c r="B18" s="0" t="n">
        <v>25000</v>
      </c>
      <c r="C18" s="0" t="n">
        <v>6.15</v>
      </c>
      <c r="D18" s="0" t="n">
        <v>18.54</v>
      </c>
      <c r="E18" s="68" t="n">
        <v>0.2</v>
      </c>
      <c r="F18" s="0" t="n">
        <v>1853425</v>
      </c>
      <c r="G18" s="0" t="n">
        <v>4250</v>
      </c>
      <c r="H18" s="0" t="n">
        <v>2000</v>
      </c>
      <c r="I18" s="0" t="inlineStr">
        <is>
          <t>第5次滾算，減少 1000 元 - 現金模式，每次減少 1000 元</t>
        </is>
      </c>
    </row>
    <row r="19">
      <c r="B19" s="0" t="n">
        <v>24000</v>
      </c>
      <c r="C19" s="0" t="n">
        <v>6.59</v>
      </c>
      <c r="D19" s="0" t="n">
        <v>20.81</v>
      </c>
      <c r="E19" s="68" t="n">
        <v>0.2</v>
      </c>
      <c r="F19" s="0" t="n">
        <v>1744400</v>
      </c>
      <c r="G19" s="0" t="n">
        <v>4000</v>
      </c>
      <c r="H19" s="0" t="n">
        <v>2000</v>
      </c>
      <c r="I19" s="0" t="inlineStr">
        <is>
          <t>第6次滾算，減少 1000 元 - 現金模式，每次減少 1000 元</t>
        </is>
      </c>
    </row>
    <row r="20">
      <c r="B20" s="0" t="n">
        <v>23000</v>
      </c>
      <c r="C20" s="0" t="n">
        <v>7.06</v>
      </c>
      <c r="D20" s="0" t="n">
        <v>23.4</v>
      </c>
      <c r="E20" s="68" t="n">
        <v>0.2</v>
      </c>
      <c r="F20" s="0" t="n">
        <v>1635375</v>
      </c>
      <c r="G20" s="0" t="n">
        <v>3750</v>
      </c>
      <c r="H20" s="0" t="n">
        <v>2000</v>
      </c>
      <c r="I20" s="0" t="inlineStr">
        <is>
          <t>第7次滾算，減少 1000 元 - 現金模式，每次減少 1000 元</t>
        </is>
      </c>
    </row>
    <row r="21">
      <c r="B21" s="0" t="n">
        <v>22000</v>
      </c>
      <c r="C21" s="0" t="n">
        <v>7.56</v>
      </c>
      <c r="D21" s="0" t="n">
        <v>26.41</v>
      </c>
      <c r="E21" s="68" t="n">
        <v>0.2</v>
      </c>
      <c r="F21" s="0" t="n">
        <v>1526350</v>
      </c>
      <c r="G21" s="0" t="n">
        <v>3500</v>
      </c>
      <c r="H21" s="0" t="n">
        <v>2000</v>
      </c>
      <c r="I21" s="0" t="inlineStr">
        <is>
          <t>第8次滾算，減少 1000 元 - 現金模式，每次減少 1000 元</t>
        </is>
      </c>
    </row>
    <row r="22">
      <c r="B22" s="0" t="n">
        <v>21000</v>
      </c>
      <c r="C22" s="0" t="n">
        <v>8.1</v>
      </c>
      <c r="D22" s="0" t="n">
        <v>29.94</v>
      </c>
      <c r="E22" s="68" t="n">
        <v>0.2</v>
      </c>
      <c r="F22" s="0" t="n">
        <v>1417325</v>
      </c>
      <c r="G22" s="0" t="n">
        <v>3250</v>
      </c>
      <c r="H22" s="0" t="n">
        <v>2000</v>
      </c>
      <c r="I22" s="0" t="inlineStr">
        <is>
          <t>第9次滾算，減少 1000 元 - 現金模式，每次減少 1000 元</t>
        </is>
      </c>
    </row>
    <row r="23">
      <c r="B23" s="0" t="n">
        <v>20000</v>
      </c>
      <c r="C23" s="0" t="n">
        <v>8.67</v>
      </c>
      <c r="D23" s="0" t="n">
        <v>34.13</v>
      </c>
      <c r="E23" s="68" t="n">
        <v>0.2</v>
      </c>
      <c r="F23" s="0" t="n">
        <v>1308300</v>
      </c>
      <c r="G23" s="0" t="n">
        <v>3000</v>
      </c>
      <c r="H23" s="0" t="n">
        <v>2000</v>
      </c>
      <c r="I23" s="0" t="inlineStr">
        <is>
          <t>第10次滾算，減少 1000 元 - 現金模式，每次減少 1000 元</t>
        </is>
      </c>
    </row>
    <row r="24">
      <c r="B24" s="0" t="n">
        <v>30000</v>
      </c>
      <c r="C24" s="0" t="n">
        <v>4.29</v>
      </c>
      <c r="D24" s="0" t="n">
        <v>10.43</v>
      </c>
      <c r="E24" s="68" t="n">
        <v>0.2</v>
      </c>
      <c r="F24" s="0" t="n">
        <v>2398550</v>
      </c>
      <c r="G24" s="0" t="n">
        <v>5500</v>
      </c>
      <c r="H24" s="0" t="n">
        <v>2000</v>
      </c>
      <c r="I24" s="0" t="inlineStr">
        <is>
          <t>初始價金 - 現金模式，每次減少 1000 元，邊界值 20000 元</t>
        </is>
      </c>
    </row>
    <row r="25">
      <c r="B25" s="0" t="n">
        <v>29000</v>
      </c>
      <c r="C25" s="0" t="n">
        <v>4.63</v>
      </c>
      <c r="D25" s="0" t="n">
        <v>11.74</v>
      </c>
      <c r="E25" s="68" t="n">
        <v>0.2</v>
      </c>
      <c r="F25" s="0" t="n">
        <v>2289525</v>
      </c>
      <c r="G25" s="0" t="n">
        <v>5250</v>
      </c>
      <c r="H25" s="0" t="n">
        <v>2000</v>
      </c>
      <c r="I25" s="0" t="inlineStr">
        <is>
          <t>第1次滾算，減少 1000 元 - 現金模式，每次減少 1000 元</t>
        </is>
      </c>
    </row>
    <row r="26">
      <c r="B26" s="0" t="n">
        <v>28000</v>
      </c>
      <c r="C26" s="0" t="n">
        <v>4.98</v>
      </c>
      <c r="D26" s="0" t="n">
        <v>13.18</v>
      </c>
      <c r="E26" s="68" t="n">
        <v>0.2</v>
      </c>
      <c r="F26" s="0" t="n">
        <v>2180500</v>
      </c>
      <c r="G26" s="0" t="n">
        <v>5000</v>
      </c>
      <c r="H26" s="0" t="n">
        <v>2000</v>
      </c>
      <c r="I26" s="0" t="inlineStr">
        <is>
          <t>第2次滾算，減少 1000 元 - 現金模式，每次減少 1000 元</t>
        </is>
      </c>
    </row>
    <row r="27">
      <c r="B27" s="0" t="n">
        <v>27000</v>
      </c>
      <c r="C27" s="0" t="n">
        <v>5.35</v>
      </c>
      <c r="D27" s="0" t="n">
        <v>14.77</v>
      </c>
      <c r="E27" s="68" t="n">
        <v>0.2</v>
      </c>
      <c r="F27" s="0" t="n">
        <v>2071475</v>
      </c>
      <c r="G27" s="0" t="n">
        <v>4750</v>
      </c>
      <c r="H27" s="0" t="n">
        <v>2000</v>
      </c>
      <c r="I27" s="0" t="inlineStr">
        <is>
          <t>第3次滾算，減少 1000 元 - 現金模式，每次減少 1000 元</t>
        </is>
      </c>
    </row>
    <row r="28">
      <c r="B28" s="0" t="n">
        <v>26000</v>
      </c>
      <c r="C28" s="0" t="n">
        <v>5.74</v>
      </c>
      <c r="D28" s="0" t="n">
        <v>16.54</v>
      </c>
      <c r="E28" s="68" t="n">
        <v>0.2</v>
      </c>
      <c r="F28" s="0" t="n">
        <v>1962450</v>
      </c>
      <c r="G28" s="0" t="n">
        <v>4500</v>
      </c>
      <c r="H28" s="0" t="n">
        <v>2000</v>
      </c>
      <c r="I28" s="0" t="inlineStr">
        <is>
          <t>第4次滾算，減少 1000 元 - 現金模式，每次減少 1000 元</t>
        </is>
      </c>
    </row>
    <row r="29">
      <c r="B29" s="0" t="n">
        <v>25000</v>
      </c>
      <c r="C29" s="0" t="n">
        <v>6.15</v>
      </c>
      <c r="D29" s="0" t="n">
        <v>18.54</v>
      </c>
      <c r="E29" s="68" t="n">
        <v>0.2</v>
      </c>
      <c r="F29" s="0" t="n">
        <v>1853425</v>
      </c>
      <c r="G29" s="0" t="n">
        <v>4250</v>
      </c>
      <c r="H29" s="0" t="n">
        <v>2000</v>
      </c>
      <c r="I29" s="0" t="inlineStr">
        <is>
          <t>第5次滾算，減少 1000 元 - 現金模式，每次減少 1000 元</t>
        </is>
      </c>
    </row>
    <row r="30">
      <c r="B30" s="0" t="n">
        <v>24000</v>
      </c>
      <c r="C30" s="0" t="n">
        <v>6.59</v>
      </c>
      <c r="D30" s="0" t="n">
        <v>20.81</v>
      </c>
      <c r="E30" s="68" t="n">
        <v>0.2</v>
      </c>
      <c r="F30" s="0" t="n">
        <v>1744400</v>
      </c>
      <c r="G30" s="0" t="n">
        <v>4000</v>
      </c>
      <c r="H30" s="0" t="n">
        <v>2000</v>
      </c>
      <c r="I30" s="0" t="inlineStr">
        <is>
          <t>第6次滾算，減少 1000 元 - 現金模式，每次減少 1000 元</t>
        </is>
      </c>
    </row>
    <row r="31">
      <c r="B31" s="0" t="n">
        <v>23000</v>
      </c>
      <c r="C31" s="0" t="n">
        <v>7.06</v>
      </c>
      <c r="D31" s="0" t="n">
        <v>23.4</v>
      </c>
      <c r="E31" s="68" t="n">
        <v>0.2</v>
      </c>
      <c r="F31" s="0" t="n">
        <v>1635375</v>
      </c>
      <c r="G31" s="0" t="n">
        <v>3750</v>
      </c>
      <c r="H31" s="0" t="n">
        <v>2000</v>
      </c>
      <c r="I31" s="0" t="inlineStr">
        <is>
          <t>第7次滾算，減少 1000 元 - 現金模式，每次減少 1000 元</t>
        </is>
      </c>
    </row>
    <row r="32">
      <c r="B32" s="0" t="n">
        <v>22000</v>
      </c>
      <c r="C32" s="0" t="n">
        <v>7.56</v>
      </c>
      <c r="D32" s="0" t="n">
        <v>26.41</v>
      </c>
      <c r="E32" s="68" t="n">
        <v>0.2</v>
      </c>
      <c r="F32" s="0" t="n">
        <v>1526350</v>
      </c>
      <c r="G32" s="0" t="n">
        <v>3500</v>
      </c>
      <c r="H32" s="0" t="n">
        <v>2000</v>
      </c>
      <c r="I32" s="0" t="inlineStr">
        <is>
          <t>第8次滾算，減少 1000 元 - 現金模式，每次減少 1000 元</t>
        </is>
      </c>
    </row>
    <row r="33">
      <c r="B33" s="0" t="n">
        <v>21000</v>
      </c>
      <c r="C33" s="0" t="n">
        <v>8.1</v>
      </c>
      <c r="D33" s="0" t="n">
        <v>29.94</v>
      </c>
      <c r="E33" s="68" t="n">
        <v>0.2</v>
      </c>
      <c r="F33" s="0" t="n">
        <v>1417325</v>
      </c>
      <c r="G33" s="0" t="n">
        <v>3250</v>
      </c>
      <c r="H33" s="0" t="n">
        <v>2000</v>
      </c>
      <c r="I33" s="0" t="inlineStr">
        <is>
          <t>第9次滾算，減少 1000 元 - 現金模式，每次減少 1000 元</t>
        </is>
      </c>
    </row>
    <row r="34">
      <c r="B34" s="0" t="n">
        <v>20000</v>
      </c>
      <c r="C34" s="0" t="n">
        <v>8.67</v>
      </c>
      <c r="D34" s="0" t="n">
        <v>34.13</v>
      </c>
      <c r="E34" s="68" t="n">
        <v>0.2</v>
      </c>
      <c r="F34" s="0" t="n">
        <v>1308300</v>
      </c>
      <c r="G34" s="0" t="n">
        <v>3000</v>
      </c>
      <c r="H34" s="0" t="n">
        <v>2000</v>
      </c>
      <c r="I34" s="0" t="inlineStr">
        <is>
          <t>第10次滾算，減少 1000 元 - 現金模式，每次減少 1000 元</t>
        </is>
      </c>
    </row>
    <row r="35">
      <c r="A35" s="0" t="n">
        <v>4</v>
      </c>
      <c r="B35" s="0" t="n">
        <v>30000</v>
      </c>
      <c r="C35" s="0" t="n">
        <v>4.29</v>
      </c>
      <c r="D35" s="0" t="n">
        <v>10.43</v>
      </c>
      <c r="E35" s="68" t="n">
        <v>0.2</v>
      </c>
      <c r="F35" s="0" t="n">
        <v>2398550</v>
      </c>
      <c r="G35" s="0" t="n">
        <v>5500</v>
      </c>
      <c r="H35" s="0" t="n">
        <v>2000</v>
      </c>
      <c r="I35" s="0" t="inlineStr">
        <is>
          <t>初始價金 - 現金模式，每次減少 2000 元，邊界值 20000 元</t>
        </is>
      </c>
    </row>
    <row r="36">
      <c r="A36" s="0" t="n">
        <v>5</v>
      </c>
      <c r="B36" s="0" t="n">
        <v>28000</v>
      </c>
      <c r="C36" s="0" t="n">
        <v>4.98</v>
      </c>
      <c r="D36" s="0" t="n">
        <v>13.18</v>
      </c>
      <c r="E36" s="68" t="n">
        <v>0.2</v>
      </c>
      <c r="F36" s="0" t="n">
        <v>2180500</v>
      </c>
      <c r="G36" s="0" t="n">
        <v>5000</v>
      </c>
      <c r="H36" s="0" t="n">
        <v>2000</v>
      </c>
      <c r="I36" s="0" t="inlineStr">
        <is>
          <t>第1次滾算，減少 2000 元 - 現金模式，每次減少 2000 元</t>
        </is>
      </c>
    </row>
    <row r="37">
      <c r="A37" s="0" t="n">
        <v>6</v>
      </c>
      <c r="B37" s="0" t="n">
        <v>26000</v>
      </c>
      <c r="C37" s="0" t="n">
        <v>5.74</v>
      </c>
      <c r="D37" s="0" t="n">
        <v>16.54</v>
      </c>
      <c r="E37" s="68" t="n">
        <v>0.2</v>
      </c>
      <c r="F37" s="0" t="n">
        <v>1962450</v>
      </c>
      <c r="G37" s="0" t="n">
        <v>4500</v>
      </c>
      <c r="H37" s="0" t="n">
        <v>2000</v>
      </c>
      <c r="I37" s="0" t="inlineStr">
        <is>
          <t>第2次滾算，減少 2000 元 - 現金模式，每次減少 2000 元</t>
        </is>
      </c>
    </row>
    <row r="38">
      <c r="A38" s="0" t="n">
        <v>7</v>
      </c>
      <c r="B38" s="0" t="n">
        <v>24000</v>
      </c>
      <c r="C38" s="0" t="n">
        <v>6.59</v>
      </c>
      <c r="D38" s="0" t="n">
        <v>20.81</v>
      </c>
      <c r="E38" s="68" t="n">
        <v>0.2</v>
      </c>
      <c r="F38" s="0" t="n">
        <v>1744400</v>
      </c>
      <c r="G38" s="0" t="n">
        <v>4000</v>
      </c>
      <c r="H38" s="0" t="n">
        <v>2000</v>
      </c>
      <c r="I38" s="0" t="inlineStr">
        <is>
          <t>第3次滾算，減少 2000 元 - 現金模式，每次減少 2000 元</t>
        </is>
      </c>
    </row>
    <row r="39">
      <c r="A39" s="0" t="n">
        <v>8</v>
      </c>
      <c r="B39" s="0" t="n">
        <v>22000</v>
      </c>
      <c r="C39" s="0" t="n">
        <v>7.56</v>
      </c>
      <c r="D39" s="0" t="n">
        <v>26.41</v>
      </c>
      <c r="E39" s="68" t="n">
        <v>0.2</v>
      </c>
      <c r="F39" s="0" t="n">
        <v>1526350</v>
      </c>
      <c r="G39" s="0" t="n">
        <v>3500</v>
      </c>
      <c r="H39" s="0" t="n">
        <v>2000</v>
      </c>
      <c r="I39" s="0" t="inlineStr">
        <is>
          <t>第4次滾算，減少 2000 元 - 現金模式，每次減少 2000 元</t>
        </is>
      </c>
    </row>
    <row r="40">
      <c r="A40" s="0" t="n">
        <v>9</v>
      </c>
      <c r="B40" s="0" t="n">
        <v>20000</v>
      </c>
      <c r="C40" s="0" t="n">
        <v>8.67</v>
      </c>
      <c r="D40" s="0" t="n">
        <v>34.13</v>
      </c>
      <c r="E40" s="68" t="n">
        <v>0.2</v>
      </c>
      <c r="F40" s="0" t="n">
        <v>1308300</v>
      </c>
      <c r="G40" s="0" t="n">
        <v>3000</v>
      </c>
      <c r="H40" s="0" t="n">
        <v>2000</v>
      </c>
      <c r="I40" s="0" t="inlineStr">
        <is>
          <t>第5次滾算，減少 2000 元 - 現金模式，每次減少 2000 元</t>
        </is>
      </c>
    </row>
    <row r="41">
      <c r="A41" s="0" t="n">
        <v>10</v>
      </c>
      <c r="B41" s="0" t="n">
        <v>30000</v>
      </c>
      <c r="C41" s="0" t="n">
        <v>4.29</v>
      </c>
      <c r="D41" s="0" t="n">
        <v>10.43</v>
      </c>
      <c r="E41" s="68" t="n">
        <v>0.2</v>
      </c>
      <c r="F41" s="0" t="n">
        <v>2398550</v>
      </c>
      <c r="G41" s="0" t="n">
        <v>5500</v>
      </c>
      <c r="H41" s="0" t="n">
        <v>2000</v>
      </c>
      <c r="I41" s="0" t="inlineStr">
        <is>
          <t>初始價金 - 比率模式，每次減少 5.0%，邊界值 20000 元</t>
        </is>
      </c>
    </row>
    <row r="42">
      <c r="A42" s="0" t="n">
        <v>11</v>
      </c>
      <c r="B42" s="0" t="n">
        <v>28500</v>
      </c>
      <c r="C42" s="0" t="n">
        <v>4.8</v>
      </c>
      <c r="D42" s="0" t="n">
        <v>12.44</v>
      </c>
      <c r="E42" s="68" t="n">
        <v>0.2</v>
      </c>
      <c r="F42" s="0" t="n">
        <v>2235012.5</v>
      </c>
      <c r="G42" s="0" t="n">
        <v>5125</v>
      </c>
      <c r="H42" s="0" t="n">
        <v>2000</v>
      </c>
      <c r="I42" s="0" t="inlineStr">
        <is>
          <t>第1次滾算，減少 1500 元 - 比率模式，每次減少 5.0%</t>
        </is>
      </c>
    </row>
    <row r="43">
      <c r="A43" s="0" t="n">
        <v>12</v>
      </c>
      <c r="B43" s="0" t="n">
        <v>27075</v>
      </c>
      <c r="C43" s="0" t="n">
        <v>5.32</v>
      </c>
      <c r="D43" s="0" t="n">
        <v>14.64</v>
      </c>
      <c r="E43" s="68" t="n">
        <v>0.2</v>
      </c>
      <c r="F43" s="0" t="n">
        <v>2079651.875</v>
      </c>
      <c r="G43" s="0" t="n">
        <v>4768.75</v>
      </c>
      <c r="H43" s="0" t="n">
        <v>2000</v>
      </c>
      <c r="I43" s="0" t="inlineStr">
        <is>
          <t>第2次滾算，減少 1425 元 - 比率模式，每次減少 5.0%</t>
        </is>
      </c>
    </row>
    <row r="44">
      <c r="A44" s="0" t="n">
        <v>13</v>
      </c>
      <c r="B44" s="0" t="n">
        <v>25721</v>
      </c>
      <c r="C44" s="0" t="n">
        <v>5.85</v>
      </c>
      <c r="D44" s="0" t="n">
        <v>17.08</v>
      </c>
      <c r="E44" s="68" t="n">
        <v>0.2</v>
      </c>
      <c r="F44" s="0" t="n">
        <v>1932032.025</v>
      </c>
      <c r="G44" s="0" t="n">
        <v>4430.25</v>
      </c>
      <c r="H44" s="0" t="n">
        <v>2000</v>
      </c>
      <c r="I44" s="0" t="inlineStr">
        <is>
          <t>第3次滾算，減少 1354 元 - 比率模式，每次減少 5.0%</t>
        </is>
      </c>
    </row>
    <row r="45">
      <c r="A45" s="0" t="n">
        <v>14</v>
      </c>
      <c r="B45" s="0" t="n">
        <v>24435</v>
      </c>
      <c r="C45" s="0" t="n">
        <v>6.4</v>
      </c>
      <c r="D45" s="0" t="n">
        <v>19.78</v>
      </c>
      <c r="E45" s="68" t="n">
        <v>0.2</v>
      </c>
      <c r="F45" s="0" t="n">
        <v>1791825.875</v>
      </c>
      <c r="G45" s="0" t="n">
        <v>4108.75</v>
      </c>
      <c r="H45" s="0" t="n">
        <v>2000</v>
      </c>
      <c r="I45" s="0" t="inlineStr">
        <is>
          <t>第4次滾算，減少 1286 元 - 比率模式，每次減少 5.0%</t>
        </is>
      </c>
    </row>
    <row r="46">
      <c r="A46" s="0" t="n">
        <v>15</v>
      </c>
      <c r="B46" s="0" t="n">
        <v>23213</v>
      </c>
      <c r="C46" s="0" t="n">
        <v>6.96</v>
      </c>
      <c r="D46" s="0" t="n">
        <v>22.82</v>
      </c>
      <c r="E46" s="68" t="n">
        <v>0.2</v>
      </c>
      <c r="F46" s="0" t="n">
        <v>1658597.325</v>
      </c>
      <c r="G46" s="0" t="n">
        <v>3803.25</v>
      </c>
      <c r="H46" s="0" t="n">
        <v>2000</v>
      </c>
      <c r="I46" s="0" t="inlineStr">
        <is>
          <t>第5次滾算，減少 1222 元 - 比率模式，每次減少 5.0%</t>
        </is>
      </c>
    </row>
    <row r="47">
      <c r="A47" s="0" t="n">
        <v>16</v>
      </c>
      <c r="B47" s="0" t="n">
        <v>22053</v>
      </c>
      <c r="C47" s="0" t="n">
        <v>7.54</v>
      </c>
      <c r="D47" s="0" t="n">
        <v>26.24</v>
      </c>
      <c r="E47" s="68" t="n">
        <v>0.2</v>
      </c>
      <c r="F47" s="0" t="n">
        <v>1532128.325</v>
      </c>
      <c r="G47" s="0" t="n">
        <v>3513.25</v>
      </c>
      <c r="H47" s="0" t="n">
        <v>2000</v>
      </c>
      <c r="I47" s="0" t="inlineStr">
        <is>
          <t>第6次滾算，減少 1160 元 - 比率模式，每次減少 5.0%</t>
        </is>
      </c>
    </row>
    <row r="48">
      <c r="A48" s="0" t="n">
        <v>17</v>
      </c>
      <c r="B48" s="0" t="n">
        <v>20950</v>
      </c>
      <c r="C48" s="0" t="n">
        <v>8.130000000000001</v>
      </c>
      <c r="D48" s="0" t="n">
        <v>30.13</v>
      </c>
      <c r="E48" s="68" t="n">
        <v>0.2</v>
      </c>
      <c r="F48" s="0" t="n">
        <v>1411873.75</v>
      </c>
      <c r="G48" s="0" t="n">
        <v>3237.5</v>
      </c>
      <c r="H48" s="0" t="n">
        <v>2000</v>
      </c>
      <c r="I48" s="0" t="inlineStr">
        <is>
          <t>第7次滾算，減少 1103 元 - 比率模式，每次減少 5.0%</t>
        </is>
      </c>
    </row>
    <row r="49">
      <c r="A49" s="0" t="n">
        <v>18</v>
      </c>
      <c r="B49" s="0" t="n">
        <v>30000</v>
      </c>
      <c r="C49" s="0" t="n">
        <v>4.29</v>
      </c>
      <c r="D49" s="0" t="n">
        <v>10.43</v>
      </c>
      <c r="E49" s="68" t="n">
        <v>0.2</v>
      </c>
      <c r="F49" s="0" t="n">
        <v>2398550</v>
      </c>
      <c r="G49" s="0" t="n">
        <v>5500</v>
      </c>
      <c r="H49" s="0" t="n">
        <v>2000</v>
      </c>
      <c r="I49" s="0" t="inlineStr">
        <is>
          <t>初始價金 - 現金模式，每次減少 2000 元，邊界值 20000 元</t>
        </is>
      </c>
    </row>
    <row r="50">
      <c r="A50" s="0" t="n">
        <v>19</v>
      </c>
      <c r="B50" s="0" t="n">
        <v>28000</v>
      </c>
      <c r="C50" s="0" t="n">
        <v>4.98</v>
      </c>
      <c r="D50" s="0" t="n">
        <v>13.18</v>
      </c>
      <c r="E50" s="68" t="n">
        <v>0.2</v>
      </c>
      <c r="F50" s="0" t="n">
        <v>2180500</v>
      </c>
      <c r="G50" s="0" t="n">
        <v>5000</v>
      </c>
      <c r="H50" s="0" t="n">
        <v>2000</v>
      </c>
      <c r="I50" s="0" t="inlineStr">
        <is>
          <t>第1次滾算，減少 2000 元 - 現金模式，每次減少 2000 元</t>
        </is>
      </c>
    </row>
    <row r="51">
      <c r="A51" s="0" t="n">
        <v>20</v>
      </c>
      <c r="B51" s="0" t="n">
        <v>26000</v>
      </c>
      <c r="C51" s="0" t="n">
        <v>5.74</v>
      </c>
      <c r="D51" s="0" t="n">
        <v>16.54</v>
      </c>
      <c r="E51" s="68" t="n">
        <v>0.2</v>
      </c>
      <c r="F51" s="0" t="n">
        <v>1962450</v>
      </c>
      <c r="G51" s="0" t="n">
        <v>4500</v>
      </c>
      <c r="H51" s="0" t="n">
        <v>2000</v>
      </c>
      <c r="I51" s="0" t="inlineStr">
        <is>
          <t>第2次滾算，減少 2000 元 - 現金模式，每次減少 2000 元</t>
        </is>
      </c>
    </row>
    <row r="52">
      <c r="A52" s="0" t="n">
        <v>21</v>
      </c>
      <c r="B52" s="0" t="n">
        <v>24000</v>
      </c>
      <c r="C52" s="0" t="n">
        <v>6.59</v>
      </c>
      <c r="D52" s="0" t="n">
        <v>20.81</v>
      </c>
      <c r="E52" s="68" t="n">
        <v>0.2</v>
      </c>
      <c r="F52" s="0" t="n">
        <v>1744400</v>
      </c>
      <c r="G52" s="0" t="n">
        <v>4000</v>
      </c>
      <c r="H52" s="0" t="n">
        <v>2000</v>
      </c>
      <c r="I52" s="0" t="inlineStr">
        <is>
          <t>第3次滾算，減少 2000 元 - 現金模式，每次減少 2000 元</t>
        </is>
      </c>
    </row>
    <row r="53">
      <c r="A53" s="0" t="n">
        <v>22</v>
      </c>
      <c r="B53" s="0" t="n">
        <v>22000</v>
      </c>
      <c r="C53" s="0" t="n">
        <v>7.56</v>
      </c>
      <c r="D53" s="0" t="n">
        <v>26.41</v>
      </c>
      <c r="E53" s="68" t="n">
        <v>0.2</v>
      </c>
      <c r="F53" s="0" t="n">
        <v>1526350</v>
      </c>
      <c r="G53" s="0" t="n">
        <v>3500</v>
      </c>
      <c r="H53" s="0" t="n">
        <v>2000</v>
      </c>
      <c r="I53" s="0" t="inlineStr">
        <is>
          <t>第4次滾算，減少 2000 元 - 現金模式，每次減少 2000 元</t>
        </is>
      </c>
    </row>
    <row r="54">
      <c r="A54" s="0" t="n">
        <v>23</v>
      </c>
      <c r="B54" s="0" t="n">
        <v>20000</v>
      </c>
      <c r="C54" s="0" t="n">
        <v>8.67</v>
      </c>
      <c r="D54" s="0" t="n">
        <v>34.13</v>
      </c>
      <c r="E54" s="68" t="n">
        <v>0.2</v>
      </c>
      <c r="F54" s="0" t="n">
        <v>1308300</v>
      </c>
      <c r="G54" s="0" t="n">
        <v>3000</v>
      </c>
      <c r="H54" s="0" t="n">
        <v>2000</v>
      </c>
      <c r="I54" s="0" t="inlineStr">
        <is>
          <t>第5次滾算，減少 2000 元 - 現金模式，每次減少 2000 元</t>
        </is>
      </c>
    </row>
    <row r="55">
      <c r="A55" s="0" t="n">
        <v>24</v>
      </c>
      <c r="B55" s="0" t="n">
        <v>30000</v>
      </c>
      <c r="C55" s="0" t="n">
        <v>4.29</v>
      </c>
      <c r="D55" s="0" t="n">
        <v>10.43</v>
      </c>
      <c r="E55" s="68" t="n">
        <v>0.2</v>
      </c>
      <c r="F55" s="0" t="n">
        <v>2398550</v>
      </c>
      <c r="G55" s="0" t="n">
        <v>5500</v>
      </c>
      <c r="H55" s="0" t="n">
        <v>2000</v>
      </c>
      <c r="I55" s="0" t="inlineStr">
        <is>
          <t>初始價金 - 比率模式，每次減少 5.0%，邊界值 20000 元</t>
        </is>
      </c>
    </row>
    <row r="56">
      <c r="A56" s="0" t="n">
        <v>25</v>
      </c>
      <c r="B56" s="0" t="n">
        <v>28500</v>
      </c>
      <c r="C56" s="0" t="n">
        <v>4.8</v>
      </c>
      <c r="D56" s="0" t="n">
        <v>12.44</v>
      </c>
      <c r="E56" s="68" t="n">
        <v>0.2</v>
      </c>
      <c r="F56" s="0" t="n">
        <v>2235012.5</v>
      </c>
      <c r="G56" s="0" t="n">
        <v>5125</v>
      </c>
      <c r="H56" s="0" t="n">
        <v>2000</v>
      </c>
      <c r="I56" s="0" t="inlineStr">
        <is>
          <t>第1次滾算，減少 1500 元 - 比率模式，每次減少 5.0%</t>
        </is>
      </c>
    </row>
    <row r="57">
      <c r="A57" s="0" t="n">
        <v>26</v>
      </c>
      <c r="B57" s="0" t="n">
        <v>27075</v>
      </c>
      <c r="C57" s="0" t="n">
        <v>5.32</v>
      </c>
      <c r="D57" s="0" t="n">
        <v>14.64</v>
      </c>
      <c r="E57" s="68" t="n">
        <v>0.2</v>
      </c>
      <c r="F57" s="0" t="n">
        <v>2079651.875</v>
      </c>
      <c r="G57" s="0" t="n">
        <v>4768.75</v>
      </c>
      <c r="H57" s="0" t="n">
        <v>2000</v>
      </c>
      <c r="I57" s="0" t="inlineStr">
        <is>
          <t>第2次滾算，減少 1425 元 - 比率模式，每次減少 5.0%</t>
        </is>
      </c>
    </row>
    <row r="58">
      <c r="A58" s="0" t="n">
        <v>27</v>
      </c>
      <c r="B58" s="0" t="n">
        <v>25721</v>
      </c>
      <c r="C58" s="0" t="n">
        <v>5.85</v>
      </c>
      <c r="D58" s="0" t="n">
        <v>17.08</v>
      </c>
      <c r="E58" s="68" t="n">
        <v>0.2</v>
      </c>
      <c r="F58" s="0" t="n">
        <v>1932032.025</v>
      </c>
      <c r="G58" s="0" t="n">
        <v>4430.25</v>
      </c>
      <c r="H58" s="0" t="n">
        <v>2000</v>
      </c>
      <c r="I58" s="0" t="inlineStr">
        <is>
          <t>第3次滾算，減少 1354 元 - 比率模式，每次減少 5.0%</t>
        </is>
      </c>
    </row>
    <row r="59">
      <c r="A59" s="0" t="n">
        <v>28</v>
      </c>
      <c r="B59" s="0" t="n">
        <v>24435</v>
      </c>
      <c r="C59" s="0" t="n">
        <v>6.4</v>
      </c>
      <c r="D59" s="0" t="n">
        <v>19.78</v>
      </c>
      <c r="E59" s="68" t="n">
        <v>0.2</v>
      </c>
      <c r="F59" s="0" t="n">
        <v>1791825.875</v>
      </c>
      <c r="G59" s="0" t="n">
        <v>4108.75</v>
      </c>
      <c r="H59" s="0" t="n">
        <v>2000</v>
      </c>
      <c r="I59" s="0" t="inlineStr">
        <is>
          <t>第4次滾算，減少 1286 元 - 比率模式，每次減少 5.0%</t>
        </is>
      </c>
    </row>
    <row r="60">
      <c r="A60" s="0" t="n">
        <v>29</v>
      </c>
      <c r="B60" s="0" t="n">
        <v>23213</v>
      </c>
      <c r="C60" s="0" t="n">
        <v>6.96</v>
      </c>
      <c r="D60" s="0" t="n">
        <v>22.82</v>
      </c>
      <c r="E60" s="68" t="n">
        <v>0.2</v>
      </c>
      <c r="F60" s="0" t="n">
        <v>1658597.325</v>
      </c>
      <c r="G60" s="0" t="n">
        <v>3803.25</v>
      </c>
      <c r="H60" s="0" t="n">
        <v>2000</v>
      </c>
      <c r="I60" s="0" t="inlineStr">
        <is>
          <t>第5次滾算，減少 1222 元 - 比率模式，每次減少 5.0%</t>
        </is>
      </c>
    </row>
    <row r="61">
      <c r="A61" s="0" t="n">
        <v>30</v>
      </c>
      <c r="B61" s="0" t="n">
        <v>22053</v>
      </c>
      <c r="C61" s="0" t="n">
        <v>7.54</v>
      </c>
      <c r="D61" s="0" t="n">
        <v>26.24</v>
      </c>
      <c r="E61" s="68" t="n">
        <v>0.2</v>
      </c>
      <c r="F61" s="0" t="n">
        <v>1532128.325</v>
      </c>
      <c r="G61" s="0" t="n">
        <v>3513.25</v>
      </c>
      <c r="H61" s="0" t="n">
        <v>2000</v>
      </c>
      <c r="I61" s="0" t="inlineStr">
        <is>
          <t>第6次滾算，減少 1160 元 - 比率模式，每次減少 5.0%</t>
        </is>
      </c>
    </row>
    <row r="62">
      <c r="A62" s="0" t="n">
        <v>31</v>
      </c>
      <c r="B62" s="0" t="n">
        <v>20950</v>
      </c>
      <c r="C62" s="0" t="n">
        <v>8.130000000000001</v>
      </c>
      <c r="D62" s="0" t="n">
        <v>30.13</v>
      </c>
      <c r="E62" s="68" t="n">
        <v>0.2</v>
      </c>
      <c r="F62" s="0" t="n">
        <v>1411873.75</v>
      </c>
      <c r="G62" s="0" t="n">
        <v>3237.5</v>
      </c>
      <c r="H62" s="0" t="n">
        <v>2000</v>
      </c>
      <c r="I62" s="0" t="inlineStr">
        <is>
          <t>第7次滾算，減少 1103 元 - 比率模式，每次減少 5.0%</t>
        </is>
      </c>
    </row>
    <row r="63">
      <c r="A63" t="n">
        <v>32</v>
      </c>
      <c r="B63" t="n">
        <v>30000</v>
      </c>
      <c r="C63" t="n">
        <v>4.29</v>
      </c>
      <c r="D63" t="n">
        <v>10.43</v>
      </c>
      <c r="E63" s="68" t="n">
        <v>0.2</v>
      </c>
      <c r="F63" t="n">
        <v>2398550</v>
      </c>
      <c r="G63" t="n">
        <v>5500</v>
      </c>
      <c r="H63" t="n">
        <v>2000</v>
      </c>
      <c r="I63" t="inlineStr">
        <is>
          <t>初始價金 - 比率模式，每次減少 5.0%，邊界值 20000 元</t>
        </is>
      </c>
    </row>
    <row r="64">
      <c r="A64" t="n">
        <v>33</v>
      </c>
      <c r="B64" t="n">
        <v>28500</v>
      </c>
      <c r="C64" t="n">
        <v>4.8</v>
      </c>
      <c r="D64" t="n">
        <v>12.44</v>
      </c>
      <c r="E64" s="68" t="n">
        <v>0.2</v>
      </c>
      <c r="F64" t="n">
        <v>2235012.5</v>
      </c>
      <c r="G64" t="n">
        <v>5125</v>
      </c>
      <c r="H64" t="n">
        <v>2000</v>
      </c>
      <c r="I64" t="inlineStr">
        <is>
          <t>第1次滾算，減少 1500 元 - 比率模式，每次減少 5.0%</t>
        </is>
      </c>
    </row>
    <row r="65">
      <c r="A65" t="n">
        <v>34</v>
      </c>
      <c r="B65" t="n">
        <v>27075</v>
      </c>
      <c r="C65" t="n">
        <v>5.32</v>
      </c>
      <c r="D65" t="n">
        <v>14.64</v>
      </c>
      <c r="E65" s="68" t="n">
        <v>0.2</v>
      </c>
      <c r="F65" t="n">
        <v>2079651.875</v>
      </c>
      <c r="G65" t="n">
        <v>4768.75</v>
      </c>
      <c r="H65" t="n">
        <v>2000</v>
      </c>
      <c r="I65" t="inlineStr">
        <is>
          <t>第2次滾算，減少 1425 元 - 比率模式，每次減少 5.0%</t>
        </is>
      </c>
    </row>
    <row r="66">
      <c r="A66" t="n">
        <v>35</v>
      </c>
      <c r="B66" t="n">
        <v>25721</v>
      </c>
      <c r="C66" t="n">
        <v>5.85</v>
      </c>
      <c r="D66" t="n">
        <v>17.08</v>
      </c>
      <c r="E66" s="68" t="n">
        <v>0.2</v>
      </c>
      <c r="F66" t="n">
        <v>1932032.025</v>
      </c>
      <c r="G66" t="n">
        <v>4430.25</v>
      </c>
      <c r="H66" t="n">
        <v>2000</v>
      </c>
      <c r="I66" t="inlineStr">
        <is>
          <t>第3次滾算，減少 1354 元 - 比率模式，每次減少 5.0%</t>
        </is>
      </c>
    </row>
    <row r="67">
      <c r="A67" t="n">
        <v>36</v>
      </c>
      <c r="B67" t="n">
        <v>24435</v>
      </c>
      <c r="C67" t="n">
        <v>6.4</v>
      </c>
      <c r="D67" t="n">
        <v>19.78</v>
      </c>
      <c r="E67" s="68" t="n">
        <v>0.2</v>
      </c>
      <c r="F67" t="n">
        <v>1791825.875</v>
      </c>
      <c r="G67" t="n">
        <v>4108.75</v>
      </c>
      <c r="H67" t="n">
        <v>2000</v>
      </c>
      <c r="I67" t="inlineStr">
        <is>
          <t>第4次滾算，減少 1286 元 - 比率模式，每次減少 5.0%</t>
        </is>
      </c>
    </row>
    <row r="68">
      <c r="A68" t="n">
        <v>37</v>
      </c>
      <c r="B68" t="n">
        <v>23213</v>
      </c>
      <c r="C68" t="n">
        <v>6.96</v>
      </c>
      <c r="D68" t="n">
        <v>22.82</v>
      </c>
      <c r="E68" s="68" t="n">
        <v>0.2</v>
      </c>
      <c r="F68" t="n">
        <v>1658597.325</v>
      </c>
      <c r="G68" t="n">
        <v>3803.25</v>
      </c>
      <c r="H68" t="n">
        <v>2000</v>
      </c>
      <c r="I68" t="inlineStr">
        <is>
          <t>第5次滾算，減少 1222 元 - 比率模式，每次減少 5.0%</t>
        </is>
      </c>
    </row>
    <row r="69">
      <c r="A69" t="n">
        <v>38</v>
      </c>
      <c r="B69" t="n">
        <v>22053</v>
      </c>
      <c r="C69" t="n">
        <v>7.54</v>
      </c>
      <c r="D69" t="n">
        <v>26.24</v>
      </c>
      <c r="E69" s="68" t="n">
        <v>0.2</v>
      </c>
      <c r="F69" t="n">
        <v>1532128.325</v>
      </c>
      <c r="G69" t="n">
        <v>3513.25</v>
      </c>
      <c r="H69" t="n">
        <v>2000</v>
      </c>
      <c r="I69" t="inlineStr">
        <is>
          <t>第6次滾算，減少 1160 元 - 比率模式，每次減少 5.0%</t>
        </is>
      </c>
    </row>
    <row r="70">
      <c r="A70" t="n">
        <v>39</v>
      </c>
      <c r="B70" t="n">
        <v>20950</v>
      </c>
      <c r="C70" t="n">
        <v>8.130000000000001</v>
      </c>
      <c r="D70" t="n">
        <v>30.13</v>
      </c>
      <c r="E70" s="68" t="n">
        <v>0.2</v>
      </c>
      <c r="F70" t="n">
        <v>1411873.75</v>
      </c>
      <c r="G70" t="n">
        <v>3237.5</v>
      </c>
      <c r="H70" t="n">
        <v>2000</v>
      </c>
      <c r="I70" t="inlineStr">
        <is>
          <t>第7次滾算，減少 1103 元 - 比率模式，每次減少 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初始價金摘要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初始價金: 30000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4.29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10.43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基準價金 - 滾算起始點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30000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29000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4.63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11.74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29000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第2次滾算摘要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28000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4.98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13.18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第2次滾算，減少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28000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第3次滾算摘要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27000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5.35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14.77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第3次滾算，減少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27000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第4次滾算摘要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26000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5.74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16.54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第4次滾算，減少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26000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第5次滾算摘要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25000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6.15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18.54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第5次滾算，減少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25000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第6次滾算摘要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24000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6.59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20.81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第6次滾算，減少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24000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第7次滾算摘要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23000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7.06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23.4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第7次滾算，減少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23000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第8次滾算摘要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22000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7.56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26.41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第8次滾算，減少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22000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第9次滾算摘要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21000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8.1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29.94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第9次滾算，減少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21000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第10次滾算摘要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8.67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34.13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第10次滾算，減少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初始價金摘要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初始價金: 30000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4.29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10.43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基準價金 - 滾算起始點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30000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29000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4.63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11.74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29000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第2次滾算摘要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28000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4.98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13.18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第2次滾算，減少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28000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第3次滾算摘要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27000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5.35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14.77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第3次滾算，減少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27000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第4次滾算摘要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26000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5.74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16.54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第4次滾算，減少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26000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第5次滾算摘要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25000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6.15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18.54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第5次滾算，減少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25000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第6次滾算摘要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24000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6.59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20.81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第6次滾算，減少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24000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第7次滾算摘要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23000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7.06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23.4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第7次滾算，減少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23000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第8次滾算摘要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22000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7.56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26.41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第8次滾算，減少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22000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第9次滾算摘要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21000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8.1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29.94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第9次滾算，減少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21000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第10次滾算摘要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8.67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34.13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第10次滾算，減少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初始價金摘要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初始價金: 30000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4.29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10.43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基準價金 - 滾算起始點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30000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29000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4.63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11.74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29000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第2次滾算摘要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28000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4.98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13.18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第2次滾算，減少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28000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第3次滾算摘要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27000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5.35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14.77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第3次滾算，減少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27000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第4次滾算摘要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26000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5.74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16.54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第4次滾算，減少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26000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第5次滾算摘要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25000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6.15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18.54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第5次滾算，減少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25000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第6次滾算摘要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24000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6.59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20.81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第6次滾算，減少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24000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第7次滾算摘要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23000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7.06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23.4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第7次滾算，減少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23000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第8次滾算摘要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22000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7.56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26.41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第8次滾算，減少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22000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第9次滾算摘要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21000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8.1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29.94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第9次滾算，減少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21000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69" t="n"/>
      <c r="B1" s="70" t="inlineStr">
        <is>
          <t>電站基本資料</t>
        </is>
      </c>
      <c r="C1" s="71" t="n"/>
      <c r="D1" s="71" t="n"/>
      <c r="E1" s="72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</row>
    <row r="2">
      <c r="A2" s="69" t="n"/>
      <c r="B2" s="74" t="inlineStr">
        <is>
          <t>電站名稱</t>
        </is>
      </c>
      <c r="C2" s="75" t="inlineStr">
        <is>
          <t>淡江大學-財務模擬案場</t>
        </is>
      </c>
      <c r="D2" s="76" t="inlineStr">
        <is>
          <t>-</t>
        </is>
      </c>
      <c r="E2" s="76" t="inlineStr">
        <is>
          <t>-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69" t="n"/>
      <c r="Y2" s="69" t="n"/>
      <c r="Z2" s="69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</row>
    <row r="3">
      <c r="A3" s="69" t="n"/>
      <c r="B3" s="77" t="inlineStr">
        <is>
          <t>電站壽命</t>
        </is>
      </c>
      <c r="C3" s="78" t="n">
        <v>20</v>
      </c>
      <c r="D3" s="79" t="inlineStr">
        <is>
          <t>-</t>
        </is>
      </c>
      <c r="E3" s="79" t="inlineStr">
        <is>
          <t>-</t>
        </is>
      </c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</row>
    <row r="4">
      <c r="A4" s="69" t="n"/>
      <c r="B4" s="77" t="inlineStr">
        <is>
          <t>建置量(kWp)</t>
        </is>
      </c>
      <c r="C4" s="78" t="n">
        <v>436.1</v>
      </c>
      <c r="D4" s="79" t="inlineStr">
        <is>
          <t>-</t>
        </is>
      </c>
      <c r="E4" s="79" t="inlineStr">
        <is>
          <t>-</t>
        </is>
      </c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</row>
    <row r="5">
      <c r="A5" s="69" t="n"/>
      <c r="B5" s="80" t="inlineStr">
        <is>
          <t>起始年度</t>
        </is>
      </c>
      <c r="C5" s="78" t="n">
        <v>2020</v>
      </c>
      <c r="D5" s="78" t="inlineStr">
        <is>
          <t>結束年度</t>
        </is>
      </c>
      <c r="E5" s="78" t="n">
        <v>2039</v>
      </c>
      <c r="F5" s="73" t="n"/>
      <c r="G5" s="73" t="n"/>
      <c r="H5" s="73" t="n"/>
      <c r="I5" s="73" t="n"/>
      <c r="J5" s="73" t="n"/>
      <c r="K5" s="73" t="n"/>
      <c r="L5" s="73" t="n"/>
      <c r="M5" s="73" t="inlineStr">
        <is>
          <t>第10次滾算摘要</t>
        </is>
      </c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</row>
    <row r="6">
      <c r="A6" s="69" t="n"/>
      <c r="B6" s="81" t="n"/>
      <c r="C6" s="82" t="n"/>
      <c r="D6" s="82" t="n"/>
      <c r="E6" s="82" t="n"/>
      <c r="F6" s="73" t="n"/>
      <c r="G6" s="73" t="n"/>
      <c r="H6" s="73" t="n"/>
      <c r="I6" s="73" t="n"/>
      <c r="J6" s="73" t="n"/>
      <c r="K6" s="73" t="n"/>
      <c r="L6" s="73" t="n"/>
      <c r="M6" s="73" t="inlineStr">
        <is>
          <t>價金: 20000</t>
        </is>
      </c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</row>
    <row r="7">
      <c r="A7" s="69" t="n"/>
      <c r="B7" s="83" t="inlineStr">
        <is>
          <t>綜合損益表</t>
        </is>
      </c>
      <c r="C7" s="71" t="n"/>
      <c r="D7" s="71" t="n"/>
      <c r="E7" s="72" t="n"/>
      <c r="F7" s="73" t="n"/>
      <c r="G7" s="73" t="n"/>
      <c r="H7" s="73" t="n"/>
      <c r="I7" s="73" t="n"/>
      <c r="J7" s="73" t="n"/>
      <c r="K7" s="73" t="n"/>
      <c r="L7" s="73" t="n"/>
      <c r="M7" s="73" t="inlineStr">
        <is>
          <t>專案IRR: 8.67</t>
        </is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</row>
    <row r="8">
      <c r="A8" s="69" t="n"/>
      <c r="B8" s="84" t="inlineStr">
        <is>
          <t>收入</t>
        </is>
      </c>
      <c r="C8" s="85" t="n"/>
      <c r="D8" s="85" t="n"/>
      <c r="E8" s="86" t="n"/>
      <c r="F8" s="73" t="n"/>
      <c r="G8" s="73" t="n"/>
      <c r="H8" s="73" t="n"/>
      <c r="I8" s="73" t="n"/>
      <c r="J8" s="73" t="n"/>
      <c r="K8" s="73" t="n"/>
      <c r="L8" s="73" t="n"/>
      <c r="M8" s="73" t="inlineStr">
        <is>
          <t>權益法IRR: 34.13</t>
        </is>
      </c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>
      <c r="A9" s="69" t="n"/>
      <c r="B9" s="87" t="inlineStr">
        <is>
          <t>收支項目</t>
        </is>
      </c>
      <c r="C9" s="88" t="inlineStr">
        <is>
          <t>相關參數</t>
        </is>
      </c>
      <c r="D9" s="88" t="inlineStr">
        <is>
          <t>參數數值</t>
        </is>
      </c>
      <c r="E9" s="89" t="inlineStr">
        <is>
          <t>年限</t>
        </is>
      </c>
      <c r="F9" s="73" t="n"/>
      <c r="G9" s="73" t="n"/>
      <c r="H9" s="73" t="n"/>
      <c r="I9" s="73" t="n"/>
      <c r="J9" s="73" t="n"/>
      <c r="K9" s="73" t="n"/>
      <c r="L9" s="73" t="n"/>
      <c r="M9" s="73" t="inlineStr">
        <is>
          <t>利潤率: 20.00%</t>
        </is>
      </c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>
      <c r="A10" s="69" t="n"/>
      <c r="B10" s="90" t="inlineStr">
        <is>
          <t>電費收入</t>
        </is>
      </c>
      <c r="C10" s="75" t="inlineStr">
        <is>
          <t>年度AC併網總發電量</t>
        </is>
      </c>
      <c r="D10" s="75" t="n">
        <v>547002</v>
      </c>
      <c r="E10" s="91" t="n">
        <v>20</v>
      </c>
      <c r="F10" s="73" t="n"/>
      <c r="G10" s="73" t="n"/>
      <c r="H10" s="73" t="n"/>
      <c r="I10" s="73" t="n"/>
      <c r="J10" s="73" t="n"/>
      <c r="K10" s="73" t="n"/>
      <c r="L10" s="73" t="n"/>
      <c r="M10" s="73" t="inlineStr">
        <is>
          <t>第10次滾算，減少 1000 元 - 現金模式，每次減少 1000 元</t>
        </is>
      </c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>
      <c r="A11" s="69" t="n"/>
      <c r="B11" s="92" t="n"/>
      <c r="C11" s="78" t="inlineStr">
        <is>
          <t>首年衰退率</t>
        </is>
      </c>
      <c r="D11" s="93" t="n">
        <v>0.01</v>
      </c>
      <c r="E11" s="92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>
      <c r="A12" s="69" t="n"/>
      <c r="B12" s="92" t="n"/>
      <c r="C12" s="78" t="inlineStr">
        <is>
          <t>次年衰退率</t>
        </is>
      </c>
      <c r="D12" s="94" t="n">
        <v>0.004</v>
      </c>
      <c r="E12" s="92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>
      <c r="A13" s="69" t="n"/>
      <c r="B13" s="92" t="n"/>
      <c r="C13" s="95" t="inlineStr">
        <is>
          <t>躉售費率(FIT)</t>
        </is>
      </c>
      <c r="D13" s="95" t="n">
        <v>3.7152</v>
      </c>
      <c r="E13" s="92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>
      <c r="A14" s="69" t="n"/>
      <c r="B14" s="96" t="inlineStr">
        <is>
          <t>支出</t>
        </is>
      </c>
      <c r="C14" s="71" t="n"/>
      <c r="D14" s="71" t="n"/>
      <c r="E14" s="72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>
      <c r="A15" s="69" t="n"/>
      <c r="B15" s="87" t="inlineStr">
        <is>
          <t>收支項目</t>
        </is>
      </c>
      <c r="C15" s="88" t="inlineStr">
        <is>
          <t>相關參數</t>
        </is>
      </c>
      <c r="D15" s="88" t="inlineStr">
        <is>
          <t>參數數值</t>
        </is>
      </c>
      <c r="E15" s="97" t="inlineStr">
        <is>
          <t>攤提年限</t>
        </is>
      </c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>
      <c r="A16" s="69" t="n"/>
      <c r="B16" s="98" t="inlineStr">
        <is>
          <t>設備費用(價金)</t>
        </is>
      </c>
      <c r="C16" s="99" t="inlineStr">
        <is>
          <t>每kWp設備成本</t>
        </is>
      </c>
      <c r="D16" s="75" t="n">
        <v>20000</v>
      </c>
      <c r="E16" s="100" t="n">
        <v>20</v>
      </c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>
      <c r="A17" s="69" t="n"/>
      <c r="B17" s="92" t="n"/>
      <c r="C17" s="78" t="inlineStr">
        <is>
          <t>信邦利潤率</t>
        </is>
      </c>
      <c r="D17" s="78" t="n">
        <v>0.2</v>
      </c>
      <c r="E17" s="92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>
      <c r="A18" s="69" t="n"/>
      <c r="B18" s="101" t="n"/>
      <c r="C18" s="78" t="inlineStr">
        <is>
          <t>開發費</t>
        </is>
      </c>
      <c r="D18" s="78" t="n">
        <v>2000</v>
      </c>
      <c r="E18" s="101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>
      <c r="A19" s="69" t="n"/>
      <c r="B19" s="102" t="inlineStr">
        <is>
          <t>租金費用</t>
        </is>
      </c>
      <c r="C19" s="103" t="inlineStr">
        <is>
          <t>租金計算方式
(1=固定攤提/2=電費抽成)</t>
        </is>
      </c>
      <c r="D19" s="78" t="n">
        <v>1</v>
      </c>
      <c r="E19" s="76" t="n">
        <v>0</v>
      </c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>
      <c r="A20" s="69" t="n"/>
      <c r="B20" s="92" t="n"/>
      <c r="C20" s="104" t="inlineStr">
        <is>
          <t>【方式1參數】租金總額</t>
        </is>
      </c>
      <c r="D20" s="78" t="n">
        <v>5804025</v>
      </c>
      <c r="E20" s="76" t="n">
        <v>20</v>
      </c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>
      <c r="A21" s="69" t="n"/>
      <c r="B21" s="101" t="n"/>
      <c r="C21" s="78" t="inlineStr">
        <is>
          <t>【方式2參數】抽成比率</t>
        </is>
      </c>
      <c r="D21" s="78" t="n">
        <v>0</v>
      </c>
      <c r="E21" s="79" t="n">
        <v>0</v>
      </c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>
      <c r="A22" s="69" t="n"/>
      <c r="B22" s="80" t="inlineStr">
        <is>
          <t>運維費用</t>
        </is>
      </c>
      <c r="C22" s="78" t="inlineStr">
        <is>
          <t>每kw運維成本</t>
        </is>
      </c>
      <c r="D22" s="78" t="n">
        <v>400</v>
      </c>
      <c r="E22" s="79" t="n">
        <v>20</v>
      </c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>
      <c r="A23" s="69" t="n"/>
      <c r="B23" s="80" t="inlineStr">
        <is>
          <t>保險費用</t>
        </is>
      </c>
      <c r="C23" s="105" t="inlineStr">
        <is>
          <t>占整體設備費用比例</t>
        </is>
      </c>
      <c r="D23" s="78" t="n">
        <v>0.003</v>
      </c>
      <c r="E23" s="79" t="n">
        <v>20</v>
      </c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>
      <c r="A24" s="69" t="n"/>
      <c r="B24" s="80" t="inlineStr">
        <is>
          <t>模組回收費用</t>
        </is>
      </c>
      <c r="C24" s="78" t="inlineStr">
        <is>
          <t>每kw模組回收成本</t>
        </is>
      </c>
      <c r="D24" s="78" t="n">
        <v>1000</v>
      </c>
      <c r="E24" s="79" t="n">
        <v>10</v>
      </c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>
      <c r="A25" s="69" t="n"/>
      <c r="B25" s="80" t="inlineStr">
        <is>
          <t>利息費用</t>
        </is>
      </c>
      <c r="C25" s="78" t="inlineStr">
        <is>
          <t>銀行利率</t>
        </is>
      </c>
      <c r="D25" s="106" t="n">
        <v>0.025595</v>
      </c>
      <c r="E25" s="79" t="n">
        <v>0</v>
      </c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>
      <c r="A26" s="69" t="n"/>
      <c r="B26" s="80" t="inlineStr">
        <is>
          <t>所得稅</t>
        </is>
      </c>
      <c r="C26" s="78" t="inlineStr">
        <is>
          <t>所得稅率</t>
        </is>
      </c>
      <c r="D26" s="78" t="n">
        <v>0.2</v>
      </c>
      <c r="E26" s="79" t="n">
        <v>0</v>
      </c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>
      <c r="A27" s="69" t="n"/>
      <c r="B27" s="81" t="n"/>
      <c r="C27" s="82" t="n"/>
      <c r="D27" s="82" t="n"/>
      <c r="E27" s="82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>
      <c r="A28" s="69" t="n"/>
      <c r="B28" s="81" t="n"/>
      <c r="C28" s="82" t="n"/>
      <c r="D28" s="82" t="n"/>
      <c r="E28" s="82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>
      <c r="A29" s="69" t="n"/>
      <c r="B29" s="83" t="inlineStr">
        <is>
          <t>現金流量表</t>
        </is>
      </c>
      <c r="C29" s="71" t="n"/>
      <c r="D29" s="72" t="n"/>
      <c r="E29" s="82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>
      <c r="A30" s="69" t="n"/>
      <c r="B30" s="87" t="inlineStr">
        <is>
          <t>金流項目</t>
        </is>
      </c>
      <c r="C30" s="88" t="inlineStr">
        <is>
          <t>相關參數</t>
        </is>
      </c>
      <c r="D30" s="97" t="inlineStr">
        <is>
          <t>參數數值</t>
        </is>
      </c>
      <c r="E30" s="82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>
      <c r="A31" s="69" t="n"/>
      <c r="B31" s="74" t="inlineStr">
        <is>
          <t>貸款成數</t>
        </is>
      </c>
      <c r="C31" s="99" t="inlineStr">
        <is>
          <t>占總設備費用比例</t>
        </is>
      </c>
      <c r="D31" s="75" t="n">
        <v>0.8</v>
      </c>
      <c r="E31" s="82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>
      <c r="A32" s="69" t="n"/>
      <c r="B32" s="107" t="inlineStr">
        <is>
          <t>貸款還款</t>
        </is>
      </c>
      <c r="C32" s="75" t="inlineStr">
        <is>
          <t>攤還期數</t>
        </is>
      </c>
      <c r="D32" s="75" t="n">
        <v>15</v>
      </c>
      <c r="E32" s="82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>
      <c r="A33" s="69" t="n"/>
      <c r="B33" s="80" t="inlineStr">
        <is>
          <t>現金股利</t>
        </is>
      </c>
      <c r="C33" s="78" t="inlineStr">
        <is>
          <t>股利比率</t>
        </is>
      </c>
      <c r="D33" s="78" t="n">
        <v>0.9</v>
      </c>
      <c r="E33" s="82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>
      <c r="A34" s="69" t="n"/>
      <c r="B34" s="80" t="inlineStr">
        <is>
          <t>年底減資</t>
        </is>
      </c>
      <c r="C34" s="78" t="inlineStr">
        <is>
          <t>攤還期數</t>
        </is>
      </c>
      <c r="D34" s="78" t="n">
        <v>4</v>
      </c>
      <c r="E34" s="82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>
      <c r="A35" s="69" t="n"/>
      <c r="B35" s="108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>
      <c r="A36" s="69" t="n"/>
      <c r="B36" s="108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>
      <c r="A37" s="69" t="n"/>
      <c r="B37" s="109" t="n"/>
      <c r="C37" s="110" t="inlineStr">
        <is>
          <t>年份</t>
        </is>
      </c>
      <c r="D37" s="110" t="n">
        <v>2020</v>
      </c>
      <c r="E37" s="110" t="n">
        <v>2021</v>
      </c>
      <c r="F37" s="110" t="n">
        <v>2022</v>
      </c>
      <c r="G37" s="110" t="n">
        <v>2023</v>
      </c>
      <c r="H37" s="110" t="n">
        <v>2024</v>
      </c>
      <c r="I37" s="110" t="n">
        <v>2025</v>
      </c>
      <c r="J37" s="110" t="n">
        <v>2026</v>
      </c>
      <c r="K37" s="110" t="n">
        <v>2027</v>
      </c>
      <c r="L37" s="110" t="n">
        <v>2028</v>
      </c>
      <c r="M37" s="110" t="n">
        <v>2029</v>
      </c>
      <c r="N37" s="110" t="n">
        <v>2030</v>
      </c>
      <c r="O37" s="110" t="n">
        <v>2031</v>
      </c>
      <c r="P37" s="110" t="n">
        <v>2032</v>
      </c>
      <c r="Q37" s="110" t="n">
        <v>2033</v>
      </c>
      <c r="R37" s="110" t="n">
        <v>2034</v>
      </c>
      <c r="S37" s="110" t="n">
        <v>2035</v>
      </c>
      <c r="T37" s="110" t="n">
        <v>2036</v>
      </c>
      <c r="U37" s="110" t="n">
        <v>2037</v>
      </c>
      <c r="V37" s="110" t="n">
        <v>2038</v>
      </c>
      <c r="W37" s="110" t="n">
        <v>2039</v>
      </c>
      <c r="X37" s="111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>
      <c r="A38" s="69" t="n"/>
      <c r="B38" s="112" t="n">
        <v>0</v>
      </c>
      <c r="C38" s="113" t="n"/>
      <c r="D38" s="114" t="n"/>
      <c r="E38" s="114" t="n"/>
      <c r="F38" s="115" t="inlineStr">
        <is>
          <t>手動計算值</t>
        </is>
      </c>
      <c r="G38" s="116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7" t="inlineStr">
        <is>
          <t>償還年限</t>
        </is>
      </c>
      <c r="U38" s="116" t="n"/>
      <c r="V38" s="116" t="n"/>
      <c r="W38" s="116" t="n"/>
      <c r="X38" s="118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>
      <c r="A39" s="69" t="n"/>
      <c r="B39" s="119" t="inlineStr">
        <is>
          <t>(Unit : Currency)</t>
        </is>
      </c>
      <c r="C39" s="120" t="n">
        <v>0</v>
      </c>
      <c r="D39" s="121" t="n">
        <v>1</v>
      </c>
      <c r="E39" s="121" t="n">
        <v>2</v>
      </c>
      <c r="F39" s="121" t="n">
        <v>3</v>
      </c>
      <c r="G39" s="121" t="n">
        <v>4</v>
      </c>
      <c r="H39" s="121" t="n">
        <v>5</v>
      </c>
      <c r="I39" s="121" t="n">
        <v>6</v>
      </c>
      <c r="J39" s="121" t="n">
        <v>7</v>
      </c>
      <c r="K39" s="121" t="n">
        <v>8</v>
      </c>
      <c r="L39" s="121" t="n">
        <v>9</v>
      </c>
      <c r="M39" s="121" t="n">
        <v>10</v>
      </c>
      <c r="N39" s="121" t="n">
        <v>11</v>
      </c>
      <c r="O39" s="121" t="n">
        <v>12</v>
      </c>
      <c r="P39" s="121" t="n">
        <v>13</v>
      </c>
      <c r="Q39" s="121" t="n">
        <v>14</v>
      </c>
      <c r="R39" s="121" t="n">
        <v>15</v>
      </c>
      <c r="S39" s="121" t="n">
        <v>16</v>
      </c>
      <c r="T39" s="122" t="n">
        <v>17</v>
      </c>
      <c r="U39" s="121" t="n">
        <v>18</v>
      </c>
      <c r="V39" s="121" t="n">
        <v>19</v>
      </c>
      <c r="W39" s="121" t="n">
        <v>20</v>
      </c>
      <c r="X39" s="123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>
      <c r="A40" s="69" t="n"/>
      <c r="B40" s="124" t="inlineStr">
        <is>
          <t>發電度數(KWH)</t>
        </is>
      </c>
      <c r="C40" s="120" t="n">
        <v>0</v>
      </c>
      <c r="D40" s="121">
        <f>#REF!</f>
        <v/>
      </c>
      <c r="E40" s="121">
        <f>#REF!</f>
        <v/>
      </c>
      <c r="F40" s="121">
        <f>#REF!</f>
        <v/>
      </c>
      <c r="G40" s="121">
        <f>#REF!</f>
        <v/>
      </c>
      <c r="H40" s="121">
        <f>#REF!</f>
        <v/>
      </c>
      <c r="I40" s="121">
        <f>#REF!</f>
        <v/>
      </c>
      <c r="J40" s="121">
        <f>#REF!</f>
        <v/>
      </c>
      <c r="K40" s="121">
        <f>#REF!</f>
        <v/>
      </c>
      <c r="L40" s="121">
        <f>#REF!</f>
        <v/>
      </c>
      <c r="M40" s="121">
        <f>#REF!</f>
        <v/>
      </c>
      <c r="N40" s="121">
        <f>#REF!</f>
        <v/>
      </c>
      <c r="O40" s="121">
        <f>#REF!</f>
        <v/>
      </c>
      <c r="P40" s="121">
        <f>#REF!</f>
        <v/>
      </c>
      <c r="Q40" s="121">
        <f>#REF!</f>
        <v/>
      </c>
      <c r="R40" s="121">
        <f>#REF!</f>
        <v/>
      </c>
      <c r="S40" s="121">
        <f>#REF!</f>
        <v/>
      </c>
      <c r="T40" s="121">
        <f>#REF!</f>
        <v/>
      </c>
      <c r="U40" s="121">
        <f>#REF!</f>
        <v/>
      </c>
      <c r="V40" s="121">
        <f>#REF!</f>
        <v/>
      </c>
      <c r="W40" s="121">
        <f>#REF!</f>
        <v/>
      </c>
      <c r="X40" s="125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>
      <c r="A41" s="69" t="n"/>
      <c r="B41" s="126" t="inlineStr">
        <is>
          <t>Inflow : 電費收入</t>
        </is>
      </c>
      <c r="C41" s="127" t="inlineStr">
        <is>
          <t>-</t>
        </is>
      </c>
      <c r="D41" s="128">
        <f>#REF!</f>
        <v/>
      </c>
      <c r="E41" s="128">
        <f>#REF!</f>
        <v/>
      </c>
      <c r="F41" s="128">
        <f>#REF!</f>
        <v/>
      </c>
      <c r="G41" s="128">
        <f>#REF!</f>
        <v/>
      </c>
      <c r="H41" s="128">
        <f>#REF!</f>
        <v/>
      </c>
      <c r="I41" s="128">
        <f>#REF!</f>
        <v/>
      </c>
      <c r="J41" s="128">
        <f>#REF!</f>
        <v/>
      </c>
      <c r="K41" s="128">
        <f>#REF!</f>
        <v/>
      </c>
      <c r="L41" s="128">
        <f>#REF!</f>
        <v/>
      </c>
      <c r="M41" s="128">
        <f>#REF!</f>
        <v/>
      </c>
      <c r="N41" s="128">
        <f>#REF!</f>
        <v/>
      </c>
      <c r="O41" s="128">
        <f>#REF!</f>
        <v/>
      </c>
      <c r="P41" s="128">
        <f>#REF!</f>
        <v/>
      </c>
      <c r="Q41" s="128">
        <f>#REF!</f>
        <v/>
      </c>
      <c r="R41" s="128">
        <f>#REF!</f>
        <v/>
      </c>
      <c r="S41" s="128">
        <f>#REF!</f>
        <v/>
      </c>
      <c r="T41" s="128">
        <f>#REF!</f>
        <v/>
      </c>
      <c r="U41" s="128">
        <f>#REF!</f>
        <v/>
      </c>
      <c r="V41" s="128">
        <f>#REF!</f>
        <v/>
      </c>
      <c r="W41" s="128">
        <f>#REF!</f>
        <v/>
      </c>
      <c r="X41" s="12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>
      <c r="A42" s="69" t="n"/>
      <c r="B42" s="130" t="inlineStr">
        <is>
          <t>Inflow : 政府補助</t>
        </is>
      </c>
      <c r="C42" s="120" t="inlineStr">
        <is>
          <t>-</t>
        </is>
      </c>
      <c r="D42" s="121" t="n"/>
      <c r="E42" s="121" t="n"/>
      <c r="F42" s="121" t="n">
        <v>0</v>
      </c>
      <c r="G42" s="121" t="inlineStr">
        <is>
          <t>-</t>
        </is>
      </c>
      <c r="H42" s="121" t="inlineStr">
        <is>
          <t>-</t>
        </is>
      </c>
      <c r="I42" s="121" t="inlineStr">
        <is>
          <t>-</t>
        </is>
      </c>
      <c r="J42" s="121" t="inlineStr">
        <is>
          <t>-</t>
        </is>
      </c>
      <c r="K42" s="121" t="inlineStr">
        <is>
          <t>-</t>
        </is>
      </c>
      <c r="L42" s="121" t="inlineStr">
        <is>
          <t>-</t>
        </is>
      </c>
      <c r="M42" s="121" t="inlineStr">
        <is>
          <t>-</t>
        </is>
      </c>
      <c r="N42" s="121" t="inlineStr">
        <is>
          <t>-</t>
        </is>
      </c>
      <c r="O42" s="121" t="inlineStr">
        <is>
          <t>-</t>
        </is>
      </c>
      <c r="P42" s="121" t="inlineStr">
        <is>
          <t>-</t>
        </is>
      </c>
      <c r="Q42" s="121" t="inlineStr">
        <is>
          <t>-</t>
        </is>
      </c>
      <c r="R42" s="121" t="inlineStr">
        <is>
          <t>-</t>
        </is>
      </c>
      <c r="S42" s="121" t="inlineStr">
        <is>
          <t>-</t>
        </is>
      </c>
      <c r="T42" s="121" t="inlineStr">
        <is>
          <t>-</t>
        </is>
      </c>
      <c r="U42" s="121" t="inlineStr">
        <is>
          <t>-</t>
        </is>
      </c>
      <c r="V42" s="121" t="inlineStr">
        <is>
          <t>-</t>
        </is>
      </c>
      <c r="W42" s="121" t="inlineStr">
        <is>
          <t>-</t>
        </is>
      </c>
      <c r="X42" s="131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>
      <c r="A43" s="69" t="n"/>
      <c r="B43" s="132" t="inlineStr">
        <is>
          <t>Inflow : 銀行借款</t>
        </is>
      </c>
      <c r="C43" s="133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5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>
      <c r="A44" s="69" t="n"/>
      <c r="B44" s="136" t="inlineStr">
        <is>
          <t>Outflow : 設備費用</t>
        </is>
      </c>
      <c r="C44" s="120">
        <f>-#REF!</f>
        <v/>
      </c>
      <c r="D44" s="137" t="n"/>
      <c r="E44" s="121" t="n"/>
      <c r="F44" s="121" t="inlineStr">
        <is>
          <t>-</t>
        </is>
      </c>
      <c r="G44" s="121" t="inlineStr">
        <is>
          <t>-</t>
        </is>
      </c>
      <c r="H44" s="121" t="inlineStr">
        <is>
          <t>-</t>
        </is>
      </c>
      <c r="I44" s="121" t="inlineStr">
        <is>
          <t>-</t>
        </is>
      </c>
      <c r="J44" s="121" t="inlineStr">
        <is>
          <t>-</t>
        </is>
      </c>
      <c r="K44" s="121" t="inlineStr">
        <is>
          <t>-</t>
        </is>
      </c>
      <c r="L44" s="121" t="inlineStr">
        <is>
          <t>-</t>
        </is>
      </c>
      <c r="M44" s="121" t="inlineStr">
        <is>
          <t>-</t>
        </is>
      </c>
      <c r="N44" s="121" t="inlineStr">
        <is>
          <t>-</t>
        </is>
      </c>
      <c r="O44" s="121" t="inlineStr">
        <is>
          <t>-</t>
        </is>
      </c>
      <c r="P44" s="121" t="inlineStr">
        <is>
          <t>-</t>
        </is>
      </c>
      <c r="Q44" s="121" t="inlineStr">
        <is>
          <t>-</t>
        </is>
      </c>
      <c r="R44" s="121" t="inlineStr">
        <is>
          <t>-</t>
        </is>
      </c>
      <c r="S44" s="121" t="inlineStr">
        <is>
          <t>-</t>
        </is>
      </c>
      <c r="T44" s="121" t="inlineStr">
        <is>
          <t>-</t>
        </is>
      </c>
      <c r="U44" s="121" t="inlineStr">
        <is>
          <t>-</t>
        </is>
      </c>
      <c r="V44" s="121" t="inlineStr">
        <is>
          <t>-</t>
        </is>
      </c>
      <c r="W44" s="121" t="inlineStr">
        <is>
          <t>-</t>
        </is>
      </c>
      <c r="X44" s="131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>
      <c r="A45" s="69" t="n"/>
      <c r="B45" s="136" t="inlineStr">
        <is>
          <t>Outflow : 設備放置區域租金</t>
        </is>
      </c>
      <c r="C45" s="120" t="inlineStr">
        <is>
          <t>-</t>
        </is>
      </c>
      <c r="D45" s="121">
        <f>-#REF!</f>
        <v/>
      </c>
      <c r="E45" s="121">
        <f>-#REF!</f>
        <v/>
      </c>
      <c r="F45" s="121">
        <f>-#REF!</f>
        <v/>
      </c>
      <c r="G45" s="121">
        <f>-#REF!</f>
        <v/>
      </c>
      <c r="H45" s="121">
        <f>-#REF!</f>
        <v/>
      </c>
      <c r="I45" s="121">
        <f>-#REF!</f>
        <v/>
      </c>
      <c r="J45" s="121">
        <f>-#REF!</f>
        <v/>
      </c>
      <c r="K45" s="121">
        <f>-#REF!</f>
        <v/>
      </c>
      <c r="L45" s="121">
        <f>-#REF!</f>
        <v/>
      </c>
      <c r="M45" s="121">
        <f>-#REF!</f>
        <v/>
      </c>
      <c r="N45" s="121">
        <f>-#REF!</f>
        <v/>
      </c>
      <c r="O45" s="121">
        <f>-#REF!</f>
        <v/>
      </c>
      <c r="P45" s="121">
        <f>-#REF!</f>
        <v/>
      </c>
      <c r="Q45" s="121">
        <f>-#REF!</f>
        <v/>
      </c>
      <c r="R45" s="121">
        <f>-#REF!</f>
        <v/>
      </c>
      <c r="S45" s="121">
        <f>-#REF!</f>
        <v/>
      </c>
      <c r="T45" s="121">
        <f>-#REF!</f>
        <v/>
      </c>
      <c r="U45" s="121">
        <f>-#REF!</f>
        <v/>
      </c>
      <c r="V45" s="121">
        <f>-#REF!</f>
        <v/>
      </c>
      <c r="W45" s="121">
        <f>-#REF!</f>
        <v/>
      </c>
      <c r="X45" s="131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>
      <c r="A46" s="69" t="n"/>
      <c r="B46" s="136" t="inlineStr">
        <is>
          <t>Outflow : 返還借款</t>
        </is>
      </c>
      <c r="C46" s="120" t="n">
        <v>0</v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>
        <v>0</v>
      </c>
      <c r="W46" s="121" t="n">
        <v>0</v>
      </c>
      <c r="X46" s="131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>
      <c r="A47" s="69" t="n"/>
      <c r="B47" s="136" t="inlineStr">
        <is>
          <t>Outflow : 利息費用</t>
        </is>
      </c>
      <c r="C47" s="120" t="inlineStr">
        <is>
          <t>-</t>
        </is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31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>
      <c r="A48" s="69" t="n"/>
      <c r="B48" s="136" t="inlineStr">
        <is>
          <t>Outflow : 維運費</t>
        </is>
      </c>
      <c r="C48" s="120" t="inlineStr">
        <is>
          <t>-</t>
        </is>
      </c>
      <c r="D48" s="121">
        <f>-#REF!</f>
        <v/>
      </c>
      <c r="E48" s="121">
        <f>-#REF!</f>
        <v/>
      </c>
      <c r="F48" s="121">
        <f>-#REF!</f>
        <v/>
      </c>
      <c r="G48" s="121">
        <f>-#REF!</f>
        <v/>
      </c>
      <c r="H48" s="121">
        <f>-#REF!</f>
        <v/>
      </c>
      <c r="I48" s="121">
        <f>-#REF!</f>
        <v/>
      </c>
      <c r="J48" s="121">
        <f>-#REF!</f>
        <v/>
      </c>
      <c r="K48" s="121">
        <f>-#REF!</f>
        <v/>
      </c>
      <c r="L48" s="121">
        <f>-#REF!</f>
        <v/>
      </c>
      <c r="M48" s="121">
        <f>-#REF!</f>
        <v/>
      </c>
      <c r="N48" s="121">
        <f>-#REF!</f>
        <v/>
      </c>
      <c r="O48" s="121">
        <f>-#REF!</f>
        <v/>
      </c>
      <c r="P48" s="121">
        <f>-#REF!</f>
        <v/>
      </c>
      <c r="Q48" s="121">
        <f>-#REF!</f>
        <v/>
      </c>
      <c r="R48" s="121">
        <f>-#REF!</f>
        <v/>
      </c>
      <c r="S48" s="121">
        <f>-#REF!</f>
        <v/>
      </c>
      <c r="T48" s="121">
        <f>-#REF!</f>
        <v/>
      </c>
      <c r="U48" s="121">
        <f>-#REF!</f>
        <v/>
      </c>
      <c r="V48" s="121">
        <f>-#REF!</f>
        <v/>
      </c>
      <c r="W48" s="121">
        <f>-#REF!</f>
        <v/>
      </c>
      <c r="X48" s="131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>
      <c r="A49" s="69" t="n"/>
      <c r="B49" s="136" t="inlineStr">
        <is>
          <t>Outflow : 保險費</t>
        </is>
      </c>
      <c r="C49" s="120" t="inlineStr">
        <is>
          <t>-</t>
        </is>
      </c>
      <c r="D49" s="121">
        <f>-#REF!</f>
        <v/>
      </c>
      <c r="E49" s="121">
        <f>-#REF!</f>
        <v/>
      </c>
      <c r="F49" s="121">
        <f>-#REF!</f>
        <v/>
      </c>
      <c r="G49" s="121">
        <f>-#REF!</f>
        <v/>
      </c>
      <c r="H49" s="121">
        <f>-#REF!</f>
        <v/>
      </c>
      <c r="I49" s="121">
        <f>-#REF!</f>
        <v/>
      </c>
      <c r="J49" s="121">
        <f>-#REF!</f>
        <v/>
      </c>
      <c r="K49" s="121">
        <f>-#REF!</f>
        <v/>
      </c>
      <c r="L49" s="121">
        <f>-#REF!</f>
        <v/>
      </c>
      <c r="M49" s="121">
        <f>-#REF!</f>
        <v/>
      </c>
      <c r="N49" s="121">
        <f>-#REF!</f>
        <v/>
      </c>
      <c r="O49" s="121">
        <f>-#REF!</f>
        <v/>
      </c>
      <c r="P49" s="121">
        <f>-#REF!</f>
        <v/>
      </c>
      <c r="Q49" s="121">
        <f>-#REF!</f>
        <v/>
      </c>
      <c r="R49" s="121">
        <f>-#REF!</f>
        <v/>
      </c>
      <c r="S49" s="121">
        <f>-#REF!</f>
        <v/>
      </c>
      <c r="T49" s="121">
        <f>-#REF!</f>
        <v/>
      </c>
      <c r="U49" s="121">
        <f>-#REF!</f>
        <v/>
      </c>
      <c r="V49" s="121">
        <f>-#REF!</f>
        <v/>
      </c>
      <c r="W49" s="121">
        <f>-#REF!</f>
        <v/>
      </c>
      <c r="X49" s="131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>
      <c r="A50" s="69" t="n"/>
      <c r="B50" s="136" t="inlineStr">
        <is>
          <t>Outflow : 模組回收費</t>
        </is>
      </c>
      <c r="C50" s="120" t="n"/>
      <c r="D50" s="121">
        <f>-#REF!</f>
        <v/>
      </c>
      <c r="E50" s="121">
        <f>-#REF!</f>
        <v/>
      </c>
      <c r="F50" s="121">
        <f>-#REF!</f>
        <v/>
      </c>
      <c r="G50" s="121">
        <f>-#REF!</f>
        <v/>
      </c>
      <c r="H50" s="121">
        <f>-#REF!</f>
        <v/>
      </c>
      <c r="I50" s="121">
        <f>-#REF!</f>
        <v/>
      </c>
      <c r="J50" s="121">
        <f>-#REF!</f>
        <v/>
      </c>
      <c r="K50" s="121">
        <f>-#REF!</f>
        <v/>
      </c>
      <c r="L50" s="121">
        <f>-#REF!</f>
        <v/>
      </c>
      <c r="M50" s="121">
        <f>-#REF!</f>
        <v/>
      </c>
      <c r="N50" s="121">
        <f>-#REF!</f>
        <v/>
      </c>
      <c r="O50" s="121">
        <f>-#REF!</f>
        <v/>
      </c>
      <c r="P50" s="121">
        <f>-#REF!</f>
        <v/>
      </c>
      <c r="Q50" s="121">
        <f>-#REF!</f>
        <v/>
      </c>
      <c r="R50" s="121">
        <f>-#REF!</f>
        <v/>
      </c>
      <c r="S50" s="121">
        <f>-#REF!</f>
        <v/>
      </c>
      <c r="T50" s="121">
        <f>-#REF!</f>
        <v/>
      </c>
      <c r="U50" s="121">
        <f>-#REF!</f>
        <v/>
      </c>
      <c r="V50" s="121">
        <f>-#REF!</f>
        <v/>
      </c>
      <c r="W50" s="121">
        <f>-#REF!</f>
        <v/>
      </c>
      <c r="X50" s="131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>
      <c r="A51" s="69" t="n"/>
      <c r="B51" s="136" t="inlineStr">
        <is>
          <t>Outflow : 其它費用(人事薪資…等)</t>
        </is>
      </c>
      <c r="C51" s="138" t="n"/>
      <c r="D51" s="139" t="n"/>
      <c r="E51" s="140" t="n"/>
      <c r="F51" s="121">
        <f>-(F41*#REF!)</f>
        <v/>
      </c>
      <c r="G51" s="121">
        <f>-(G41*#REF!)</f>
        <v/>
      </c>
      <c r="H51" s="121">
        <f>-(H41*#REF!)</f>
        <v/>
      </c>
      <c r="I51" s="121">
        <f>-(I41*#REF!)</f>
        <v/>
      </c>
      <c r="J51" s="121">
        <f>-(J41*#REF!)</f>
        <v/>
      </c>
      <c r="K51" s="121">
        <f>-(K41*#REF!)</f>
        <v/>
      </c>
      <c r="L51" s="121">
        <f>-(L41*#REF!)</f>
        <v/>
      </c>
      <c r="M51" s="121">
        <f>-(M41*#REF!)</f>
        <v/>
      </c>
      <c r="N51" s="121">
        <f>-(N41*#REF!)</f>
        <v/>
      </c>
      <c r="O51" s="121">
        <f>-(O41*#REF!)</f>
        <v/>
      </c>
      <c r="P51" s="121">
        <f>-(P41*#REF!)</f>
        <v/>
      </c>
      <c r="Q51" s="121">
        <f>-(Q41*#REF!)</f>
        <v/>
      </c>
      <c r="R51" s="121">
        <f>-(R41*#REF!)</f>
        <v/>
      </c>
      <c r="S51" s="121">
        <f>-(S41*#REF!)</f>
        <v/>
      </c>
      <c r="T51" s="121">
        <f>-(T41*#REF!)</f>
        <v/>
      </c>
      <c r="U51" s="121">
        <f>-(U41*#REF!)</f>
        <v/>
      </c>
      <c r="V51" s="121">
        <f>-(V41*#REF!)</f>
        <v/>
      </c>
      <c r="W51" s="121">
        <f>-(W41*#REF!)</f>
        <v/>
      </c>
      <c r="X51" s="131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>
      <c r="A52" s="69" t="n"/>
      <c r="B52" s="136" t="inlineStr">
        <is>
          <t>1%管理費</t>
        </is>
      </c>
      <c r="C52" s="138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31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>
      <c r="A53" s="69" t="n"/>
      <c r="B53" s="141" t="inlineStr">
        <is>
          <t>績效獎金</t>
        </is>
      </c>
      <c r="C53" s="138" t="n"/>
      <c r="D53" s="142" t="n"/>
      <c r="E53" s="142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31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>
      <c r="A54" s="69" t="n"/>
      <c r="B54" s="141" t="inlineStr">
        <is>
          <t>所得稅20%</t>
        </is>
      </c>
      <c r="C54" s="138" t="n"/>
      <c r="D54" s="121">
        <f>IF((#REF!+SUM(#REF!+#REF!+#REF!+#REF!+#REF!+#REF!))&gt;0,-(#REF!+SUM(#REF!+#REF!+#REF!+#REF!+#REF!+#REF!))*0.2,0)</f>
        <v/>
      </c>
      <c r="E54" s="121">
        <f>IF((#REF!+SUM(#REF!+#REF!+#REF!+#REF!+#REF!+#REF!))&gt;0,-(#REF!+SUM(#REF!+#REF!+#REF!+#REF!+#REF!+#REF!))*0.2,0)</f>
        <v/>
      </c>
      <c r="F54" s="121">
        <f>IF((#REF!+SUM(#REF!+#REF!+#REF!+#REF!+#REF!+#REF!))&gt;0,-(#REF!+SUM(#REF!+#REF!+#REF!+#REF!+#REF!+#REF!))*0.2,0)</f>
        <v/>
      </c>
      <c r="G54" s="121">
        <f>IF((#REF!+SUM(#REF!+#REF!+#REF!+#REF!+#REF!+#REF!))&gt;0,-(#REF!+SUM(#REF!+#REF!+#REF!+#REF!+#REF!+#REF!))*0.2,0)</f>
        <v/>
      </c>
      <c r="H54" s="121">
        <f>IF((#REF!+SUM(#REF!+#REF!+#REF!+#REF!+#REF!+#REF!))&gt;0,-(#REF!+SUM(#REF!+#REF!+#REF!+#REF!+#REF!+#REF!))*0.2,0)</f>
        <v/>
      </c>
      <c r="I54" s="121">
        <f>IF((#REF!+SUM(#REF!+#REF!+#REF!+#REF!+#REF!+#REF!))&gt;0,-(#REF!+SUM(#REF!+#REF!+#REF!+#REF!+#REF!+#REF!))*0.2,0)</f>
        <v/>
      </c>
      <c r="J54" s="121">
        <f>IF((#REF!+SUM(#REF!+#REF!+#REF!+#REF!+#REF!+#REF!))&gt;0,-(#REF!+SUM(#REF!+#REF!+#REF!+#REF!+#REF!+#REF!))*0.2,0)</f>
        <v/>
      </c>
      <c r="K54" s="121">
        <f>IF((#REF!+SUM(#REF!+#REF!+#REF!+#REF!+#REF!+#REF!))&gt;0,-(#REF!+SUM(#REF!+#REF!+#REF!+#REF!+#REF!+#REF!))*0.2,0)</f>
        <v/>
      </c>
      <c r="L54" s="121">
        <f>IF((#REF!+SUM(#REF!+#REF!+#REF!+#REF!+#REF!+#REF!))&gt;0,-(#REF!+SUM(#REF!+#REF!+#REF!+#REF!+#REF!+#REF!))*0.2,0)</f>
        <v/>
      </c>
      <c r="M54" s="121">
        <f>IF((#REF!+SUM(#REF!+#REF!+#REF!+#REF!+#REF!+#REF!))&gt;0,-(#REF!+SUM(#REF!+#REF!+#REF!+#REF!+#REF!+#REF!))*0.2,0)</f>
        <v/>
      </c>
      <c r="N54" s="121">
        <f>IF((#REF!+SUM(#REF!+#REF!+#REF!+#REF!+#REF!+#REF!))&gt;0,-(#REF!+SUM(#REF!+#REF!+#REF!+#REF!+#REF!+#REF!))*0.2,0)</f>
        <v/>
      </c>
      <c r="O54" s="121">
        <f>IF((#REF!+SUM(#REF!+#REF!+#REF!+#REF!+#REF!+#REF!))&gt;0,-(#REF!+SUM(#REF!+#REF!+#REF!+#REF!+#REF!+#REF!))*0.2,0)</f>
        <v/>
      </c>
      <c r="P54" s="121">
        <f>IF((#REF!+SUM(#REF!+#REF!+#REF!+#REF!+#REF!+#REF!))&gt;0,-(#REF!+SUM(#REF!+#REF!+#REF!+#REF!+#REF!+#REF!))*0.2,0)</f>
        <v/>
      </c>
      <c r="Q54" s="121">
        <f>IF((#REF!+SUM(#REF!+#REF!+#REF!+#REF!+#REF!+#REF!))&gt;0,-(#REF!+SUM(#REF!+#REF!+#REF!+#REF!+#REF!+#REF!))*0.2,0)</f>
        <v/>
      </c>
      <c r="R54" s="121">
        <f>IF((#REF!+SUM(#REF!+#REF!+#REF!+#REF!+#REF!+#REF!))&gt;0,-(#REF!+SUM(#REF!+#REF!+#REF!+#REF!+#REF!+#REF!))*0.2,0)</f>
        <v/>
      </c>
      <c r="S54" s="121">
        <f>IF((#REF!+SUM(#REF!+#REF!+#REF!+#REF!+#REF!+#REF!))&gt;0,-(#REF!+SUM(#REF!+#REF!+#REF!+#REF!+#REF!+#REF!))*0.2,0)</f>
        <v/>
      </c>
      <c r="T54" s="121">
        <f>IF((#REF!+SUM(#REF!+#REF!+#REF!+#REF!+#REF!+#REF!))&gt;0,-(#REF!+SUM(#REF!+#REF!+#REF!+#REF!+#REF!+#REF!))*0.2,0)</f>
        <v/>
      </c>
      <c r="U54" s="121">
        <f>IF((#REF!+SUM(#REF!+#REF!+#REF!+#REF!+#REF!+#REF!))&gt;0,-(#REF!+SUM(#REF!+#REF!+#REF!+#REF!+#REF!+#REF!))*0.2,0)</f>
        <v/>
      </c>
      <c r="V54" s="121">
        <f>IF((#REF!+SUM(#REF!+#REF!+#REF!+#REF!+#REF!+#REF!))&gt;0,-(#REF!+SUM(#REF!+#REF!+#REF!+#REF!+#REF!+#REF!))*0.2,0)</f>
        <v/>
      </c>
      <c r="W54" s="121">
        <f>IF((#REF!+SUM(#REF!+#REF!+#REF!+#REF!+#REF!+#REF!))&gt;0,-(#REF!+SUM(#REF!+#REF!+#REF!+#REF!+#REF!+#REF!))*0.2,0)</f>
        <v/>
      </c>
      <c r="X54" s="131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>
      <c r="A55" s="69" t="n"/>
      <c r="B55" s="143" t="n"/>
      <c r="C55" s="138" t="n"/>
      <c r="D55" s="140" t="n"/>
      <c r="E55" s="140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4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>
      <c r="A56" s="69" t="n"/>
      <c r="B56" s="145" t="inlineStr">
        <is>
          <t>現金流</t>
        </is>
      </c>
      <c r="C56" s="146">
        <f>C44</f>
        <v/>
      </c>
      <c r="D56" s="147">
        <f>SUM(D41:D54)</f>
        <v/>
      </c>
      <c r="E56" s="146">
        <f>SUM(E41:E54)</f>
        <v/>
      </c>
      <c r="F56" s="146">
        <f>SUM(F41:F54)</f>
        <v/>
      </c>
      <c r="G56" s="146">
        <f>SUM(G41:G54)</f>
        <v/>
      </c>
      <c r="H56" s="146">
        <f>SUM(H41:H54)</f>
        <v/>
      </c>
      <c r="I56" s="146">
        <f>SUM(I41:I54)</f>
        <v/>
      </c>
      <c r="J56" s="146">
        <f>SUM(J41:J54)</f>
        <v/>
      </c>
      <c r="K56" s="146">
        <f>SUM(K41:K54)</f>
        <v/>
      </c>
      <c r="L56" s="146">
        <f>SUM(L41:L54)</f>
        <v/>
      </c>
      <c r="M56" s="146">
        <f>SUM(M41:M54)</f>
        <v/>
      </c>
      <c r="N56" s="146">
        <f>SUM(N41:N54)</f>
        <v/>
      </c>
      <c r="O56" s="146">
        <f>SUM(O41:O54)</f>
        <v/>
      </c>
      <c r="P56" s="146">
        <f>SUM(P41:P54)</f>
        <v/>
      </c>
      <c r="Q56" s="146">
        <f>SUM(Q41:Q54)</f>
        <v/>
      </c>
      <c r="R56" s="146">
        <f>SUM(R41:R54)</f>
        <v/>
      </c>
      <c r="S56" s="146">
        <f>SUM(S41:S54)</f>
        <v/>
      </c>
      <c r="T56" s="146">
        <f>SUM(T41:T54)</f>
        <v/>
      </c>
      <c r="U56" s="146">
        <f>SUM(U41:U54)</f>
        <v/>
      </c>
      <c r="V56" s="146">
        <f>SUM(V41:V54)</f>
        <v/>
      </c>
      <c r="W56" s="146">
        <f>SUM(W41:W54)</f>
        <v/>
      </c>
      <c r="X56" s="148" t="n"/>
      <c r="Y56" s="149" t="n"/>
      <c r="Z56" s="150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</row>
    <row r="57">
      <c r="A57" s="69" t="n"/>
      <c r="B57" s="151" t="inlineStr">
        <is>
          <t>累計現金流</t>
        </is>
      </c>
      <c r="C57" s="152" t="n"/>
      <c r="D57" s="153">
        <f>D56+C56</f>
        <v/>
      </c>
      <c r="E57" s="153">
        <f>E56+D57</f>
        <v/>
      </c>
      <c r="F57" s="153">
        <f>F56+E57</f>
        <v/>
      </c>
      <c r="G57" s="153">
        <f>G56+F57</f>
        <v/>
      </c>
      <c r="H57" s="153">
        <f>H56+G57</f>
        <v/>
      </c>
      <c r="I57" s="153">
        <f>I56+H57</f>
        <v/>
      </c>
      <c r="J57" s="153">
        <f>J56+I57</f>
        <v/>
      </c>
      <c r="K57" s="153">
        <f>K56+J57</f>
        <v/>
      </c>
      <c r="L57" s="153">
        <f>L56+K57</f>
        <v/>
      </c>
      <c r="M57" s="153">
        <f>M56+L57</f>
        <v/>
      </c>
      <c r="N57" s="153">
        <f>N56+M57</f>
        <v/>
      </c>
      <c r="O57" s="153">
        <f>O56+N57</f>
        <v/>
      </c>
      <c r="P57" s="153">
        <f>P56+O57</f>
        <v/>
      </c>
      <c r="Q57" s="153">
        <f>Q56+P57</f>
        <v/>
      </c>
      <c r="R57" s="153">
        <f>R56+Q57</f>
        <v/>
      </c>
      <c r="S57" s="153">
        <f>S56+R57</f>
        <v/>
      </c>
      <c r="T57" s="153">
        <f>T56+S57</f>
        <v/>
      </c>
      <c r="U57" s="153">
        <f>U56+T57</f>
        <v/>
      </c>
      <c r="V57" s="153">
        <f>V56+U57</f>
        <v/>
      </c>
      <c r="W57" s="153">
        <f>W56+V57</f>
        <v/>
      </c>
      <c r="X57" s="154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49" t="n"/>
      <c r="AJ57" s="149" t="n"/>
    </row>
    <row r="58">
      <c r="A58" s="69" t="n"/>
      <c r="B58" s="155" t="inlineStr">
        <is>
          <t>Discounted cash flow</t>
        </is>
      </c>
      <c r="C58" s="156" t="n">
        <v>-37721416.4</v>
      </c>
      <c r="D58" s="157" t="n"/>
      <c r="E58" s="157" t="n"/>
      <c r="F58" s="158" t="n">
        <v>4765724.101934625</v>
      </c>
      <c r="G58" s="158" t="n">
        <v>4715578.687122989</v>
      </c>
      <c r="H58" s="158" t="n">
        <v>4665433.272311353</v>
      </c>
      <c r="I58" s="158" t="n">
        <v>4615287.857499719</v>
      </c>
      <c r="J58" s="158" t="n">
        <v>4565142.442688081</v>
      </c>
      <c r="K58" s="158" t="n">
        <v>4517504.29861703</v>
      </c>
      <c r="L58" s="158" t="n">
        <v>4469866.154545976</v>
      </c>
      <c r="M58" s="158" t="n">
        <v>4422228.010474921</v>
      </c>
      <c r="N58" s="158" t="n">
        <v>4374589.866403867</v>
      </c>
      <c r="O58" s="158" t="n">
        <v>4326951.722332815</v>
      </c>
      <c r="P58" s="158" t="n">
        <v>4284954.937428069</v>
      </c>
      <c r="Q58" s="158" t="n">
        <v>4242958.152523325</v>
      </c>
      <c r="R58" s="158" t="n">
        <v>4200961.36761858</v>
      </c>
      <c r="S58" s="158" t="n">
        <v>4158964.582713835</v>
      </c>
      <c r="T58" s="158" t="n">
        <v>4116967.797809093</v>
      </c>
      <c r="U58" s="158" t="n">
        <v>4074971.012904346</v>
      </c>
      <c r="V58" s="158" t="n">
        <v>4032974.227999602</v>
      </c>
      <c r="W58" s="158" t="n">
        <v>3990977.443094858</v>
      </c>
      <c r="X58" s="159" t="n"/>
      <c r="Y58" s="149" t="n"/>
      <c r="Z58" s="149" t="n"/>
      <c r="AA58" s="149" t="n"/>
      <c r="AB58" s="149" t="n"/>
      <c r="AC58" s="149" t="n"/>
      <c r="AD58" s="149" t="n"/>
      <c r="AE58" s="149" t="n"/>
      <c r="AF58" s="149" t="n"/>
      <c r="AG58" s="149" t="n"/>
      <c r="AH58" s="149" t="n"/>
      <c r="AI58" s="149" t="n"/>
      <c r="AJ58" s="149" t="n"/>
    </row>
    <row r="59">
      <c r="A59" s="69" t="n"/>
      <c r="B59" s="155" t="inlineStr">
        <is>
          <t>Minus : Depreciation</t>
        </is>
      </c>
      <c r="C59" s="160" t="n"/>
      <c r="D59" s="142" t="n"/>
      <c r="E59" s="142" t="n"/>
      <c r="F59" s="142" t="n">
        <v>1886070.82</v>
      </c>
      <c r="G59" s="142" t="n">
        <v>1886070.82</v>
      </c>
      <c r="H59" s="142" t="n">
        <v>1886070.82</v>
      </c>
      <c r="I59" s="142" t="n">
        <v>1886070.82</v>
      </c>
      <c r="J59" s="142" t="n">
        <v>1886070.82</v>
      </c>
      <c r="K59" s="142" t="n">
        <v>1886070.82</v>
      </c>
      <c r="L59" s="142" t="n">
        <v>1886070.82</v>
      </c>
      <c r="M59" s="142" t="n">
        <v>1886070.82</v>
      </c>
      <c r="N59" s="142" t="n">
        <v>1886070.82</v>
      </c>
      <c r="O59" s="142" t="n">
        <v>1886070.82</v>
      </c>
      <c r="P59" s="142" t="n">
        <v>1886070.82</v>
      </c>
      <c r="Q59" s="142" t="n">
        <v>1886070.82</v>
      </c>
      <c r="R59" s="142" t="n">
        <v>1886070.82</v>
      </c>
      <c r="S59" s="142" t="n">
        <v>1886070.82</v>
      </c>
      <c r="T59" s="142" t="n">
        <v>1886070.82</v>
      </c>
      <c r="U59" s="142" t="n">
        <v>1886070.82</v>
      </c>
      <c r="V59" s="142" t="n">
        <v>1886070.82</v>
      </c>
      <c r="W59" s="142" t="n">
        <v>1886070.82</v>
      </c>
      <c r="X59" s="161" t="n"/>
      <c r="Y59" s="149" t="n"/>
      <c r="Z59" s="149" t="n"/>
      <c r="AA59" s="149" t="n"/>
      <c r="AB59" s="149" t="n"/>
      <c r="AC59" s="149" t="n"/>
      <c r="AD59" s="149" t="n"/>
      <c r="AE59" s="149" t="n"/>
      <c r="AF59" s="149" t="n"/>
      <c r="AG59" s="149" t="n"/>
      <c r="AH59" s="149" t="n"/>
      <c r="AI59" s="149" t="n"/>
      <c r="AJ59" s="149" t="n"/>
    </row>
    <row r="60">
      <c r="A60" s="69" t="n"/>
      <c r="B60" s="155" t="inlineStr">
        <is>
          <t>Plus : Principle payment</t>
        </is>
      </c>
      <c r="C60" s="160" t="n"/>
      <c r="D60" s="142" t="n"/>
      <c r="E60" s="142" t="n"/>
      <c r="F60" s="142" t="n">
        <v>0</v>
      </c>
      <c r="G60" s="142" t="n">
        <v>0</v>
      </c>
      <c r="H60" s="142" t="n">
        <v>0</v>
      </c>
      <c r="I60" s="142" t="n">
        <v>0</v>
      </c>
      <c r="J60" s="142" t="n">
        <v>0</v>
      </c>
      <c r="K60" s="142" t="n">
        <v>0</v>
      </c>
      <c r="L60" s="142" t="n">
        <v>0</v>
      </c>
      <c r="M60" s="142" t="n">
        <v>0</v>
      </c>
      <c r="N60" s="142" t="n">
        <v>0</v>
      </c>
      <c r="O60" s="142" t="n">
        <v>0</v>
      </c>
      <c r="P60" s="142" t="n">
        <v>0</v>
      </c>
      <c r="Q60" s="142" t="n">
        <v>0</v>
      </c>
      <c r="R60" s="142" t="n">
        <v>0</v>
      </c>
      <c r="S60" s="142" t="n">
        <v>0</v>
      </c>
      <c r="T60" s="142" t="n">
        <v>0</v>
      </c>
      <c r="U60" s="142" t="n">
        <v>0</v>
      </c>
      <c r="V60" s="142" t="n">
        <v>0</v>
      </c>
      <c r="W60" s="142" t="n">
        <v>0</v>
      </c>
      <c r="X60" s="161" t="n"/>
      <c r="Y60" s="149" t="n"/>
      <c r="Z60" s="149" t="n"/>
      <c r="AA60" s="149" t="n"/>
      <c r="AB60" s="149" t="n"/>
      <c r="AC60" s="149" t="n"/>
      <c r="AD60" s="149" t="n"/>
      <c r="AE60" s="149" t="n"/>
      <c r="AF60" s="149" t="n"/>
      <c r="AG60" s="149" t="n"/>
      <c r="AH60" s="149" t="n"/>
      <c r="AI60" s="149" t="n"/>
      <c r="AJ60" s="149" t="n"/>
    </row>
    <row r="61">
      <c r="A61" s="69" t="n"/>
      <c r="B61" s="162" t="inlineStr">
        <is>
          <t>Profit</t>
        </is>
      </c>
      <c r="C61" s="163" t="n"/>
      <c r="D61" s="164" t="n"/>
      <c r="E61" s="164" t="n"/>
      <c r="F61" s="164" t="n">
        <v>2879653.281934625</v>
      </c>
      <c r="G61" s="164" t="n">
        <v>2829507.867122989</v>
      </c>
      <c r="H61" s="164" t="n">
        <v>2779362.452311353</v>
      </c>
      <c r="I61" s="164" t="n">
        <v>2729217.037499719</v>
      </c>
      <c r="J61" s="164" t="n">
        <v>2679071.622688082</v>
      </c>
      <c r="K61" s="164" t="n">
        <v>2631433.47861703</v>
      </c>
      <c r="L61" s="164" t="n">
        <v>2583795.334545976</v>
      </c>
      <c r="M61" s="164" t="n">
        <v>2536157.190474921</v>
      </c>
      <c r="N61" s="164" t="n">
        <v>2488519.046403868</v>
      </c>
      <c r="O61" s="164" t="n">
        <v>2440880.902332815</v>
      </c>
      <c r="P61" s="164" t="n">
        <v>2398884.117428069</v>
      </c>
      <c r="Q61" s="164" t="n">
        <v>2356887.332523325</v>
      </c>
      <c r="R61" s="164" t="n">
        <v>2314890.547618581</v>
      </c>
      <c r="S61" s="164" t="n">
        <v>2272893.762713836</v>
      </c>
      <c r="T61" s="164" t="n">
        <v>2230896.977809093</v>
      </c>
      <c r="U61" s="164" t="n">
        <v>2188900.192904347</v>
      </c>
      <c r="V61" s="164" t="n">
        <v>2146903.407999602</v>
      </c>
      <c r="W61" s="164" t="n">
        <v>2104906.623094858</v>
      </c>
      <c r="X61" s="165" t="n"/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49" t="n"/>
      <c r="AI61" s="149" t="n"/>
      <c r="AJ61" s="149" t="n"/>
    </row>
    <row r="62">
      <c r="A62" s="69" t="n"/>
      <c r="B62" s="166" t="inlineStr">
        <is>
          <t>EPS</t>
        </is>
      </c>
      <c r="C62" s="167" t="n"/>
      <c r="D62" s="168" t="n"/>
      <c r="E62" s="168" t="n"/>
      <c r="F62" s="169" t="n">
        <v>0.7634000938349244</v>
      </c>
      <c r="G62" s="169" t="n">
        <v>0.7501064745604274</v>
      </c>
      <c r="H62" s="169" t="n">
        <v>0.7368128552859308</v>
      </c>
      <c r="I62" s="169" t="n">
        <v>0.7235192360114343</v>
      </c>
      <c r="J62" s="169" t="n">
        <v>0.7102256167369372</v>
      </c>
      <c r="K62" s="169" t="n">
        <v>0.6975966784261659</v>
      </c>
      <c r="L62" s="169" t="n">
        <v>0.6849677401153941</v>
      </c>
      <c r="M62" s="169" t="n">
        <v>0.6723388018046219</v>
      </c>
      <c r="N62" s="169" t="n">
        <v>0.6597098634938501</v>
      </c>
      <c r="O62" s="169" t="n">
        <v>0.6470809251830785</v>
      </c>
      <c r="P62" s="169" t="n">
        <v>0.6359475190406874</v>
      </c>
      <c r="Q62" s="169" t="n">
        <v>0.6248141128982965</v>
      </c>
      <c r="R62" s="169" t="n">
        <v>0.6136807067559056</v>
      </c>
      <c r="S62" s="169" t="n">
        <v>0.6025473006135146</v>
      </c>
      <c r="T62" s="169" t="n">
        <v>0.5914138944711241</v>
      </c>
      <c r="U62" s="169" t="n">
        <v>0.5802804883287328</v>
      </c>
      <c r="V62" s="169" t="n">
        <v>0.5691470821863418</v>
      </c>
      <c r="W62" s="169" t="n">
        <v>0.5580136760439509</v>
      </c>
      <c r="X62" s="170" t="n"/>
      <c r="Y62" s="149" t="n"/>
      <c r="Z62" s="149" t="n"/>
      <c r="AA62" s="149" t="n"/>
      <c r="AB62" s="149" t="n"/>
      <c r="AC62" s="149" t="n"/>
      <c r="AD62" s="149" t="n"/>
      <c r="AE62" s="149" t="n"/>
      <c r="AF62" s="149" t="n"/>
      <c r="AG62" s="149" t="n"/>
      <c r="AH62" s="149" t="n"/>
      <c r="AI62" s="149" t="n"/>
      <c r="AJ62" s="149" t="n"/>
    </row>
    <row r="63">
      <c r="A63" s="69" t="n"/>
      <c r="B63" s="171" t="inlineStr">
        <is>
          <t>回收年限評估</t>
        </is>
      </c>
      <c r="C63" s="172" t="n"/>
      <c r="D63" s="173">
        <f>IF((D57)&gt;0,"回收","未回收")</f>
        <v/>
      </c>
      <c r="E63" s="173">
        <f>IF((E57)&gt;0,"回收","未回收")</f>
        <v/>
      </c>
      <c r="F63" s="173">
        <f>IF((F57)&gt;0,"回收","未回收")</f>
        <v/>
      </c>
      <c r="G63" s="173">
        <f>IF((G57)&gt;0,"回收","未回收")</f>
        <v/>
      </c>
      <c r="H63" s="173">
        <f>IF((H57)&gt;0,"回收","未回收")</f>
        <v/>
      </c>
      <c r="I63" s="173">
        <f>IF((I57)&gt;0,"回收","未回收")</f>
        <v/>
      </c>
      <c r="J63" s="173">
        <f>IF((J57)&gt;0,"回收","未回收")</f>
        <v/>
      </c>
      <c r="K63" s="173">
        <f>IF((K57)&gt;0,"回收","未回收")</f>
        <v/>
      </c>
      <c r="L63" s="173">
        <f>IF((L57)&gt;0,"回收","未回收")</f>
        <v/>
      </c>
      <c r="M63" s="173">
        <f>IF((M57)&gt;0,"回收","未回收")</f>
        <v/>
      </c>
      <c r="N63" s="173">
        <f>IF((N57)&gt;0,"回收","未回收")</f>
        <v/>
      </c>
      <c r="O63" s="173">
        <f>IF((O57)&gt;0,"回收","未回收")</f>
        <v/>
      </c>
      <c r="P63" s="173">
        <f>IF((P57)&gt;0,"回收","未回收")</f>
        <v/>
      </c>
      <c r="Q63" s="173">
        <f>IF((Q57)&gt;0,"回收","未回收")</f>
        <v/>
      </c>
      <c r="R63" s="173">
        <f>IF((R57)&gt;0,"回收","未回收")</f>
        <v/>
      </c>
      <c r="S63" s="173">
        <f>IF((S57)&gt;0,"回收","未回收")</f>
        <v/>
      </c>
      <c r="T63" s="173">
        <f>IF((T57)&gt;0,"回收","未回收")</f>
        <v/>
      </c>
      <c r="U63" s="173">
        <f>IF((U57)&gt;0,"回收","未回收")</f>
        <v/>
      </c>
      <c r="V63" s="173">
        <f>IF((V57)&gt;0,"回收","未回收")</f>
        <v/>
      </c>
      <c r="W63" s="173">
        <f>IF((W57)&gt;0,"回收","未回收")</f>
        <v/>
      </c>
      <c r="X63" s="174" t="n"/>
      <c r="Y63" s="149" t="n"/>
      <c r="Z63" s="149" t="n"/>
      <c r="AA63" s="149" t="n"/>
      <c r="AB63" s="149" t="n"/>
      <c r="AC63" s="149" t="n"/>
      <c r="AD63" s="149" t="n"/>
      <c r="AE63" s="149" t="n"/>
      <c r="AF63" s="149" t="n"/>
      <c r="AG63" s="149" t="n"/>
      <c r="AH63" s="149" t="n"/>
      <c r="AI63" s="149" t="n"/>
      <c r="AJ63" s="149" t="n"/>
    </row>
    <row r="64">
      <c r="A64" s="69" t="n"/>
      <c r="B64" s="109" t="n"/>
      <c r="C64" s="175" t="n"/>
      <c r="D64" s="175" t="n"/>
      <c r="E64" s="175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76" t="n"/>
      <c r="Y64" s="149" t="n"/>
      <c r="Z64" s="149" t="n"/>
      <c r="AA64" s="149" t="n"/>
      <c r="AB64" s="149" t="n"/>
      <c r="AC64" s="149" t="n"/>
      <c r="AD64" s="149" t="n"/>
      <c r="AE64" s="149" t="n"/>
      <c r="AF64" s="149" t="n"/>
      <c r="AG64" s="149" t="n"/>
      <c r="AH64" s="149" t="n"/>
      <c r="AI64" s="149" t="n"/>
      <c r="AJ64" s="149" t="n"/>
    </row>
    <row r="65">
      <c r="A65" s="69" t="n"/>
      <c r="B65" s="109" t="n"/>
      <c r="C65" s="175" t="n"/>
      <c r="D65" s="175" t="n"/>
      <c r="E65" s="175" t="n"/>
      <c r="F65" s="140" t="n"/>
      <c r="G65" s="140" t="n"/>
      <c r="H65" s="140" t="n"/>
      <c r="I65" s="140" t="n"/>
      <c r="J65" s="140" t="n"/>
      <c r="K65" s="140" t="n"/>
      <c r="L65" s="140" t="inlineStr">
        <is>
          <t>預估可建置量</t>
        </is>
      </c>
      <c r="M65" s="177" t="n">
        <v>0</v>
      </c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76" t="n"/>
      <c r="Y65" s="149" t="n"/>
      <c r="Z65" s="149" t="n"/>
      <c r="AA65" s="149" t="n"/>
      <c r="AB65" s="149" t="n"/>
      <c r="AC65" s="149" t="n"/>
      <c r="AD65" s="149" t="n"/>
      <c r="AE65" s="149" t="n"/>
      <c r="AF65" s="149" t="n"/>
      <c r="AG65" s="149" t="n"/>
      <c r="AH65" s="149" t="n"/>
      <c r="AI65" s="149" t="n"/>
      <c r="AJ65" s="149" t="n"/>
    </row>
    <row r="66">
      <c r="A66" s="69" t="n"/>
      <c r="B66" s="109" t="n"/>
      <c r="C66" s="175" t="n"/>
      <c r="D66" s="175" t="n"/>
      <c r="E66" s="175" t="n"/>
      <c r="F66" s="140" t="n"/>
      <c r="G66" s="140" t="n"/>
      <c r="H66" s="140" t="n"/>
      <c r="I66" s="140" t="n"/>
      <c r="J66" s="140" t="n"/>
      <c r="K66" s="140" t="n"/>
      <c r="L66" s="140" t="inlineStr">
        <is>
          <t>預估可建置量</t>
        </is>
      </c>
      <c r="M66" s="177" t="n">
        <v>0</v>
      </c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76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</row>
    <row r="67">
      <c r="A67" s="69" t="n"/>
      <c r="B67" s="108" t="n"/>
      <c r="C67" s="178" t="inlineStr">
        <is>
          <t>年份</t>
        </is>
      </c>
      <c r="D67" s="179" t="n">
        <v>2020</v>
      </c>
      <c r="E67" s="179" t="n">
        <v>2021</v>
      </c>
      <c r="F67" s="179" t="n">
        <v>2022</v>
      </c>
      <c r="G67" s="179" t="n">
        <v>2023</v>
      </c>
      <c r="H67" s="179" t="n">
        <v>2024</v>
      </c>
      <c r="I67" s="179" t="n">
        <v>2025</v>
      </c>
      <c r="J67" s="179" t="n">
        <v>2026</v>
      </c>
      <c r="K67" s="179" t="n">
        <v>2027</v>
      </c>
      <c r="L67" s="179" t="n">
        <v>2028</v>
      </c>
      <c r="M67" s="179" t="n">
        <v>2029</v>
      </c>
      <c r="N67" s="179" t="n">
        <v>2030</v>
      </c>
      <c r="O67" s="179" t="n">
        <v>2031</v>
      </c>
      <c r="P67" s="179" t="n">
        <v>2032</v>
      </c>
      <c r="Q67" s="179" t="n">
        <v>2033</v>
      </c>
      <c r="R67" s="179" t="n">
        <v>2034</v>
      </c>
      <c r="S67" s="179" t="n">
        <v>2035</v>
      </c>
      <c r="T67" s="179" t="n">
        <v>2036</v>
      </c>
      <c r="U67" s="179" t="n">
        <v>2037</v>
      </c>
      <c r="V67" s="179" t="n">
        <v>2038</v>
      </c>
      <c r="W67" s="179" t="n">
        <v>2039</v>
      </c>
      <c r="X67" s="180" t="n"/>
      <c r="Y67" s="69" t="n"/>
      <c r="Z67" s="69" t="n"/>
      <c r="AA67" s="69" t="n"/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</row>
    <row r="68">
      <c r="A68" s="69" t="n"/>
      <c r="B68" s="108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180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</row>
    <row r="69">
      <c r="A69" s="69" t="n"/>
      <c r="B69" s="181" t="inlineStr">
        <is>
          <t>(Unit : Currency)</t>
        </is>
      </c>
      <c r="C69" s="182" t="n">
        <v>0</v>
      </c>
      <c r="D69" s="182" t="n">
        <v>1</v>
      </c>
      <c r="E69" s="182" t="n">
        <v>2</v>
      </c>
      <c r="F69" s="182" t="n">
        <v>3</v>
      </c>
      <c r="G69" s="182" t="n">
        <v>4</v>
      </c>
      <c r="H69" s="182" t="n">
        <v>5</v>
      </c>
      <c r="I69" s="182" t="n">
        <v>6</v>
      </c>
      <c r="J69" s="182" t="n">
        <v>7</v>
      </c>
      <c r="K69" s="182" t="n">
        <v>8</v>
      </c>
      <c r="L69" s="182" t="n">
        <v>9</v>
      </c>
      <c r="M69" s="182" t="n">
        <v>10</v>
      </c>
      <c r="N69" s="182" t="n">
        <v>11</v>
      </c>
      <c r="O69" s="182" t="n">
        <v>12</v>
      </c>
      <c r="P69" s="182" t="n">
        <v>13</v>
      </c>
      <c r="Q69" s="182" t="n">
        <v>14</v>
      </c>
      <c r="R69" s="182" t="n">
        <v>15</v>
      </c>
      <c r="S69" s="182" t="n">
        <v>16</v>
      </c>
      <c r="T69" s="182" t="n">
        <v>17</v>
      </c>
      <c r="U69" s="182" t="n">
        <v>18</v>
      </c>
      <c r="V69" s="182" t="n">
        <v>19</v>
      </c>
      <c r="W69" s="182" t="n">
        <v>20</v>
      </c>
      <c r="X69" s="183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</row>
    <row r="70">
      <c r="A70" s="69" t="n"/>
      <c r="B70" s="184" t="inlineStr">
        <is>
          <t>稅後淨利</t>
        </is>
      </c>
      <c r="C70" s="185" t="n"/>
      <c r="D70" s="185">
        <f>#REF!</f>
        <v/>
      </c>
      <c r="E70" s="185">
        <f>#REF!</f>
        <v/>
      </c>
      <c r="F70" s="185">
        <f>#REF!</f>
        <v/>
      </c>
      <c r="G70" s="185">
        <f>#REF!</f>
        <v/>
      </c>
      <c r="H70" s="185">
        <f>#REF!</f>
        <v/>
      </c>
      <c r="I70" s="185">
        <f>#REF!</f>
        <v/>
      </c>
      <c r="J70" s="185">
        <f>#REF!</f>
        <v/>
      </c>
      <c r="K70" s="185">
        <f>#REF!</f>
        <v/>
      </c>
      <c r="L70" s="185">
        <f>#REF!</f>
        <v/>
      </c>
      <c r="M70" s="185">
        <f>#REF!</f>
        <v/>
      </c>
      <c r="N70" s="185">
        <f>#REF!</f>
        <v/>
      </c>
      <c r="O70" s="185">
        <f>#REF!</f>
        <v/>
      </c>
      <c r="P70" s="185">
        <f>#REF!</f>
        <v/>
      </c>
      <c r="Q70" s="185">
        <f>#REF!</f>
        <v/>
      </c>
      <c r="R70" s="185">
        <f>#REF!</f>
        <v/>
      </c>
      <c r="S70" s="185">
        <f>#REF!</f>
        <v/>
      </c>
      <c r="T70" s="185">
        <f>#REF!</f>
        <v/>
      </c>
      <c r="U70" s="185">
        <f>#REF!</f>
        <v/>
      </c>
      <c r="V70" s="185">
        <f>#REF!</f>
        <v/>
      </c>
      <c r="W70" s="185">
        <f>#REF!</f>
        <v/>
      </c>
      <c r="X70" s="158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</row>
    <row r="71">
      <c r="A71" s="69" t="n"/>
      <c r="B71" s="184" t="inlineStr">
        <is>
          <t>設備折舊</t>
        </is>
      </c>
      <c r="C71" s="185" t="n"/>
      <c r="D71" s="186">
        <f>-#REF!</f>
        <v/>
      </c>
      <c r="E71" s="186">
        <f>-#REF!</f>
        <v/>
      </c>
      <c r="F71" s="186">
        <f>-#REF!</f>
        <v/>
      </c>
      <c r="G71" s="186">
        <f>-#REF!</f>
        <v/>
      </c>
      <c r="H71" s="186">
        <f>-#REF!</f>
        <v/>
      </c>
      <c r="I71" s="186">
        <f>-#REF!</f>
        <v/>
      </c>
      <c r="J71" s="186">
        <f>-#REF!</f>
        <v/>
      </c>
      <c r="K71" s="186">
        <f>-#REF!</f>
        <v/>
      </c>
      <c r="L71" s="186">
        <f>-#REF!</f>
        <v/>
      </c>
      <c r="M71" s="186">
        <f>-#REF!</f>
        <v/>
      </c>
      <c r="N71" s="186">
        <f>-#REF!</f>
        <v/>
      </c>
      <c r="O71" s="186">
        <f>-#REF!</f>
        <v/>
      </c>
      <c r="P71" s="186">
        <f>-#REF!</f>
        <v/>
      </c>
      <c r="Q71" s="186">
        <f>-#REF!</f>
        <v/>
      </c>
      <c r="R71" s="186">
        <f>-#REF!</f>
        <v/>
      </c>
      <c r="S71" s="186">
        <f>-#REF!</f>
        <v/>
      </c>
      <c r="T71" s="186">
        <f>-#REF!</f>
        <v/>
      </c>
      <c r="U71" s="186">
        <f>-#REF!</f>
        <v/>
      </c>
      <c r="V71" s="186">
        <f>-#REF!</f>
        <v/>
      </c>
      <c r="W71" s="186">
        <f>-#REF!</f>
        <v/>
      </c>
      <c r="X71" s="158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</row>
    <row r="72">
      <c r="A72" s="69" t="n"/>
      <c r="B72" s="184" t="inlineStr">
        <is>
          <t>營運活動現金流量</t>
        </is>
      </c>
      <c r="C72" s="185" t="n"/>
      <c r="D72" s="187">
        <f>SUM(D70:D71)</f>
        <v/>
      </c>
      <c r="E72" s="187">
        <f>SUM(E70:E71)</f>
        <v/>
      </c>
      <c r="F72" s="187">
        <f>SUM(F70:F71)</f>
        <v/>
      </c>
      <c r="G72" s="187">
        <f>SUM(G70:G71)</f>
        <v/>
      </c>
      <c r="H72" s="187">
        <f>SUM(H70:H71)</f>
        <v/>
      </c>
      <c r="I72" s="187">
        <f>SUM(I70:I71)</f>
        <v/>
      </c>
      <c r="J72" s="187">
        <f>SUM(J70:J71)</f>
        <v/>
      </c>
      <c r="K72" s="187">
        <f>SUM(K70:K71)</f>
        <v/>
      </c>
      <c r="L72" s="187">
        <f>SUM(L70:L71)</f>
        <v/>
      </c>
      <c r="M72" s="187">
        <f>SUM(M70:M71)</f>
        <v/>
      </c>
      <c r="N72" s="187">
        <f>SUM(N70:N71)</f>
        <v/>
      </c>
      <c r="O72" s="187">
        <f>SUM(O70:O71)</f>
        <v/>
      </c>
      <c r="P72" s="187">
        <f>SUM(P70:P71)</f>
        <v/>
      </c>
      <c r="Q72" s="187">
        <f>SUM(Q70:Q71)</f>
        <v/>
      </c>
      <c r="R72" s="187">
        <f>SUM(R70:R71)</f>
        <v/>
      </c>
      <c r="S72" s="187">
        <f>SUM(S70:S71)</f>
        <v/>
      </c>
      <c r="T72" s="187">
        <f>SUM(T70:T71)</f>
        <v/>
      </c>
      <c r="U72" s="187">
        <f>SUM(U70:U71)</f>
        <v/>
      </c>
      <c r="V72" s="187">
        <f>SUM(V70:V71)</f>
        <v/>
      </c>
      <c r="W72" s="187">
        <f>SUM(W70:W71)</f>
        <v/>
      </c>
      <c r="X72" s="188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</row>
    <row r="73">
      <c r="A73" s="69" t="n"/>
      <c r="B73" s="184" t="n"/>
      <c r="C73" s="185" t="n"/>
      <c r="D73" s="185" t="n"/>
      <c r="E73" s="185" t="n"/>
      <c r="F73" s="189" t="n"/>
      <c r="G73" s="189" t="n"/>
      <c r="H73" s="189" t="n"/>
      <c r="I73" s="189" t="n"/>
      <c r="J73" s="189" t="n"/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0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</row>
    <row r="74">
      <c r="A74" s="69" t="n"/>
      <c r="B74" s="190" t="inlineStr">
        <is>
          <t>投資活動-設備支出</t>
        </is>
      </c>
      <c r="C74" s="191" t="n"/>
      <c r="D74" s="192">
        <f>C44</f>
        <v/>
      </c>
      <c r="E74" s="191" t="n">
        <v>0</v>
      </c>
      <c r="F74" s="191" t="n"/>
      <c r="G74" s="191" t="n">
        <v>0</v>
      </c>
      <c r="H74" s="191" t="n">
        <v>0</v>
      </c>
      <c r="I74" s="191" t="n">
        <v>0</v>
      </c>
      <c r="J74" s="191" t="n">
        <v>0</v>
      </c>
      <c r="K74" s="191" t="n">
        <v>0</v>
      </c>
      <c r="L74" s="191" t="n">
        <v>0</v>
      </c>
      <c r="M74" s="191" t="n">
        <v>0</v>
      </c>
      <c r="N74" s="191" t="n">
        <v>0</v>
      </c>
      <c r="O74" s="191" t="n">
        <v>0</v>
      </c>
      <c r="P74" s="191" t="n">
        <v>0</v>
      </c>
      <c r="Q74" s="191" t="n">
        <v>0</v>
      </c>
      <c r="R74" s="191" t="n">
        <v>0</v>
      </c>
      <c r="S74" s="191" t="n">
        <v>0</v>
      </c>
      <c r="T74" s="191" t="n">
        <v>0</v>
      </c>
      <c r="U74" s="191" t="n">
        <v>0</v>
      </c>
      <c r="V74" s="191" t="n">
        <v>0</v>
      </c>
      <c r="W74" s="191" t="n">
        <v>0</v>
      </c>
      <c r="X74" s="158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</row>
    <row r="75">
      <c r="A75" s="69" t="n"/>
      <c r="B75" s="184" t="n"/>
      <c r="C75" s="185" t="n"/>
      <c r="D75" s="185" t="n"/>
      <c r="E75" s="185" t="n"/>
      <c r="F75" s="189" t="n"/>
      <c r="G75" s="189" t="n"/>
      <c r="H75" s="189" t="n"/>
      <c r="I75" s="189" t="n"/>
      <c r="J75" s="189" t="n"/>
      <c r="K75" s="189" t="n"/>
      <c r="L75" s="189" t="n"/>
      <c r="M75" s="189" t="n"/>
      <c r="N75" s="189" t="n"/>
      <c r="O75" s="189" t="n"/>
      <c r="P75" s="189" t="n"/>
      <c r="Q75" s="189" t="n"/>
      <c r="R75" s="189" t="n"/>
      <c r="S75" s="189" t="n"/>
      <c r="T75" s="189" t="n"/>
      <c r="U75" s="189" t="n"/>
      <c r="V75" s="189" t="n"/>
      <c r="W75" s="189" t="n"/>
      <c r="X75" s="180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</row>
    <row r="76">
      <c r="A76" s="69" t="n"/>
      <c r="B76" s="184" t="n"/>
      <c r="C76" s="185" t="n"/>
      <c r="D76" s="185" t="n"/>
      <c r="E76" s="185" t="n"/>
      <c r="F76" s="189" t="n"/>
      <c r="G76" s="189" t="n"/>
      <c r="H76" s="189" t="n"/>
      <c r="I76" s="189" t="n"/>
      <c r="J76" s="189" t="n"/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0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</row>
    <row r="77">
      <c r="A77" s="69" t="n"/>
      <c r="B77" s="190" t="inlineStr">
        <is>
          <t>理財活動-借款</t>
        </is>
      </c>
      <c r="C77" s="191" t="n"/>
      <c r="D77" s="192">
        <f>#REF!*0.8</f>
        <v/>
      </c>
      <c r="E77" s="191" t="n"/>
      <c r="F77" s="191" t="n"/>
      <c r="G77" s="191" t="n">
        <v>0</v>
      </c>
      <c r="H77" s="191" t="n">
        <v>0</v>
      </c>
      <c r="I77" s="191" t="n">
        <v>0</v>
      </c>
      <c r="J77" s="191" t="n">
        <v>0</v>
      </c>
      <c r="K77" s="191" t="n">
        <v>0</v>
      </c>
      <c r="L77" s="191" t="n">
        <v>0</v>
      </c>
      <c r="M77" s="191" t="n">
        <v>0</v>
      </c>
      <c r="N77" s="191" t="n">
        <v>0</v>
      </c>
      <c r="O77" s="191" t="n">
        <v>0</v>
      </c>
      <c r="P77" s="191" t="n">
        <v>0</v>
      </c>
      <c r="Q77" s="191" t="n">
        <v>0</v>
      </c>
      <c r="R77" s="191" t="n">
        <v>0</v>
      </c>
      <c r="S77" s="191" t="n">
        <v>0</v>
      </c>
      <c r="T77" s="191" t="n">
        <v>0</v>
      </c>
      <c r="U77" s="191" t="n">
        <v>0</v>
      </c>
      <c r="V77" s="191" t="n">
        <v>0</v>
      </c>
      <c r="W77" s="191" t="n">
        <v>0</v>
      </c>
      <c r="X77" s="180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</row>
    <row r="78">
      <c r="A78" s="69" t="n"/>
      <c r="B78" s="184" t="inlineStr">
        <is>
          <t>理財活動-還款</t>
        </is>
      </c>
      <c r="C78" s="185" t="n"/>
      <c r="D78" s="185" t="n"/>
      <c r="E78" s="185">
        <f>-#REF!</f>
        <v/>
      </c>
      <c r="F78" s="185">
        <f>-#REF!</f>
        <v/>
      </c>
      <c r="G78" s="185">
        <f>-#REF!</f>
        <v/>
      </c>
      <c r="H78" s="185">
        <f>-#REF!</f>
        <v/>
      </c>
      <c r="I78" s="185">
        <f>-#REF!</f>
        <v/>
      </c>
      <c r="J78" s="185">
        <f>-#REF!</f>
        <v/>
      </c>
      <c r="K78" s="185">
        <f>-#REF!</f>
        <v/>
      </c>
      <c r="L78" s="185">
        <f>-#REF!</f>
        <v/>
      </c>
      <c r="M78" s="185">
        <f>-#REF!</f>
        <v/>
      </c>
      <c r="N78" s="185">
        <f>-#REF!</f>
        <v/>
      </c>
      <c r="O78" s="185">
        <f>-#REF!</f>
        <v/>
      </c>
      <c r="P78" s="185">
        <f>-#REF!</f>
        <v/>
      </c>
      <c r="Q78" s="185">
        <f>-#REF!</f>
        <v/>
      </c>
      <c r="R78" s="185">
        <f>-#REF!</f>
        <v/>
      </c>
      <c r="S78" s="185">
        <f>-#REF!</f>
        <v/>
      </c>
      <c r="T78" s="189" t="n"/>
      <c r="U78" s="189" t="n"/>
      <c r="V78" s="189" t="n"/>
      <c r="W78" s="189" t="n"/>
      <c r="X78" s="158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</row>
    <row r="79">
      <c r="A79" s="69" t="n"/>
      <c r="B79" s="184" t="inlineStr">
        <is>
          <t>理財活動-現金增資</t>
        </is>
      </c>
      <c r="C79" s="189" t="n"/>
      <c r="D79" s="185">
        <f>#REF!*0.2</f>
        <v/>
      </c>
      <c r="E79" s="189" t="n"/>
      <c r="F79" s="189" t="n"/>
      <c r="G79" s="189" t="n"/>
      <c r="H79" s="189" t="n"/>
      <c r="I79" s="189" t="n"/>
      <c r="J79" s="189" t="n"/>
      <c r="K79" s="189" t="n"/>
      <c r="L79" s="189" t="n"/>
      <c r="M79" s="189" t="n"/>
      <c r="N79" s="189" t="n"/>
      <c r="O79" s="189" t="n"/>
      <c r="P79" s="189" t="n"/>
      <c r="Q79" s="189" t="n"/>
      <c r="R79" s="189" t="n"/>
      <c r="S79" s="189" t="n"/>
      <c r="T79" s="189" t="n"/>
      <c r="U79" s="189" t="n"/>
      <c r="V79" s="189" t="n"/>
      <c r="W79" s="189" t="n"/>
      <c r="X79" s="188" t="n"/>
      <c r="Y79" s="69" t="n"/>
      <c r="Z79" s="69" t="n"/>
      <c r="AA79" s="69" t="n"/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</row>
    <row r="80">
      <c r="A80" s="69" t="n"/>
      <c r="B80" s="184" t="inlineStr">
        <is>
          <t>現金股利</t>
        </is>
      </c>
      <c r="C80" s="189" t="n"/>
      <c r="D80" s="189" t="n"/>
      <c r="E80" s="193">
        <f>-D70*0.9</f>
        <v/>
      </c>
      <c r="F80" s="185">
        <f>-E70*0.9</f>
        <v/>
      </c>
      <c r="G80" s="185">
        <f>-F70*0.9</f>
        <v/>
      </c>
      <c r="H80" s="185">
        <f>-G70*0.9</f>
        <v/>
      </c>
      <c r="I80" s="185">
        <f>-H70*0.9</f>
        <v/>
      </c>
      <c r="J80" s="185">
        <f>-I70*0.9</f>
        <v/>
      </c>
      <c r="K80" s="185">
        <f>-J70*0.9</f>
        <v/>
      </c>
      <c r="L80" s="185">
        <f>-K70*0.9</f>
        <v/>
      </c>
      <c r="M80" s="185">
        <f>-L70*0.9</f>
        <v/>
      </c>
      <c r="N80" s="185">
        <f>-M70*0.9</f>
        <v/>
      </c>
      <c r="O80" s="185">
        <f>-N70*0.9</f>
        <v/>
      </c>
      <c r="P80" s="185">
        <f>-O70*0.9</f>
        <v/>
      </c>
      <c r="Q80" s="185">
        <f>-P70*0.9</f>
        <v/>
      </c>
      <c r="R80" s="185">
        <f>-Q70*0.9</f>
        <v/>
      </c>
      <c r="S80" s="185">
        <f>-R70*0.9</f>
        <v/>
      </c>
      <c r="T80" s="185">
        <f>-S70*0.9</f>
        <v/>
      </c>
      <c r="U80" s="185">
        <f>-T70*0.9</f>
        <v/>
      </c>
      <c r="V80" s="189" t="n"/>
      <c r="W80" s="185">
        <f>-V70*0.9</f>
        <v/>
      </c>
      <c r="X80" s="188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</row>
    <row r="81">
      <c r="A81" s="69" t="n"/>
      <c r="B81" s="194" t="inlineStr">
        <is>
          <t>年底減資</t>
        </is>
      </c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6">
        <f>-$D$79/4</f>
        <v/>
      </c>
      <c r="S81" s="196">
        <f>-$D$79/4</f>
        <v/>
      </c>
      <c r="T81" s="196">
        <f>-$D$79/4</f>
        <v/>
      </c>
      <c r="U81" s="196">
        <f>-$D$79/4</f>
        <v/>
      </c>
      <c r="V81" s="195" t="n"/>
      <c r="W81" s="195" t="n"/>
      <c r="X81" s="188" t="n"/>
      <c r="Y81" s="69" t="n"/>
      <c r="Z81" s="69" t="n"/>
      <c r="AA81" s="69" t="n"/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</row>
    <row r="82">
      <c r="A82" s="69" t="n"/>
      <c r="B82" s="189" t="n"/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8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</row>
    <row r="83">
      <c r="A83" s="69" t="n"/>
      <c r="B83" s="189" t="n"/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8" t="n"/>
      <c r="Y83" s="69" t="n"/>
      <c r="Z83" s="69" t="n"/>
      <c r="AA83" s="69" t="n"/>
      <c r="AB83" s="69" t="n"/>
      <c r="AC83" s="69" t="n"/>
      <c r="AD83" s="69" t="n"/>
      <c r="AE83" s="69" t="n"/>
      <c r="AF83" s="69" t="n"/>
      <c r="AG83" s="69" t="n"/>
      <c r="AH83" s="69" t="n"/>
      <c r="AI83" s="69" t="n"/>
      <c r="AJ83" s="69" t="n"/>
    </row>
    <row r="84">
      <c r="A84" s="69" t="n"/>
      <c r="B84" s="184" t="inlineStr">
        <is>
          <t>現金淨流入(出 )</t>
        </is>
      </c>
      <c r="C84" s="189">
        <f>SUM(C74:C83)</f>
        <v/>
      </c>
      <c r="D84" s="187">
        <f>SUM(D72:D83)</f>
        <v/>
      </c>
      <c r="E84" s="187">
        <f>SUM(E72:E83)</f>
        <v/>
      </c>
      <c r="F84" s="187">
        <f>SUM(F72:F83)</f>
        <v/>
      </c>
      <c r="G84" s="187">
        <f>SUM(G72:G83)</f>
        <v/>
      </c>
      <c r="H84" s="187">
        <f>SUM(H72:H83)</f>
        <v/>
      </c>
      <c r="I84" s="187">
        <f>SUM(I72:I83)</f>
        <v/>
      </c>
      <c r="J84" s="187">
        <f>SUM(J72:J83)</f>
        <v/>
      </c>
      <c r="K84" s="187">
        <f>SUM(K72:K83)</f>
        <v/>
      </c>
      <c r="L84" s="187">
        <f>SUM(L72:L83)</f>
        <v/>
      </c>
      <c r="M84" s="187">
        <f>SUM(M72:M83)</f>
        <v/>
      </c>
      <c r="N84" s="187">
        <f>SUM(N72:N83)</f>
        <v/>
      </c>
      <c r="O84" s="187">
        <f>SUM(O72:O83)</f>
        <v/>
      </c>
      <c r="P84" s="187">
        <f>SUM(P72:P83)</f>
        <v/>
      </c>
      <c r="Q84" s="187">
        <f>SUM(Q72:Q83)</f>
        <v/>
      </c>
      <c r="R84" s="187">
        <f>SUM(R72:R83)</f>
        <v/>
      </c>
      <c r="S84" s="187">
        <f>SUM(S72:S83)</f>
        <v/>
      </c>
      <c r="T84" s="187">
        <f>SUM(T72:T83)</f>
        <v/>
      </c>
      <c r="U84" s="187">
        <f>SUM(U72:U83)</f>
        <v/>
      </c>
      <c r="V84" s="187">
        <f>SUM(V72:V83)</f>
        <v/>
      </c>
      <c r="W84" s="187">
        <f>SUM(W72:W83)</f>
        <v/>
      </c>
      <c r="X84" s="188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</row>
    <row r="85">
      <c r="A85" s="69" t="n"/>
      <c r="B85" s="184" t="inlineStr">
        <is>
          <t>期初淨現金</t>
        </is>
      </c>
      <c r="C85" s="189" t="n">
        <v>0</v>
      </c>
      <c r="D85" s="189">
        <f>C86</f>
        <v/>
      </c>
      <c r="E85" s="185">
        <f>D86</f>
        <v/>
      </c>
      <c r="F85" s="185">
        <f>E86</f>
        <v/>
      </c>
      <c r="G85" s="185">
        <f>F86</f>
        <v/>
      </c>
      <c r="H85" s="185">
        <f>G86</f>
        <v/>
      </c>
      <c r="I85" s="185">
        <f>H86</f>
        <v/>
      </c>
      <c r="J85" s="185">
        <f>I86</f>
        <v/>
      </c>
      <c r="K85" s="185">
        <f>J86</f>
        <v/>
      </c>
      <c r="L85" s="185">
        <f>K86</f>
        <v/>
      </c>
      <c r="M85" s="185">
        <f>L86</f>
        <v/>
      </c>
      <c r="N85" s="185">
        <f>M86</f>
        <v/>
      </c>
      <c r="O85" s="185">
        <f>N86</f>
        <v/>
      </c>
      <c r="P85" s="185">
        <f>O86</f>
        <v/>
      </c>
      <c r="Q85" s="185">
        <f>P86</f>
        <v/>
      </c>
      <c r="R85" s="185">
        <f>Q86</f>
        <v/>
      </c>
      <c r="S85" s="185">
        <f>R86</f>
        <v/>
      </c>
      <c r="T85" s="185">
        <f>S86</f>
        <v/>
      </c>
      <c r="U85" s="185">
        <f>T86</f>
        <v/>
      </c>
      <c r="V85" s="189" t="n"/>
      <c r="W85" s="189" t="n"/>
      <c r="X85" s="180" t="n"/>
      <c r="Y85" s="69" t="n"/>
      <c r="Z85" s="69" t="n"/>
      <c r="AA85" s="69" t="n"/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</row>
    <row r="86">
      <c r="A86" s="69" t="n"/>
      <c r="B86" s="184" t="inlineStr">
        <is>
          <t>期未淨現金</t>
        </is>
      </c>
      <c r="C86" s="189">
        <f>C84</f>
        <v/>
      </c>
      <c r="D86" s="185">
        <f>D84+D85</f>
        <v/>
      </c>
      <c r="E86" s="185">
        <f>E84+E85</f>
        <v/>
      </c>
      <c r="F86" s="185">
        <f>F84+F85</f>
        <v/>
      </c>
      <c r="G86" s="185">
        <f>G84+G85</f>
        <v/>
      </c>
      <c r="H86" s="185">
        <f>H84+H85</f>
        <v/>
      </c>
      <c r="I86" s="185">
        <f>I84+I85</f>
        <v/>
      </c>
      <c r="J86" s="185">
        <f>J84+J85</f>
        <v/>
      </c>
      <c r="K86" s="185">
        <f>K84+K85</f>
        <v/>
      </c>
      <c r="L86" s="185">
        <f>L84+L85</f>
        <v/>
      </c>
      <c r="M86" s="185">
        <f>M84+M85</f>
        <v/>
      </c>
      <c r="N86" s="185">
        <f>N84+N85</f>
        <v/>
      </c>
      <c r="O86" s="185">
        <f>O84+O85</f>
        <v/>
      </c>
      <c r="P86" s="185">
        <f>P84+P85</f>
        <v/>
      </c>
      <c r="Q86" s="185">
        <f>Q84+Q85</f>
        <v/>
      </c>
      <c r="R86" s="185">
        <f>R84+R85</f>
        <v/>
      </c>
      <c r="S86" s="185">
        <f>S84+S85</f>
        <v/>
      </c>
      <c r="T86" s="185">
        <f>T84+T85</f>
        <v/>
      </c>
      <c r="U86" s="185">
        <f>U84+U85</f>
        <v/>
      </c>
      <c r="V86" s="189" t="n"/>
      <c r="W86" s="189" t="n"/>
      <c r="X86" s="180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</row>
    <row r="87">
      <c r="A87" s="69" t="n"/>
      <c r="B87" s="184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97" t="n"/>
      <c r="Y87" s="69" t="n"/>
      <c r="Z87" s="69" t="n"/>
      <c r="AA87" s="69" t="n"/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</row>
    <row r="88">
      <c r="A88" s="69" t="n"/>
      <c r="B88" s="184" t="n"/>
      <c r="C88" s="185" t="n"/>
      <c r="D88" s="185" t="n"/>
      <c r="E88" s="185" t="n"/>
      <c r="F88" s="189" t="n"/>
      <c r="G88" s="185" t="n"/>
      <c r="H88" s="185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97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</row>
    <row r="89">
      <c r="A89" s="69" t="n"/>
      <c r="B89" s="198" t="inlineStr">
        <is>
          <t>成本法實際現金流</t>
        </is>
      </c>
      <c r="C89" s="199" t="n"/>
      <c r="D89" s="200">
        <f>-D79</f>
        <v/>
      </c>
      <c r="E89" s="187">
        <f>-E80-E81</f>
        <v/>
      </c>
      <c r="F89" s="187">
        <f>-F80-F81</f>
        <v/>
      </c>
      <c r="G89" s="187">
        <f>-G80-G81</f>
        <v/>
      </c>
      <c r="H89" s="187">
        <f>-H80-H81</f>
        <v/>
      </c>
      <c r="I89" s="187">
        <f>-I80-I81</f>
        <v/>
      </c>
      <c r="J89" s="187">
        <f>-J80-J81</f>
        <v/>
      </c>
      <c r="K89" s="187">
        <f>-K80-K81</f>
        <v/>
      </c>
      <c r="L89" s="187">
        <f>-L80-L81</f>
        <v/>
      </c>
      <c r="M89" s="187">
        <f>-M80-M81</f>
        <v/>
      </c>
      <c r="N89" s="187">
        <f>-N80-N81</f>
        <v/>
      </c>
      <c r="O89" s="187">
        <f>-O80-O81</f>
        <v/>
      </c>
      <c r="P89" s="187">
        <f>-P80-P81</f>
        <v/>
      </c>
      <c r="Q89" s="187">
        <f>-Q80-Q81</f>
        <v/>
      </c>
      <c r="R89" s="187">
        <f>-R80-R81</f>
        <v/>
      </c>
      <c r="S89" s="187">
        <f>-S80-S81</f>
        <v/>
      </c>
      <c r="T89" s="187">
        <f>-T80-T81</f>
        <v/>
      </c>
      <c r="U89" s="187">
        <f>-U80-U81</f>
        <v/>
      </c>
      <c r="V89" s="199">
        <f>-V80-V81</f>
        <v/>
      </c>
      <c r="W89" s="187">
        <f>-W80-W81</f>
        <v/>
      </c>
      <c r="X89" s="188" t="n"/>
      <c r="Y89" s="69" t="n"/>
      <c r="Z89" s="69" t="n"/>
      <c r="AA89" s="69" t="n"/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</row>
    <row r="90">
      <c r="A90" s="69" t="n"/>
      <c r="B90" s="184" t="inlineStr">
        <is>
          <t>成本法IRR</t>
        </is>
      </c>
      <c r="C90" s="201">
        <f>IRR(D89:W89)</f>
        <v/>
      </c>
      <c r="D90" s="202" t="n"/>
      <c r="E90" s="202" t="n"/>
      <c r="F90" s="185" t="n"/>
      <c r="G90" s="185" t="n"/>
      <c r="H90" s="185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97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</row>
    <row r="91">
      <c r="A91" s="69" t="n"/>
      <c r="B91" s="198" t="inlineStr">
        <is>
          <t>權益法實際現金流</t>
        </is>
      </c>
      <c r="C91" s="199" t="n"/>
      <c r="D91" s="200">
        <f>#REF!-D79</f>
        <v/>
      </c>
      <c r="E91" s="187">
        <f>#REF!</f>
        <v/>
      </c>
      <c r="F91" s="187">
        <f>#REF!-F81</f>
        <v/>
      </c>
      <c r="G91" s="187">
        <f>#REF!-G81</f>
        <v/>
      </c>
      <c r="H91" s="187">
        <f>#REF!-H81</f>
        <v/>
      </c>
      <c r="I91" s="187">
        <f>#REF!-I81</f>
        <v/>
      </c>
      <c r="J91" s="187">
        <f>#REF!-J81</f>
        <v/>
      </c>
      <c r="K91" s="187">
        <f>#REF!-K81</f>
        <v/>
      </c>
      <c r="L91" s="187">
        <f>#REF!-L81</f>
        <v/>
      </c>
      <c r="M91" s="187">
        <f>#REF!-M81</f>
        <v/>
      </c>
      <c r="N91" s="187">
        <f>#REF!-N81</f>
        <v/>
      </c>
      <c r="O91" s="187">
        <f>#REF!-O81</f>
        <v/>
      </c>
      <c r="P91" s="187">
        <f>#REF!-P81</f>
        <v/>
      </c>
      <c r="Q91" s="187">
        <f>#REF!-Q81</f>
        <v/>
      </c>
      <c r="R91" s="187">
        <f>#REF!-R81</f>
        <v/>
      </c>
      <c r="S91" s="187">
        <f>#REF!-S81</f>
        <v/>
      </c>
      <c r="T91" s="187">
        <f>#REF!-T81</f>
        <v/>
      </c>
      <c r="U91" s="187">
        <f>#REF!-U81</f>
        <v/>
      </c>
      <c r="V91" s="187">
        <f>#REF!-V81</f>
        <v/>
      </c>
      <c r="W91" s="187">
        <f>#REF!-W81</f>
        <v/>
      </c>
      <c r="X91" s="158" t="n"/>
      <c r="Y91" s="69" t="n"/>
      <c r="Z91" s="69" t="n"/>
      <c r="AA91" s="69" t="n"/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</row>
    <row r="92">
      <c r="A92" s="69" t="n"/>
      <c r="B92" s="198" t="inlineStr">
        <is>
          <t>權益法IRR</t>
        </is>
      </c>
      <c r="C92" s="201">
        <f>IRR(D91:W91)</f>
        <v/>
      </c>
      <c r="D92" s="202" t="n"/>
      <c r="E92" s="202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97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</row>
    <row r="93">
      <c r="A93" s="69" t="n"/>
      <c r="B93" s="184" t="n"/>
      <c r="C93" s="185" t="n"/>
      <c r="D93" s="185" t="n"/>
      <c r="E93" s="185" t="n"/>
      <c r="F93" s="185" t="n"/>
      <c r="G93" s="185" t="n"/>
      <c r="H93" s="185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97" t="n"/>
      <c r="Y93" s="69" t="n"/>
      <c r="Z93" s="69" t="n"/>
      <c r="AA93" s="69" t="n"/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</row>
    <row r="94">
      <c r="A94" s="69" t="n"/>
      <c r="B94" s="184" t="inlineStr">
        <is>
          <t>借款餘額</t>
        </is>
      </c>
      <c r="C94" s="189" t="n">
        <v>0</v>
      </c>
      <c r="D94" s="185">
        <f>D77</f>
        <v/>
      </c>
      <c r="E94" s="185">
        <f>D94+E77+E78</f>
        <v/>
      </c>
      <c r="F94" s="185">
        <f>E94+F77+F78</f>
        <v/>
      </c>
      <c r="G94" s="185">
        <f>F94+G77+G78</f>
        <v/>
      </c>
      <c r="H94" s="185">
        <f>G94+H77+H78</f>
        <v/>
      </c>
      <c r="I94" s="185">
        <f>H94+I77+I78</f>
        <v/>
      </c>
      <c r="J94" s="185">
        <f>I94+J77+J78</f>
        <v/>
      </c>
      <c r="K94" s="185">
        <f>J94+K77+K78</f>
        <v/>
      </c>
      <c r="L94" s="185">
        <f>K94+L77+L78</f>
        <v/>
      </c>
      <c r="M94" s="185">
        <f>L94+M77+M78</f>
        <v/>
      </c>
      <c r="N94" s="185">
        <f>M94+N77+N78</f>
        <v/>
      </c>
      <c r="O94" s="185">
        <f>N94+O77+O78</f>
        <v/>
      </c>
      <c r="P94" s="185">
        <f>O94+P77+P78</f>
        <v/>
      </c>
      <c r="Q94" s="185">
        <f>P94+Q77+Q78</f>
        <v/>
      </c>
      <c r="R94" s="185">
        <f>Q94+R77+R78</f>
        <v/>
      </c>
      <c r="S94" s="185">
        <f>R94+S77+S78</f>
        <v/>
      </c>
      <c r="T94" s="189" t="n"/>
      <c r="U94" s="189" t="n"/>
      <c r="V94" s="189" t="n"/>
      <c r="W94" s="189" t="n"/>
      <c r="X94" s="18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</row>
    <row r="95">
      <c r="A95" s="69" t="n"/>
      <c r="B95" s="108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</row>
    <row r="96">
      <c r="A96" s="69" t="n"/>
      <c r="B96" s="20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</row>
    <row r="97">
      <c r="A97" s="69" t="n"/>
      <c r="B97" s="108" t="n"/>
      <c r="C97" s="73" t="n"/>
      <c r="D97" s="73" t="n"/>
      <c r="E97" s="73" t="n"/>
      <c r="F97" s="73" t="n"/>
      <c r="G97" s="150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4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初始價金摘要</t>
        </is>
      </c>
    </row>
    <row r="6" ht="16.5" customHeight="1" s="58" thickBot="1">
      <c r="M6" s="0" t="inlineStr">
        <is>
          <t>價金: 30000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4.29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10.43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初始價金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30000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-39249</v>
      </c>
      <c r="E49" s="0" t="n">
        <v>-39249</v>
      </c>
      <c r="F49" s="0" t="n">
        <v>-39249</v>
      </c>
      <c r="G49" s="0" t="n">
        <v>-39249</v>
      </c>
      <c r="H49" s="0" t="n">
        <v>-39249</v>
      </c>
      <c r="I49" s="0" t="n">
        <v>-39249</v>
      </c>
      <c r="J49" s="0" t="n">
        <v>-39249</v>
      </c>
      <c r="K49" s="0" t="n">
        <v>-39249</v>
      </c>
      <c r="L49" s="0" t="n">
        <v>-39249</v>
      </c>
      <c r="M49" s="0" t="n">
        <v>-39249</v>
      </c>
      <c r="N49" s="0" t="n">
        <v>-39249</v>
      </c>
      <c r="O49" s="0" t="n">
        <v>-39249</v>
      </c>
      <c r="P49" s="0" t="n">
        <v>-39249</v>
      </c>
      <c r="Q49" s="0" t="n">
        <v>-39249</v>
      </c>
      <c r="R49" s="0" t="n">
        <v>-39249</v>
      </c>
      <c r="S49" s="0" t="n">
        <v>-39249</v>
      </c>
      <c r="T49" s="0" t="n">
        <v>-39249</v>
      </c>
      <c r="U49" s="0" t="n">
        <v>-39249</v>
      </c>
      <c r="V49" s="0" t="n">
        <v>-39249</v>
      </c>
      <c r="W49" s="0" t="n">
        <v>-39249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-352718.5522</v>
      </c>
      <c r="E75" s="0" t="n">
        <v>-329203.9820533333</v>
      </c>
      <c r="F75" s="0" t="n">
        <v>-305689.4119066666</v>
      </c>
      <c r="G75" s="0" t="n">
        <v>-282174.84176</v>
      </c>
      <c r="H75" s="0" t="n">
        <v>-258660.2716133333</v>
      </c>
      <c r="I75" s="0" t="n">
        <v>-235145.7014666667</v>
      </c>
      <c r="J75" s="0" t="n">
        <v>-211631.13132</v>
      </c>
      <c r="K75" s="0" t="n">
        <v>-188116.5611733333</v>
      </c>
      <c r="L75" s="0" t="n">
        <v>-164601.9910266667</v>
      </c>
      <c r="M75" s="0" t="n">
        <v>-141087.42088</v>
      </c>
      <c r="N75" s="0" t="n">
        <v>-117572.8507333333</v>
      </c>
      <c r="O75" s="0" t="n">
        <v>-94058.28058666666</v>
      </c>
      <c r="P75" s="0" t="n">
        <v>-70543.71044</v>
      </c>
      <c r="Q75" s="0" t="n">
        <v>-47029.14029333333</v>
      </c>
      <c r="R75" s="0" t="n">
        <v>-23514.57014666667</v>
      </c>
      <c r="S75" s="0" t="n">
        <v>-4.19758e-22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-918717.3333333334</v>
      </c>
      <c r="F98" s="0" t="n">
        <v>-918717.3333333334</v>
      </c>
      <c r="G98" s="0" t="n">
        <v>-918717.3333333334</v>
      </c>
      <c r="H98" s="0" t="n">
        <v>-918717.3333333334</v>
      </c>
      <c r="I98" s="0" t="n">
        <v>-918717.3333333334</v>
      </c>
      <c r="J98" s="0" t="n">
        <v>-918717.3333333334</v>
      </c>
      <c r="K98" s="0" t="n">
        <v>-918717.3333333334</v>
      </c>
      <c r="L98" s="0" t="n">
        <v>-918717.3333333334</v>
      </c>
      <c r="M98" s="0" t="n">
        <v>-918717.3333333334</v>
      </c>
      <c r="N98" s="0" t="n">
        <v>-918717.3333333334</v>
      </c>
      <c r="O98" s="0" t="n">
        <v>-918717.3333333334</v>
      </c>
      <c r="P98" s="0" t="n">
        <v>-918717.3333333334</v>
      </c>
      <c r="Q98" s="0" t="n">
        <v>-918717.3333333334</v>
      </c>
      <c r="R98" s="0" t="n">
        <v>-918717.3333333334</v>
      </c>
      <c r="S98" s="0" t="n">
        <v>-918717.3333333334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-861297.5</v>
      </c>
      <c r="U101" s="0" t="n">
        <v>-861297.5</v>
      </c>
      <c r="V101" s="0" t="n">
        <v>-861297.5</v>
      </c>
      <c r="W101" s="0" t="n">
        <v>-861297.5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5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第1次滾算摘要</t>
        </is>
      </c>
    </row>
    <row r="6" ht="16.5" customHeight="1" s="58" thickBot="1">
      <c r="M6" s="0" t="inlineStr">
        <is>
          <t>價金: 28000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4.98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13.18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第1次滾算，減少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28000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-36632.4</v>
      </c>
      <c r="E49" s="0" t="n">
        <v>-36632.4</v>
      </c>
      <c r="F49" s="0" t="n">
        <v>-36632.4</v>
      </c>
      <c r="G49" s="0" t="n">
        <v>-36632.4</v>
      </c>
      <c r="H49" s="0" t="n">
        <v>-36632.4</v>
      </c>
      <c r="I49" s="0" t="n">
        <v>-36632.4</v>
      </c>
      <c r="J49" s="0" t="n">
        <v>-36632.4</v>
      </c>
      <c r="K49" s="0" t="n">
        <v>-36632.4</v>
      </c>
      <c r="L49" s="0" t="n">
        <v>-36632.4</v>
      </c>
      <c r="M49" s="0" t="n">
        <v>-36632.4</v>
      </c>
      <c r="N49" s="0" t="n">
        <v>-36632.4</v>
      </c>
      <c r="O49" s="0" t="n">
        <v>-36632.4</v>
      </c>
      <c r="P49" s="0" t="n">
        <v>-36632.4</v>
      </c>
      <c r="Q49" s="0" t="n">
        <v>-36632.4</v>
      </c>
      <c r="R49" s="0" t="n">
        <v>-36632.4</v>
      </c>
      <c r="S49" s="0" t="n">
        <v>-36632.4</v>
      </c>
      <c r="T49" s="0" t="n">
        <v>-36632.4</v>
      </c>
      <c r="U49" s="0" t="n">
        <v>-36632.4</v>
      </c>
      <c r="V49" s="0" t="n">
        <v>-36632.4</v>
      </c>
      <c r="W49" s="0" t="n">
        <v>-36632.4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-330394.5932</v>
      </c>
      <c r="E75" s="0" t="n">
        <v>-308368.2869866667</v>
      </c>
      <c r="F75" s="0" t="n">
        <v>-286341.9807733333</v>
      </c>
      <c r="G75" s="0" t="n">
        <v>-264315.67456</v>
      </c>
      <c r="H75" s="0" t="n">
        <v>-242289.3683466667</v>
      </c>
      <c r="I75" s="0" t="n">
        <v>-220263.0621333333</v>
      </c>
      <c r="J75" s="0" t="n">
        <v>-198236.75592</v>
      </c>
      <c r="K75" s="0" t="n">
        <v>-176210.4497066667</v>
      </c>
      <c r="L75" s="0" t="n">
        <v>-154184.1434933333</v>
      </c>
      <c r="M75" s="0" t="n">
        <v>-132157.83728</v>
      </c>
      <c r="N75" s="0" t="n">
        <v>-110131.5310666667</v>
      </c>
      <c r="O75" s="0" t="n">
        <v>-88105.22485333333</v>
      </c>
      <c r="P75" s="0" t="n">
        <v>-66078.91864</v>
      </c>
      <c r="Q75" s="0" t="n">
        <v>-44052.61242666667</v>
      </c>
      <c r="R75" s="0" t="n">
        <v>-22026.30621333333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-860570.6666666666</v>
      </c>
      <c r="F98" s="0" t="n">
        <v>-860570.6666666666</v>
      </c>
      <c r="G98" s="0" t="n">
        <v>-860570.6666666666</v>
      </c>
      <c r="H98" s="0" t="n">
        <v>-860570.6666666666</v>
      </c>
      <c r="I98" s="0" t="n">
        <v>-860570.6666666666</v>
      </c>
      <c r="J98" s="0" t="n">
        <v>-860570.6666666666</v>
      </c>
      <c r="K98" s="0" t="n">
        <v>-860570.6666666666</v>
      </c>
      <c r="L98" s="0" t="n">
        <v>-860570.6666666666</v>
      </c>
      <c r="M98" s="0" t="n">
        <v>-860570.6666666666</v>
      </c>
      <c r="N98" s="0" t="n">
        <v>-860570.6666666666</v>
      </c>
      <c r="O98" s="0" t="n">
        <v>-860570.6666666666</v>
      </c>
      <c r="P98" s="0" t="n">
        <v>-860570.6666666666</v>
      </c>
      <c r="Q98" s="0" t="n">
        <v>-860570.6666666666</v>
      </c>
      <c r="R98" s="0" t="n">
        <v>-860570.6666666666</v>
      </c>
      <c r="S98" s="0" t="n">
        <v>-860570.6666666666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-806785</v>
      </c>
      <c r="U101" s="0" t="n">
        <v>-806785</v>
      </c>
      <c r="V101" s="0" t="n">
        <v>-806785</v>
      </c>
      <c r="W101" s="0" t="n">
        <v>-806785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6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第2次滾算摘要</t>
        </is>
      </c>
    </row>
    <row r="6" ht="16.5" customHeight="1" s="58" thickBot="1">
      <c r="M6" s="0" t="inlineStr">
        <is>
          <t>價金: 26000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5.74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16.54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第2次滾算，減少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26000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-34015.8</v>
      </c>
      <c r="E49" s="0" t="n">
        <v>-34015.8</v>
      </c>
      <c r="F49" s="0" t="n">
        <v>-34015.8</v>
      </c>
      <c r="G49" s="0" t="n">
        <v>-34015.8</v>
      </c>
      <c r="H49" s="0" t="n">
        <v>-34015.8</v>
      </c>
      <c r="I49" s="0" t="n">
        <v>-34015.8</v>
      </c>
      <c r="J49" s="0" t="n">
        <v>-34015.8</v>
      </c>
      <c r="K49" s="0" t="n">
        <v>-34015.8</v>
      </c>
      <c r="L49" s="0" t="n">
        <v>-34015.8</v>
      </c>
      <c r="M49" s="0" t="n">
        <v>-34015.8</v>
      </c>
      <c r="N49" s="0" t="n">
        <v>-34015.8</v>
      </c>
      <c r="O49" s="0" t="n">
        <v>-34015.8</v>
      </c>
      <c r="P49" s="0" t="n">
        <v>-34015.8</v>
      </c>
      <c r="Q49" s="0" t="n">
        <v>-34015.8</v>
      </c>
      <c r="R49" s="0" t="n">
        <v>-34015.8</v>
      </c>
      <c r="S49" s="0" t="n">
        <v>-34015.8</v>
      </c>
      <c r="T49" s="0" t="n">
        <v>-34015.8</v>
      </c>
      <c r="U49" s="0" t="n">
        <v>-34015.8</v>
      </c>
      <c r="V49" s="0" t="n">
        <v>-34015.8</v>
      </c>
      <c r="W49" s="0" t="n">
        <v>-34015.8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-308070.6342</v>
      </c>
      <c r="E75" s="0" t="n">
        <v>-287532.59192</v>
      </c>
      <c r="F75" s="0" t="n">
        <v>-266994.54964</v>
      </c>
      <c r="G75" s="0" t="n">
        <v>-246456.50736</v>
      </c>
      <c r="H75" s="0" t="n">
        <v>-225918.46508</v>
      </c>
      <c r="I75" s="0" t="n">
        <v>-205380.4228</v>
      </c>
      <c r="J75" s="0" t="n">
        <v>-184842.38052</v>
      </c>
      <c r="K75" s="0" t="n">
        <v>-164304.33824</v>
      </c>
      <c r="L75" s="0" t="n">
        <v>-143766.29596</v>
      </c>
      <c r="M75" s="0" t="n">
        <v>-123228.25368</v>
      </c>
      <c r="N75" s="0" t="n">
        <v>-102690.2114</v>
      </c>
      <c r="O75" s="0" t="n">
        <v>-82152.16912000001</v>
      </c>
      <c r="P75" s="0" t="n">
        <v>-61614.12684</v>
      </c>
      <c r="Q75" s="0" t="n">
        <v>-41076.08456</v>
      </c>
      <c r="R75" s="0" t="n">
        <v>-20538.04228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-802424</v>
      </c>
      <c r="F98" s="0" t="n">
        <v>-802424</v>
      </c>
      <c r="G98" s="0" t="n">
        <v>-802424</v>
      </c>
      <c r="H98" s="0" t="n">
        <v>-802424</v>
      </c>
      <c r="I98" s="0" t="n">
        <v>-802424</v>
      </c>
      <c r="J98" s="0" t="n">
        <v>-802424</v>
      </c>
      <c r="K98" s="0" t="n">
        <v>-802424</v>
      </c>
      <c r="L98" s="0" t="n">
        <v>-802424</v>
      </c>
      <c r="M98" s="0" t="n">
        <v>-802424</v>
      </c>
      <c r="N98" s="0" t="n">
        <v>-802424</v>
      </c>
      <c r="O98" s="0" t="n">
        <v>-802424</v>
      </c>
      <c r="P98" s="0" t="n">
        <v>-802424</v>
      </c>
      <c r="Q98" s="0" t="n">
        <v>-802424</v>
      </c>
      <c r="R98" s="0" t="n">
        <v>-802424</v>
      </c>
      <c r="S98" s="0" t="n">
        <v>-802424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-752272.5</v>
      </c>
      <c r="U101" s="0" t="n">
        <v>-752272.5</v>
      </c>
      <c r="V101" s="0" t="n">
        <v>-752272.5</v>
      </c>
      <c r="W101" s="0" t="n">
        <v>-752272.5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7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第3次滾算摘要</t>
        </is>
      </c>
    </row>
    <row r="6" ht="16.5" customHeight="1" s="58" thickBot="1">
      <c r="M6" s="0" t="inlineStr">
        <is>
          <t>價金: 24000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6.59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20.81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第3次滾算，減少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24000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-31399.2</v>
      </c>
      <c r="E49" s="0" t="n">
        <v>-31399.2</v>
      </c>
      <c r="F49" s="0" t="n">
        <v>-31399.2</v>
      </c>
      <c r="G49" s="0" t="n">
        <v>-31399.2</v>
      </c>
      <c r="H49" s="0" t="n">
        <v>-31399.2</v>
      </c>
      <c r="I49" s="0" t="n">
        <v>-31399.2</v>
      </c>
      <c r="J49" s="0" t="n">
        <v>-31399.2</v>
      </c>
      <c r="K49" s="0" t="n">
        <v>-31399.2</v>
      </c>
      <c r="L49" s="0" t="n">
        <v>-31399.2</v>
      </c>
      <c r="M49" s="0" t="n">
        <v>-31399.2</v>
      </c>
      <c r="N49" s="0" t="n">
        <v>-31399.2</v>
      </c>
      <c r="O49" s="0" t="n">
        <v>-31399.2</v>
      </c>
      <c r="P49" s="0" t="n">
        <v>-31399.2</v>
      </c>
      <c r="Q49" s="0" t="n">
        <v>-31399.2</v>
      </c>
      <c r="R49" s="0" t="n">
        <v>-31399.2</v>
      </c>
      <c r="S49" s="0" t="n">
        <v>-31399.2</v>
      </c>
      <c r="T49" s="0" t="n">
        <v>-31399.2</v>
      </c>
      <c r="U49" s="0" t="n">
        <v>-31399.2</v>
      </c>
      <c r="V49" s="0" t="n">
        <v>-31399.2</v>
      </c>
      <c r="W49" s="0" t="n">
        <v>-31399.2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-285746.6752</v>
      </c>
      <c r="E75" s="0" t="n">
        <v>-266696.8968533333</v>
      </c>
      <c r="F75" s="0" t="n">
        <v>-247647.1185066667</v>
      </c>
      <c r="G75" s="0" t="n">
        <v>-228597.34016</v>
      </c>
      <c r="H75" s="0" t="n">
        <v>-209547.5618133333</v>
      </c>
      <c r="I75" s="0" t="n">
        <v>-190497.7834666667</v>
      </c>
      <c r="J75" s="0" t="n">
        <v>-171448.00512</v>
      </c>
      <c r="K75" s="0" t="n">
        <v>-152398.2267733333</v>
      </c>
      <c r="L75" s="0" t="n">
        <v>-133348.4484266667</v>
      </c>
      <c r="M75" s="0" t="n">
        <v>-114298.67008</v>
      </c>
      <c r="N75" s="0" t="n">
        <v>-95248.89173333334</v>
      </c>
      <c r="O75" s="0" t="n">
        <v>-76199.11338666666</v>
      </c>
      <c r="P75" s="0" t="n">
        <v>-57149.33504</v>
      </c>
      <c r="Q75" s="0" t="n">
        <v>-38099.55669333333</v>
      </c>
      <c r="R75" s="0" t="n">
        <v>-19049.77834666667</v>
      </c>
      <c r="S75" s="0" t="n">
        <v>-1.89403e-22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-744277.3333333334</v>
      </c>
      <c r="F98" s="0" t="n">
        <v>-744277.3333333334</v>
      </c>
      <c r="G98" s="0" t="n">
        <v>-744277.3333333334</v>
      </c>
      <c r="H98" s="0" t="n">
        <v>-744277.3333333334</v>
      </c>
      <c r="I98" s="0" t="n">
        <v>-744277.3333333334</v>
      </c>
      <c r="J98" s="0" t="n">
        <v>-744277.3333333334</v>
      </c>
      <c r="K98" s="0" t="n">
        <v>-744277.3333333334</v>
      </c>
      <c r="L98" s="0" t="n">
        <v>-744277.3333333334</v>
      </c>
      <c r="M98" s="0" t="n">
        <v>-744277.3333333334</v>
      </c>
      <c r="N98" s="0" t="n">
        <v>-744277.3333333334</v>
      </c>
      <c r="O98" s="0" t="n">
        <v>-744277.3333333334</v>
      </c>
      <c r="P98" s="0" t="n">
        <v>-744277.3333333334</v>
      </c>
      <c r="Q98" s="0" t="n">
        <v>-744277.3333333334</v>
      </c>
      <c r="R98" s="0" t="n">
        <v>-744277.3333333334</v>
      </c>
      <c r="S98" s="0" t="n">
        <v>-744277.3333333334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-697760</v>
      </c>
      <c r="U101" s="0" t="n">
        <v>-697760</v>
      </c>
      <c r="V101" s="0" t="n">
        <v>-697760</v>
      </c>
      <c r="W101" s="0" t="n">
        <v>-697760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8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第4次滾算摘要</t>
        </is>
      </c>
    </row>
    <row r="6" ht="16.5" customHeight="1" s="58" thickBot="1">
      <c r="M6" s="0" t="inlineStr">
        <is>
          <t>價金: 22000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7.56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26.41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第4次滾算，減少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22000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-28782.6</v>
      </c>
      <c r="E49" s="0" t="n">
        <v>-28782.6</v>
      </c>
      <c r="F49" s="0" t="n">
        <v>-28782.6</v>
      </c>
      <c r="G49" s="0" t="n">
        <v>-28782.6</v>
      </c>
      <c r="H49" s="0" t="n">
        <v>-28782.6</v>
      </c>
      <c r="I49" s="0" t="n">
        <v>-28782.6</v>
      </c>
      <c r="J49" s="0" t="n">
        <v>-28782.6</v>
      </c>
      <c r="K49" s="0" t="n">
        <v>-28782.6</v>
      </c>
      <c r="L49" s="0" t="n">
        <v>-28782.6</v>
      </c>
      <c r="M49" s="0" t="n">
        <v>-28782.6</v>
      </c>
      <c r="N49" s="0" t="n">
        <v>-28782.6</v>
      </c>
      <c r="O49" s="0" t="n">
        <v>-28782.6</v>
      </c>
      <c r="P49" s="0" t="n">
        <v>-28782.6</v>
      </c>
      <c r="Q49" s="0" t="n">
        <v>-28782.6</v>
      </c>
      <c r="R49" s="0" t="n">
        <v>-28782.6</v>
      </c>
      <c r="S49" s="0" t="n">
        <v>-28782.6</v>
      </c>
      <c r="T49" s="0" t="n">
        <v>-28782.6</v>
      </c>
      <c r="U49" s="0" t="n">
        <v>-28782.6</v>
      </c>
      <c r="V49" s="0" t="n">
        <v>-28782.6</v>
      </c>
      <c r="W49" s="0" t="n">
        <v>-28782.6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-263422.7162</v>
      </c>
      <c r="E75" s="0" t="n">
        <v>-245861.2017866667</v>
      </c>
      <c r="F75" s="0" t="n">
        <v>-228299.6873733333</v>
      </c>
      <c r="G75" s="0" t="n">
        <v>-210738.17296</v>
      </c>
      <c r="H75" s="0" t="n">
        <v>-193176.6585466667</v>
      </c>
      <c r="I75" s="0" t="n">
        <v>-175615.1441333333</v>
      </c>
      <c r="J75" s="0" t="n">
        <v>-158053.62972</v>
      </c>
      <c r="K75" s="0" t="n">
        <v>-140492.1153066667</v>
      </c>
      <c r="L75" s="0" t="n">
        <v>-122930.6008933333</v>
      </c>
      <c r="M75" s="0" t="n">
        <v>-105369.08648</v>
      </c>
      <c r="N75" s="0" t="n">
        <v>-87807.57206666666</v>
      </c>
      <c r="O75" s="0" t="n">
        <v>-70246.05765333334</v>
      </c>
      <c r="P75" s="0" t="n">
        <v>-52684.54324</v>
      </c>
      <c r="Q75" s="0" t="n">
        <v>-35123.02882666667</v>
      </c>
      <c r="R75" s="0" t="n">
        <v>-17561.51441333333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-686130.6666666666</v>
      </c>
      <c r="F98" s="0" t="n">
        <v>-686130.6666666666</v>
      </c>
      <c r="G98" s="0" t="n">
        <v>-686130.6666666666</v>
      </c>
      <c r="H98" s="0" t="n">
        <v>-686130.6666666666</v>
      </c>
      <c r="I98" s="0" t="n">
        <v>-686130.6666666666</v>
      </c>
      <c r="J98" s="0" t="n">
        <v>-686130.6666666666</v>
      </c>
      <c r="K98" s="0" t="n">
        <v>-686130.6666666666</v>
      </c>
      <c r="L98" s="0" t="n">
        <v>-686130.6666666666</v>
      </c>
      <c r="M98" s="0" t="n">
        <v>-686130.6666666666</v>
      </c>
      <c r="N98" s="0" t="n">
        <v>-686130.6666666666</v>
      </c>
      <c r="O98" s="0" t="n">
        <v>-686130.6666666666</v>
      </c>
      <c r="P98" s="0" t="n">
        <v>-686130.6666666666</v>
      </c>
      <c r="Q98" s="0" t="n">
        <v>-686130.6666666666</v>
      </c>
      <c r="R98" s="0" t="n">
        <v>-686130.6666666666</v>
      </c>
      <c r="S98" s="0" t="n">
        <v>-686130.6666666666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-643247.5</v>
      </c>
      <c r="U101" s="0" t="n">
        <v>-643247.5</v>
      </c>
      <c r="V101" s="0" t="n">
        <v>-643247.5</v>
      </c>
      <c r="W101" s="0" t="n">
        <v>-643247.5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9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第5次滾算摘要</t>
        </is>
      </c>
    </row>
    <row r="6" ht="16.5" customHeight="1" s="58" thickBot="1">
      <c r="M6" s="0" t="inlineStr">
        <is>
          <t>價金: 20000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8.67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34.13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第5次滾算，減少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-26166</v>
      </c>
      <c r="E49" s="0" t="n">
        <v>-26166</v>
      </c>
      <c r="F49" s="0" t="n">
        <v>-26166</v>
      </c>
      <c r="G49" s="0" t="n">
        <v>-26166</v>
      </c>
      <c r="H49" s="0" t="n">
        <v>-26166</v>
      </c>
      <c r="I49" s="0" t="n">
        <v>-26166</v>
      </c>
      <c r="J49" s="0" t="n">
        <v>-26166</v>
      </c>
      <c r="K49" s="0" t="n">
        <v>-26166</v>
      </c>
      <c r="L49" s="0" t="n">
        <v>-26166</v>
      </c>
      <c r="M49" s="0" t="n">
        <v>-26166</v>
      </c>
      <c r="N49" s="0" t="n">
        <v>-26166</v>
      </c>
      <c r="O49" s="0" t="n">
        <v>-26166</v>
      </c>
      <c r="P49" s="0" t="n">
        <v>-26166</v>
      </c>
      <c r="Q49" s="0" t="n">
        <v>-26166</v>
      </c>
      <c r="R49" s="0" t="n">
        <v>-26166</v>
      </c>
      <c r="S49" s="0" t="n">
        <v>-26166</v>
      </c>
      <c r="T49" s="0" t="n">
        <v>-26166</v>
      </c>
      <c r="U49" s="0" t="n">
        <v>-26166</v>
      </c>
      <c r="V49" s="0" t="n">
        <v>-26166</v>
      </c>
      <c r="W49" s="0" t="n">
        <v>-26166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-241098.7572</v>
      </c>
      <c r="E75" s="0" t="n">
        <v>-225025.50672</v>
      </c>
      <c r="F75" s="0" t="n">
        <v>-208952.25624</v>
      </c>
      <c r="G75" s="0" t="n">
        <v>-192879.00576</v>
      </c>
      <c r="H75" s="0" t="n">
        <v>-176805.75528</v>
      </c>
      <c r="I75" s="0" t="n">
        <v>-160732.5048</v>
      </c>
      <c r="J75" s="0" t="n">
        <v>-144659.25432</v>
      </c>
      <c r="K75" s="0" t="n">
        <v>-128586.00384</v>
      </c>
      <c r="L75" s="0" t="n">
        <v>-112512.75336</v>
      </c>
      <c r="M75" s="0" t="n">
        <v>-96439.50288</v>
      </c>
      <c r="N75" s="0" t="n">
        <v>-80366.2524</v>
      </c>
      <c r="O75" s="0" t="n">
        <v>-64293.00192</v>
      </c>
      <c r="P75" s="0" t="n">
        <v>-48219.75144</v>
      </c>
      <c r="Q75" s="0" t="n">
        <v>-32146.50096</v>
      </c>
      <c r="R75" s="0" t="n">
        <v>-16073.25048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-627984</v>
      </c>
      <c r="F98" s="0" t="n">
        <v>-627984</v>
      </c>
      <c r="G98" s="0" t="n">
        <v>-627984</v>
      </c>
      <c r="H98" s="0" t="n">
        <v>-627984</v>
      </c>
      <c r="I98" s="0" t="n">
        <v>-627984</v>
      </c>
      <c r="J98" s="0" t="n">
        <v>-627984</v>
      </c>
      <c r="K98" s="0" t="n">
        <v>-627984</v>
      </c>
      <c r="L98" s="0" t="n">
        <v>-627984</v>
      </c>
      <c r="M98" s="0" t="n">
        <v>-627984</v>
      </c>
      <c r="N98" s="0" t="n">
        <v>-627984</v>
      </c>
      <c r="O98" s="0" t="n">
        <v>-627984</v>
      </c>
      <c r="P98" s="0" t="n">
        <v>-627984</v>
      </c>
      <c r="Q98" s="0" t="n">
        <v>-627984</v>
      </c>
      <c r="R98" s="0" t="n">
        <v>-627984</v>
      </c>
      <c r="S98" s="0" t="n">
        <v>-627984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-588735</v>
      </c>
      <c r="U101" s="0" t="n">
        <v>-588735</v>
      </c>
      <c r="V101" s="0" t="n">
        <v>-588735</v>
      </c>
      <c r="W101" s="0" t="n">
        <v>-588735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10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初始價金摘要</t>
        </is>
      </c>
    </row>
    <row r="6" ht="16.5" customHeight="1" s="58" thickBot="1">
      <c r="M6" s="0" t="inlineStr">
        <is>
          <t>價金: 30000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4.29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10.43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初始價金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30000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-39249</v>
      </c>
      <c r="E49" s="0" t="n">
        <v>-39249</v>
      </c>
      <c r="F49" s="0" t="n">
        <v>-39249</v>
      </c>
      <c r="G49" s="0" t="n">
        <v>-39249</v>
      </c>
      <c r="H49" s="0" t="n">
        <v>-39249</v>
      </c>
      <c r="I49" s="0" t="n">
        <v>-39249</v>
      </c>
      <c r="J49" s="0" t="n">
        <v>-39249</v>
      </c>
      <c r="K49" s="0" t="n">
        <v>-39249</v>
      </c>
      <c r="L49" s="0" t="n">
        <v>-39249</v>
      </c>
      <c r="M49" s="0" t="n">
        <v>-39249</v>
      </c>
      <c r="N49" s="0" t="n">
        <v>-39249</v>
      </c>
      <c r="O49" s="0" t="n">
        <v>-39249</v>
      </c>
      <c r="P49" s="0" t="n">
        <v>-39249</v>
      </c>
      <c r="Q49" s="0" t="n">
        <v>-39249</v>
      </c>
      <c r="R49" s="0" t="n">
        <v>-39249</v>
      </c>
      <c r="S49" s="0" t="n">
        <v>-39249</v>
      </c>
      <c r="T49" s="0" t="n">
        <v>-39249</v>
      </c>
      <c r="U49" s="0" t="n">
        <v>-39249</v>
      </c>
      <c r="V49" s="0" t="n">
        <v>-39249</v>
      </c>
      <c r="W49" s="0" t="n">
        <v>-39249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-352718.5522</v>
      </c>
      <c r="E75" s="0" t="n">
        <v>-329203.9820533333</v>
      </c>
      <c r="F75" s="0" t="n">
        <v>-305689.4119066666</v>
      </c>
      <c r="G75" s="0" t="n">
        <v>-282174.84176</v>
      </c>
      <c r="H75" s="0" t="n">
        <v>-258660.2716133333</v>
      </c>
      <c r="I75" s="0" t="n">
        <v>-235145.7014666667</v>
      </c>
      <c r="J75" s="0" t="n">
        <v>-211631.13132</v>
      </c>
      <c r="K75" s="0" t="n">
        <v>-188116.5611733333</v>
      </c>
      <c r="L75" s="0" t="n">
        <v>-164601.9910266667</v>
      </c>
      <c r="M75" s="0" t="n">
        <v>-141087.42088</v>
      </c>
      <c r="N75" s="0" t="n">
        <v>-117572.8507333333</v>
      </c>
      <c r="O75" s="0" t="n">
        <v>-94058.28058666666</v>
      </c>
      <c r="P75" s="0" t="n">
        <v>-70543.71044</v>
      </c>
      <c r="Q75" s="0" t="n">
        <v>-47029.14029333333</v>
      </c>
      <c r="R75" s="0" t="n">
        <v>-23514.57014666667</v>
      </c>
      <c r="S75" s="0" t="n">
        <v>-4.19758e-22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-918717.3333333334</v>
      </c>
      <c r="F98" s="0" t="n">
        <v>-918717.3333333334</v>
      </c>
      <c r="G98" s="0" t="n">
        <v>-918717.3333333334</v>
      </c>
      <c r="H98" s="0" t="n">
        <v>-918717.3333333334</v>
      </c>
      <c r="I98" s="0" t="n">
        <v>-918717.3333333334</v>
      </c>
      <c r="J98" s="0" t="n">
        <v>-918717.3333333334</v>
      </c>
      <c r="K98" s="0" t="n">
        <v>-918717.3333333334</v>
      </c>
      <c r="L98" s="0" t="n">
        <v>-918717.3333333334</v>
      </c>
      <c r="M98" s="0" t="n">
        <v>-918717.3333333334</v>
      </c>
      <c r="N98" s="0" t="n">
        <v>-918717.3333333334</v>
      </c>
      <c r="O98" s="0" t="n">
        <v>-918717.3333333334</v>
      </c>
      <c r="P98" s="0" t="n">
        <v>-918717.3333333334</v>
      </c>
      <c r="Q98" s="0" t="n">
        <v>-918717.3333333334</v>
      </c>
      <c r="R98" s="0" t="n">
        <v>-918717.3333333334</v>
      </c>
      <c r="S98" s="0" t="n">
        <v>-918717.3333333334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-861297.5</v>
      </c>
      <c r="U101" s="0" t="n">
        <v>-861297.5</v>
      </c>
      <c r="V101" s="0" t="n">
        <v>-861297.5</v>
      </c>
      <c r="W101" s="0" t="n">
        <v>-861297.5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11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第1次滾算摘要</t>
        </is>
      </c>
    </row>
    <row r="6" ht="16.5" customHeight="1" s="58" thickBot="1">
      <c r="M6" s="0" t="inlineStr">
        <is>
          <t>價金: 28500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4.8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12.44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第1次滾算，減少 1500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28500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-37286.55</v>
      </c>
      <c r="E49" s="0" t="n">
        <v>-37286.55</v>
      </c>
      <c r="F49" s="0" t="n">
        <v>-37286.55</v>
      </c>
      <c r="G49" s="0" t="n">
        <v>-37286.55</v>
      </c>
      <c r="H49" s="0" t="n">
        <v>-37286.55</v>
      </c>
      <c r="I49" s="0" t="n">
        <v>-37286.55</v>
      </c>
      <c r="J49" s="0" t="n">
        <v>-37286.55</v>
      </c>
      <c r="K49" s="0" t="n">
        <v>-37286.55</v>
      </c>
      <c r="L49" s="0" t="n">
        <v>-37286.55</v>
      </c>
      <c r="M49" s="0" t="n">
        <v>-37286.55</v>
      </c>
      <c r="N49" s="0" t="n">
        <v>-37286.55</v>
      </c>
      <c r="O49" s="0" t="n">
        <v>-37286.55</v>
      </c>
      <c r="P49" s="0" t="n">
        <v>-37286.55</v>
      </c>
      <c r="Q49" s="0" t="n">
        <v>-37286.55</v>
      </c>
      <c r="R49" s="0" t="n">
        <v>-37286.55</v>
      </c>
      <c r="S49" s="0" t="n">
        <v>-37286.55</v>
      </c>
      <c r="T49" s="0" t="n">
        <v>-37286.55</v>
      </c>
      <c r="U49" s="0" t="n">
        <v>-37286.55</v>
      </c>
      <c r="V49" s="0" t="n">
        <v>-37286.55</v>
      </c>
      <c r="W49" s="0" t="n">
        <v>-37286.55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-335975.58295</v>
      </c>
      <c r="E75" s="0" t="n">
        <v>-313577.2107533333</v>
      </c>
      <c r="F75" s="0" t="n">
        <v>-291178.8385566667</v>
      </c>
      <c r="G75" s="0" t="n">
        <v>-268780.46636</v>
      </c>
      <c r="H75" s="0" t="n">
        <v>-246382.0941633333</v>
      </c>
      <c r="I75" s="0" t="n">
        <v>-223983.7219666667</v>
      </c>
      <c r="J75" s="0" t="n">
        <v>-201585.34977</v>
      </c>
      <c r="K75" s="0" t="n">
        <v>-179186.9775733333</v>
      </c>
      <c r="L75" s="0" t="n">
        <v>-156788.6053766667</v>
      </c>
      <c r="M75" s="0" t="n">
        <v>-134390.23318</v>
      </c>
      <c r="N75" s="0" t="n">
        <v>-111991.8609833333</v>
      </c>
      <c r="O75" s="0" t="n">
        <v>-89593.48878666667</v>
      </c>
      <c r="P75" s="0" t="n">
        <v>-67195.11659000001</v>
      </c>
      <c r="Q75" s="0" t="n">
        <v>-44796.74439333333</v>
      </c>
      <c r="R75" s="0" t="n">
        <v>-22398.37219666667</v>
      </c>
      <c r="S75" s="0" t="n">
        <v>-3.42973e-22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-875107.3333333334</v>
      </c>
      <c r="F98" s="0" t="n">
        <v>-875107.3333333334</v>
      </c>
      <c r="G98" s="0" t="n">
        <v>-875107.3333333334</v>
      </c>
      <c r="H98" s="0" t="n">
        <v>-875107.3333333334</v>
      </c>
      <c r="I98" s="0" t="n">
        <v>-875107.3333333334</v>
      </c>
      <c r="J98" s="0" t="n">
        <v>-875107.3333333334</v>
      </c>
      <c r="K98" s="0" t="n">
        <v>-875107.3333333334</v>
      </c>
      <c r="L98" s="0" t="n">
        <v>-875107.3333333334</v>
      </c>
      <c r="M98" s="0" t="n">
        <v>-875107.3333333334</v>
      </c>
      <c r="N98" s="0" t="n">
        <v>-875107.3333333334</v>
      </c>
      <c r="O98" s="0" t="n">
        <v>-875107.3333333334</v>
      </c>
      <c r="P98" s="0" t="n">
        <v>-875107.3333333334</v>
      </c>
      <c r="Q98" s="0" t="n">
        <v>-875107.3333333334</v>
      </c>
      <c r="R98" s="0" t="n">
        <v>-875107.3333333334</v>
      </c>
      <c r="S98" s="0" t="n">
        <v>-875107.3333333334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-820413.125</v>
      </c>
      <c r="U101" s="0" t="n">
        <v>-820413.125</v>
      </c>
      <c r="V101" s="0" t="n">
        <v>-820413.125</v>
      </c>
      <c r="W101" s="0" t="n">
        <v>-820413.125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12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第2次滾算摘要</t>
        </is>
      </c>
    </row>
    <row r="6" ht="16.5" customHeight="1" s="58" thickBot="1">
      <c r="M6" s="0" t="inlineStr">
        <is>
          <t>價金: 27075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5.32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14.64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第2次滾算，減少 1425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27075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-35422.2225</v>
      </c>
      <c r="E49" s="0" t="n">
        <v>-35422.2225</v>
      </c>
      <c r="F49" s="0" t="n">
        <v>-35422.2225</v>
      </c>
      <c r="G49" s="0" t="n">
        <v>-35422.2225</v>
      </c>
      <c r="H49" s="0" t="n">
        <v>-35422.2225</v>
      </c>
      <c r="I49" s="0" t="n">
        <v>-35422.2225</v>
      </c>
      <c r="J49" s="0" t="n">
        <v>-35422.2225</v>
      </c>
      <c r="K49" s="0" t="n">
        <v>-35422.2225</v>
      </c>
      <c r="L49" s="0" t="n">
        <v>-35422.2225</v>
      </c>
      <c r="M49" s="0" t="n">
        <v>-35422.2225</v>
      </c>
      <c r="N49" s="0" t="n">
        <v>-35422.2225</v>
      </c>
      <c r="O49" s="0" t="n">
        <v>-35422.2225</v>
      </c>
      <c r="P49" s="0" t="n">
        <v>-35422.2225</v>
      </c>
      <c r="Q49" s="0" t="n">
        <v>-35422.2225</v>
      </c>
      <c r="R49" s="0" t="n">
        <v>-35422.2225</v>
      </c>
      <c r="S49" s="0" t="n">
        <v>-35422.2225</v>
      </c>
      <c r="T49" s="0" t="n">
        <v>-35422.2225</v>
      </c>
      <c r="U49" s="0" t="n">
        <v>-35422.2225</v>
      </c>
      <c r="V49" s="0" t="n">
        <v>-35422.2225</v>
      </c>
      <c r="W49" s="0" t="n">
        <v>-35422.2225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-320069.7621625</v>
      </c>
      <c r="E75" s="0" t="n">
        <v>-298731.7780183333</v>
      </c>
      <c r="F75" s="0" t="n">
        <v>-277393.7938741667</v>
      </c>
      <c r="G75" s="0" t="n">
        <v>-256055.80973</v>
      </c>
      <c r="H75" s="0" t="n">
        <v>-234717.8255858333</v>
      </c>
      <c r="I75" s="0" t="n">
        <v>-213379.8414416667</v>
      </c>
      <c r="J75" s="0" t="n">
        <v>-192041.8572975</v>
      </c>
      <c r="K75" s="0" t="n">
        <v>-170703.8731533333</v>
      </c>
      <c r="L75" s="0" t="n">
        <v>-149365.8890091667</v>
      </c>
      <c r="M75" s="0" t="n">
        <v>-128027.904865</v>
      </c>
      <c r="N75" s="0" t="n">
        <v>-106689.9207208333</v>
      </c>
      <c r="O75" s="0" t="n">
        <v>-85351.93657666666</v>
      </c>
      <c r="P75" s="0" t="n">
        <v>-64013.9524325</v>
      </c>
      <c r="Q75" s="0" t="n">
        <v>-42675.96828833333</v>
      </c>
      <c r="R75" s="0" t="n">
        <v>-21337.98414416666</v>
      </c>
      <c r="S75" s="0" t="n">
        <v>-3.42973e-22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-833677.8333333334</v>
      </c>
      <c r="F98" s="0" t="n">
        <v>-833677.8333333334</v>
      </c>
      <c r="G98" s="0" t="n">
        <v>-833677.8333333334</v>
      </c>
      <c r="H98" s="0" t="n">
        <v>-833677.8333333334</v>
      </c>
      <c r="I98" s="0" t="n">
        <v>-833677.8333333334</v>
      </c>
      <c r="J98" s="0" t="n">
        <v>-833677.8333333334</v>
      </c>
      <c r="K98" s="0" t="n">
        <v>-833677.8333333334</v>
      </c>
      <c r="L98" s="0" t="n">
        <v>-833677.8333333334</v>
      </c>
      <c r="M98" s="0" t="n">
        <v>-833677.8333333334</v>
      </c>
      <c r="N98" s="0" t="n">
        <v>-833677.8333333334</v>
      </c>
      <c r="O98" s="0" t="n">
        <v>-833677.8333333334</v>
      </c>
      <c r="P98" s="0" t="n">
        <v>-833677.8333333334</v>
      </c>
      <c r="Q98" s="0" t="n">
        <v>-833677.8333333334</v>
      </c>
      <c r="R98" s="0" t="n">
        <v>-833677.8333333334</v>
      </c>
      <c r="S98" s="0" t="n">
        <v>-833677.8333333334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-781572.96875</v>
      </c>
      <c r="U101" s="0" t="n">
        <v>-781572.96875</v>
      </c>
      <c r="V101" s="0" t="n">
        <v>-781572.96875</v>
      </c>
      <c r="W101" s="0" t="n">
        <v>-781572.96875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13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第3次滾算摘要</t>
        </is>
      </c>
    </row>
    <row r="6" ht="16.5" customHeight="1" s="58" thickBot="1">
      <c r="M6" s="0" t="inlineStr">
        <is>
          <t>價金: 25721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5.85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17.08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第3次滾算，減少 1354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25721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-33650.7843</v>
      </c>
      <c r="E49" s="0" t="n">
        <v>-33650.7843</v>
      </c>
      <c r="F49" s="0" t="n">
        <v>-33650.7843</v>
      </c>
      <c r="G49" s="0" t="n">
        <v>-33650.7843</v>
      </c>
      <c r="H49" s="0" t="n">
        <v>-33650.7843</v>
      </c>
      <c r="I49" s="0" t="n">
        <v>-33650.7843</v>
      </c>
      <c r="J49" s="0" t="n">
        <v>-33650.7843</v>
      </c>
      <c r="K49" s="0" t="n">
        <v>-33650.7843</v>
      </c>
      <c r="L49" s="0" t="n">
        <v>-33650.7843</v>
      </c>
      <c r="M49" s="0" t="n">
        <v>-33650.7843</v>
      </c>
      <c r="N49" s="0" t="n">
        <v>-33650.7843</v>
      </c>
      <c r="O49" s="0" t="n">
        <v>-33650.7843</v>
      </c>
      <c r="P49" s="0" t="n">
        <v>-33650.7843</v>
      </c>
      <c r="Q49" s="0" t="n">
        <v>-33650.7843</v>
      </c>
      <c r="R49" s="0" t="n">
        <v>-33650.7843</v>
      </c>
      <c r="S49" s="0" t="n">
        <v>-33650.7843</v>
      </c>
      <c r="T49" s="0" t="n">
        <v>-33650.7843</v>
      </c>
      <c r="U49" s="0" t="n">
        <v>-33650.7843</v>
      </c>
      <c r="V49" s="0" t="n">
        <v>-33650.7843</v>
      </c>
      <c r="W49" s="0" t="n">
        <v>-33650.7843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-304956.4419195</v>
      </c>
      <c r="E75" s="0" t="n">
        <v>-284626.0124582</v>
      </c>
      <c r="F75" s="0" t="n">
        <v>-264295.5829969</v>
      </c>
      <c r="G75" s="0" t="n">
        <v>-243965.1535356</v>
      </c>
      <c r="H75" s="0" t="n">
        <v>-223634.7240743</v>
      </c>
      <c r="I75" s="0" t="n">
        <v>-203304.294613</v>
      </c>
      <c r="J75" s="0" t="n">
        <v>-182973.8651517</v>
      </c>
      <c r="K75" s="0" t="n">
        <v>-162643.4356904</v>
      </c>
      <c r="L75" s="0" t="n">
        <v>-142313.0062291</v>
      </c>
      <c r="M75" s="0" t="n">
        <v>-121982.5767678</v>
      </c>
      <c r="N75" s="0" t="n">
        <v>-101652.1473065</v>
      </c>
      <c r="O75" s="0" t="n">
        <v>-81321.71784519999</v>
      </c>
      <c r="P75" s="0" t="n">
        <v>-60991.2883839</v>
      </c>
      <c r="Q75" s="0" t="n">
        <v>-40660.8589226</v>
      </c>
      <c r="R75" s="0" t="n">
        <v>-20330.4294613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-794312.54</v>
      </c>
      <c r="F98" s="0" t="n">
        <v>-794312.54</v>
      </c>
      <c r="G98" s="0" t="n">
        <v>-794312.54</v>
      </c>
      <c r="H98" s="0" t="n">
        <v>-794312.54</v>
      </c>
      <c r="I98" s="0" t="n">
        <v>-794312.54</v>
      </c>
      <c r="J98" s="0" t="n">
        <v>-794312.54</v>
      </c>
      <c r="K98" s="0" t="n">
        <v>-794312.54</v>
      </c>
      <c r="L98" s="0" t="n">
        <v>-794312.54</v>
      </c>
      <c r="M98" s="0" t="n">
        <v>-794312.54</v>
      </c>
      <c r="N98" s="0" t="n">
        <v>-794312.54</v>
      </c>
      <c r="O98" s="0" t="n">
        <v>-794312.54</v>
      </c>
      <c r="P98" s="0" t="n">
        <v>-794312.54</v>
      </c>
      <c r="Q98" s="0" t="n">
        <v>-794312.54</v>
      </c>
      <c r="R98" s="0" t="n">
        <v>-794312.54</v>
      </c>
      <c r="S98" s="0" t="n">
        <v>-794312.54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-744668.00625</v>
      </c>
      <c r="U101" s="0" t="n">
        <v>-744668.00625</v>
      </c>
      <c r="V101" s="0" t="n">
        <v>-744668.00625</v>
      </c>
      <c r="W101" s="0" t="n">
        <v>-744668.00625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14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第4次滾算摘要</t>
        </is>
      </c>
    </row>
    <row r="6" ht="16.5" customHeight="1" s="58" thickBot="1">
      <c r="M6" s="0" t="inlineStr">
        <is>
          <t>價金: 24435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19.78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第4次滾算，減少 1286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24435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-31968.3105</v>
      </c>
      <c r="E49" s="0" t="n">
        <v>-31968.3105</v>
      </c>
      <c r="F49" s="0" t="n">
        <v>-31968.3105</v>
      </c>
      <c r="G49" s="0" t="n">
        <v>-31968.3105</v>
      </c>
      <c r="H49" s="0" t="n">
        <v>-31968.3105</v>
      </c>
      <c r="I49" s="0" t="n">
        <v>-31968.3105</v>
      </c>
      <c r="J49" s="0" t="n">
        <v>-31968.3105</v>
      </c>
      <c r="K49" s="0" t="n">
        <v>-31968.3105</v>
      </c>
      <c r="L49" s="0" t="n">
        <v>-31968.3105</v>
      </c>
      <c r="M49" s="0" t="n">
        <v>-31968.3105</v>
      </c>
      <c r="N49" s="0" t="n">
        <v>-31968.3105</v>
      </c>
      <c r="O49" s="0" t="n">
        <v>-31968.3105</v>
      </c>
      <c r="P49" s="0" t="n">
        <v>-31968.3105</v>
      </c>
      <c r="Q49" s="0" t="n">
        <v>-31968.3105</v>
      </c>
      <c r="R49" s="0" t="n">
        <v>-31968.3105</v>
      </c>
      <c r="S49" s="0" t="n">
        <v>-31968.3105</v>
      </c>
      <c r="T49" s="0" t="n">
        <v>-31968.3105</v>
      </c>
      <c r="U49" s="0" t="n">
        <v>-31968.3105</v>
      </c>
      <c r="V49" s="0" t="n">
        <v>-31968.3105</v>
      </c>
      <c r="W49" s="0" t="n">
        <v>-31968.3105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-290602.1362825</v>
      </c>
      <c r="E75" s="0" t="n">
        <v>-271228.6605303333</v>
      </c>
      <c r="F75" s="0" t="n">
        <v>-251855.1847781667</v>
      </c>
      <c r="G75" s="0" t="n">
        <v>-232481.709026</v>
      </c>
      <c r="H75" s="0" t="n">
        <v>-213108.2332738333</v>
      </c>
      <c r="I75" s="0" t="n">
        <v>-193734.7575216667</v>
      </c>
      <c r="J75" s="0" t="n">
        <v>-174361.2817695</v>
      </c>
      <c r="K75" s="0" t="n">
        <v>-154987.8060173333</v>
      </c>
      <c r="L75" s="0" t="n">
        <v>-135614.3302651667</v>
      </c>
      <c r="M75" s="0" t="n">
        <v>-116240.854513</v>
      </c>
      <c r="N75" s="0" t="n">
        <v>-96867.37876083334</v>
      </c>
      <c r="O75" s="0" t="n">
        <v>-77493.90300866666</v>
      </c>
      <c r="P75" s="0" t="n">
        <v>-58120.4272565</v>
      </c>
      <c r="Q75" s="0" t="n">
        <v>-38746.95150433333</v>
      </c>
      <c r="R75" s="0" t="n">
        <v>-19373.47575216667</v>
      </c>
      <c r="S75" s="0" t="n">
        <v>-1.89403e-22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-756924.2333333333</v>
      </c>
      <c r="F98" s="0" t="n">
        <v>-756924.2333333333</v>
      </c>
      <c r="G98" s="0" t="n">
        <v>-756924.2333333333</v>
      </c>
      <c r="H98" s="0" t="n">
        <v>-756924.2333333333</v>
      </c>
      <c r="I98" s="0" t="n">
        <v>-756924.2333333333</v>
      </c>
      <c r="J98" s="0" t="n">
        <v>-756924.2333333333</v>
      </c>
      <c r="K98" s="0" t="n">
        <v>-756924.2333333333</v>
      </c>
      <c r="L98" s="0" t="n">
        <v>-756924.2333333333</v>
      </c>
      <c r="M98" s="0" t="n">
        <v>-756924.2333333333</v>
      </c>
      <c r="N98" s="0" t="n">
        <v>-756924.2333333333</v>
      </c>
      <c r="O98" s="0" t="n">
        <v>-756924.2333333333</v>
      </c>
      <c r="P98" s="0" t="n">
        <v>-756924.2333333333</v>
      </c>
      <c r="Q98" s="0" t="n">
        <v>-756924.2333333333</v>
      </c>
      <c r="R98" s="0" t="n">
        <v>-756924.2333333333</v>
      </c>
      <c r="S98" s="0" t="n">
        <v>-756924.2333333333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-709616.46875</v>
      </c>
      <c r="U101" s="0" t="n">
        <v>-709616.46875</v>
      </c>
      <c r="V101" s="0" t="n">
        <v>-709616.46875</v>
      </c>
      <c r="W101" s="0" t="n">
        <v>-709616.46875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15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第5次滾算摘要</t>
        </is>
      </c>
    </row>
    <row r="6" ht="16.5" customHeight="1" s="58" thickBot="1">
      <c r="M6" s="0" t="inlineStr">
        <is>
          <t>價金: 23213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6.96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22.82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第5次滾算，減少 1222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23213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-30369.5679</v>
      </c>
      <c r="E49" s="0" t="n">
        <v>-30369.5679</v>
      </c>
      <c r="F49" s="0" t="n">
        <v>-30369.5679</v>
      </c>
      <c r="G49" s="0" t="n">
        <v>-30369.5679</v>
      </c>
      <c r="H49" s="0" t="n">
        <v>-30369.5679</v>
      </c>
      <c r="I49" s="0" t="n">
        <v>-30369.5679</v>
      </c>
      <c r="J49" s="0" t="n">
        <v>-30369.5679</v>
      </c>
      <c r="K49" s="0" t="n">
        <v>-30369.5679</v>
      </c>
      <c r="L49" s="0" t="n">
        <v>-30369.5679</v>
      </c>
      <c r="M49" s="0" t="n">
        <v>-30369.5679</v>
      </c>
      <c r="N49" s="0" t="n">
        <v>-30369.5679</v>
      </c>
      <c r="O49" s="0" t="n">
        <v>-30369.5679</v>
      </c>
      <c r="P49" s="0" t="n">
        <v>-30369.5679</v>
      </c>
      <c r="Q49" s="0" t="n">
        <v>-30369.5679</v>
      </c>
      <c r="R49" s="0" t="n">
        <v>-30369.5679</v>
      </c>
      <c r="S49" s="0" t="n">
        <v>-30369.5679</v>
      </c>
      <c r="T49" s="0" t="n">
        <v>-30369.5679</v>
      </c>
      <c r="U49" s="0" t="n">
        <v>-30369.5679</v>
      </c>
      <c r="V49" s="0" t="n">
        <v>-30369.5679</v>
      </c>
      <c r="W49" s="0" t="n">
        <v>-30369.5679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-276962.1973335</v>
      </c>
      <c r="E75" s="0" t="n">
        <v>-258498.0508446</v>
      </c>
      <c r="F75" s="0" t="n">
        <v>-240033.9043557</v>
      </c>
      <c r="G75" s="0" t="n">
        <v>-221569.7578668</v>
      </c>
      <c r="H75" s="0" t="n">
        <v>-203105.6113779</v>
      </c>
      <c r="I75" s="0" t="n">
        <v>-184641.464889</v>
      </c>
      <c r="J75" s="0" t="n">
        <v>-166177.3184001</v>
      </c>
      <c r="K75" s="0" t="n">
        <v>-147713.1719112</v>
      </c>
      <c r="L75" s="0" t="n">
        <v>-129249.0254223</v>
      </c>
      <c r="M75" s="0" t="n">
        <v>-110784.8789334</v>
      </c>
      <c r="N75" s="0" t="n">
        <v>-92320.7324445</v>
      </c>
      <c r="O75" s="0" t="n">
        <v>-73856.58595560001</v>
      </c>
      <c r="P75" s="0" t="n">
        <v>-55392.4394667</v>
      </c>
      <c r="Q75" s="0" t="n">
        <v>-36928.2929778</v>
      </c>
      <c r="R75" s="0" t="n">
        <v>-18464.1464889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-721396.62</v>
      </c>
      <c r="F98" s="0" t="n">
        <v>-721396.62</v>
      </c>
      <c r="G98" s="0" t="n">
        <v>-721396.62</v>
      </c>
      <c r="H98" s="0" t="n">
        <v>-721396.62</v>
      </c>
      <c r="I98" s="0" t="n">
        <v>-721396.62</v>
      </c>
      <c r="J98" s="0" t="n">
        <v>-721396.62</v>
      </c>
      <c r="K98" s="0" t="n">
        <v>-721396.62</v>
      </c>
      <c r="L98" s="0" t="n">
        <v>-721396.62</v>
      </c>
      <c r="M98" s="0" t="n">
        <v>-721396.62</v>
      </c>
      <c r="N98" s="0" t="n">
        <v>-721396.62</v>
      </c>
      <c r="O98" s="0" t="n">
        <v>-721396.62</v>
      </c>
      <c r="P98" s="0" t="n">
        <v>-721396.62</v>
      </c>
      <c r="Q98" s="0" t="n">
        <v>-721396.62</v>
      </c>
      <c r="R98" s="0" t="n">
        <v>-721396.62</v>
      </c>
      <c r="S98" s="0" t="n">
        <v>-721396.62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-676309.33125</v>
      </c>
      <c r="U101" s="0" t="n">
        <v>-676309.33125</v>
      </c>
      <c r="V101" s="0" t="n">
        <v>-676309.33125</v>
      </c>
      <c r="W101" s="0" t="n">
        <v>-676309.33125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16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第6次滾算摘要</t>
        </is>
      </c>
    </row>
    <row r="6" ht="16.5" customHeight="1" s="58" thickBot="1">
      <c r="M6" s="0" t="inlineStr">
        <is>
          <t>價金: 22053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7.54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26.24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第6次滾算，減少 1160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22053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-28851.9399</v>
      </c>
      <c r="E49" s="0" t="n">
        <v>-28851.9399</v>
      </c>
      <c r="F49" s="0" t="n">
        <v>-28851.9399</v>
      </c>
      <c r="G49" s="0" t="n">
        <v>-28851.9399</v>
      </c>
      <c r="H49" s="0" t="n">
        <v>-28851.9399</v>
      </c>
      <c r="I49" s="0" t="n">
        <v>-28851.9399</v>
      </c>
      <c r="J49" s="0" t="n">
        <v>-28851.9399</v>
      </c>
      <c r="K49" s="0" t="n">
        <v>-28851.9399</v>
      </c>
      <c r="L49" s="0" t="n">
        <v>-28851.9399</v>
      </c>
      <c r="M49" s="0" t="n">
        <v>-28851.9399</v>
      </c>
      <c r="N49" s="0" t="n">
        <v>-28851.9399</v>
      </c>
      <c r="O49" s="0" t="n">
        <v>-28851.9399</v>
      </c>
      <c r="P49" s="0" t="n">
        <v>-28851.9399</v>
      </c>
      <c r="Q49" s="0" t="n">
        <v>-28851.9399</v>
      </c>
      <c r="R49" s="0" t="n">
        <v>-28851.9399</v>
      </c>
      <c r="S49" s="0" t="n">
        <v>-28851.9399</v>
      </c>
      <c r="T49" s="0" t="n">
        <v>-28851.9399</v>
      </c>
      <c r="U49" s="0" t="n">
        <v>-28851.9399</v>
      </c>
      <c r="V49" s="0" t="n">
        <v>-28851.9399</v>
      </c>
      <c r="W49" s="0" t="n">
        <v>-28851.9399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-264014.3011135</v>
      </c>
      <c r="E75" s="0" t="n">
        <v>-246413.3477059333</v>
      </c>
      <c r="F75" s="0" t="n">
        <v>-228812.3942983667</v>
      </c>
      <c r="G75" s="0" t="n">
        <v>-211211.4408908</v>
      </c>
      <c r="H75" s="0" t="n">
        <v>-193610.4874832333</v>
      </c>
      <c r="I75" s="0" t="n">
        <v>-176009.5340756667</v>
      </c>
      <c r="J75" s="0" t="n">
        <v>-158408.5806681</v>
      </c>
      <c r="K75" s="0" t="n">
        <v>-140807.6272605333</v>
      </c>
      <c r="L75" s="0" t="n">
        <v>-123206.6738529667</v>
      </c>
      <c r="M75" s="0" t="n">
        <v>-105605.7204454</v>
      </c>
      <c r="N75" s="0" t="n">
        <v>-88004.76703783333</v>
      </c>
      <c r="O75" s="0" t="n">
        <v>-70403.81363026667</v>
      </c>
      <c r="P75" s="0" t="n">
        <v>-52802.8602227</v>
      </c>
      <c r="Q75" s="0" t="n">
        <v>-35201.90681513333</v>
      </c>
      <c r="R75" s="0" t="n">
        <v>-17600.95340756667</v>
      </c>
      <c r="S75" s="0" t="n">
        <v>-1.12618e-22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-687671.5533333333</v>
      </c>
      <c r="F98" s="0" t="n">
        <v>-687671.5533333333</v>
      </c>
      <c r="G98" s="0" t="n">
        <v>-687671.5533333333</v>
      </c>
      <c r="H98" s="0" t="n">
        <v>-687671.5533333333</v>
      </c>
      <c r="I98" s="0" t="n">
        <v>-687671.5533333333</v>
      </c>
      <c r="J98" s="0" t="n">
        <v>-687671.5533333333</v>
      </c>
      <c r="K98" s="0" t="n">
        <v>-687671.5533333333</v>
      </c>
      <c r="L98" s="0" t="n">
        <v>-687671.5533333333</v>
      </c>
      <c r="M98" s="0" t="n">
        <v>-687671.5533333333</v>
      </c>
      <c r="N98" s="0" t="n">
        <v>-687671.5533333333</v>
      </c>
      <c r="O98" s="0" t="n">
        <v>-687671.5533333333</v>
      </c>
      <c r="P98" s="0" t="n">
        <v>-687671.5533333333</v>
      </c>
      <c r="Q98" s="0" t="n">
        <v>-687671.5533333333</v>
      </c>
      <c r="R98" s="0" t="n">
        <v>-687671.5533333333</v>
      </c>
      <c r="S98" s="0" t="n">
        <v>-687671.5533333333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-644692.08125</v>
      </c>
      <c r="U101" s="0" t="n">
        <v>-644692.08125</v>
      </c>
      <c r="V101" s="0" t="n">
        <v>-644692.08125</v>
      </c>
      <c r="W101" s="0" t="n">
        <v>-644692.08125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17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第7次滾算摘要</t>
        </is>
      </c>
    </row>
    <row r="6" ht="16.5" customHeight="1" s="58" thickBot="1">
      <c r="M6" s="0" t="inlineStr">
        <is>
          <t>價金: 20950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8.13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30.13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第7次滾算，減少 1103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20950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-27408.885</v>
      </c>
      <c r="E49" s="0" t="n">
        <v>-27408.885</v>
      </c>
      <c r="F49" s="0" t="n">
        <v>-27408.885</v>
      </c>
      <c r="G49" s="0" t="n">
        <v>-27408.885</v>
      </c>
      <c r="H49" s="0" t="n">
        <v>-27408.885</v>
      </c>
      <c r="I49" s="0" t="n">
        <v>-27408.885</v>
      </c>
      <c r="J49" s="0" t="n">
        <v>-27408.885</v>
      </c>
      <c r="K49" s="0" t="n">
        <v>-27408.885</v>
      </c>
      <c r="L49" s="0" t="n">
        <v>-27408.885</v>
      </c>
      <c r="M49" s="0" t="n">
        <v>-27408.885</v>
      </c>
      <c r="N49" s="0" t="n">
        <v>-27408.885</v>
      </c>
      <c r="O49" s="0" t="n">
        <v>-27408.885</v>
      </c>
      <c r="P49" s="0" t="n">
        <v>-27408.885</v>
      </c>
      <c r="Q49" s="0" t="n">
        <v>-27408.885</v>
      </c>
      <c r="R49" s="0" t="n">
        <v>-27408.885</v>
      </c>
      <c r="S49" s="0" t="n">
        <v>-27408.885</v>
      </c>
      <c r="T49" s="0" t="n">
        <v>-27408.885</v>
      </c>
      <c r="U49" s="0" t="n">
        <v>-27408.885</v>
      </c>
      <c r="V49" s="0" t="n">
        <v>-27408.885</v>
      </c>
      <c r="W49" s="0" t="n">
        <v>-27408.885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-251702.637725</v>
      </c>
      <c r="E75" s="0" t="n">
        <v>-234922.4618766667</v>
      </c>
      <c r="F75" s="0" t="n">
        <v>-218142.2860283333</v>
      </c>
      <c r="G75" s="0" t="n">
        <v>-201362.11018</v>
      </c>
      <c r="H75" s="0" t="n">
        <v>-184581.9343316667</v>
      </c>
      <c r="I75" s="0" t="n">
        <v>-167801.7584833333</v>
      </c>
      <c r="J75" s="0" t="n">
        <v>-151021.582635</v>
      </c>
      <c r="K75" s="0" t="n">
        <v>-134241.4067866667</v>
      </c>
      <c r="L75" s="0" t="n">
        <v>-117461.2309383333</v>
      </c>
      <c r="M75" s="0" t="n">
        <v>-100681.05509</v>
      </c>
      <c r="N75" s="0" t="n">
        <v>-83900.87924166667</v>
      </c>
      <c r="O75" s="0" t="n">
        <v>-67120.70339333333</v>
      </c>
      <c r="P75" s="0" t="n">
        <v>-50340.527545</v>
      </c>
      <c r="Q75" s="0" t="n">
        <v>-33560.35169666666</v>
      </c>
      <c r="R75" s="0" t="n">
        <v>-16780.17584833333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-655603.6666666666</v>
      </c>
      <c r="F98" s="0" t="n">
        <v>-655603.6666666666</v>
      </c>
      <c r="G98" s="0" t="n">
        <v>-655603.6666666666</v>
      </c>
      <c r="H98" s="0" t="n">
        <v>-655603.6666666666</v>
      </c>
      <c r="I98" s="0" t="n">
        <v>-655603.6666666666</v>
      </c>
      <c r="J98" s="0" t="n">
        <v>-655603.6666666666</v>
      </c>
      <c r="K98" s="0" t="n">
        <v>-655603.6666666666</v>
      </c>
      <c r="L98" s="0" t="n">
        <v>-655603.6666666666</v>
      </c>
      <c r="M98" s="0" t="n">
        <v>-655603.6666666666</v>
      </c>
      <c r="N98" s="0" t="n">
        <v>-655603.6666666666</v>
      </c>
      <c r="O98" s="0" t="n">
        <v>-655603.6666666666</v>
      </c>
      <c r="P98" s="0" t="n">
        <v>-655603.6666666666</v>
      </c>
      <c r="Q98" s="0" t="n">
        <v>-655603.6666666666</v>
      </c>
      <c r="R98" s="0" t="n">
        <v>-655603.6666666666</v>
      </c>
      <c r="S98" s="0" t="n">
        <v>-655603.6666666666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-614628.4375</v>
      </c>
      <c r="U101" s="0" t="n">
        <v>-614628.4375</v>
      </c>
      <c r="V101" s="0" t="n">
        <v>-614628.4375</v>
      </c>
      <c r="W101" s="0" t="n">
        <v>-614628.4375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18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初始價金摘要</t>
        </is>
      </c>
    </row>
    <row r="6" ht="16.5" customHeight="1" s="58" thickBot="1">
      <c r="M6" s="0" t="inlineStr">
        <is>
          <t>價金: 30000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4.29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10.43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初始價金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30000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-39249</v>
      </c>
      <c r="E49" s="0" t="n">
        <v>-39249</v>
      </c>
      <c r="F49" s="0" t="n">
        <v>-39249</v>
      </c>
      <c r="G49" s="0" t="n">
        <v>-39249</v>
      </c>
      <c r="H49" s="0" t="n">
        <v>-39249</v>
      </c>
      <c r="I49" s="0" t="n">
        <v>-39249</v>
      </c>
      <c r="J49" s="0" t="n">
        <v>-39249</v>
      </c>
      <c r="K49" s="0" t="n">
        <v>-39249</v>
      </c>
      <c r="L49" s="0" t="n">
        <v>-39249</v>
      </c>
      <c r="M49" s="0" t="n">
        <v>-39249</v>
      </c>
      <c r="N49" s="0" t="n">
        <v>-39249</v>
      </c>
      <c r="O49" s="0" t="n">
        <v>-39249</v>
      </c>
      <c r="P49" s="0" t="n">
        <v>-39249</v>
      </c>
      <c r="Q49" s="0" t="n">
        <v>-39249</v>
      </c>
      <c r="R49" s="0" t="n">
        <v>-39249</v>
      </c>
      <c r="S49" s="0" t="n">
        <v>-39249</v>
      </c>
      <c r="T49" s="0" t="n">
        <v>-39249</v>
      </c>
      <c r="U49" s="0" t="n">
        <v>-39249</v>
      </c>
      <c r="V49" s="0" t="n">
        <v>-39249</v>
      </c>
      <c r="W49" s="0" t="n">
        <v>-39249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-352718.5522</v>
      </c>
      <c r="E75" s="0" t="n">
        <v>-329203.9820533333</v>
      </c>
      <c r="F75" s="0" t="n">
        <v>-305689.4119066666</v>
      </c>
      <c r="G75" s="0" t="n">
        <v>-282174.84176</v>
      </c>
      <c r="H75" s="0" t="n">
        <v>-258660.2716133333</v>
      </c>
      <c r="I75" s="0" t="n">
        <v>-235145.7014666667</v>
      </c>
      <c r="J75" s="0" t="n">
        <v>-211631.13132</v>
      </c>
      <c r="K75" s="0" t="n">
        <v>-188116.5611733333</v>
      </c>
      <c r="L75" s="0" t="n">
        <v>-164601.9910266667</v>
      </c>
      <c r="M75" s="0" t="n">
        <v>-141087.42088</v>
      </c>
      <c r="N75" s="0" t="n">
        <v>-117572.8507333333</v>
      </c>
      <c r="O75" s="0" t="n">
        <v>-94058.28058666666</v>
      </c>
      <c r="P75" s="0" t="n">
        <v>-70543.71044</v>
      </c>
      <c r="Q75" s="0" t="n">
        <v>-47029.14029333333</v>
      </c>
      <c r="R75" s="0" t="n">
        <v>-23514.57014666667</v>
      </c>
      <c r="S75" s="0" t="n">
        <v>-4.19758e-22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-918717.3333333334</v>
      </c>
      <c r="F98" s="0" t="n">
        <v>-918717.3333333334</v>
      </c>
      <c r="G98" s="0" t="n">
        <v>-918717.3333333334</v>
      </c>
      <c r="H98" s="0" t="n">
        <v>-918717.3333333334</v>
      </c>
      <c r="I98" s="0" t="n">
        <v>-918717.3333333334</v>
      </c>
      <c r="J98" s="0" t="n">
        <v>-918717.3333333334</v>
      </c>
      <c r="K98" s="0" t="n">
        <v>-918717.3333333334</v>
      </c>
      <c r="L98" s="0" t="n">
        <v>-918717.3333333334</v>
      </c>
      <c r="M98" s="0" t="n">
        <v>-918717.3333333334</v>
      </c>
      <c r="N98" s="0" t="n">
        <v>-918717.3333333334</v>
      </c>
      <c r="O98" s="0" t="n">
        <v>-918717.3333333334</v>
      </c>
      <c r="P98" s="0" t="n">
        <v>-918717.3333333334</v>
      </c>
      <c r="Q98" s="0" t="n">
        <v>-918717.3333333334</v>
      </c>
      <c r="R98" s="0" t="n">
        <v>-918717.3333333334</v>
      </c>
      <c r="S98" s="0" t="n">
        <v>-918717.3333333334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-861297.5</v>
      </c>
      <c r="U101" s="0" t="n">
        <v>-861297.5</v>
      </c>
      <c r="V101" s="0" t="n">
        <v>-861297.5</v>
      </c>
      <c r="W101" s="0" t="n">
        <v>-861297.5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19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第1次滾算摘要</t>
        </is>
      </c>
    </row>
    <row r="6" ht="16.5" customHeight="1" s="58" thickBot="1">
      <c r="M6" s="0" t="inlineStr">
        <is>
          <t>價金: 28000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4.98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13.18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第1次滾算，減少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28000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-36632.4</v>
      </c>
      <c r="E49" s="0" t="n">
        <v>-36632.4</v>
      </c>
      <c r="F49" s="0" t="n">
        <v>-36632.4</v>
      </c>
      <c r="G49" s="0" t="n">
        <v>-36632.4</v>
      </c>
      <c r="H49" s="0" t="n">
        <v>-36632.4</v>
      </c>
      <c r="I49" s="0" t="n">
        <v>-36632.4</v>
      </c>
      <c r="J49" s="0" t="n">
        <v>-36632.4</v>
      </c>
      <c r="K49" s="0" t="n">
        <v>-36632.4</v>
      </c>
      <c r="L49" s="0" t="n">
        <v>-36632.4</v>
      </c>
      <c r="M49" s="0" t="n">
        <v>-36632.4</v>
      </c>
      <c r="N49" s="0" t="n">
        <v>-36632.4</v>
      </c>
      <c r="O49" s="0" t="n">
        <v>-36632.4</v>
      </c>
      <c r="P49" s="0" t="n">
        <v>-36632.4</v>
      </c>
      <c r="Q49" s="0" t="n">
        <v>-36632.4</v>
      </c>
      <c r="R49" s="0" t="n">
        <v>-36632.4</v>
      </c>
      <c r="S49" s="0" t="n">
        <v>-36632.4</v>
      </c>
      <c r="T49" s="0" t="n">
        <v>-36632.4</v>
      </c>
      <c r="U49" s="0" t="n">
        <v>-36632.4</v>
      </c>
      <c r="V49" s="0" t="n">
        <v>-36632.4</v>
      </c>
      <c r="W49" s="0" t="n">
        <v>-36632.4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-330394.5932</v>
      </c>
      <c r="E75" s="0" t="n">
        <v>-308368.2869866667</v>
      </c>
      <c r="F75" s="0" t="n">
        <v>-286341.9807733333</v>
      </c>
      <c r="G75" s="0" t="n">
        <v>-264315.67456</v>
      </c>
      <c r="H75" s="0" t="n">
        <v>-242289.3683466667</v>
      </c>
      <c r="I75" s="0" t="n">
        <v>-220263.0621333333</v>
      </c>
      <c r="J75" s="0" t="n">
        <v>-198236.75592</v>
      </c>
      <c r="K75" s="0" t="n">
        <v>-176210.4497066667</v>
      </c>
      <c r="L75" s="0" t="n">
        <v>-154184.1434933333</v>
      </c>
      <c r="M75" s="0" t="n">
        <v>-132157.83728</v>
      </c>
      <c r="N75" s="0" t="n">
        <v>-110131.5310666667</v>
      </c>
      <c r="O75" s="0" t="n">
        <v>-88105.22485333333</v>
      </c>
      <c r="P75" s="0" t="n">
        <v>-66078.91864</v>
      </c>
      <c r="Q75" s="0" t="n">
        <v>-44052.61242666667</v>
      </c>
      <c r="R75" s="0" t="n">
        <v>-22026.30621333333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-860570.6666666666</v>
      </c>
      <c r="F98" s="0" t="n">
        <v>-860570.6666666666</v>
      </c>
      <c r="G98" s="0" t="n">
        <v>-860570.6666666666</v>
      </c>
      <c r="H98" s="0" t="n">
        <v>-860570.6666666666</v>
      </c>
      <c r="I98" s="0" t="n">
        <v>-860570.6666666666</v>
      </c>
      <c r="J98" s="0" t="n">
        <v>-860570.6666666666</v>
      </c>
      <c r="K98" s="0" t="n">
        <v>-860570.6666666666</v>
      </c>
      <c r="L98" s="0" t="n">
        <v>-860570.6666666666</v>
      </c>
      <c r="M98" s="0" t="n">
        <v>-860570.6666666666</v>
      </c>
      <c r="N98" s="0" t="n">
        <v>-860570.6666666666</v>
      </c>
      <c r="O98" s="0" t="n">
        <v>-860570.6666666666</v>
      </c>
      <c r="P98" s="0" t="n">
        <v>-860570.6666666666</v>
      </c>
      <c r="Q98" s="0" t="n">
        <v>-860570.6666666666</v>
      </c>
      <c r="R98" s="0" t="n">
        <v>-860570.6666666666</v>
      </c>
      <c r="S98" s="0" t="n">
        <v>-860570.6666666666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-806785</v>
      </c>
      <c r="U101" s="0" t="n">
        <v>-806785</v>
      </c>
      <c r="V101" s="0" t="n">
        <v>-806785</v>
      </c>
      <c r="W101" s="0" t="n">
        <v>-806785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20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第2次滾算摘要</t>
        </is>
      </c>
    </row>
    <row r="6" ht="16.5" customHeight="1" s="58" thickBot="1">
      <c r="M6" s="0" t="inlineStr">
        <is>
          <t>價金: 26000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5.74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16.54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第2次滾算，減少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26000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-34015.8</v>
      </c>
      <c r="E49" s="0" t="n">
        <v>-34015.8</v>
      </c>
      <c r="F49" s="0" t="n">
        <v>-34015.8</v>
      </c>
      <c r="G49" s="0" t="n">
        <v>-34015.8</v>
      </c>
      <c r="H49" s="0" t="n">
        <v>-34015.8</v>
      </c>
      <c r="I49" s="0" t="n">
        <v>-34015.8</v>
      </c>
      <c r="J49" s="0" t="n">
        <v>-34015.8</v>
      </c>
      <c r="K49" s="0" t="n">
        <v>-34015.8</v>
      </c>
      <c r="L49" s="0" t="n">
        <v>-34015.8</v>
      </c>
      <c r="M49" s="0" t="n">
        <v>-34015.8</v>
      </c>
      <c r="N49" s="0" t="n">
        <v>-34015.8</v>
      </c>
      <c r="O49" s="0" t="n">
        <v>-34015.8</v>
      </c>
      <c r="P49" s="0" t="n">
        <v>-34015.8</v>
      </c>
      <c r="Q49" s="0" t="n">
        <v>-34015.8</v>
      </c>
      <c r="R49" s="0" t="n">
        <v>-34015.8</v>
      </c>
      <c r="S49" s="0" t="n">
        <v>-34015.8</v>
      </c>
      <c r="T49" s="0" t="n">
        <v>-34015.8</v>
      </c>
      <c r="U49" s="0" t="n">
        <v>-34015.8</v>
      </c>
      <c r="V49" s="0" t="n">
        <v>-34015.8</v>
      </c>
      <c r="W49" s="0" t="n">
        <v>-34015.8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-308070.6342</v>
      </c>
      <c r="E75" s="0" t="n">
        <v>-287532.59192</v>
      </c>
      <c r="F75" s="0" t="n">
        <v>-266994.54964</v>
      </c>
      <c r="G75" s="0" t="n">
        <v>-246456.50736</v>
      </c>
      <c r="H75" s="0" t="n">
        <v>-225918.46508</v>
      </c>
      <c r="I75" s="0" t="n">
        <v>-205380.4228</v>
      </c>
      <c r="J75" s="0" t="n">
        <v>-184842.38052</v>
      </c>
      <c r="K75" s="0" t="n">
        <v>-164304.33824</v>
      </c>
      <c r="L75" s="0" t="n">
        <v>-143766.29596</v>
      </c>
      <c r="M75" s="0" t="n">
        <v>-123228.25368</v>
      </c>
      <c r="N75" s="0" t="n">
        <v>-102690.2114</v>
      </c>
      <c r="O75" s="0" t="n">
        <v>-82152.16912000001</v>
      </c>
      <c r="P75" s="0" t="n">
        <v>-61614.12684</v>
      </c>
      <c r="Q75" s="0" t="n">
        <v>-41076.08456</v>
      </c>
      <c r="R75" s="0" t="n">
        <v>-20538.04228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-802424</v>
      </c>
      <c r="F98" s="0" t="n">
        <v>-802424</v>
      </c>
      <c r="G98" s="0" t="n">
        <v>-802424</v>
      </c>
      <c r="H98" s="0" t="n">
        <v>-802424</v>
      </c>
      <c r="I98" s="0" t="n">
        <v>-802424</v>
      </c>
      <c r="J98" s="0" t="n">
        <v>-802424</v>
      </c>
      <c r="K98" s="0" t="n">
        <v>-802424</v>
      </c>
      <c r="L98" s="0" t="n">
        <v>-802424</v>
      </c>
      <c r="M98" s="0" t="n">
        <v>-802424</v>
      </c>
      <c r="N98" s="0" t="n">
        <v>-802424</v>
      </c>
      <c r="O98" s="0" t="n">
        <v>-802424</v>
      </c>
      <c r="P98" s="0" t="n">
        <v>-802424</v>
      </c>
      <c r="Q98" s="0" t="n">
        <v>-802424</v>
      </c>
      <c r="R98" s="0" t="n">
        <v>-802424</v>
      </c>
      <c r="S98" s="0" t="n">
        <v>-802424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-752272.5</v>
      </c>
      <c r="U101" s="0" t="n">
        <v>-752272.5</v>
      </c>
      <c r="V101" s="0" t="n">
        <v>-752272.5</v>
      </c>
      <c r="W101" s="0" t="n">
        <v>-752272.5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21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第3次滾算摘要</t>
        </is>
      </c>
    </row>
    <row r="6" ht="16.5" customHeight="1" s="58" thickBot="1">
      <c r="M6" s="0" t="inlineStr">
        <is>
          <t>價金: 24000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6.59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20.81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第3次滾算，減少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24000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-31399.2</v>
      </c>
      <c r="E49" s="0" t="n">
        <v>-31399.2</v>
      </c>
      <c r="F49" s="0" t="n">
        <v>-31399.2</v>
      </c>
      <c r="G49" s="0" t="n">
        <v>-31399.2</v>
      </c>
      <c r="H49" s="0" t="n">
        <v>-31399.2</v>
      </c>
      <c r="I49" s="0" t="n">
        <v>-31399.2</v>
      </c>
      <c r="J49" s="0" t="n">
        <v>-31399.2</v>
      </c>
      <c r="K49" s="0" t="n">
        <v>-31399.2</v>
      </c>
      <c r="L49" s="0" t="n">
        <v>-31399.2</v>
      </c>
      <c r="M49" s="0" t="n">
        <v>-31399.2</v>
      </c>
      <c r="N49" s="0" t="n">
        <v>-31399.2</v>
      </c>
      <c r="O49" s="0" t="n">
        <v>-31399.2</v>
      </c>
      <c r="P49" s="0" t="n">
        <v>-31399.2</v>
      </c>
      <c r="Q49" s="0" t="n">
        <v>-31399.2</v>
      </c>
      <c r="R49" s="0" t="n">
        <v>-31399.2</v>
      </c>
      <c r="S49" s="0" t="n">
        <v>-31399.2</v>
      </c>
      <c r="T49" s="0" t="n">
        <v>-31399.2</v>
      </c>
      <c r="U49" s="0" t="n">
        <v>-31399.2</v>
      </c>
      <c r="V49" s="0" t="n">
        <v>-31399.2</v>
      </c>
      <c r="W49" s="0" t="n">
        <v>-31399.2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-285746.6752</v>
      </c>
      <c r="E75" s="0" t="n">
        <v>-266696.8968533333</v>
      </c>
      <c r="F75" s="0" t="n">
        <v>-247647.1185066667</v>
      </c>
      <c r="G75" s="0" t="n">
        <v>-228597.34016</v>
      </c>
      <c r="H75" s="0" t="n">
        <v>-209547.5618133333</v>
      </c>
      <c r="I75" s="0" t="n">
        <v>-190497.7834666667</v>
      </c>
      <c r="J75" s="0" t="n">
        <v>-171448.00512</v>
      </c>
      <c r="K75" s="0" t="n">
        <v>-152398.2267733333</v>
      </c>
      <c r="L75" s="0" t="n">
        <v>-133348.4484266667</v>
      </c>
      <c r="M75" s="0" t="n">
        <v>-114298.67008</v>
      </c>
      <c r="N75" s="0" t="n">
        <v>-95248.89173333334</v>
      </c>
      <c r="O75" s="0" t="n">
        <v>-76199.11338666666</v>
      </c>
      <c r="P75" s="0" t="n">
        <v>-57149.33504</v>
      </c>
      <c r="Q75" s="0" t="n">
        <v>-38099.55669333333</v>
      </c>
      <c r="R75" s="0" t="n">
        <v>-19049.77834666667</v>
      </c>
      <c r="S75" s="0" t="n">
        <v>-1.89403e-22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-744277.3333333334</v>
      </c>
      <c r="F98" s="0" t="n">
        <v>-744277.3333333334</v>
      </c>
      <c r="G98" s="0" t="n">
        <v>-744277.3333333334</v>
      </c>
      <c r="H98" s="0" t="n">
        <v>-744277.3333333334</v>
      </c>
      <c r="I98" s="0" t="n">
        <v>-744277.3333333334</v>
      </c>
      <c r="J98" s="0" t="n">
        <v>-744277.3333333334</v>
      </c>
      <c r="K98" s="0" t="n">
        <v>-744277.3333333334</v>
      </c>
      <c r="L98" s="0" t="n">
        <v>-744277.3333333334</v>
      </c>
      <c r="M98" s="0" t="n">
        <v>-744277.3333333334</v>
      </c>
      <c r="N98" s="0" t="n">
        <v>-744277.3333333334</v>
      </c>
      <c r="O98" s="0" t="n">
        <v>-744277.3333333334</v>
      </c>
      <c r="P98" s="0" t="n">
        <v>-744277.3333333334</v>
      </c>
      <c r="Q98" s="0" t="n">
        <v>-744277.3333333334</v>
      </c>
      <c r="R98" s="0" t="n">
        <v>-744277.3333333334</v>
      </c>
      <c r="S98" s="0" t="n">
        <v>-744277.3333333334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-697760</v>
      </c>
      <c r="U101" s="0" t="n">
        <v>-697760</v>
      </c>
      <c r="V101" s="0" t="n">
        <v>-697760</v>
      </c>
      <c r="W101" s="0" t="n">
        <v>-697760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22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第4次滾算摘要</t>
        </is>
      </c>
    </row>
    <row r="6" ht="16.5" customHeight="1" s="58" thickBot="1">
      <c r="M6" s="0" t="inlineStr">
        <is>
          <t>價金: 22000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7.56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26.41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第4次滾算，減少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22000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-28782.6</v>
      </c>
      <c r="E49" s="0" t="n">
        <v>-28782.6</v>
      </c>
      <c r="F49" s="0" t="n">
        <v>-28782.6</v>
      </c>
      <c r="G49" s="0" t="n">
        <v>-28782.6</v>
      </c>
      <c r="H49" s="0" t="n">
        <v>-28782.6</v>
      </c>
      <c r="I49" s="0" t="n">
        <v>-28782.6</v>
      </c>
      <c r="J49" s="0" t="n">
        <v>-28782.6</v>
      </c>
      <c r="K49" s="0" t="n">
        <v>-28782.6</v>
      </c>
      <c r="L49" s="0" t="n">
        <v>-28782.6</v>
      </c>
      <c r="M49" s="0" t="n">
        <v>-28782.6</v>
      </c>
      <c r="N49" s="0" t="n">
        <v>-28782.6</v>
      </c>
      <c r="O49" s="0" t="n">
        <v>-28782.6</v>
      </c>
      <c r="P49" s="0" t="n">
        <v>-28782.6</v>
      </c>
      <c r="Q49" s="0" t="n">
        <v>-28782.6</v>
      </c>
      <c r="R49" s="0" t="n">
        <v>-28782.6</v>
      </c>
      <c r="S49" s="0" t="n">
        <v>-28782.6</v>
      </c>
      <c r="T49" s="0" t="n">
        <v>-28782.6</v>
      </c>
      <c r="U49" s="0" t="n">
        <v>-28782.6</v>
      </c>
      <c r="V49" s="0" t="n">
        <v>-28782.6</v>
      </c>
      <c r="W49" s="0" t="n">
        <v>-28782.6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-263422.7162</v>
      </c>
      <c r="E75" s="0" t="n">
        <v>-245861.2017866667</v>
      </c>
      <c r="F75" s="0" t="n">
        <v>-228299.6873733333</v>
      </c>
      <c r="G75" s="0" t="n">
        <v>-210738.17296</v>
      </c>
      <c r="H75" s="0" t="n">
        <v>-193176.6585466667</v>
      </c>
      <c r="I75" s="0" t="n">
        <v>-175615.1441333333</v>
      </c>
      <c r="J75" s="0" t="n">
        <v>-158053.62972</v>
      </c>
      <c r="K75" s="0" t="n">
        <v>-140492.1153066667</v>
      </c>
      <c r="L75" s="0" t="n">
        <v>-122930.6008933333</v>
      </c>
      <c r="M75" s="0" t="n">
        <v>-105369.08648</v>
      </c>
      <c r="N75" s="0" t="n">
        <v>-87807.57206666666</v>
      </c>
      <c r="O75" s="0" t="n">
        <v>-70246.05765333334</v>
      </c>
      <c r="P75" s="0" t="n">
        <v>-52684.54324</v>
      </c>
      <c r="Q75" s="0" t="n">
        <v>-35123.02882666667</v>
      </c>
      <c r="R75" s="0" t="n">
        <v>-17561.51441333333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-686130.6666666666</v>
      </c>
      <c r="F98" s="0" t="n">
        <v>-686130.6666666666</v>
      </c>
      <c r="G98" s="0" t="n">
        <v>-686130.6666666666</v>
      </c>
      <c r="H98" s="0" t="n">
        <v>-686130.6666666666</v>
      </c>
      <c r="I98" s="0" t="n">
        <v>-686130.6666666666</v>
      </c>
      <c r="J98" s="0" t="n">
        <v>-686130.6666666666</v>
      </c>
      <c r="K98" s="0" t="n">
        <v>-686130.6666666666</v>
      </c>
      <c r="L98" s="0" t="n">
        <v>-686130.6666666666</v>
      </c>
      <c r="M98" s="0" t="n">
        <v>-686130.6666666666</v>
      </c>
      <c r="N98" s="0" t="n">
        <v>-686130.6666666666</v>
      </c>
      <c r="O98" s="0" t="n">
        <v>-686130.6666666666</v>
      </c>
      <c r="P98" s="0" t="n">
        <v>-686130.6666666666</v>
      </c>
      <c r="Q98" s="0" t="n">
        <v>-686130.6666666666</v>
      </c>
      <c r="R98" s="0" t="n">
        <v>-686130.6666666666</v>
      </c>
      <c r="S98" s="0" t="n">
        <v>-686130.6666666666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-643247.5</v>
      </c>
      <c r="U101" s="0" t="n">
        <v>-643247.5</v>
      </c>
      <c r="V101" s="0" t="n">
        <v>-643247.5</v>
      </c>
      <c r="W101" s="0" t="n">
        <v>-643247.5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23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第5次滾算摘要</t>
        </is>
      </c>
    </row>
    <row r="6" ht="16.5" customHeight="1" s="58" thickBot="1">
      <c r="M6" s="0" t="inlineStr">
        <is>
          <t>價金: 20000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8.67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34.13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第5次滾算，減少 2000 元 - 現金模式，每次減少 2000 元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-26166</v>
      </c>
      <c r="E49" s="0" t="n">
        <v>-26166</v>
      </c>
      <c r="F49" s="0" t="n">
        <v>-26166</v>
      </c>
      <c r="G49" s="0" t="n">
        <v>-26166</v>
      </c>
      <c r="H49" s="0" t="n">
        <v>-26166</v>
      </c>
      <c r="I49" s="0" t="n">
        <v>-26166</v>
      </c>
      <c r="J49" s="0" t="n">
        <v>-26166</v>
      </c>
      <c r="K49" s="0" t="n">
        <v>-26166</v>
      </c>
      <c r="L49" s="0" t="n">
        <v>-26166</v>
      </c>
      <c r="M49" s="0" t="n">
        <v>-26166</v>
      </c>
      <c r="N49" s="0" t="n">
        <v>-26166</v>
      </c>
      <c r="O49" s="0" t="n">
        <v>-26166</v>
      </c>
      <c r="P49" s="0" t="n">
        <v>-26166</v>
      </c>
      <c r="Q49" s="0" t="n">
        <v>-26166</v>
      </c>
      <c r="R49" s="0" t="n">
        <v>-26166</v>
      </c>
      <c r="S49" s="0" t="n">
        <v>-26166</v>
      </c>
      <c r="T49" s="0" t="n">
        <v>-26166</v>
      </c>
      <c r="U49" s="0" t="n">
        <v>-26166</v>
      </c>
      <c r="V49" s="0" t="n">
        <v>-26166</v>
      </c>
      <c r="W49" s="0" t="n">
        <v>-26166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-241098.7572</v>
      </c>
      <c r="E75" s="0" t="n">
        <v>-225025.50672</v>
      </c>
      <c r="F75" s="0" t="n">
        <v>-208952.25624</v>
      </c>
      <c r="G75" s="0" t="n">
        <v>-192879.00576</v>
      </c>
      <c r="H75" s="0" t="n">
        <v>-176805.75528</v>
      </c>
      <c r="I75" s="0" t="n">
        <v>-160732.5048</v>
      </c>
      <c r="J75" s="0" t="n">
        <v>-144659.25432</v>
      </c>
      <c r="K75" s="0" t="n">
        <v>-128586.00384</v>
      </c>
      <c r="L75" s="0" t="n">
        <v>-112512.75336</v>
      </c>
      <c r="M75" s="0" t="n">
        <v>-96439.50288</v>
      </c>
      <c r="N75" s="0" t="n">
        <v>-80366.2524</v>
      </c>
      <c r="O75" s="0" t="n">
        <v>-64293.00192</v>
      </c>
      <c r="P75" s="0" t="n">
        <v>-48219.75144</v>
      </c>
      <c r="Q75" s="0" t="n">
        <v>-32146.50096</v>
      </c>
      <c r="R75" s="0" t="n">
        <v>-16073.25048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-627984</v>
      </c>
      <c r="F98" s="0" t="n">
        <v>-627984</v>
      </c>
      <c r="G98" s="0" t="n">
        <v>-627984</v>
      </c>
      <c r="H98" s="0" t="n">
        <v>-627984</v>
      </c>
      <c r="I98" s="0" t="n">
        <v>-627984</v>
      </c>
      <c r="J98" s="0" t="n">
        <v>-627984</v>
      </c>
      <c r="K98" s="0" t="n">
        <v>-627984</v>
      </c>
      <c r="L98" s="0" t="n">
        <v>-627984</v>
      </c>
      <c r="M98" s="0" t="n">
        <v>-627984</v>
      </c>
      <c r="N98" s="0" t="n">
        <v>-627984</v>
      </c>
      <c r="O98" s="0" t="n">
        <v>-627984</v>
      </c>
      <c r="P98" s="0" t="n">
        <v>-627984</v>
      </c>
      <c r="Q98" s="0" t="n">
        <v>-627984</v>
      </c>
      <c r="R98" s="0" t="n">
        <v>-627984</v>
      </c>
      <c r="S98" s="0" t="n">
        <v>-627984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-588735</v>
      </c>
      <c r="U101" s="0" t="n">
        <v>-588735</v>
      </c>
      <c r="V101" s="0" t="n">
        <v>-588735</v>
      </c>
      <c r="W101" s="0" t="n">
        <v>-588735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24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初始價金摘要</t>
        </is>
      </c>
    </row>
    <row r="6" ht="16.5" customHeight="1" s="58" thickBot="1">
      <c r="M6" s="0" t="inlineStr">
        <is>
          <t>價金: 30000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4.29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10.43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初始價金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30000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-39249</v>
      </c>
      <c r="E49" s="0" t="n">
        <v>-39249</v>
      </c>
      <c r="F49" s="0" t="n">
        <v>-39249</v>
      </c>
      <c r="G49" s="0" t="n">
        <v>-39249</v>
      </c>
      <c r="H49" s="0" t="n">
        <v>-39249</v>
      </c>
      <c r="I49" s="0" t="n">
        <v>-39249</v>
      </c>
      <c r="J49" s="0" t="n">
        <v>-39249</v>
      </c>
      <c r="K49" s="0" t="n">
        <v>-39249</v>
      </c>
      <c r="L49" s="0" t="n">
        <v>-39249</v>
      </c>
      <c r="M49" s="0" t="n">
        <v>-39249</v>
      </c>
      <c r="N49" s="0" t="n">
        <v>-39249</v>
      </c>
      <c r="O49" s="0" t="n">
        <v>-39249</v>
      </c>
      <c r="P49" s="0" t="n">
        <v>-39249</v>
      </c>
      <c r="Q49" s="0" t="n">
        <v>-39249</v>
      </c>
      <c r="R49" s="0" t="n">
        <v>-39249</v>
      </c>
      <c r="S49" s="0" t="n">
        <v>-39249</v>
      </c>
      <c r="T49" s="0" t="n">
        <v>-39249</v>
      </c>
      <c r="U49" s="0" t="n">
        <v>-39249</v>
      </c>
      <c r="V49" s="0" t="n">
        <v>-39249</v>
      </c>
      <c r="W49" s="0" t="n">
        <v>-39249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-352718.5522</v>
      </c>
      <c r="E75" s="0" t="n">
        <v>-329203.9820533333</v>
      </c>
      <c r="F75" s="0" t="n">
        <v>-305689.4119066666</v>
      </c>
      <c r="G75" s="0" t="n">
        <v>-282174.84176</v>
      </c>
      <c r="H75" s="0" t="n">
        <v>-258660.2716133333</v>
      </c>
      <c r="I75" s="0" t="n">
        <v>-235145.7014666667</v>
      </c>
      <c r="J75" s="0" t="n">
        <v>-211631.13132</v>
      </c>
      <c r="K75" s="0" t="n">
        <v>-188116.5611733333</v>
      </c>
      <c r="L75" s="0" t="n">
        <v>-164601.9910266667</v>
      </c>
      <c r="M75" s="0" t="n">
        <v>-141087.42088</v>
      </c>
      <c r="N75" s="0" t="n">
        <v>-117572.8507333333</v>
      </c>
      <c r="O75" s="0" t="n">
        <v>-94058.28058666666</v>
      </c>
      <c r="P75" s="0" t="n">
        <v>-70543.71044</v>
      </c>
      <c r="Q75" s="0" t="n">
        <v>-47029.14029333333</v>
      </c>
      <c r="R75" s="0" t="n">
        <v>-23514.57014666667</v>
      </c>
      <c r="S75" s="0" t="n">
        <v>-4.19758e-22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-918717.3333333334</v>
      </c>
      <c r="F98" s="0" t="n">
        <v>-918717.3333333334</v>
      </c>
      <c r="G98" s="0" t="n">
        <v>-918717.3333333334</v>
      </c>
      <c r="H98" s="0" t="n">
        <v>-918717.3333333334</v>
      </c>
      <c r="I98" s="0" t="n">
        <v>-918717.3333333334</v>
      </c>
      <c r="J98" s="0" t="n">
        <v>-918717.3333333334</v>
      </c>
      <c r="K98" s="0" t="n">
        <v>-918717.3333333334</v>
      </c>
      <c r="L98" s="0" t="n">
        <v>-918717.3333333334</v>
      </c>
      <c r="M98" s="0" t="n">
        <v>-918717.3333333334</v>
      </c>
      <c r="N98" s="0" t="n">
        <v>-918717.3333333334</v>
      </c>
      <c r="O98" s="0" t="n">
        <v>-918717.3333333334</v>
      </c>
      <c r="P98" s="0" t="n">
        <v>-918717.3333333334</v>
      </c>
      <c r="Q98" s="0" t="n">
        <v>-918717.3333333334</v>
      </c>
      <c r="R98" s="0" t="n">
        <v>-918717.3333333334</v>
      </c>
      <c r="S98" s="0" t="n">
        <v>-918717.3333333334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-861297.5</v>
      </c>
      <c r="U101" s="0" t="n">
        <v>-861297.5</v>
      </c>
      <c r="V101" s="0" t="n">
        <v>-861297.5</v>
      </c>
      <c r="W101" s="0" t="n">
        <v>-861297.5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25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第1次滾算摘要</t>
        </is>
      </c>
    </row>
    <row r="6" ht="16.5" customHeight="1" s="58" thickBot="1">
      <c r="M6" s="0" t="inlineStr">
        <is>
          <t>價金: 28500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4.8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12.44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第1次滾算，減少 1500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28500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-37286.55</v>
      </c>
      <c r="E49" s="0" t="n">
        <v>-37286.55</v>
      </c>
      <c r="F49" s="0" t="n">
        <v>-37286.55</v>
      </c>
      <c r="G49" s="0" t="n">
        <v>-37286.55</v>
      </c>
      <c r="H49" s="0" t="n">
        <v>-37286.55</v>
      </c>
      <c r="I49" s="0" t="n">
        <v>-37286.55</v>
      </c>
      <c r="J49" s="0" t="n">
        <v>-37286.55</v>
      </c>
      <c r="K49" s="0" t="n">
        <v>-37286.55</v>
      </c>
      <c r="L49" s="0" t="n">
        <v>-37286.55</v>
      </c>
      <c r="M49" s="0" t="n">
        <v>-37286.55</v>
      </c>
      <c r="N49" s="0" t="n">
        <v>-37286.55</v>
      </c>
      <c r="O49" s="0" t="n">
        <v>-37286.55</v>
      </c>
      <c r="P49" s="0" t="n">
        <v>-37286.55</v>
      </c>
      <c r="Q49" s="0" t="n">
        <v>-37286.55</v>
      </c>
      <c r="R49" s="0" t="n">
        <v>-37286.55</v>
      </c>
      <c r="S49" s="0" t="n">
        <v>-37286.55</v>
      </c>
      <c r="T49" s="0" t="n">
        <v>-37286.55</v>
      </c>
      <c r="U49" s="0" t="n">
        <v>-37286.55</v>
      </c>
      <c r="V49" s="0" t="n">
        <v>-37286.55</v>
      </c>
      <c r="W49" s="0" t="n">
        <v>-37286.55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-335975.58295</v>
      </c>
      <c r="E75" s="0" t="n">
        <v>-313577.2107533333</v>
      </c>
      <c r="F75" s="0" t="n">
        <v>-291178.8385566667</v>
      </c>
      <c r="G75" s="0" t="n">
        <v>-268780.46636</v>
      </c>
      <c r="H75" s="0" t="n">
        <v>-246382.0941633333</v>
      </c>
      <c r="I75" s="0" t="n">
        <v>-223983.7219666667</v>
      </c>
      <c r="J75" s="0" t="n">
        <v>-201585.34977</v>
      </c>
      <c r="K75" s="0" t="n">
        <v>-179186.9775733333</v>
      </c>
      <c r="L75" s="0" t="n">
        <v>-156788.6053766667</v>
      </c>
      <c r="M75" s="0" t="n">
        <v>-134390.23318</v>
      </c>
      <c r="N75" s="0" t="n">
        <v>-111991.8609833333</v>
      </c>
      <c r="O75" s="0" t="n">
        <v>-89593.48878666667</v>
      </c>
      <c r="P75" s="0" t="n">
        <v>-67195.11659000001</v>
      </c>
      <c r="Q75" s="0" t="n">
        <v>-44796.74439333333</v>
      </c>
      <c r="R75" s="0" t="n">
        <v>-22398.37219666667</v>
      </c>
      <c r="S75" s="0" t="n">
        <v>-3.42973e-22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-875107.3333333334</v>
      </c>
      <c r="F98" s="0" t="n">
        <v>-875107.3333333334</v>
      </c>
      <c r="G98" s="0" t="n">
        <v>-875107.3333333334</v>
      </c>
      <c r="H98" s="0" t="n">
        <v>-875107.3333333334</v>
      </c>
      <c r="I98" s="0" t="n">
        <v>-875107.3333333334</v>
      </c>
      <c r="J98" s="0" t="n">
        <v>-875107.3333333334</v>
      </c>
      <c r="K98" s="0" t="n">
        <v>-875107.3333333334</v>
      </c>
      <c r="L98" s="0" t="n">
        <v>-875107.3333333334</v>
      </c>
      <c r="M98" s="0" t="n">
        <v>-875107.3333333334</v>
      </c>
      <c r="N98" s="0" t="n">
        <v>-875107.3333333334</v>
      </c>
      <c r="O98" s="0" t="n">
        <v>-875107.3333333334</v>
      </c>
      <c r="P98" s="0" t="n">
        <v>-875107.3333333334</v>
      </c>
      <c r="Q98" s="0" t="n">
        <v>-875107.3333333334</v>
      </c>
      <c r="R98" s="0" t="n">
        <v>-875107.3333333334</v>
      </c>
      <c r="S98" s="0" t="n">
        <v>-875107.3333333334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-820413.125</v>
      </c>
      <c r="U101" s="0" t="n">
        <v>-820413.125</v>
      </c>
      <c r="V101" s="0" t="n">
        <v>-820413.125</v>
      </c>
      <c r="W101" s="0" t="n">
        <v>-820413.125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26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第2次滾算摘要</t>
        </is>
      </c>
    </row>
    <row r="6" ht="16.5" customHeight="1" s="58" thickBot="1">
      <c r="M6" s="0" t="inlineStr">
        <is>
          <t>價金: 27075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5.32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14.64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第2次滾算，減少 1425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27075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-35422.2225</v>
      </c>
      <c r="E49" s="0" t="n">
        <v>-35422.2225</v>
      </c>
      <c r="F49" s="0" t="n">
        <v>-35422.2225</v>
      </c>
      <c r="G49" s="0" t="n">
        <v>-35422.2225</v>
      </c>
      <c r="H49" s="0" t="n">
        <v>-35422.2225</v>
      </c>
      <c r="I49" s="0" t="n">
        <v>-35422.2225</v>
      </c>
      <c r="J49" s="0" t="n">
        <v>-35422.2225</v>
      </c>
      <c r="K49" s="0" t="n">
        <v>-35422.2225</v>
      </c>
      <c r="L49" s="0" t="n">
        <v>-35422.2225</v>
      </c>
      <c r="M49" s="0" t="n">
        <v>-35422.2225</v>
      </c>
      <c r="N49" s="0" t="n">
        <v>-35422.2225</v>
      </c>
      <c r="O49" s="0" t="n">
        <v>-35422.2225</v>
      </c>
      <c r="P49" s="0" t="n">
        <v>-35422.2225</v>
      </c>
      <c r="Q49" s="0" t="n">
        <v>-35422.2225</v>
      </c>
      <c r="R49" s="0" t="n">
        <v>-35422.2225</v>
      </c>
      <c r="S49" s="0" t="n">
        <v>-35422.2225</v>
      </c>
      <c r="T49" s="0" t="n">
        <v>-35422.2225</v>
      </c>
      <c r="U49" s="0" t="n">
        <v>-35422.2225</v>
      </c>
      <c r="V49" s="0" t="n">
        <v>-35422.2225</v>
      </c>
      <c r="W49" s="0" t="n">
        <v>-35422.2225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-320069.7621625</v>
      </c>
      <c r="E75" s="0" t="n">
        <v>-298731.7780183333</v>
      </c>
      <c r="F75" s="0" t="n">
        <v>-277393.7938741667</v>
      </c>
      <c r="G75" s="0" t="n">
        <v>-256055.80973</v>
      </c>
      <c r="H75" s="0" t="n">
        <v>-234717.8255858333</v>
      </c>
      <c r="I75" s="0" t="n">
        <v>-213379.8414416667</v>
      </c>
      <c r="J75" s="0" t="n">
        <v>-192041.8572975</v>
      </c>
      <c r="K75" s="0" t="n">
        <v>-170703.8731533333</v>
      </c>
      <c r="L75" s="0" t="n">
        <v>-149365.8890091667</v>
      </c>
      <c r="M75" s="0" t="n">
        <v>-128027.904865</v>
      </c>
      <c r="N75" s="0" t="n">
        <v>-106689.9207208333</v>
      </c>
      <c r="O75" s="0" t="n">
        <v>-85351.93657666666</v>
      </c>
      <c r="P75" s="0" t="n">
        <v>-64013.9524325</v>
      </c>
      <c r="Q75" s="0" t="n">
        <v>-42675.96828833333</v>
      </c>
      <c r="R75" s="0" t="n">
        <v>-21337.98414416666</v>
      </c>
      <c r="S75" s="0" t="n">
        <v>-3.42973e-22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-833677.8333333334</v>
      </c>
      <c r="F98" s="0" t="n">
        <v>-833677.8333333334</v>
      </c>
      <c r="G98" s="0" t="n">
        <v>-833677.8333333334</v>
      </c>
      <c r="H98" s="0" t="n">
        <v>-833677.8333333334</v>
      </c>
      <c r="I98" s="0" t="n">
        <v>-833677.8333333334</v>
      </c>
      <c r="J98" s="0" t="n">
        <v>-833677.8333333334</v>
      </c>
      <c r="K98" s="0" t="n">
        <v>-833677.8333333334</v>
      </c>
      <c r="L98" s="0" t="n">
        <v>-833677.8333333334</v>
      </c>
      <c r="M98" s="0" t="n">
        <v>-833677.8333333334</v>
      </c>
      <c r="N98" s="0" t="n">
        <v>-833677.8333333334</v>
      </c>
      <c r="O98" s="0" t="n">
        <v>-833677.8333333334</v>
      </c>
      <c r="P98" s="0" t="n">
        <v>-833677.8333333334</v>
      </c>
      <c r="Q98" s="0" t="n">
        <v>-833677.8333333334</v>
      </c>
      <c r="R98" s="0" t="n">
        <v>-833677.8333333334</v>
      </c>
      <c r="S98" s="0" t="n">
        <v>-833677.8333333334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-781572.96875</v>
      </c>
      <c r="U101" s="0" t="n">
        <v>-781572.96875</v>
      </c>
      <c r="V101" s="0" t="n">
        <v>-781572.96875</v>
      </c>
      <c r="W101" s="0" t="n">
        <v>-781572.96875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27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第3次滾算摘要</t>
        </is>
      </c>
    </row>
    <row r="6" ht="16.5" customHeight="1" s="58" thickBot="1">
      <c r="M6" s="0" t="inlineStr">
        <is>
          <t>價金: 25721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5.85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17.08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第3次滾算，減少 1354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25721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-33650.7843</v>
      </c>
      <c r="E49" s="0" t="n">
        <v>-33650.7843</v>
      </c>
      <c r="F49" s="0" t="n">
        <v>-33650.7843</v>
      </c>
      <c r="G49" s="0" t="n">
        <v>-33650.7843</v>
      </c>
      <c r="H49" s="0" t="n">
        <v>-33650.7843</v>
      </c>
      <c r="I49" s="0" t="n">
        <v>-33650.7843</v>
      </c>
      <c r="J49" s="0" t="n">
        <v>-33650.7843</v>
      </c>
      <c r="K49" s="0" t="n">
        <v>-33650.7843</v>
      </c>
      <c r="L49" s="0" t="n">
        <v>-33650.7843</v>
      </c>
      <c r="M49" s="0" t="n">
        <v>-33650.7843</v>
      </c>
      <c r="N49" s="0" t="n">
        <v>-33650.7843</v>
      </c>
      <c r="O49" s="0" t="n">
        <v>-33650.7843</v>
      </c>
      <c r="P49" s="0" t="n">
        <v>-33650.7843</v>
      </c>
      <c r="Q49" s="0" t="n">
        <v>-33650.7843</v>
      </c>
      <c r="R49" s="0" t="n">
        <v>-33650.7843</v>
      </c>
      <c r="S49" s="0" t="n">
        <v>-33650.7843</v>
      </c>
      <c r="T49" s="0" t="n">
        <v>-33650.7843</v>
      </c>
      <c r="U49" s="0" t="n">
        <v>-33650.7843</v>
      </c>
      <c r="V49" s="0" t="n">
        <v>-33650.7843</v>
      </c>
      <c r="W49" s="0" t="n">
        <v>-33650.7843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-304956.4419195</v>
      </c>
      <c r="E75" s="0" t="n">
        <v>-284626.0124582</v>
      </c>
      <c r="F75" s="0" t="n">
        <v>-264295.5829969</v>
      </c>
      <c r="G75" s="0" t="n">
        <v>-243965.1535356</v>
      </c>
      <c r="H75" s="0" t="n">
        <v>-223634.7240743</v>
      </c>
      <c r="I75" s="0" t="n">
        <v>-203304.294613</v>
      </c>
      <c r="J75" s="0" t="n">
        <v>-182973.8651517</v>
      </c>
      <c r="K75" s="0" t="n">
        <v>-162643.4356904</v>
      </c>
      <c r="L75" s="0" t="n">
        <v>-142313.0062291</v>
      </c>
      <c r="M75" s="0" t="n">
        <v>-121982.5767678</v>
      </c>
      <c r="N75" s="0" t="n">
        <v>-101652.1473065</v>
      </c>
      <c r="O75" s="0" t="n">
        <v>-81321.71784519999</v>
      </c>
      <c r="P75" s="0" t="n">
        <v>-60991.2883839</v>
      </c>
      <c r="Q75" s="0" t="n">
        <v>-40660.8589226</v>
      </c>
      <c r="R75" s="0" t="n">
        <v>-20330.4294613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-794312.54</v>
      </c>
      <c r="F98" s="0" t="n">
        <v>-794312.54</v>
      </c>
      <c r="G98" s="0" t="n">
        <v>-794312.54</v>
      </c>
      <c r="H98" s="0" t="n">
        <v>-794312.54</v>
      </c>
      <c r="I98" s="0" t="n">
        <v>-794312.54</v>
      </c>
      <c r="J98" s="0" t="n">
        <v>-794312.54</v>
      </c>
      <c r="K98" s="0" t="n">
        <v>-794312.54</v>
      </c>
      <c r="L98" s="0" t="n">
        <v>-794312.54</v>
      </c>
      <c r="M98" s="0" t="n">
        <v>-794312.54</v>
      </c>
      <c r="N98" s="0" t="n">
        <v>-794312.54</v>
      </c>
      <c r="O98" s="0" t="n">
        <v>-794312.54</v>
      </c>
      <c r="P98" s="0" t="n">
        <v>-794312.54</v>
      </c>
      <c r="Q98" s="0" t="n">
        <v>-794312.54</v>
      </c>
      <c r="R98" s="0" t="n">
        <v>-794312.54</v>
      </c>
      <c r="S98" s="0" t="n">
        <v>-794312.54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-744668.00625</v>
      </c>
      <c r="U101" s="0" t="n">
        <v>-744668.00625</v>
      </c>
      <c r="V101" s="0" t="n">
        <v>-744668.00625</v>
      </c>
      <c r="W101" s="0" t="n">
        <v>-744668.00625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28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第4次滾算摘要</t>
        </is>
      </c>
    </row>
    <row r="6" ht="16.5" customHeight="1" s="58" thickBot="1">
      <c r="M6" s="0" t="inlineStr">
        <is>
          <t>價金: 24435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19.78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第4次滾算，減少 1286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24435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-31968.3105</v>
      </c>
      <c r="E49" s="0" t="n">
        <v>-31968.3105</v>
      </c>
      <c r="F49" s="0" t="n">
        <v>-31968.3105</v>
      </c>
      <c r="G49" s="0" t="n">
        <v>-31968.3105</v>
      </c>
      <c r="H49" s="0" t="n">
        <v>-31968.3105</v>
      </c>
      <c r="I49" s="0" t="n">
        <v>-31968.3105</v>
      </c>
      <c r="J49" s="0" t="n">
        <v>-31968.3105</v>
      </c>
      <c r="K49" s="0" t="n">
        <v>-31968.3105</v>
      </c>
      <c r="L49" s="0" t="n">
        <v>-31968.3105</v>
      </c>
      <c r="M49" s="0" t="n">
        <v>-31968.3105</v>
      </c>
      <c r="N49" s="0" t="n">
        <v>-31968.3105</v>
      </c>
      <c r="O49" s="0" t="n">
        <v>-31968.3105</v>
      </c>
      <c r="P49" s="0" t="n">
        <v>-31968.3105</v>
      </c>
      <c r="Q49" s="0" t="n">
        <v>-31968.3105</v>
      </c>
      <c r="R49" s="0" t="n">
        <v>-31968.3105</v>
      </c>
      <c r="S49" s="0" t="n">
        <v>-31968.3105</v>
      </c>
      <c r="T49" s="0" t="n">
        <v>-31968.3105</v>
      </c>
      <c r="U49" s="0" t="n">
        <v>-31968.3105</v>
      </c>
      <c r="V49" s="0" t="n">
        <v>-31968.3105</v>
      </c>
      <c r="W49" s="0" t="n">
        <v>-31968.3105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-290602.1362825</v>
      </c>
      <c r="E75" s="0" t="n">
        <v>-271228.6605303333</v>
      </c>
      <c r="F75" s="0" t="n">
        <v>-251855.1847781667</v>
      </c>
      <c r="G75" s="0" t="n">
        <v>-232481.709026</v>
      </c>
      <c r="H75" s="0" t="n">
        <v>-213108.2332738333</v>
      </c>
      <c r="I75" s="0" t="n">
        <v>-193734.7575216667</v>
      </c>
      <c r="J75" s="0" t="n">
        <v>-174361.2817695</v>
      </c>
      <c r="K75" s="0" t="n">
        <v>-154987.8060173333</v>
      </c>
      <c r="L75" s="0" t="n">
        <v>-135614.3302651667</v>
      </c>
      <c r="M75" s="0" t="n">
        <v>-116240.854513</v>
      </c>
      <c r="N75" s="0" t="n">
        <v>-96867.37876083334</v>
      </c>
      <c r="O75" s="0" t="n">
        <v>-77493.90300866666</v>
      </c>
      <c r="P75" s="0" t="n">
        <v>-58120.4272565</v>
      </c>
      <c r="Q75" s="0" t="n">
        <v>-38746.95150433333</v>
      </c>
      <c r="R75" s="0" t="n">
        <v>-19373.47575216667</v>
      </c>
      <c r="S75" s="0" t="n">
        <v>-1.89403e-22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-756924.2333333333</v>
      </c>
      <c r="F98" s="0" t="n">
        <v>-756924.2333333333</v>
      </c>
      <c r="G98" s="0" t="n">
        <v>-756924.2333333333</v>
      </c>
      <c r="H98" s="0" t="n">
        <v>-756924.2333333333</v>
      </c>
      <c r="I98" s="0" t="n">
        <v>-756924.2333333333</v>
      </c>
      <c r="J98" s="0" t="n">
        <v>-756924.2333333333</v>
      </c>
      <c r="K98" s="0" t="n">
        <v>-756924.2333333333</v>
      </c>
      <c r="L98" s="0" t="n">
        <v>-756924.2333333333</v>
      </c>
      <c r="M98" s="0" t="n">
        <v>-756924.2333333333</v>
      </c>
      <c r="N98" s="0" t="n">
        <v>-756924.2333333333</v>
      </c>
      <c r="O98" s="0" t="n">
        <v>-756924.2333333333</v>
      </c>
      <c r="P98" s="0" t="n">
        <v>-756924.2333333333</v>
      </c>
      <c r="Q98" s="0" t="n">
        <v>-756924.2333333333</v>
      </c>
      <c r="R98" s="0" t="n">
        <v>-756924.2333333333</v>
      </c>
      <c r="S98" s="0" t="n">
        <v>-756924.2333333333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-709616.46875</v>
      </c>
      <c r="U101" s="0" t="n">
        <v>-709616.46875</v>
      </c>
      <c r="V101" s="0" t="n">
        <v>-709616.46875</v>
      </c>
      <c r="W101" s="0" t="n">
        <v>-709616.46875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29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第5次滾算摘要</t>
        </is>
      </c>
    </row>
    <row r="6" ht="16.5" customHeight="1" s="58" thickBot="1">
      <c r="M6" s="0" t="inlineStr">
        <is>
          <t>價金: 23213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6.96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22.82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第5次滾算，減少 1222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23213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-30369.5679</v>
      </c>
      <c r="E49" s="0" t="n">
        <v>-30369.5679</v>
      </c>
      <c r="F49" s="0" t="n">
        <v>-30369.5679</v>
      </c>
      <c r="G49" s="0" t="n">
        <v>-30369.5679</v>
      </c>
      <c r="H49" s="0" t="n">
        <v>-30369.5679</v>
      </c>
      <c r="I49" s="0" t="n">
        <v>-30369.5679</v>
      </c>
      <c r="J49" s="0" t="n">
        <v>-30369.5679</v>
      </c>
      <c r="K49" s="0" t="n">
        <v>-30369.5679</v>
      </c>
      <c r="L49" s="0" t="n">
        <v>-30369.5679</v>
      </c>
      <c r="M49" s="0" t="n">
        <v>-30369.5679</v>
      </c>
      <c r="N49" s="0" t="n">
        <v>-30369.5679</v>
      </c>
      <c r="O49" s="0" t="n">
        <v>-30369.5679</v>
      </c>
      <c r="P49" s="0" t="n">
        <v>-30369.5679</v>
      </c>
      <c r="Q49" s="0" t="n">
        <v>-30369.5679</v>
      </c>
      <c r="R49" s="0" t="n">
        <v>-30369.5679</v>
      </c>
      <c r="S49" s="0" t="n">
        <v>-30369.5679</v>
      </c>
      <c r="T49" s="0" t="n">
        <v>-30369.5679</v>
      </c>
      <c r="U49" s="0" t="n">
        <v>-30369.5679</v>
      </c>
      <c r="V49" s="0" t="n">
        <v>-30369.5679</v>
      </c>
      <c r="W49" s="0" t="n">
        <v>-30369.5679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-276962.1973335</v>
      </c>
      <c r="E75" s="0" t="n">
        <v>-258498.0508446</v>
      </c>
      <c r="F75" s="0" t="n">
        <v>-240033.9043557</v>
      </c>
      <c r="G75" s="0" t="n">
        <v>-221569.7578668</v>
      </c>
      <c r="H75" s="0" t="n">
        <v>-203105.6113779</v>
      </c>
      <c r="I75" s="0" t="n">
        <v>-184641.464889</v>
      </c>
      <c r="J75" s="0" t="n">
        <v>-166177.3184001</v>
      </c>
      <c r="K75" s="0" t="n">
        <v>-147713.1719112</v>
      </c>
      <c r="L75" s="0" t="n">
        <v>-129249.0254223</v>
      </c>
      <c r="M75" s="0" t="n">
        <v>-110784.8789334</v>
      </c>
      <c r="N75" s="0" t="n">
        <v>-92320.7324445</v>
      </c>
      <c r="O75" s="0" t="n">
        <v>-73856.58595560001</v>
      </c>
      <c r="P75" s="0" t="n">
        <v>-55392.4394667</v>
      </c>
      <c r="Q75" s="0" t="n">
        <v>-36928.2929778</v>
      </c>
      <c r="R75" s="0" t="n">
        <v>-18464.1464889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-721396.62</v>
      </c>
      <c r="F98" s="0" t="n">
        <v>-721396.62</v>
      </c>
      <c r="G98" s="0" t="n">
        <v>-721396.62</v>
      </c>
      <c r="H98" s="0" t="n">
        <v>-721396.62</v>
      </c>
      <c r="I98" s="0" t="n">
        <v>-721396.62</v>
      </c>
      <c r="J98" s="0" t="n">
        <v>-721396.62</v>
      </c>
      <c r="K98" s="0" t="n">
        <v>-721396.62</v>
      </c>
      <c r="L98" s="0" t="n">
        <v>-721396.62</v>
      </c>
      <c r="M98" s="0" t="n">
        <v>-721396.62</v>
      </c>
      <c r="N98" s="0" t="n">
        <v>-721396.62</v>
      </c>
      <c r="O98" s="0" t="n">
        <v>-721396.62</v>
      </c>
      <c r="P98" s="0" t="n">
        <v>-721396.62</v>
      </c>
      <c r="Q98" s="0" t="n">
        <v>-721396.62</v>
      </c>
      <c r="R98" s="0" t="n">
        <v>-721396.62</v>
      </c>
      <c r="S98" s="0" t="n">
        <v>-721396.62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-676309.33125</v>
      </c>
      <c r="U101" s="0" t="n">
        <v>-676309.33125</v>
      </c>
      <c r="V101" s="0" t="n">
        <v>-676309.33125</v>
      </c>
      <c r="W101" s="0" t="n">
        <v>-676309.33125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30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第6次滾算摘要</t>
        </is>
      </c>
    </row>
    <row r="6" ht="16.5" customHeight="1" s="58" thickBot="1">
      <c r="M6" s="0" t="inlineStr">
        <is>
          <t>價金: 22053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7.54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26.24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第6次滾算，減少 1160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22053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-28851.9399</v>
      </c>
      <c r="E49" s="0" t="n">
        <v>-28851.9399</v>
      </c>
      <c r="F49" s="0" t="n">
        <v>-28851.9399</v>
      </c>
      <c r="G49" s="0" t="n">
        <v>-28851.9399</v>
      </c>
      <c r="H49" s="0" t="n">
        <v>-28851.9399</v>
      </c>
      <c r="I49" s="0" t="n">
        <v>-28851.9399</v>
      </c>
      <c r="J49" s="0" t="n">
        <v>-28851.9399</v>
      </c>
      <c r="K49" s="0" t="n">
        <v>-28851.9399</v>
      </c>
      <c r="L49" s="0" t="n">
        <v>-28851.9399</v>
      </c>
      <c r="M49" s="0" t="n">
        <v>-28851.9399</v>
      </c>
      <c r="N49" s="0" t="n">
        <v>-28851.9399</v>
      </c>
      <c r="O49" s="0" t="n">
        <v>-28851.9399</v>
      </c>
      <c r="P49" s="0" t="n">
        <v>-28851.9399</v>
      </c>
      <c r="Q49" s="0" t="n">
        <v>-28851.9399</v>
      </c>
      <c r="R49" s="0" t="n">
        <v>-28851.9399</v>
      </c>
      <c r="S49" s="0" t="n">
        <v>-28851.9399</v>
      </c>
      <c r="T49" s="0" t="n">
        <v>-28851.9399</v>
      </c>
      <c r="U49" s="0" t="n">
        <v>-28851.9399</v>
      </c>
      <c r="V49" s="0" t="n">
        <v>-28851.9399</v>
      </c>
      <c r="W49" s="0" t="n">
        <v>-28851.9399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-264014.3011135</v>
      </c>
      <c r="E75" s="0" t="n">
        <v>-246413.3477059333</v>
      </c>
      <c r="F75" s="0" t="n">
        <v>-228812.3942983667</v>
      </c>
      <c r="G75" s="0" t="n">
        <v>-211211.4408908</v>
      </c>
      <c r="H75" s="0" t="n">
        <v>-193610.4874832333</v>
      </c>
      <c r="I75" s="0" t="n">
        <v>-176009.5340756667</v>
      </c>
      <c r="J75" s="0" t="n">
        <v>-158408.5806681</v>
      </c>
      <c r="K75" s="0" t="n">
        <v>-140807.6272605333</v>
      </c>
      <c r="L75" s="0" t="n">
        <v>-123206.6738529667</v>
      </c>
      <c r="M75" s="0" t="n">
        <v>-105605.7204454</v>
      </c>
      <c r="N75" s="0" t="n">
        <v>-88004.76703783333</v>
      </c>
      <c r="O75" s="0" t="n">
        <v>-70403.81363026667</v>
      </c>
      <c r="P75" s="0" t="n">
        <v>-52802.8602227</v>
      </c>
      <c r="Q75" s="0" t="n">
        <v>-35201.90681513333</v>
      </c>
      <c r="R75" s="0" t="n">
        <v>-17600.95340756667</v>
      </c>
      <c r="S75" s="0" t="n">
        <v>-1.12618e-22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-687671.5533333333</v>
      </c>
      <c r="F98" s="0" t="n">
        <v>-687671.5533333333</v>
      </c>
      <c r="G98" s="0" t="n">
        <v>-687671.5533333333</v>
      </c>
      <c r="H98" s="0" t="n">
        <v>-687671.5533333333</v>
      </c>
      <c r="I98" s="0" t="n">
        <v>-687671.5533333333</v>
      </c>
      <c r="J98" s="0" t="n">
        <v>-687671.5533333333</v>
      </c>
      <c r="K98" s="0" t="n">
        <v>-687671.5533333333</v>
      </c>
      <c r="L98" s="0" t="n">
        <v>-687671.5533333333</v>
      </c>
      <c r="M98" s="0" t="n">
        <v>-687671.5533333333</v>
      </c>
      <c r="N98" s="0" t="n">
        <v>-687671.5533333333</v>
      </c>
      <c r="O98" s="0" t="n">
        <v>-687671.5533333333</v>
      </c>
      <c r="P98" s="0" t="n">
        <v>-687671.5533333333</v>
      </c>
      <c r="Q98" s="0" t="n">
        <v>-687671.5533333333</v>
      </c>
      <c r="R98" s="0" t="n">
        <v>-687671.5533333333</v>
      </c>
      <c r="S98" s="0" t="n">
        <v>-687671.5533333333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-644692.08125</v>
      </c>
      <c r="U101" s="0" t="n">
        <v>-644692.08125</v>
      </c>
      <c r="V101" s="0" t="n">
        <v>-644692.08125</v>
      </c>
      <c r="W101" s="0" t="n">
        <v>-644692.08125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s="0" t="inlineStr">
        <is>
          <t>滾算紀錄編號: 31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s="0" t="n">
        <v>2039</v>
      </c>
      <c r="M5" s="0" t="inlineStr">
        <is>
          <t>第7次滾算摘要</t>
        </is>
      </c>
    </row>
    <row r="6" ht="16.5" customHeight="1" s="58" thickBot="1">
      <c r="M6" s="0" t="inlineStr">
        <is>
          <t>價金: 20950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s="0" t="inlineStr">
        <is>
          <t>專案IRR: 8.13</t>
        </is>
      </c>
    </row>
    <row r="8" ht="16.5" customHeight="1" s="58" thickBot="1">
      <c r="A8" s="63" t="inlineStr">
        <is>
          <t>收入</t>
        </is>
      </c>
      <c r="D8" s="64" t="n"/>
      <c r="M8" s="0" t="inlineStr">
        <is>
          <t>權益法IRR: 30.13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s="0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s="0" t="n">
        <v>20</v>
      </c>
      <c r="M10" s="0" t="inlineStr">
        <is>
          <t>第7次滾算，減少 1103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/>
    </row>
    <row r="12">
      <c r="A12" s="65" t="n"/>
      <c r="B12" s="5" t="inlineStr">
        <is>
          <t>次年衰退率</t>
        </is>
      </c>
      <c r="C12" s="10" t="n">
        <v>0.004</v>
      </c>
      <c r="D12" s="65" t="n"/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/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20950</v>
      </c>
      <c r="E16" s="0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/>
    </row>
    <row r="18">
      <c r="A18" s="67" t="n"/>
      <c r="B18" s="5" t="inlineStr">
        <is>
          <t>開發費</t>
        </is>
      </c>
      <c r="C18" s="6" t="n">
        <v>2000</v>
      </c>
      <c r="D18" s="67" t="n"/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s="0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s="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s="0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s="0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s="0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s="0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s="0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s="0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s="0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s="0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s="0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s="0" t="n">
        <v>4</v>
      </c>
    </row>
    <row r="37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>
      <c r="D45" s="0" t="n">
        <v>0</v>
      </c>
      <c r="E45" s="0" t="n">
        <v>-290201.25</v>
      </c>
      <c r="F45" s="0" t="n">
        <v>-290201.25</v>
      </c>
      <c r="G45" s="0" t="n">
        <v>-290201.25</v>
      </c>
      <c r="H45" s="0" t="n">
        <v>-290201.25</v>
      </c>
      <c r="I45" s="0" t="n">
        <v>-290201.25</v>
      </c>
      <c r="J45" s="0" t="n">
        <v>-290201.25</v>
      </c>
      <c r="K45" s="0" t="n">
        <v>-290201.25</v>
      </c>
      <c r="L45" s="0" t="n">
        <v>-290201.25</v>
      </c>
      <c r="M45" s="0" t="n">
        <v>-290201.25</v>
      </c>
      <c r="N45" s="0" t="n">
        <v>-290201.25</v>
      </c>
      <c r="O45" s="0" t="n">
        <v>-290201.25</v>
      </c>
      <c r="P45" s="0" t="n">
        <v>-290201.25</v>
      </c>
      <c r="Q45" s="0" t="n">
        <v>-290201.25</v>
      </c>
      <c r="R45" s="0" t="n">
        <v>-290201.25</v>
      </c>
      <c r="S45" s="0" t="n">
        <v>-290201.25</v>
      </c>
      <c r="T45" s="0" t="n">
        <v>-290201.25</v>
      </c>
      <c r="U45" s="0" t="n">
        <v>-290201.25</v>
      </c>
      <c r="V45" s="0" t="n">
        <v>-290201.25</v>
      </c>
      <c r="W45" s="0" t="n">
        <v>-290201.25</v>
      </c>
    </row>
    <row r="48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>
      <c r="D49" s="0" t="n">
        <v>-27408.885</v>
      </c>
      <c r="E49" s="0" t="n">
        <v>-27408.885</v>
      </c>
      <c r="F49" s="0" t="n">
        <v>-27408.885</v>
      </c>
      <c r="G49" s="0" t="n">
        <v>-27408.885</v>
      </c>
      <c r="H49" s="0" t="n">
        <v>-27408.885</v>
      </c>
      <c r="I49" s="0" t="n">
        <v>-27408.885</v>
      </c>
      <c r="J49" s="0" t="n">
        <v>-27408.885</v>
      </c>
      <c r="K49" s="0" t="n">
        <v>-27408.885</v>
      </c>
      <c r="L49" s="0" t="n">
        <v>-27408.885</v>
      </c>
      <c r="M49" s="0" t="n">
        <v>-27408.885</v>
      </c>
      <c r="N49" s="0" t="n">
        <v>-27408.885</v>
      </c>
      <c r="O49" s="0" t="n">
        <v>-27408.885</v>
      </c>
      <c r="P49" s="0" t="n">
        <v>-27408.885</v>
      </c>
      <c r="Q49" s="0" t="n">
        <v>-27408.885</v>
      </c>
      <c r="R49" s="0" t="n">
        <v>-27408.885</v>
      </c>
      <c r="S49" s="0" t="n">
        <v>-27408.885</v>
      </c>
      <c r="T49" s="0" t="n">
        <v>-27408.885</v>
      </c>
      <c r="U49" s="0" t="n">
        <v>-27408.885</v>
      </c>
      <c r="V49" s="0" t="n">
        <v>-27408.885</v>
      </c>
      <c r="W49" s="0" t="n">
        <v>-27408.885</v>
      </c>
    </row>
    <row r="50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75">
      <c r="D75" s="0" t="n">
        <v>-251702.637725</v>
      </c>
      <c r="E75" s="0" t="n">
        <v>-234922.4618766667</v>
      </c>
      <c r="F75" s="0" t="n">
        <v>-218142.2860283333</v>
      </c>
      <c r="G75" s="0" t="n">
        <v>-201362.11018</v>
      </c>
      <c r="H75" s="0" t="n">
        <v>-184581.9343316667</v>
      </c>
      <c r="I75" s="0" t="n">
        <v>-167801.7584833333</v>
      </c>
      <c r="J75" s="0" t="n">
        <v>-151021.582635</v>
      </c>
      <c r="K75" s="0" t="n">
        <v>-134241.4067866667</v>
      </c>
      <c r="L75" s="0" t="n">
        <v>-117461.2309383333</v>
      </c>
      <c r="M75" s="0" t="n">
        <v>-100681.05509</v>
      </c>
      <c r="N75" s="0" t="n">
        <v>-83900.87924166667</v>
      </c>
      <c r="O75" s="0" t="n">
        <v>-67120.70339333333</v>
      </c>
      <c r="P75" s="0" t="n">
        <v>-50340.527545</v>
      </c>
      <c r="Q75" s="0" t="n">
        <v>-33560.35169666666</v>
      </c>
      <c r="R75" s="0" t="n">
        <v>-16780.17584833333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r="98">
      <c r="E98" s="0" t="n">
        <v>-655603.6666666666</v>
      </c>
      <c r="F98" s="0" t="n">
        <v>-655603.6666666666</v>
      </c>
      <c r="G98" s="0" t="n">
        <v>-655603.6666666666</v>
      </c>
      <c r="H98" s="0" t="n">
        <v>-655603.6666666666</v>
      </c>
      <c r="I98" s="0" t="n">
        <v>-655603.6666666666</v>
      </c>
      <c r="J98" s="0" t="n">
        <v>-655603.6666666666</v>
      </c>
      <c r="K98" s="0" t="n">
        <v>-655603.6666666666</v>
      </c>
      <c r="L98" s="0" t="n">
        <v>-655603.6666666666</v>
      </c>
      <c r="M98" s="0" t="n">
        <v>-655603.6666666666</v>
      </c>
      <c r="N98" s="0" t="n">
        <v>-655603.6666666666</v>
      </c>
      <c r="O98" s="0" t="n">
        <v>-655603.6666666666</v>
      </c>
      <c r="P98" s="0" t="n">
        <v>-655603.6666666666</v>
      </c>
      <c r="Q98" s="0" t="n">
        <v>-655603.6666666666</v>
      </c>
      <c r="R98" s="0" t="n">
        <v>-655603.6666666666</v>
      </c>
      <c r="S98" s="0" t="n">
        <v>-655603.6666666666</v>
      </c>
      <c r="T98" s="0" t="n">
        <v>0</v>
      </c>
      <c r="U98" s="0" t="n">
        <v>0</v>
      </c>
      <c r="V98" s="0" t="n">
        <v>0</v>
      </c>
      <c r="W98" s="0" t="n">
        <v>0</v>
      </c>
    </row>
    <row r="101"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-614628.4375</v>
      </c>
      <c r="U101" s="0" t="n">
        <v>-614628.4375</v>
      </c>
      <c r="V101" s="0" t="n">
        <v>-614628.4375</v>
      </c>
      <c r="W101" s="0" t="n">
        <v>-614628.4375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32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初始價金摘要</t>
        </is>
      </c>
    </row>
    <row r="6" ht="16.5" customHeight="1" s="58" thickBot="1">
      <c r="M6" t="inlineStr">
        <is>
          <t>價金: 30000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4.29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10.43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初始價金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30000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-39249</v>
      </c>
      <c r="E49" t="n">
        <v>-39249</v>
      </c>
      <c r="F49" t="n">
        <v>-39249</v>
      </c>
      <c r="G49" t="n">
        <v>-39249</v>
      </c>
      <c r="H49" t="n">
        <v>-39249</v>
      </c>
      <c r="I49" t="n">
        <v>-39249</v>
      </c>
      <c r="J49" t="n">
        <v>-39249</v>
      </c>
      <c r="K49" t="n">
        <v>-39249</v>
      </c>
      <c r="L49" t="n">
        <v>-39249</v>
      </c>
      <c r="M49" t="n">
        <v>-39249</v>
      </c>
      <c r="N49" t="n">
        <v>-39249</v>
      </c>
      <c r="O49" t="n">
        <v>-39249</v>
      </c>
      <c r="P49" t="n">
        <v>-39249</v>
      </c>
      <c r="Q49" t="n">
        <v>-39249</v>
      </c>
      <c r="R49" t="n">
        <v>-39249</v>
      </c>
      <c r="S49" t="n">
        <v>-39249</v>
      </c>
      <c r="T49" t="n">
        <v>-39249</v>
      </c>
      <c r="U49" t="n">
        <v>-39249</v>
      </c>
      <c r="V49" t="n">
        <v>-39249</v>
      </c>
      <c r="W49" t="n">
        <v>-39249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-352718.5522</v>
      </c>
      <c r="E75" t="n">
        <v>-329203.9820533333</v>
      </c>
      <c r="F75" t="n">
        <v>-305689.4119066666</v>
      </c>
      <c r="G75" t="n">
        <v>-282174.84176</v>
      </c>
      <c r="H75" t="n">
        <v>-258660.2716133333</v>
      </c>
      <c r="I75" t="n">
        <v>-235145.7014666667</v>
      </c>
      <c r="J75" t="n">
        <v>-211631.13132</v>
      </c>
      <c r="K75" t="n">
        <v>-188116.5611733333</v>
      </c>
      <c r="L75" t="n">
        <v>-164601.9910266667</v>
      </c>
      <c r="M75" t="n">
        <v>-141087.42088</v>
      </c>
      <c r="N75" t="n">
        <v>-117572.8507333333</v>
      </c>
      <c r="O75" t="n">
        <v>-94058.28058666666</v>
      </c>
      <c r="P75" t="n">
        <v>-70543.71044</v>
      </c>
      <c r="Q75" t="n">
        <v>-47029.14029333333</v>
      </c>
      <c r="R75" t="n">
        <v>-23514.57014666667</v>
      </c>
      <c r="S75" t="n">
        <v>-4.19758e-22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-918717.3333333334</v>
      </c>
      <c r="F98" t="n">
        <v>-918717.3333333334</v>
      </c>
      <c r="G98" t="n">
        <v>-918717.3333333334</v>
      </c>
      <c r="H98" t="n">
        <v>-918717.3333333334</v>
      </c>
      <c r="I98" t="n">
        <v>-918717.3333333334</v>
      </c>
      <c r="J98" t="n">
        <v>-918717.3333333334</v>
      </c>
      <c r="K98" t="n">
        <v>-918717.3333333334</v>
      </c>
      <c r="L98" t="n">
        <v>-918717.3333333334</v>
      </c>
      <c r="M98" t="n">
        <v>-918717.3333333334</v>
      </c>
      <c r="N98" t="n">
        <v>-918717.3333333334</v>
      </c>
      <c r="O98" t="n">
        <v>-918717.3333333334</v>
      </c>
      <c r="P98" t="n">
        <v>-918717.3333333334</v>
      </c>
      <c r="Q98" t="n">
        <v>-918717.3333333334</v>
      </c>
      <c r="R98" t="n">
        <v>-918717.3333333334</v>
      </c>
      <c r="S98" t="n">
        <v>-918717.3333333334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-861297.5</v>
      </c>
      <c r="U101" t="n">
        <v>-861297.5</v>
      </c>
      <c r="V101" t="n">
        <v>-861297.5</v>
      </c>
      <c r="W101" t="n">
        <v>-861297.5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33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第1次滾算摘要</t>
        </is>
      </c>
    </row>
    <row r="6" ht="16.5" customHeight="1" s="58" thickBot="1">
      <c r="M6" t="inlineStr">
        <is>
          <t>價金: 28500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4.8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12.44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第1次滾算，減少 1500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28500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-37286.55</v>
      </c>
      <c r="E49" t="n">
        <v>-37286.55</v>
      </c>
      <c r="F49" t="n">
        <v>-37286.55</v>
      </c>
      <c r="G49" t="n">
        <v>-37286.55</v>
      </c>
      <c r="H49" t="n">
        <v>-37286.55</v>
      </c>
      <c r="I49" t="n">
        <v>-37286.55</v>
      </c>
      <c r="J49" t="n">
        <v>-37286.55</v>
      </c>
      <c r="K49" t="n">
        <v>-37286.55</v>
      </c>
      <c r="L49" t="n">
        <v>-37286.55</v>
      </c>
      <c r="M49" t="n">
        <v>-37286.55</v>
      </c>
      <c r="N49" t="n">
        <v>-37286.55</v>
      </c>
      <c r="O49" t="n">
        <v>-37286.55</v>
      </c>
      <c r="P49" t="n">
        <v>-37286.55</v>
      </c>
      <c r="Q49" t="n">
        <v>-37286.55</v>
      </c>
      <c r="R49" t="n">
        <v>-37286.55</v>
      </c>
      <c r="S49" t="n">
        <v>-37286.55</v>
      </c>
      <c r="T49" t="n">
        <v>-37286.55</v>
      </c>
      <c r="U49" t="n">
        <v>-37286.55</v>
      </c>
      <c r="V49" t="n">
        <v>-37286.55</v>
      </c>
      <c r="W49" t="n">
        <v>-37286.55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-335975.58295</v>
      </c>
      <c r="E75" t="n">
        <v>-313577.2107533333</v>
      </c>
      <c r="F75" t="n">
        <v>-291178.8385566667</v>
      </c>
      <c r="G75" t="n">
        <v>-268780.46636</v>
      </c>
      <c r="H75" t="n">
        <v>-246382.0941633333</v>
      </c>
      <c r="I75" t="n">
        <v>-223983.7219666667</v>
      </c>
      <c r="J75" t="n">
        <v>-201585.34977</v>
      </c>
      <c r="K75" t="n">
        <v>-179186.9775733333</v>
      </c>
      <c r="L75" t="n">
        <v>-156788.6053766667</v>
      </c>
      <c r="M75" t="n">
        <v>-134390.23318</v>
      </c>
      <c r="N75" t="n">
        <v>-111991.8609833333</v>
      </c>
      <c r="O75" t="n">
        <v>-89593.48878666667</v>
      </c>
      <c r="P75" t="n">
        <v>-67195.11659000001</v>
      </c>
      <c r="Q75" t="n">
        <v>-44796.74439333333</v>
      </c>
      <c r="R75" t="n">
        <v>-22398.37219666667</v>
      </c>
      <c r="S75" t="n">
        <v>-3.42973e-22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-875107.3333333334</v>
      </c>
      <c r="F98" t="n">
        <v>-875107.3333333334</v>
      </c>
      <c r="G98" t="n">
        <v>-875107.3333333334</v>
      </c>
      <c r="H98" t="n">
        <v>-875107.3333333334</v>
      </c>
      <c r="I98" t="n">
        <v>-875107.3333333334</v>
      </c>
      <c r="J98" t="n">
        <v>-875107.3333333334</v>
      </c>
      <c r="K98" t="n">
        <v>-875107.3333333334</v>
      </c>
      <c r="L98" t="n">
        <v>-875107.3333333334</v>
      </c>
      <c r="M98" t="n">
        <v>-875107.3333333334</v>
      </c>
      <c r="N98" t="n">
        <v>-875107.3333333334</v>
      </c>
      <c r="O98" t="n">
        <v>-875107.3333333334</v>
      </c>
      <c r="P98" t="n">
        <v>-875107.3333333334</v>
      </c>
      <c r="Q98" t="n">
        <v>-875107.3333333334</v>
      </c>
      <c r="R98" t="n">
        <v>-875107.3333333334</v>
      </c>
      <c r="S98" t="n">
        <v>-875107.3333333334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-820413.125</v>
      </c>
      <c r="U101" t="n">
        <v>-820413.125</v>
      </c>
      <c r="V101" t="n">
        <v>-820413.125</v>
      </c>
      <c r="W101" t="n">
        <v>-820413.125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34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第2次滾算摘要</t>
        </is>
      </c>
    </row>
    <row r="6" ht="16.5" customHeight="1" s="58" thickBot="1">
      <c r="M6" t="inlineStr">
        <is>
          <t>價金: 27075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5.32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14.64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第2次滾算，減少 1425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27075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-35422.2225</v>
      </c>
      <c r="E49" t="n">
        <v>-35422.2225</v>
      </c>
      <c r="F49" t="n">
        <v>-35422.2225</v>
      </c>
      <c r="G49" t="n">
        <v>-35422.2225</v>
      </c>
      <c r="H49" t="n">
        <v>-35422.2225</v>
      </c>
      <c r="I49" t="n">
        <v>-35422.2225</v>
      </c>
      <c r="J49" t="n">
        <v>-35422.2225</v>
      </c>
      <c r="K49" t="n">
        <v>-35422.2225</v>
      </c>
      <c r="L49" t="n">
        <v>-35422.2225</v>
      </c>
      <c r="M49" t="n">
        <v>-35422.2225</v>
      </c>
      <c r="N49" t="n">
        <v>-35422.2225</v>
      </c>
      <c r="O49" t="n">
        <v>-35422.2225</v>
      </c>
      <c r="P49" t="n">
        <v>-35422.2225</v>
      </c>
      <c r="Q49" t="n">
        <v>-35422.2225</v>
      </c>
      <c r="R49" t="n">
        <v>-35422.2225</v>
      </c>
      <c r="S49" t="n">
        <v>-35422.2225</v>
      </c>
      <c r="T49" t="n">
        <v>-35422.2225</v>
      </c>
      <c r="U49" t="n">
        <v>-35422.2225</v>
      </c>
      <c r="V49" t="n">
        <v>-35422.2225</v>
      </c>
      <c r="W49" t="n">
        <v>-35422.2225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-320069.7621625</v>
      </c>
      <c r="E75" t="n">
        <v>-298731.7780183333</v>
      </c>
      <c r="F75" t="n">
        <v>-277393.7938741667</v>
      </c>
      <c r="G75" t="n">
        <v>-256055.80973</v>
      </c>
      <c r="H75" t="n">
        <v>-234717.8255858333</v>
      </c>
      <c r="I75" t="n">
        <v>-213379.8414416667</v>
      </c>
      <c r="J75" t="n">
        <v>-192041.8572975</v>
      </c>
      <c r="K75" t="n">
        <v>-170703.8731533333</v>
      </c>
      <c r="L75" t="n">
        <v>-149365.8890091667</v>
      </c>
      <c r="M75" t="n">
        <v>-128027.904865</v>
      </c>
      <c r="N75" t="n">
        <v>-106689.9207208333</v>
      </c>
      <c r="O75" t="n">
        <v>-85351.93657666666</v>
      </c>
      <c r="P75" t="n">
        <v>-64013.9524325</v>
      </c>
      <c r="Q75" t="n">
        <v>-42675.96828833333</v>
      </c>
      <c r="R75" t="n">
        <v>-21337.98414416666</v>
      </c>
      <c r="S75" t="n">
        <v>-3.42973e-22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-833677.8333333334</v>
      </c>
      <c r="F98" t="n">
        <v>-833677.8333333334</v>
      </c>
      <c r="G98" t="n">
        <v>-833677.8333333334</v>
      </c>
      <c r="H98" t="n">
        <v>-833677.8333333334</v>
      </c>
      <c r="I98" t="n">
        <v>-833677.8333333334</v>
      </c>
      <c r="J98" t="n">
        <v>-833677.8333333334</v>
      </c>
      <c r="K98" t="n">
        <v>-833677.8333333334</v>
      </c>
      <c r="L98" t="n">
        <v>-833677.8333333334</v>
      </c>
      <c r="M98" t="n">
        <v>-833677.8333333334</v>
      </c>
      <c r="N98" t="n">
        <v>-833677.8333333334</v>
      </c>
      <c r="O98" t="n">
        <v>-833677.8333333334</v>
      </c>
      <c r="P98" t="n">
        <v>-833677.8333333334</v>
      </c>
      <c r="Q98" t="n">
        <v>-833677.8333333334</v>
      </c>
      <c r="R98" t="n">
        <v>-833677.8333333334</v>
      </c>
      <c r="S98" t="n">
        <v>-833677.8333333334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-781572.96875</v>
      </c>
      <c r="U101" t="n">
        <v>-781572.96875</v>
      </c>
      <c r="V101" t="n">
        <v>-781572.96875</v>
      </c>
      <c r="W101" t="n">
        <v>-781572.96875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35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第3次滾算摘要</t>
        </is>
      </c>
    </row>
    <row r="6" ht="16.5" customHeight="1" s="58" thickBot="1">
      <c r="M6" t="inlineStr">
        <is>
          <t>價金: 25721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5.85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17.08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第3次滾算，減少 1354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25721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-33650.7843</v>
      </c>
      <c r="E49" t="n">
        <v>-33650.7843</v>
      </c>
      <c r="F49" t="n">
        <v>-33650.7843</v>
      </c>
      <c r="G49" t="n">
        <v>-33650.7843</v>
      </c>
      <c r="H49" t="n">
        <v>-33650.7843</v>
      </c>
      <c r="I49" t="n">
        <v>-33650.7843</v>
      </c>
      <c r="J49" t="n">
        <v>-33650.7843</v>
      </c>
      <c r="K49" t="n">
        <v>-33650.7843</v>
      </c>
      <c r="L49" t="n">
        <v>-33650.7843</v>
      </c>
      <c r="M49" t="n">
        <v>-33650.7843</v>
      </c>
      <c r="N49" t="n">
        <v>-33650.7843</v>
      </c>
      <c r="O49" t="n">
        <v>-33650.7843</v>
      </c>
      <c r="P49" t="n">
        <v>-33650.7843</v>
      </c>
      <c r="Q49" t="n">
        <v>-33650.7843</v>
      </c>
      <c r="R49" t="n">
        <v>-33650.7843</v>
      </c>
      <c r="S49" t="n">
        <v>-33650.7843</v>
      </c>
      <c r="T49" t="n">
        <v>-33650.7843</v>
      </c>
      <c r="U49" t="n">
        <v>-33650.7843</v>
      </c>
      <c r="V49" t="n">
        <v>-33650.7843</v>
      </c>
      <c r="W49" t="n">
        <v>-33650.7843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-304956.4419195</v>
      </c>
      <c r="E75" t="n">
        <v>-284626.0124582</v>
      </c>
      <c r="F75" t="n">
        <v>-264295.5829969</v>
      </c>
      <c r="G75" t="n">
        <v>-243965.1535356</v>
      </c>
      <c r="H75" t="n">
        <v>-223634.7240743</v>
      </c>
      <c r="I75" t="n">
        <v>-203304.294613</v>
      </c>
      <c r="J75" t="n">
        <v>-182973.8651517</v>
      </c>
      <c r="K75" t="n">
        <v>-162643.4356904</v>
      </c>
      <c r="L75" t="n">
        <v>-142313.0062291</v>
      </c>
      <c r="M75" t="n">
        <v>-121982.5767678</v>
      </c>
      <c r="N75" t="n">
        <v>-101652.1473065</v>
      </c>
      <c r="O75" t="n">
        <v>-81321.71784519999</v>
      </c>
      <c r="P75" t="n">
        <v>-60991.2883839</v>
      </c>
      <c r="Q75" t="n">
        <v>-40660.8589226</v>
      </c>
      <c r="R75" t="n">
        <v>-20330.4294613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-794312.54</v>
      </c>
      <c r="F98" t="n">
        <v>-794312.54</v>
      </c>
      <c r="G98" t="n">
        <v>-794312.54</v>
      </c>
      <c r="H98" t="n">
        <v>-794312.54</v>
      </c>
      <c r="I98" t="n">
        <v>-794312.54</v>
      </c>
      <c r="J98" t="n">
        <v>-794312.54</v>
      </c>
      <c r="K98" t="n">
        <v>-794312.54</v>
      </c>
      <c r="L98" t="n">
        <v>-794312.54</v>
      </c>
      <c r="M98" t="n">
        <v>-794312.54</v>
      </c>
      <c r="N98" t="n">
        <v>-794312.54</v>
      </c>
      <c r="O98" t="n">
        <v>-794312.54</v>
      </c>
      <c r="P98" t="n">
        <v>-794312.54</v>
      </c>
      <c r="Q98" t="n">
        <v>-794312.54</v>
      </c>
      <c r="R98" t="n">
        <v>-794312.54</v>
      </c>
      <c r="S98" t="n">
        <v>-794312.54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-744668.00625</v>
      </c>
      <c r="U101" t="n">
        <v>-744668.00625</v>
      </c>
      <c r="V101" t="n">
        <v>-744668.00625</v>
      </c>
      <c r="W101" t="n">
        <v>-744668.00625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36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第4次滾算摘要</t>
        </is>
      </c>
    </row>
    <row r="6" ht="16.5" customHeight="1" s="58" thickBot="1">
      <c r="M6" t="inlineStr">
        <is>
          <t>價金: 24435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6.4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19.78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第4次滾算，減少 1286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24435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-31968.3105</v>
      </c>
      <c r="E49" t="n">
        <v>-31968.3105</v>
      </c>
      <c r="F49" t="n">
        <v>-31968.3105</v>
      </c>
      <c r="G49" t="n">
        <v>-31968.3105</v>
      </c>
      <c r="H49" t="n">
        <v>-31968.3105</v>
      </c>
      <c r="I49" t="n">
        <v>-31968.3105</v>
      </c>
      <c r="J49" t="n">
        <v>-31968.3105</v>
      </c>
      <c r="K49" t="n">
        <v>-31968.3105</v>
      </c>
      <c r="L49" t="n">
        <v>-31968.3105</v>
      </c>
      <c r="M49" t="n">
        <v>-31968.3105</v>
      </c>
      <c r="N49" t="n">
        <v>-31968.3105</v>
      </c>
      <c r="O49" t="n">
        <v>-31968.3105</v>
      </c>
      <c r="P49" t="n">
        <v>-31968.3105</v>
      </c>
      <c r="Q49" t="n">
        <v>-31968.3105</v>
      </c>
      <c r="R49" t="n">
        <v>-31968.3105</v>
      </c>
      <c r="S49" t="n">
        <v>-31968.3105</v>
      </c>
      <c r="T49" t="n">
        <v>-31968.3105</v>
      </c>
      <c r="U49" t="n">
        <v>-31968.3105</v>
      </c>
      <c r="V49" t="n">
        <v>-31968.3105</v>
      </c>
      <c r="W49" t="n">
        <v>-31968.3105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-290602.1362825</v>
      </c>
      <c r="E75" t="n">
        <v>-271228.6605303333</v>
      </c>
      <c r="F75" t="n">
        <v>-251855.1847781667</v>
      </c>
      <c r="G75" t="n">
        <v>-232481.709026</v>
      </c>
      <c r="H75" t="n">
        <v>-213108.2332738333</v>
      </c>
      <c r="I75" t="n">
        <v>-193734.7575216667</v>
      </c>
      <c r="J75" t="n">
        <v>-174361.2817695</v>
      </c>
      <c r="K75" t="n">
        <v>-154987.8060173333</v>
      </c>
      <c r="L75" t="n">
        <v>-135614.3302651667</v>
      </c>
      <c r="M75" t="n">
        <v>-116240.854513</v>
      </c>
      <c r="N75" t="n">
        <v>-96867.37876083334</v>
      </c>
      <c r="O75" t="n">
        <v>-77493.90300866666</v>
      </c>
      <c r="P75" t="n">
        <v>-58120.4272565</v>
      </c>
      <c r="Q75" t="n">
        <v>-38746.95150433333</v>
      </c>
      <c r="R75" t="n">
        <v>-19373.47575216667</v>
      </c>
      <c r="S75" t="n">
        <v>-1.89403e-22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-756924.2333333333</v>
      </c>
      <c r="F98" t="n">
        <v>-756924.2333333333</v>
      </c>
      <c r="G98" t="n">
        <v>-756924.2333333333</v>
      </c>
      <c r="H98" t="n">
        <v>-756924.2333333333</v>
      </c>
      <c r="I98" t="n">
        <v>-756924.2333333333</v>
      </c>
      <c r="J98" t="n">
        <v>-756924.2333333333</v>
      </c>
      <c r="K98" t="n">
        <v>-756924.2333333333</v>
      </c>
      <c r="L98" t="n">
        <v>-756924.2333333333</v>
      </c>
      <c r="M98" t="n">
        <v>-756924.2333333333</v>
      </c>
      <c r="N98" t="n">
        <v>-756924.2333333333</v>
      </c>
      <c r="O98" t="n">
        <v>-756924.2333333333</v>
      </c>
      <c r="P98" t="n">
        <v>-756924.2333333333</v>
      </c>
      <c r="Q98" t="n">
        <v>-756924.2333333333</v>
      </c>
      <c r="R98" t="n">
        <v>-756924.2333333333</v>
      </c>
      <c r="S98" t="n">
        <v>-756924.2333333333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-709616.46875</v>
      </c>
      <c r="U101" t="n">
        <v>-709616.46875</v>
      </c>
      <c r="V101" t="n">
        <v>-709616.46875</v>
      </c>
      <c r="W101" t="n">
        <v>-709616.46875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37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第5次滾算摘要</t>
        </is>
      </c>
    </row>
    <row r="6" ht="16.5" customHeight="1" s="58" thickBot="1">
      <c r="M6" t="inlineStr">
        <is>
          <t>價金: 23213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6.96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22.82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第5次滾算，減少 1222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23213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-30369.5679</v>
      </c>
      <c r="E49" t="n">
        <v>-30369.5679</v>
      </c>
      <c r="F49" t="n">
        <v>-30369.5679</v>
      </c>
      <c r="G49" t="n">
        <v>-30369.5679</v>
      </c>
      <c r="H49" t="n">
        <v>-30369.5679</v>
      </c>
      <c r="I49" t="n">
        <v>-30369.5679</v>
      </c>
      <c r="J49" t="n">
        <v>-30369.5679</v>
      </c>
      <c r="K49" t="n">
        <v>-30369.5679</v>
      </c>
      <c r="L49" t="n">
        <v>-30369.5679</v>
      </c>
      <c r="M49" t="n">
        <v>-30369.5679</v>
      </c>
      <c r="N49" t="n">
        <v>-30369.5679</v>
      </c>
      <c r="O49" t="n">
        <v>-30369.5679</v>
      </c>
      <c r="P49" t="n">
        <v>-30369.5679</v>
      </c>
      <c r="Q49" t="n">
        <v>-30369.5679</v>
      </c>
      <c r="R49" t="n">
        <v>-30369.5679</v>
      </c>
      <c r="S49" t="n">
        <v>-30369.5679</v>
      </c>
      <c r="T49" t="n">
        <v>-30369.5679</v>
      </c>
      <c r="U49" t="n">
        <v>-30369.5679</v>
      </c>
      <c r="V49" t="n">
        <v>-30369.5679</v>
      </c>
      <c r="W49" t="n">
        <v>-30369.5679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-276962.1973335</v>
      </c>
      <c r="E75" t="n">
        <v>-258498.0508446</v>
      </c>
      <c r="F75" t="n">
        <v>-240033.9043557</v>
      </c>
      <c r="G75" t="n">
        <v>-221569.7578668</v>
      </c>
      <c r="H75" t="n">
        <v>-203105.6113779</v>
      </c>
      <c r="I75" t="n">
        <v>-184641.464889</v>
      </c>
      <c r="J75" t="n">
        <v>-166177.3184001</v>
      </c>
      <c r="K75" t="n">
        <v>-147713.1719112</v>
      </c>
      <c r="L75" t="n">
        <v>-129249.0254223</v>
      </c>
      <c r="M75" t="n">
        <v>-110784.8789334</v>
      </c>
      <c r="N75" t="n">
        <v>-92320.7324445</v>
      </c>
      <c r="O75" t="n">
        <v>-73856.58595560001</v>
      </c>
      <c r="P75" t="n">
        <v>-55392.4394667</v>
      </c>
      <c r="Q75" t="n">
        <v>-36928.2929778</v>
      </c>
      <c r="R75" t="n">
        <v>-18464.1464889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-721396.62</v>
      </c>
      <c r="F98" t="n">
        <v>-721396.62</v>
      </c>
      <c r="G98" t="n">
        <v>-721396.62</v>
      </c>
      <c r="H98" t="n">
        <v>-721396.62</v>
      </c>
      <c r="I98" t="n">
        <v>-721396.62</v>
      </c>
      <c r="J98" t="n">
        <v>-721396.62</v>
      </c>
      <c r="K98" t="n">
        <v>-721396.62</v>
      </c>
      <c r="L98" t="n">
        <v>-721396.62</v>
      </c>
      <c r="M98" t="n">
        <v>-721396.62</v>
      </c>
      <c r="N98" t="n">
        <v>-721396.62</v>
      </c>
      <c r="O98" t="n">
        <v>-721396.62</v>
      </c>
      <c r="P98" t="n">
        <v>-721396.62</v>
      </c>
      <c r="Q98" t="n">
        <v>-721396.62</v>
      </c>
      <c r="R98" t="n">
        <v>-721396.62</v>
      </c>
      <c r="S98" t="n">
        <v>-721396.62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-676309.33125</v>
      </c>
      <c r="U101" t="n">
        <v>-676309.33125</v>
      </c>
      <c r="V101" t="n">
        <v>-676309.33125</v>
      </c>
      <c r="W101" t="n">
        <v>-676309.33125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38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第6次滾算摘要</t>
        </is>
      </c>
    </row>
    <row r="6" ht="16.5" customHeight="1" s="58" thickBot="1">
      <c r="M6" t="inlineStr">
        <is>
          <t>價金: 22053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7.54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26.24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第6次滾算，減少 1160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22053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-28851.9399</v>
      </c>
      <c r="E49" t="n">
        <v>-28851.9399</v>
      </c>
      <c r="F49" t="n">
        <v>-28851.9399</v>
      </c>
      <c r="G49" t="n">
        <v>-28851.9399</v>
      </c>
      <c r="H49" t="n">
        <v>-28851.9399</v>
      </c>
      <c r="I49" t="n">
        <v>-28851.9399</v>
      </c>
      <c r="J49" t="n">
        <v>-28851.9399</v>
      </c>
      <c r="K49" t="n">
        <v>-28851.9399</v>
      </c>
      <c r="L49" t="n">
        <v>-28851.9399</v>
      </c>
      <c r="M49" t="n">
        <v>-28851.9399</v>
      </c>
      <c r="N49" t="n">
        <v>-28851.9399</v>
      </c>
      <c r="O49" t="n">
        <v>-28851.9399</v>
      </c>
      <c r="P49" t="n">
        <v>-28851.9399</v>
      </c>
      <c r="Q49" t="n">
        <v>-28851.9399</v>
      </c>
      <c r="R49" t="n">
        <v>-28851.9399</v>
      </c>
      <c r="S49" t="n">
        <v>-28851.9399</v>
      </c>
      <c r="T49" t="n">
        <v>-28851.9399</v>
      </c>
      <c r="U49" t="n">
        <v>-28851.9399</v>
      </c>
      <c r="V49" t="n">
        <v>-28851.9399</v>
      </c>
      <c r="W49" t="n">
        <v>-28851.9399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-264014.3011135</v>
      </c>
      <c r="E75" t="n">
        <v>-246413.3477059333</v>
      </c>
      <c r="F75" t="n">
        <v>-228812.3942983667</v>
      </c>
      <c r="G75" t="n">
        <v>-211211.4408908</v>
      </c>
      <c r="H75" t="n">
        <v>-193610.4874832333</v>
      </c>
      <c r="I75" t="n">
        <v>-176009.5340756667</v>
      </c>
      <c r="J75" t="n">
        <v>-158408.5806681</v>
      </c>
      <c r="K75" t="n">
        <v>-140807.6272605333</v>
      </c>
      <c r="L75" t="n">
        <v>-123206.6738529667</v>
      </c>
      <c r="M75" t="n">
        <v>-105605.7204454</v>
      </c>
      <c r="N75" t="n">
        <v>-88004.76703783333</v>
      </c>
      <c r="O75" t="n">
        <v>-70403.81363026667</v>
      </c>
      <c r="P75" t="n">
        <v>-52802.8602227</v>
      </c>
      <c r="Q75" t="n">
        <v>-35201.90681513333</v>
      </c>
      <c r="R75" t="n">
        <v>-17600.95340756667</v>
      </c>
      <c r="S75" t="n">
        <v>-1.12618e-22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-687671.5533333333</v>
      </c>
      <c r="F98" t="n">
        <v>-687671.5533333333</v>
      </c>
      <c r="G98" t="n">
        <v>-687671.5533333333</v>
      </c>
      <c r="H98" t="n">
        <v>-687671.5533333333</v>
      </c>
      <c r="I98" t="n">
        <v>-687671.5533333333</v>
      </c>
      <c r="J98" t="n">
        <v>-687671.5533333333</v>
      </c>
      <c r="K98" t="n">
        <v>-687671.5533333333</v>
      </c>
      <c r="L98" t="n">
        <v>-687671.5533333333</v>
      </c>
      <c r="M98" t="n">
        <v>-687671.5533333333</v>
      </c>
      <c r="N98" t="n">
        <v>-687671.5533333333</v>
      </c>
      <c r="O98" t="n">
        <v>-687671.5533333333</v>
      </c>
      <c r="P98" t="n">
        <v>-687671.5533333333</v>
      </c>
      <c r="Q98" t="n">
        <v>-687671.5533333333</v>
      </c>
      <c r="R98" t="n">
        <v>-687671.5533333333</v>
      </c>
      <c r="S98" t="n">
        <v>-687671.5533333333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-644692.08125</v>
      </c>
      <c r="U101" t="n">
        <v>-644692.08125</v>
      </c>
      <c r="V101" t="n">
        <v>-644692.08125</v>
      </c>
      <c r="W101" t="n">
        <v>-644692.08125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ColWidth="8.75" defaultRowHeight="15.75"/>
  <cols>
    <col width="15.25" bestFit="1" customWidth="1" style="3" min="1" max="1"/>
    <col width="29.25" bestFit="1" customWidth="1" style="3" min="2" max="2"/>
    <col width="10" bestFit="1" customWidth="1" style="3" min="3" max="4"/>
    <col width="8.75" customWidth="1" style="3" min="5" max="16384"/>
  </cols>
  <sheetData>
    <row r="1" ht="17.25" customHeight="1" s="58" thickBot="1">
      <c r="A1" s="59" t="inlineStr">
        <is>
          <t>電站基本資料</t>
        </is>
      </c>
      <c r="B1" s="60" t="n"/>
      <c r="C1" s="60" t="n"/>
      <c r="D1" s="61" t="n"/>
    </row>
    <row r="2">
      <c r="A2" s="24" t="inlineStr">
        <is>
          <t>電站名稱</t>
        </is>
      </c>
      <c r="B2" s="25" t="inlineStr">
        <is>
          <t>淡江大學-財務模擬案場</t>
        </is>
      </c>
      <c r="C2" s="51" t="inlineStr">
        <is>
          <t>淡江大學-財務模擬案場</t>
        </is>
      </c>
      <c r="D2" s="51" t="inlineStr">
        <is>
          <t>-</t>
        </is>
      </c>
    </row>
    <row r="3">
      <c r="A3" s="2" t="inlineStr">
        <is>
          <t>電站壽命</t>
        </is>
      </c>
      <c r="B3" s="6" t="n">
        <v>20</v>
      </c>
      <c r="C3" s="7" t="n">
        <v>20</v>
      </c>
      <c r="D3" s="7" t="inlineStr">
        <is>
          <t>-</t>
        </is>
      </c>
    </row>
    <row r="4">
      <c r="A4" s="2" t="inlineStr">
        <is>
          <t>建置量(kWp)</t>
        </is>
      </c>
      <c r="B4" s="6" t="n">
        <v>436.1</v>
      </c>
      <c r="C4" s="7" t="n">
        <v>436.1</v>
      </c>
      <c r="D4" s="7" t="inlineStr">
        <is>
          <t>-</t>
        </is>
      </c>
      <c r="M4" t="inlineStr">
        <is>
          <t>滾算紀錄編號: 39</t>
        </is>
      </c>
    </row>
    <row r="5">
      <c r="A5" s="5" t="inlineStr">
        <is>
          <t>起始年度</t>
        </is>
      </c>
      <c r="B5" s="5" t="n">
        <v>2020</v>
      </c>
      <c r="C5" s="5" t="n">
        <v>2020</v>
      </c>
      <c r="D5" s="5" t="n">
        <v>2039</v>
      </c>
      <c r="E5" t="n">
        <v>2039</v>
      </c>
      <c r="M5" t="inlineStr">
        <is>
          <t>第7次滾算摘要</t>
        </is>
      </c>
    </row>
    <row r="6" ht="16.5" customHeight="1" s="58" thickBot="1">
      <c r="M6" t="inlineStr">
        <is>
          <t>價金: 20950</t>
        </is>
      </c>
    </row>
    <row r="7" ht="17.25" customHeight="1" s="58" thickBot="1">
      <c r="A7" s="62" t="inlineStr">
        <is>
          <t>綜合損益表</t>
        </is>
      </c>
      <c r="B7" s="60" t="n"/>
      <c r="C7" s="60" t="n"/>
      <c r="D7" s="61" t="n"/>
      <c r="M7" t="inlineStr">
        <is>
          <t>專案IRR: 8.13</t>
        </is>
      </c>
    </row>
    <row r="8" ht="16.5" customHeight="1" s="58" thickBot="1">
      <c r="A8" s="63" t="inlineStr">
        <is>
          <t>收入</t>
        </is>
      </c>
      <c r="D8" s="64" t="n"/>
      <c r="M8" t="inlineStr">
        <is>
          <t>權益法IRR: 30.13</t>
        </is>
      </c>
    </row>
    <row r="9" ht="16.5" customHeight="1" s="58" thickBot="1">
      <c r="A9" s="16" t="inlineStr">
        <is>
          <t>收支項目</t>
        </is>
      </c>
      <c r="B9" s="17" t="inlineStr">
        <is>
          <t>相關參數</t>
        </is>
      </c>
      <c r="C9" s="17" t="inlineStr">
        <is>
          <t>參數數值</t>
        </is>
      </c>
      <c r="D9" s="18" t="inlineStr">
        <is>
          <t>年限</t>
        </is>
      </c>
      <c r="M9" t="inlineStr">
        <is>
          <t>利潤率: 20.00%</t>
        </is>
      </c>
    </row>
    <row r="10">
      <c r="A10" s="48" t="inlineStr">
        <is>
          <t>電費收入</t>
        </is>
      </c>
      <c r="B10" s="49" t="inlineStr">
        <is>
          <t>年度AC併網總發電量</t>
        </is>
      </c>
      <c r="C10" s="49" t="n">
        <v>547002</v>
      </c>
      <c r="D10" s="48" t="n">
        <v>547002</v>
      </c>
      <c r="E10" t="n">
        <v>20</v>
      </c>
      <c r="M10" t="inlineStr">
        <is>
          <t>第7次滾算，減少 1103 元 - 比率模式，每次減少 5.0%</t>
        </is>
      </c>
    </row>
    <row r="11">
      <c r="A11" s="65" t="n"/>
      <c r="B11" s="5" t="inlineStr">
        <is>
          <t>首年衰退率</t>
        </is>
      </c>
      <c r="C11" s="9" t="n">
        <v>0.01</v>
      </c>
      <c r="D11" s="65" t="n">
        <v>0.01</v>
      </c>
    </row>
    <row r="12">
      <c r="A12" s="65" t="n"/>
      <c r="B12" s="5" t="inlineStr">
        <is>
          <t>次年衰退率</t>
        </is>
      </c>
      <c r="C12" s="10" t="n">
        <v>0.004</v>
      </c>
      <c r="D12" s="65" t="n">
        <v>0.004</v>
      </c>
    </row>
    <row r="13" ht="16.5" customHeight="1" s="58" thickBot="1">
      <c r="A13" s="65" t="n"/>
      <c r="B13" s="52" t="inlineStr">
        <is>
          <t>躉售費率(FIT)</t>
        </is>
      </c>
      <c r="C13" s="52" t="n">
        <v>3.7152</v>
      </c>
      <c r="D13" s="65" t="n">
        <v>3.7152</v>
      </c>
    </row>
    <row r="14" ht="16.5" customHeight="1" s="58" thickBot="1">
      <c r="A14" s="66" t="inlineStr">
        <is>
          <t>支出</t>
        </is>
      </c>
      <c r="B14" s="60" t="n"/>
      <c r="C14" s="60" t="n"/>
      <c r="D14" s="61" t="n"/>
    </row>
    <row r="15" ht="16.5" customHeight="1" s="58" thickBot="1">
      <c r="A15" s="16" t="inlineStr">
        <is>
          <t>收支項目</t>
        </is>
      </c>
      <c r="B15" s="17" t="inlineStr">
        <is>
          <t>相關參數</t>
        </is>
      </c>
      <c r="C15" s="17" t="inlineStr">
        <is>
          <t>參數數值</t>
        </is>
      </c>
      <c r="D15" s="20" t="inlineStr">
        <is>
          <t>攤提年限</t>
        </is>
      </c>
    </row>
    <row r="16">
      <c r="A16" s="49" t="inlineStr">
        <is>
          <t>設備費用(價金)</t>
        </is>
      </c>
      <c r="B16" s="19" t="inlineStr">
        <is>
          <t>每kWp設備成本</t>
        </is>
      </c>
      <c r="C16" s="49" t="n">
        <v>30000</v>
      </c>
      <c r="D16" s="51" t="n">
        <v>20950</v>
      </c>
      <c r="E16" t="n">
        <v>20</v>
      </c>
    </row>
    <row r="17">
      <c r="A17" s="65" t="n"/>
      <c r="B17" s="5" t="inlineStr">
        <is>
          <t>信邦利潤率</t>
        </is>
      </c>
      <c r="C17" s="6" t="n">
        <v>0.2</v>
      </c>
      <c r="D17" s="65" t="n">
        <v>0.2</v>
      </c>
    </row>
    <row r="18">
      <c r="A18" s="67" t="n"/>
      <c r="B18" s="5" t="inlineStr">
        <is>
          <t>開發費</t>
        </is>
      </c>
      <c r="C18" s="6" t="n">
        <v>2000</v>
      </c>
      <c r="D18" s="67" t="n">
        <v>2000</v>
      </c>
    </row>
    <row r="19" ht="31.5" customHeight="1" s="58">
      <c r="A19" s="5" t="inlineStr">
        <is>
          <t>租金費用</t>
        </is>
      </c>
      <c r="B19" s="15" t="inlineStr">
        <is>
          <t>租金計算方式
(1=固定攤提/2=電費抽成)</t>
        </is>
      </c>
      <c r="C19" s="6" t="n">
        <v>1</v>
      </c>
      <c r="D19" s="51" t="n">
        <v>1</v>
      </c>
      <c r="E19" t="n">
        <v>0</v>
      </c>
    </row>
    <row r="20" ht="16.5" customHeight="1" s="58">
      <c r="A20" s="65" t="n"/>
      <c r="B20" s="1" t="inlineStr">
        <is>
          <t>【方式1參數】租金總額</t>
        </is>
      </c>
      <c r="C20" s="6" t="n">
        <v>5804025</v>
      </c>
      <c r="D20" s="51" t="n">
        <v>5804025</v>
      </c>
      <c r="E20" t="n">
        <v>20</v>
      </c>
    </row>
    <row r="21">
      <c r="A21" s="67" t="n"/>
      <c r="B21" s="8" t="inlineStr">
        <is>
          <t>【方式2參數】抽成比率</t>
        </is>
      </c>
      <c r="C21" s="6" t="n"/>
      <c r="D21" s="7" t="n">
        <v>0</v>
      </c>
      <c r="E21" t="n">
        <v>0</v>
      </c>
      <c r="I21" s="4" t="n"/>
    </row>
    <row r="22">
      <c r="A22" s="5" t="inlineStr">
        <is>
          <t>運維費用</t>
        </is>
      </c>
      <c r="B22" s="8" t="inlineStr">
        <is>
          <t>每kw運維成本</t>
        </is>
      </c>
      <c r="C22" s="6" t="n">
        <v>400</v>
      </c>
      <c r="D22" s="7" t="n">
        <v>400</v>
      </c>
      <c r="E22" t="n">
        <v>20</v>
      </c>
    </row>
    <row r="23">
      <c r="A23" s="5" t="inlineStr">
        <is>
          <t>保險費用</t>
        </is>
      </c>
      <c r="B23" s="26" t="inlineStr">
        <is>
          <t>占整體設備費用比例</t>
        </is>
      </c>
      <c r="C23" s="6" t="n">
        <v>0.003</v>
      </c>
      <c r="D23" s="7" t="n">
        <v>0.003</v>
      </c>
      <c r="E23" t="n">
        <v>20</v>
      </c>
    </row>
    <row r="24">
      <c r="A24" s="5" t="inlineStr">
        <is>
          <t>模組回收費用</t>
        </is>
      </c>
      <c r="B24" s="8" t="inlineStr">
        <is>
          <t>每kw模組回收成本</t>
        </is>
      </c>
      <c r="C24" s="6" t="n">
        <v>1000</v>
      </c>
      <c r="D24" s="7" t="n">
        <v>1000</v>
      </c>
      <c r="E24" t="n">
        <v>10</v>
      </c>
    </row>
    <row r="25">
      <c r="A25" s="5" t="inlineStr">
        <is>
          <t>利息費用</t>
        </is>
      </c>
      <c r="B25" s="5" t="inlineStr">
        <is>
          <t>銀行利率</t>
        </is>
      </c>
      <c r="C25" s="11" t="n">
        <v>0.025595</v>
      </c>
      <c r="D25" s="7" t="n">
        <v>0.025595</v>
      </c>
      <c r="E25" t="n">
        <v>0</v>
      </c>
    </row>
    <row r="26">
      <c r="A26" s="5" t="inlineStr">
        <is>
          <t>所得稅</t>
        </is>
      </c>
      <c r="B26" s="5" t="inlineStr">
        <is>
          <t>所得稅率</t>
        </is>
      </c>
      <c r="C26" s="6" t="n">
        <v>0.2</v>
      </c>
      <c r="D26" s="7" t="n">
        <v>0.2</v>
      </c>
      <c r="E26" t="n">
        <v>0</v>
      </c>
    </row>
    <row r="28" ht="16.5" customHeight="1" s="58" thickBot="1"/>
    <row r="29" ht="17.25" customHeight="1" s="58" thickBot="1">
      <c r="A29" s="62" t="inlineStr">
        <is>
          <t>現金流量表</t>
        </is>
      </c>
      <c r="B29" s="60" t="n"/>
      <c r="C29" s="61" t="n"/>
    </row>
    <row r="30" ht="16.5" customHeight="1" s="58" thickBot="1">
      <c r="A30" s="16" t="inlineStr">
        <is>
          <t>金流項目</t>
        </is>
      </c>
      <c r="B30" s="22" t="inlineStr">
        <is>
          <t>相關參數</t>
        </is>
      </c>
      <c r="C30" s="23" t="inlineStr">
        <is>
          <t>參數數值</t>
        </is>
      </c>
    </row>
    <row r="31">
      <c r="A31" s="19" t="inlineStr">
        <is>
          <t>貸款成數</t>
        </is>
      </c>
      <c r="B31" s="24" t="inlineStr">
        <is>
          <t>占總設備費用比例</t>
        </is>
      </c>
      <c r="C31" s="21" t="n">
        <v>0.8</v>
      </c>
      <c r="D31" t="n">
        <v>0.8</v>
      </c>
    </row>
    <row r="32">
      <c r="A32" s="49" t="inlineStr">
        <is>
          <t>貸款還款</t>
        </is>
      </c>
      <c r="B32" s="21" t="inlineStr">
        <is>
          <t>攤還期數</t>
        </is>
      </c>
      <c r="C32" s="21" t="n">
        <v>15</v>
      </c>
      <c r="D32" t="n">
        <v>15</v>
      </c>
    </row>
    <row r="33">
      <c r="A33" s="5" t="inlineStr">
        <is>
          <t>現金股利</t>
        </is>
      </c>
      <c r="B33" s="6" t="inlineStr">
        <is>
          <t>股利比率</t>
        </is>
      </c>
      <c r="C33" s="6" t="n">
        <v>0.9</v>
      </c>
      <c r="D33" t="n">
        <v>0.9</v>
      </c>
    </row>
    <row r="34">
      <c r="A34" s="5" t="inlineStr">
        <is>
          <t>年底減資</t>
        </is>
      </c>
      <c r="B34" s="6" t="inlineStr">
        <is>
          <t>攤還期數</t>
        </is>
      </c>
      <c r="C34" s="6" t="n">
        <v>4</v>
      </c>
      <c r="D34" t="n">
        <v>4</v>
      </c>
    </row>
    <row r="37">
      <c r="D37" t="n">
        <v>2020</v>
      </c>
      <c r="E37" t="n">
        <v>2021</v>
      </c>
      <c r="F37" t="n">
        <v>2022</v>
      </c>
      <c r="G37" t="n">
        <v>2023</v>
      </c>
      <c r="H37" t="n">
        <v>2024</v>
      </c>
      <c r="I37" t="n">
        <v>2025</v>
      </c>
      <c r="J37" t="n">
        <v>2026</v>
      </c>
      <c r="K37" t="n">
        <v>2027</v>
      </c>
      <c r="L37" t="n">
        <v>2028</v>
      </c>
      <c r="M37" t="n">
        <v>2029</v>
      </c>
      <c r="N37" t="n">
        <v>2030</v>
      </c>
      <c r="O37" t="n">
        <v>2031</v>
      </c>
      <c r="P37" t="n">
        <v>2032</v>
      </c>
      <c r="Q37" t="n">
        <v>2033</v>
      </c>
      <c r="R37" t="n">
        <v>2034</v>
      </c>
      <c r="S37" t="n">
        <v>2035</v>
      </c>
      <c r="T37" t="n">
        <v>2036</v>
      </c>
      <c r="U37" t="n">
        <v>2037</v>
      </c>
      <c r="V37" t="n">
        <v>2038</v>
      </c>
      <c r="W37" t="n">
        <v>2039</v>
      </c>
    </row>
    <row r="45">
      <c r="D45" t="n">
        <v>0</v>
      </c>
      <c r="E45" t="n">
        <v>-290201.25</v>
      </c>
      <c r="F45" t="n">
        <v>-290201.25</v>
      </c>
      <c r="G45" t="n">
        <v>-290201.25</v>
      </c>
      <c r="H45" t="n">
        <v>-290201.25</v>
      </c>
      <c r="I45" t="n">
        <v>-290201.25</v>
      </c>
      <c r="J45" t="n">
        <v>-290201.25</v>
      </c>
      <c r="K45" t="n">
        <v>-290201.25</v>
      </c>
      <c r="L45" t="n">
        <v>-290201.25</v>
      </c>
      <c r="M45" t="n">
        <v>-290201.25</v>
      </c>
      <c r="N45" t="n">
        <v>-290201.25</v>
      </c>
      <c r="O45" t="n">
        <v>-290201.25</v>
      </c>
      <c r="P45" t="n">
        <v>-290201.25</v>
      </c>
      <c r="Q45" t="n">
        <v>-290201.25</v>
      </c>
      <c r="R45" t="n">
        <v>-290201.25</v>
      </c>
      <c r="S45" t="n">
        <v>-290201.25</v>
      </c>
      <c r="T45" t="n">
        <v>-290201.25</v>
      </c>
      <c r="U45" t="n">
        <v>-290201.25</v>
      </c>
      <c r="V45" t="n">
        <v>-290201.25</v>
      </c>
      <c r="W45" t="n">
        <v>-290201.25</v>
      </c>
    </row>
    <row r="48">
      <c r="D48" t="n">
        <v>-174440</v>
      </c>
      <c r="E48" t="n">
        <v>-174440</v>
      </c>
      <c r="F48" t="n">
        <v>-174440</v>
      </c>
      <c r="G48" t="n">
        <v>-174440</v>
      </c>
      <c r="H48" t="n">
        <v>-174440</v>
      </c>
      <c r="I48" t="n">
        <v>-174440</v>
      </c>
      <c r="J48" t="n">
        <v>-174440</v>
      </c>
      <c r="K48" t="n">
        <v>-174440</v>
      </c>
      <c r="L48" t="n">
        <v>-174440</v>
      </c>
      <c r="M48" t="n">
        <v>-174440</v>
      </c>
      <c r="N48" t="n">
        <v>-174440</v>
      </c>
      <c r="O48" t="n">
        <v>-174440</v>
      </c>
      <c r="P48" t="n">
        <v>-174440</v>
      </c>
      <c r="Q48" t="n">
        <v>-174440</v>
      </c>
      <c r="R48" t="n">
        <v>-174440</v>
      </c>
      <c r="S48" t="n">
        <v>-174440</v>
      </c>
      <c r="T48" t="n">
        <v>-174440</v>
      </c>
      <c r="U48" t="n">
        <v>-174440</v>
      </c>
      <c r="V48" t="n">
        <v>-174440</v>
      </c>
      <c r="W48" t="n">
        <v>-174440</v>
      </c>
    </row>
    <row r="49">
      <c r="D49" t="n">
        <v>-27408.885</v>
      </c>
      <c r="E49" t="n">
        <v>-27408.885</v>
      </c>
      <c r="F49" t="n">
        <v>-27408.885</v>
      </c>
      <c r="G49" t="n">
        <v>-27408.885</v>
      </c>
      <c r="H49" t="n">
        <v>-27408.885</v>
      </c>
      <c r="I49" t="n">
        <v>-27408.885</v>
      </c>
      <c r="J49" t="n">
        <v>-27408.885</v>
      </c>
      <c r="K49" t="n">
        <v>-27408.885</v>
      </c>
      <c r="L49" t="n">
        <v>-27408.885</v>
      </c>
      <c r="M49" t="n">
        <v>-27408.885</v>
      </c>
      <c r="N49" t="n">
        <v>-27408.885</v>
      </c>
      <c r="O49" t="n">
        <v>-27408.885</v>
      </c>
      <c r="P49" t="n">
        <v>-27408.885</v>
      </c>
      <c r="Q49" t="n">
        <v>-27408.885</v>
      </c>
      <c r="R49" t="n">
        <v>-27408.885</v>
      </c>
      <c r="S49" t="n">
        <v>-27408.885</v>
      </c>
      <c r="T49" t="n">
        <v>-27408.885</v>
      </c>
      <c r="U49" t="n">
        <v>-27408.885</v>
      </c>
      <c r="V49" t="n">
        <v>-27408.885</v>
      </c>
      <c r="W49" t="n">
        <v>-27408.885</v>
      </c>
    </row>
    <row r="50">
      <c r="D50" t="n">
        <v>-43610</v>
      </c>
      <c r="E50" t="n">
        <v>-43610</v>
      </c>
      <c r="F50" t="n">
        <v>-43610</v>
      </c>
      <c r="G50" t="n">
        <v>-43610</v>
      </c>
      <c r="H50" t="n">
        <v>-43610</v>
      </c>
      <c r="I50" t="n">
        <v>-43610</v>
      </c>
      <c r="J50" t="n">
        <v>-43610</v>
      </c>
      <c r="K50" t="n">
        <v>-43610</v>
      </c>
      <c r="L50" t="n">
        <v>-43610</v>
      </c>
      <c r="M50" t="n">
        <v>-43610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75">
      <c r="D75" t="n">
        <v>-251702.637725</v>
      </c>
      <c r="E75" t="n">
        <v>-234922.4618766667</v>
      </c>
      <c r="F75" t="n">
        <v>-218142.2860283333</v>
      </c>
      <c r="G75" t="n">
        <v>-201362.11018</v>
      </c>
      <c r="H75" t="n">
        <v>-184581.9343316667</v>
      </c>
      <c r="I75" t="n">
        <v>-167801.7584833333</v>
      </c>
      <c r="J75" t="n">
        <v>-151021.582635</v>
      </c>
      <c r="K75" t="n">
        <v>-134241.4067866667</v>
      </c>
      <c r="L75" t="n">
        <v>-117461.2309383333</v>
      </c>
      <c r="M75" t="n">
        <v>-100681.05509</v>
      </c>
      <c r="N75" t="n">
        <v>-83900.87924166667</v>
      </c>
      <c r="O75" t="n">
        <v>-67120.70339333333</v>
      </c>
      <c r="P75" t="n">
        <v>-50340.527545</v>
      </c>
      <c r="Q75" t="n">
        <v>-33560.35169666666</v>
      </c>
      <c r="R75" t="n">
        <v>-16780.17584833333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98">
      <c r="E98" t="n">
        <v>-655603.6666666666</v>
      </c>
      <c r="F98" t="n">
        <v>-655603.6666666666</v>
      </c>
      <c r="G98" t="n">
        <v>-655603.6666666666</v>
      </c>
      <c r="H98" t="n">
        <v>-655603.6666666666</v>
      </c>
      <c r="I98" t="n">
        <v>-655603.6666666666</v>
      </c>
      <c r="J98" t="n">
        <v>-655603.6666666666</v>
      </c>
      <c r="K98" t="n">
        <v>-655603.6666666666</v>
      </c>
      <c r="L98" t="n">
        <v>-655603.6666666666</v>
      </c>
      <c r="M98" t="n">
        <v>-655603.6666666666</v>
      </c>
      <c r="N98" t="n">
        <v>-655603.6666666666</v>
      </c>
      <c r="O98" t="n">
        <v>-655603.6666666666</v>
      </c>
      <c r="P98" t="n">
        <v>-655603.6666666666</v>
      </c>
      <c r="Q98" t="n">
        <v>-655603.6666666666</v>
      </c>
      <c r="R98" t="n">
        <v>-655603.6666666666</v>
      </c>
      <c r="S98" t="n">
        <v>-655603.6666666666</v>
      </c>
      <c r="T98" t="n">
        <v>0</v>
      </c>
      <c r="U98" t="n">
        <v>0</v>
      </c>
      <c r="V98" t="n">
        <v>0</v>
      </c>
      <c r="W98" t="n">
        <v>0</v>
      </c>
    </row>
    <row r="101"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-614628.4375</v>
      </c>
      <c r="U101" t="n">
        <v>-614628.4375</v>
      </c>
      <c r="V101" t="n">
        <v>-614628.4375</v>
      </c>
      <c r="W101" t="n">
        <v>-614628.4375</v>
      </c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Lin(林垣邑)</dc:creator>
  <dcterms:created xsi:type="dcterms:W3CDTF">2025-12-03T01:59:54Z</dcterms:created>
  <dcterms:modified xsi:type="dcterms:W3CDTF">2026-01-27T18:41:06Z</dcterms:modified>
  <cp:lastModifiedBy>劉桓宇</cp:lastModifiedBy>
</cp:coreProperties>
</file>