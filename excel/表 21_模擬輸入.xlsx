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03" yWindow="-660" windowWidth="21795" windowHeight="13695" tabRatio="600" firstSheet="0" activeTab="1" autoFilterDateGrouping="1"/>
  </bookViews>
  <sheets>
    <sheet name="工作表1" sheetId="1" state="visible" r:id="rId1"/>
    <sheet name="工作表2" sheetId="2" state="visible" r:id="rId2"/>
    <sheet name="滾算紀錄單(總紀錄)" sheetId="3" state="visible" r:id="rId3"/>
    <sheet name="滾算紀錄1" sheetId="4" state="visible" r:id="rId4"/>
    <sheet name="開始滾算紀錄1" sheetId="5" state="visible" r:id="rId5"/>
    <sheet name="開始滾算紀錄2" sheetId="6" state="visible" r:id="rId6"/>
    <sheet name="開始滾算紀錄3" sheetId="7" state="visible" r:id="rId7"/>
    <sheet name="開始滾算紀錄4" sheetId="8" state="visible" r:id="rId8"/>
    <sheet name="開始滾算紀錄5" sheetId="9" state="visible" r:id="rId9"/>
    <sheet name="開始滾算紀錄6" sheetId="10" state="visible" r:id="rId10"/>
    <sheet name="開始滾算紀錄7" sheetId="11" state="visible" r:id="rId11"/>
    <sheet name="開始滾算紀錄8" sheetId="12" state="visible" r:id="rId12"/>
    <sheet name="開始滾算紀錄9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%"/>
    <numFmt numFmtId="166" formatCode="#,##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4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4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/>
    </xf>
    <xf numFmtId="4" fontId="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center"/>
    </xf>
    <xf numFmtId="4" fontId="28" fillId="0" borderId="13" applyAlignment="1" pivotButton="0" quotePrefix="0" xfId="0">
      <alignment horizontal="left"/>
    </xf>
    <xf numFmtId="4" fontId="28" fillId="0" borderId="0" applyAlignment="1" pivotButton="0" quotePrefix="0" xfId="0">
      <alignment horizontal="left"/>
    </xf>
    <xf numFmtId="3" fontId="28" fillId="0" borderId="0" applyAlignment="1" pivotButton="0" quotePrefix="0" xfId="0">
      <alignment horizontal="left"/>
    </xf>
    <xf numFmtId="4" fontId="29" fillId="14" borderId="44" applyAlignment="1" pivotButton="0" quotePrefix="0" xfId="0">
      <alignment horizontal="center"/>
    </xf>
    <xf numFmtId="4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4" fontId="28" fillId="0" borderId="50" applyAlignment="1" pivotButton="0" quotePrefix="0" xfId="0">
      <alignment horizontal="left"/>
    </xf>
    <xf numFmtId="3" fontId="28" fillId="0" borderId="51" applyAlignment="1" pivotButton="0" quotePrefix="0" xfId="0">
      <alignment horizontal="left"/>
    </xf>
    <xf numFmtId="3" fontId="8" fillId="0" borderId="52" applyAlignment="1" pivotButton="0" quotePrefix="0" xfId="0">
      <alignment horizontal="left"/>
    </xf>
    <xf numFmtId="4" fontId="28" fillId="0" borderId="15" applyAlignment="1" pivotButton="0" quotePrefix="0" xfId="0">
      <alignment horizontal="left" vertical="top"/>
    </xf>
    <xf numFmtId="3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left"/>
    </xf>
    <xf numFmtId="3" fontId="28" fillId="0" borderId="53" applyAlignment="1" pivotButton="0" quotePrefix="0" xfId="0">
      <alignment horizontal="left"/>
    </xf>
    <xf numFmtId="4" fontId="28" fillId="16" borderId="44" applyAlignment="1" pivotButton="0" quotePrefix="0" xfId="0">
      <alignment horizontal="center"/>
    </xf>
    <xf numFmtId="3" fontId="28" fillId="0" borderId="52" applyAlignment="1" pivotButton="0" quotePrefix="0" xfId="0">
      <alignment horizontal="left"/>
    </xf>
    <xf numFmtId="4" fontId="28" fillId="0" borderId="46" applyAlignment="1" pivotButton="0" quotePrefix="0" xfId="0">
      <alignment horizontal="left" vertical="top"/>
    </xf>
    <xf numFmtId="3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4" fontId="28" fillId="0" borderId="13" applyAlignment="1" pivotButton="0" quotePrefix="0" xfId="0">
      <alignment horizontal="left" vertical="top"/>
    </xf>
    <xf numFmtId="3" fontId="8" fillId="0" borderId="13" applyAlignment="1" pivotButton="0" quotePrefix="0" xfId="0">
      <alignment horizontal="left" wrapText="1"/>
    </xf>
    <xf numFmtId="3" fontId="30" fillId="0" borderId="0" applyAlignment="1" pivotButton="0" quotePrefix="0" xfId="0">
      <alignment horizontal="left"/>
    </xf>
    <xf numFmtId="3" fontId="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right"/>
    </xf>
    <xf numFmtId="4" fontId="28" fillId="0" borderId="46" applyAlignment="1" pivotButton="0" quotePrefix="0" xfId="0">
      <alignment horizontal="left"/>
    </xf>
    <xf numFmtId="4" fontId="31" fillId="0" borderId="16" applyAlignment="1" pivotButton="0" quotePrefix="0" xfId="0">
      <alignment horizontal="right"/>
    </xf>
    <xf numFmtId="4" fontId="32" fillId="0" borderId="0" applyAlignment="1" pivotButton="0" quotePrefix="0" xfId="0">
      <alignment horizontal="right"/>
    </xf>
    <xf numFmtId="4" fontId="33" fillId="0" borderId="0" applyAlignment="1" pivotButton="0" quotePrefix="0" xfId="0">
      <alignment horizontal="right"/>
    </xf>
    <xf numFmtId="3" fontId="8" fillId="0" borderId="34" applyAlignment="1" pivotButton="0" quotePrefix="0" xfId="0">
      <alignment horizontal="center"/>
    </xf>
    <xf numFmtId="3" fontId="8" fillId="5" borderId="4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opLeftCell="A52" workbookViewId="0">
      <selection activeCell="A2" sqref="A1:A1048576"/>
    </sheetView>
  </sheetViews>
  <sheetFormatPr baseColWidth="8" defaultRowHeight="15.75"/>
  <cols>
    <col width="33.140625" bestFit="1" customWidth="1" style="27" min="1" max="1"/>
    <col width="19.42578125" bestFit="1" customWidth="1" style="26" min="2" max="2"/>
    <col width="17.85546875" bestFit="1" customWidth="1" style="26" min="3" max="22"/>
    <col width="17.85546875" bestFit="1" customWidth="1" min="23" max="23"/>
    <col width="30" bestFit="1" customWidth="1" min="24" max="24"/>
    <col width="13.5703125" bestFit="1" customWidth="1" min="25" max="28"/>
    <col width="19.5703125" bestFit="1" customWidth="1" min="29" max="29"/>
    <col width="20.5703125" bestFit="1" customWidth="1" min="30" max="30"/>
    <col width="20.28515625" bestFit="1" customWidth="1" min="31" max="31"/>
    <col width="20.85546875" bestFit="1" customWidth="1" min="32" max="32"/>
    <col width="15.5703125" bestFit="1" customWidth="1" min="33" max="33"/>
    <col width="36.85546875" bestFit="1" customWidth="1" min="34" max="34"/>
    <col width="32.5703125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29000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8"/>
  <sheetViews>
    <sheetView tabSelected="1" workbookViewId="0">
      <selection activeCell="F12" sqref="F12"/>
    </sheetView>
  </sheetViews>
  <sheetFormatPr baseColWidth="8" defaultRowHeight="15.75"/>
  <cols>
    <col width="17.42578125" bestFit="1" customWidth="1" style="8" min="1" max="1"/>
    <col width="33.42578125" bestFit="1" customWidth="1" style="8" min="2" max="2"/>
    <col width="11.42578125" bestFit="1" customWidth="1" style="8" min="3" max="4"/>
  </cols>
  <sheetData>
    <row r="1" ht="17.25" customHeight="1" thickBot="1">
      <c r="A1" s="140" t="inlineStr">
        <is>
          <t>電站基本資料</t>
        </is>
      </c>
      <c r="B1" s="141" t="n"/>
      <c r="C1" s="141" t="n"/>
      <c r="D1" s="142" t="n"/>
    </row>
    <row r="2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16.5" customHeight="1" thickBot="1"/>
    <row r="7" ht="17.25" customHeight="1" thickBot="1">
      <c r="A7" s="143" t="inlineStr">
        <is>
          <t>綜合損益表</t>
        </is>
      </c>
      <c r="B7" s="141" t="n"/>
      <c r="C7" s="141" t="n"/>
      <c r="D7" s="142" t="n"/>
    </row>
    <row r="8" ht="16.5" customHeight="1" thickBot="1">
      <c r="A8" s="144" t="inlineStr">
        <is>
          <t>收入</t>
        </is>
      </c>
      <c r="D8" s="145" t="n"/>
    </row>
    <row r="9" ht="16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>
      <c r="A11" s="146" t="n"/>
      <c r="B11" s="7" t="inlineStr">
        <is>
          <t>首年衰退率</t>
        </is>
      </c>
      <c r="C11" s="13" t="n">
        <v>0.01</v>
      </c>
      <c r="D11" s="146" t="n"/>
    </row>
    <row r="12">
      <c r="A12" s="146" t="n"/>
      <c r="B12" s="7" t="inlineStr">
        <is>
          <t>次年衰退率</t>
        </is>
      </c>
      <c r="C12" s="14" t="n">
        <v>0.004</v>
      </c>
      <c r="D12" s="146" t="n"/>
    </row>
    <row r="13" ht="16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16.5" customHeight="1" thickBot="1">
      <c r="A14" s="147" t="inlineStr">
        <is>
          <t>支出</t>
        </is>
      </c>
      <c r="B14" s="141" t="n"/>
      <c r="C14" s="141" t="n"/>
      <c r="D14" s="142" t="n"/>
    </row>
    <row r="15" ht="16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>
      <c r="A16" s="124" t="inlineStr">
        <is>
          <t>設備費用(價金)</t>
        </is>
      </c>
      <c r="B16" s="17" t="inlineStr">
        <is>
          <t>每kWp設備成本</t>
        </is>
      </c>
      <c r="C16" s="124" t="n">
        <v>29000</v>
      </c>
      <c r="D16" s="126" t="n">
        <v>20</v>
      </c>
    </row>
    <row r="17">
      <c r="A17" s="146" t="n"/>
      <c r="B17" s="7" t="inlineStr">
        <is>
          <t>信邦利潤率</t>
        </is>
      </c>
      <c r="C17" s="5" t="n">
        <v>0.2</v>
      </c>
      <c r="D17" s="146" t="n"/>
    </row>
    <row r="18">
      <c r="A18" s="148" t="n"/>
      <c r="B18" s="7" t="inlineStr">
        <is>
          <t>開發費</t>
        </is>
      </c>
      <c r="C18" s="5" t="n">
        <v>2000</v>
      </c>
      <c r="D18" s="148" t="n"/>
    </row>
    <row r="19" ht="31.5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8" ht="16.5" customHeight="1" thickBot="1"/>
    <row r="29" ht="17.25" customHeight="1" thickBot="1">
      <c r="A29" s="143" t="inlineStr">
        <is>
          <t>現金流量表</t>
        </is>
      </c>
      <c r="B29" s="141" t="n"/>
      <c r="C29" s="142" t="n"/>
    </row>
    <row r="30" ht="16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</row>
    <row r="3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</row>
    <row r="32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</row>
    <row r="33">
      <c r="A33" s="7" t="inlineStr">
        <is>
          <t>現金股利</t>
        </is>
      </c>
      <c r="B33" s="5" t="inlineStr">
        <is>
          <t>股利比率</t>
        </is>
      </c>
      <c r="C33" s="5" t="n">
        <v>0.9</v>
      </c>
    </row>
    <row r="34">
      <c r="A34" s="7" t="inlineStr">
        <is>
          <t>年底減資</t>
        </is>
      </c>
      <c r="B34" s="5" t="inlineStr">
        <is>
          <t>攤還期數</t>
        </is>
      </c>
      <c r="C34" s="5" t="n">
        <v>4</v>
      </c>
    </row>
    <row r="39">
      <c r="A39" s="27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</row>
    <row r="40" ht="17.25" customHeight="1" thickBot="1">
      <c r="A40" s="28" t="n"/>
      <c r="B40" s="29" t="inlineStr">
        <is>
          <t>年份</t>
        </is>
      </c>
      <c r="C40" s="29" t="n">
        <v>2020</v>
      </c>
      <c r="D40" s="29" t="n">
        <v>2021</v>
      </c>
      <c r="E40" s="29" t="n">
        <v>2022</v>
      </c>
      <c r="F40" s="29" t="n">
        <v>2023</v>
      </c>
      <c r="G40" s="29" t="n">
        <v>2024</v>
      </c>
      <c r="H40" s="29" t="n">
        <v>2025</v>
      </c>
      <c r="I40" s="29" t="n">
        <v>2026</v>
      </c>
      <c r="J40" s="29" t="n">
        <v>2027</v>
      </c>
      <c r="K40" s="29" t="n">
        <v>2028</v>
      </c>
      <c r="L40" s="29" t="n">
        <v>2029</v>
      </c>
      <c r="M40" s="29" t="n">
        <v>2030</v>
      </c>
      <c r="N40" s="29" t="n">
        <v>2031</v>
      </c>
      <c r="O40" s="29" t="n">
        <v>2032</v>
      </c>
      <c r="P40" s="29" t="n">
        <v>2033</v>
      </c>
      <c r="Q40" s="29" t="n">
        <v>2034</v>
      </c>
      <c r="R40" s="29" t="n">
        <v>2035</v>
      </c>
      <c r="S40" s="29" t="n">
        <v>2036</v>
      </c>
      <c r="T40" s="29" t="n">
        <v>2037</v>
      </c>
      <c r="U40" s="29" t="n">
        <v>2038</v>
      </c>
      <c r="V40" s="29" t="n">
        <v>2039</v>
      </c>
    </row>
    <row r="41" ht="18.75" customHeight="1">
      <c r="A41" s="31" t="n">
        <v>0</v>
      </c>
      <c r="B41" s="32" t="n"/>
      <c r="C41" s="33" t="n"/>
      <c r="D41" s="33" t="n"/>
      <c r="E41" s="34" t="inlineStr">
        <is>
          <t>手動計算值</t>
        </is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6" t="inlineStr">
        <is>
          <t>償還年限</t>
        </is>
      </c>
      <c r="T41" s="35" t="n"/>
      <c r="U41" s="35" t="n"/>
      <c r="V41" s="35" t="n"/>
    </row>
    <row r="42">
      <c r="A42" s="38" t="inlineStr">
        <is>
          <t>(Unit : Currency)</t>
        </is>
      </c>
      <c r="B42" s="39" t="n">
        <v>0</v>
      </c>
      <c r="C42" s="40" t="n">
        <v>1</v>
      </c>
      <c r="D42" s="40" t="n">
        <v>2</v>
      </c>
      <c r="E42" s="40" t="n">
        <v>3</v>
      </c>
      <c r="F42" s="40" t="n">
        <v>4</v>
      </c>
      <c r="G42" s="40" t="n">
        <v>5</v>
      </c>
      <c r="H42" s="40" t="n">
        <v>6</v>
      </c>
      <c r="I42" s="40" t="n">
        <v>7</v>
      </c>
      <c r="J42" s="40" t="n">
        <v>8</v>
      </c>
      <c r="K42" s="40" t="n">
        <v>9</v>
      </c>
      <c r="L42" s="40" t="n">
        <v>10</v>
      </c>
      <c r="M42" s="40" t="n">
        <v>11</v>
      </c>
      <c r="N42" s="40" t="n">
        <v>12</v>
      </c>
      <c r="O42" s="40" t="n">
        <v>13</v>
      </c>
      <c r="P42" s="40" t="n">
        <v>14</v>
      </c>
      <c r="Q42" s="40" t="n">
        <v>15</v>
      </c>
      <c r="R42" s="40" t="n">
        <v>16</v>
      </c>
      <c r="S42" s="41" t="n">
        <v>17</v>
      </c>
      <c r="T42" s="40" t="n">
        <v>18</v>
      </c>
      <c r="U42" s="40" t="n">
        <v>19</v>
      </c>
      <c r="V42" s="40" t="n">
        <v>20</v>
      </c>
    </row>
    <row r="43" ht="17.25" customHeight="1" thickBot="1">
      <c r="A43" s="43" t="inlineStr">
        <is>
          <t>發電度數(KWH)</t>
        </is>
      </c>
      <c r="B43" s="39" t="n">
        <v>0</v>
      </c>
      <c r="C43" s="40">
        <f>#REF!</f>
        <v/>
      </c>
      <c r="D43" s="40">
        <f>#REF!</f>
        <v/>
      </c>
      <c r="E43" s="40">
        <f>#REF!</f>
        <v/>
      </c>
      <c r="F43" s="40">
        <f>#REF!</f>
        <v/>
      </c>
      <c r="G43" s="40">
        <f>#REF!</f>
        <v/>
      </c>
      <c r="H43" s="40">
        <f>#REF!</f>
        <v/>
      </c>
      <c r="I43" s="40">
        <f>#REF!</f>
        <v/>
      </c>
      <c r="J43" s="40">
        <f>#REF!</f>
        <v/>
      </c>
      <c r="K43" s="40">
        <f>#REF!</f>
        <v/>
      </c>
      <c r="L43" s="40">
        <f>#REF!</f>
        <v/>
      </c>
      <c r="M43" s="40">
        <f>#REF!</f>
        <v/>
      </c>
      <c r="N43" s="40">
        <f>#REF!</f>
        <v/>
      </c>
      <c r="O43" s="40">
        <f>#REF!</f>
        <v/>
      </c>
      <c r="P43" s="40">
        <f>#REF!</f>
        <v/>
      </c>
      <c r="Q43" s="40">
        <f>#REF!</f>
        <v/>
      </c>
      <c r="R43" s="40">
        <f>#REF!</f>
        <v/>
      </c>
      <c r="S43" s="40">
        <f>#REF!</f>
        <v/>
      </c>
      <c r="T43" s="40">
        <f>#REF!</f>
        <v/>
      </c>
      <c r="U43" s="40">
        <f>#REF!</f>
        <v/>
      </c>
      <c r="V43" s="40">
        <f>#REF!</f>
        <v/>
      </c>
    </row>
    <row r="44" ht="16.5" customHeight="1">
      <c r="A44" s="45" t="inlineStr">
        <is>
          <t>Inflow : 電費收入</t>
        </is>
      </c>
      <c r="B44" s="46" t="inlineStr">
        <is>
          <t>-</t>
        </is>
      </c>
      <c r="C44" s="47">
        <f>#REF!</f>
        <v/>
      </c>
      <c r="D44" s="47">
        <f>#REF!</f>
        <v/>
      </c>
      <c r="E44" s="47">
        <f>#REF!</f>
        <v/>
      </c>
      <c r="F44" s="47">
        <f>#REF!</f>
        <v/>
      </c>
      <c r="G44" s="47">
        <f>#REF!</f>
        <v/>
      </c>
      <c r="H44" s="47">
        <f>#REF!</f>
        <v/>
      </c>
      <c r="I44" s="47">
        <f>#REF!</f>
        <v/>
      </c>
      <c r="J44" s="47">
        <f>#REF!</f>
        <v/>
      </c>
      <c r="K44" s="47">
        <f>#REF!</f>
        <v/>
      </c>
      <c r="L44" s="47">
        <f>#REF!</f>
        <v/>
      </c>
      <c r="M44" s="47">
        <f>#REF!</f>
        <v/>
      </c>
      <c r="N44" s="47">
        <f>#REF!</f>
        <v/>
      </c>
      <c r="O44" s="47">
        <f>#REF!</f>
        <v/>
      </c>
      <c r="P44" s="47">
        <f>#REF!</f>
        <v/>
      </c>
      <c r="Q44" s="47">
        <f>#REF!</f>
        <v/>
      </c>
      <c r="R44" s="47">
        <f>#REF!</f>
        <v/>
      </c>
      <c r="S44" s="47">
        <f>#REF!</f>
        <v/>
      </c>
      <c r="T44" s="47">
        <f>#REF!</f>
        <v/>
      </c>
      <c r="U44" s="47">
        <f>#REF!</f>
        <v/>
      </c>
      <c r="V44" s="47">
        <f>#REF!</f>
        <v/>
      </c>
    </row>
    <row r="45" ht="16.5" customHeight="1">
      <c r="A45" s="49" t="inlineStr">
        <is>
          <t>Inflow : 政府補助</t>
        </is>
      </c>
      <c r="B45" s="39" t="inlineStr">
        <is>
          <t>-</t>
        </is>
      </c>
      <c r="C45" s="40" t="n"/>
      <c r="D45" s="40" t="n"/>
      <c r="E45" s="40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0" t="inlineStr">
        <is>
          <t>-</t>
        </is>
      </c>
      <c r="K45" s="40" t="inlineStr">
        <is>
          <t>-</t>
        </is>
      </c>
      <c r="L45" s="40" t="inlineStr">
        <is>
          <t>-</t>
        </is>
      </c>
      <c r="M45" s="40" t="inlineStr">
        <is>
          <t>-</t>
        </is>
      </c>
      <c r="N45" s="40" t="inlineStr">
        <is>
          <t>-</t>
        </is>
      </c>
      <c r="O45" s="40" t="inlineStr">
        <is>
          <t>-</t>
        </is>
      </c>
      <c r="P45" s="40" t="inlineStr">
        <is>
          <t>-</t>
        </is>
      </c>
      <c r="Q45" s="40" t="inlineStr">
        <is>
          <t>-</t>
        </is>
      </c>
      <c r="R45" s="40" t="inlineStr">
        <is>
          <t>-</t>
        </is>
      </c>
      <c r="S45" s="40" t="inlineStr">
        <is>
          <t>-</t>
        </is>
      </c>
      <c r="T45" s="40" t="inlineStr">
        <is>
          <t>-</t>
        </is>
      </c>
      <c r="U45" s="40" t="inlineStr">
        <is>
          <t>-</t>
        </is>
      </c>
      <c r="V45" s="40" t="inlineStr">
        <is>
          <t>-</t>
        </is>
      </c>
    </row>
    <row r="46" ht="17.25" customHeight="1" thickBot="1">
      <c r="A46" s="51" t="inlineStr">
        <is>
          <t>Inflow : 銀行借款</t>
        </is>
      </c>
      <c r="B46" s="52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</row>
    <row r="47" ht="16.5" customHeight="1">
      <c r="A47" s="55" t="inlineStr">
        <is>
          <t>Outflow : 設備費用</t>
        </is>
      </c>
      <c r="B47" s="39">
        <f>-#REF!</f>
        <v/>
      </c>
      <c r="C47" s="56" t="n"/>
      <c r="D47" s="40" t="n"/>
      <c r="E47" s="40" t="inlineStr">
        <is>
          <t>-</t>
        </is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0" t="inlineStr">
        <is>
          <t>-</t>
        </is>
      </c>
      <c r="K47" s="40" t="inlineStr">
        <is>
          <t>-</t>
        </is>
      </c>
      <c r="L47" s="40" t="inlineStr">
        <is>
          <t>-</t>
        </is>
      </c>
      <c r="M47" s="40" t="inlineStr">
        <is>
          <t>-</t>
        </is>
      </c>
      <c r="N47" s="40" t="inlineStr">
        <is>
          <t>-</t>
        </is>
      </c>
      <c r="O47" s="40" t="inlineStr">
        <is>
          <t>-</t>
        </is>
      </c>
      <c r="P47" s="40" t="inlineStr">
        <is>
          <t>-</t>
        </is>
      </c>
      <c r="Q47" s="40" t="inlineStr">
        <is>
          <t>-</t>
        </is>
      </c>
      <c r="R47" s="40" t="inlineStr">
        <is>
          <t>-</t>
        </is>
      </c>
      <c r="S47" s="40" t="inlineStr">
        <is>
          <t>-</t>
        </is>
      </c>
      <c r="T47" s="40" t="inlineStr">
        <is>
          <t>-</t>
        </is>
      </c>
      <c r="U47" s="40" t="inlineStr">
        <is>
          <t>-</t>
        </is>
      </c>
      <c r="V47" s="40" t="inlineStr">
        <is>
          <t>-</t>
        </is>
      </c>
    </row>
    <row r="48" ht="16.5" customHeight="1">
      <c r="A48" s="55" t="inlineStr">
        <is>
          <t>Outflow : 設備放置區域租金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</row>
    <row r="49" ht="16.5" customHeight="1">
      <c r="A49" s="55" t="inlineStr">
        <is>
          <t>Outflow : 返還借款</t>
        </is>
      </c>
      <c r="B49" s="39" t="n">
        <v>0</v>
      </c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>
        <v>0</v>
      </c>
      <c r="V49" s="40" t="n">
        <v>0</v>
      </c>
    </row>
    <row r="50" ht="16.5" customHeight="1">
      <c r="A50" s="55" t="inlineStr">
        <is>
          <t>Outflow : 利息費用</t>
        </is>
      </c>
      <c r="B50" s="39" t="inlineStr">
        <is>
          <t>-</t>
        </is>
      </c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</row>
    <row r="51" ht="16.5" customHeight="1">
      <c r="A51" s="55" t="inlineStr">
        <is>
          <t>Outflow : 維運費</t>
        </is>
      </c>
      <c r="B51" s="39" t="inlineStr">
        <is>
          <t>-</t>
        </is>
      </c>
      <c r="C51" s="40">
        <f>-#REF!</f>
        <v/>
      </c>
      <c r="D51" s="40">
        <f>-#REF!</f>
        <v/>
      </c>
      <c r="E51" s="40">
        <f>-#REF!</f>
        <v/>
      </c>
      <c r="F51" s="40">
        <f>-#REF!</f>
        <v/>
      </c>
      <c r="G51" s="40">
        <f>-#REF!</f>
        <v/>
      </c>
      <c r="H51" s="40">
        <f>-#REF!</f>
        <v/>
      </c>
      <c r="I51" s="40">
        <f>-#REF!</f>
        <v/>
      </c>
      <c r="J51" s="40">
        <f>-#REF!</f>
        <v/>
      </c>
      <c r="K51" s="40">
        <f>-#REF!</f>
        <v/>
      </c>
      <c r="L51" s="40">
        <f>-#REF!</f>
        <v/>
      </c>
      <c r="M51" s="40">
        <f>-#REF!</f>
        <v/>
      </c>
      <c r="N51" s="40">
        <f>-#REF!</f>
        <v/>
      </c>
      <c r="O51" s="40">
        <f>-#REF!</f>
        <v/>
      </c>
      <c r="P51" s="40">
        <f>-#REF!</f>
        <v/>
      </c>
      <c r="Q51" s="40">
        <f>-#REF!</f>
        <v/>
      </c>
      <c r="R51" s="40">
        <f>-#REF!</f>
        <v/>
      </c>
      <c r="S51" s="40">
        <f>-#REF!</f>
        <v/>
      </c>
      <c r="T51" s="40">
        <f>-#REF!</f>
        <v/>
      </c>
      <c r="U51" s="40">
        <f>-#REF!</f>
        <v/>
      </c>
      <c r="V51" s="40">
        <f>-#REF!</f>
        <v/>
      </c>
    </row>
    <row r="52" ht="16.5" customHeight="1">
      <c r="A52" s="55" t="inlineStr">
        <is>
          <t>Outflow : 保險費</t>
        </is>
      </c>
      <c r="B52" s="39" t="inlineStr">
        <is>
          <t>-</t>
        </is>
      </c>
      <c r="C52" s="40">
        <f>-#REF!</f>
        <v/>
      </c>
      <c r="D52" s="40">
        <f>-#REF!</f>
        <v/>
      </c>
      <c r="E52" s="40">
        <f>-#REF!</f>
        <v/>
      </c>
      <c r="F52" s="40">
        <f>-#REF!</f>
        <v/>
      </c>
      <c r="G52" s="40">
        <f>-#REF!</f>
        <v/>
      </c>
      <c r="H52" s="40">
        <f>-#REF!</f>
        <v/>
      </c>
      <c r="I52" s="40">
        <f>-#REF!</f>
        <v/>
      </c>
      <c r="J52" s="40">
        <f>-#REF!</f>
        <v/>
      </c>
      <c r="K52" s="40">
        <f>-#REF!</f>
        <v/>
      </c>
      <c r="L52" s="40">
        <f>-#REF!</f>
        <v/>
      </c>
      <c r="M52" s="40">
        <f>-#REF!</f>
        <v/>
      </c>
      <c r="N52" s="40">
        <f>-#REF!</f>
        <v/>
      </c>
      <c r="O52" s="40">
        <f>-#REF!</f>
        <v/>
      </c>
      <c r="P52" s="40">
        <f>-#REF!</f>
        <v/>
      </c>
      <c r="Q52" s="40">
        <f>-#REF!</f>
        <v/>
      </c>
      <c r="R52" s="40">
        <f>-#REF!</f>
        <v/>
      </c>
      <c r="S52" s="40">
        <f>-#REF!</f>
        <v/>
      </c>
      <c r="T52" s="40">
        <f>-#REF!</f>
        <v/>
      </c>
      <c r="U52" s="40">
        <f>-#REF!</f>
        <v/>
      </c>
      <c r="V52" s="40">
        <f>-#REF!</f>
        <v/>
      </c>
    </row>
    <row r="53">
      <c r="A53" s="55" t="inlineStr">
        <is>
          <t>Outflow : 模組回收費</t>
        </is>
      </c>
      <c r="B53" s="39" t="n"/>
      <c r="C53" s="40">
        <f>-#REF!</f>
        <v/>
      </c>
      <c r="D53" s="40">
        <f>-#REF!</f>
        <v/>
      </c>
      <c r="E53" s="40">
        <f>-#REF!</f>
        <v/>
      </c>
      <c r="F53" s="40">
        <f>-#REF!</f>
        <v/>
      </c>
      <c r="G53" s="40">
        <f>-#REF!</f>
        <v/>
      </c>
      <c r="H53" s="40">
        <f>-#REF!</f>
        <v/>
      </c>
      <c r="I53" s="40">
        <f>-#REF!</f>
        <v/>
      </c>
      <c r="J53" s="40">
        <f>-#REF!</f>
        <v/>
      </c>
      <c r="K53" s="40">
        <f>-#REF!</f>
        <v/>
      </c>
      <c r="L53" s="40">
        <f>-#REF!</f>
        <v/>
      </c>
      <c r="M53" s="40">
        <f>-#REF!</f>
        <v/>
      </c>
      <c r="N53" s="40">
        <f>-#REF!</f>
        <v/>
      </c>
      <c r="O53" s="40">
        <f>-#REF!</f>
        <v/>
      </c>
      <c r="P53" s="40">
        <f>-#REF!</f>
        <v/>
      </c>
      <c r="Q53" s="40">
        <f>-#REF!</f>
        <v/>
      </c>
      <c r="R53" s="40">
        <f>-#REF!</f>
        <v/>
      </c>
      <c r="S53" s="40">
        <f>-#REF!</f>
        <v/>
      </c>
      <c r="T53" s="40">
        <f>-#REF!</f>
        <v/>
      </c>
      <c r="U53" s="40">
        <f>-#REF!</f>
        <v/>
      </c>
      <c r="V53" s="40">
        <f>-#REF!</f>
        <v/>
      </c>
    </row>
    <row r="54" ht="16.5" customHeight="1">
      <c r="A54" s="55" t="inlineStr">
        <is>
          <t>Outflow : 其它費用(人事薪資…等)</t>
        </is>
      </c>
      <c r="B54" s="57" t="n"/>
      <c r="C54" s="58" t="n"/>
      <c r="D54" s="59" t="n"/>
      <c r="E54" s="40">
        <f>-(E44*#REF!)</f>
        <v/>
      </c>
      <c r="F54" s="40">
        <f>-(F44*#REF!)</f>
        <v/>
      </c>
      <c r="G54" s="40">
        <f>-(G44*#REF!)</f>
        <v/>
      </c>
      <c r="H54" s="40">
        <f>-(H44*#REF!)</f>
        <v/>
      </c>
      <c r="I54" s="40">
        <f>-(I44*#REF!)</f>
        <v/>
      </c>
      <c r="J54" s="40">
        <f>-(J44*#REF!)</f>
        <v/>
      </c>
      <c r="K54" s="40">
        <f>-(K44*#REF!)</f>
        <v/>
      </c>
      <c r="L54" s="40">
        <f>-(L44*#REF!)</f>
        <v/>
      </c>
      <c r="M54" s="40">
        <f>-(M44*#REF!)</f>
        <v/>
      </c>
      <c r="N54" s="40">
        <f>-(N44*#REF!)</f>
        <v/>
      </c>
      <c r="O54" s="40">
        <f>-(O44*#REF!)</f>
        <v/>
      </c>
      <c r="P54" s="40">
        <f>-(P44*#REF!)</f>
        <v/>
      </c>
      <c r="Q54" s="40">
        <f>-(Q44*#REF!)</f>
        <v/>
      </c>
      <c r="R54" s="40">
        <f>-(R44*#REF!)</f>
        <v/>
      </c>
      <c r="S54" s="40">
        <f>-(S44*#REF!)</f>
        <v/>
      </c>
      <c r="T54" s="40">
        <f>-(T44*#REF!)</f>
        <v/>
      </c>
      <c r="U54" s="40">
        <f>-(U44*#REF!)</f>
        <v/>
      </c>
      <c r="V54" s="40">
        <f>-(V44*#REF!)</f>
        <v/>
      </c>
    </row>
    <row r="55" ht="16.5" customHeight="1">
      <c r="A55" s="55" t="inlineStr">
        <is>
          <t>1%管理費</t>
        </is>
      </c>
      <c r="B55" s="57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</row>
    <row r="56" ht="16.5" customHeight="1">
      <c r="A56" s="60" t="inlineStr">
        <is>
          <t>績效獎金</t>
        </is>
      </c>
      <c r="B56" s="57" t="n"/>
      <c r="C56" s="61" t="n"/>
      <c r="D56" s="61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</row>
    <row r="57" ht="16.5" customHeight="1">
      <c r="A57" s="60" t="inlineStr">
        <is>
          <t>所得稅20%</t>
        </is>
      </c>
      <c r="B57" s="57" t="n"/>
      <c r="C57" s="40">
        <f>IF((#REF!+SUM(#REF!+#REF!+#REF!+#REF!+#REF!+#REF!))&gt;0,-(#REF!+SUM(#REF!+#REF!+#REF!+#REF!+#REF!+#REF!))*0.2,0)</f>
        <v/>
      </c>
      <c r="D57" s="40">
        <f>IF((#REF!+SUM(#REF!+#REF!+#REF!+#REF!+#REF!+#REF!))&gt;0,-(#REF!+SUM(#REF!+#REF!+#REF!+#REF!+#REF!+#REF!))*0.2,0)</f>
        <v/>
      </c>
      <c r="E57" s="40">
        <f>IF((#REF!+SUM(#REF!+#REF!+#REF!+#REF!+#REF!+#REF!))&gt;0,-(#REF!+SUM(#REF!+#REF!+#REF!+#REF!+#REF!+#REF!))*0.2,0)</f>
        <v/>
      </c>
      <c r="F57" s="40">
        <f>IF((#REF!+SUM(#REF!+#REF!+#REF!+#REF!+#REF!+#REF!))&gt;0,-(#REF!+SUM(#REF!+#REF!+#REF!+#REF!+#REF!+#REF!))*0.2,0)</f>
        <v/>
      </c>
      <c r="G57" s="40">
        <f>IF((#REF!+SUM(#REF!+#REF!+#REF!+#REF!+#REF!+#REF!))&gt;0,-(#REF!+SUM(#REF!+#REF!+#REF!+#REF!+#REF!+#REF!))*0.2,0)</f>
        <v/>
      </c>
      <c r="H57" s="40">
        <f>IF((#REF!+SUM(#REF!+#REF!+#REF!+#REF!+#REF!+#REF!))&gt;0,-(#REF!+SUM(#REF!+#REF!+#REF!+#REF!+#REF!+#REF!))*0.2,0)</f>
        <v/>
      </c>
      <c r="I57" s="40">
        <f>IF((#REF!+SUM(#REF!+#REF!+#REF!+#REF!+#REF!+#REF!))&gt;0,-(#REF!+SUM(#REF!+#REF!+#REF!+#REF!+#REF!+#REF!))*0.2,0)</f>
        <v/>
      </c>
      <c r="J57" s="40">
        <f>IF((#REF!+SUM(#REF!+#REF!+#REF!+#REF!+#REF!+#REF!))&gt;0,-(#REF!+SUM(#REF!+#REF!+#REF!+#REF!+#REF!+#REF!))*0.2,0)</f>
        <v/>
      </c>
      <c r="K57" s="40">
        <f>IF((#REF!+SUM(#REF!+#REF!+#REF!+#REF!+#REF!+#REF!))&gt;0,-(#REF!+SUM(#REF!+#REF!+#REF!+#REF!+#REF!+#REF!))*0.2,0)</f>
        <v/>
      </c>
      <c r="L57" s="40">
        <f>IF((#REF!+SUM(#REF!+#REF!+#REF!+#REF!+#REF!+#REF!))&gt;0,-(#REF!+SUM(#REF!+#REF!+#REF!+#REF!+#REF!+#REF!))*0.2,0)</f>
        <v/>
      </c>
      <c r="M57" s="40">
        <f>IF((#REF!+SUM(#REF!+#REF!+#REF!+#REF!+#REF!+#REF!))&gt;0,-(#REF!+SUM(#REF!+#REF!+#REF!+#REF!+#REF!+#REF!))*0.2,0)</f>
        <v/>
      </c>
      <c r="N57" s="40">
        <f>IF((#REF!+SUM(#REF!+#REF!+#REF!+#REF!+#REF!+#REF!))&gt;0,-(#REF!+SUM(#REF!+#REF!+#REF!+#REF!+#REF!+#REF!))*0.2,0)</f>
        <v/>
      </c>
      <c r="O57" s="40">
        <f>IF((#REF!+SUM(#REF!+#REF!+#REF!+#REF!+#REF!+#REF!))&gt;0,-(#REF!+SUM(#REF!+#REF!+#REF!+#REF!+#REF!+#REF!))*0.2,0)</f>
        <v/>
      </c>
      <c r="P57" s="40">
        <f>IF((#REF!+SUM(#REF!+#REF!+#REF!+#REF!+#REF!+#REF!))&gt;0,-(#REF!+SUM(#REF!+#REF!+#REF!+#REF!+#REF!+#REF!))*0.2,0)</f>
        <v/>
      </c>
      <c r="Q57" s="40">
        <f>IF((#REF!+SUM(#REF!+#REF!+#REF!+#REF!+#REF!+#REF!))&gt;0,-(#REF!+SUM(#REF!+#REF!+#REF!+#REF!+#REF!+#REF!))*0.2,0)</f>
        <v/>
      </c>
      <c r="R57" s="40">
        <f>IF((#REF!+SUM(#REF!+#REF!+#REF!+#REF!+#REF!+#REF!))&gt;0,-(#REF!+SUM(#REF!+#REF!+#REF!+#REF!+#REF!+#REF!))*0.2,0)</f>
        <v/>
      </c>
      <c r="S57" s="40">
        <f>IF((#REF!+SUM(#REF!+#REF!+#REF!+#REF!+#REF!+#REF!))&gt;0,-(#REF!+SUM(#REF!+#REF!+#REF!+#REF!+#REF!+#REF!))*0.2,0)</f>
        <v/>
      </c>
      <c r="T57" s="40">
        <f>IF((#REF!+SUM(#REF!+#REF!+#REF!+#REF!+#REF!+#REF!))&gt;0,-(#REF!+SUM(#REF!+#REF!+#REF!+#REF!+#REF!+#REF!))*0.2,0)</f>
        <v/>
      </c>
      <c r="U57" s="40">
        <f>IF((#REF!+SUM(#REF!+#REF!+#REF!+#REF!+#REF!+#REF!))&gt;0,-(#REF!+SUM(#REF!+#REF!+#REF!+#REF!+#REF!+#REF!))*0.2,0)</f>
        <v/>
      </c>
      <c r="V57" s="40">
        <f>IF((#REF!+SUM(#REF!+#REF!+#REF!+#REF!+#REF!+#REF!))&gt;0,-(#REF!+SUM(#REF!+#REF!+#REF!+#REF!+#REF!+#REF!))*0.2,0)</f>
        <v/>
      </c>
    </row>
    <row r="58" ht="17.25" customHeight="1" thickBot="1">
      <c r="A58" s="62" t="n"/>
      <c r="B58" s="57" t="n"/>
      <c r="C58" s="59" t="n"/>
      <c r="D58" s="59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</row>
    <row r="59" ht="16.5" customHeight="1">
      <c r="A59" s="64" t="inlineStr">
        <is>
          <t>現金流</t>
        </is>
      </c>
      <c r="B59" s="65">
        <f>B47</f>
        <v/>
      </c>
      <c r="C59" s="66">
        <f>SUM(C44:C57)</f>
        <v/>
      </c>
      <c r="D59" s="65">
        <f>SUM(D44:D57)</f>
        <v/>
      </c>
      <c r="E59" s="65">
        <f>SUM(E44:E57)</f>
        <v/>
      </c>
      <c r="F59" s="65">
        <f>SUM(F44:F57)</f>
        <v/>
      </c>
      <c r="G59" s="65">
        <f>SUM(G44:G57)</f>
        <v/>
      </c>
      <c r="H59" s="65">
        <f>SUM(H44:H57)</f>
        <v/>
      </c>
      <c r="I59" s="65">
        <f>SUM(I44:I57)</f>
        <v/>
      </c>
      <c r="J59" s="65">
        <f>SUM(J44:J57)</f>
        <v/>
      </c>
      <c r="K59" s="65">
        <f>SUM(K44:K57)</f>
        <v/>
      </c>
      <c r="L59" s="65">
        <f>SUM(L44:L57)</f>
        <v/>
      </c>
      <c r="M59" s="65">
        <f>SUM(M44:M57)</f>
        <v/>
      </c>
      <c r="N59" s="65">
        <f>SUM(N44:N57)</f>
        <v/>
      </c>
      <c r="O59" s="65">
        <f>SUM(O44:O57)</f>
        <v/>
      </c>
      <c r="P59" s="65">
        <f>SUM(P44:P57)</f>
        <v/>
      </c>
      <c r="Q59" s="65">
        <f>SUM(Q44:Q57)</f>
        <v/>
      </c>
      <c r="R59" s="65">
        <f>SUM(R44:R57)</f>
        <v/>
      </c>
      <c r="S59" s="65">
        <f>SUM(S44:S57)</f>
        <v/>
      </c>
      <c r="T59" s="65">
        <f>SUM(T44:T57)</f>
        <v/>
      </c>
      <c r="U59" s="65">
        <f>SUM(U44:U57)</f>
        <v/>
      </c>
      <c r="V59" s="65">
        <f>SUM(V44:V57)</f>
        <v/>
      </c>
    </row>
    <row r="60" ht="17.25" customHeight="1" thickBot="1">
      <c r="A60" s="70" t="inlineStr">
        <is>
          <t>累計現金流</t>
        </is>
      </c>
      <c r="B60" s="71" t="n"/>
      <c r="C60" s="72">
        <f>C59+B59</f>
        <v/>
      </c>
      <c r="D60" s="72">
        <f>D59+C60</f>
        <v/>
      </c>
      <c r="E60" s="72">
        <f>E59+D60</f>
        <v/>
      </c>
      <c r="F60" s="72">
        <f>F59+E60</f>
        <v/>
      </c>
      <c r="G60" s="72">
        <f>G59+F60</f>
        <v/>
      </c>
      <c r="H60" s="72">
        <f>H59+G60</f>
        <v/>
      </c>
      <c r="I60" s="72">
        <f>I59+H60</f>
        <v/>
      </c>
      <c r="J60" s="72">
        <f>J59+I60</f>
        <v/>
      </c>
      <c r="K60" s="72">
        <f>K59+J60</f>
        <v/>
      </c>
      <c r="L60" s="72">
        <f>L59+K60</f>
        <v/>
      </c>
      <c r="M60" s="72">
        <f>M59+L60</f>
        <v/>
      </c>
      <c r="N60" s="72">
        <f>N59+M60</f>
        <v/>
      </c>
      <c r="O60" s="72">
        <f>O59+N60</f>
        <v/>
      </c>
      <c r="P60" s="72">
        <f>P59+O60</f>
        <v/>
      </c>
      <c r="Q60" s="72">
        <f>Q59+P60</f>
        <v/>
      </c>
      <c r="R60" s="72">
        <f>R59+Q60</f>
        <v/>
      </c>
      <c r="S60" s="72">
        <f>S59+R60</f>
        <v/>
      </c>
      <c r="T60" s="72">
        <f>T59+S60</f>
        <v/>
      </c>
      <c r="U60" s="72">
        <f>U59+T60</f>
        <v/>
      </c>
      <c r="V60" s="72">
        <f>V59+U60</f>
        <v/>
      </c>
    </row>
    <row r="61">
      <c r="A61" s="74" t="inlineStr">
        <is>
          <t>Discounted cash flow</t>
        </is>
      </c>
      <c r="B61" s="75" t="n">
        <v>-37721416.4</v>
      </c>
      <c r="C61" s="76" t="n"/>
      <c r="D61" s="76" t="n"/>
      <c r="E61" s="77" t="n">
        <v>4765724.101934625</v>
      </c>
      <c r="F61" s="77" t="n">
        <v>4715578.687122989</v>
      </c>
      <c r="G61" s="77" t="n">
        <v>4665433.272311353</v>
      </c>
      <c r="H61" s="77" t="n">
        <v>4615287.857499719</v>
      </c>
      <c r="I61" s="77" t="n">
        <v>4565142.442688081</v>
      </c>
      <c r="J61" s="77" t="n">
        <v>4517504.29861703</v>
      </c>
      <c r="K61" s="77" t="n">
        <v>4469866.154545976</v>
      </c>
      <c r="L61" s="77" t="n">
        <v>4422228.010474921</v>
      </c>
      <c r="M61" s="77" t="n">
        <v>4374589.866403867</v>
      </c>
      <c r="N61" s="77" t="n">
        <v>4326951.722332815</v>
      </c>
      <c r="O61" s="77" t="n">
        <v>4284954.937428069</v>
      </c>
      <c r="P61" s="77" t="n">
        <v>4242958.152523325</v>
      </c>
      <c r="Q61" s="77" t="n">
        <v>4200961.36761858</v>
      </c>
      <c r="R61" s="77" t="n">
        <v>4158964.582713835</v>
      </c>
      <c r="S61" s="77" t="n">
        <v>4116967.797809093</v>
      </c>
      <c r="T61" s="77" t="n">
        <v>4074971.012904346</v>
      </c>
      <c r="U61" s="77" t="n">
        <v>4032974.227999602</v>
      </c>
      <c r="V61" s="77" t="n">
        <v>3990977.443094858</v>
      </c>
    </row>
    <row r="62" ht="16.5" customHeight="1">
      <c r="A62" s="74" t="inlineStr">
        <is>
          <t>Minus : Depreciation</t>
        </is>
      </c>
      <c r="B62" s="79" t="n"/>
      <c r="C62" s="61" t="n"/>
      <c r="D62" s="61" t="n"/>
      <c r="E62" s="61" t="n">
        <v>1886070.82</v>
      </c>
      <c r="F62" s="61" t="n">
        <v>1886070.82</v>
      </c>
      <c r="G62" s="61" t="n">
        <v>1886070.82</v>
      </c>
      <c r="H62" s="61" t="n">
        <v>1886070.82</v>
      </c>
      <c r="I62" s="61" t="n">
        <v>1886070.82</v>
      </c>
      <c r="J62" s="61" t="n">
        <v>1886070.82</v>
      </c>
      <c r="K62" s="61" t="n">
        <v>1886070.82</v>
      </c>
      <c r="L62" s="61" t="n">
        <v>1886070.82</v>
      </c>
      <c r="M62" s="61" t="n">
        <v>1886070.82</v>
      </c>
      <c r="N62" s="61" t="n">
        <v>1886070.82</v>
      </c>
      <c r="O62" s="61" t="n">
        <v>1886070.82</v>
      </c>
      <c r="P62" s="61" t="n">
        <v>1886070.82</v>
      </c>
      <c r="Q62" s="61" t="n">
        <v>1886070.82</v>
      </c>
      <c r="R62" s="61" t="n">
        <v>1886070.82</v>
      </c>
      <c r="S62" s="61" t="n">
        <v>1886070.82</v>
      </c>
      <c r="T62" s="61" t="n">
        <v>1886070.82</v>
      </c>
      <c r="U62" s="61" t="n">
        <v>1886070.82</v>
      </c>
      <c r="V62" s="61" t="n">
        <v>1886070.82</v>
      </c>
    </row>
    <row r="63" ht="16.5" customHeight="1">
      <c r="A63" s="74" t="inlineStr">
        <is>
          <t>Plus : Principle payment</t>
        </is>
      </c>
      <c r="B63" s="79" t="n"/>
      <c r="C63" s="61" t="n"/>
      <c r="D63" s="61" t="n"/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</row>
    <row r="64" ht="16.5" customHeight="1">
      <c r="A64" s="81" t="inlineStr">
        <is>
          <t>Profit</t>
        </is>
      </c>
      <c r="B64" s="82" t="n"/>
      <c r="C64" s="83" t="n"/>
      <c r="D64" s="83" t="n"/>
      <c r="E64" s="83" t="n">
        <v>2879653.281934625</v>
      </c>
      <c r="F64" s="83" t="n">
        <v>2829507.867122989</v>
      </c>
      <c r="G64" s="83" t="n">
        <v>2779362.452311353</v>
      </c>
      <c r="H64" s="83" t="n">
        <v>2729217.037499719</v>
      </c>
      <c r="I64" s="83" t="n">
        <v>2679071.622688082</v>
      </c>
      <c r="J64" s="83" t="n">
        <v>2631433.47861703</v>
      </c>
      <c r="K64" s="83" t="n">
        <v>2583795.334545976</v>
      </c>
      <c r="L64" s="83" t="n">
        <v>2536157.190474921</v>
      </c>
      <c r="M64" s="83" t="n">
        <v>2488519.046403868</v>
      </c>
      <c r="N64" s="83" t="n">
        <v>2440880.902332815</v>
      </c>
      <c r="O64" s="83" t="n">
        <v>2398884.117428069</v>
      </c>
      <c r="P64" s="83" t="n">
        <v>2356887.332523325</v>
      </c>
      <c r="Q64" s="83" t="n">
        <v>2314890.547618581</v>
      </c>
      <c r="R64" s="83" t="n">
        <v>2272893.762713836</v>
      </c>
      <c r="S64" s="83" t="n">
        <v>2230896.977809093</v>
      </c>
      <c r="T64" s="83" t="n">
        <v>2188900.192904347</v>
      </c>
      <c r="U64" s="83" t="n">
        <v>2146903.407999602</v>
      </c>
      <c r="V64" s="83" t="n">
        <v>2104906.623094858</v>
      </c>
    </row>
    <row r="65" ht="17.25" customHeight="1" thickBot="1">
      <c r="A65" s="85" t="inlineStr">
        <is>
          <t>EPS</t>
        </is>
      </c>
      <c r="B65" s="86" t="n"/>
      <c r="C65" s="87" t="n"/>
      <c r="D65" s="87" t="n"/>
      <c r="E65" s="88" t="n">
        <v>0.7634000938349244</v>
      </c>
      <c r="F65" s="88" t="n">
        <v>0.7501064745604274</v>
      </c>
      <c r="G65" s="88" t="n">
        <v>0.7368128552859308</v>
      </c>
      <c r="H65" s="88" t="n">
        <v>0.7235192360114343</v>
      </c>
      <c r="I65" s="88" t="n">
        <v>0.7102256167369372</v>
      </c>
      <c r="J65" s="88" t="n">
        <v>0.6975966784261659</v>
      </c>
      <c r="K65" s="88" t="n">
        <v>0.6849677401153941</v>
      </c>
      <c r="L65" s="88" t="n">
        <v>0.6723388018046219</v>
      </c>
      <c r="M65" s="88" t="n">
        <v>0.6597098634938501</v>
      </c>
      <c r="N65" s="88" t="n">
        <v>0.6470809251830785</v>
      </c>
      <c r="O65" s="88" t="n">
        <v>0.6359475190406874</v>
      </c>
      <c r="P65" s="88" t="n">
        <v>0.6248141128982965</v>
      </c>
      <c r="Q65" s="88" t="n">
        <v>0.6136807067559056</v>
      </c>
      <c r="R65" s="88" t="n">
        <v>0.6025473006135146</v>
      </c>
      <c r="S65" s="88" t="n">
        <v>0.5914138944711241</v>
      </c>
      <c r="T65" s="88" t="n">
        <v>0.5802804883287328</v>
      </c>
      <c r="U65" s="88" t="n">
        <v>0.5691470821863418</v>
      </c>
      <c r="V65" s="88" t="n">
        <v>0.5580136760439509</v>
      </c>
    </row>
    <row r="66" ht="17.25" customHeight="1" thickBot="1">
      <c r="A66" s="90" t="inlineStr">
        <is>
          <t>回收年限評估</t>
        </is>
      </c>
      <c r="B66" s="91" t="n"/>
      <c r="C66" s="92">
        <f>IF((C60)&gt;0,"回收","未回收")</f>
        <v/>
      </c>
      <c r="D66" s="92">
        <f>IF((D60)&gt;0,"回收","未回收")</f>
        <v/>
      </c>
      <c r="E66" s="92">
        <f>IF((E60)&gt;0,"回收","未回收")</f>
        <v/>
      </c>
      <c r="F66" s="92">
        <f>IF((F60)&gt;0,"回收","未回收")</f>
        <v/>
      </c>
      <c r="G66" s="92">
        <f>IF((G60)&gt;0,"回收","未回收")</f>
        <v/>
      </c>
      <c r="H66" s="92">
        <f>IF((H60)&gt;0,"回收","未回收")</f>
        <v/>
      </c>
      <c r="I66" s="92">
        <f>IF((I60)&gt;0,"回收","未回收")</f>
        <v/>
      </c>
      <c r="J66" s="92">
        <f>IF((J60)&gt;0,"回收","未回收")</f>
        <v/>
      </c>
      <c r="K66" s="92">
        <f>IF((K60)&gt;0,"回收","未回收")</f>
        <v/>
      </c>
      <c r="L66" s="92">
        <f>IF((L60)&gt;0,"回收","未回收")</f>
        <v/>
      </c>
      <c r="M66" s="92">
        <f>IF((M60)&gt;0,"回收","未回收")</f>
        <v/>
      </c>
      <c r="N66" s="92">
        <f>IF((N60)&gt;0,"回收","未回收")</f>
        <v/>
      </c>
      <c r="O66" s="92">
        <f>IF((O60)&gt;0,"回收","未回收")</f>
        <v/>
      </c>
      <c r="P66" s="92">
        <f>IF((P60)&gt;0,"回收","未回收")</f>
        <v/>
      </c>
      <c r="Q66" s="92">
        <f>IF((Q60)&gt;0,"回收","未回收")</f>
        <v/>
      </c>
      <c r="R66" s="92">
        <f>IF((R60)&gt;0,"回收","未回收")</f>
        <v/>
      </c>
      <c r="S66" s="92">
        <f>IF((S60)&gt;0,"回收","未回收")</f>
        <v/>
      </c>
      <c r="T66" s="92">
        <f>IF((T60)&gt;0,"回收","未回收")</f>
        <v/>
      </c>
      <c r="U66" s="92">
        <f>IF((U60)&gt;0,"回收","未回收")</f>
        <v/>
      </c>
      <c r="V66" s="92">
        <f>IF((V60)&gt;0,"回收","未回收")</f>
        <v/>
      </c>
    </row>
    <row r="67" ht="16.5" customHeight="1">
      <c r="A67" s="28" t="n"/>
      <c r="B67" s="149" t="n"/>
      <c r="C67" s="149" t="n"/>
      <c r="D67" s="14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</row>
    <row r="68" ht="16.5" customHeight="1">
      <c r="A68" s="28" t="n"/>
      <c r="B68" s="149" t="n"/>
      <c r="C68" s="149" t="n"/>
      <c r="D68" s="149" t="n"/>
      <c r="E68" s="59" t="n"/>
      <c r="F68" s="59" t="n"/>
      <c r="G68" s="59" t="n"/>
      <c r="H68" s="59" t="n"/>
      <c r="I68" s="59" t="n"/>
      <c r="J68" s="59" t="n"/>
      <c r="K68" s="59" t="inlineStr">
        <is>
          <t>預估可建置量</t>
        </is>
      </c>
      <c r="L68" s="96" t="n">
        <v>0</v>
      </c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</row>
    <row r="69" ht="16.5" customHeight="1">
      <c r="A69" s="28" t="n"/>
      <c r="B69" s="149" t="n"/>
      <c r="C69" s="149" t="n"/>
      <c r="D69" s="149" t="n"/>
      <c r="E69" s="59" t="n"/>
      <c r="F69" s="59" t="n"/>
      <c r="G69" s="59" t="n"/>
      <c r="H69" s="59" t="n"/>
      <c r="I69" s="59" t="n"/>
      <c r="J69" s="59" t="n"/>
      <c r="K69" s="59" t="inlineStr">
        <is>
          <t>預估可建置量</t>
        </is>
      </c>
      <c r="L69" s="96" t="n">
        <v>0</v>
      </c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</row>
    <row r="70" ht="16.5" customHeight="1">
      <c r="A70" s="27" t="n"/>
      <c r="B70" s="97" t="inlineStr">
        <is>
          <t>年份</t>
        </is>
      </c>
      <c r="C70" s="98" t="n">
        <v>2020</v>
      </c>
      <c r="D70" s="98" t="n">
        <v>2021</v>
      </c>
      <c r="E70" s="98" t="n">
        <v>2022</v>
      </c>
      <c r="F70" s="98" t="n">
        <v>2023</v>
      </c>
      <c r="G70" s="98" t="n">
        <v>2024</v>
      </c>
      <c r="H70" s="98" t="n">
        <v>2025</v>
      </c>
      <c r="I70" s="98" t="n">
        <v>2026</v>
      </c>
      <c r="J70" s="98" t="n">
        <v>2027</v>
      </c>
      <c r="K70" s="98" t="n">
        <v>2028</v>
      </c>
      <c r="L70" s="98" t="n">
        <v>2029</v>
      </c>
      <c r="M70" s="98" t="n">
        <v>2030</v>
      </c>
      <c r="N70" s="98" t="n">
        <v>2031</v>
      </c>
      <c r="O70" s="98" t="n">
        <v>2032</v>
      </c>
      <c r="P70" s="98" t="n">
        <v>2033</v>
      </c>
      <c r="Q70" s="98" t="n">
        <v>2034</v>
      </c>
      <c r="R70" s="98" t="n">
        <v>2035</v>
      </c>
      <c r="S70" s="98" t="n">
        <v>2036</v>
      </c>
      <c r="T70" s="98" t="n">
        <v>2037</v>
      </c>
      <c r="U70" s="98" t="n">
        <v>2038</v>
      </c>
      <c r="V70" s="98" t="n">
        <v>2039</v>
      </c>
    </row>
    <row r="71">
      <c r="A71" s="27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</row>
    <row r="72">
      <c r="A72" s="100" t="inlineStr">
        <is>
          <t>(Unit : Currency)</t>
        </is>
      </c>
      <c r="B72" s="101" t="n">
        <v>0</v>
      </c>
      <c r="C72" s="101" t="n">
        <v>1</v>
      </c>
      <c r="D72" s="101" t="n">
        <v>2</v>
      </c>
      <c r="E72" s="101" t="n">
        <v>3</v>
      </c>
      <c r="F72" s="101" t="n">
        <v>4</v>
      </c>
      <c r="G72" s="101" t="n">
        <v>5</v>
      </c>
      <c r="H72" s="101" t="n">
        <v>6</v>
      </c>
      <c r="I72" s="101" t="n">
        <v>7</v>
      </c>
      <c r="J72" s="101" t="n">
        <v>8</v>
      </c>
      <c r="K72" s="101" t="n">
        <v>9</v>
      </c>
      <c r="L72" s="101" t="n">
        <v>10</v>
      </c>
      <c r="M72" s="101" t="n">
        <v>11</v>
      </c>
      <c r="N72" s="101" t="n">
        <v>12</v>
      </c>
      <c r="O72" s="101" t="n">
        <v>13</v>
      </c>
      <c r="P72" s="101" t="n">
        <v>14</v>
      </c>
      <c r="Q72" s="101" t="n">
        <v>15</v>
      </c>
      <c r="R72" s="101" t="n">
        <v>16</v>
      </c>
      <c r="S72" s="101" t="n">
        <v>17</v>
      </c>
      <c r="T72" s="101" t="n">
        <v>18</v>
      </c>
      <c r="U72" s="101" t="n">
        <v>19</v>
      </c>
      <c r="V72" s="101" t="n">
        <v>20</v>
      </c>
    </row>
    <row r="73">
      <c r="A73" s="103" t="inlineStr">
        <is>
          <t>稅後淨利</t>
        </is>
      </c>
      <c r="B73" s="104" t="n"/>
      <c r="C73" s="104">
        <f>#REF!</f>
        <v/>
      </c>
      <c r="D73" s="104">
        <f>#REF!</f>
        <v/>
      </c>
      <c r="E73" s="104">
        <f>#REF!</f>
        <v/>
      </c>
      <c r="F73" s="104">
        <f>#REF!</f>
        <v/>
      </c>
      <c r="G73" s="104">
        <f>#REF!</f>
        <v/>
      </c>
      <c r="H73" s="104">
        <f>#REF!</f>
        <v/>
      </c>
      <c r="I73" s="104">
        <f>#REF!</f>
        <v/>
      </c>
      <c r="J73" s="104">
        <f>#REF!</f>
        <v/>
      </c>
      <c r="K73" s="104">
        <f>#REF!</f>
        <v/>
      </c>
      <c r="L73" s="104">
        <f>#REF!</f>
        <v/>
      </c>
      <c r="M73" s="104">
        <f>#REF!</f>
        <v/>
      </c>
      <c r="N73" s="104">
        <f>#REF!</f>
        <v/>
      </c>
      <c r="O73" s="104">
        <f>#REF!</f>
        <v/>
      </c>
      <c r="P73" s="104">
        <f>#REF!</f>
        <v/>
      </c>
      <c r="Q73" s="104">
        <f>#REF!</f>
        <v/>
      </c>
      <c r="R73" s="104">
        <f>#REF!</f>
        <v/>
      </c>
      <c r="S73" s="104">
        <f>#REF!</f>
        <v/>
      </c>
      <c r="T73" s="104">
        <f>#REF!</f>
        <v/>
      </c>
      <c r="U73" s="104">
        <f>#REF!</f>
        <v/>
      </c>
      <c r="V73" s="104">
        <f>#REF!</f>
        <v/>
      </c>
    </row>
    <row r="74">
      <c r="A74" s="103" t="inlineStr">
        <is>
          <t>設備折舊</t>
        </is>
      </c>
      <c r="B74" s="104" t="n"/>
      <c r="C74" s="105">
        <f>-#REF!</f>
        <v/>
      </c>
      <c r="D74" s="105">
        <f>-#REF!</f>
        <v/>
      </c>
      <c r="E74" s="105">
        <f>-#REF!</f>
        <v/>
      </c>
      <c r="F74" s="105">
        <f>-#REF!</f>
        <v/>
      </c>
      <c r="G74" s="105">
        <f>-#REF!</f>
        <v/>
      </c>
      <c r="H74" s="105">
        <f>-#REF!</f>
        <v/>
      </c>
      <c r="I74" s="105">
        <f>-#REF!</f>
        <v/>
      </c>
      <c r="J74" s="105">
        <f>-#REF!</f>
        <v/>
      </c>
      <c r="K74" s="105">
        <f>-#REF!</f>
        <v/>
      </c>
      <c r="L74" s="105">
        <f>-#REF!</f>
        <v/>
      </c>
      <c r="M74" s="105">
        <f>-#REF!</f>
        <v/>
      </c>
      <c r="N74" s="105">
        <f>-#REF!</f>
        <v/>
      </c>
      <c r="O74" s="105">
        <f>-#REF!</f>
        <v/>
      </c>
      <c r="P74" s="105">
        <f>-#REF!</f>
        <v/>
      </c>
      <c r="Q74" s="105">
        <f>-#REF!</f>
        <v/>
      </c>
      <c r="R74" s="105">
        <f>-#REF!</f>
        <v/>
      </c>
      <c r="S74" s="105">
        <f>-#REF!</f>
        <v/>
      </c>
      <c r="T74" s="105">
        <f>-#REF!</f>
        <v/>
      </c>
      <c r="U74" s="105">
        <f>-#REF!</f>
        <v/>
      </c>
      <c r="V74" s="105">
        <f>-#REF!</f>
        <v/>
      </c>
    </row>
    <row r="75">
      <c r="A75" s="103" t="inlineStr">
        <is>
          <t>營運活動現金流量</t>
        </is>
      </c>
      <c r="B75" s="104" t="n"/>
      <c r="C75" s="106">
        <f>SUM(C73:C74)</f>
        <v/>
      </c>
      <c r="D75" s="106">
        <f>SUM(D73:D74)</f>
        <v/>
      </c>
      <c r="E75" s="106">
        <f>SUM(E73:E74)</f>
        <v/>
      </c>
      <c r="F75" s="106">
        <f>SUM(F73:F74)</f>
        <v/>
      </c>
      <c r="G75" s="106">
        <f>SUM(G73:G74)</f>
        <v/>
      </c>
      <c r="H75" s="106">
        <f>SUM(H73:H74)</f>
        <v/>
      </c>
      <c r="I75" s="106">
        <f>SUM(I73:I74)</f>
        <v/>
      </c>
      <c r="J75" s="106">
        <f>SUM(J73:J74)</f>
        <v/>
      </c>
      <c r="K75" s="106">
        <f>SUM(K73:K74)</f>
        <v/>
      </c>
      <c r="L75" s="106">
        <f>SUM(L73:L74)</f>
        <v/>
      </c>
      <c r="M75" s="106">
        <f>SUM(M73:M74)</f>
        <v/>
      </c>
      <c r="N75" s="106">
        <f>SUM(N73:N74)</f>
        <v/>
      </c>
      <c r="O75" s="106">
        <f>SUM(O73:O74)</f>
        <v/>
      </c>
      <c r="P75" s="106">
        <f>SUM(P73:P74)</f>
        <v/>
      </c>
      <c r="Q75" s="106">
        <f>SUM(Q73:Q74)</f>
        <v/>
      </c>
      <c r="R75" s="106">
        <f>SUM(R73:R74)</f>
        <v/>
      </c>
      <c r="S75" s="106">
        <f>SUM(S73:S74)</f>
        <v/>
      </c>
      <c r="T75" s="106">
        <f>SUM(T73:T74)</f>
        <v/>
      </c>
      <c r="U75" s="106">
        <f>SUM(U73:U74)</f>
        <v/>
      </c>
      <c r="V75" s="106">
        <f>SUM(V73:V74)</f>
        <v/>
      </c>
    </row>
    <row r="76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</row>
    <row r="77">
      <c r="A77" s="109" t="inlineStr">
        <is>
          <t>投資活動-設備支出</t>
        </is>
      </c>
      <c r="B77" s="110" t="n"/>
      <c r="C77" s="111">
        <f>B47</f>
        <v/>
      </c>
      <c r="D77" s="110" t="n">
        <v>0</v>
      </c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</row>
    <row r="78">
      <c r="A78" s="103" t="n"/>
      <c r="B78" s="104" t="n"/>
      <c r="C78" s="104" t="n"/>
      <c r="D78" s="104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</row>
    <row r="79">
      <c r="A79" s="103" t="n"/>
      <c r="B79" s="104" t="n"/>
      <c r="C79" s="104" t="n"/>
      <c r="D79" s="104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</row>
    <row r="80">
      <c r="A80" s="109" t="inlineStr">
        <is>
          <t>理財活動-借款</t>
        </is>
      </c>
      <c r="B80" s="110" t="n"/>
      <c r="C80" s="111">
        <f>#REF!*0.8</f>
        <v/>
      </c>
      <c r="D80" s="110" t="n"/>
      <c r="E80" s="110" t="n"/>
      <c r="F80" s="110" t="n">
        <v>0</v>
      </c>
      <c r="G80" s="110" t="n">
        <v>0</v>
      </c>
      <c r="H80" s="110" t="n">
        <v>0</v>
      </c>
      <c r="I80" s="110" t="n">
        <v>0</v>
      </c>
      <c r="J80" s="110" t="n">
        <v>0</v>
      </c>
      <c r="K80" s="110" t="n">
        <v>0</v>
      </c>
      <c r="L80" s="110" t="n">
        <v>0</v>
      </c>
      <c r="M80" s="110" t="n">
        <v>0</v>
      </c>
      <c r="N80" s="110" t="n">
        <v>0</v>
      </c>
      <c r="O80" s="110" t="n">
        <v>0</v>
      </c>
      <c r="P80" s="110" t="n">
        <v>0</v>
      </c>
      <c r="Q80" s="110" t="n">
        <v>0</v>
      </c>
      <c r="R80" s="110" t="n">
        <v>0</v>
      </c>
      <c r="S80" s="110" t="n">
        <v>0</v>
      </c>
      <c r="T80" s="110" t="n">
        <v>0</v>
      </c>
      <c r="U80" s="110" t="n">
        <v>0</v>
      </c>
      <c r="V80" s="110" t="n">
        <v>0</v>
      </c>
    </row>
    <row r="81">
      <c r="A81" s="103" t="inlineStr">
        <is>
          <t>理財活動-還款</t>
        </is>
      </c>
      <c r="B81" s="104" t="n"/>
      <c r="C81" s="104" t="n"/>
      <c r="D81" s="104">
        <f>-#REF!</f>
        <v/>
      </c>
      <c r="E81" s="104">
        <f>-#REF!</f>
        <v/>
      </c>
      <c r="F81" s="104">
        <f>-#REF!</f>
        <v/>
      </c>
      <c r="G81" s="104">
        <f>-#REF!</f>
        <v/>
      </c>
      <c r="H81" s="104">
        <f>-#REF!</f>
        <v/>
      </c>
      <c r="I81" s="104">
        <f>-#REF!</f>
        <v/>
      </c>
      <c r="J81" s="104">
        <f>-#REF!</f>
        <v/>
      </c>
      <c r="K81" s="104">
        <f>-#REF!</f>
        <v/>
      </c>
      <c r="L81" s="104">
        <f>-#REF!</f>
        <v/>
      </c>
      <c r="M81" s="104">
        <f>-#REF!</f>
        <v/>
      </c>
      <c r="N81" s="104">
        <f>-#REF!</f>
        <v/>
      </c>
      <c r="O81" s="104">
        <f>-#REF!</f>
        <v/>
      </c>
      <c r="P81" s="104">
        <f>-#REF!</f>
        <v/>
      </c>
      <c r="Q81" s="104">
        <f>-#REF!</f>
        <v/>
      </c>
      <c r="R81" s="104">
        <f>-#REF!</f>
        <v/>
      </c>
      <c r="S81" s="108" t="n"/>
      <c r="T81" s="108" t="n"/>
      <c r="U81" s="108" t="n"/>
      <c r="V81" s="108" t="n"/>
    </row>
    <row r="82">
      <c r="A82" s="103" t="inlineStr">
        <is>
          <t>理財活動-現金增資</t>
        </is>
      </c>
      <c r="B82" s="108" t="n"/>
      <c r="C82" s="104">
        <f>#REF!*0.2</f>
        <v/>
      </c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</row>
    <row r="83">
      <c r="A83" s="103" t="inlineStr">
        <is>
          <t>現金股利</t>
        </is>
      </c>
      <c r="B83" s="108" t="n"/>
      <c r="C83" s="108" t="n"/>
      <c r="D83" s="112">
        <f>-C73*0.9</f>
        <v/>
      </c>
      <c r="E83" s="104">
        <f>-D73*0.9</f>
        <v/>
      </c>
      <c r="F83" s="104">
        <f>-E73*0.9</f>
        <v/>
      </c>
      <c r="G83" s="104">
        <f>-F73*0.9</f>
        <v/>
      </c>
      <c r="H83" s="104">
        <f>-G73*0.9</f>
        <v/>
      </c>
      <c r="I83" s="104">
        <f>-H73*0.9</f>
        <v/>
      </c>
      <c r="J83" s="104">
        <f>-I73*0.9</f>
        <v/>
      </c>
      <c r="K83" s="104">
        <f>-J73*0.9</f>
        <v/>
      </c>
      <c r="L83" s="104">
        <f>-K73*0.9</f>
        <v/>
      </c>
      <c r="M83" s="104">
        <f>-L73*0.9</f>
        <v/>
      </c>
      <c r="N83" s="104">
        <f>-M73*0.9</f>
        <v/>
      </c>
      <c r="O83" s="104">
        <f>-N73*0.9</f>
        <v/>
      </c>
      <c r="P83" s="104">
        <f>-O73*0.9</f>
        <v/>
      </c>
      <c r="Q83" s="104">
        <f>-P73*0.9</f>
        <v/>
      </c>
      <c r="R83" s="104">
        <f>-Q73*0.9</f>
        <v/>
      </c>
      <c r="S83" s="104">
        <f>-R73*0.9</f>
        <v/>
      </c>
      <c r="T83" s="104">
        <f>-S73*0.9</f>
        <v/>
      </c>
      <c r="U83" s="108" t="n"/>
      <c r="V83" s="104">
        <f>-U73*0.9</f>
        <v/>
      </c>
    </row>
    <row r="84">
      <c r="A84" s="113" t="inlineStr">
        <is>
          <t>年底減資</t>
        </is>
      </c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5">
        <f>-$D$79/4</f>
        <v/>
      </c>
      <c r="R84" s="115">
        <f>-$D$79/4</f>
        <v/>
      </c>
      <c r="S84" s="115">
        <f>-$D$79/4</f>
        <v/>
      </c>
      <c r="T84" s="115">
        <f>-$D$79/4</f>
        <v/>
      </c>
      <c r="U84" s="114" t="n"/>
      <c r="V84" s="114" t="n"/>
    </row>
    <row r="85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</row>
    <row r="8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</row>
    <row r="87">
      <c r="A87" s="103" t="inlineStr">
        <is>
          <t>現金淨流入(出 )</t>
        </is>
      </c>
      <c r="B87" s="108">
        <f>SUM(B77:B86)</f>
        <v/>
      </c>
      <c r="C87" s="106">
        <f>SUM(C75:C86)</f>
        <v/>
      </c>
      <c r="D87" s="106">
        <f>SUM(D75:D86)</f>
        <v/>
      </c>
      <c r="E87" s="106">
        <f>SUM(E75:E86)</f>
        <v/>
      </c>
      <c r="F87" s="106">
        <f>SUM(F75:F86)</f>
        <v/>
      </c>
      <c r="G87" s="106">
        <f>SUM(G75:G86)</f>
        <v/>
      </c>
      <c r="H87" s="106">
        <f>SUM(H75:H86)</f>
        <v/>
      </c>
      <c r="I87" s="106">
        <f>SUM(I75:I86)</f>
        <v/>
      </c>
      <c r="J87" s="106">
        <f>SUM(J75:J86)</f>
        <v/>
      </c>
      <c r="K87" s="106">
        <f>SUM(K75:K86)</f>
        <v/>
      </c>
      <c r="L87" s="106">
        <f>SUM(L75:L86)</f>
        <v/>
      </c>
      <c r="M87" s="106">
        <f>SUM(M75:M86)</f>
        <v/>
      </c>
      <c r="N87" s="106">
        <f>SUM(N75:N86)</f>
        <v/>
      </c>
      <c r="O87" s="106">
        <f>SUM(O75:O86)</f>
        <v/>
      </c>
      <c r="P87" s="106">
        <f>SUM(P75:P86)</f>
        <v/>
      </c>
      <c r="Q87" s="106">
        <f>SUM(Q75:Q86)</f>
        <v/>
      </c>
      <c r="R87" s="106">
        <f>SUM(R75:R86)</f>
        <v/>
      </c>
      <c r="S87" s="106">
        <f>SUM(S75:S86)</f>
        <v/>
      </c>
      <c r="T87" s="106">
        <f>SUM(T75:T86)</f>
        <v/>
      </c>
      <c r="U87" s="106">
        <f>SUM(U75:U86)</f>
        <v/>
      </c>
      <c r="V87" s="106">
        <f>SUM(V75:V86)</f>
        <v/>
      </c>
    </row>
    <row r="88">
      <c r="A88" s="103" t="inlineStr">
        <is>
          <t>期初淨現金</t>
        </is>
      </c>
      <c r="B88" s="108" t="n">
        <v>0</v>
      </c>
      <c r="C88" s="108">
        <f>B89</f>
        <v/>
      </c>
      <c r="D88" s="104">
        <f>C89</f>
        <v/>
      </c>
      <c r="E88" s="104">
        <f>D89</f>
        <v/>
      </c>
      <c r="F88" s="104">
        <f>E89</f>
        <v/>
      </c>
      <c r="G88" s="104">
        <f>F89</f>
        <v/>
      </c>
      <c r="H88" s="104">
        <f>G89</f>
        <v/>
      </c>
      <c r="I88" s="104">
        <f>H89</f>
        <v/>
      </c>
      <c r="J88" s="104">
        <f>I89</f>
        <v/>
      </c>
      <c r="K88" s="104">
        <f>J89</f>
        <v/>
      </c>
      <c r="L88" s="104">
        <f>K89</f>
        <v/>
      </c>
      <c r="M88" s="104">
        <f>L89</f>
        <v/>
      </c>
      <c r="N88" s="104">
        <f>M89</f>
        <v/>
      </c>
      <c r="O88" s="104">
        <f>N89</f>
        <v/>
      </c>
      <c r="P88" s="104">
        <f>O89</f>
        <v/>
      </c>
      <c r="Q88" s="104">
        <f>P89</f>
        <v/>
      </c>
      <c r="R88" s="104">
        <f>Q89</f>
        <v/>
      </c>
      <c r="S88" s="104">
        <f>R89</f>
        <v/>
      </c>
      <c r="T88" s="104">
        <f>S89</f>
        <v/>
      </c>
      <c r="U88" s="108" t="n"/>
      <c r="V88" s="108" t="n"/>
    </row>
    <row r="89">
      <c r="A89" s="103" t="inlineStr">
        <is>
          <t>期未淨現金</t>
        </is>
      </c>
      <c r="B89" s="108">
        <f>B87</f>
        <v/>
      </c>
      <c r="C89" s="104">
        <f>C87+C88</f>
        <v/>
      </c>
      <c r="D89" s="104">
        <f>D87+D88</f>
        <v/>
      </c>
      <c r="E89" s="104">
        <f>E87+E88</f>
        <v/>
      </c>
      <c r="F89" s="104">
        <f>F87+F88</f>
        <v/>
      </c>
      <c r="G89" s="104">
        <f>G87+G88</f>
        <v/>
      </c>
      <c r="H89" s="104">
        <f>H87+H88</f>
        <v/>
      </c>
      <c r="I89" s="104">
        <f>I87+I88</f>
        <v/>
      </c>
      <c r="J89" s="104">
        <f>J87+J88</f>
        <v/>
      </c>
      <c r="K89" s="104">
        <f>K87+K88</f>
        <v/>
      </c>
      <c r="L89" s="104">
        <f>L87+L88</f>
        <v/>
      </c>
      <c r="M89" s="104">
        <f>M87+M88</f>
        <v/>
      </c>
      <c r="N89" s="104">
        <f>N87+N88</f>
        <v/>
      </c>
      <c r="O89" s="104">
        <f>O87+O88</f>
        <v/>
      </c>
      <c r="P89" s="104">
        <f>P87+P88</f>
        <v/>
      </c>
      <c r="Q89" s="104">
        <f>Q87+Q88</f>
        <v/>
      </c>
      <c r="R89" s="104">
        <f>R87+R88</f>
        <v/>
      </c>
      <c r="S89" s="104">
        <f>S87+S88</f>
        <v/>
      </c>
      <c r="T89" s="104">
        <f>T87+T88</f>
        <v/>
      </c>
      <c r="U89" s="108" t="n"/>
      <c r="V89" s="108" t="n"/>
    </row>
    <row r="90">
      <c r="A90" s="103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</row>
    <row r="91">
      <c r="A91" s="103" t="n"/>
      <c r="B91" s="104" t="n"/>
      <c r="C91" s="104" t="n"/>
      <c r="D91" s="104" t="n"/>
      <c r="E91" s="108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</row>
    <row r="92">
      <c r="A92" s="117" t="inlineStr">
        <is>
          <t>成本法實際現金流</t>
        </is>
      </c>
      <c r="B92" s="118" t="n"/>
      <c r="C92" s="119">
        <f>-C82</f>
        <v/>
      </c>
      <c r="D92" s="106">
        <f>-D83-D84</f>
        <v/>
      </c>
      <c r="E92" s="106">
        <f>-E83-E84</f>
        <v/>
      </c>
      <c r="F92" s="106">
        <f>-F83-F84</f>
        <v/>
      </c>
      <c r="G92" s="106">
        <f>-G83-G84</f>
        <v/>
      </c>
      <c r="H92" s="106">
        <f>-H83-H84</f>
        <v/>
      </c>
      <c r="I92" s="106">
        <f>-I83-I84</f>
        <v/>
      </c>
      <c r="J92" s="106">
        <f>-J83-J84</f>
        <v/>
      </c>
      <c r="K92" s="106">
        <f>-K83-K84</f>
        <v/>
      </c>
      <c r="L92" s="106">
        <f>-L83-L84</f>
        <v/>
      </c>
      <c r="M92" s="106">
        <f>-M83-M84</f>
        <v/>
      </c>
      <c r="N92" s="106">
        <f>-N83-N84</f>
        <v/>
      </c>
      <c r="O92" s="106">
        <f>-O83-O84</f>
        <v/>
      </c>
      <c r="P92" s="106">
        <f>-P83-P84</f>
        <v/>
      </c>
      <c r="Q92" s="106">
        <f>-Q83-Q84</f>
        <v/>
      </c>
      <c r="R92" s="106">
        <f>-R83-R84</f>
        <v/>
      </c>
      <c r="S92" s="106">
        <f>-S83-S84</f>
        <v/>
      </c>
      <c r="T92" s="106">
        <f>-T83-T84</f>
        <v/>
      </c>
      <c r="U92" s="118">
        <f>-U83-U84</f>
        <v/>
      </c>
      <c r="V92" s="106">
        <f>-V83-V84</f>
        <v/>
      </c>
    </row>
    <row r="93">
      <c r="A93" s="103" t="inlineStr">
        <is>
          <t>成本法IRR</t>
        </is>
      </c>
      <c r="B93" s="120">
        <f>IRR(C92:V92)</f>
        <v/>
      </c>
      <c r="C93" s="150" t="n"/>
      <c r="D93" s="150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</row>
    <row r="94">
      <c r="A94" s="117" t="inlineStr">
        <is>
          <t>權益法實際現金流</t>
        </is>
      </c>
      <c r="B94" s="118" t="n"/>
      <c r="C94" s="119">
        <f>#REF!-C82</f>
        <v/>
      </c>
      <c r="D94" s="106">
        <f>#REF!</f>
        <v/>
      </c>
      <c r="E94" s="106">
        <f>#REF!-E84</f>
        <v/>
      </c>
      <c r="F94" s="106">
        <f>#REF!-F84</f>
        <v/>
      </c>
      <c r="G94" s="106">
        <f>#REF!-G84</f>
        <v/>
      </c>
      <c r="H94" s="106">
        <f>#REF!-H84</f>
        <v/>
      </c>
      <c r="I94" s="106">
        <f>#REF!-I84</f>
        <v/>
      </c>
      <c r="J94" s="106">
        <f>#REF!-J84</f>
        <v/>
      </c>
      <c r="K94" s="106">
        <f>#REF!-K84</f>
        <v/>
      </c>
      <c r="L94" s="106">
        <f>#REF!-L84</f>
        <v/>
      </c>
      <c r="M94" s="106">
        <f>#REF!-M84</f>
        <v/>
      </c>
      <c r="N94" s="106">
        <f>#REF!-N84</f>
        <v/>
      </c>
      <c r="O94" s="106">
        <f>#REF!-O84</f>
        <v/>
      </c>
      <c r="P94" s="106">
        <f>#REF!-P84</f>
        <v/>
      </c>
      <c r="Q94" s="106">
        <f>#REF!-Q84</f>
        <v/>
      </c>
      <c r="R94" s="106">
        <f>#REF!-R84</f>
        <v/>
      </c>
      <c r="S94" s="106">
        <f>#REF!-S84</f>
        <v/>
      </c>
      <c r="T94" s="106">
        <f>#REF!-T84</f>
        <v/>
      </c>
      <c r="U94" s="106">
        <f>#REF!-U84</f>
        <v/>
      </c>
      <c r="V94" s="106">
        <f>#REF!-V84</f>
        <v/>
      </c>
    </row>
    <row r="95">
      <c r="A95" s="117" t="inlineStr">
        <is>
          <t>權益法IRR</t>
        </is>
      </c>
      <c r="B95" s="120">
        <f>IRR(C94:V94)</f>
        <v/>
      </c>
      <c r="C95" s="150" t="n"/>
      <c r="D95" s="150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</row>
    <row r="96">
      <c r="A96" s="103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</row>
    <row r="97">
      <c r="A97" s="103" t="inlineStr">
        <is>
          <t>借款餘額</t>
        </is>
      </c>
      <c r="B97" s="108" t="n">
        <v>0</v>
      </c>
      <c r="C97" s="104">
        <f>C80</f>
        <v/>
      </c>
      <c r="D97" s="104">
        <f>C97+D80+D81</f>
        <v/>
      </c>
      <c r="E97" s="104">
        <f>D97+E80+E81</f>
        <v/>
      </c>
      <c r="F97" s="104">
        <f>E97+F80+F81</f>
        <v/>
      </c>
      <c r="G97" s="104">
        <f>F97+G80+G81</f>
        <v/>
      </c>
      <c r="H97" s="104">
        <f>G97+H80+H81</f>
        <v/>
      </c>
      <c r="I97" s="104">
        <f>H97+I80+I81</f>
        <v/>
      </c>
      <c r="J97" s="104">
        <f>I97+J80+J81</f>
        <v/>
      </c>
      <c r="K97" s="104">
        <f>J97+K80+K81</f>
        <v/>
      </c>
      <c r="L97" s="104">
        <f>K97+L80+L81</f>
        <v/>
      </c>
      <c r="M97" s="104">
        <f>L97+M80+M81</f>
        <v/>
      </c>
      <c r="N97" s="104">
        <f>M97+N80+N81</f>
        <v/>
      </c>
      <c r="O97" s="104">
        <f>N97+O80+O81</f>
        <v/>
      </c>
      <c r="P97" s="104">
        <f>O97+P80+P81</f>
        <v/>
      </c>
      <c r="Q97" s="104">
        <f>P97+Q80+Q81</f>
        <v/>
      </c>
      <c r="R97" s="104">
        <f>Q97+R80+R81</f>
        <v/>
      </c>
      <c r="S97" s="108" t="n"/>
      <c r="T97" s="108" t="n"/>
      <c r="U97" s="108" t="n"/>
      <c r="V97" s="108" t="n"/>
    </row>
    <row r="98">
      <c r="A98" s="27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價金每KW</t>
        </is>
      </c>
      <c r="B1" t="inlineStr">
        <is>
          <t>專案法IRR</t>
        </is>
      </c>
      <c r="C1" t="inlineStr">
        <is>
          <t>權益法IRR</t>
        </is>
      </c>
      <c r="D1" t="inlineStr">
        <is>
          <t>信邦利潤率</t>
        </is>
      </c>
      <c r="E1" t="inlineStr">
        <is>
          <t>信邦利潤</t>
        </is>
      </c>
      <c r="F1" t="inlineStr">
        <is>
          <t>每kw信邦利潤</t>
        </is>
      </c>
      <c r="G1" t="inlineStr">
        <is>
          <t>開發費</t>
        </is>
      </c>
      <c r="H1" t="inlineStr">
        <is>
          <t>備註</t>
        </is>
      </c>
    </row>
    <row r="2">
      <c r="A2" t="n">
        <v>29000</v>
      </c>
      <c r="B2" t="n">
        <v>4.63</v>
      </c>
      <c r="C2" t="n">
        <v>11.74</v>
      </c>
      <c r="D2" s="151" t="n">
        <v>0.2</v>
      </c>
      <c r="E2" t="n">
        <v>2289525</v>
      </c>
      <c r="F2" t="n">
        <v>5250</v>
      </c>
      <c r="G2" t="n">
        <v>2000</v>
      </c>
      <c r="H2" t="inlineStr">
        <is>
          <t>初始價金 - 現金模式，每次減少 1000 元，邊界值 20000 元</t>
        </is>
      </c>
    </row>
    <row r="3">
      <c r="A3" t="n">
        <v>28000</v>
      </c>
      <c r="B3" t="n">
        <v>4.98</v>
      </c>
      <c r="C3" t="n">
        <v>13.18</v>
      </c>
      <c r="D3" s="151" t="n">
        <v>0.2</v>
      </c>
      <c r="E3" t="n">
        <v>2180500</v>
      </c>
      <c r="F3" t="n">
        <v>5000</v>
      </c>
      <c r="G3" t="n">
        <v>2000</v>
      </c>
      <c r="H3" t="inlineStr">
        <is>
          <t>第1次滾算，減少 1000 元 - 現金模式，每次減少 1000 元</t>
        </is>
      </c>
    </row>
    <row r="4">
      <c r="A4" t="n">
        <v>27000</v>
      </c>
      <c r="B4" t="n">
        <v>5.35</v>
      </c>
      <c r="C4" t="n">
        <v>14.77</v>
      </c>
      <c r="D4" s="151" t="n">
        <v>0.2</v>
      </c>
      <c r="E4" t="n">
        <v>2071475</v>
      </c>
      <c r="F4" t="n">
        <v>4750</v>
      </c>
      <c r="G4" t="n">
        <v>2000</v>
      </c>
      <c r="H4" t="inlineStr">
        <is>
          <t>第2次滾算，減少 1000 元 - 現金模式，每次減少 1000 元</t>
        </is>
      </c>
    </row>
    <row r="5">
      <c r="A5" t="n">
        <v>26000</v>
      </c>
      <c r="B5" t="n">
        <v>5.74</v>
      </c>
      <c r="C5" t="n">
        <v>16.54</v>
      </c>
      <c r="D5" s="151" t="n">
        <v>0.2</v>
      </c>
      <c r="E5" t="n">
        <v>1962450</v>
      </c>
      <c r="F5" t="n">
        <v>4500</v>
      </c>
      <c r="G5" t="n">
        <v>2000</v>
      </c>
      <c r="H5" t="inlineStr">
        <is>
          <t>第3次滾算，減少 1000 元 - 現金模式，每次減少 1000 元</t>
        </is>
      </c>
    </row>
    <row r="6">
      <c r="A6" t="n">
        <v>25000</v>
      </c>
      <c r="B6" t="n">
        <v>6.15</v>
      </c>
      <c r="C6" t="n">
        <v>18.54</v>
      </c>
      <c r="D6" s="151" t="n">
        <v>0.2</v>
      </c>
      <c r="E6" t="n">
        <v>1853425</v>
      </c>
      <c r="F6" t="n">
        <v>4250</v>
      </c>
      <c r="G6" t="n">
        <v>2000</v>
      </c>
      <c r="H6" t="inlineStr">
        <is>
          <t>第4次滾算，減少 1000 元 - 現金模式，每次減少 1000 元</t>
        </is>
      </c>
    </row>
    <row r="7">
      <c r="A7" t="n">
        <v>24000</v>
      </c>
      <c r="B7" t="n">
        <v>6.59</v>
      </c>
      <c r="C7" t="n">
        <v>20.81</v>
      </c>
      <c r="D7" s="151" t="n">
        <v>0.2</v>
      </c>
      <c r="E7" t="n">
        <v>1744400</v>
      </c>
      <c r="F7" t="n">
        <v>4000</v>
      </c>
      <c r="G7" t="n">
        <v>2000</v>
      </c>
      <c r="H7" t="inlineStr">
        <is>
          <t>第5次滾算，減少 1000 元 - 現金模式，每次減少 1000 元</t>
        </is>
      </c>
    </row>
    <row r="8">
      <c r="A8" t="n">
        <v>23000</v>
      </c>
      <c r="B8" t="n">
        <v>7.06</v>
      </c>
      <c r="C8" t="n">
        <v>23.4</v>
      </c>
      <c r="D8" s="151" t="n">
        <v>0.2</v>
      </c>
      <c r="E8" t="n">
        <v>1635375</v>
      </c>
      <c r="F8" t="n">
        <v>3750</v>
      </c>
      <c r="G8" t="n">
        <v>2000</v>
      </c>
      <c r="H8" t="inlineStr">
        <is>
          <t>第6次滾算，減少 1000 元 - 現金模式，每次減少 1000 元</t>
        </is>
      </c>
    </row>
    <row r="9">
      <c r="A9" t="n">
        <v>22000</v>
      </c>
      <c r="B9" t="n">
        <v>7.56</v>
      </c>
      <c r="C9" t="n">
        <v>26.41</v>
      </c>
      <c r="D9" s="151" t="n">
        <v>0.2</v>
      </c>
      <c r="E9" t="n">
        <v>1526350</v>
      </c>
      <c r="F9" t="n">
        <v>3500</v>
      </c>
      <c r="G9" t="n">
        <v>2000</v>
      </c>
      <c r="H9" t="inlineStr">
        <is>
          <t>第7次滾算，減少 1000 元 - 現金模式，每次減少 1000 元</t>
        </is>
      </c>
    </row>
    <row r="10">
      <c r="A10" t="n">
        <v>21000</v>
      </c>
      <c r="B10" t="n">
        <v>8.1</v>
      </c>
      <c r="C10" t="n">
        <v>29.94</v>
      </c>
      <c r="D10" s="151" t="n">
        <v>0.2</v>
      </c>
      <c r="E10" t="n">
        <v>1417325</v>
      </c>
      <c r="F10" t="n">
        <v>3250</v>
      </c>
      <c r="G10" t="n">
        <v>2000</v>
      </c>
      <c r="H10" t="inlineStr">
        <is>
          <t>第8次滾算，減少 1000 元 - 現金模式，每次減少 1000 元</t>
        </is>
      </c>
    </row>
    <row r="11">
      <c r="A11" t="n">
        <v>20000</v>
      </c>
      <c r="B11" t="n">
        <v>8.67</v>
      </c>
      <c r="C11" t="n">
        <v>34.13</v>
      </c>
      <c r="D11" s="151" t="n">
        <v>0.2</v>
      </c>
      <c r="E11" t="n">
        <v>1308300</v>
      </c>
      <c r="F11" t="n">
        <v>3000</v>
      </c>
      <c r="G11" t="n">
        <v>2000</v>
      </c>
      <c r="H11" t="inlineStr">
        <is>
          <t>第9次滾算，減少 1000 元 - 現金模式，每次減少 1000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>
      <c r="B6" s="162" t="n"/>
      <c r="C6" s="163" t="n"/>
      <c r="D6" s="163" t="n"/>
      <c r="E6" s="163" t="n"/>
      <c r="M6" t="inlineStr">
        <is>
          <t>初始價金: 29000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4.63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11.74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基準價金 - 滾算起始點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29000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>
      <c r="B6" s="162" t="n"/>
      <c r="C6" s="163" t="n"/>
      <c r="D6" s="163" t="n"/>
      <c r="E6" s="163" t="n"/>
      <c r="M6" t="inlineStr">
        <is>
          <t>價金: 28000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13.18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第1次滾算，減少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28000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>
      <c r="B6" s="162" t="n"/>
      <c r="C6" s="163" t="n"/>
      <c r="D6" s="163" t="n"/>
      <c r="E6" s="163" t="n"/>
      <c r="M6" t="inlineStr">
        <is>
          <t>價金: 27000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5.35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14.77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第2次滾算，減少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27000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>
      <c r="B6" s="162" t="n"/>
      <c r="C6" s="163" t="n"/>
      <c r="D6" s="163" t="n"/>
      <c r="E6" s="163" t="n"/>
      <c r="M6" t="inlineStr">
        <is>
          <t>價金: 26000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16.54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第3次滾算，減少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26000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>
      <c r="B6" s="162" t="n"/>
      <c r="C6" s="163" t="n"/>
      <c r="D6" s="163" t="n"/>
      <c r="E6" s="163" t="n"/>
      <c r="M6" t="inlineStr">
        <is>
          <t>價金: 25000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6.15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18.54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第4次滾算，減少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25000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>
      <c r="B6" s="162" t="n"/>
      <c r="C6" s="163" t="n"/>
      <c r="D6" s="163" t="n"/>
      <c r="E6" s="163" t="n"/>
      <c r="M6" t="inlineStr">
        <is>
          <t>價金: 24000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20.81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第5次滾算，減少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24000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第6次滾算摘要</t>
        </is>
      </c>
    </row>
    <row r="6">
      <c r="B6" s="162" t="n"/>
      <c r="C6" s="163" t="n"/>
      <c r="D6" s="163" t="n"/>
      <c r="E6" s="163" t="n"/>
      <c r="M6" t="inlineStr">
        <is>
          <t>價金: 23000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7.06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23.4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第6次滾算，減少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23000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第7次滾算摘要</t>
        </is>
      </c>
    </row>
    <row r="6">
      <c r="B6" s="162" t="n"/>
      <c r="C6" s="163" t="n"/>
      <c r="D6" s="163" t="n"/>
      <c r="E6" s="163" t="n"/>
      <c r="M6" t="inlineStr">
        <is>
          <t>價金: 22000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26.41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第7次滾算，減少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22000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第8次滾算摘要</t>
        </is>
      </c>
    </row>
    <row r="6">
      <c r="B6" s="162" t="n"/>
      <c r="C6" s="163" t="n"/>
      <c r="D6" s="163" t="n"/>
      <c r="E6" s="163" t="n"/>
      <c r="M6" t="inlineStr">
        <is>
          <t>價金: 21000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8.1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29.94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第8次滾算，減少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21000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第9次滾算摘要</t>
        </is>
      </c>
    </row>
    <row r="6">
      <c r="B6" s="162" t="n"/>
      <c r="C6" s="163" t="n"/>
      <c r="D6" s="163" t="n"/>
      <c r="E6" s="163" t="n"/>
      <c r="M6" t="inlineStr">
        <is>
          <t>價金: 20000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34.13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第9次滾算，減少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20000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2026-01-26T16:30:09Z</dcterms:modified>
  <cp:lastModifiedBy>王竣生</cp:lastModifiedBy>
</cp:coreProperties>
</file>