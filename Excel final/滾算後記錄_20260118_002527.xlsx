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3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01" firstSheet="6" activeTab="8" autoFilterDateGrouping="1"/>
  </bookViews>
  <sheets>
    <sheet name="等效" sheetId="1" state="hidden" r:id="rId1"/>
    <sheet name="費率" sheetId="2" state="hidden" r:id="rId2"/>
    <sheet name="發電" sheetId="3" state="hidden" r:id="rId3"/>
    <sheet name="成本" sheetId="4" state="hidden" r:id="rId4"/>
    <sheet name="報價" sheetId="5" state="hidden" r:id="rId5"/>
    <sheet name="IRR (樂觀2%)" sheetId="6" state="hidden" r:id="rId6"/>
    <sheet name="滾算紀錄單(總紀錄)" sheetId="7" state="visible" r:id="rId7"/>
    <sheet name="滾算紀錄單(使用者記錄)" sheetId="8" state="visible" r:id="rId8"/>
    <sheet name="滾算紀錄1" sheetId="9" state="visible" r:id="rId9"/>
    <sheet name="IRR (保守3%)" sheetId="10" state="hidden" r:id="rId10"/>
    <sheet name="比例" sheetId="11" state="hidden" r:id="rId11"/>
    <sheet name="台電" sheetId="12" state="hidden" r:id="rId12"/>
    <sheet name="行政" sheetId="13" state="hidden" r:id="rId13"/>
    <sheet name="材料" sheetId="14" state="hidden" r:id="rId14"/>
    <sheet name="監控" sheetId="15" state="hidden" r:id="rId15"/>
    <sheet name="監控 (2)" sheetId="16" state="hidden" r:id="rId16"/>
    <sheet name="監控 (3)" sheetId="17" state="hidden" r:id="rId17"/>
    <sheet name="模組" sheetId="18" state="hidden" r:id="rId18"/>
    <sheet name="微逆變" sheetId="19" state="hidden" r:id="rId19"/>
    <sheet name="逆變" sheetId="20" state="hidden" r:id="rId20"/>
    <sheet name="(獨)逆變" sheetId="21" state="hidden" r:id="rId21"/>
    <sheet name="鋁支架" sheetId="22" state="hidden" r:id="rId22"/>
    <sheet name="鋁線槽" sheetId="23" state="hidden" r:id="rId23"/>
    <sheet name="變壓器" sheetId="24" state="hidden" r:id="rId24"/>
    <sheet name="鋼構" sheetId="25" state="hidden" r:id="rId25"/>
    <sheet name="雜項" sheetId="26" state="hidden" r:id="rId26"/>
    <sheet name="線材" sheetId="27" state="hidden" r:id="rId27"/>
    <sheet name="箱體" sheetId="28" state="hidden" r:id="rId28"/>
    <sheet name="高空作業車" sheetId="29" state="hidden" r:id="rId29"/>
    <sheet name="統包價" sheetId="30" state="hidden" r:id="rId30"/>
    <sheet name="鋼構長度重量計算" sheetId="31" state="hidden" r:id="rId31"/>
    <sheet name="XLPE牌價" sheetId="32" state="hidden" r:id="rId32"/>
    <sheet name="開始滾算紀錄1" sheetId="33" state="visible" r:id="rId33"/>
    <sheet name="開始滾算紀錄2" sheetId="34" state="visible" r:id="rId34"/>
    <sheet name="開始滾算紀錄3" sheetId="35" state="visible" r:id="rId35"/>
    <sheet name="開始滾算紀錄4" sheetId="36" state="visible" r:id="rId36"/>
    <sheet name="開始滾算紀錄5" sheetId="37" state="visible" r:id="rId37"/>
    <sheet name="開始滾算紀錄6" sheetId="38" state="visible" r:id="rId38"/>
    <sheet name="開始滾算紀錄7" sheetId="39" state="visible" r:id="rId39"/>
    <sheet name="開始滾算紀錄8" sheetId="40" state="visible" r:id="rId40"/>
    <sheet name="開始滾算紀錄9" sheetId="41" state="visible" r:id="rId41"/>
    <sheet name="開始滾算紀錄10" sheetId="42" state="visible" r:id="rId42"/>
  </sheets>
  <externalReferences>
    <externalReference r:id="rId43"/>
    <externalReference r:id="rId44"/>
    <externalReference r:id="rId45"/>
    <externalReference r:id="rId46"/>
  </externalReferences>
  <definedNames>
    <definedName name="ret_tlt0">#REF!</definedName>
    <definedName name="ss">#REF!</definedName>
    <definedName name="Table0" localSheetId="2">發電!$U$7:$AE$23</definedName>
    <definedName name="ret_tlt0" localSheetId="3">#REF!</definedName>
    <definedName name="ss" localSheetId="3">#REF!</definedName>
    <definedName name="ret_tlt0" localSheetId="8">#REF!</definedName>
    <definedName name="ss" localSheetId="8">#REF!</definedName>
    <definedName name="ret_tlt0" localSheetId="9">#REF!</definedName>
    <definedName name="ss" localSheetId="9">#REF!</definedName>
    <definedName name="ret_tlt0" localSheetId="11">#REF!</definedName>
    <definedName name="ss" localSheetId="11">#REF!</definedName>
    <definedName name="_xlnm._FilterDatabase" localSheetId="11" hidden="1">'台電'!$B$12:$G$12</definedName>
    <definedName name="ret_tlt0" localSheetId="12">#REF!</definedName>
    <definedName name="ss" localSheetId="12">#REF!</definedName>
    <definedName name="_xlnm._FilterDatabase" localSheetId="12" hidden="1">'行政'!$B$15:$G$44</definedName>
    <definedName name="ret_tlt0" localSheetId="13">#REF!</definedName>
    <definedName name="ss" localSheetId="13">#REF!</definedName>
    <definedName name="ret_tlt0" localSheetId="14">#REF!</definedName>
    <definedName name="ss" localSheetId="14">#REF!</definedName>
    <definedName name="_xlnm._FilterDatabase" localSheetId="14" hidden="1">'監控'!$B$11:$G$11</definedName>
    <definedName name="ret_tlt0" localSheetId="15">#REF!</definedName>
    <definedName name="ss" localSheetId="15">#REF!</definedName>
    <definedName name="ret_tlt0" localSheetId="16">#REF!</definedName>
    <definedName name="ss" localSheetId="16">#REF!</definedName>
    <definedName name="_xlnm._FilterDatabase" localSheetId="16" hidden="1">'監控 (3)'!$B$11:$G$11</definedName>
    <definedName name="_xlnm._FilterDatabase" localSheetId="17" hidden="1">'模組'!$B$6:$G$15</definedName>
    <definedName name="ret_tlt0" localSheetId="18">#REF!</definedName>
    <definedName name="_xlnm._FilterDatabase" localSheetId="18" hidden="1">'微逆變'!$B$6:$G$6</definedName>
    <definedName name="_xlnm._FilterDatabase" localSheetId="19" hidden="1">'逆變'!$B$11:$K$221</definedName>
    <definedName name="ret_tlt0" localSheetId="20">#REF!</definedName>
    <definedName name="ss" localSheetId="20">#REF!</definedName>
    <definedName name="_xlnm._FilterDatabase" localSheetId="20" hidden="1">'(獨)逆變'!$B$6:$H$6</definedName>
    <definedName name="ret_tlt0" localSheetId="21">#REF!</definedName>
    <definedName name="_xlnm._FilterDatabase" localSheetId="21" hidden="1">'鋁支架'!$B$9:$H$24</definedName>
    <definedName name="ret_tlt0" localSheetId="22">#REF!</definedName>
    <definedName name="_xlnm._FilterDatabase" localSheetId="22" hidden="1">'鋁線槽'!$B$6:$G$6</definedName>
    <definedName name="ret_tlt0" localSheetId="24">#REF!</definedName>
    <definedName name="ss" localSheetId="24">#REF!</definedName>
    <definedName name="_xlnm._FilterDatabase" localSheetId="24" hidden="1">'鋼構'!$B$9:$P$16</definedName>
    <definedName name="ret_tlt0" localSheetId="26">#REF!</definedName>
    <definedName name="ss" localSheetId="26">#REF!</definedName>
    <definedName name="ret_tlt0" localSheetId="27">#REF!</definedName>
    <definedName name="_xlnm.Print_Area" localSheetId="29">'統包價'!$A$1:$J$65</definedName>
  </definedNames>
  <calcPr calcId="191029" fullCalcOnLoad="1"/>
</workbook>
</file>

<file path=xl/styles.xml><?xml version="1.0" encoding="utf-8"?>
<styleSheet xmlns="http://schemas.openxmlformats.org/spreadsheetml/2006/main">
  <numFmts count="36">
    <numFmt numFmtId="164" formatCode="#,##0_);[Red]\(#,##0\)"/>
    <numFmt numFmtId="165" formatCode="0.0000_ "/>
    <numFmt numFmtId="166" formatCode="#,##0_ "/>
    <numFmt numFmtId="167" formatCode="#,##0.0000_);[Red]\(#,##0.0000\)"/>
    <numFmt numFmtId="168" formatCode="&quot;$&quot;#,##0.00;[Red]\-&quot;$&quot;#,##0.00"/>
    <numFmt numFmtId="169" formatCode="_-\$* #,##0.00_-;&quot;-$&quot;* #,##0.00_-;_-\$* \-??_-;_-@_-"/>
    <numFmt numFmtId="170" formatCode="&quot;$&quot;#,##0"/>
    <numFmt numFmtId="171" formatCode="&quot;$&quot;#,##0.00"/>
    <numFmt numFmtId="172" formatCode="#,##0.00_);[Red]\(#,##0.00\)"/>
    <numFmt numFmtId="173" formatCode="0_ "/>
    <numFmt numFmtId="174" formatCode="0.0%"/>
    <numFmt numFmtId="175" formatCode="&quot;ACPV每瓦售價&quot;#.##"/>
    <numFmt numFmtId="176" formatCode="####&quot;年&quot;"/>
    <numFmt numFmtId="177" formatCode="m&quot;月&quot;d&quot;日&quot;"/>
    <numFmt numFmtId="178" formatCode="0.0_ "/>
    <numFmt numFmtId="179" formatCode="0.0000"/>
    <numFmt numFmtId="180" formatCode="&quot; &quot;###.###&quot; (m^2)&quot;"/>
    <numFmt numFmtId="181" formatCode="0.000_ "/>
    <numFmt numFmtId="182" formatCode="_-* #,##0_-;\-* #,##0_-;_-* &quot;-&quot;??_-;_-@_-"/>
    <numFmt numFmtId="183" formatCode="#.00\ &quot;KW&quot;"/>
    <numFmt numFmtId="184" formatCode="0.00&quot; KW&quot;"/>
    <numFmt numFmtId="185" formatCode="0.00_);[Red]\(0.00\)"/>
    <numFmt numFmtId="186" formatCode="#,##0.000_);[Red]\(#,##0.000\)"/>
    <numFmt numFmtId="187" formatCode="&quot;$&quot;#,##0;[Red]\-&quot;$&quot;#,##0"/>
    <numFmt numFmtId="188" formatCode="#,##0.0_);[Red]\(#,##0.0\)"/>
    <numFmt numFmtId="189" formatCode="&quot; Lon &quot;###.####&quot; &quot;"/>
    <numFmt numFmtId="190" formatCode="&quot; Lat &quot;###.####&quot; &quot;"/>
    <numFmt numFmtId="191" formatCode="0.000"/>
    <numFmt numFmtId="192" formatCode="_-* #,##0.00_-;\-* #,##0.00_-;_-* \-??_-;_-@_-"/>
    <numFmt numFmtId="193" formatCode="_-* #,##0_-;\-* #,##0_-;_-* \-??_-;_-@_-"/>
    <numFmt numFmtId="194" formatCode="0.00_ "/>
    <numFmt numFmtId="195" formatCode="#&quot;W&quot;"/>
    <numFmt numFmtId="196" formatCode="0_);[Red]\(0\)"/>
    <numFmt numFmtId="197" formatCode="[$-F800]dddd\,\ mmmm\ dd\,\ yyyy"/>
    <numFmt numFmtId="198" formatCode="#,###"/>
    <numFmt numFmtId="199" formatCode="####&quot;W標準認證模組&quot;"/>
  </numFmts>
  <fonts count="203">
    <font>
      <name val="新細明體"/>
      <charset val="136"/>
      <family val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indexed="8"/>
      <sz val="12"/>
    </font>
    <font>
      <name val="新細明體"/>
      <charset val="136"/>
      <family val="1"/>
      <b val="1"/>
      <color indexed="8"/>
      <sz val="12"/>
    </font>
    <font>
      <name val="Arial"/>
      <family val="2"/>
      <sz val="10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Calibri"/>
      <family val="2"/>
      <b val="1"/>
      <sz val="12"/>
    </font>
    <font>
      <name val="細明體"/>
      <charset val="136"/>
      <family val="3"/>
      <b val="1"/>
      <color indexed="8"/>
      <sz val="12"/>
    </font>
    <font>
      <name val="新細明體"/>
      <charset val="136"/>
      <family val="1"/>
      <sz val="10"/>
    </font>
    <font>
      <name val="新細明體"/>
      <charset val="136"/>
      <family val="1"/>
      <b val="1"/>
      <i val="1"/>
      <sz val="12"/>
    </font>
    <font>
      <name val="新細明體"/>
      <charset val="136"/>
      <family val="1"/>
      <i val="1"/>
      <sz val="12"/>
    </font>
    <font>
      <name val="Arial"/>
      <family val="2"/>
      <sz val="12"/>
    </font>
    <font>
      <name val="Arial"/>
      <family val="2"/>
      <b val="1"/>
      <color indexed="25"/>
      <sz val="12"/>
    </font>
    <font>
      <name val="Arial"/>
      <family val="2"/>
      <b val="1"/>
      <sz val="12"/>
    </font>
    <font>
      <name val="新細明體"/>
      <charset val="136"/>
      <family val="1"/>
      <b val="1"/>
      <sz val="12"/>
    </font>
    <font>
      <name val="細明體"/>
      <charset val="136"/>
      <family val="3"/>
      <b val="1"/>
      <sz val="12"/>
    </font>
    <font>
      <name val="Arial"/>
      <family val="2"/>
      <color indexed="10"/>
      <sz val="12"/>
    </font>
    <font>
      <name val="細明體"/>
      <charset val="136"/>
      <family val="3"/>
      <color indexed="10"/>
      <sz val="12"/>
    </font>
    <font>
      <name val="新細明體"/>
      <charset val="136"/>
      <family val="1"/>
      <color indexed="10"/>
      <sz val="12"/>
    </font>
    <font>
      <name val="細明體"/>
      <charset val="136"/>
      <family val="3"/>
      <sz val="12"/>
    </font>
    <font>
      <name val="新細明體"/>
      <charset val="136"/>
      <family val="1"/>
      <sz val="9"/>
    </font>
    <font>
      <name val="Times New Roman"/>
      <family val="1"/>
      <sz val="12"/>
    </font>
    <font>
      <name val="微軟正黑體"/>
      <charset val="136"/>
      <family val="2"/>
      <b val="1"/>
      <color rgb="FF000000"/>
      <sz val="12"/>
    </font>
    <font>
      <name val="新細明體"/>
      <charset val="136"/>
      <family val="1"/>
      <color indexed="8"/>
      <sz val="12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0000"/>
      <sz val="12"/>
    </font>
    <font>
      <name val="微軟正黑體"/>
      <charset val="136"/>
      <family val="2"/>
      <b val="1"/>
      <color theme="1" tint="0.3499862666707358"/>
      <sz val="12"/>
    </font>
    <font>
      <name val="微軟正黑體"/>
      <charset val="136"/>
      <family val="2"/>
      <sz val="10"/>
    </font>
    <font>
      <name val="微軟正黑體"/>
      <charset val="136"/>
      <family val="2"/>
      <sz val="12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4"/>
    </font>
    <font>
      <name val="新細明體"/>
      <charset val="136"/>
      <family val="1"/>
      <b val="1"/>
      <sz val="14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b val="1"/>
      <color rgb="FF00B0F0"/>
      <sz val="16"/>
    </font>
    <font>
      <name val="微軟正黑體"/>
      <charset val="136"/>
      <family val="2"/>
      <sz val="11"/>
    </font>
    <font>
      <name val="Arial"/>
      <family val="2"/>
      <color rgb="FFFF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rgb="FFFF0000"/>
      <sz val="12"/>
      <u val="single"/>
    </font>
    <font>
      <name val="Arial"/>
      <family val="2"/>
      <color indexed="18"/>
      <sz val="12"/>
    </font>
    <font>
      <name val="Arial"/>
      <family val="2"/>
      <color theme="1"/>
      <sz val="12"/>
    </font>
    <font>
      <name val="Arial"/>
      <family val="2"/>
      <b val="1"/>
      <sz val="14"/>
    </font>
    <font>
      <name val="微軟正黑體"/>
      <charset val="136"/>
      <family val="2"/>
      <b val="1"/>
      <sz val="14"/>
    </font>
    <font>
      <name val="微軟正黑體"/>
      <charset val="136"/>
      <family val="2"/>
      <b val="1"/>
      <color indexed="8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rgb="FF0070C0"/>
      <sz val="12"/>
    </font>
    <font>
      <name val="Calibri"/>
      <family val="2"/>
      <b val="1"/>
      <color rgb="FF0070C0"/>
      <sz val="12"/>
    </font>
    <font>
      <name val="新細明體"/>
      <charset val="136"/>
      <family val="1"/>
      <b val="1"/>
      <color rgb="FF0070C0"/>
      <sz val="12"/>
    </font>
    <font>
      <name val="新細明體"/>
      <charset val="136"/>
      <family val="1"/>
      <color theme="10"/>
      <sz val="10.2"/>
      <u val="single"/>
    </font>
    <font>
      <name val="Calibri"/>
      <family val="2"/>
      <sz val="12"/>
    </font>
    <font>
      <name val="新細明體"/>
      <charset val="136"/>
      <family val="1"/>
      <color rgb="FFFF0000"/>
      <sz val="12"/>
      <scheme val="minor"/>
    </font>
    <font>
      <name val="微軟正黑體"/>
      <charset val="136"/>
      <family val="2"/>
      <sz val="9"/>
    </font>
    <font>
      <name val="微軟正黑體"/>
      <charset val="136"/>
      <family val="2"/>
      <color rgb="FF00B050"/>
      <sz val="10"/>
    </font>
    <font>
      <name val="微軟正黑體"/>
      <charset val="136"/>
      <family val="2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color indexed="81"/>
      <sz val="9"/>
    </font>
    <font>
      <name val="新細明體"/>
      <charset val="136"/>
      <family val="1"/>
      <strike val="1"/>
      <color rgb="FFFF0000"/>
      <sz val="10.2"/>
      <u val="single"/>
    </font>
    <font>
      <name val="新細明體"/>
      <charset val="136"/>
      <family val="1"/>
      <strike val="1"/>
      <color rgb="FFFF0000"/>
      <sz val="10"/>
    </font>
    <font>
      <name val="微軟正黑體"/>
      <charset val="136"/>
      <family val="2"/>
      <strike val="1"/>
      <color rgb="FFFF0000"/>
      <sz val="10"/>
    </font>
    <font>
      <name val="新細明體"/>
      <charset val="136"/>
      <family val="1"/>
      <sz val="10.2"/>
    </font>
    <font>
      <name val="微軟正黑體"/>
      <charset val="136"/>
      <family val="2"/>
      <b val="1"/>
      <sz val="11"/>
    </font>
    <font>
      <name val="新細明體"/>
      <charset val="136"/>
      <family val="1"/>
      <sz val="11"/>
    </font>
    <font>
      <name val="新細明體"/>
      <charset val="136"/>
      <family val="1"/>
      <color rgb="FFFF0000"/>
      <sz val="10.2"/>
      <u val="single"/>
    </font>
    <font>
      <name val="新細明體"/>
      <charset val="136"/>
      <family val="1"/>
      <color theme="10"/>
      <sz val="10.2"/>
    </font>
    <font>
      <name val="微軟正黑體"/>
      <charset val="136"/>
      <family val="2"/>
      <color rgb="FF0070C0"/>
      <sz val="10"/>
    </font>
    <font>
      <name val="新細明體"/>
      <charset val="136"/>
      <family val="1"/>
      <color rgb="FF0070C0"/>
      <sz val="10.2"/>
      <u val="single"/>
    </font>
    <font>
      <name val="新細明體"/>
      <charset val="136"/>
      <family val="1"/>
      <color rgb="FF0070C0"/>
      <sz val="12"/>
    </font>
    <font>
      <name val="新細明體"/>
      <charset val="136"/>
      <family val="1"/>
      <color rgb="FF0070C0"/>
      <sz val="10.2"/>
    </font>
    <font>
      <name val="微軟正黑體"/>
      <charset val="136"/>
      <family val="2"/>
      <color rgb="FF0070C0"/>
      <sz val="12"/>
    </font>
    <font>
      <name val="標楷體"/>
      <charset val="136"/>
      <family val="4"/>
      <sz val="10"/>
    </font>
    <font>
      <name val="新細明體"/>
      <charset val="136"/>
      <family val="1"/>
      <color theme="0" tint="-0.1499984740745262"/>
      <sz val="12"/>
    </font>
    <font>
      <name val="微軟正黑體"/>
      <charset val="136"/>
      <family val="2"/>
      <color theme="0" tint="-0.1499984740745262"/>
      <sz val="12"/>
    </font>
    <font>
      <name val="微軟正黑體"/>
      <charset val="136"/>
      <family val="2"/>
      <b val="1"/>
      <color theme="0" tint="-0.1499984740745262"/>
      <sz val="12"/>
      <u val="single"/>
    </font>
    <font>
      <name val="微軟正黑體"/>
      <charset val="136"/>
      <family val="2"/>
      <b val="1"/>
      <color theme="0" tint="-0.1499984740745262"/>
      <sz val="12"/>
    </font>
    <font>
      <name val="Times New Roman"/>
      <family val="1"/>
      <color theme="0" tint="-0.1499984740745262"/>
      <sz val="10"/>
    </font>
    <font>
      <name val="新細明體"/>
      <charset val="136"/>
      <family val="1"/>
      <color theme="0" tint="-0.1499984740745262"/>
      <sz val="6"/>
    </font>
    <font>
      <name val="微軟正黑體"/>
      <charset val="136"/>
      <family val="2"/>
      <color theme="1"/>
      <sz val="14"/>
    </font>
    <font>
      <name val="新細明體"/>
      <charset val="136"/>
      <family val="1"/>
      <color theme="0"/>
      <sz val="12"/>
    </font>
    <font>
      <name val="細明體"/>
      <charset val="136"/>
      <family val="3"/>
      <b val="1"/>
      <color theme="1"/>
      <sz val="12"/>
    </font>
    <font>
      <name val="新細明體"/>
      <charset val="136"/>
      <family val="1"/>
      <sz val="10"/>
      <scheme val="minor"/>
    </font>
    <font>
      <name val="細明體"/>
      <charset val="136"/>
      <family val="3"/>
      <b val="1"/>
      <color theme="5" tint="-0.249977111117893"/>
      <sz val="12"/>
    </font>
    <font>
      <name val="Calibri"/>
      <family val="2"/>
      <b val="1"/>
      <color theme="5" tint="-0.249977111117893"/>
      <sz val="12"/>
    </font>
    <font>
      <name val="微軟正黑體"/>
      <charset val="136"/>
      <family val="2"/>
      <b val="1"/>
      <color rgb="FFFF0000"/>
      <sz val="14"/>
    </font>
    <font>
      <name val="Arial"/>
      <family val="2"/>
      <sz val="11"/>
    </font>
    <font>
      <name val="Arial"/>
      <family val="2"/>
      <b val="1"/>
      <color rgb="FFFF0000"/>
      <sz val="12"/>
    </font>
    <font>
      <name val="Arial"/>
      <family val="2"/>
      <color indexed="12"/>
      <sz val="11"/>
    </font>
    <font>
      <name val="細明體"/>
      <charset val="136"/>
      <family val="3"/>
      <sz val="11"/>
    </font>
    <font>
      <name val="Arial"/>
      <family val="2"/>
      <color indexed="10"/>
      <sz val="11"/>
    </font>
    <font>
      <name val="細明體"/>
      <charset val="136"/>
      <family val="3"/>
      <color indexed="8"/>
      <sz val="12"/>
    </font>
    <font>
      <name val="Calibri"/>
      <family val="2"/>
      <color indexed="8"/>
      <sz val="9"/>
    </font>
    <font>
      <name val="Arial"/>
      <family val="2"/>
      <b val="1"/>
      <color rgb="FFFF0000"/>
      <sz val="13"/>
    </font>
    <font>
      <name val="微軟正黑體"/>
      <charset val="136"/>
      <family val="2"/>
      <b val="1"/>
      <color rgb="FFFF0000"/>
      <sz val="11"/>
    </font>
    <font>
      <name val="細明體"/>
      <charset val="136"/>
      <family val="3"/>
      <b val="1"/>
      <color theme="0"/>
      <sz val="12"/>
    </font>
    <font>
      <name val="新細明體"/>
      <charset val="136"/>
      <family val="1"/>
      <color theme="0"/>
      <sz val="12"/>
      <scheme val="minor"/>
    </font>
    <font>
      <name val="Calibri"/>
      <family val="2"/>
      <color theme="0"/>
      <sz val="12"/>
    </font>
    <font>
      <name val="微軟正黑體"/>
      <charset val="136"/>
      <family val="2"/>
      <sz val="16"/>
    </font>
    <font>
      <name val="新細明體"/>
      <charset val="136"/>
      <family val="1"/>
      <b val="1"/>
      <color theme="1"/>
      <sz val="14"/>
      <scheme val="minor"/>
    </font>
    <font>
      <name val="微軟正黑體"/>
      <charset val="136"/>
      <family val="2"/>
      <b val="1"/>
      <color rgb="FFFF0000"/>
      <sz val="16"/>
    </font>
    <font>
      <name val="新細明體"/>
      <charset val="136"/>
      <family val="1"/>
      <color rgb="FFFF0000"/>
      <sz val="10"/>
    </font>
    <font>
      <name val="新細明體"/>
      <charset val="136"/>
      <family val="1"/>
      <color rgb="FFFF0000"/>
      <sz val="12"/>
    </font>
    <font>
      <name val="新細明體"/>
      <charset val="136"/>
      <family val="1"/>
      <sz val="12"/>
      <scheme val="major"/>
    </font>
    <font>
      <name val="新細明體"/>
      <charset val="136"/>
      <family val="1"/>
      <color rgb="FF333333"/>
      <sz val="12"/>
      <scheme val="major"/>
    </font>
    <font>
      <name val="微軟正黑體"/>
      <charset val="136"/>
      <family val="2"/>
      <b val="1"/>
      <color theme="0" tint="-0.499984740745262"/>
      <sz val="12"/>
    </font>
    <font>
      <name val="新細明體"/>
      <charset val="136"/>
      <family val="1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indexed="10"/>
      <sz val="12"/>
    </font>
    <font>
      <name val="微軟正黑體"/>
      <charset val="136"/>
      <family val="2"/>
      <b val="1"/>
      <color rgb="FF0000FF"/>
      <sz val="12"/>
    </font>
    <font>
      <name val="新細明體"/>
      <charset val="136"/>
      <family val="1"/>
      <sz val="12"/>
      <u val="single"/>
    </font>
    <font>
      <name val="新細明體"/>
      <charset val="136"/>
      <family val="1"/>
      <color theme="0" tint="-0.249977111117893"/>
      <sz val="12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Arial"/>
      <family val="2"/>
      <b val="1"/>
      <color indexed="10"/>
      <sz val="12"/>
    </font>
    <font>
      <name val="Arial"/>
      <family val="2"/>
      <color indexed="8"/>
      <sz val="12"/>
    </font>
    <font>
      <name val="Arial"/>
      <family val="2"/>
      <b val="1"/>
      <color indexed="8"/>
      <sz val="12"/>
    </font>
    <font>
      <name val="新細明體"/>
      <charset val="136"/>
      <family val="1"/>
      <b val="1"/>
      <color indexed="60"/>
      <sz val="12"/>
    </font>
    <font>
      <name val="細明體"/>
      <charset val="136"/>
      <family val="3"/>
      <color indexed="10"/>
      <sz val="11"/>
    </font>
    <font>
      <name val="細明體"/>
      <charset val="136"/>
      <family val="3"/>
      <b val="1"/>
      <color indexed="60"/>
      <sz val="12"/>
    </font>
    <font>
      <name val="Arial"/>
      <family val="2"/>
      <b val="1"/>
      <color indexed="60"/>
      <sz val="12"/>
    </font>
    <font>
      <name val="細明體"/>
      <charset val="136"/>
      <family val="3"/>
      <b val="1"/>
      <color indexed="12"/>
      <sz val="12"/>
    </font>
    <font>
      <name val="Arial"/>
      <family val="2"/>
      <b val="1"/>
      <color indexed="12"/>
      <sz val="12"/>
    </font>
    <font>
      <name val="微軟正黑體"/>
      <charset val="136"/>
      <family val="2"/>
      <color indexed="8"/>
      <sz val="11"/>
    </font>
    <font>
      <name val="微軟正黑體"/>
      <charset val="136"/>
      <family val="2"/>
      <color indexed="8"/>
      <sz val="10"/>
    </font>
    <font>
      <name val="新細明體"/>
      <charset val="136"/>
      <family val="1"/>
      <color indexed="12"/>
      <sz val="12"/>
      <u val="single"/>
    </font>
    <font>
      <name val="新細明體"/>
      <charset val="136"/>
      <family val="1"/>
      <color indexed="8"/>
      <sz val="10"/>
    </font>
    <font>
      <name val="微軟正黑體"/>
      <charset val="136"/>
      <family val="2"/>
      <strike val="1"/>
      <sz val="11"/>
    </font>
    <font>
      <name val="Arial"/>
      <family val="2"/>
      <b val="1"/>
      <strike val="1"/>
      <color indexed="8"/>
      <sz val="11"/>
    </font>
    <font>
      <name val="細明體"/>
      <charset val="136"/>
      <family val="3"/>
      <strike val="1"/>
      <sz val="11"/>
    </font>
    <font>
      <name val="Arial"/>
      <family val="2"/>
      <strike val="1"/>
      <color indexed="10"/>
      <sz val="12"/>
    </font>
    <font>
      <name val="微軟正黑體"/>
      <charset val="136"/>
      <family val="2"/>
      <color indexed="8"/>
      <sz val="12"/>
    </font>
    <font>
      <name val="新細明體"/>
      <charset val="136"/>
      <family val="1"/>
      <strike val="1"/>
      <sz val="11"/>
    </font>
    <font>
      <name val="新細明體"/>
      <charset val="136"/>
      <family val="1"/>
      <b val="1"/>
      <strike val="1"/>
      <color indexed="8"/>
      <sz val="11"/>
    </font>
    <font>
      <name val="微軟正黑體"/>
      <charset val="136"/>
      <family val="2"/>
      <color rgb="FF0000FF"/>
      <sz val="12"/>
    </font>
    <font>
      <name val="細明體"/>
      <charset val="136"/>
      <family val="3"/>
      <color rgb="FF0000FF"/>
      <sz val="11"/>
    </font>
    <font>
      <name val="細明體"/>
      <charset val="136"/>
      <family val="3"/>
      <b val="1"/>
      <color rgb="FFC00000"/>
      <sz val="11"/>
    </font>
    <font>
      <name val="Arial Unicode MS"/>
      <charset val="136"/>
      <family val="2"/>
      <color rgb="FFFF0000"/>
      <sz val="12"/>
    </font>
    <font>
      <name val="Arial"/>
      <family val="2"/>
      <color indexed="8"/>
      <sz val="10"/>
    </font>
    <font>
      <name val="細明體"/>
      <charset val="136"/>
      <family val="3"/>
      <strike val="1"/>
      <color indexed="14"/>
      <sz val="11"/>
    </font>
    <font>
      <name val="新細明體"/>
      <charset val="136"/>
      <family val="1"/>
      <color indexed="9"/>
      <sz val="12"/>
    </font>
    <font>
      <name val="Arial"/>
      <family val="2"/>
      <b val="1"/>
      <color indexed="20"/>
      <sz val="12"/>
    </font>
    <font>
      <name val="細明體"/>
      <charset val="136"/>
      <family val="3"/>
      <b val="1"/>
      <color indexed="10"/>
      <sz val="11"/>
    </font>
    <font>
      <name val="細明體"/>
      <charset val="136"/>
      <family val="3"/>
      <b val="1"/>
      <color indexed="20"/>
      <sz val="12"/>
    </font>
    <font>
      <name val="細明體"/>
      <charset val="136"/>
      <family val="1"/>
      <color indexed="8"/>
      <sz val="14"/>
    </font>
    <font>
      <name val="Tahoma"/>
      <charset val="136"/>
      <family val="1"/>
      <color indexed="8"/>
      <sz val="14"/>
    </font>
    <font>
      <name val="微軟正黑體"/>
      <charset val="136"/>
      <family val="1"/>
      <color indexed="8"/>
      <sz val="12"/>
    </font>
    <font>
      <name val="細明體"/>
      <family val="2"/>
      <color indexed="8"/>
      <sz val="12"/>
    </font>
    <font>
      <name val="微軟正黑體"/>
      <charset val="136"/>
      <family val="1"/>
      <color indexed="8"/>
      <sz val="14"/>
    </font>
    <font>
      <name val="微軟正黑體"/>
      <charset val="136"/>
      <family val="1"/>
      <b val="1"/>
      <color indexed="8"/>
      <sz val="14"/>
    </font>
    <font>
      <name val="新細明體"/>
      <charset val="136"/>
      <family val="1"/>
      <b val="1"/>
      <color indexed="20"/>
      <sz val="12"/>
    </font>
    <font>
      <name val="新細明體"/>
      <charset val="136"/>
      <family val="1"/>
      <color theme="0" tint="-0.3499862666707358"/>
      <sz val="12"/>
      <scheme val="minor"/>
    </font>
    <font>
      <name val="新細明體"/>
      <charset val="136"/>
      <family val="1"/>
      <color theme="0" tint="-0.1499984740745262"/>
      <sz val="10"/>
    </font>
    <font>
      <name val="新細明體"/>
      <charset val="136"/>
      <family val="1"/>
      <color rgb="FF00B050"/>
      <sz val="10"/>
    </font>
    <font>
      <name val="Calibri"/>
      <family val="2"/>
      <color rgb="FFFF0000"/>
      <sz val="12"/>
    </font>
    <font>
      <name val="細明體"/>
      <charset val="136"/>
      <family val="3"/>
      <color rgb="FFFF0000"/>
      <sz val="12"/>
    </font>
    <font>
      <name val="PMingLiu"/>
      <charset val="136"/>
      <family val="1"/>
      <color rgb="FF000000"/>
      <sz val="12"/>
    </font>
    <font>
      <name val="細明體"/>
      <charset val="136"/>
      <family val="3"/>
      <sz val="9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sz val="12"/>
      <scheme val="minor"/>
    </font>
    <font>
      <name val="新細明體"/>
      <family val="2"/>
      <color theme="1"/>
      <sz val="12"/>
      <scheme val="minor"/>
    </font>
    <font>
      <name val="新細明體"/>
      <family val="2"/>
      <color theme="10"/>
      <sz val="12"/>
      <u val="single"/>
      <scheme val="min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b val="1"/>
      <color rgb="FF666666"/>
      <sz val="12"/>
      <scheme val="major"/>
    </font>
    <font>
      <name val="新細明體"/>
      <charset val="136"/>
      <family val="1"/>
      <color rgb="FF666666"/>
      <sz val="12"/>
      <scheme val="major"/>
    </font>
    <font>
      <name val="新細明體"/>
      <charset val="136"/>
      <family val="1"/>
      <color rgb="FF000000"/>
      <sz val="12"/>
      <scheme val="major"/>
    </font>
    <font>
      <name val="新細明體"/>
      <charset val="136"/>
      <family val="1"/>
      <b val="1"/>
      <color rgb="FF000000"/>
      <sz val="12"/>
      <scheme val="major"/>
    </font>
    <font>
      <name val="Calibri"/>
      <family val="2"/>
      <color theme="1"/>
      <sz val="12"/>
    </font>
    <font>
      <name val="新細明體"/>
      <charset val="136"/>
      <family val="1"/>
      <color rgb="FF0070C0"/>
      <sz val="10"/>
    </font>
    <font>
      <name val="新細明體"/>
      <charset val="136"/>
      <family val="1"/>
      <color rgb="FF00B0F0"/>
      <sz val="10"/>
    </font>
    <font>
      <name val="新細明體"/>
      <charset val="136"/>
      <family val="1"/>
      <b val="1"/>
      <color rgb="FFFF0000"/>
      <sz val="10"/>
    </font>
    <font>
      <name val="新細明體"/>
      <charset val="136"/>
      <family val="1"/>
      <color theme="9" tint="-0.249977111117893"/>
      <sz val="10"/>
    </font>
    <font>
      <name val="新細明體"/>
      <charset val="136"/>
      <family val="1"/>
      <color rgb="FFFFC000"/>
      <sz val="10"/>
    </font>
    <font>
      <name val="Arial"/>
      <family val="2"/>
      <b val="1"/>
      <color rgb="FF00B0F0"/>
      <sz val="12"/>
    </font>
    <font>
      <name val="微軟正黑體"/>
      <charset val="136"/>
      <family val="2"/>
      <color theme="0" tint="-0.249977111117893"/>
      <sz val="14"/>
    </font>
    <font>
      <name val="Arial"/>
      <family val="2"/>
      <b val="1"/>
      <sz val="16"/>
    </font>
    <font>
      <name val="新細明體"/>
      <charset val="136"/>
      <family val="1"/>
      <sz val="14"/>
    </font>
    <font>
      <name val="微軟正黑體"/>
      <charset val="136"/>
      <family val="2"/>
      <b val="1"/>
      <sz val="16"/>
    </font>
    <font>
      <name val="細明體"/>
      <charset val="136"/>
      <family val="3"/>
      <color rgb="FF0070C0"/>
      <sz val="12"/>
    </font>
    <font>
      <name val="Calibri"/>
      <family val="2"/>
      <color rgb="FF0070C0"/>
      <sz val="12"/>
    </font>
    <font>
      <name val="新細明體"/>
      <charset val="136"/>
      <family val="1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Times New Roman"/>
      <family val="1"/>
      <b val="1"/>
      <sz val="12"/>
    </font>
    <font>
      <name val="新細明體"/>
      <charset val="136"/>
      <family val="3"/>
      <sz val="9"/>
      <scheme val="minor"/>
    </font>
    <font>
      <name val="微軟正黑體"/>
      <charset val="136"/>
      <family val="2"/>
      <b val="1"/>
      <color rgb="FF595959"/>
      <sz val="12"/>
    </font>
    <font>
      <name val="Calibri"/>
      <family val="2"/>
      <b val="1"/>
      <color rgb="FF595959"/>
      <sz val="12"/>
    </font>
    <font>
      <name val="Calibri"/>
      <family val="2"/>
      <b val="1"/>
      <color rgb="FFFF0000"/>
      <sz val="12"/>
    </font>
    <font>
      <name val="新細明體"/>
      <charset val="136"/>
      <family val="1"/>
      <b val="1"/>
      <i val="1"/>
      <color rgb="FFFF0000"/>
      <sz val="12"/>
    </font>
    <font>
      <name val="Calibri"/>
      <family val="2"/>
      <color rgb="FF000000"/>
      <sz val="12"/>
    </font>
    <font>
      <name val="Calibri"/>
      <family val="2"/>
      <b val="1"/>
      <color theme="1" tint="0.3499862666707358"/>
      <sz val="12"/>
    </font>
    <font>
      <name val="Calibri"/>
      <family val="2"/>
      <b val="1"/>
      <color rgb="FF000000"/>
      <sz val="12"/>
    </font>
    <font>
      <name val="Calibri"/>
      <charset val="136"/>
      <family val="2"/>
      <b val="1"/>
      <color theme="1" tint="0.3499862666707358"/>
      <sz val="12"/>
    </font>
    <font>
      <name val="微軟正黑體"/>
      <charset val="136"/>
      <family val="2"/>
      <b val="1"/>
      <color theme="0"/>
      <sz val="12"/>
    </font>
    <font>
      <name val="Calibri"/>
      <charset val="136"/>
      <family val="2"/>
      <color theme="1"/>
      <sz val="12"/>
    </font>
    <font>
      <name val="Calibri"/>
      <family val="2"/>
      <b val="1"/>
      <color theme="0"/>
      <sz val="12"/>
    </font>
    <font>
      <name val="Calibri"/>
      <charset val="136"/>
      <family val="2"/>
      <b val="1"/>
      <color theme="0"/>
      <sz val="12"/>
    </font>
  </fonts>
  <fills count="6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9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"/>
        <bgColor indexed="64"/>
      </patternFill>
    </fill>
  </fills>
  <borders count="158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80">
    <xf numFmtId="0" fontId="110" fillId="0" borderId="0" applyAlignment="1">
      <alignment vertical="center"/>
    </xf>
    <xf numFmtId="192" fontId="10" fillId="0" borderId="0" applyAlignment="1">
      <alignment vertical="center"/>
    </xf>
    <xf numFmtId="9" fontId="10" fillId="0" borderId="0" applyAlignment="1">
      <alignment vertical="center"/>
    </xf>
    <xf numFmtId="169" fontId="10" fillId="0" borderId="0" applyAlignment="1">
      <alignment vertical="center"/>
    </xf>
    <xf numFmtId="0" fontId="54" fillId="0" borderId="0" applyAlignment="1" applyProtection="1">
      <alignment vertical="top"/>
      <protection locked="0" hidden="0"/>
    </xf>
    <xf numFmtId="0" fontId="110" fillId="0" borderId="0" applyAlignment="1">
      <alignment vertical="center"/>
    </xf>
    <xf numFmtId="0" fontId="7" fillId="0" borderId="0" applyAlignment="1">
      <alignment vertical="center"/>
    </xf>
    <xf numFmtId="192" fontId="10" fillId="0" borderId="0" applyAlignment="1">
      <alignment vertical="center"/>
    </xf>
    <xf numFmtId="9" fontId="10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18" fillId="0" borderId="0" applyAlignment="1">
      <alignment vertical="center"/>
    </xf>
    <xf numFmtId="0" fontId="110" fillId="0" borderId="0" applyAlignment="1">
      <alignment vertical="center"/>
    </xf>
    <xf numFmtId="43" fontId="8" fillId="0" borderId="0" applyAlignment="1">
      <alignment vertical="center"/>
    </xf>
    <xf numFmtId="169" fontId="10" fillId="0" borderId="0" applyAlignment="1">
      <alignment vertical="center"/>
    </xf>
    <xf numFmtId="0" fontId="130" fillId="0" borderId="0" applyAlignment="1">
      <alignment vertical="center"/>
    </xf>
    <xf numFmtId="43" fontId="118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0" fillId="0" borderId="0"/>
    <xf numFmtId="43" fontId="10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1" fillId="0" borderId="0"/>
    <xf numFmtId="0" fontId="163" fillId="49" borderId="0" applyAlignment="1">
      <alignment vertical="center"/>
    </xf>
    <xf numFmtId="0" fontId="164" fillId="50" borderId="0" applyAlignment="1">
      <alignment vertical="center"/>
    </xf>
    <xf numFmtId="0" fontId="164" fillId="5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7" fillId="0" borderId="0"/>
    <xf numFmtId="0" fontId="166" fillId="0" borderId="0"/>
    <xf numFmtId="43" fontId="161" fillId="0" borderId="0" applyAlignment="1">
      <alignment vertical="center"/>
    </xf>
    <xf numFmtId="9" fontId="161" fillId="0" borderId="0" applyAlignment="1">
      <alignment vertical="center"/>
    </xf>
    <xf numFmtId="0" fontId="187" fillId="56" borderId="0" applyAlignment="1">
      <alignment vertical="center"/>
    </xf>
    <xf numFmtId="0" fontId="188" fillId="57" borderId="129" applyAlignment="1">
      <alignment vertical="center"/>
    </xf>
    <xf numFmtId="0" fontId="7" fillId="0" borderId="0" applyAlignment="1">
      <alignment vertical="center"/>
    </xf>
    <xf numFmtId="0" fontId="50" fillId="0" borderId="0" applyAlignment="1">
      <alignment vertical="center"/>
    </xf>
    <xf numFmtId="43" fontId="110" fillId="0" borderId="0" applyAlignment="1">
      <alignment vertical="center"/>
    </xf>
  </cellStyleXfs>
  <cellXfs count="2259">
    <xf numFmtId="0" fontId="0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8" fillId="0" borderId="0" pivotButton="0" quotePrefix="0" xfId="3"/>
    <xf numFmtId="164" fontId="9" fillId="0" borderId="0" pivotButton="0" quotePrefix="0" xfId="3"/>
    <xf numFmtId="0" fontId="8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5" fontId="23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vertical="center"/>
    </xf>
    <xf numFmtId="164" fontId="12" fillId="0" borderId="0" pivotButton="0" quotePrefix="0" xfId="3"/>
    <xf numFmtId="167" fontId="8" fillId="0" borderId="0" pivotButton="0" quotePrefix="0" xfId="3"/>
    <xf numFmtId="164" fontId="0" fillId="0" borderId="0" applyAlignment="1" pivotButton="0" quotePrefix="0" xfId="0">
      <alignment vertical="center"/>
    </xf>
    <xf numFmtId="164" fontId="12" fillId="0" borderId="2" applyAlignment="1" pivotButton="0" quotePrefix="0" xfId="3">
      <alignment vertical="top"/>
    </xf>
    <xf numFmtId="0" fontId="28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7" fillId="0" borderId="32" applyAlignment="1" pivotButton="0" quotePrefix="0" xfId="0">
      <alignment horizontal="center" vertical="center"/>
    </xf>
    <xf numFmtId="0" fontId="37" fillId="0" borderId="16" applyAlignment="1" pivotButton="0" quotePrefix="0" xfId="0">
      <alignment vertical="center"/>
    </xf>
    <xf numFmtId="0" fontId="35" fillId="0" borderId="0" applyAlignment="1" pivotButton="0" quotePrefix="0" xfId="0">
      <alignment wrapText="1"/>
    </xf>
    <xf numFmtId="166" fontId="35" fillId="0" borderId="0" applyAlignment="1" pivotButton="0" quotePrefix="0" xfId="0">
      <alignment vertical="center"/>
    </xf>
    <xf numFmtId="0" fontId="35" fillId="0" borderId="12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0" fontId="35" fillId="0" borderId="21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168" fontId="23" fillId="0" borderId="0" applyAlignment="1" pivotButton="0" quotePrefix="0" xfId="0">
      <alignment vertical="center"/>
    </xf>
    <xf numFmtId="164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left" vertical="center"/>
    </xf>
    <xf numFmtId="164" fontId="8" fillId="0" borderId="50" applyAlignment="1" pivotButton="0" quotePrefix="0" xfId="3">
      <alignment horizontal="center" vertical="center" wrapText="1"/>
    </xf>
    <xf numFmtId="164" fontId="8" fillId="0" borderId="43" applyAlignment="1" pivotButton="0" quotePrefix="0" xfId="3">
      <alignment horizontal="center" vertical="center" wrapText="1"/>
    </xf>
    <xf numFmtId="164" fontId="8" fillId="0" borderId="43" applyAlignment="1" pivotButton="0" quotePrefix="0" xfId="0">
      <alignment horizontal="center" vertical="center" wrapText="1"/>
    </xf>
    <xf numFmtId="0" fontId="8" fillId="0" borderId="43" applyAlignment="1" pivotButton="0" quotePrefix="0" xfId="0">
      <alignment horizontal="center" vertical="center"/>
    </xf>
    <xf numFmtId="164" fontId="52" fillId="0" borderId="2" applyAlignment="1" pivotButton="0" quotePrefix="0" xfId="3">
      <alignment vertical="top"/>
    </xf>
    <xf numFmtId="0" fontId="14" fillId="11" borderId="9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top"/>
    </xf>
    <xf numFmtId="0" fontId="8" fillId="0" borderId="3" applyAlignment="1" pivotButton="0" quotePrefix="0" xfId="0">
      <alignment vertical="center"/>
    </xf>
    <xf numFmtId="164" fontId="11" fillId="0" borderId="7" applyAlignment="1" pivotButton="0" quotePrefix="0" xfId="3">
      <alignment vertical="top"/>
    </xf>
    <xf numFmtId="169" fontId="8" fillId="0" borderId="8" applyAlignment="1" pivotButton="0" quotePrefix="0" xfId="0">
      <alignment vertical="center"/>
    </xf>
    <xf numFmtId="0" fontId="31" fillId="11" borderId="0" applyAlignment="1" pivotButton="0" quotePrefix="0" xfId="0">
      <alignment horizontal="left" vertical="center"/>
    </xf>
    <xf numFmtId="164" fontId="30" fillId="11" borderId="0" applyAlignment="1" pivotButton="0" quotePrefix="0" xfId="0">
      <alignment vertical="center"/>
    </xf>
    <xf numFmtId="0" fontId="12" fillId="11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164" fontId="12" fillId="11" borderId="0" pivotButton="0" quotePrefix="0" xfId="3"/>
    <xf numFmtId="0" fontId="8" fillId="11" borderId="3" applyAlignment="1" pivotButton="0" quotePrefix="0" xfId="0">
      <alignment vertical="center"/>
    </xf>
    <xf numFmtId="0" fontId="9" fillId="11" borderId="36" applyAlignment="1" pivotButton="0" quotePrefix="0" xfId="0">
      <alignment horizontal="center" vertical="center"/>
    </xf>
    <xf numFmtId="164" fontId="8" fillId="11" borderId="36" applyAlignment="1" pivotButton="0" quotePrefix="0" xfId="3">
      <alignment horizontal="center" vertical="center" wrapText="1"/>
    </xf>
    <xf numFmtId="164" fontId="8" fillId="11" borderId="36" applyAlignment="1" pivotButton="0" quotePrefix="0" xfId="0">
      <alignment horizontal="center" vertical="center" wrapText="1"/>
    </xf>
    <xf numFmtId="0" fontId="8" fillId="11" borderId="36" applyAlignment="1" pivotButton="0" quotePrefix="0" xfId="0">
      <alignment horizontal="center" vertical="center"/>
    </xf>
    <xf numFmtId="0" fontId="9" fillId="11" borderId="29" applyAlignment="1" pivotButton="0" quotePrefix="0" xfId="0">
      <alignment horizontal="center" vertical="center"/>
    </xf>
    <xf numFmtId="0" fontId="30" fillId="11" borderId="0" applyAlignment="1" pivotButton="0" quotePrefix="0" xfId="0">
      <alignment horizontal="left" vertical="center"/>
    </xf>
    <xf numFmtId="164" fontId="12" fillId="0" borderId="4" applyAlignment="1" pivotButton="0" quotePrefix="0" xfId="3">
      <alignment vertical="top"/>
    </xf>
    <xf numFmtId="169" fontId="8" fillId="0" borderId="5" applyAlignment="1" pivotButton="0" quotePrefix="0" xfId="0">
      <alignment vertical="center"/>
    </xf>
    <xf numFmtId="164" fontId="12" fillId="0" borderId="0" applyAlignment="1" pivotButton="0" quotePrefix="0" xfId="3">
      <alignment horizontal="center"/>
    </xf>
    <xf numFmtId="164" fontId="52" fillId="0" borderId="49" applyAlignment="1" pivotButton="0" quotePrefix="0" xfId="3">
      <alignment vertical="top"/>
    </xf>
    <xf numFmtId="169" fontId="8" fillId="0" borderId="27" applyAlignment="1" pivotButton="0" quotePrefix="0" xfId="0">
      <alignment vertical="center"/>
    </xf>
    <xf numFmtId="0" fontId="14" fillId="11" borderId="9" applyAlignment="1" pivotButton="0" quotePrefix="0" xfId="0">
      <alignment horizontal="left" vertical="center"/>
    </xf>
    <xf numFmtId="0" fontId="14" fillId="11" borderId="28" applyAlignment="1" pivotButton="0" quotePrefix="0" xfId="0">
      <alignment horizontal="left" vertical="center"/>
    </xf>
    <xf numFmtId="164" fontId="55" fillId="0" borderId="2" pivotButton="0" quotePrefix="0" xfId="3"/>
    <xf numFmtId="0" fontId="56" fillId="0" borderId="0" applyAlignment="1" pivotButton="0" quotePrefix="0" xfId="0">
      <alignment horizontal="left" vertical="center"/>
    </xf>
    <xf numFmtId="0" fontId="30" fillId="0" borderId="22" applyAlignment="1" pivotButton="0" quotePrefix="0" xfId="0">
      <alignment horizontal="left" vertical="center"/>
    </xf>
    <xf numFmtId="0" fontId="30" fillId="0" borderId="47" applyAlignment="1" pivotButton="0" quotePrefix="0" xfId="0">
      <alignment horizontal="left" vertical="center"/>
    </xf>
    <xf numFmtId="0" fontId="30" fillId="0" borderId="20" applyAlignment="1" pivotButton="0" quotePrefix="0" xfId="0">
      <alignment horizontal="left" vertical="center"/>
    </xf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right" vertical="center"/>
    </xf>
    <xf numFmtId="10" fontId="0" fillId="0" borderId="6" applyAlignment="1" pivotButton="0" quotePrefix="0" xfId="0">
      <alignment horizontal="center" vertical="center"/>
    </xf>
    <xf numFmtId="0" fontId="0" fillId="0" borderId="11" applyAlignment="1" pivotButton="0" quotePrefix="0" xfId="0">
      <alignment horizontal="right" vertical="center"/>
    </xf>
    <xf numFmtId="10" fontId="0" fillId="0" borderId="8" applyAlignment="1" pivotButton="0" quotePrefix="0" xfId="0">
      <alignment horizontal="center" vertical="center"/>
    </xf>
    <xf numFmtId="0" fontId="0" fillId="0" borderId="12" applyAlignment="1" pivotButton="0" quotePrefix="0" xfId="0">
      <alignment horizontal="right" vertical="center"/>
    </xf>
    <xf numFmtId="170" fontId="54" fillId="0" borderId="2" applyAlignment="1" pivotButton="0" quotePrefix="0" xfId="4">
      <alignment horizontal="center" vertical="center"/>
    </xf>
    <xf numFmtId="0" fontId="34" fillId="0" borderId="2" applyAlignment="1" pivotButton="0" quotePrefix="0" xfId="0">
      <alignment horizontal="center" vertical="center"/>
    </xf>
    <xf numFmtId="170" fontId="58" fillId="0" borderId="2" applyAlignment="1" pivotButton="0" quotePrefix="0" xfId="0">
      <alignment horizontal="center" vertical="center"/>
    </xf>
    <xf numFmtId="170" fontId="34" fillId="0" borderId="2" applyAlignment="1" pivotButton="0" quotePrefix="0" xfId="0">
      <alignment horizontal="center" vertical="center"/>
    </xf>
    <xf numFmtId="170" fontId="34" fillId="0" borderId="2" applyAlignment="1" pivotButton="0" quotePrefix="0" xfId="0">
      <alignment vertical="center"/>
    </xf>
    <xf numFmtId="170" fontId="59" fillId="0" borderId="2" applyAlignment="1" pivotButton="0" quotePrefix="0" xfId="0">
      <alignment vertical="center"/>
    </xf>
    <xf numFmtId="171" fontId="35" fillId="0" borderId="0" applyAlignment="1" pivotButton="0" quotePrefix="0" xfId="0">
      <alignment vertical="center"/>
    </xf>
    <xf numFmtId="0" fontId="34" fillId="0" borderId="49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170" fontId="34" fillId="0" borderId="6" applyAlignment="1" pivotButton="0" quotePrefix="0" xfId="0">
      <alignment vertical="center"/>
    </xf>
    <xf numFmtId="0" fontId="34" fillId="0" borderId="7" applyAlignment="1" pivotButton="0" quotePrefix="0" xfId="0">
      <alignment horizontal="center" vertical="center"/>
    </xf>
    <xf numFmtId="170" fontId="34" fillId="0" borderId="7" applyAlignment="1" pivotButton="0" quotePrefix="0" xfId="0">
      <alignment vertical="center"/>
    </xf>
    <xf numFmtId="170" fontId="34" fillId="0" borderId="8" applyAlignment="1" pivotButton="0" quotePrefix="0" xfId="0">
      <alignment vertical="center"/>
    </xf>
    <xf numFmtId="170" fontId="34" fillId="0" borderId="5" applyAlignment="1" pivotButton="0" quotePrefix="0" xfId="0">
      <alignment horizontal="center" vertical="center"/>
    </xf>
    <xf numFmtId="170" fontId="63" fillId="0" borderId="4" applyAlignment="1" pivotButton="0" quotePrefix="0" xfId="4">
      <alignment horizontal="center" vertical="center"/>
    </xf>
    <xf numFmtId="170" fontId="64" fillId="0" borderId="4" applyAlignment="1" pivotButton="0" quotePrefix="0" xfId="0">
      <alignment horizontal="center" vertical="center"/>
    </xf>
    <xf numFmtId="0" fontId="64" fillId="0" borderId="2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top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vertical="center"/>
    </xf>
    <xf numFmtId="0" fontId="34" fillId="0" borderId="54" applyAlignment="1" pivotButton="0" quotePrefix="0" xfId="0">
      <alignment horizontal="center" vertical="center"/>
    </xf>
    <xf numFmtId="170" fontId="63" fillId="0" borderId="24" applyAlignment="1" pivotButton="0" quotePrefix="0" xfId="4">
      <alignment horizontal="center" vertical="center"/>
    </xf>
    <xf numFmtId="170" fontId="34" fillId="0" borderId="15" applyAlignment="1" pivotButton="0" quotePrefix="0" xfId="0">
      <alignment horizontal="center" vertical="center"/>
    </xf>
    <xf numFmtId="170" fontId="34" fillId="0" borderId="21" applyAlignment="1" pivotButton="0" quotePrefix="0" xfId="0">
      <alignment vertical="center"/>
    </xf>
    <xf numFmtId="170" fontId="34" fillId="0" borderId="15" applyAlignment="1" pivotButton="0" quotePrefix="0" xfId="0">
      <alignment vertical="center"/>
    </xf>
    <xf numFmtId="0" fontId="34" fillId="0" borderId="6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/>
    </xf>
    <xf numFmtId="170" fontId="54" fillId="0" borderId="0" applyAlignment="1" pivotButton="0" quotePrefix="0" xfId="4">
      <alignment horizontal="center" vertical="center"/>
    </xf>
    <xf numFmtId="0" fontId="34" fillId="0" borderId="27" applyAlignment="1" pivotButton="0" quotePrefix="0" xfId="0">
      <alignment horizontal="center" vertical="center"/>
    </xf>
    <xf numFmtId="170" fontId="66" fillId="0" borderId="2" applyAlignment="1" pivotButton="0" quotePrefix="0" xfId="4">
      <alignment horizontal="center" vertical="center"/>
    </xf>
    <xf numFmtId="170" fontId="34" fillId="0" borderId="6" applyAlignment="1" pivotButton="0" quotePrefix="0" xfId="0">
      <alignment horizontal="center" vertical="center"/>
    </xf>
    <xf numFmtId="170" fontId="34" fillId="2" borderId="15" applyAlignment="1" pivotButton="0" quotePrefix="0" xfId="0">
      <alignment horizontal="center" vertical="center"/>
    </xf>
    <xf numFmtId="170" fontId="34" fillId="2" borderId="2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170" fontId="54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vertical="center"/>
    </xf>
    <xf numFmtId="170" fontId="34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70" fontId="54" fillId="16" borderId="55" applyAlignment="1" pivotButton="0" quotePrefix="0" xfId="4">
      <alignment horizontal="center" vertical="center"/>
    </xf>
    <xf numFmtId="170" fontId="54" fillId="16" borderId="34" applyAlignment="1" pivotButton="0" quotePrefix="0" xfId="4">
      <alignment horizontal="center" vertical="center"/>
    </xf>
    <xf numFmtId="170" fontId="34" fillId="16" borderId="56" applyAlignment="1" pivotButton="0" quotePrefix="0" xfId="0">
      <alignment vertical="center"/>
    </xf>
    <xf numFmtId="170" fontId="54" fillId="16" borderId="7" applyAlignment="1" pivotButton="0" quotePrefix="0" xfId="4">
      <alignment horizontal="center" vertical="center"/>
    </xf>
    <xf numFmtId="170" fontId="34" fillId="16" borderId="8" applyAlignment="1" pivotButton="0" quotePrefix="0" xfId="0">
      <alignment vertical="center"/>
    </xf>
    <xf numFmtId="170" fontId="66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horizontal="center" vertical="center"/>
    </xf>
    <xf numFmtId="170" fontId="58" fillId="0" borderId="18" applyAlignment="1" pivotButton="0" quotePrefix="0" xfId="0">
      <alignment horizontal="center" vertical="center"/>
    </xf>
    <xf numFmtId="170" fontId="54" fillId="0" borderId="15" applyAlignment="1" pivotButton="0" quotePrefix="0" xfId="4">
      <alignment horizontal="center" vertical="center"/>
    </xf>
    <xf numFmtId="170" fontId="63" fillId="0" borderId="2" applyAlignment="1" pivotButton="0" quotePrefix="0" xfId="4">
      <alignment horizontal="center" vertical="center"/>
    </xf>
    <xf numFmtId="170" fontId="64" fillId="0" borderId="2" applyAlignment="1" pivotButton="0" quotePrefix="0" xfId="0">
      <alignment horizontal="center" vertical="center"/>
    </xf>
    <xf numFmtId="170" fontId="65" fillId="0" borderId="15" applyAlignment="1" pivotButton="0" quotePrefix="0" xfId="0">
      <alignment horizontal="center" vertical="center"/>
    </xf>
    <xf numFmtId="170" fontId="70" fillId="2" borderId="2" applyAlignment="1" pivotButton="0" quotePrefix="0" xfId="4">
      <alignment horizontal="center" vertical="center"/>
    </xf>
    <xf numFmtId="170" fontId="70" fillId="0" borderId="2" applyAlignment="1" pivotButton="0" quotePrefix="0" xfId="4">
      <alignment horizontal="center" vertical="center"/>
    </xf>
    <xf numFmtId="170" fontId="65" fillId="0" borderId="2" applyAlignment="1" pivotButton="0" quotePrefix="0" xfId="0">
      <alignment horizontal="center" vertical="center"/>
    </xf>
    <xf numFmtId="170" fontId="58" fillId="0" borderId="20" applyAlignment="1" pivotButton="0" quotePrefix="0" xfId="0">
      <alignment horizontal="center" vertical="center"/>
    </xf>
    <xf numFmtId="170" fontId="69" fillId="0" borderId="0" applyAlignment="1" pivotButton="0" quotePrefix="0" xfId="4">
      <alignment horizontal="center" vertical="center"/>
    </xf>
    <xf numFmtId="170" fontId="59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center" vertical="center"/>
    </xf>
    <xf numFmtId="170" fontId="72" fillId="0" borderId="2" applyAlignment="1" pivotButton="0" quotePrefix="0" xfId="4">
      <alignment horizontal="center" vertical="center"/>
    </xf>
    <xf numFmtId="170" fontId="73" fillId="0" borderId="2" applyAlignment="1" pivotButton="0" quotePrefix="0" xfId="0">
      <alignment horizontal="center" vertical="center"/>
    </xf>
    <xf numFmtId="10" fontId="74" fillId="0" borderId="2" applyAlignment="1" pivotButton="0" quotePrefix="0" xfId="4">
      <alignment horizontal="center" vertical="center"/>
    </xf>
    <xf numFmtId="0" fontId="71" fillId="0" borderId="4" applyAlignment="1" pivotButton="0" quotePrefix="0" xfId="0">
      <alignment horizontal="center" vertical="center"/>
    </xf>
    <xf numFmtId="0" fontId="71" fillId="0" borderId="5" applyAlignment="1" pivotButton="0" quotePrefix="0" xfId="0">
      <alignment vertical="center"/>
    </xf>
    <xf numFmtId="170" fontId="71" fillId="0" borderId="6" applyAlignment="1" pivotButton="0" quotePrefix="0" xfId="0">
      <alignment vertical="center"/>
    </xf>
    <xf numFmtId="170" fontId="73" fillId="0" borderId="7" applyAlignment="1" pivotButton="0" quotePrefix="0" xfId="0">
      <alignment horizontal="center" vertical="center"/>
    </xf>
    <xf numFmtId="170" fontId="71" fillId="0" borderId="8" applyAlignment="1" pivotButton="0" quotePrefix="0" xfId="0">
      <alignment horizontal="center" vertical="center"/>
    </xf>
    <xf numFmtId="170" fontId="54" fillId="16" borderId="2" applyAlignment="1" pivotButton="0" quotePrefix="0" xfId="4">
      <alignment horizontal="center" vertical="center"/>
    </xf>
    <xf numFmtId="170" fontId="34" fillId="16" borderId="2" applyAlignment="1" pivotButton="0" quotePrefix="0" xfId="0">
      <alignment vertical="center"/>
    </xf>
    <xf numFmtId="170" fontId="34" fillId="16" borderId="6" applyAlignment="1" pivotButton="0" quotePrefix="0" xfId="0">
      <alignment vertical="center"/>
    </xf>
    <xf numFmtId="170" fontId="54" fillId="16" borderId="38" applyAlignment="1" pivotButton="0" quotePrefix="0" xfId="4">
      <alignment horizontal="center" vertical="center"/>
    </xf>
    <xf numFmtId="170" fontId="34" fillId="16" borderId="38" applyAlignment="1" pivotButton="0" quotePrefix="0" xfId="0">
      <alignment vertical="center"/>
    </xf>
    <xf numFmtId="170" fontId="34" fillId="16" borderId="31" applyAlignment="1" pivotButton="0" quotePrefix="0" xfId="0">
      <alignment vertical="center"/>
    </xf>
    <xf numFmtId="170" fontId="54" fillId="2" borderId="2" applyAlignment="1" pivotButton="0" quotePrefix="0" xfId="4">
      <alignment horizontal="center" vertical="center"/>
    </xf>
    <xf numFmtId="0" fontId="71" fillId="0" borderId="18" applyAlignment="1" pivotButton="0" quotePrefix="0" xfId="0">
      <alignment horizontal="center" vertical="center"/>
    </xf>
    <xf numFmtId="0" fontId="71" fillId="0" borderId="19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55" fillId="0" borderId="2" applyAlignment="1" pivotButton="0" quotePrefix="0" xfId="3">
      <alignment horizontal="right" vertical="center"/>
    </xf>
    <xf numFmtId="164" fontId="12" fillId="0" borderId="2" applyAlignment="1" pivotButton="0" quotePrefix="0" xfId="3">
      <alignment horizontal="right" vertical="center"/>
    </xf>
    <xf numFmtId="0" fontId="8" fillId="0" borderId="6" applyAlignment="1" pivotButton="0" quotePrefix="0" xfId="0">
      <alignment horizontal="left" vertical="top" wrapText="1"/>
    </xf>
    <xf numFmtId="0" fontId="44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77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77" fillId="0" borderId="0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8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horizontal="center" vertical="center" shrinkToFit="1"/>
    </xf>
    <xf numFmtId="172" fontId="20" fillId="0" borderId="0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horizontal="center" vertical="center"/>
    </xf>
    <xf numFmtId="172" fontId="30" fillId="0" borderId="2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64" fontId="12" fillId="0" borderId="13" applyAlignment="1" pivotButton="0" quotePrefix="0" xfId="3">
      <alignment horizontal="right" vertical="center"/>
    </xf>
    <xf numFmtId="164" fontId="12" fillId="0" borderId="22" pivotButton="0" quotePrefix="0" xfId="3"/>
    <xf numFmtId="164" fontId="12" fillId="0" borderId="13" applyAlignment="1" pivotButton="0" quotePrefix="0" xfId="3">
      <alignment vertical="top"/>
    </xf>
    <xf numFmtId="164" fontId="52" fillId="0" borderId="13" applyAlignment="1" pivotButton="0" quotePrefix="0" xfId="3">
      <alignment vertical="top"/>
    </xf>
    <xf numFmtId="164" fontId="52" fillId="0" borderId="64" applyAlignment="1" pivotButton="0" quotePrefix="0" xfId="3">
      <alignment vertical="top"/>
    </xf>
    <xf numFmtId="164" fontId="11" fillId="0" borderId="23" applyAlignment="1" pivotButton="0" quotePrefix="0" xfId="3">
      <alignment vertical="top"/>
    </xf>
    <xf numFmtId="172" fontId="30" fillId="0" borderId="0" applyAlignment="1" pivotButton="0" quotePrefix="0" xfId="0">
      <alignment vertical="center"/>
    </xf>
    <xf numFmtId="0" fontId="11" fillId="0" borderId="30" applyAlignment="1" pivotButton="0" quotePrefix="0" xfId="0">
      <alignment horizontal="center" vertical="top"/>
    </xf>
    <xf numFmtId="0" fontId="30" fillId="0" borderId="38" applyAlignment="1" pivotButton="0" quotePrefix="0" xfId="0">
      <alignment horizontal="left" vertical="center"/>
    </xf>
    <xf numFmtId="164" fontId="30" fillId="0" borderId="38" applyAlignment="1" pivotButton="0" quotePrefix="0" xfId="0">
      <alignment vertical="center"/>
    </xf>
    <xf numFmtId="0" fontId="12" fillId="0" borderId="38" applyAlignment="1" pivotButton="0" quotePrefix="0" xfId="0">
      <alignment horizontal="center"/>
    </xf>
    <xf numFmtId="0" fontId="8" fillId="0" borderId="38" applyAlignment="1" pivotButton="0" quotePrefix="0" xfId="0">
      <alignment horizontal="right"/>
    </xf>
    <xf numFmtId="164" fontId="12" fillId="0" borderId="38" applyAlignment="1" pivotButton="0" quotePrefix="0" xfId="3">
      <alignment horizontal="center"/>
    </xf>
    <xf numFmtId="0" fontId="8" fillId="0" borderId="31" applyAlignment="1" pivotButton="0" quotePrefix="0" xfId="0">
      <alignment vertical="center"/>
    </xf>
    <xf numFmtId="0" fontId="12" fillId="2" borderId="2" applyAlignment="1" pivotButton="0" quotePrefix="0" xfId="0">
      <alignment horizontal="center"/>
    </xf>
    <xf numFmtId="0" fontId="34" fillId="0" borderId="2" applyAlignment="1" pivotButton="0" quotePrefix="0" xfId="0">
      <alignment vertical="center" wrapText="1"/>
    </xf>
    <xf numFmtId="0" fontId="86" fillId="0" borderId="0" applyAlignment="1" pivotButton="0" quotePrefix="0" xfId="0">
      <alignment horizontal="center" vertical="center"/>
    </xf>
    <xf numFmtId="0" fontId="86" fillId="0" borderId="2" applyAlignment="1" pivotButton="0" quotePrefix="0" xfId="0">
      <alignment vertical="center"/>
    </xf>
    <xf numFmtId="0" fontId="86" fillId="0" borderId="12" applyAlignment="1" pivotButton="0" quotePrefix="0" xfId="0">
      <alignment horizontal="center" vertical="center"/>
    </xf>
    <xf numFmtId="0" fontId="86" fillId="0" borderId="4" applyAlignment="1" pivotButton="0" quotePrefix="0" xfId="0">
      <alignment horizontal="center" vertical="center"/>
    </xf>
    <xf numFmtId="0" fontId="86" fillId="0" borderId="5" applyAlignment="1" pivotButton="0" quotePrefix="0" xfId="0">
      <alignment horizontal="center" vertical="center"/>
    </xf>
    <xf numFmtId="0" fontId="86" fillId="0" borderId="6" applyAlignment="1" pivotButton="0" quotePrefix="0" xfId="0">
      <alignment horizontal="center" vertical="center"/>
    </xf>
    <xf numFmtId="0" fontId="86" fillId="2" borderId="8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15" fillId="0" borderId="2" applyAlignment="1" pivotButton="0" quotePrefix="0" xfId="0">
      <alignment vertical="center"/>
    </xf>
    <xf numFmtId="49" fontId="15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73" fontId="15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/>
    </xf>
    <xf numFmtId="173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17" borderId="2" applyAlignment="1" pivotButton="0" quotePrefix="0" xfId="0">
      <alignment horizontal="center" vertical="center"/>
    </xf>
    <xf numFmtId="0" fontId="15" fillId="18" borderId="2" applyAlignment="1" pivotButton="0" quotePrefix="0" xfId="0">
      <alignment horizontal="center" vertical="center"/>
    </xf>
    <xf numFmtId="173" fontId="15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vertical="center"/>
    </xf>
    <xf numFmtId="0" fontId="86" fillId="0" borderId="2" applyAlignment="1" pivotButton="0" quotePrefix="0" xfId="0">
      <alignment horizontal="left" vertical="center" wrapText="1"/>
    </xf>
    <xf numFmtId="0" fontId="76" fillId="0" borderId="2" applyAlignment="1" pivotButton="0" quotePrefix="0" xfId="0">
      <alignment horizontal="center" vertical="center" wrapText="1"/>
    </xf>
    <xf numFmtId="0" fontId="87" fillId="0" borderId="9" applyAlignment="1" pivotButton="0" quotePrefix="0" xfId="0">
      <alignment horizontal="right" vertical="top"/>
    </xf>
    <xf numFmtId="0" fontId="88" fillId="0" borderId="10" applyAlignment="1" pivotButton="0" quotePrefix="0" xfId="0">
      <alignment horizontal="right" vertical="center"/>
    </xf>
    <xf numFmtId="0" fontId="88" fillId="0" borderId="10" applyAlignment="1" pivotButton="0" quotePrefix="0" xfId="0">
      <alignment horizontal="right" vertical="top"/>
    </xf>
    <xf numFmtId="0" fontId="88" fillId="0" borderId="9" applyAlignment="1" pivotButton="0" quotePrefix="0" xfId="0">
      <alignment horizontal="right" vertical="top"/>
    </xf>
    <xf numFmtId="0" fontId="22" fillId="11" borderId="9" applyAlignment="1" pivotButton="0" quotePrefix="0" xfId="0">
      <alignment horizontal="left" vertical="center"/>
    </xf>
    <xf numFmtId="0" fontId="85" fillId="11" borderId="9" applyAlignment="1" pivotButton="0" quotePrefix="0" xfId="0">
      <alignment horizontal="left" vertical="center"/>
    </xf>
    <xf numFmtId="0" fontId="0" fillId="0" borderId="46" applyAlignment="1" pivotButton="0" quotePrefix="0" xfId="0">
      <alignment horizontal="right" vertical="center"/>
    </xf>
    <xf numFmtId="10" fontId="0" fillId="0" borderId="27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vertical="center"/>
    </xf>
    <xf numFmtId="0" fontId="87" fillId="0" borderId="9" applyAlignment="1" pivotButton="0" quotePrefix="0" xfId="0">
      <alignment vertical="top"/>
    </xf>
    <xf numFmtId="0" fontId="15" fillId="0" borderId="2" applyAlignment="1" pivotButton="0" quotePrefix="0" xfId="0">
      <alignment vertical="center" wrapText="1"/>
    </xf>
    <xf numFmtId="0" fontId="54" fillId="0" borderId="2" applyAlignment="1" pivotButton="0" quotePrefix="0" xfId="4">
      <alignment vertical="center"/>
    </xf>
    <xf numFmtId="164" fontId="95" fillId="0" borderId="13" pivotButton="0" quotePrefix="0" xfId="3"/>
    <xf numFmtId="3" fontId="15" fillId="0" borderId="2" applyAlignment="1" pivotButton="0" quotePrefix="0" xfId="0">
      <alignment horizontal="center" vertical="center"/>
    </xf>
    <xf numFmtId="0" fontId="15" fillId="0" borderId="38" applyAlignment="1" pivotButton="0" quotePrefix="0" xfId="0">
      <alignment horizontal="center" vertical="center"/>
    </xf>
    <xf numFmtId="0" fontId="15" fillId="0" borderId="38" applyAlignment="1" pivotButton="0" quotePrefix="0" xfId="0">
      <alignment vertical="center"/>
    </xf>
    <xf numFmtId="0" fontId="15" fillId="19" borderId="2" applyAlignment="1" pivotButton="0" quotePrefix="0" xfId="0">
      <alignment horizontal="center" vertical="center"/>
    </xf>
    <xf numFmtId="164" fontId="96" fillId="8" borderId="4" applyAlignment="1" pivotButton="0" quotePrefix="0" xfId="3">
      <alignment vertical="top"/>
    </xf>
    <xf numFmtId="164" fontId="12" fillId="2" borderId="13" pivotButton="0" quotePrefix="0" xfId="3"/>
    <xf numFmtId="164" fontId="12" fillId="0" borderId="14" applyAlignment="1" pivotButton="0" quotePrefix="0" xfId="3">
      <alignment horizontal="right" vertical="center"/>
    </xf>
    <xf numFmtId="164" fontId="12" fillId="0" borderId="47" pivotButton="0" quotePrefix="0" xfId="3"/>
    <xf numFmtId="174" fontId="10" fillId="2" borderId="14" applyAlignment="1" pivotButton="0" quotePrefix="0" xfId="2">
      <alignment vertical="center"/>
    </xf>
    <xf numFmtId="164" fontId="96" fillId="8" borderId="24" applyAlignment="1" pivotButton="0" quotePrefix="0" xfId="3">
      <alignment vertical="top"/>
    </xf>
    <xf numFmtId="164" fontId="8" fillId="0" borderId="44" applyAlignment="1" pivotButton="0" quotePrefix="0" xfId="3">
      <alignment horizontal="center" vertical="center" wrapText="1"/>
    </xf>
    <xf numFmtId="164" fontId="8" fillId="11" borderId="29" applyAlignment="1" pivotButton="0" quotePrefix="0" xfId="3">
      <alignment horizontal="center" vertical="center" wrapText="1"/>
    </xf>
    <xf numFmtId="164" fontId="12" fillId="0" borderId="3" applyAlignment="1" pivotButton="0" quotePrefix="0" xfId="3">
      <alignment horizontal="center"/>
    </xf>
    <xf numFmtId="164" fontId="12" fillId="11" borderId="3" pivotButton="0" quotePrefix="0" xfId="3"/>
    <xf numFmtId="164" fontId="12" fillId="0" borderId="6" applyAlignment="1" pivotButton="0" quotePrefix="0" xfId="3">
      <alignment horizontal="center"/>
    </xf>
    <xf numFmtId="164" fontId="12" fillId="0" borderId="3" applyAlignment="1" pivotButton="0" quotePrefix="0" xfId="0">
      <alignment horizontal="center" vertical="center"/>
    </xf>
    <xf numFmtId="164" fontId="12" fillId="0" borderId="6" applyAlignment="1" pivotButton="0" quotePrefix="0" xfId="3">
      <alignment horizontal="right" vertical="center"/>
    </xf>
    <xf numFmtId="164" fontId="12" fillId="0" borderId="31" applyAlignment="1" pivotButton="0" quotePrefix="0" xfId="3">
      <alignment horizontal="center"/>
    </xf>
    <xf numFmtId="164" fontId="12" fillId="0" borderId="5" applyAlignment="1" pivotButton="0" quotePrefix="0" xfId="3">
      <alignment vertical="top"/>
    </xf>
    <xf numFmtId="164" fontId="12" fillId="0" borderId="6" applyAlignment="1" pivotButton="0" quotePrefix="0" xfId="3">
      <alignment vertical="top"/>
    </xf>
    <xf numFmtId="164" fontId="52" fillId="0" borderId="6" applyAlignment="1" pivotButton="0" quotePrefix="0" xfId="3">
      <alignment vertical="top"/>
    </xf>
    <xf numFmtId="164" fontId="52" fillId="0" borderId="27" applyAlignment="1" pivotButton="0" quotePrefix="0" xfId="3">
      <alignment vertical="top"/>
    </xf>
    <xf numFmtId="164" fontId="11" fillId="0" borderId="8" applyAlignment="1" pivotButton="0" quotePrefix="0" xfId="3">
      <alignment vertical="top"/>
    </xf>
    <xf numFmtId="0" fontId="14" fillId="4" borderId="35" applyAlignment="1" pivotButton="0" quotePrefix="0" xfId="0">
      <alignment horizontal="center" vertical="center" wrapText="1"/>
    </xf>
    <xf numFmtId="164" fontId="9" fillId="21" borderId="35" applyAlignment="1" pivotButton="0" quotePrefix="0" xfId="0">
      <alignment horizontal="center" vertical="center" wrapText="1"/>
    </xf>
    <xf numFmtId="0" fontId="49" fillId="0" borderId="35" applyAlignment="1" pivotButton="0" quotePrefix="0" xfId="0">
      <alignment vertical="top"/>
    </xf>
    <xf numFmtId="0" fontId="49" fillId="0" borderId="16" applyAlignment="1" pivotButton="0" quotePrefix="0" xfId="0">
      <alignment vertical="top"/>
    </xf>
    <xf numFmtId="175" fontId="97" fillId="0" borderId="6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/>
    </xf>
    <xf numFmtId="164" fontId="30" fillId="20" borderId="0" applyAlignment="1" pivotButton="0" quotePrefix="0" xfId="0">
      <alignment vertical="center"/>
    </xf>
    <xf numFmtId="0" fontId="12" fillId="20" borderId="0" applyAlignment="1" pivotButton="0" quotePrefix="0" xfId="0">
      <alignment horizontal="center"/>
    </xf>
    <xf numFmtId="0" fontId="8" fillId="20" borderId="0" applyAlignment="1" pivotButton="0" quotePrefix="0" xfId="0">
      <alignment horizontal="center"/>
    </xf>
    <xf numFmtId="164" fontId="12" fillId="20" borderId="0" pivotButton="0" quotePrefix="0" xfId="3"/>
    <xf numFmtId="164" fontId="12" fillId="20" borderId="3" pivotButton="0" quotePrefix="0" xfId="3"/>
    <xf numFmtId="0" fontId="8" fillId="20" borderId="3" applyAlignment="1" pivotButton="0" quotePrefix="0" xfId="0">
      <alignment vertical="center"/>
    </xf>
    <xf numFmtId="0" fontId="100" fillId="20" borderId="0" applyAlignment="1" pivotButton="0" quotePrefix="0" xfId="0">
      <alignment horizontal="right" vertical="center"/>
    </xf>
    <xf numFmtId="164" fontId="100" fillId="20" borderId="0" applyAlignment="1" pivotButton="0" quotePrefix="0" xfId="0">
      <alignment vertical="center"/>
    </xf>
    <xf numFmtId="0" fontId="101" fillId="20" borderId="0" applyAlignment="1" pivotButton="0" quotePrefix="0" xfId="0">
      <alignment horizontal="center"/>
    </xf>
    <xf numFmtId="0" fontId="84" fillId="20" borderId="0" applyAlignment="1" pivotButton="0" quotePrefix="0" xfId="0">
      <alignment horizontal="center"/>
    </xf>
    <xf numFmtId="164" fontId="101" fillId="20" borderId="0" pivotButton="0" quotePrefix="0" xfId="3"/>
    <xf numFmtId="164" fontId="101" fillId="20" borderId="3" pivotButton="0" quotePrefix="0" xfId="3"/>
    <xf numFmtId="0" fontId="84" fillId="20" borderId="3" applyAlignment="1" pivotButton="0" quotePrefix="0" xfId="0">
      <alignment vertical="center"/>
    </xf>
    <xf numFmtId="0" fontId="30" fillId="20" borderId="0" applyAlignment="1" pivotButton="0" quotePrefix="0" xfId="0">
      <alignment horizontal="left" vertical="center"/>
    </xf>
    <xf numFmtId="0" fontId="99" fillId="20" borderId="9" applyAlignment="1" pivotButton="0" quotePrefix="0" xfId="0">
      <alignment horizontal="left" vertical="center"/>
    </xf>
    <xf numFmtId="164" fontId="11" fillId="0" borderId="49" applyAlignment="1" pivotButton="0" quotePrefix="0" xfId="3">
      <alignment vertical="top"/>
    </xf>
    <xf numFmtId="164" fontId="11" fillId="0" borderId="64" applyAlignment="1" pivotButton="0" quotePrefix="0" xfId="3">
      <alignment vertical="top"/>
    </xf>
    <xf numFmtId="0" fontId="49" fillId="0" borderId="36" applyAlignment="1" pivotButton="0" quotePrefix="0" xfId="0">
      <alignment horizontal="right" vertical="top"/>
    </xf>
    <xf numFmtId="164" fontId="11" fillId="0" borderId="36" applyAlignment="1" pivotButton="0" quotePrefix="0" xfId="3">
      <alignment vertical="top"/>
    </xf>
    <xf numFmtId="169" fontId="8" fillId="0" borderId="36" applyAlignment="1" pivotButton="0" quotePrefix="0" xfId="0">
      <alignment vertical="center"/>
    </xf>
    <xf numFmtId="0" fontId="100" fillId="20" borderId="41" applyAlignment="1" pivotButton="0" quotePrefix="0" xfId="0">
      <alignment horizontal="right" vertical="center"/>
    </xf>
    <xf numFmtId="164" fontId="100" fillId="20" borderId="41" applyAlignment="1" pivotButton="0" quotePrefix="0" xfId="0">
      <alignment vertical="center"/>
    </xf>
    <xf numFmtId="0" fontId="101" fillId="20" borderId="41" applyAlignment="1" pivotButton="0" quotePrefix="0" xfId="0">
      <alignment horizontal="center"/>
    </xf>
    <xf numFmtId="0" fontId="84" fillId="20" borderId="41" applyAlignment="1" pivotButton="0" quotePrefix="0" xfId="0">
      <alignment horizontal="center"/>
    </xf>
    <xf numFmtId="164" fontId="101" fillId="20" borderId="41" pivotButton="0" quotePrefix="0" xfId="3"/>
    <xf numFmtId="164" fontId="101" fillId="20" borderId="59" pivotButton="0" quotePrefix="0" xfId="3"/>
    <xf numFmtId="0" fontId="84" fillId="20" borderId="59" applyAlignment="1" pivotButton="0" quotePrefix="0" xfId="0">
      <alignment vertical="center"/>
    </xf>
    <xf numFmtId="164" fontId="12" fillId="0" borderId="15" applyAlignment="1" pivotButton="0" quotePrefix="0" xfId="3">
      <alignment vertical="top"/>
    </xf>
    <xf numFmtId="164" fontId="52" fillId="0" borderId="15" applyAlignment="1" pivotButton="0" quotePrefix="0" xfId="3">
      <alignment vertical="top"/>
    </xf>
    <xf numFmtId="164" fontId="52" fillId="0" borderId="54" applyAlignment="1" pivotButton="0" quotePrefix="0" xfId="3">
      <alignment vertical="top"/>
    </xf>
    <xf numFmtId="164" fontId="11" fillId="0" borderId="21" applyAlignment="1" pivotButton="0" quotePrefix="0" xfId="3">
      <alignment vertical="top"/>
    </xf>
    <xf numFmtId="164" fontId="11" fillId="0" borderId="54" applyAlignment="1" pivotButton="0" quotePrefix="0" xfId="3">
      <alignment vertical="top"/>
    </xf>
    <xf numFmtId="10" fontId="42" fillId="0" borderId="16" applyAlignment="1" pivotButton="0" quotePrefix="0" xfId="2">
      <alignment horizontal="center" vertical="center"/>
    </xf>
    <xf numFmtId="0" fontId="49" fillId="0" borderId="30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49" fillId="0" borderId="38" applyAlignment="1" pivotButton="0" quotePrefix="0" xfId="0">
      <alignment horizontal="right" vertical="top"/>
    </xf>
    <xf numFmtId="164" fontId="11" fillId="0" borderId="38" applyAlignment="1" pivotButton="0" quotePrefix="0" xfId="3">
      <alignment vertical="top"/>
    </xf>
    <xf numFmtId="169" fontId="8" fillId="0" borderId="38" applyAlignment="1" pivotButton="0" quotePrefix="0" xfId="0">
      <alignment vertical="center"/>
    </xf>
    <xf numFmtId="10" fontId="0" fillId="0" borderId="7" applyAlignment="1" pivotButton="0" quotePrefix="0" xfId="0">
      <alignment horizontal="center" vertical="center"/>
    </xf>
    <xf numFmtId="176" fontId="103" fillId="2" borderId="41" applyAlignment="1" pivotButton="0" quotePrefix="0" xfId="0">
      <alignment horizontal="left" vertical="center"/>
    </xf>
    <xf numFmtId="176" fontId="103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164" fontId="12" fillId="0" borderId="66" applyAlignment="1" pivotButton="0" quotePrefix="0" xfId="0">
      <alignment horizontal="center" vertical="center"/>
    </xf>
    <xf numFmtId="177" fontId="35" fillId="0" borderId="53" applyAlignment="1" pivotButton="0" quotePrefix="0" xfId="0">
      <alignment horizontal="center" vertical="center"/>
    </xf>
    <xf numFmtId="0" fontId="35" fillId="0" borderId="4" applyAlignment="1" pivotButton="0" quotePrefix="0" xfId="0">
      <alignment horizontal="center" vertical="center"/>
    </xf>
    <xf numFmtId="0" fontId="35" fillId="0" borderId="59" applyAlignment="1" pivotButton="0" quotePrefix="0" xfId="0">
      <alignment horizontal="center" vertical="center"/>
    </xf>
    <xf numFmtId="0" fontId="35" fillId="0" borderId="37" applyAlignment="1" pivotButton="0" quotePrefix="0" xfId="0">
      <alignment vertical="center"/>
    </xf>
    <xf numFmtId="0" fontId="35" fillId="0" borderId="40" applyAlignment="1" pivotButton="0" quotePrefix="0" xfId="0">
      <alignment vertical="center"/>
    </xf>
    <xf numFmtId="0" fontId="35" fillId="0" borderId="39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/>
    </xf>
    <xf numFmtId="178" fontId="15" fillId="0" borderId="2" applyAlignment="1" pivotButton="0" quotePrefix="0" xfId="0">
      <alignment horizontal="center" vertical="center"/>
    </xf>
    <xf numFmtId="0" fontId="15" fillId="0" borderId="2" applyAlignment="1" pivotButton="0" quotePrefix="1" xfId="0">
      <alignment horizontal="left" vertical="center"/>
    </xf>
    <xf numFmtId="0" fontId="0" fillId="0" borderId="6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5" fontId="35" fillId="0" borderId="2" applyAlignment="1" pivotButton="0" quotePrefix="0" xfId="0">
      <alignment horizontal="center" vertical="center"/>
    </xf>
    <xf numFmtId="165" fontId="35" fillId="0" borderId="7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164" fontId="8" fillId="11" borderId="60" applyAlignment="1" pivotButton="0" quotePrefix="0" xfId="3">
      <alignment horizontal="center" vertical="center" wrapText="1"/>
    </xf>
    <xf numFmtId="164" fontId="12" fillId="0" borderId="69" applyAlignment="1" pivotButton="0" quotePrefix="0" xfId="3">
      <alignment horizontal="center"/>
    </xf>
    <xf numFmtId="164" fontId="12" fillId="11" borderId="69" pivotButton="0" quotePrefix="0" xfId="3"/>
    <xf numFmtId="164" fontId="12" fillId="0" borderId="15" applyAlignment="1" pivotButton="0" quotePrefix="0" xfId="3">
      <alignment horizontal="center"/>
    </xf>
    <xf numFmtId="164" fontId="12" fillId="0" borderId="20" pivotButton="0" quotePrefix="0" xfId="3"/>
    <xf numFmtId="164" fontId="12" fillId="0" borderId="55" applyAlignment="1" pivotButton="0" quotePrefix="0" xfId="3">
      <alignment horizontal="center"/>
    </xf>
    <xf numFmtId="0" fontId="49" fillId="0" borderId="50" applyAlignment="1" pivotButton="0" quotePrefix="0" xfId="0">
      <alignment horizontal="center" vertical="top"/>
    </xf>
    <xf numFmtId="164" fontId="12" fillId="0" borderId="24" applyAlignment="1" pivotButton="0" quotePrefix="0" xfId="3">
      <alignment vertical="top"/>
    </xf>
    <xf numFmtId="164" fontId="11" fillId="0" borderId="60" applyAlignment="1" pivotButton="0" quotePrefix="0" xfId="3">
      <alignment vertical="top"/>
    </xf>
    <xf numFmtId="164" fontId="11" fillId="0" borderId="55" applyAlignment="1" pivotButton="0" quotePrefix="0" xfId="3">
      <alignment vertical="top"/>
    </xf>
    <xf numFmtId="164" fontId="101" fillId="20" borderId="24" pivotButton="0" quotePrefix="0" xfId="3"/>
    <xf numFmtId="164" fontId="101" fillId="20" borderId="69" pivotButton="0" quotePrefix="0" xfId="3"/>
    <xf numFmtId="164" fontId="12" fillId="20" borderId="69" pivotButton="0" quotePrefix="0" xfId="3"/>
    <xf numFmtId="179" fontId="35" fillId="0" borderId="51" applyAlignment="1" pivotButton="0" quotePrefix="0" xfId="0">
      <alignment horizontal="center" vertical="center"/>
    </xf>
    <xf numFmtId="179" fontId="35" fillId="0" borderId="67" applyAlignment="1" pivotButton="0" quotePrefix="0" xfId="0">
      <alignment horizontal="center" vertical="center"/>
    </xf>
    <xf numFmtId="179" fontId="35" fillId="0" borderId="68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0" fontId="105" fillId="0" borderId="2" applyAlignment="1" pivotButton="0" quotePrefix="0" xfId="0">
      <alignment vertical="center"/>
    </xf>
    <xf numFmtId="0" fontId="15" fillId="0" borderId="2" applyAlignment="1" pivotButton="0" quotePrefix="0" xfId="0">
      <alignment horizontal="center" vertical="center" wrapText="1"/>
    </xf>
    <xf numFmtId="9" fontId="15" fillId="19" borderId="2" applyAlignment="1" pivotButton="0" quotePrefix="0" xfId="0">
      <alignment horizontal="center" vertical="center"/>
    </xf>
    <xf numFmtId="0" fontId="88" fillId="0" borderId="10" applyAlignment="1" pivotButton="0" quotePrefix="0" xfId="0">
      <alignment horizontal="center" vertical="top"/>
    </xf>
    <xf numFmtId="14" fontId="15" fillId="0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54" fillId="0" borderId="0" applyAlignment="1" pivotButton="0" quotePrefix="0" xfId="4">
      <alignment vertical="center"/>
    </xf>
    <xf numFmtId="0" fontId="0" fillId="0" borderId="70" applyAlignment="1" pivotButton="0" quotePrefix="0" xfId="0">
      <alignment horizontal="right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71" applyAlignment="1" pivotButton="0" quotePrefix="0" xfId="0">
      <alignment vertical="center" wrapText="1"/>
    </xf>
    <xf numFmtId="0" fontId="0" fillId="0" borderId="71" applyAlignment="1" pivotButton="0" quotePrefix="0" xfId="0">
      <alignment horizontal="center" vertical="center" wrapText="1"/>
    </xf>
    <xf numFmtId="0" fontId="108" fillId="0" borderId="0" applyAlignment="1" pivotButton="0" quotePrefix="0" xfId="0">
      <alignment vertical="center"/>
    </xf>
    <xf numFmtId="180" fontId="35" fillId="0" borderId="0" applyAlignment="1" applyProtection="1" pivotButton="0" quotePrefix="0" xfId="0">
      <alignment vertical="center"/>
      <protection locked="0" hidden="0"/>
    </xf>
    <xf numFmtId="0" fontId="108" fillId="0" borderId="2" applyAlignment="1" pivotButton="0" quotePrefix="0" xfId="0">
      <alignment vertical="center"/>
    </xf>
    <xf numFmtId="0" fontId="32" fillId="2" borderId="0" applyAlignment="1" pivotButton="0" quotePrefix="0" xfId="0">
      <alignment vertical="center"/>
    </xf>
    <xf numFmtId="0" fontId="106" fillId="0" borderId="0" applyAlignment="1" pivotButton="0" quotePrefix="0" xfId="0">
      <alignment vertical="center"/>
    </xf>
    <xf numFmtId="164" fontId="31" fillId="8" borderId="2" applyAlignment="1" pivotButton="0" quotePrefix="0" xfId="0">
      <alignment vertical="center"/>
    </xf>
    <xf numFmtId="0" fontId="12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2" fillId="8" borderId="18" applyAlignment="1" pivotButton="0" quotePrefix="0" xfId="0">
      <alignment horizontal="center"/>
    </xf>
    <xf numFmtId="179" fontId="35" fillId="0" borderId="3" applyAlignment="1" pivotButton="0" quotePrefix="0" xfId="0">
      <alignment horizontal="center" vertical="center"/>
    </xf>
    <xf numFmtId="0" fontId="35" fillId="0" borderId="67" applyAlignment="1" pivotButton="0" quotePrefix="0" xfId="0">
      <alignment horizontal="center" vertical="center"/>
    </xf>
    <xf numFmtId="0" fontId="35" fillId="0" borderId="68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86" fillId="0" borderId="2" applyAlignment="1" pivotButton="0" quotePrefix="0" xfId="0">
      <alignment horizontal="center" vertical="center" wrapText="1"/>
    </xf>
    <xf numFmtId="0" fontId="86" fillId="0" borderId="6" applyAlignment="1" pivotButton="0" quotePrefix="0" xfId="0">
      <alignment horizontal="center" vertical="center" wrapText="1"/>
    </xf>
    <xf numFmtId="177" fontId="35" fillId="0" borderId="1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5" fillId="0" borderId="2" applyAlignment="1" pivotButton="0" quotePrefix="0" xfId="0">
      <alignment vertical="center"/>
    </xf>
    <xf numFmtId="0" fontId="15" fillId="23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shrinkToFit="1"/>
    </xf>
    <xf numFmtId="0" fontId="26" fillId="8" borderId="0" applyAlignment="1" pivotButton="0" quotePrefix="0" xfId="0">
      <alignment horizontal="right" vertical="center"/>
    </xf>
    <xf numFmtId="164" fontId="30" fillId="2" borderId="2" applyAlignment="1" pivotButton="0" quotePrefix="0" xfId="0">
      <alignment horizontal="right" vertical="center"/>
    </xf>
    <xf numFmtId="174" fontId="109" fillId="0" borderId="0" applyAlignment="1" pivotButton="0" quotePrefix="0" xfId="0">
      <alignment vertical="center"/>
    </xf>
    <xf numFmtId="164" fontId="21" fillId="0" borderId="0" applyAlignment="1" pivotButton="0" quotePrefix="0" xfId="0">
      <alignment horizontal="center" vertical="center" shrinkToFit="1"/>
    </xf>
    <xf numFmtId="0" fontId="41" fillId="0" borderId="2" applyAlignment="1" pivotButton="0" quotePrefix="0" xfId="5">
      <alignment horizontal="right" vertical="center"/>
    </xf>
    <xf numFmtId="0" fontId="48" fillId="0" borderId="52" applyAlignment="1" pivotButton="0" quotePrefix="0" xfId="5">
      <alignment vertical="center"/>
    </xf>
    <xf numFmtId="0" fontId="113" fillId="0" borderId="0" applyAlignment="1" pivotButton="0" quotePrefix="0" xfId="5">
      <alignment vertical="center"/>
    </xf>
    <xf numFmtId="0" fontId="113" fillId="0" borderId="0" applyAlignment="1" pivotButton="0" quotePrefix="0" xfId="5">
      <alignment horizontal="center" vertical="center"/>
    </xf>
    <xf numFmtId="164" fontId="12" fillId="0" borderId="13" applyAlignment="1" pivotButton="0" quotePrefix="0" xfId="3">
      <alignment horizontal="right"/>
    </xf>
    <xf numFmtId="0" fontId="15" fillId="6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10" fontId="36" fillId="0" borderId="0" applyAlignment="1" pivotButton="0" quotePrefix="0" xfId="2">
      <alignment horizontal="left" vertical="center"/>
    </xf>
    <xf numFmtId="0" fontId="36" fillId="0" borderId="0" applyAlignment="1" pivotButton="0" quotePrefix="0" xfId="0">
      <alignment horizontal="right" vertical="center"/>
    </xf>
    <xf numFmtId="0" fontId="81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115" fillId="0" borderId="0" applyAlignment="1" pivotButton="0" quotePrefix="0" xfId="0">
      <alignment horizontal="center" vertical="center"/>
    </xf>
    <xf numFmtId="177" fontId="35" fillId="22" borderId="53" applyAlignment="1" pivotButton="0" quotePrefix="0" xfId="0">
      <alignment horizontal="center" vertical="center"/>
    </xf>
    <xf numFmtId="0" fontId="35" fillId="22" borderId="10" applyAlignment="1" pivotButton="0" quotePrefix="0" xfId="0">
      <alignment horizontal="center" vertical="center"/>
    </xf>
    <xf numFmtId="0" fontId="35" fillId="22" borderId="33" applyAlignment="1" pivotButton="0" quotePrefix="0" xfId="0">
      <alignment horizontal="center" vertical="center"/>
    </xf>
    <xf numFmtId="177" fontId="35" fillId="22" borderId="10" applyAlignment="1" pivotButton="0" quotePrefix="0" xfId="0">
      <alignment horizontal="center" vertical="center"/>
    </xf>
    <xf numFmtId="0" fontId="35" fillId="22" borderId="17" applyAlignment="1" pivotButton="0" quotePrefix="0" xfId="0">
      <alignment horizontal="center" vertical="center"/>
    </xf>
    <xf numFmtId="177" fontId="35" fillId="29" borderId="53" applyAlignment="1" pivotButton="0" quotePrefix="0" xfId="0">
      <alignment horizontal="center" vertical="center"/>
    </xf>
    <xf numFmtId="177" fontId="35" fillId="29" borderId="11" applyAlignment="1" pivotButton="0" quotePrefix="0" xfId="0">
      <alignment horizontal="center" vertical="center"/>
    </xf>
    <xf numFmtId="0" fontId="35" fillId="6" borderId="0" applyAlignment="1" pivotButton="0" quotePrefix="0" xfId="0">
      <alignment vertical="center"/>
    </xf>
    <xf numFmtId="0" fontId="35" fillId="3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35" fillId="0" borderId="15" applyAlignment="1" pivotButton="0" quotePrefix="0" xfId="0">
      <alignment horizontal="center" vertical="center"/>
    </xf>
    <xf numFmtId="174" fontId="10" fillId="0" borderId="14" applyAlignment="1" pivotButton="0" quotePrefix="0" xfId="2">
      <alignment vertical="center"/>
    </xf>
    <xf numFmtId="164" fontId="95" fillId="0" borderId="13" applyAlignment="1" pivotButton="0" quotePrefix="0" xfId="3">
      <alignment vertical="center"/>
    </xf>
    <xf numFmtId="164" fontId="12" fillId="0" borderId="0" applyAlignment="1" pivotButton="0" quotePrefix="0" xfId="0">
      <alignment horizontal="right" vertical="center"/>
    </xf>
    <xf numFmtId="164" fontId="18" fillId="0" borderId="51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/>
    </xf>
    <xf numFmtId="164" fontId="15" fillId="0" borderId="2" applyAlignment="1" pivotButton="0" quotePrefix="0" xfId="5">
      <alignment horizontal="center" vertical="center"/>
    </xf>
    <xf numFmtId="0" fontId="15" fillId="0" borderId="2" applyAlignment="1" pivotButton="0" quotePrefix="0" xfId="5">
      <alignment vertical="center"/>
    </xf>
    <xf numFmtId="0" fontId="105" fillId="0" borderId="2" applyAlignment="1" pivotButton="0" quotePrefix="0" xfId="5">
      <alignment vertical="center"/>
    </xf>
    <xf numFmtId="173" fontId="15" fillId="0" borderId="2" applyAlignment="1" pivotButton="0" quotePrefix="0" xfId="5">
      <alignment horizontal="center" vertical="center"/>
    </xf>
    <xf numFmtId="164" fontId="117" fillId="0" borderId="2" applyAlignment="1" pivotButton="0" quotePrefix="0" xfId="0">
      <alignment horizontal="center" vertical="center"/>
    </xf>
    <xf numFmtId="164" fontId="86" fillId="0" borderId="2" applyAlignment="1" pivotButton="0" quotePrefix="0" xfId="0">
      <alignment horizontal="center" vertical="center"/>
    </xf>
    <xf numFmtId="0" fontId="12" fillId="29" borderId="2" applyAlignment="1" pivotButton="0" quotePrefix="0" xfId="0">
      <alignment horizontal="center"/>
    </xf>
    <xf numFmtId="181" fontId="12" fillId="0" borderId="2" applyAlignment="1" pivotButton="0" quotePrefix="0" xfId="0">
      <alignment horizontal="center"/>
    </xf>
    <xf numFmtId="181" fontId="12" fillId="29" borderId="2" applyAlignment="1" pivotButton="0" quotePrefix="0" xfId="0">
      <alignment horizontal="center"/>
    </xf>
    <xf numFmtId="0" fontId="15" fillId="15" borderId="2" applyAlignment="1" pivotButton="0" quotePrefix="0" xfId="0">
      <alignment horizontal="center" vertical="center" wrapText="1"/>
    </xf>
    <xf numFmtId="0" fontId="15" fillId="32" borderId="2" applyAlignment="1" pivotButton="0" quotePrefix="0" xfId="0">
      <alignment horizontal="center" vertical="center"/>
    </xf>
    <xf numFmtId="164" fontId="31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164" fontId="30" fillId="2" borderId="2" applyAlignment="1" pivotButton="0" quotePrefix="0" xfId="0">
      <alignment vertical="center"/>
    </xf>
    <xf numFmtId="172" fontId="30" fillId="4" borderId="15" applyAlignment="1" pivotButton="0" quotePrefix="0" xfId="0">
      <alignment vertical="center"/>
    </xf>
    <xf numFmtId="173" fontId="12" fillId="0" borderId="2" applyAlignment="1" pivotButton="0" quotePrefix="0" xfId="0">
      <alignment horizontal="center"/>
    </xf>
    <xf numFmtId="0" fontId="118" fillId="0" borderId="0" applyAlignment="1" pivotButton="0" quotePrefix="0" xfId="12">
      <alignment vertical="center"/>
    </xf>
    <xf numFmtId="1" fontId="118" fillId="0" borderId="0" applyAlignment="1" pivotButton="0" quotePrefix="0" xfId="12">
      <alignment vertical="center"/>
    </xf>
    <xf numFmtId="182" fontId="118" fillId="27" borderId="0" applyAlignment="1" pivotButton="0" quotePrefix="0" xfId="17">
      <alignment vertical="center"/>
    </xf>
    <xf numFmtId="0" fontId="118" fillId="39" borderId="0" applyAlignment="1" pivotButton="0" quotePrefix="0" xfId="12">
      <alignment vertical="center"/>
    </xf>
    <xf numFmtId="182" fontId="118" fillId="39" borderId="0" applyAlignment="1" pivotButton="0" quotePrefix="0" xfId="17">
      <alignment vertical="center"/>
    </xf>
    <xf numFmtId="0" fontId="118" fillId="0" borderId="0" applyAlignment="1" pivotButton="0" quotePrefix="0" xfId="12">
      <alignment horizontal="right" vertical="center"/>
    </xf>
    <xf numFmtId="0" fontId="118" fillId="27" borderId="0" applyAlignment="1" pivotButton="0" quotePrefix="0" xfId="12">
      <alignment horizontal="right" vertical="center"/>
    </xf>
    <xf numFmtId="0" fontId="118" fillId="6" borderId="0" applyAlignment="1" pivotButton="0" quotePrefix="0" xfId="12">
      <alignment horizontal="right" vertical="center"/>
    </xf>
    <xf numFmtId="182" fontId="118" fillId="6" borderId="0" applyAlignment="1" pivotButton="0" quotePrefix="0" xfId="17">
      <alignment vertical="center"/>
    </xf>
    <xf numFmtId="0" fontId="118" fillId="40" borderId="0" applyAlignment="1" pivotButton="0" quotePrefix="0" xfId="12">
      <alignment horizontal="right" vertical="center"/>
    </xf>
    <xf numFmtId="182" fontId="118" fillId="40" borderId="0" applyAlignment="1" pivotButton="0" quotePrefix="0" xfId="17">
      <alignment vertical="center"/>
    </xf>
    <xf numFmtId="0" fontId="118" fillId="41" borderId="0" applyAlignment="1" pivotButton="0" quotePrefix="0" xfId="12">
      <alignment horizontal="right" vertical="center"/>
    </xf>
    <xf numFmtId="182" fontId="118" fillId="41" borderId="0" applyAlignment="1" pivotButton="0" quotePrefix="0" xfId="17">
      <alignment vertical="center"/>
    </xf>
    <xf numFmtId="0" fontId="100" fillId="42" borderId="0" applyAlignment="1" pivotButton="0" quotePrefix="0" xfId="12">
      <alignment vertical="center"/>
    </xf>
    <xf numFmtId="0" fontId="118" fillId="26" borderId="0" applyAlignment="1" pivotButton="0" quotePrefix="0" xfId="12">
      <alignment horizontal="right" vertical="center"/>
    </xf>
    <xf numFmtId="182" fontId="118" fillId="26" borderId="0" applyAlignment="1" pivotButton="0" quotePrefix="0" xfId="17">
      <alignment vertical="center"/>
    </xf>
    <xf numFmtId="182" fontId="118" fillId="0" borderId="0" applyAlignment="1" pivotButton="0" quotePrefix="0" xfId="17">
      <alignment vertical="center"/>
    </xf>
    <xf numFmtId="0" fontId="118" fillId="0" borderId="0" applyAlignment="1" pivotButton="0" quotePrefix="0" xfId="12">
      <alignment horizontal="left" vertical="center"/>
    </xf>
    <xf numFmtId="0" fontId="118" fillId="32" borderId="0" applyAlignment="1" pivotButton="0" quotePrefix="0" xfId="12">
      <alignment horizontal="left" vertical="center"/>
    </xf>
    <xf numFmtId="182" fontId="118" fillId="32" borderId="0" applyAlignment="1" pivotButton="0" quotePrefix="0" xfId="17">
      <alignment vertical="center"/>
    </xf>
    <xf numFmtId="0" fontId="50" fillId="0" borderId="0" applyAlignment="1" pivotButton="0" quotePrefix="0" xfId="12">
      <alignment vertical="center"/>
    </xf>
    <xf numFmtId="0" fontId="46" fillId="0" borderId="0" applyAlignment="1" pivotButton="0" quotePrefix="0" xfId="12">
      <alignment vertical="center"/>
    </xf>
    <xf numFmtId="1" fontId="46" fillId="0" borderId="0" applyAlignment="1" pivotButton="0" quotePrefix="0" xfId="12">
      <alignment vertical="center"/>
    </xf>
    <xf numFmtId="0" fontId="118" fillId="8" borderId="0" applyAlignment="1" pivotButton="0" quotePrefix="0" xfId="12">
      <alignment vertical="center"/>
    </xf>
    <xf numFmtId="0" fontId="118" fillId="8" borderId="0" applyAlignment="1" pivotButton="0" quotePrefix="0" xfId="12">
      <alignment horizontal="right" vertical="center"/>
    </xf>
    <xf numFmtId="182" fontId="118" fillId="8" borderId="0" applyAlignment="1" pivotButton="0" quotePrefix="0" xfId="17">
      <alignment vertical="center"/>
    </xf>
    <xf numFmtId="0" fontId="46" fillId="8" borderId="0" applyAlignment="1" pivotButton="0" quotePrefix="0" xfId="12">
      <alignment vertical="center"/>
    </xf>
    <xf numFmtId="0" fontId="118" fillId="25" borderId="0" applyAlignment="1" pivotButton="0" quotePrefix="0" xfId="12">
      <alignment horizontal="right" vertical="center"/>
    </xf>
    <xf numFmtId="182" fontId="118" fillId="25" borderId="0" applyAlignment="1" pivotButton="0" quotePrefix="0" xfId="17">
      <alignment vertical="center"/>
    </xf>
    <xf numFmtId="0" fontId="118" fillId="0" borderId="0" applyAlignment="1" pivotButton="0" quotePrefix="0" xfId="12">
      <alignment horizontal="center" vertical="center"/>
    </xf>
    <xf numFmtId="0" fontId="100" fillId="42" borderId="0" applyAlignment="1" pivotButton="0" quotePrefix="0" xfId="12">
      <alignment horizontal="center" vertical="center"/>
    </xf>
    <xf numFmtId="0" fontId="46" fillId="0" borderId="0" applyAlignment="1" pivotButton="0" quotePrefix="0" xfId="12">
      <alignment horizontal="center" vertical="center"/>
    </xf>
    <xf numFmtId="0" fontId="100" fillId="0" borderId="0" applyAlignment="1" pivotButton="0" quotePrefix="0" xfId="12">
      <alignment horizontal="center" vertical="center"/>
    </xf>
    <xf numFmtId="0" fontId="118" fillId="29" borderId="0" applyAlignment="1" pivotButton="0" quotePrefix="0" xfId="12">
      <alignment horizontal="right" vertical="center"/>
    </xf>
    <xf numFmtId="182" fontId="118" fillId="29" borderId="0" applyAlignment="1" pivotButton="0" quotePrefix="0" xfId="17">
      <alignment vertical="center"/>
    </xf>
    <xf numFmtId="182" fontId="50" fillId="0" borderId="0" applyAlignment="1" pivotButton="0" quotePrefix="0" xfId="17">
      <alignment vertical="center"/>
    </xf>
    <xf numFmtId="166" fontId="136" fillId="0" borderId="0" applyAlignment="1" pivotButton="0" quotePrefix="0" xfId="0">
      <alignment vertical="center"/>
    </xf>
    <xf numFmtId="166" fontId="120" fillId="0" borderId="0" applyAlignment="1" pivotButton="0" quotePrefix="0" xfId="0">
      <alignment vertical="center"/>
    </xf>
    <xf numFmtId="10" fontId="136" fillId="0" borderId="0" applyAlignment="1" pivotButton="0" quotePrefix="0" xfId="0">
      <alignment vertical="center"/>
    </xf>
    <xf numFmtId="0" fontId="120" fillId="0" borderId="0" applyAlignment="1" pivotButton="0" quotePrefix="0" xfId="0">
      <alignment horizontal="center" vertical="center"/>
    </xf>
    <xf numFmtId="0" fontId="136" fillId="0" borderId="0" applyAlignment="1" pivotButton="0" quotePrefix="0" xfId="0">
      <alignment horizontal="center" vertical="center"/>
    </xf>
    <xf numFmtId="0" fontId="145" fillId="44" borderId="0" applyAlignment="1" pivotButton="0" quotePrefix="0" xfId="0">
      <alignment vertical="center"/>
    </xf>
    <xf numFmtId="0" fontId="120" fillId="0" borderId="0" applyAlignment="1" pivotButton="0" quotePrefix="0" xfId="0">
      <alignment vertical="center"/>
    </xf>
    <xf numFmtId="0" fontId="131" fillId="0" borderId="0" applyAlignment="1" pivotButton="0" quotePrefix="0" xfId="0">
      <alignment vertical="center"/>
    </xf>
    <xf numFmtId="164" fontId="136" fillId="26" borderId="74" applyAlignment="1" pivotButton="0" quotePrefix="0" xfId="0">
      <alignment vertical="center"/>
    </xf>
    <xf numFmtId="0" fontId="136" fillId="0" borderId="74" applyAlignment="1" pivotButton="0" quotePrefix="0" xfId="0">
      <alignment vertical="center"/>
    </xf>
    <xf numFmtId="164" fontId="136" fillId="0" borderId="76" applyAlignment="1" pivotButton="0" quotePrefix="0" xfId="0">
      <alignment vertical="center"/>
    </xf>
    <xf numFmtId="164" fontId="136" fillId="25" borderId="0" applyAlignment="1" pivotButton="0" quotePrefix="0" xfId="0">
      <alignment vertical="center"/>
    </xf>
    <xf numFmtId="0" fontId="131" fillId="0" borderId="0" applyAlignment="1" pivotButton="0" quotePrefix="0" xfId="0">
      <alignment horizontal="center" vertical="center"/>
    </xf>
    <xf numFmtId="164" fontId="136" fillId="45" borderId="0" applyAlignment="1" pivotButton="0" quotePrefix="0" xfId="0">
      <alignment vertical="center"/>
    </xf>
    <xf numFmtId="164" fontId="131" fillId="0" borderId="0" applyAlignment="1" pivotButton="0" quotePrefix="0" xfId="0">
      <alignment vertical="center"/>
    </xf>
    <xf numFmtId="164" fontId="120" fillId="0" borderId="0" applyAlignment="1" pivotButton="0" quotePrefix="0" xfId="0">
      <alignment horizontal="center" vertical="center"/>
    </xf>
    <xf numFmtId="164" fontId="136" fillId="0" borderId="75" applyAlignment="1" pivotButton="0" quotePrefix="0" xfId="0">
      <alignment vertical="center"/>
    </xf>
    <xf numFmtId="0" fontId="136" fillId="0" borderId="0" applyAlignment="1" pivotButton="0" quotePrefix="0" xfId="0">
      <alignment vertical="center"/>
    </xf>
    <xf numFmtId="0" fontId="145" fillId="44" borderId="0" applyAlignment="1" pivotButton="0" quotePrefix="0" xfId="0">
      <alignment horizontal="center" vertical="center"/>
    </xf>
    <xf numFmtId="0" fontId="136" fillId="0" borderId="75" applyAlignment="1" pivotButton="0" quotePrefix="0" xfId="0">
      <alignment vertical="center"/>
    </xf>
    <xf numFmtId="164" fontId="120" fillId="0" borderId="0" applyAlignment="1" pivotButton="0" quotePrefix="0" xfId="0">
      <alignment vertical="center"/>
    </xf>
    <xf numFmtId="164" fontId="136" fillId="0" borderId="74" applyAlignment="1" pivotButton="0" quotePrefix="0" xfId="0">
      <alignment vertical="center"/>
    </xf>
    <xf numFmtId="164" fontId="136" fillId="0" borderId="0" applyAlignment="1" pivotButton="0" quotePrefix="0" xfId="0">
      <alignment vertical="center"/>
    </xf>
    <xf numFmtId="0" fontId="110" fillId="0" borderId="0" applyAlignment="1" pivotButton="0" quotePrefix="0" xfId="5">
      <alignment vertical="center"/>
    </xf>
    <xf numFmtId="183" fontId="47" fillId="0" borderId="25" applyAlignment="1" pivotButton="0" quotePrefix="0" xfId="5">
      <alignment horizontal="right" vertical="center"/>
    </xf>
    <xf numFmtId="0" fontId="35" fillId="33" borderId="36" applyAlignment="1" pivotButton="0" quotePrefix="0" xfId="5">
      <alignment vertical="center"/>
    </xf>
    <xf numFmtId="0" fontId="110" fillId="0" borderId="36" applyAlignment="1" pivotButton="0" quotePrefix="0" xfId="5">
      <alignment vertical="center"/>
    </xf>
    <xf numFmtId="0" fontId="110" fillId="34" borderId="36" applyAlignment="1" pivotButton="0" quotePrefix="0" xfId="5">
      <alignment horizontal="center" vertical="center"/>
    </xf>
    <xf numFmtId="0" fontId="110" fillId="0" borderId="29" applyAlignment="1" pivotButton="0" quotePrefix="0" xfId="5">
      <alignment vertical="center"/>
    </xf>
    <xf numFmtId="0" fontId="18" fillId="0" borderId="53" applyAlignment="1" pivotButton="0" quotePrefix="0" xfId="5">
      <alignment horizontal="right" vertical="center"/>
    </xf>
    <xf numFmtId="0" fontId="18" fillId="0" borderId="51" applyAlignment="1" pivotButton="0" quotePrefix="0" xfId="5">
      <alignment horizontal="center" vertical="center"/>
    </xf>
    <xf numFmtId="0" fontId="18" fillId="0" borderId="0" applyAlignment="1" pivotButton="0" quotePrefix="0" xfId="5">
      <alignment horizontal="center" vertical="center"/>
    </xf>
    <xf numFmtId="0" fontId="119" fillId="0" borderId="0" applyAlignment="1" pivotButton="0" quotePrefix="0" xfId="5">
      <alignment horizontal="center" vertical="center"/>
    </xf>
    <xf numFmtId="0" fontId="18" fillId="0" borderId="3" applyAlignment="1" pivotButton="0" quotePrefix="0" xfId="5">
      <alignment horizontal="center" vertical="center"/>
    </xf>
    <xf numFmtId="184" fontId="120" fillId="0" borderId="33" applyAlignment="1" pivotButton="0" quotePrefix="0" xfId="5">
      <alignment horizontal="right" vertical="center"/>
    </xf>
    <xf numFmtId="184" fontId="120" fillId="36" borderId="25" applyAlignment="1" pivotButton="0" quotePrefix="0" xfId="5">
      <alignment vertical="center"/>
    </xf>
    <xf numFmtId="164" fontId="18" fillId="0" borderId="52" applyAlignment="1" pivotButton="0" quotePrefix="0" xfId="5">
      <alignment horizontal="center" vertical="center" shrinkToFit="1"/>
    </xf>
    <xf numFmtId="184" fontId="120" fillId="36" borderId="33" applyAlignment="1" pivotButton="0" quotePrefix="0" xfId="5">
      <alignment vertical="center"/>
    </xf>
    <xf numFmtId="164" fontId="18" fillId="0" borderId="34" applyAlignment="1" pivotButton="0" quotePrefix="0" xfId="5">
      <alignment horizontal="center" vertical="center" shrinkToFit="1"/>
    </xf>
    <xf numFmtId="164" fontId="18" fillId="0" borderId="38" applyAlignment="1" pivotButton="0" quotePrefix="0" xfId="5">
      <alignment horizontal="center" vertical="center" shrinkToFit="1"/>
    </xf>
    <xf numFmtId="164" fontId="18" fillId="0" borderId="31" applyAlignment="1" pivotButton="0" quotePrefix="0" xfId="5">
      <alignment horizontal="center" vertical="center" shrinkToFit="1"/>
    </xf>
    <xf numFmtId="184" fontId="120" fillId="37" borderId="53" applyAlignment="1" pivotButton="0" quotePrefix="0" xfId="5">
      <alignment vertical="center"/>
    </xf>
    <xf numFmtId="164" fontId="18" fillId="0" borderId="0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 shrinkToFit="1"/>
    </xf>
    <xf numFmtId="166" fontId="18" fillId="0" borderId="51" applyAlignment="1" pivotButton="0" quotePrefix="0" xfId="5">
      <alignment horizontal="center" vertical="center"/>
    </xf>
    <xf numFmtId="0" fontId="110" fillId="0" borderId="51" applyAlignment="1" pivotButton="0" quotePrefix="0" xfId="5">
      <alignment horizontal="left" vertical="center"/>
    </xf>
    <xf numFmtId="0" fontId="110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vertical="center"/>
    </xf>
    <xf numFmtId="184" fontId="95" fillId="0" borderId="25" applyAlignment="1" pivotButton="0" quotePrefix="0" xfId="5">
      <alignment horizontal="right" vertical="center"/>
    </xf>
    <xf numFmtId="164" fontId="45" fillId="0" borderId="36" applyAlignment="1" pivotButton="0" quotePrefix="0" xfId="5">
      <alignment horizontal="center" vertical="center" shrinkToFit="1"/>
    </xf>
    <xf numFmtId="184" fontId="14" fillId="0" borderId="33" applyAlignment="1" pivotButton="0" quotePrefix="0" xfId="5">
      <alignment horizontal="right" vertical="center"/>
    </xf>
    <xf numFmtId="164" fontId="20" fillId="0" borderId="34" applyAlignment="1" pivotButton="0" quotePrefix="0" xfId="5">
      <alignment horizontal="center" vertical="center" shrinkToFit="1"/>
    </xf>
    <xf numFmtId="164" fontId="20" fillId="0" borderId="38" applyAlignment="1" pivotButton="0" quotePrefix="0" xfId="5">
      <alignment horizontal="center" vertical="center" shrinkToFit="1"/>
    </xf>
    <xf numFmtId="164" fontId="20" fillId="0" borderId="31" applyAlignment="1" pivotButton="0" quotePrefix="0" xfId="5">
      <alignment horizontal="center" vertical="center" shrinkToFit="1"/>
    </xf>
    <xf numFmtId="0" fontId="120" fillId="0" borderId="53" applyAlignment="1" pivotButton="0" quotePrefix="0" xfId="5">
      <alignment vertical="center"/>
    </xf>
    <xf numFmtId="164" fontId="19" fillId="0" borderId="51" applyAlignment="1" pivotButton="0" quotePrefix="0" xfId="5">
      <alignment horizontal="center" vertical="center" shrinkToFit="1"/>
    </xf>
    <xf numFmtId="164" fontId="120" fillId="0" borderId="0" applyAlignment="1" pivotButton="0" quotePrefix="0" xfId="5">
      <alignment horizontal="center" vertical="center" shrinkToFit="1"/>
    </xf>
    <xf numFmtId="164" fontId="120" fillId="0" borderId="3" applyAlignment="1" pivotButton="0" quotePrefix="0" xfId="5">
      <alignment horizontal="center" vertical="center" shrinkToFit="1"/>
    </xf>
    <xf numFmtId="184" fontId="120" fillId="0" borderId="53" applyAlignment="1" pivotButton="0" quotePrefix="0" xfId="5">
      <alignment vertical="center"/>
    </xf>
    <xf numFmtId="164" fontId="110" fillId="0" borderId="51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horizontal="center" vertical="center" shrinkToFit="1"/>
    </xf>
    <xf numFmtId="164" fontId="110" fillId="0" borderId="3" applyAlignment="1" pivotButton="0" quotePrefix="0" xfId="5">
      <alignment horizontal="center" vertical="center" shrinkToFit="1"/>
    </xf>
    <xf numFmtId="0" fontId="121" fillId="0" borderId="62" applyAlignment="1" pivotButton="0" quotePrefix="0" xfId="5">
      <alignment vertical="center"/>
    </xf>
    <xf numFmtId="164" fontId="21" fillId="0" borderId="63" applyAlignment="1" pivotButton="0" quotePrefix="0" xfId="5">
      <alignment horizontal="center" vertical="center" shrinkToFit="1"/>
    </xf>
    <xf numFmtId="164" fontId="21" fillId="0" borderId="1" applyAlignment="1" pivotButton="0" quotePrefix="0" xfId="5">
      <alignment horizontal="center" vertical="center" shrinkToFit="1"/>
    </xf>
    <xf numFmtId="164" fontId="21" fillId="0" borderId="61" applyAlignment="1" pivotButton="0" quotePrefix="0" xfId="5">
      <alignment horizontal="center" vertical="center" shrinkToFit="1"/>
    </xf>
    <xf numFmtId="0" fontId="20" fillId="0" borderId="53" applyAlignment="1" pivotButton="0" quotePrefix="0" xfId="5">
      <alignment vertical="center"/>
    </xf>
    <xf numFmtId="164" fontId="21" fillId="0" borderId="51" applyAlignment="1" pivotButton="0" quotePrefix="0" xfId="5">
      <alignment horizontal="center" vertical="center" shrinkToFit="1"/>
    </xf>
    <xf numFmtId="172" fontId="20" fillId="0" borderId="0" applyAlignment="1" pivotButton="0" quotePrefix="0" xfId="5">
      <alignment horizontal="center" vertical="center" shrinkToFit="1"/>
    </xf>
    <xf numFmtId="172" fontId="20" fillId="0" borderId="3" applyAlignment="1" pivotButton="0" quotePrefix="0" xfId="5">
      <alignment horizontal="center" vertical="center" shrinkToFit="1"/>
    </xf>
    <xf numFmtId="0" fontId="22" fillId="0" borderId="33" applyAlignment="1" pivotButton="0" quotePrefix="0" xfId="5">
      <alignment horizontal="right" vertical="center"/>
    </xf>
    <xf numFmtId="164" fontId="21" fillId="0" borderId="34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vertical="center"/>
    </xf>
    <xf numFmtId="0" fontId="110" fillId="0" borderId="14" applyAlignment="1" pivotButton="0" quotePrefix="0" xfId="5">
      <alignment vertical="center"/>
    </xf>
    <xf numFmtId="0" fontId="18" fillId="0" borderId="15" applyAlignment="1" pivotButton="0" quotePrefix="0" xfId="5">
      <alignment vertical="center"/>
    </xf>
    <xf numFmtId="166" fontId="18" fillId="0" borderId="0" applyAlignment="1" pivotButton="0" quotePrefix="0" xfId="5">
      <alignment horizontal="center" vertical="center" shrinkToFit="1"/>
    </xf>
    <xf numFmtId="167" fontId="90" fillId="0" borderId="13" applyAlignment="1" pivotButton="0" quotePrefix="0" xfId="7">
      <alignment horizontal="center" vertical="center" shrinkToFit="1"/>
    </xf>
    <xf numFmtId="0" fontId="23" fillId="0" borderId="14" applyAlignment="1" pivotButton="0" quotePrefix="0" xfId="5">
      <alignment vertical="center"/>
    </xf>
    <xf numFmtId="0" fontId="23" fillId="0" borderId="15" applyAlignment="1" pivotButton="0" quotePrefix="0" xfId="5">
      <alignment vertical="center"/>
    </xf>
    <xf numFmtId="0" fontId="23" fillId="0" borderId="0" applyAlignment="1" pivotButton="0" quotePrefix="0" xfId="5">
      <alignment vertical="center"/>
    </xf>
    <xf numFmtId="172" fontId="90" fillId="0" borderId="13" applyAlignment="1" pivotButton="0" quotePrefix="0" xfId="7">
      <alignment horizontal="center" vertical="center" shrinkToFit="1"/>
    </xf>
    <xf numFmtId="0" fontId="93" fillId="0" borderId="13" applyAlignment="1" pivotButton="0" quotePrefix="0" xfId="5">
      <alignment vertical="center"/>
    </xf>
    <xf numFmtId="0" fontId="24" fillId="0" borderId="14" applyAlignment="1" pivotButton="0" quotePrefix="0" xfId="5">
      <alignment vertical="center"/>
    </xf>
    <xf numFmtId="166" fontId="90" fillId="0" borderId="13" applyAlignment="1" pivotButton="0" quotePrefix="0" xfId="5">
      <alignment horizontal="center" vertical="center" shrinkToFit="1"/>
    </xf>
    <xf numFmtId="10" fontId="90" fillId="0" borderId="13" applyAlignment="1" pivotButton="0" quotePrefix="0" xfId="5">
      <alignment horizontal="left" vertical="center"/>
    </xf>
    <xf numFmtId="0" fontId="95" fillId="0" borderId="14" applyAlignment="1" pivotButton="0" quotePrefix="0" xfId="5">
      <alignment vertical="center"/>
    </xf>
    <xf numFmtId="174" fontId="90" fillId="33" borderId="13" applyAlignment="1" pivotButton="0" quotePrefix="0" xfId="8">
      <alignment horizontal="center" vertical="center" shrinkToFit="1"/>
    </xf>
    <xf numFmtId="166" fontId="93" fillId="0" borderId="13" applyAlignment="1" pivotButton="0" quotePrefix="0" xfId="5">
      <alignment horizontal="left" vertical="center"/>
    </xf>
    <xf numFmtId="166" fontId="90" fillId="0" borderId="13" applyAlignment="1" pivotButton="0" quotePrefix="0" xfId="8">
      <alignment horizontal="center" vertical="center" shrinkToFit="1"/>
    </xf>
    <xf numFmtId="10" fontId="93" fillId="0" borderId="13" applyAlignment="1" pivotButton="0" quotePrefix="0" xfId="5">
      <alignment horizontal="left" vertical="center"/>
    </xf>
    <xf numFmtId="0" fontId="24" fillId="0" borderId="14" applyAlignment="1" pivotButton="0" quotePrefix="0" xfId="5">
      <alignment horizontal="left" vertical="center"/>
    </xf>
    <xf numFmtId="0" fontId="23" fillId="0" borderId="14" applyAlignment="1" pivotButton="0" quotePrefix="0" xfId="5">
      <alignment horizontal="center" vertical="center"/>
    </xf>
    <xf numFmtId="0" fontId="24" fillId="0" borderId="15" applyAlignment="1" pivotButton="0" quotePrefix="0" xfId="5">
      <alignment vertical="center"/>
    </xf>
    <xf numFmtId="0" fontId="24" fillId="0" borderId="14" applyAlignment="1" pivotButton="0" quotePrefix="0" xfId="5">
      <alignment horizontal="right" vertical="center"/>
    </xf>
    <xf numFmtId="0" fontId="93" fillId="0" borderId="13" applyAlignment="1" pivotButton="0" quotePrefix="0" xfId="5">
      <alignment horizontal="left" vertical="center"/>
    </xf>
    <xf numFmtId="0" fontId="23" fillId="0" borderId="0" applyAlignment="1" pivotButton="0" quotePrefix="0" xfId="5">
      <alignment horizontal="center" vertical="center"/>
    </xf>
    <xf numFmtId="0" fontId="90" fillId="0" borderId="2" applyAlignment="1" pivotButton="0" quotePrefix="0" xfId="5">
      <alignment horizontal="right" vertical="center"/>
    </xf>
    <xf numFmtId="0" fontId="94" fillId="0" borderId="13" applyAlignment="1" pivotButton="0" quotePrefix="0" xfId="5">
      <alignment vertical="center"/>
    </xf>
    <xf numFmtId="0" fontId="15" fillId="0" borderId="15" applyAlignment="1" pivotButton="0" quotePrefix="0" xfId="5">
      <alignment vertical="center"/>
    </xf>
    <xf numFmtId="0" fontId="24" fillId="0" borderId="0" applyAlignment="1" pivotButton="0" quotePrefix="0" xfId="5">
      <alignment horizontal="center" vertical="center"/>
    </xf>
    <xf numFmtId="0" fontId="90" fillId="0" borderId="0" applyAlignment="1" pivotButton="0" quotePrefix="0" xfId="5">
      <alignment horizontal="right" vertical="center"/>
    </xf>
    <xf numFmtId="10" fontId="90" fillId="0" borderId="0" applyAlignment="1" pivotButton="0" quotePrefix="0" xfId="8">
      <alignment horizontal="center" vertical="center"/>
    </xf>
    <xf numFmtId="0" fontId="94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24" fillId="0" borderId="0" applyAlignment="1" pivotButton="0" quotePrefix="0" xfId="5">
      <alignment vertical="center"/>
    </xf>
    <xf numFmtId="164" fontId="18" fillId="0" borderId="29" applyAlignment="1" pivotButton="0" quotePrefix="0" xfId="5">
      <alignment horizontal="center" vertical="center" shrinkToFit="1"/>
    </xf>
    <xf numFmtId="0" fontId="118" fillId="0" borderId="2" applyAlignment="1" pivotButton="0" quotePrefix="0" xfId="12">
      <alignment vertical="center"/>
    </xf>
    <xf numFmtId="0" fontId="110" fillId="0" borderId="3" applyAlignment="1" pivotButton="0" quotePrefix="0" xfId="5">
      <alignment horizontal="center" vertical="center"/>
    </xf>
    <xf numFmtId="184" fontId="95" fillId="37" borderId="53" applyAlignment="1" pivotButton="0" quotePrefix="0" xfId="5">
      <alignment vertical="center"/>
    </xf>
    <xf numFmtId="164" fontId="45" fillId="0" borderId="29" applyAlignment="1" pivotButton="0" quotePrefix="0" xfId="5">
      <alignment horizontal="center" vertical="center" shrinkToFit="1"/>
    </xf>
    <xf numFmtId="184" fontId="120" fillId="36" borderId="53" applyAlignment="1" pivotButton="0" quotePrefix="0" xfId="5">
      <alignment vertical="center"/>
    </xf>
    <xf numFmtId="164" fontId="25" fillId="0" borderId="14" applyAlignment="1" pivotButton="0" quotePrefix="0" xfId="5">
      <alignment vertical="center"/>
    </xf>
    <xf numFmtId="164" fontId="118" fillId="0" borderId="0" applyAlignment="1" pivotButton="0" quotePrefix="0" xfId="12">
      <alignment vertical="center"/>
    </xf>
    <xf numFmtId="181" fontId="110" fillId="0" borderId="0" applyAlignment="1" pivotButton="0" quotePrefix="0" xfId="5">
      <alignment vertical="center"/>
    </xf>
    <xf numFmtId="172" fontId="20" fillId="0" borderId="35" applyAlignment="1" pivotButton="0" quotePrefix="0" xfId="5">
      <alignment horizontal="center" vertical="center" shrinkToFit="1"/>
    </xf>
    <xf numFmtId="172" fontId="20" fillId="0" borderId="16" applyAlignment="1" pivotButton="0" quotePrefix="0" xfId="5">
      <alignment horizontal="center" vertical="center" shrinkToFit="1"/>
    </xf>
    <xf numFmtId="0" fontId="48" fillId="0" borderId="36" applyAlignment="1" pivotButton="0" quotePrefix="0" xfId="5">
      <alignment vertical="center"/>
    </xf>
    <xf numFmtId="164" fontId="18" fillId="0" borderId="36" applyAlignment="1" pivotButton="0" quotePrefix="0" xfId="5">
      <alignment horizontal="center" vertical="center" shrinkToFit="1"/>
    </xf>
    <xf numFmtId="166" fontId="18" fillId="0" borderId="0" applyAlignment="1" pivotButton="0" quotePrefix="0" xfId="5">
      <alignment horizontal="center" vertical="center"/>
    </xf>
    <xf numFmtId="0" fontId="110" fillId="0" borderId="72" applyAlignment="1" pivotButton="0" quotePrefix="0" xfId="5">
      <alignment horizontal="left" vertical="center"/>
    </xf>
    <xf numFmtId="0" fontId="110" fillId="0" borderId="0" applyAlignment="1" pivotButton="0" quotePrefix="0" xfId="5">
      <alignment horizontal="left" vertical="center"/>
    </xf>
    <xf numFmtId="164" fontId="19" fillId="0" borderId="0" applyAlignment="1" pivotButton="0" quotePrefix="0" xfId="5">
      <alignment horizontal="center" vertical="center" shrinkToFit="1"/>
    </xf>
    <xf numFmtId="164" fontId="21" fillId="0" borderId="0" applyAlignment="1" pivotButton="0" quotePrefix="0" xfId="5">
      <alignment horizontal="center" vertical="center" shrinkToFit="1"/>
    </xf>
    <xf numFmtId="0" fontId="137" fillId="0" borderId="2" applyAlignment="1" pivotButton="0" quotePrefix="0" xfId="5">
      <alignment horizontal="right" vertical="center"/>
    </xf>
    <xf numFmtId="0" fontId="137" fillId="0" borderId="13" applyAlignment="1" pivotButton="0" quotePrefix="0" xfId="5">
      <alignment vertical="center"/>
    </xf>
    <xf numFmtId="0" fontId="23" fillId="0" borderId="0" applyAlignment="1" pivotButton="0" quotePrefix="0" xfId="5">
      <alignment horizontal="left" vertical="center"/>
    </xf>
    <xf numFmtId="0" fontId="24" fillId="0" borderId="0" applyAlignment="1" pivotButton="0" quotePrefix="0" xfId="5">
      <alignment horizontal="left" vertical="center"/>
    </xf>
    <xf numFmtId="182" fontId="23" fillId="38" borderId="0" applyAlignment="1" pivotButton="0" quotePrefix="0" xfId="17">
      <alignment vertical="center"/>
    </xf>
    <xf numFmtId="0" fontId="50" fillId="0" borderId="2" applyAlignment="1" pivotButton="0" quotePrefix="0" xfId="12">
      <alignment vertical="center"/>
    </xf>
    <xf numFmtId="182" fontId="50" fillId="15" borderId="2" applyAlignment="1" pivotButton="0" quotePrefix="0" xfId="17">
      <alignment vertical="center"/>
    </xf>
    <xf numFmtId="0" fontId="139" fillId="2" borderId="2" applyAlignment="1" pivotButton="0" quotePrefix="0" xfId="12">
      <alignment vertical="center"/>
    </xf>
    <xf numFmtId="0" fontId="50" fillId="15" borderId="2" applyAlignment="1" pivotButton="0" quotePrefix="0" xfId="12">
      <alignment horizontal="center" vertical="center"/>
    </xf>
    <xf numFmtId="0" fontId="50" fillId="2" borderId="2" applyAlignment="1" pivotButton="0" quotePrefix="0" xfId="12">
      <alignment vertical="center"/>
    </xf>
    <xf numFmtId="0" fontId="50" fillId="32" borderId="2" applyAlignment="1" pivotButton="0" quotePrefix="0" xfId="12">
      <alignment vertical="center"/>
    </xf>
    <xf numFmtId="0" fontId="50" fillId="32" borderId="2" applyAlignment="1" pivotButton="0" quotePrefix="0" xfId="12">
      <alignment horizontal="center" vertical="center"/>
    </xf>
    <xf numFmtId="3" fontId="50" fillId="0" borderId="2" applyAlignment="1" pivotButton="0" quotePrefix="0" xfId="12">
      <alignment vertical="center"/>
    </xf>
    <xf numFmtId="182" fontId="50" fillId="0" borderId="2" applyAlignment="1" pivotButton="0" quotePrefix="0" xfId="12">
      <alignment vertical="center"/>
    </xf>
    <xf numFmtId="0" fontId="139" fillId="32" borderId="2" applyAlignment="1" pivotButton="0" quotePrefix="0" xfId="12">
      <alignment vertical="center"/>
    </xf>
    <xf numFmtId="0" fontId="50" fillId="2" borderId="2" applyAlignment="1" pivotButton="0" quotePrefix="0" xfId="12">
      <alignment horizontal="right" vertical="center"/>
    </xf>
    <xf numFmtId="3" fontId="50" fillId="2" borderId="2" applyAlignment="1" pivotButton="0" quotePrefix="0" xfId="12">
      <alignment vertical="center"/>
    </xf>
    <xf numFmtId="182" fontId="50" fillId="2" borderId="2" applyAlignment="1" pivotButton="0" quotePrefix="0" xfId="12">
      <alignment vertical="center"/>
    </xf>
    <xf numFmtId="182" fontId="114" fillId="2" borderId="2" applyAlignment="1" pivotButton="0" quotePrefix="0" xfId="12">
      <alignment vertical="center"/>
    </xf>
    <xf numFmtId="182" fontId="50" fillId="32" borderId="2" applyAlignment="1" pivotButton="0" quotePrefix="0" xfId="12">
      <alignment vertical="center"/>
    </xf>
    <xf numFmtId="182" fontId="35" fillId="32" borderId="2" applyAlignment="1" pivotButton="0" quotePrefix="0" xfId="12">
      <alignment vertical="center"/>
    </xf>
    <xf numFmtId="182" fontId="114" fillId="32" borderId="2" applyAlignment="1" pivotButton="0" quotePrefix="0" xfId="12">
      <alignment horizontal="center" vertical="center"/>
    </xf>
    <xf numFmtId="0" fontId="139" fillId="21" borderId="2" applyAlignment="1" pivotButton="0" quotePrefix="0" xfId="12">
      <alignment horizontal="center" vertical="center"/>
    </xf>
    <xf numFmtId="0" fontId="112" fillId="0" borderId="2" applyAlignment="1" pivotButton="0" quotePrefix="0" xfId="12">
      <alignment vertical="center"/>
    </xf>
    <xf numFmtId="182" fontId="139" fillId="21" borderId="2" applyAlignment="1" pivotButton="0" quotePrefix="0" xfId="12">
      <alignment horizontal="center" vertical="center"/>
    </xf>
    <xf numFmtId="10" fontId="93" fillId="0" borderId="13" applyAlignment="1" pivotButton="0" quotePrefix="0" xfId="5">
      <alignment horizontal="left" vertical="center" shrinkToFit="1"/>
    </xf>
    <xf numFmtId="164" fontId="90" fillId="0" borderId="13" applyAlignment="1" pivotButton="0" quotePrefix="0" xfId="7">
      <alignment horizontal="center" vertical="center" shrinkToFit="1"/>
    </xf>
    <xf numFmtId="0" fontId="23" fillId="25" borderId="0" applyAlignment="1" pivotButton="0" quotePrefix="0" xfId="5">
      <alignment horizontal="left" vertical="center"/>
    </xf>
    <xf numFmtId="182" fontId="23" fillId="25" borderId="0" applyAlignment="1" pivotButton="0" quotePrefix="0" xfId="17">
      <alignment horizontal="left" vertical="center"/>
    </xf>
    <xf numFmtId="0" fontId="23" fillId="25" borderId="0" applyAlignment="1" pivotButton="0" quotePrefix="0" xfId="5">
      <alignment horizontal="center" vertical="center"/>
    </xf>
    <xf numFmtId="182" fontId="23" fillId="25" borderId="0" applyAlignment="1" pivotButton="0" quotePrefix="0" xfId="17">
      <alignment horizontal="center" vertical="center"/>
    </xf>
    <xf numFmtId="0" fontId="24" fillId="25" borderId="0" applyAlignment="1" pivotButton="0" quotePrefix="0" xfId="5">
      <alignment horizontal="left" vertical="center"/>
    </xf>
    <xf numFmtId="0" fontId="24" fillId="25" borderId="0" applyAlignment="1" pivotButton="0" quotePrefix="0" xfId="5">
      <alignment vertical="center"/>
    </xf>
    <xf numFmtId="182" fontId="24" fillId="25" borderId="0" applyAlignment="1" pivotButton="0" quotePrefix="0" xfId="17">
      <alignment horizontal="left" vertical="center"/>
    </xf>
    <xf numFmtId="182" fontId="23" fillId="0" borderId="0" applyAlignment="1" pivotButton="0" quotePrefix="0" xfId="17">
      <alignment horizontal="left" vertical="center"/>
    </xf>
    <xf numFmtId="10" fontId="141" fillId="26" borderId="13" applyAlignment="1" pivotButton="0" quotePrefix="0" xfId="5">
      <alignment horizontal="left" vertical="center"/>
    </xf>
    <xf numFmtId="0" fontId="42" fillId="0" borderId="0" applyAlignment="1" pivotButton="0" quotePrefix="0" xfId="5">
      <alignment horizontal="right" vertical="center"/>
    </xf>
    <xf numFmtId="0" fontId="142" fillId="25" borderId="0" applyAlignment="1" pivotButton="0" quotePrefix="0" xfId="12">
      <alignment horizontal="right" vertical="center"/>
    </xf>
    <xf numFmtId="0" fontId="142" fillId="0" borderId="0" applyAlignment="1" pivotButton="0" quotePrefix="0" xfId="12">
      <alignment horizontal="right" vertical="center"/>
    </xf>
    <xf numFmtId="182" fontId="18" fillId="0" borderId="0" applyAlignment="1" pivotButton="0" quotePrefix="0" xfId="5">
      <alignment horizontal="center" vertical="center"/>
    </xf>
    <xf numFmtId="0" fontId="84" fillId="43" borderId="0" applyAlignment="1" pivotButton="0" quotePrefix="0" xfId="5">
      <alignment horizontal="center" vertical="center"/>
    </xf>
    <xf numFmtId="164" fontId="110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center"/>
    </xf>
    <xf numFmtId="164" fontId="18" fillId="35" borderId="31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0" fontId="18" fillId="0" borderId="0" applyAlignment="1" pivotButton="0" quotePrefix="0" xfId="5">
      <alignment vertical="center"/>
    </xf>
    <xf numFmtId="0" fontId="144" fillId="0" borderId="13" applyAlignment="1" pivotButton="0" quotePrefix="0" xfId="5">
      <alignment horizontal="left" vertical="center"/>
    </xf>
    <xf numFmtId="164" fontId="45" fillId="0" borderId="73" applyAlignment="1" pivotButton="0" quotePrefix="0" xfId="5">
      <alignment horizontal="center" vertical="center" shrinkToFit="1"/>
    </xf>
    <xf numFmtId="164" fontId="18" fillId="2" borderId="0" applyAlignment="1" pivotButton="0" quotePrefix="0" xfId="5">
      <alignment horizontal="center" vertical="center" shrinkToFit="1"/>
    </xf>
    <xf numFmtId="0" fontId="143" fillId="0" borderId="0" applyAlignment="1" pivotButton="0" quotePrefix="0" xfId="0">
      <alignment vertical="center"/>
    </xf>
    <xf numFmtId="0" fontId="41" fillId="0" borderId="78" applyAlignment="1" pivotButton="0" quotePrefix="0" xfId="0">
      <alignment horizontal="right" vertical="center"/>
    </xf>
    <xf numFmtId="0" fontId="93" fillId="0" borderId="77" applyAlignment="1" pivotButton="0" quotePrefix="0" xfId="0">
      <alignment horizontal="left" vertical="center"/>
    </xf>
    <xf numFmtId="0" fontId="0" fillId="0" borderId="74" applyAlignment="1" pivotButton="0" quotePrefix="0" xfId="0">
      <alignment vertical="center"/>
    </xf>
    <xf numFmtId="0" fontId="18" fillId="0" borderId="79" applyAlignment="1" pivotButton="0" quotePrefix="0" xfId="0">
      <alignment vertical="center"/>
    </xf>
    <xf numFmtId="167" fontId="90" fillId="0" borderId="77" applyAlignment="1" pivotButton="0" quotePrefix="0" xfId="0">
      <alignment horizontal="center" vertical="center" shrinkToFit="1"/>
    </xf>
    <xf numFmtId="0" fontId="23" fillId="0" borderId="74" applyAlignment="1" pivotButton="0" quotePrefix="0" xfId="0">
      <alignment vertical="center"/>
    </xf>
    <xf numFmtId="0" fontId="23" fillId="0" borderId="79" applyAlignment="1" pivotButton="0" quotePrefix="0" xfId="0">
      <alignment vertical="center"/>
    </xf>
    <xf numFmtId="172" fontId="90" fillId="0" borderId="77" applyAlignment="1" pivotButton="0" quotePrefix="0" xfId="0">
      <alignment horizontal="center" vertical="center" shrinkToFit="1"/>
    </xf>
    <xf numFmtId="0" fontId="93" fillId="0" borderId="77" applyAlignment="1" pivotButton="0" quotePrefix="0" xfId="0">
      <alignment vertical="center"/>
    </xf>
    <xf numFmtId="164" fontId="25" fillId="0" borderId="74" applyAlignment="1" pivotButton="0" quotePrefix="0" xfId="0">
      <alignment vertical="center"/>
    </xf>
    <xf numFmtId="0" fontId="24" fillId="0" borderId="74" applyAlignment="1" pivotButton="0" quotePrefix="0" xfId="0">
      <alignment vertical="center"/>
    </xf>
    <xf numFmtId="166" fontId="90" fillId="0" borderId="77" applyAlignment="1" pivotButton="0" quotePrefix="0" xfId="0">
      <alignment horizontal="center" vertical="center" shrinkToFit="1"/>
    </xf>
    <xf numFmtId="10" fontId="90" fillId="0" borderId="77" applyAlignment="1" pivotButton="0" quotePrefix="0" xfId="0">
      <alignment horizontal="left" vertical="center"/>
    </xf>
    <xf numFmtId="0" fontId="95" fillId="0" borderId="74" applyAlignment="1" pivotButton="0" quotePrefix="0" xfId="0">
      <alignment vertical="center"/>
    </xf>
    <xf numFmtId="0" fontId="8" fillId="0" borderId="78" applyAlignment="1" pivotButton="0" quotePrefix="0" xfId="0">
      <alignment vertical="center"/>
    </xf>
    <xf numFmtId="174" fontId="90" fillId="2" borderId="77" applyAlignment="1" pivotButton="0" quotePrefix="0" xfId="0">
      <alignment horizontal="center" vertical="center" shrinkToFit="1"/>
    </xf>
    <xf numFmtId="166" fontId="93" fillId="0" borderId="77" applyAlignment="1" pivotButton="0" quotePrefix="0" xfId="0">
      <alignment horizontal="left" vertical="center"/>
    </xf>
    <xf numFmtId="0" fontId="24" fillId="0" borderId="74" applyAlignment="1" pivotButton="0" quotePrefix="0" xfId="0">
      <alignment horizontal="left" vertical="center"/>
    </xf>
    <xf numFmtId="0" fontId="23" fillId="0" borderId="74" applyAlignment="1" pivotButton="0" quotePrefix="0" xfId="0">
      <alignment horizontal="center" vertical="center"/>
    </xf>
    <xf numFmtId="0" fontId="24" fillId="0" borderId="79" applyAlignment="1" pivotButton="0" quotePrefix="0" xfId="0">
      <alignment vertical="center"/>
    </xf>
    <xf numFmtId="10" fontId="147" fillId="26" borderId="77" applyAlignment="1" pivotButton="0" quotePrefix="0" xfId="0">
      <alignment horizontal="left" vertical="center"/>
    </xf>
    <xf numFmtId="0" fontId="24" fillId="0" borderId="74" applyAlignment="1" pivotButton="0" quotePrefix="0" xfId="0">
      <alignment horizontal="right" vertical="center"/>
    </xf>
    <xf numFmtId="10" fontId="93" fillId="0" borderId="7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90" fillId="0" borderId="78" applyAlignment="1" pivotButton="0" quotePrefix="0" xfId="0">
      <alignment horizontal="right" vertical="center"/>
    </xf>
    <xf numFmtId="0" fontId="94" fillId="0" borderId="77" applyAlignment="1" pivotButton="0" quotePrefix="0" xfId="0">
      <alignment vertical="center"/>
    </xf>
    <xf numFmtId="0" fontId="15" fillId="0" borderId="79" applyAlignment="1" pivotButton="0" quotePrefix="0" xfId="0">
      <alignment vertical="center"/>
    </xf>
    <xf numFmtId="183" fontId="47" fillId="0" borderId="81" applyAlignment="1" pivotButton="0" quotePrefix="0" xfId="0">
      <alignment horizontal="right" vertical="center"/>
    </xf>
    <xf numFmtId="0" fontId="48" fillId="0" borderId="82" applyAlignment="1" pivotButton="0" quotePrefix="0" xfId="0">
      <alignment vertical="center"/>
    </xf>
    <xf numFmtId="0" fontId="48" fillId="0" borderId="83" applyAlignment="1" pivotButton="0" quotePrefix="0" xfId="0">
      <alignment vertical="center"/>
    </xf>
    <xf numFmtId="0" fontId="35" fillId="2" borderId="83" applyAlignment="1" pivotButton="0" quotePrefix="0" xfId="0">
      <alignment vertical="center"/>
    </xf>
    <xf numFmtId="0" fontId="0" fillId="0" borderId="83" applyAlignment="1" pivotButton="0" quotePrefix="0" xfId="0">
      <alignment vertical="center"/>
    </xf>
    <xf numFmtId="0" fontId="0" fillId="46" borderId="83" applyAlignment="1" pivotButton="0" quotePrefix="0" xfId="0">
      <alignment horizontal="center" vertical="center"/>
    </xf>
    <xf numFmtId="0" fontId="0" fillId="0" borderId="84" applyAlignment="1" pivotButton="0" quotePrefix="0" xfId="0">
      <alignment vertical="center"/>
    </xf>
    <xf numFmtId="0" fontId="18" fillId="0" borderId="85" applyAlignment="1" pivotButton="0" quotePrefix="0" xfId="0">
      <alignment horizontal="right" vertical="center"/>
    </xf>
    <xf numFmtId="0" fontId="18" fillId="0" borderId="80" applyAlignment="1" pivotButton="0" quotePrefix="0" xfId="0">
      <alignment horizontal="center" vertical="center"/>
    </xf>
    <xf numFmtId="0" fontId="119" fillId="0" borderId="0" applyAlignment="1" pivotButton="0" quotePrefix="0" xfId="0">
      <alignment horizontal="center" vertical="center"/>
    </xf>
    <xf numFmtId="0" fontId="18" fillId="0" borderId="86" applyAlignment="1" pivotButton="0" quotePrefix="0" xfId="0">
      <alignment horizontal="center" vertical="center"/>
    </xf>
    <xf numFmtId="184" fontId="152" fillId="0" borderId="87" applyAlignment="1" pivotButton="0" quotePrefix="0" xfId="0">
      <alignment horizontal="right" vertical="center"/>
    </xf>
    <xf numFmtId="164" fontId="18" fillId="0" borderId="88" applyAlignment="1" pivotButton="0" quotePrefix="0" xfId="0">
      <alignment horizontal="center" vertical="center" shrinkToFit="1"/>
    </xf>
    <xf numFmtId="164" fontId="18" fillId="0" borderId="89" applyAlignment="1" pivotButton="0" quotePrefix="0" xfId="0">
      <alignment horizontal="center" vertical="center" shrinkToFit="1"/>
    </xf>
    <xf numFmtId="184" fontId="95" fillId="47" borderId="81" applyAlignment="1" pivotButton="0" quotePrefix="0" xfId="0">
      <alignment vertical="center"/>
    </xf>
    <xf numFmtId="164" fontId="18" fillId="0" borderId="82" applyAlignment="1" pivotButton="0" quotePrefix="0" xfId="0">
      <alignment horizontal="center" vertical="center" shrinkToFit="1"/>
    </xf>
    <xf numFmtId="164" fontId="18" fillId="0" borderId="83" applyAlignment="1" pivotButton="0" quotePrefix="0" xfId="0">
      <alignment horizontal="center" vertical="center" shrinkToFit="1"/>
    </xf>
    <xf numFmtId="164" fontId="18" fillId="0" borderId="84" applyAlignment="1" pivotButton="0" quotePrefix="0" xfId="0">
      <alignment horizontal="center" vertical="center" shrinkToFit="1"/>
    </xf>
    <xf numFmtId="184" fontId="95" fillId="47" borderId="87" applyAlignment="1" pivotButton="0" quotePrefix="0" xfId="0">
      <alignment vertical="center"/>
    </xf>
    <xf numFmtId="164" fontId="18" fillId="0" borderId="90" applyAlignment="1" pivotButton="0" quotePrefix="0" xfId="0">
      <alignment horizontal="center" vertical="center" shrinkToFit="1"/>
    </xf>
    <xf numFmtId="184" fontId="120" fillId="3" borderId="81" applyAlignment="1" pivotButton="0" quotePrefix="0" xfId="0">
      <alignment vertical="center"/>
    </xf>
    <xf numFmtId="184" fontId="120" fillId="3" borderId="85" applyAlignment="1" pivotButton="0" quotePrefix="0" xfId="0">
      <alignment vertical="center"/>
    </xf>
    <xf numFmtId="164" fontId="18" fillId="0" borderId="80" applyAlignment="1" pivotButton="0" quotePrefix="0" xfId="0">
      <alignment horizontal="center" vertical="center" shrinkToFit="1"/>
    </xf>
    <xf numFmtId="0" fontId="0" fillId="0" borderId="80" applyAlignment="1" pivotButton="0" quotePrefix="0" xfId="0">
      <alignment horizontal="left" vertical="center"/>
    </xf>
    <xf numFmtId="184" fontId="95" fillId="3" borderId="85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84" fontId="95" fillId="0" borderId="81" applyAlignment="1" pivotButton="0" quotePrefix="0" xfId="0">
      <alignment horizontal="right" vertical="center"/>
    </xf>
    <xf numFmtId="164" fontId="45" fillId="0" borderId="82" applyAlignment="1" pivotButton="0" quotePrefix="0" xfId="0">
      <alignment horizontal="center" vertical="center" shrinkToFit="1"/>
    </xf>
    <xf numFmtId="164" fontId="45" fillId="0" borderId="83" applyAlignment="1" pivotButton="0" quotePrefix="0" xfId="0">
      <alignment horizontal="center" vertical="center" shrinkToFit="1"/>
    </xf>
    <xf numFmtId="164" fontId="18" fillId="0" borderId="74" applyAlignment="1" pivotButton="0" quotePrefix="0" xfId="0">
      <alignment horizontal="center" vertical="center" shrinkToFit="1"/>
    </xf>
    <xf numFmtId="164" fontId="18" fillId="48" borderId="74" applyAlignment="1" pivotButton="0" quotePrefix="0" xfId="0">
      <alignment horizontal="center" vertical="center" shrinkToFit="1"/>
    </xf>
    <xf numFmtId="184" fontId="95" fillId="0" borderId="85" applyAlignment="1" pivotButton="0" quotePrefix="0" xfId="0">
      <alignment horizontal="right" vertical="center"/>
    </xf>
    <xf numFmtId="164" fontId="45" fillId="0" borderId="80" applyAlignment="1" pivotButton="0" quotePrefix="0" xfId="0">
      <alignment horizontal="center" vertical="center" shrinkToFit="1"/>
    </xf>
    <xf numFmtId="164" fontId="45" fillId="0" borderId="91" applyAlignment="1" pivotButton="0" quotePrefix="0" xfId="0">
      <alignment horizontal="center" vertical="center" shrinkToFit="1"/>
    </xf>
    <xf numFmtId="164" fontId="18" fillId="29" borderId="0" applyAlignment="1" pivotButton="0" quotePrefix="0" xfId="0">
      <alignment horizontal="center" vertical="center"/>
    </xf>
    <xf numFmtId="172" fontId="45" fillId="0" borderId="0" applyAlignment="1" pivotButton="0" quotePrefix="0" xfId="0">
      <alignment horizontal="center" vertical="center" shrinkToFit="1"/>
    </xf>
    <xf numFmtId="172" fontId="45" fillId="48" borderId="0" applyAlignment="1" pivotButton="0" quotePrefix="0" xfId="0">
      <alignment horizontal="center" vertical="center" shrinkToFit="1"/>
    </xf>
    <xf numFmtId="164" fontId="45" fillId="0" borderId="0" applyAlignment="1" pivotButton="0" quotePrefix="0" xfId="0">
      <alignment horizontal="center" vertical="center" shrinkToFit="1"/>
    </xf>
    <xf numFmtId="184" fontId="14" fillId="0" borderId="87" applyAlignment="1" pivotButton="0" quotePrefix="0" xfId="0">
      <alignment horizontal="right" vertical="center"/>
    </xf>
    <xf numFmtId="164" fontId="20" fillId="0" borderId="90" applyAlignment="1" pivotButton="0" quotePrefix="0" xfId="0">
      <alignment horizontal="center" vertical="center" shrinkToFit="1"/>
    </xf>
    <xf numFmtId="164" fontId="20" fillId="0" borderId="88" applyAlignment="1" pivotButton="0" quotePrefix="0" xfId="0">
      <alignment horizontal="center" vertical="center" shrinkToFit="1"/>
    </xf>
    <xf numFmtId="0" fontId="22" fillId="0" borderId="87" applyAlignment="1" pivotButton="0" quotePrefix="0" xfId="0">
      <alignment horizontal="right" vertical="center"/>
    </xf>
    <xf numFmtId="164" fontId="21" fillId="0" borderId="90" applyAlignment="1" pivotButton="0" quotePrefix="0" xfId="0">
      <alignment horizontal="center" vertical="center" shrinkToFit="1"/>
    </xf>
    <xf numFmtId="172" fontId="20" fillId="25" borderId="92" applyAlignment="1" pivotButton="0" quotePrefix="0" xfId="0">
      <alignment horizontal="center" vertical="center" shrinkToFit="1"/>
    </xf>
    <xf numFmtId="172" fontId="22" fillId="0" borderId="88" applyAlignment="1" pivotButton="0" quotePrefix="0" xfId="0">
      <alignment horizontal="center" vertical="center" shrinkToFit="1"/>
    </xf>
    <xf numFmtId="172" fontId="20" fillId="0" borderId="89" applyAlignment="1" pivotButton="0" quotePrefix="0" xfId="0">
      <alignment horizontal="center" vertical="center" shrinkToFit="1"/>
    </xf>
    <xf numFmtId="185" fontId="8" fillId="0" borderId="0" applyAlignment="1" pivotButton="0" quotePrefix="0" xfId="0">
      <alignment vertical="center"/>
    </xf>
    <xf numFmtId="186" fontId="90" fillId="0" borderId="77" applyAlignment="1" pivotButton="0" quotePrefix="0" xfId="0">
      <alignment horizontal="center" vertical="center" shrinkToFit="1"/>
    </xf>
    <xf numFmtId="0" fontId="93" fillId="2" borderId="77" applyAlignment="1" pivotButton="0" quotePrefix="0" xfId="0">
      <alignment horizontal="left" vertical="center"/>
    </xf>
    <xf numFmtId="0" fontId="122" fillId="0" borderId="0" applyAlignment="1" pivotButton="0" quotePrefix="0" xfId="0">
      <alignment vertical="center"/>
    </xf>
    <xf numFmtId="182" fontId="0" fillId="0" borderId="0" applyAlignment="1" pivotButton="0" quotePrefix="0" xfId="0">
      <alignment vertical="center"/>
    </xf>
    <xf numFmtId="0" fontId="123" fillId="0" borderId="77" applyAlignment="1" pivotButton="0" quotePrefix="0" xfId="0">
      <alignment vertical="center"/>
    </xf>
    <xf numFmtId="0" fontId="123" fillId="18" borderId="78" applyAlignment="1" pivotButton="0" quotePrefix="0" xfId="0">
      <alignment vertical="center"/>
    </xf>
    <xf numFmtId="0" fontId="124" fillId="26" borderId="78" applyAlignment="1" pivotButton="0" quotePrefix="0" xfId="0">
      <alignment vertical="center" wrapText="1"/>
    </xf>
    <xf numFmtId="0" fontId="148" fillId="0" borderId="78" applyAlignment="1" pivotButton="0" quotePrefix="0" xfId="0">
      <alignment vertical="center"/>
    </xf>
    <xf numFmtId="0" fontId="132" fillId="0" borderId="78" applyAlignment="1" pivotButton="0" quotePrefix="0" xfId="0">
      <alignment horizontal="right" vertical="center"/>
    </xf>
    <xf numFmtId="0" fontId="134" fillId="0" borderId="77" applyAlignment="1" pivotButton="0" quotePrefix="0" xfId="0">
      <alignment vertical="center"/>
    </xf>
    <xf numFmtId="0" fontId="135" fillId="0" borderId="74" applyAlignment="1" pivotButton="0" quotePrefix="0" xfId="0">
      <alignment vertical="center"/>
    </xf>
    <xf numFmtId="0" fontId="135" fillId="0" borderId="79" applyAlignment="1" pivotButton="0" quotePrefix="0" xfId="0">
      <alignment vertical="center"/>
    </xf>
    <xf numFmtId="0" fontId="126" fillId="0" borderId="0" applyAlignment="1" pivotButton="0" quotePrefix="0" xfId="0">
      <alignment vertical="center"/>
    </xf>
    <xf numFmtId="10" fontId="127" fillId="0" borderId="0" applyAlignment="1" pivotButton="0" quotePrefix="0" xfId="0">
      <alignment vertical="center"/>
    </xf>
    <xf numFmtId="10" fontId="93" fillId="26" borderId="77" applyAlignment="1" pivotButton="0" quotePrefix="0" xfId="0">
      <alignment horizontal="left" vertical="center"/>
    </xf>
    <xf numFmtId="0" fontId="128" fillId="0" borderId="78" applyAlignment="1" pivotButton="0" quotePrefix="0" xfId="0">
      <alignment horizontal="center" vertical="center"/>
    </xf>
    <xf numFmtId="0" fontId="128" fillId="0" borderId="78" applyAlignment="1" pivotButton="0" quotePrefix="0" xfId="0">
      <alignment horizontal="center" vertical="center" wrapText="1"/>
    </xf>
    <xf numFmtId="0" fontId="128" fillId="26" borderId="78" applyAlignment="1" pivotButton="0" quotePrefix="0" xfId="0">
      <alignment horizontal="center" vertical="center"/>
    </xf>
    <xf numFmtId="0" fontId="128" fillId="0" borderId="78" applyAlignment="1" pivotButton="0" quotePrefix="0" xfId="0">
      <alignment vertical="center"/>
    </xf>
    <xf numFmtId="172" fontId="8" fillId="0" borderId="78" applyAlignment="1" pivotButton="0" quotePrefix="0" xfId="0">
      <alignment vertical="center"/>
    </xf>
    <xf numFmtId="10" fontId="8" fillId="0" borderId="78" applyAlignment="1" pivotButton="0" quotePrefix="0" xfId="0">
      <alignment vertical="center"/>
    </xf>
    <xf numFmtId="166" fontId="8" fillId="0" borderId="78" applyAlignment="1" pivotButton="0" quotePrefix="0" xfId="0">
      <alignment vertical="center"/>
    </xf>
    <xf numFmtId="164" fontId="8" fillId="0" borderId="78" applyAlignment="1" pivotButton="0" quotePrefix="0" xfId="0">
      <alignment vertical="center"/>
    </xf>
    <xf numFmtId="0" fontId="120" fillId="0" borderId="85" applyAlignment="1" pivotButton="0" quotePrefix="0" xfId="0">
      <alignment vertical="center"/>
    </xf>
    <xf numFmtId="164" fontId="19" fillId="0" borderId="80" applyAlignment="1" pivotButton="0" quotePrefix="0" xfId="0">
      <alignment horizontal="center" vertical="center" shrinkToFit="1"/>
    </xf>
    <xf numFmtId="164" fontId="19" fillId="0" borderId="0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 shrinkToFit="1"/>
    </xf>
    <xf numFmtId="164" fontId="120" fillId="0" borderId="86" applyAlignment="1" pivotButton="0" quotePrefix="0" xfId="0">
      <alignment horizontal="center" vertical="center" shrinkToFit="1"/>
    </xf>
    <xf numFmtId="184" fontId="120" fillId="0" borderId="85" applyAlignment="1" pivotButton="0" quotePrefix="0" xfId="0">
      <alignment vertical="center"/>
    </xf>
    <xf numFmtId="164" fontId="0" fillId="0" borderId="80" applyAlignment="1" pivotButton="0" quotePrefix="0" xfId="0">
      <alignment horizontal="center" vertical="center" shrinkToFit="1"/>
    </xf>
    <xf numFmtId="164" fontId="0" fillId="0" borderId="86" applyAlignment="1" pivotButton="0" quotePrefix="0" xfId="0">
      <alignment horizontal="center" vertical="center" shrinkToFit="1"/>
    </xf>
    <xf numFmtId="0" fontId="121" fillId="0" borderId="93" applyAlignment="1" pivotButton="0" quotePrefix="0" xfId="0">
      <alignment vertical="center"/>
    </xf>
    <xf numFmtId="164" fontId="21" fillId="0" borderId="94" applyAlignment="1" pivotButton="0" quotePrefix="0" xfId="0">
      <alignment horizontal="center" vertical="center" shrinkToFit="1"/>
    </xf>
    <xf numFmtId="164" fontId="21" fillId="0" borderId="95" applyAlignment="1" pivotButton="0" quotePrefix="0" xfId="0">
      <alignment horizontal="center" vertical="center" shrinkToFit="1"/>
    </xf>
    <xf numFmtId="164" fontId="21" fillId="0" borderId="96" applyAlignment="1" pivotButton="0" quotePrefix="0" xfId="0">
      <alignment horizontal="center" vertical="center" shrinkToFit="1"/>
    </xf>
    <xf numFmtId="0" fontId="20" fillId="0" borderId="85" applyAlignment="1" pivotButton="0" quotePrefix="0" xfId="0">
      <alignment vertical="center"/>
    </xf>
    <xf numFmtId="164" fontId="21" fillId="0" borderId="80" applyAlignment="1" pivotButton="0" quotePrefix="0" xfId="0">
      <alignment horizontal="center" vertical="center" shrinkToFit="1"/>
    </xf>
    <xf numFmtId="172" fontId="20" fillId="0" borderId="86" applyAlignment="1" pivotButton="0" quotePrefix="0" xfId="0">
      <alignment horizontal="center" vertical="center" shrinkToFit="1"/>
    </xf>
    <xf numFmtId="172" fontId="20" fillId="0" borderId="92" applyAlignment="1" pivotButton="0" quotePrefix="0" xfId="0">
      <alignment horizontal="center" vertical="center" shrinkToFit="1"/>
    </xf>
    <xf numFmtId="164" fontId="18" fillId="0" borderId="97" applyAlignment="1" pivotButton="0" quotePrefix="0" xfId="0">
      <alignment horizontal="center" vertical="center" shrinkToFit="1"/>
    </xf>
    <xf numFmtId="164" fontId="18" fillId="0" borderId="98" applyAlignment="1" pivotButton="0" quotePrefix="0" xfId="0">
      <alignment horizontal="center" vertical="center" shrinkToFit="1"/>
    </xf>
    <xf numFmtId="164" fontId="18" fillId="0" borderId="3" applyAlignment="1" pivotButton="0" quotePrefix="0" xfId="0">
      <alignment horizontal="center" vertical="center" shrinkToFit="1"/>
    </xf>
    <xf numFmtId="164" fontId="45" fillId="0" borderId="98" applyAlignment="1" pivotButton="0" quotePrefix="0" xfId="0">
      <alignment horizontal="center" vertical="center" shrinkToFit="1"/>
    </xf>
    <xf numFmtId="164" fontId="18" fillId="0" borderId="99" applyAlignment="1" pivotButton="0" quotePrefix="0" xfId="0">
      <alignment horizontal="center" vertical="center" shrinkToFit="1"/>
    </xf>
    <xf numFmtId="164" fontId="45" fillId="0" borderId="100" applyAlignment="1" pivotButton="0" quotePrefix="0" xfId="0">
      <alignment horizontal="center" vertical="center" shrinkToFit="1"/>
    </xf>
    <xf numFmtId="0" fontId="118" fillId="8" borderId="0" applyAlignment="1" pivotButton="0" quotePrefix="0" xfId="12">
      <alignment horizontal="left" vertical="center"/>
    </xf>
    <xf numFmtId="10" fontId="90" fillId="0" borderId="13" applyAlignment="1" pivotButton="0" quotePrefix="0" xfId="5">
      <alignment horizontal="center" vertical="center" shrinkToFit="1"/>
    </xf>
    <xf numFmtId="165" fontId="119" fillId="0" borderId="13" applyAlignment="1" pivotButton="0" quotePrefix="0" xfId="5">
      <alignment horizontal="center" vertical="center" shrinkToFit="1"/>
    </xf>
    <xf numFmtId="0" fontId="36" fillId="0" borderId="2" applyAlignment="1" pivotButton="0" quotePrefix="0" xfId="5">
      <alignment horizontal="right" vertical="center"/>
    </xf>
    <xf numFmtId="166" fontId="138" fillId="0" borderId="13" applyAlignment="1" pivotButton="0" quotePrefix="0" xfId="5">
      <alignment horizontal="center" vertical="center" shrinkToFit="1"/>
    </xf>
    <xf numFmtId="10" fontId="90" fillId="2" borderId="13" applyAlignment="1" pivotButton="0" quotePrefix="0" xfId="8">
      <alignment horizontal="center" vertical="center"/>
    </xf>
    <xf numFmtId="166" fontId="133" fillId="0" borderId="77" applyAlignment="1" pivotButton="0" quotePrefix="0" xfId="0">
      <alignment horizontal="center" vertical="center" shrinkToFit="1"/>
    </xf>
    <xf numFmtId="10" fontId="90" fillId="0" borderId="77" applyAlignment="1" pivotButton="0" quotePrefix="0" xfId="0">
      <alignment horizontal="center" vertical="center" shrinkToFit="1"/>
    </xf>
    <xf numFmtId="165" fontId="119" fillId="0" borderId="77" applyAlignment="1" pivotButton="0" quotePrefix="0" xfId="0">
      <alignment horizontal="center" vertical="center" shrinkToFit="1"/>
    </xf>
    <xf numFmtId="0" fontId="36" fillId="0" borderId="78" applyAlignment="1" pivotButton="0" quotePrefix="0" xfId="0">
      <alignment horizontal="right" vertical="center"/>
    </xf>
    <xf numFmtId="10" fontId="136" fillId="2" borderId="0" applyAlignment="1" pivotButton="0" quotePrefix="0" xfId="0">
      <alignment vertical="center"/>
    </xf>
    <xf numFmtId="1" fontId="156" fillId="0" borderId="0" applyAlignment="1" pivotButton="0" quotePrefix="0" xfId="12">
      <alignment vertical="center"/>
    </xf>
    <xf numFmtId="182" fontId="156" fillId="0" borderId="0" applyAlignment="1" pivotButton="0" quotePrefix="0" xfId="17">
      <alignment vertical="center"/>
    </xf>
    <xf numFmtId="166" fontId="8" fillId="2" borderId="0" applyAlignment="1" pivotButton="0" quotePrefix="0" xfId="0">
      <alignment vertical="center"/>
    </xf>
    <xf numFmtId="10" fontId="90" fillId="2" borderId="77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 wrapText="1"/>
    </xf>
    <xf numFmtId="49" fontId="157" fillId="0" borderId="2" applyAlignment="1" pivotButton="0" quotePrefix="0" xfId="0">
      <alignment horizontal="center" vertical="center"/>
    </xf>
    <xf numFmtId="0" fontId="15" fillId="30" borderId="2" applyAlignment="1" pivotButton="0" quotePrefix="0" xfId="0">
      <alignment horizontal="center" vertical="center"/>
    </xf>
    <xf numFmtId="0" fontId="158" fillId="0" borderId="2" applyAlignment="1" pivotButton="0" quotePrefix="0" xfId="0">
      <alignment vertical="center"/>
    </xf>
    <xf numFmtId="10" fontId="116" fillId="0" borderId="0" applyAlignment="1" pivotButton="0" quotePrefix="0" xfId="0">
      <alignment vertical="center"/>
    </xf>
    <xf numFmtId="187" fontId="15" fillId="0" borderId="0" applyAlignment="1" pivotButton="0" quotePrefix="0" xfId="0">
      <alignment horizontal="left" vertical="center"/>
    </xf>
    <xf numFmtId="0" fontId="0" fillId="0" borderId="78" applyAlignment="1" pivotButton="0" quotePrefix="0" xfId="0">
      <alignment vertical="center"/>
    </xf>
    <xf numFmtId="0" fontId="39" fillId="0" borderId="45" applyAlignment="1" pivotButton="0" quotePrefix="0" xfId="0">
      <alignment horizontal="center" vertical="center"/>
    </xf>
    <xf numFmtId="0" fontId="35" fillId="30" borderId="42" applyAlignment="1" pivotButton="0" quotePrefix="0" xfId="0">
      <alignment horizontal="center" vertical="center"/>
    </xf>
    <xf numFmtId="177" fontId="35" fillId="0" borderId="44" applyAlignment="1" pivotButton="0" quotePrefix="0" xfId="0">
      <alignment horizontal="center" vertical="center"/>
    </xf>
    <xf numFmtId="177" fontId="35" fillId="22" borderId="5" applyAlignment="1" pivotButton="0" quotePrefix="0" xfId="0">
      <alignment horizontal="center" vertical="center"/>
    </xf>
    <xf numFmtId="0" fontId="35" fillId="22" borderId="102" applyAlignment="1" pivotButton="0" quotePrefix="0" xfId="0">
      <alignment horizontal="center" vertical="center"/>
    </xf>
    <xf numFmtId="177" fontId="35" fillId="29" borderId="104" applyAlignment="1" pivotButton="0" quotePrefix="0" xfId="0">
      <alignment horizontal="center" vertical="center"/>
    </xf>
    <xf numFmtId="0" fontId="31" fillId="0" borderId="88" applyAlignment="1" pivotButton="0" quotePrefix="0" xfId="0">
      <alignment vertical="center"/>
    </xf>
    <xf numFmtId="0" fontId="35" fillId="0" borderId="88" applyAlignment="1" pivotButton="0" quotePrefix="0" xfId="0">
      <alignment vertical="center"/>
    </xf>
    <xf numFmtId="164" fontId="12" fillId="0" borderId="78" pivotButton="0" quotePrefix="0" xfId="3"/>
    <xf numFmtId="164" fontId="12" fillId="0" borderId="102" pivotButton="0" quotePrefix="0" xfId="3"/>
    <xf numFmtId="0" fontId="11" fillId="0" borderId="85" applyAlignment="1" pivotButton="0" quotePrefix="0" xfId="0">
      <alignment horizontal="center" vertical="top"/>
    </xf>
    <xf numFmtId="0" fontId="15" fillId="7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188" fontId="12" fillId="0" borderId="15" pivotButton="0" quotePrefix="0" xfId="3"/>
    <xf numFmtId="0" fontId="15" fillId="0" borderId="78" applyAlignment="1" pivotButton="0" quotePrefix="0" xfId="0">
      <alignment vertical="center"/>
    </xf>
    <xf numFmtId="3" fontId="15" fillId="0" borderId="78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5" fillId="0" borderId="78" applyAlignment="1" pivotButton="0" quotePrefix="0" xfId="0">
      <alignment vertical="center" wrapText="1"/>
    </xf>
    <xf numFmtId="0" fontId="0" fillId="2" borderId="78" applyAlignment="1" pivotButton="0" quotePrefix="0" xfId="0">
      <alignment vertical="center"/>
    </xf>
    <xf numFmtId="1" fontId="15" fillId="0" borderId="2" applyAlignment="1" pivotButton="0" quotePrefix="0" xfId="0">
      <alignment horizontal="center" vertical="center" shrinkToFit="1"/>
    </xf>
    <xf numFmtId="0" fontId="105" fillId="0" borderId="78" applyAlignment="1" pivotButton="0" quotePrefix="0" xfId="0">
      <alignment vertical="center"/>
    </xf>
    <xf numFmtId="0" fontId="15" fillId="31" borderId="2" applyAlignment="1" pivotButton="0" quotePrefix="0" xfId="0">
      <alignment horizontal="center" vertical="center" shrinkToFit="1"/>
    </xf>
    <xf numFmtId="164" fontId="15" fillId="0" borderId="78" applyAlignment="1" pivotButton="0" quotePrefix="0" xfId="5">
      <alignment horizontal="center" vertical="center"/>
    </xf>
    <xf numFmtId="189" fontId="107" fillId="0" borderId="13" applyAlignment="1" applyProtection="1" pivotButton="0" quotePrefix="0" xfId="0">
      <alignment horizontal="left" vertical="center"/>
      <protection locked="0" hidden="0"/>
    </xf>
    <xf numFmtId="190" fontId="107" fillId="0" borderId="13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vertical="center" wrapText="1"/>
    </xf>
    <xf numFmtId="0" fontId="36" fillId="0" borderId="78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165" fillId="50" borderId="78" applyAlignment="1" pivotButton="0" quotePrefix="0" xfId="36">
      <alignment vertical="center"/>
    </xf>
    <xf numFmtId="0" fontId="0" fillId="29" borderId="78" applyAlignment="1" pivotButton="0" quotePrefix="0" xfId="0">
      <alignment horizontal="left" vertical="center"/>
    </xf>
    <xf numFmtId="166" fontId="166" fillId="0" borderId="109" pivotButton="0" quotePrefix="0" xfId="72"/>
    <xf numFmtId="188" fontId="95" fillId="0" borderId="15" pivotButton="0" quotePrefix="0" xfId="3"/>
    <xf numFmtId="0" fontId="105" fillId="51" borderId="0" applyAlignment="1" pivotButton="0" quotePrefix="0" xfId="0">
      <alignment vertical="center"/>
    </xf>
    <xf numFmtId="164" fontId="12" fillId="0" borderId="2" pivotButton="0" quotePrefix="0" xfId="3"/>
    <xf numFmtId="0" fontId="8" fillId="0" borderId="6" applyAlignment="1" pivotButton="0" quotePrefix="0" xfId="0">
      <alignment vertical="center"/>
    </xf>
    <xf numFmtId="164" fontId="12" fillId="0" borderId="13" pivotButton="0" quotePrefix="0" xfId="3"/>
    <xf numFmtId="164" fontId="30" fillId="8" borderId="2" applyAlignment="1" pivotButton="0" quotePrefix="0" xfId="0">
      <alignment vertical="center"/>
    </xf>
    <xf numFmtId="164" fontId="12" fillId="0" borderId="14" pivotButton="0" quotePrefix="0" xfId="3"/>
    <xf numFmtId="164" fontId="12" fillId="0" borderId="15" pivotButton="0" quotePrefix="0" xfId="3"/>
    <xf numFmtId="172" fontId="30" fillId="4" borderId="2" applyAlignment="1" pivotButton="0" quotePrefix="0" xfId="0">
      <alignment vertical="center"/>
    </xf>
    <xf numFmtId="0" fontId="8" fillId="0" borderId="2" applyAlignment="1" pivotButton="0" quotePrefix="0" xfId="0">
      <alignment horizontal="center"/>
    </xf>
    <xf numFmtId="164" fontId="30" fillId="0" borderId="2" applyAlignment="1" pivotButton="0" quotePrefix="0" xfId="0">
      <alignment vertical="center"/>
    </xf>
    <xf numFmtId="0" fontId="11" fillId="0" borderId="10" applyAlignment="1" pivotButton="0" quotePrefix="0" xfId="0">
      <alignment horizontal="center" vertical="top"/>
    </xf>
    <xf numFmtId="164" fontId="12" fillId="0" borderId="6" pivotButton="0" quotePrefix="0" xfId="3"/>
    <xf numFmtId="172" fontId="30" fillId="21" borderId="2" applyAlignment="1" pivotButton="0" quotePrefix="0" xfId="0">
      <alignment vertical="center"/>
    </xf>
    <xf numFmtId="164" fontId="30" fillId="0" borderId="78" applyAlignment="1" pivotButton="0" quotePrefix="0" xfId="0">
      <alignment vertical="center"/>
    </xf>
    <xf numFmtId="172" fontId="30" fillId="4" borderId="79" applyAlignment="1" pivotButton="0" quotePrefix="0" xfId="0">
      <alignment vertical="center"/>
    </xf>
    <xf numFmtId="172" fontId="30" fillId="21" borderId="78" applyAlignment="1" pivotButton="0" quotePrefix="0" xfId="0">
      <alignment vertical="center"/>
    </xf>
    <xf numFmtId="0" fontId="8" fillId="0" borderId="78" applyAlignment="1" pivotButton="0" quotePrefix="0" xfId="0">
      <alignment horizontal="center"/>
    </xf>
    <xf numFmtId="164" fontId="12" fillId="0" borderId="74" pivotButton="0" quotePrefix="0" xfId="3"/>
    <xf numFmtId="164" fontId="12" fillId="0" borderId="77" pivotButton="0" quotePrefix="0" xfId="3"/>
    <xf numFmtId="0" fontId="8" fillId="0" borderId="102" applyAlignment="1" pivotButton="0" quotePrefix="0" xfId="0">
      <alignment vertical="center"/>
    </xf>
    <xf numFmtId="164" fontId="30" fillId="2" borderId="78" applyAlignment="1" pivotButton="0" quotePrefix="0" xfId="0">
      <alignment vertical="center"/>
    </xf>
    <xf numFmtId="0" fontId="12" fillId="2" borderId="78" applyAlignment="1" pivotButton="0" quotePrefix="0" xfId="0">
      <alignment horizontal="center"/>
    </xf>
    <xf numFmtId="0" fontId="0" fillId="17" borderId="2" applyAlignment="1" pivotButton="0" quotePrefix="0" xfId="0">
      <alignment vertical="center"/>
    </xf>
    <xf numFmtId="0" fontId="88" fillId="0" borderId="101" applyAlignment="1" pivotButton="0" quotePrefix="0" xfId="0">
      <alignment horizontal="right" vertical="top"/>
    </xf>
    <xf numFmtId="0" fontId="166" fillId="0" borderId="109" applyAlignment="1" pivotButton="0" quotePrefix="0" xfId="72">
      <alignment horizontal="center"/>
    </xf>
    <xf numFmtId="0" fontId="166" fillId="0" borderId="109" applyAlignment="1" pivotButton="0" quotePrefix="0" xfId="72">
      <alignment horizontal="center" vertical="center"/>
    </xf>
    <xf numFmtId="0" fontId="166" fillId="0" borderId="109" applyAlignment="1" pivotButton="0" quotePrefix="0" xfId="72">
      <alignment horizontal="left"/>
    </xf>
    <xf numFmtId="0" fontId="30" fillId="0" borderId="0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/>
    </xf>
    <xf numFmtId="0" fontId="11" fillId="0" borderId="9" applyAlignment="1" pivotButton="0" quotePrefix="0" xfId="0">
      <alignment horizontal="center" vertical="top"/>
    </xf>
    <xf numFmtId="164" fontId="12" fillId="0" borderId="0" applyAlignment="1" pivotButton="0" quotePrefix="0" xfId="0">
      <alignment horizontal="center" vertical="center"/>
    </xf>
    <xf numFmtId="181" fontId="12" fillId="0" borderId="0" applyAlignment="1" pivotButton="0" quotePrefix="0" xfId="0">
      <alignment horizontal="center"/>
    </xf>
    <xf numFmtId="164" fontId="12" fillId="0" borderId="69" applyAlignment="1" pivotButton="0" quotePrefix="0" xfId="0">
      <alignment horizontal="center" vertical="center"/>
    </xf>
    <xf numFmtId="166" fontId="166" fillId="0" borderId="109" applyAlignment="1" pivotButton="0" quotePrefix="0" xfId="72">
      <alignment horizontal="center" vertical="center"/>
    </xf>
    <xf numFmtId="164" fontId="12" fillId="0" borderId="109" pivotButton="0" quotePrefix="0" xfId="3"/>
    <xf numFmtId="0" fontId="8" fillId="0" borderId="110" applyAlignment="1" pivotButton="0" quotePrefix="0" xfId="0">
      <alignment vertical="center"/>
    </xf>
    <xf numFmtId="164" fontId="12" fillId="0" borderId="111" pivotButton="0" quotePrefix="0" xfId="3"/>
    <xf numFmtId="164" fontId="12" fillId="0" borderId="105" pivotButton="0" quotePrefix="0" xfId="3"/>
    <xf numFmtId="164" fontId="12" fillId="0" borderId="106" pivotButton="0" quotePrefix="0" xfId="3"/>
    <xf numFmtId="0" fontId="166" fillId="0" borderId="109" pivotButton="0" quotePrefix="0" xfId="72"/>
    <xf numFmtId="0" fontId="0" fillId="0" borderId="109" applyAlignment="1" pivotButton="0" quotePrefix="0" xfId="0">
      <alignment vertical="center"/>
    </xf>
    <xf numFmtId="0" fontId="15" fillId="0" borderId="109" applyAlignment="1" pivotButton="0" quotePrefix="0" xfId="0">
      <alignment horizontal="center" vertical="center"/>
    </xf>
    <xf numFmtId="0" fontId="15" fillId="0" borderId="109" applyAlignment="1" pivotButton="0" quotePrefix="0" xfId="0">
      <alignment vertical="center"/>
    </xf>
    <xf numFmtId="49" fontId="15" fillId="0" borderId="109" applyAlignment="1" pivotButton="0" quotePrefix="0" xfId="0">
      <alignment horizontal="center" vertical="center"/>
    </xf>
    <xf numFmtId="3" fontId="15" fillId="0" borderId="109" applyAlignment="1" pivotButton="0" quotePrefix="0" xfId="0">
      <alignment horizontal="center" vertical="center"/>
    </xf>
    <xf numFmtId="0" fontId="0" fillId="0" borderId="109" applyAlignment="1" pivotButton="0" quotePrefix="0" xfId="0">
      <alignment horizontal="center" vertical="center"/>
    </xf>
    <xf numFmtId="3" fontId="15" fillId="0" borderId="109" applyAlignment="1" pivotButton="0" quotePrefix="0" xfId="0">
      <alignment vertical="center"/>
    </xf>
    <xf numFmtId="0" fontId="15" fillId="14" borderId="0" applyAlignment="1" pivotButton="0" quotePrefix="0" xfId="0">
      <alignment vertical="center"/>
    </xf>
    <xf numFmtId="0" fontId="0" fillId="30" borderId="0" applyAlignment="1" pivotButton="0" quotePrefix="0" xfId="0">
      <alignment vertical="center"/>
    </xf>
    <xf numFmtId="0" fontId="166" fillId="0" borderId="0" pivotButton="0" quotePrefix="0" xfId="72"/>
    <xf numFmtId="0" fontId="166" fillId="0" borderId="109" applyAlignment="1" pivotButton="0" quotePrefix="0" xfId="72">
      <alignment horizontal="left" vertical="center" wrapText="1"/>
    </xf>
    <xf numFmtId="0" fontId="170" fillId="0" borderId="0" applyAlignment="1" pivotButton="0" quotePrefix="0" xfId="72">
      <alignment vertical="center" wrapText="1"/>
    </xf>
    <xf numFmtId="0" fontId="171" fillId="0" borderId="0" applyAlignment="1" pivotButton="0" quotePrefix="0" xfId="72">
      <alignment vertical="center" wrapText="1"/>
    </xf>
    <xf numFmtId="0" fontId="172" fillId="0" borderId="0" applyAlignment="1" pivotButton="0" quotePrefix="0" xfId="72">
      <alignment vertical="center" wrapText="1"/>
    </xf>
    <xf numFmtId="0" fontId="166" fillId="0" borderId="0" applyAlignment="1" pivotButton="0" quotePrefix="0" xfId="72">
      <alignment horizontal="center"/>
    </xf>
    <xf numFmtId="0" fontId="166" fillId="0" borderId="0" applyAlignment="1" pivotButton="0" quotePrefix="0" xfId="72">
      <alignment horizontal="center" vertical="center"/>
    </xf>
    <xf numFmtId="0" fontId="166" fillId="0" borderId="0" applyAlignment="1" pivotButton="0" quotePrefix="0" xfId="72">
      <alignment vertical="center"/>
    </xf>
    <xf numFmtId="0" fontId="166" fillId="0" borderId="109" applyAlignment="1" pivotButton="0" quotePrefix="0" xfId="72">
      <alignment vertical="center" wrapText="1"/>
    </xf>
    <xf numFmtId="0" fontId="166" fillId="0" borderId="109" applyAlignment="1" pivotButton="0" quotePrefix="0" xfId="72">
      <alignment vertical="center"/>
    </xf>
    <xf numFmtId="0" fontId="169" fillId="0" borderId="0" applyAlignment="1" pivotButton="0" quotePrefix="0" xfId="72">
      <alignment vertical="center" wrapText="1"/>
    </xf>
    <xf numFmtId="0" fontId="166" fillId="0" borderId="109" applyAlignment="1" pivotButton="0" quotePrefix="0" xfId="72">
      <alignment horizontal="right" vertical="center"/>
    </xf>
    <xf numFmtId="0" fontId="166" fillId="0" borderId="109" applyAlignment="1" pivotButton="0" quotePrefix="0" xfId="72">
      <alignment horizontal="left" vertical="center"/>
    </xf>
    <xf numFmtId="0" fontId="168" fillId="0" borderId="109" applyAlignment="1" pivotButton="0" quotePrefix="0" xfId="72">
      <alignment horizontal="left" vertical="center" wrapText="1"/>
    </xf>
    <xf numFmtId="3" fontId="0" fillId="0" borderId="109" applyAlignment="1" pivotButton="0" quotePrefix="0" xfId="0">
      <alignment vertical="center"/>
    </xf>
    <xf numFmtId="0" fontId="15" fillId="0" borderId="76" applyAlignment="1" pivotButton="0" quotePrefix="0" xfId="0">
      <alignment horizontal="center" vertical="center"/>
    </xf>
    <xf numFmtId="187" fontId="15" fillId="0" borderId="0" applyAlignment="1" pivotButton="0" quotePrefix="0" xfId="0">
      <alignment horizontal="center" vertical="center"/>
    </xf>
    <xf numFmtId="0" fontId="15" fillId="0" borderId="109" applyAlignment="1" pivotButton="0" quotePrefix="1" xfId="0">
      <alignment horizontal="left" vertical="center"/>
    </xf>
    <xf numFmtId="0" fontId="15" fillId="0" borderId="0" applyAlignment="1" pivotButton="0" quotePrefix="1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9" fontId="15" fillId="0" borderId="0" applyAlignment="1" pivotButton="0" quotePrefix="0" xfId="0">
      <alignment horizontal="center" vertical="center"/>
    </xf>
    <xf numFmtId="0" fontId="15" fillId="0" borderId="111" applyAlignment="1" pivotButton="0" quotePrefix="0" xfId="0">
      <alignment vertical="center"/>
    </xf>
    <xf numFmtId="0" fontId="15" fillId="0" borderId="72" applyAlignment="1" pivotButton="0" quotePrefix="0" xfId="0">
      <alignment vertical="center"/>
    </xf>
    <xf numFmtId="0" fontId="15" fillId="0" borderId="72" applyAlignment="1" pivotButton="0" quotePrefix="0" xfId="0">
      <alignment horizontal="center" vertical="center"/>
    </xf>
    <xf numFmtId="0" fontId="15" fillId="0" borderId="109" applyAlignment="1" pivotButton="0" quotePrefix="0" xfId="0">
      <alignment horizontal="left" vertical="center"/>
    </xf>
    <xf numFmtId="0" fontId="174" fillId="0" borderId="0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 wrapText="1"/>
    </xf>
    <xf numFmtId="0" fontId="105" fillId="0" borderId="0" applyAlignment="1" pivotButton="0" quotePrefix="0" xfId="0">
      <alignment vertical="center"/>
    </xf>
    <xf numFmtId="3" fontId="15" fillId="0" borderId="106" applyAlignment="1" pivotButton="0" quotePrefix="0" xfId="0">
      <alignment horizontal="center" vertical="center"/>
    </xf>
    <xf numFmtId="0" fontId="105" fillId="0" borderId="0" applyAlignment="1" pivotButton="0" quotePrefix="0" xfId="0">
      <alignment horizontal="left" vertical="center"/>
    </xf>
    <xf numFmtId="0" fontId="15" fillId="29" borderId="2" applyAlignment="1" pivotButton="0" quotePrefix="0" xfId="0">
      <alignment horizontal="center" vertical="center"/>
    </xf>
    <xf numFmtId="3" fontId="15" fillId="29" borderId="2" applyAlignment="1" pivotButton="0" quotePrefix="0" xfId="0">
      <alignment horizontal="center" vertical="center"/>
    </xf>
    <xf numFmtId="0" fontId="15" fillId="29" borderId="2" applyAlignment="1" pivotButton="0" quotePrefix="0" xfId="0">
      <alignment vertical="center"/>
    </xf>
    <xf numFmtId="0" fontId="15" fillId="29" borderId="2" applyAlignment="1" pivotButton="0" quotePrefix="1" xfId="0">
      <alignment horizontal="left" vertical="center"/>
    </xf>
    <xf numFmtId="0" fontId="15" fillId="29" borderId="0" applyAlignment="1" pivotButton="0" quotePrefix="0" xfId="0">
      <alignment vertical="center"/>
    </xf>
    <xf numFmtId="0" fontId="15" fillId="29" borderId="109" applyAlignment="1" pivotButton="0" quotePrefix="0" xfId="0">
      <alignment horizontal="center" vertical="center"/>
    </xf>
    <xf numFmtId="3" fontId="15" fillId="29" borderId="109" applyAlignment="1" pivotButton="0" quotePrefix="0" xfId="0">
      <alignment horizontal="center" vertical="center"/>
    </xf>
    <xf numFmtId="0" fontId="15" fillId="29" borderId="109" applyAlignment="1" pivotButton="0" quotePrefix="0" xfId="0">
      <alignment vertical="center"/>
    </xf>
    <xf numFmtId="0" fontId="15" fillId="29" borderId="109" applyAlignment="1" pivotButton="0" quotePrefix="1" xfId="0">
      <alignment horizontal="left" vertical="center"/>
    </xf>
    <xf numFmtId="3" fontId="105" fillId="29" borderId="109" applyAlignment="1" pivotButton="0" quotePrefix="0" xfId="0">
      <alignment horizontal="center" vertical="center"/>
    </xf>
    <xf numFmtId="0" fontId="15" fillId="29" borderId="109" applyAlignment="1" pivotButton="0" quotePrefix="0" xfId="0">
      <alignment horizontal="left" vertical="center"/>
    </xf>
    <xf numFmtId="3" fontId="15" fillId="29" borderId="0" applyAlignment="1" pivotButton="0" quotePrefix="0" xfId="0">
      <alignment horizontal="center" vertical="center"/>
    </xf>
    <xf numFmtId="0" fontId="15" fillId="15" borderId="109" applyAlignment="1" pivotButton="0" quotePrefix="0" xfId="0">
      <alignment horizontal="center" vertical="center"/>
    </xf>
    <xf numFmtId="3" fontId="15" fillId="15" borderId="109" applyAlignment="1" pivotButton="0" quotePrefix="0" xfId="0">
      <alignment horizontal="center" vertical="center"/>
    </xf>
    <xf numFmtId="0" fontId="15" fillId="15" borderId="109" applyAlignment="1" pivotButton="0" quotePrefix="0" xfId="0">
      <alignment vertical="center"/>
    </xf>
    <xf numFmtId="0" fontId="15" fillId="15" borderId="109" applyAlignment="1" pivotButton="0" quotePrefix="1" xfId="0">
      <alignment horizontal="left" vertical="center"/>
    </xf>
    <xf numFmtId="9" fontId="15" fillId="15" borderId="0" applyAlignment="1" pivotButton="0" quotePrefix="0" xfId="0">
      <alignment horizontal="center" vertical="center"/>
    </xf>
    <xf numFmtId="0" fontId="15" fillId="15" borderId="0" applyAlignment="1" pivotButton="0" quotePrefix="0" xfId="0">
      <alignment vertical="center"/>
    </xf>
    <xf numFmtId="3" fontId="105" fillId="15" borderId="109" applyAlignment="1" pivotButton="0" quotePrefix="0" xfId="0">
      <alignment horizontal="center" vertical="center"/>
    </xf>
    <xf numFmtId="3" fontId="15" fillId="0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5" fillId="0" borderId="18" applyAlignment="1" pivotButton="0" quotePrefix="0" xfId="0">
      <alignment vertical="center"/>
    </xf>
    <xf numFmtId="0" fontId="15" fillId="0" borderId="18" applyAlignment="1" pivotButton="0" quotePrefix="1" xfId="0">
      <alignment horizontal="left" vertical="center"/>
    </xf>
    <xf numFmtId="0" fontId="15" fillId="0" borderId="113" applyAlignment="1" pivotButton="0" quotePrefix="0" xfId="0">
      <alignment horizontal="center" vertical="center"/>
    </xf>
    <xf numFmtId="3" fontId="15" fillId="0" borderId="113" applyAlignment="1" pivotButton="0" quotePrefix="0" xfId="0">
      <alignment horizontal="center" vertical="center"/>
    </xf>
    <xf numFmtId="0" fontId="15" fillId="0" borderId="113" applyAlignment="1" pivotButton="0" quotePrefix="0" xfId="0">
      <alignment vertical="center"/>
    </xf>
    <xf numFmtId="0" fontId="15" fillId="0" borderId="113" applyAlignment="1" pivotButton="0" quotePrefix="1" xfId="0">
      <alignment horizontal="left" vertical="center"/>
    </xf>
    <xf numFmtId="0" fontId="15" fillId="0" borderId="4" applyAlignment="1" pivotButton="0" quotePrefix="0" xfId="0">
      <alignment horizontal="center" vertical="center"/>
    </xf>
    <xf numFmtId="3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center"/>
    </xf>
    <xf numFmtId="0" fontId="15" fillId="0" borderId="4" applyAlignment="1" pivotButton="0" quotePrefix="1" xfId="0">
      <alignment horizontal="left" vertical="center"/>
    </xf>
    <xf numFmtId="0" fontId="15" fillId="0" borderId="113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6" fillId="0" borderId="111" applyAlignment="1" pivotButton="0" quotePrefix="0" xfId="72">
      <alignment horizontal="center" vertical="center"/>
    </xf>
    <xf numFmtId="0" fontId="166" fillId="0" borderId="112" applyAlignment="1" pivotButton="0" quotePrefix="0" xfId="72">
      <alignment horizontal="center" vertical="center"/>
    </xf>
    <xf numFmtId="9" fontId="176" fillId="0" borderId="0" applyAlignment="1" pivotButton="0" quotePrefix="0" xfId="0">
      <alignment horizontal="center" vertical="center"/>
    </xf>
    <xf numFmtId="0" fontId="105" fillId="0" borderId="2" applyAlignment="1" pivotButton="0" quotePrefix="0" xfId="0">
      <alignment horizontal="center" vertical="center"/>
    </xf>
    <xf numFmtId="0" fontId="177" fillId="0" borderId="0" applyAlignment="1" pivotButton="0" quotePrefix="0" xfId="0">
      <alignment vertical="center"/>
    </xf>
    <xf numFmtId="166" fontId="166" fillId="0" borderId="0" pivotButton="0" quotePrefix="0" xfId="72"/>
    <xf numFmtId="3" fontId="105" fillId="0" borderId="109" applyAlignment="1" pivotButton="0" quotePrefix="0" xfId="0">
      <alignment horizontal="center" vertical="center"/>
    </xf>
    <xf numFmtId="0" fontId="15" fillId="6" borderId="0" applyAlignment="1" pivotButton="0" quotePrefix="0" xfId="0">
      <alignment vertical="center"/>
    </xf>
    <xf numFmtId="0" fontId="15" fillId="0" borderId="114" applyAlignment="1" pivotButton="0" quotePrefix="0" xfId="0">
      <alignment vertical="center"/>
    </xf>
    <xf numFmtId="0" fontId="15" fillId="0" borderId="75" applyAlignment="1" pivotButton="0" quotePrefix="0" xfId="0">
      <alignment vertical="center"/>
    </xf>
    <xf numFmtId="0" fontId="15" fillId="0" borderId="115" applyAlignment="1" pivotButton="0" quotePrefix="0" xfId="0">
      <alignment vertical="center"/>
    </xf>
    <xf numFmtId="0" fontId="15" fillId="0" borderId="69" applyAlignment="1" pivotButton="0" quotePrefix="0" xfId="0">
      <alignment vertical="center"/>
    </xf>
    <xf numFmtId="0" fontId="105" fillId="0" borderId="72" applyAlignment="1" pivotButton="0" quotePrefix="0" xfId="0">
      <alignment horizontal="left" vertical="center"/>
    </xf>
    <xf numFmtId="0" fontId="15" fillId="0" borderId="72" applyAlignment="1" pivotButton="0" quotePrefix="0" xfId="0">
      <alignment horizontal="left" vertical="center"/>
    </xf>
    <xf numFmtId="0" fontId="15" fillId="0" borderId="72" applyAlignment="1" pivotButton="0" quotePrefix="0" xfId="0">
      <alignment vertical="center" wrapText="1"/>
    </xf>
    <xf numFmtId="0" fontId="15" fillId="0" borderId="22" applyAlignment="1" pivotButton="0" quotePrefix="0" xfId="0">
      <alignment vertical="center"/>
    </xf>
    <xf numFmtId="0" fontId="15" fillId="0" borderId="76" applyAlignment="1" pivotButton="0" quotePrefix="0" xfId="0">
      <alignment vertical="center"/>
    </xf>
    <xf numFmtId="0" fontId="15" fillId="0" borderId="20" applyAlignment="1" pivotButton="0" quotePrefix="0" xfId="0">
      <alignment vertical="center"/>
    </xf>
    <xf numFmtId="0" fontId="178" fillId="0" borderId="2" applyAlignment="1" pivotButton="0" quotePrefix="0" xfId="0">
      <alignment vertical="center"/>
    </xf>
    <xf numFmtId="0" fontId="15" fillId="32" borderId="0" applyAlignment="1" pivotButton="0" quotePrefix="0" xfId="0">
      <alignment vertical="center"/>
    </xf>
    <xf numFmtId="0" fontId="15" fillId="52" borderId="0" applyAlignment="1" pivotButton="0" quotePrefix="0" xfId="0">
      <alignment vertical="center"/>
    </xf>
    <xf numFmtId="0" fontId="15" fillId="28" borderId="0" applyAlignment="1" pivotButton="0" quotePrefix="0" xfId="0">
      <alignment vertical="center"/>
    </xf>
    <xf numFmtId="0" fontId="15" fillId="53" borderId="0" applyAlignment="1" pivotButton="0" quotePrefix="0" xfId="0">
      <alignment vertical="center"/>
    </xf>
    <xf numFmtId="0" fontId="15" fillId="54" borderId="0" applyAlignment="1" pivotButton="0" quotePrefix="0" xfId="0">
      <alignment vertical="center"/>
    </xf>
    <xf numFmtId="0" fontId="105" fillId="26" borderId="0" applyAlignment="1" pivotButton="0" quotePrefix="0" xfId="0">
      <alignment vertical="center"/>
    </xf>
    <xf numFmtId="191" fontId="15" fillId="0" borderId="109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3" fontId="15" fillId="26" borderId="2" applyAlignment="1" pivotButton="0" quotePrefix="0" xfId="0">
      <alignment horizontal="center" vertical="center"/>
    </xf>
    <xf numFmtId="0" fontId="15" fillId="26" borderId="2" applyAlignment="1" pivotButton="0" quotePrefix="0" xfId="0">
      <alignment vertical="center"/>
    </xf>
    <xf numFmtId="0" fontId="15" fillId="26" borderId="2" applyAlignment="1" pivotButton="0" quotePrefix="1" xfId="0">
      <alignment horizontal="left" vertical="center"/>
    </xf>
    <xf numFmtId="0" fontId="15" fillId="26" borderId="0" applyAlignment="1" pivotButton="0" quotePrefix="0" xfId="0">
      <alignment vertical="center"/>
    </xf>
    <xf numFmtId="0" fontId="15" fillId="26" borderId="109" applyAlignment="1" pivotButton="0" quotePrefix="0" xfId="0">
      <alignment horizontal="center" vertical="center"/>
    </xf>
    <xf numFmtId="0" fontId="15" fillId="26" borderId="109" applyAlignment="1" pivotButton="0" quotePrefix="0" xfId="0">
      <alignment vertical="center"/>
    </xf>
    <xf numFmtId="3" fontId="15" fillId="26" borderId="109" applyAlignment="1" pivotButton="0" quotePrefix="0" xfId="0">
      <alignment horizontal="center" vertical="center"/>
    </xf>
    <xf numFmtId="0" fontId="15" fillId="26" borderId="113" applyAlignment="1" pivotButton="0" quotePrefix="0" xfId="0">
      <alignment horizontal="center" vertical="center"/>
    </xf>
    <xf numFmtId="3" fontId="15" fillId="26" borderId="113" applyAlignment="1" pivotButton="0" quotePrefix="0" xfId="0">
      <alignment horizontal="center" vertical="center"/>
    </xf>
    <xf numFmtId="0" fontId="15" fillId="26" borderId="113" applyAlignment="1" pivotButton="0" quotePrefix="0" xfId="0">
      <alignment vertical="center"/>
    </xf>
    <xf numFmtId="0" fontId="15" fillId="26" borderId="113" applyAlignment="1" pivotButton="0" quotePrefix="1" xfId="0">
      <alignment horizontal="left" vertical="center"/>
    </xf>
    <xf numFmtId="0" fontId="15" fillId="26" borderId="4" applyAlignment="1" pivotButton="0" quotePrefix="0" xfId="0">
      <alignment horizontal="center" vertical="center"/>
    </xf>
    <xf numFmtId="3" fontId="15" fillId="26" borderId="4" applyAlignment="1" pivotButton="0" quotePrefix="0" xfId="0">
      <alignment horizontal="center" vertical="center"/>
    </xf>
    <xf numFmtId="0" fontId="15" fillId="26" borderId="4" applyAlignment="1" pivotButton="0" quotePrefix="0" xfId="0">
      <alignment vertical="center"/>
    </xf>
    <xf numFmtId="0" fontId="15" fillId="26" borderId="18" applyAlignment="1" pivotButton="0" quotePrefix="1" xfId="0">
      <alignment horizontal="left" vertical="center"/>
    </xf>
    <xf numFmtId="0" fontId="15" fillId="26" borderId="18" applyAlignment="1" pivotButton="0" quotePrefix="0" xfId="0">
      <alignment horizontal="center" vertical="center"/>
    </xf>
    <xf numFmtId="3" fontId="15" fillId="26" borderId="18" applyAlignment="1" pivotButton="0" quotePrefix="0" xfId="0">
      <alignment horizontal="center" vertical="center"/>
    </xf>
    <xf numFmtId="0" fontId="15" fillId="26" borderId="18" applyAlignment="1" pivotButton="0" quotePrefix="0" xfId="0">
      <alignment vertical="center"/>
    </xf>
    <xf numFmtId="9" fontId="176" fillId="26" borderId="0" applyAlignment="1" pivotButton="0" quotePrefix="0" xfId="0">
      <alignment horizontal="center" vertical="center"/>
    </xf>
    <xf numFmtId="0" fontId="15" fillId="26" borderId="109" applyAlignment="1" pivotButton="0" quotePrefix="0" xfId="0">
      <alignment horizontal="left" vertical="center"/>
    </xf>
    <xf numFmtId="0" fontId="15" fillId="26" borderId="113" applyAlignment="1" pivotButton="0" quotePrefix="0" xfId="0">
      <alignment horizontal="left" vertical="center"/>
    </xf>
    <xf numFmtId="0" fontId="15" fillId="26" borderId="18" applyAlignment="1" pivotButton="0" quotePrefix="0" xfId="0">
      <alignment horizontal="left" vertical="center"/>
    </xf>
    <xf numFmtId="0" fontId="15" fillId="0" borderId="109" applyAlignment="1" pivotButton="0" quotePrefix="0" xfId="0">
      <alignment vertical="center" wrapText="1"/>
    </xf>
    <xf numFmtId="0" fontId="36" fillId="0" borderId="5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6" fillId="0" borderId="0" applyAlignment="1" pivotButton="0" quotePrefix="0" xfId="0">
      <alignment wrapText="1"/>
    </xf>
    <xf numFmtId="166" fontId="36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20" applyAlignment="1" pivotButton="0" quotePrefix="0" xfId="0">
      <alignment vertical="center"/>
    </xf>
    <xf numFmtId="0" fontId="0" fillId="0" borderId="121" applyAlignment="1" pivotButton="0" quotePrefix="0" xfId="0">
      <alignment vertical="center"/>
    </xf>
    <xf numFmtId="0" fontId="180" fillId="0" borderId="32" applyAlignment="1" pivotButton="0" quotePrefix="0" xfId="0">
      <alignment horizontal="center" vertical="center"/>
    </xf>
    <xf numFmtId="0" fontId="180" fillId="0" borderId="16" applyAlignment="1" pivotButton="0" quotePrefix="0" xfId="0">
      <alignment vertical="center"/>
    </xf>
    <xf numFmtId="0" fontId="0" fillId="0" borderId="119" applyAlignment="1" pivotButton="0" quotePrefix="0" xfId="0">
      <alignment vertical="center"/>
    </xf>
    <xf numFmtId="0" fontId="0" fillId="30" borderId="124" applyAlignment="1" pivotButton="0" quotePrefix="0" xfId="0">
      <alignment vertical="center"/>
    </xf>
    <xf numFmtId="0" fontId="0" fillId="0" borderId="125" applyAlignment="1" pivotButton="0" quotePrefix="0" xfId="0">
      <alignment vertical="center"/>
    </xf>
    <xf numFmtId="0" fontId="0" fillId="0" borderId="126" applyAlignment="1" pivotButton="0" quotePrefix="0" xfId="0">
      <alignment vertical="center"/>
    </xf>
    <xf numFmtId="0" fontId="0" fillId="22" borderId="45" applyAlignment="1" pivotButton="0" quotePrefix="0" xfId="0">
      <alignment vertical="center"/>
    </xf>
    <xf numFmtId="10" fontId="181" fillId="55" borderId="45" applyAlignment="1" pivotButton="0" quotePrefix="0" xfId="2">
      <alignment vertical="center"/>
    </xf>
    <xf numFmtId="0" fontId="36" fillId="0" borderId="127" applyAlignment="1" pivotButton="0" quotePrefix="0" xfId="0">
      <alignment horizontal="center" vertical="center" wrapText="1"/>
    </xf>
    <xf numFmtId="0" fontId="36" fillId="0" borderId="82" applyAlignment="1" pivotButton="0" quotePrefix="0" xfId="0">
      <alignment horizontal="center" vertical="center"/>
    </xf>
    <xf numFmtId="0" fontId="36" fillId="0" borderId="82" applyAlignment="1" pivotButton="0" quotePrefix="0" xfId="0">
      <alignment horizontal="center" vertical="center" wrapText="1"/>
    </xf>
    <xf numFmtId="166" fontId="48" fillId="30" borderId="42" applyAlignment="1" pivotButton="0" quotePrefix="0" xfId="0">
      <alignment horizontal="center" vertical="center"/>
    </xf>
    <xf numFmtId="166" fontId="48" fillId="30" borderId="43" applyAlignment="1" pivotButton="0" quotePrefix="0" xfId="0">
      <alignment horizontal="center" vertical="center"/>
    </xf>
    <xf numFmtId="166" fontId="48" fillId="30" borderId="44" applyAlignment="1" pivotButton="0" quotePrefix="0" xfId="0">
      <alignment horizontal="center" vertical="center"/>
    </xf>
    <xf numFmtId="166" fontId="48" fillId="0" borderId="128" applyAlignment="1" pivotButton="0" quotePrefix="0" xfId="0">
      <alignment horizontal="center" vertical="center"/>
    </xf>
    <xf numFmtId="0" fontId="183" fillId="0" borderId="123" applyAlignment="1" pivotButton="0" quotePrefix="0" xfId="0">
      <alignment horizontal="right" wrapText="1"/>
    </xf>
    <xf numFmtId="0" fontId="0" fillId="26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188" fontId="12" fillId="0" borderId="15" applyAlignment="1" pivotButton="0" quotePrefix="0" xfId="3">
      <alignment horizontal="right"/>
    </xf>
    <xf numFmtId="164" fontId="75" fillId="0" borderId="14" pivotButton="0" quotePrefix="0" xfId="3"/>
    <xf numFmtId="192" fontId="10" fillId="0" borderId="0" applyAlignment="1" pivotButton="0" quotePrefix="0" xfId="1">
      <alignment vertical="center"/>
    </xf>
    <xf numFmtId="193" fontId="10" fillId="49" borderId="2" applyAlignment="1" pivotButton="0" quotePrefix="0" xfId="1">
      <alignment vertical="center"/>
    </xf>
    <xf numFmtId="164" fontId="163" fillId="49" borderId="2" applyAlignment="1" pivotButton="0" quotePrefix="0" xfId="34">
      <alignment vertical="center"/>
    </xf>
    <xf numFmtId="0" fontId="163" fillId="49" borderId="2" applyAlignment="1" pivotButton="0" quotePrefix="0" xfId="34">
      <alignment horizontal="center"/>
    </xf>
    <xf numFmtId="0" fontId="163" fillId="49" borderId="2" applyAlignment="1" pivotButton="0" quotePrefix="0" xfId="34">
      <alignment horizontal="center" vertical="center"/>
    </xf>
    <xf numFmtId="164" fontId="163" fillId="49" borderId="15" pivotButton="0" quotePrefix="0" xfId="34"/>
    <xf numFmtId="164" fontId="186" fillId="49" borderId="15" applyAlignment="1" pivotButton="0" quotePrefix="0" xfId="34">
      <alignment wrapText="1"/>
    </xf>
    <xf numFmtId="164" fontId="185" fillId="0" borderId="14" applyAlignment="1" pivotButton="0" quotePrefix="0" xfId="3">
      <alignment vertical="center"/>
    </xf>
    <xf numFmtId="194" fontId="163" fillId="49" borderId="2" applyAlignment="1" pivotButton="0" quotePrefix="0" xfId="34">
      <alignment horizontal="center"/>
    </xf>
    <xf numFmtId="186" fontId="163" fillId="49" borderId="15" pivotButton="0" quotePrefix="0" xfId="34"/>
    <xf numFmtId="164" fontId="163" fillId="49" borderId="14" applyAlignment="1" pivotButton="0" quotePrefix="0" xfId="34">
      <alignment horizontal="center"/>
    </xf>
    <xf numFmtId="195" fontId="163" fillId="49" borderId="15" applyAlignment="1" pivotButton="0" quotePrefix="0" xfId="34">
      <alignment horizontal="center"/>
    </xf>
    <xf numFmtId="164" fontId="163" fillId="49" borderId="118" pivotButton="0" quotePrefix="0" xfId="34"/>
    <xf numFmtId="0" fontId="0" fillId="0" borderId="78" applyAlignment="1" pivotButton="0" quotePrefix="0" xfId="0">
      <alignment horizontal="center" vertical="center"/>
    </xf>
    <xf numFmtId="0" fontId="0" fillId="0" borderId="117" applyAlignment="1" pivotButton="0" quotePrefix="0" xfId="0">
      <alignment horizontal="center" vertical="center"/>
    </xf>
    <xf numFmtId="0" fontId="0" fillId="2" borderId="117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/>
    </xf>
    <xf numFmtId="0" fontId="0" fillId="0" borderId="117" applyAlignment="1" pivotButton="0" quotePrefix="0" xfId="0">
      <alignment vertical="center"/>
    </xf>
    <xf numFmtId="0" fontId="0" fillId="32" borderId="78" applyAlignment="1" pivotButton="0" quotePrefix="0" xfId="0">
      <alignment horizontal="center" vertical="center"/>
    </xf>
    <xf numFmtId="0" fontId="0" fillId="32" borderId="117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106" fillId="32" borderId="78" applyAlignment="1" pivotButton="0" quotePrefix="0" xfId="0">
      <alignment horizontal="center" vertical="center"/>
    </xf>
    <xf numFmtId="173" fontId="163" fillId="49" borderId="2" applyAlignment="1" pivotButton="0" quotePrefix="0" xfId="34">
      <alignment horizontal="center"/>
    </xf>
    <xf numFmtId="1" fontId="0" fillId="0" borderId="117" applyAlignment="1" pivotButton="0" quotePrefix="0" xfId="0">
      <alignment horizontal="center" vertical="center"/>
    </xf>
    <xf numFmtId="1" fontId="163" fillId="49" borderId="117" applyAlignment="1" pivotButton="0" quotePrefix="0" xfId="34">
      <alignment horizontal="center" vertical="center"/>
    </xf>
    <xf numFmtId="0" fontId="15" fillId="31" borderId="0" applyAlignment="1" pivotButton="0" quotePrefix="0" xfId="0">
      <alignment vertical="center"/>
    </xf>
    <xf numFmtId="0" fontId="15" fillId="27" borderId="0" applyAlignment="1" pivotButton="0" quotePrefix="0" xfId="0">
      <alignment vertical="center"/>
    </xf>
    <xf numFmtId="0" fontId="110" fillId="0" borderId="0" applyAlignment="1" pivotButton="0" quotePrefix="0" xfId="0">
      <alignment horizontal="center"/>
    </xf>
    <xf numFmtId="185" fontId="21" fillId="0" borderId="0" applyAlignment="1" pivotButton="0" quotePrefix="0" xfId="0">
      <alignment horizontal="center"/>
    </xf>
    <xf numFmtId="185" fontId="110" fillId="0" borderId="0" applyAlignment="1" pivotButton="0" quotePrefix="0" xfId="0">
      <alignment horizontal="center"/>
    </xf>
    <xf numFmtId="185" fontId="189" fillId="0" borderId="0" applyAlignment="1" pivotButton="0" quotePrefix="0" xfId="0">
      <alignment horizontal="center"/>
    </xf>
    <xf numFmtId="185" fontId="28" fillId="0" borderId="0" applyAlignment="1" pivotButton="0" quotePrefix="0" xfId="0">
      <alignment horizontal="center"/>
    </xf>
    <xf numFmtId="185" fontId="110" fillId="0" borderId="116" applyAlignment="1" pivotButton="0" quotePrefix="0" xfId="0">
      <alignment horizontal="center" vertical="center"/>
    </xf>
    <xf numFmtId="185" fontId="110" fillId="0" borderId="117" applyAlignment="1" pivotButton="0" quotePrefix="0" xfId="0">
      <alignment horizontal="center" vertical="center"/>
    </xf>
    <xf numFmtId="194" fontId="110" fillId="0" borderId="117" applyAlignment="1" pivotButton="0" quotePrefix="0" xfId="0">
      <alignment horizontal="center"/>
    </xf>
    <xf numFmtId="0" fontId="28" fillId="0" borderId="117" applyAlignment="1" pivotButton="0" quotePrefix="1" xfId="0">
      <alignment horizontal="center"/>
    </xf>
    <xf numFmtId="0" fontId="110" fillId="0" borderId="117" applyAlignment="1" pivotButton="0" quotePrefix="0" xfId="0">
      <alignment horizontal="center"/>
    </xf>
    <xf numFmtId="185" fontId="28" fillId="0" borderId="18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/>
    </xf>
    <xf numFmtId="0" fontId="28" fillId="0" borderId="117" applyAlignment="1" pivotButton="0" quotePrefix="0" xfId="0">
      <alignment horizontal="center"/>
    </xf>
    <xf numFmtId="185" fontId="28" fillId="0" borderId="117" applyAlignment="1" pivotButton="0" quotePrefix="0" xfId="0">
      <alignment horizontal="center"/>
    </xf>
    <xf numFmtId="196" fontId="110" fillId="0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0" fontId="15" fillId="0" borderId="130" applyAlignment="1" pivotButton="0" quotePrefix="0" xfId="0">
      <alignment horizontal="center" vertical="center"/>
    </xf>
    <xf numFmtId="0" fontId="15" fillId="2" borderId="130" applyAlignment="1" pivotButton="0" quotePrefix="0" xfId="0">
      <alignment horizontal="center" vertical="center"/>
    </xf>
    <xf numFmtId="0" fontId="15" fillId="0" borderId="130" applyAlignment="1" pivotButton="0" quotePrefix="0" xfId="0">
      <alignment vertical="center"/>
    </xf>
    <xf numFmtId="0" fontId="15" fillId="0" borderId="130" applyAlignment="1" pivotButton="0" quotePrefix="0" xfId="5">
      <alignment horizontal="center" vertical="center"/>
    </xf>
    <xf numFmtId="0" fontId="15" fillId="0" borderId="130" applyAlignment="1" pivotButton="0" quotePrefix="0" xfId="5">
      <alignment vertical="center"/>
    </xf>
    <xf numFmtId="0" fontId="105" fillId="0" borderId="130" applyAlignment="1" pivotButton="0" quotePrefix="0" xfId="5">
      <alignment vertical="center"/>
    </xf>
    <xf numFmtId="0" fontId="0" fillId="0" borderId="131" applyAlignment="1" pivotButton="0" quotePrefix="0" xfId="0">
      <alignment vertical="center"/>
    </xf>
    <xf numFmtId="0" fontId="15" fillId="0" borderId="131" applyAlignment="1" pivotButton="0" quotePrefix="0" xfId="0">
      <alignment vertical="center"/>
    </xf>
    <xf numFmtId="164" fontId="15" fillId="0" borderId="131" applyAlignment="1" pivotButton="0" quotePrefix="0" xfId="5">
      <alignment horizontal="center" vertical="center"/>
    </xf>
    <xf numFmtId="173" fontId="15" fillId="0" borderId="131" applyAlignment="1" pivotButton="0" quotePrefix="0" xfId="0">
      <alignment horizontal="center" vertical="center"/>
    </xf>
    <xf numFmtId="173" fontId="15" fillId="0" borderId="131" applyAlignment="1" pivotButton="0" quotePrefix="0" xfId="5">
      <alignment horizontal="center" vertical="center"/>
    </xf>
    <xf numFmtId="0" fontId="15" fillId="0" borderId="132" applyAlignment="1" pivotButton="0" quotePrefix="0" xfId="0">
      <alignment horizontal="center" vertical="center"/>
    </xf>
    <xf numFmtId="0" fontId="15" fillId="2" borderId="132" applyAlignment="1" pivotButton="0" quotePrefix="0" xfId="0">
      <alignment horizontal="center" vertical="center"/>
    </xf>
    <xf numFmtId="0" fontId="15" fillId="0" borderId="132" applyAlignment="1" pivotButton="0" quotePrefix="0" xfId="0">
      <alignment vertical="center"/>
    </xf>
    <xf numFmtId="0" fontId="15" fillId="0" borderId="132" applyAlignment="1" pivotButton="0" quotePrefix="0" xfId="5">
      <alignment horizontal="center" vertical="center"/>
    </xf>
    <xf numFmtId="0" fontId="15" fillId="0" borderId="132" applyAlignment="1" pivotButton="0" quotePrefix="0" xfId="5">
      <alignment vertical="center"/>
    </xf>
    <xf numFmtId="0" fontId="105" fillId="0" borderId="132" applyAlignment="1" pivotButton="0" quotePrefix="0" xfId="5">
      <alignment vertical="center"/>
    </xf>
    <xf numFmtId="0" fontId="0" fillId="0" borderId="133" applyAlignment="1" pivotButton="0" quotePrefix="0" xfId="0">
      <alignment vertical="center"/>
    </xf>
    <xf numFmtId="0" fontId="15" fillId="0" borderId="133" applyAlignment="1" pivotButton="0" quotePrefix="0" xfId="0">
      <alignment vertical="center"/>
    </xf>
    <xf numFmtId="164" fontId="15" fillId="0" borderId="133" applyAlignment="1" pivotButton="0" quotePrefix="0" xfId="5">
      <alignment horizontal="center" vertical="center"/>
    </xf>
    <xf numFmtId="173" fontId="15" fillId="0" borderId="133" applyAlignment="1" pivotButton="0" quotePrefix="0" xfId="0">
      <alignment horizontal="center" vertical="center"/>
    </xf>
    <xf numFmtId="173" fontId="15" fillId="0" borderId="133" applyAlignment="1" pivotButton="0" quotePrefix="0" xfId="5">
      <alignment horizontal="center" vertical="center"/>
    </xf>
    <xf numFmtId="0" fontId="15" fillId="0" borderId="134" applyAlignment="1" pivotButton="0" quotePrefix="0" xfId="0">
      <alignment horizontal="center" vertical="center"/>
    </xf>
    <xf numFmtId="0" fontId="15" fillId="2" borderId="134" applyAlignment="1" pivotButton="0" quotePrefix="0" xfId="0">
      <alignment horizontal="center" vertical="center"/>
    </xf>
    <xf numFmtId="0" fontId="15" fillId="0" borderId="134" applyAlignment="1" pivotButton="0" quotePrefix="0" xfId="0">
      <alignment vertical="center"/>
    </xf>
    <xf numFmtId="0" fontId="15" fillId="0" borderId="134" applyAlignment="1" pivotButton="0" quotePrefix="0" xfId="5">
      <alignment horizontal="center" vertical="center"/>
    </xf>
    <xf numFmtId="0" fontId="15" fillId="0" borderId="134" applyAlignment="1" pivotButton="0" quotePrefix="0" xfId="5">
      <alignment vertical="center"/>
    </xf>
    <xf numFmtId="0" fontId="105" fillId="0" borderId="134" applyAlignment="1" pivotButton="0" quotePrefix="0" xfId="5">
      <alignment vertical="center"/>
    </xf>
    <xf numFmtId="0" fontId="0" fillId="0" borderId="135" applyAlignment="1" pivotButton="0" quotePrefix="0" xfId="0">
      <alignment vertical="center"/>
    </xf>
    <xf numFmtId="0" fontId="15" fillId="0" borderId="135" applyAlignment="1" pivotButton="0" quotePrefix="0" xfId="0">
      <alignment vertical="center"/>
    </xf>
    <xf numFmtId="164" fontId="15" fillId="0" borderId="135" applyAlignment="1" pivotButton="0" quotePrefix="0" xfId="5">
      <alignment horizontal="center" vertical="center"/>
    </xf>
    <xf numFmtId="173" fontId="15" fillId="0" borderId="135" applyAlignment="1" pivotButton="0" quotePrefix="0" xfId="0">
      <alignment horizontal="center" vertical="center"/>
    </xf>
    <xf numFmtId="173" fontId="15" fillId="0" borderId="135" applyAlignment="1" pivotButton="0" quotePrefix="0" xfId="5">
      <alignment horizontal="center" vertical="center"/>
    </xf>
    <xf numFmtId="0" fontId="15" fillId="0" borderId="135" applyAlignment="1" pivotButton="0" quotePrefix="0" xfId="0">
      <alignment horizontal="center" vertical="center"/>
    </xf>
    <xf numFmtId="0" fontId="15" fillId="2" borderId="135" applyAlignment="1" pivotButton="0" quotePrefix="0" xfId="0">
      <alignment horizontal="center" vertical="center"/>
    </xf>
    <xf numFmtId="0" fontId="15" fillId="0" borderId="135" applyAlignment="1" pivotButton="0" quotePrefix="0" xfId="5">
      <alignment horizontal="center" vertical="center"/>
    </xf>
    <xf numFmtId="0" fontId="15" fillId="0" borderId="135" applyAlignment="1" pivotButton="0" quotePrefix="0" xfId="5">
      <alignment vertical="center"/>
    </xf>
    <xf numFmtId="0" fontId="105" fillId="0" borderId="135" applyAlignment="1" pivotButton="0" quotePrefix="0" xfId="5">
      <alignment vertical="center"/>
    </xf>
    <xf numFmtId="0" fontId="0" fillId="0" borderId="136" applyAlignment="1" pivotButton="0" quotePrefix="0" xfId="0">
      <alignment vertical="center"/>
    </xf>
    <xf numFmtId="0" fontId="15" fillId="0" borderId="136" applyAlignment="1" pivotButton="0" quotePrefix="0" xfId="0">
      <alignment vertical="center"/>
    </xf>
    <xf numFmtId="164" fontId="15" fillId="0" borderId="136" applyAlignment="1" pivotButton="0" quotePrefix="0" xfId="5">
      <alignment horizontal="center" vertical="center"/>
    </xf>
    <xf numFmtId="173" fontId="15" fillId="0" borderId="136" applyAlignment="1" pivotButton="0" quotePrefix="0" xfId="0">
      <alignment horizontal="center" vertical="center"/>
    </xf>
    <xf numFmtId="173" fontId="15" fillId="0" borderId="136" applyAlignment="1" pivotButton="0" quotePrefix="0" xfId="5">
      <alignment horizontal="center" vertical="center"/>
    </xf>
    <xf numFmtId="0" fontId="15" fillId="0" borderId="136" applyAlignment="1" pivotButton="0" quotePrefix="0" xfId="0">
      <alignment horizontal="center" vertical="center"/>
    </xf>
    <xf numFmtId="0" fontId="15" fillId="2" borderId="136" applyAlignment="1" pivotButton="0" quotePrefix="0" xfId="0">
      <alignment horizontal="center" vertical="center"/>
    </xf>
    <xf numFmtId="0" fontId="15" fillId="0" borderId="136" applyAlignment="1" pivotButton="0" quotePrefix="0" xfId="5">
      <alignment horizontal="center" vertical="center"/>
    </xf>
    <xf numFmtId="0" fontId="15" fillId="0" borderId="136" applyAlignment="1" pivotButton="0" quotePrefix="0" xfId="5">
      <alignment vertical="center"/>
    </xf>
    <xf numFmtId="0" fontId="105" fillId="0" borderId="136" applyAlignment="1" pivotButton="0" quotePrefix="0" xfId="5">
      <alignment vertical="center"/>
    </xf>
    <xf numFmtId="0" fontId="0" fillId="0" borderId="137" applyAlignment="1" pivotButton="0" quotePrefix="0" xfId="0">
      <alignment vertical="center"/>
    </xf>
    <xf numFmtId="0" fontId="15" fillId="0" borderId="137" applyAlignment="1" pivotButton="0" quotePrefix="0" xfId="0">
      <alignment vertical="center"/>
    </xf>
    <xf numFmtId="164" fontId="15" fillId="0" borderId="137" applyAlignment="1" pivotButton="0" quotePrefix="0" xfId="5">
      <alignment horizontal="center" vertical="center"/>
    </xf>
    <xf numFmtId="173" fontId="15" fillId="0" borderId="137" applyAlignment="1" pivotButton="0" quotePrefix="0" xfId="0">
      <alignment horizontal="center" vertical="center"/>
    </xf>
    <xf numFmtId="173" fontId="15" fillId="0" borderId="137" applyAlignment="1" pivotButton="0" quotePrefix="0" xfId="5">
      <alignment horizontal="center" vertical="center"/>
    </xf>
    <xf numFmtId="0" fontId="0" fillId="0" borderId="138" applyAlignment="1" pivotButton="0" quotePrefix="0" xfId="0">
      <alignment vertical="center"/>
    </xf>
    <xf numFmtId="0" fontId="15" fillId="0" borderId="138" applyAlignment="1" pivotButton="0" quotePrefix="0" xfId="0">
      <alignment horizontal="center" vertical="center"/>
    </xf>
    <xf numFmtId="0" fontId="15" fillId="2" borderId="138" applyAlignment="1" pivotButton="0" quotePrefix="0" xfId="0">
      <alignment horizontal="center" vertical="center"/>
    </xf>
    <xf numFmtId="0" fontId="15" fillId="0" borderId="138" applyAlignment="1" pivotButton="0" quotePrefix="0" xfId="0">
      <alignment vertical="center"/>
    </xf>
    <xf numFmtId="173" fontId="15" fillId="0" borderId="138" applyAlignment="1" pivotButton="0" quotePrefix="0" xfId="0">
      <alignment horizontal="center" vertical="center"/>
    </xf>
    <xf numFmtId="0" fontId="15" fillId="0" borderId="138" applyAlignment="1" pivotButton="0" quotePrefix="0" xfId="5">
      <alignment horizontal="center" vertical="center"/>
    </xf>
    <xf numFmtId="0" fontId="15" fillId="0" borderId="138" applyAlignment="1" pivotButton="0" quotePrefix="0" xfId="5">
      <alignment vertical="center"/>
    </xf>
    <xf numFmtId="0" fontId="105" fillId="0" borderId="138" applyAlignment="1" pivotButton="0" quotePrefix="0" xfId="5">
      <alignment vertical="center"/>
    </xf>
    <xf numFmtId="173" fontId="15" fillId="0" borderId="138" applyAlignment="1" pivotButton="0" quotePrefix="0" xfId="5">
      <alignment horizontal="center" vertical="center"/>
    </xf>
    <xf numFmtId="166" fontId="15" fillId="0" borderId="138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5" fillId="0" borderId="139" applyAlignment="1" pivotButton="0" quotePrefix="0" xfId="0">
      <alignment horizontal="center" vertical="center"/>
    </xf>
    <xf numFmtId="0" fontId="15" fillId="0" borderId="139" applyAlignment="1" pivotButton="0" quotePrefix="0" xfId="0">
      <alignment vertical="center"/>
    </xf>
    <xf numFmtId="0" fontId="15" fillId="0" borderId="139" applyAlignment="1" pivotButton="0" quotePrefix="0" xfId="0">
      <alignment horizontal="left" vertical="center"/>
    </xf>
    <xf numFmtId="0" fontId="15" fillId="18" borderId="139" applyAlignment="1" pivotButton="0" quotePrefix="0" xfId="0">
      <alignment horizontal="center" vertical="center"/>
    </xf>
    <xf numFmtId="0" fontId="105" fillId="0" borderId="139" applyAlignment="1" pivotButton="0" quotePrefix="0" xfId="0">
      <alignment vertical="center"/>
    </xf>
    <xf numFmtId="0" fontId="0" fillId="0" borderId="140" applyAlignment="1" pivotButton="0" quotePrefix="0" xfId="0">
      <alignment vertical="center"/>
    </xf>
    <xf numFmtId="0" fontId="15" fillId="0" borderId="140" applyAlignment="1" pivotButton="0" quotePrefix="0" xfId="0">
      <alignment horizontal="center" vertical="center"/>
    </xf>
    <xf numFmtId="164" fontId="15" fillId="0" borderId="140" applyAlignment="1" pivotButton="0" quotePrefix="0" xfId="5">
      <alignment horizontal="center" vertical="center"/>
    </xf>
    <xf numFmtId="173" fontId="15" fillId="0" borderId="140" applyAlignment="1" pivotButton="0" quotePrefix="0" xfId="0">
      <alignment horizontal="center" vertical="center"/>
    </xf>
    <xf numFmtId="0" fontId="15" fillId="0" borderId="141" applyAlignment="1" pivotButton="0" quotePrefix="0" xfId="0">
      <alignment horizontal="center" vertical="center"/>
    </xf>
    <xf numFmtId="0" fontId="15" fillId="0" borderId="141" applyAlignment="1" pivotButton="0" quotePrefix="0" xfId="0">
      <alignment vertical="center"/>
    </xf>
    <xf numFmtId="0" fontId="15" fillId="0" borderId="141" applyAlignment="1" pivotButton="0" quotePrefix="0" xfId="0">
      <alignment horizontal="left" vertical="center"/>
    </xf>
    <xf numFmtId="0" fontId="15" fillId="18" borderId="141" applyAlignment="1" pivotButton="0" quotePrefix="0" xfId="0">
      <alignment horizontal="center" vertical="center"/>
    </xf>
    <xf numFmtId="0" fontId="105" fillId="0" borderId="141" applyAlignment="1" pivotButton="0" quotePrefix="0" xfId="0">
      <alignment vertical="center"/>
    </xf>
    <xf numFmtId="173" fontId="15" fillId="0" borderId="141" applyAlignment="1" pivotButton="0" quotePrefix="0" xfId="0">
      <alignment horizontal="center" vertical="center"/>
    </xf>
    <xf numFmtId="0" fontId="0" fillId="0" borderId="142" applyAlignment="1" pivotButton="0" quotePrefix="0" xfId="0">
      <alignment vertical="center"/>
    </xf>
    <xf numFmtId="0" fontId="15" fillId="0" borderId="142" applyAlignment="1" pivotButton="0" quotePrefix="0" xfId="0">
      <alignment horizontal="center" vertical="center"/>
    </xf>
    <xf numFmtId="164" fontId="15" fillId="0" borderId="142" applyAlignment="1" pivotButton="0" quotePrefix="0" xfId="5">
      <alignment horizontal="center" vertical="center"/>
    </xf>
    <xf numFmtId="3" fontId="15" fillId="0" borderId="142" applyAlignment="1" pivotButton="0" quotePrefix="0" xfId="0">
      <alignment horizontal="center" vertical="center"/>
    </xf>
    <xf numFmtId="0" fontId="15" fillId="0" borderId="142" applyAlignment="1" pivotButton="0" quotePrefix="0" xfId="0">
      <alignment vertical="center" wrapText="1"/>
    </xf>
    <xf numFmtId="0" fontId="15" fillId="0" borderId="142" applyAlignment="1" pivotButton="0" quotePrefix="0" xfId="0">
      <alignment vertical="center"/>
    </xf>
    <xf numFmtId="0" fontId="0" fillId="0" borderId="142" applyAlignment="1" pivotButton="0" quotePrefix="0" xfId="0">
      <alignment horizontal="center" vertical="center"/>
    </xf>
    <xf numFmtId="164" fontId="15" fillId="0" borderId="142" applyAlignment="1" pivotButton="0" quotePrefix="0" xfId="0">
      <alignment horizontal="center" vertical="center"/>
    </xf>
    <xf numFmtId="166" fontId="15" fillId="0" borderId="142" applyAlignment="1" pivotButton="0" quotePrefix="0" xfId="0">
      <alignment horizontal="center" vertical="center"/>
    </xf>
    <xf numFmtId="3" fontId="15" fillId="0" borderId="142" applyAlignment="1" pivotButton="0" quotePrefix="0" xfId="0">
      <alignment vertical="center"/>
    </xf>
    <xf numFmtId="0" fontId="54" fillId="0" borderId="142" applyAlignment="1" pivotButton="0" quotePrefix="0" xfId="4">
      <alignment vertical="center"/>
    </xf>
    <xf numFmtId="197" fontId="15" fillId="0" borderId="109" applyAlignment="1" pivotButton="0" quotePrefix="0" xfId="0">
      <alignment horizontal="center" vertical="center"/>
    </xf>
    <xf numFmtId="3" fontId="15" fillId="0" borderId="142" applyAlignment="1" pivotButton="0" quotePrefix="0" xfId="0">
      <alignment horizontal="right" vertical="center"/>
    </xf>
    <xf numFmtId="14" fontId="15" fillId="0" borderId="0" applyAlignment="1" pivotButton="0" quotePrefix="0" xfId="0">
      <alignment vertical="center"/>
    </xf>
    <xf numFmtId="2" fontId="15" fillId="0" borderId="0" applyAlignment="1" pivotButton="0" quotePrefix="0" xfId="0">
      <alignment vertical="center"/>
    </xf>
    <xf numFmtId="0" fontId="15" fillId="0" borderId="119" applyAlignment="1" pivotButton="0" quotePrefix="0" xfId="0">
      <alignment vertical="center"/>
    </xf>
    <xf numFmtId="0" fontId="15" fillId="0" borderId="80" applyAlignment="1" pivotButton="0" quotePrefix="0" xfId="0">
      <alignment vertical="center"/>
    </xf>
    <xf numFmtId="0" fontId="163" fillId="49" borderId="142" applyAlignment="1" pivotButton="0" quotePrefix="0" xfId="34">
      <alignment horizontal="center" vertical="center"/>
    </xf>
    <xf numFmtId="0" fontId="15" fillId="7" borderId="142" applyAlignment="1" pivotButton="0" quotePrefix="0" xfId="0">
      <alignment horizontal="center" vertical="center"/>
    </xf>
    <xf numFmtId="173" fontId="15" fillId="0" borderId="142" applyAlignment="1" pivotButton="0" quotePrefix="0" xfId="0">
      <alignment horizontal="center" vertical="center"/>
    </xf>
    <xf numFmtId="0" fontId="105" fillId="0" borderId="142" applyAlignment="1" pivotButton="0" quotePrefix="0" xfId="0">
      <alignment vertical="center"/>
    </xf>
    <xf numFmtId="0" fontId="15" fillId="0" borderId="142" applyAlignment="1" pivotButton="0" quotePrefix="0" xfId="0">
      <alignment horizontal="left" vertical="center"/>
    </xf>
    <xf numFmtId="0" fontId="158" fillId="0" borderId="142" applyAlignment="1" pivotButton="0" quotePrefix="0" xfId="0">
      <alignment vertical="center"/>
    </xf>
    <xf numFmtId="0" fontId="178" fillId="0" borderId="142" applyAlignment="1" pivotButton="0" quotePrefix="0" xfId="0">
      <alignment vertical="center"/>
    </xf>
    <xf numFmtId="194" fontId="12" fillId="8" borderId="2" applyAlignment="1" pivotButton="0" quotePrefix="0" xfId="0">
      <alignment horizontal="center" vertical="center"/>
    </xf>
    <xf numFmtId="164" fontId="12" fillId="0" borderId="15" applyAlignment="1" pivotButton="0" quotePrefix="0" xfId="3">
      <alignment horizontal="right" vertical="center"/>
    </xf>
    <xf numFmtId="0" fontId="31" fillId="0" borderId="13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9" fillId="0" borderId="32" applyAlignment="1" pivotButton="0" quotePrefix="0" xfId="0">
      <alignment horizontal="center" vertical="center"/>
    </xf>
    <xf numFmtId="0" fontId="30" fillId="0" borderId="13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0" fillId="0" borderId="15" applyAlignment="1" pivotButton="0" quotePrefix="0" xfId="0">
      <alignment horizontal="left" vertical="center"/>
    </xf>
    <xf numFmtId="164" fontId="12" fillId="0" borderId="15" applyAlignment="1" pivotButton="0" quotePrefix="0" xfId="3">
      <alignment horizontal="right"/>
    </xf>
    <xf numFmtId="0" fontId="35" fillId="0" borderId="142" applyAlignment="1" pivotButton="0" quotePrefix="0" xfId="0">
      <alignment horizontal="center" vertical="center"/>
    </xf>
    <xf numFmtId="191" fontId="163" fillId="49" borderId="2" applyAlignment="1" pivotButton="0" quotePrefix="0" xfId="34">
      <alignment horizontal="center" vertical="center"/>
    </xf>
    <xf numFmtId="0" fontId="0" fillId="0" borderId="142" applyAlignment="1" pivotButton="0" quotePrefix="0" xfId="0">
      <alignment horizontal="left" vertical="center"/>
    </xf>
    <xf numFmtId="164" fontId="12" fillId="2" borderId="6" pivotButton="0" quotePrefix="0" xfId="3"/>
    <xf numFmtId="194" fontId="12" fillId="2" borderId="78" applyAlignment="1" pivotButton="0" quotePrefix="0" xfId="0">
      <alignment horizontal="center"/>
    </xf>
    <xf numFmtId="0" fontId="192" fillId="0" borderId="142" applyAlignment="1" pivotButton="0" quotePrefix="0" xfId="0">
      <alignment horizontal="left" vertical="center" wrapText="1" readingOrder="1"/>
    </xf>
    <xf numFmtId="0" fontId="35" fillId="0" borderId="18" applyAlignment="1" pivotButton="0" quotePrefix="0" xfId="0">
      <alignment horizontal="center" vertical="center"/>
    </xf>
    <xf numFmtId="194" fontId="83" fillId="9" borderId="92" applyAlignment="1" pivotButton="0" quotePrefix="0" xfId="0">
      <alignment horizontal="center" vertical="center"/>
    </xf>
    <xf numFmtId="0" fontId="180" fillId="5" borderId="92" applyAlignment="1" pivotButton="0" quotePrefix="0" xfId="0">
      <alignment horizontal="center" vertical="center"/>
    </xf>
    <xf numFmtId="0" fontId="194" fillId="0" borderId="142" applyAlignment="1" pivotButton="0" quotePrefix="0" xfId="0">
      <alignment vertical="center"/>
    </xf>
    <xf numFmtId="0" fontId="194" fillId="0" borderId="119" applyAlignment="1" pivotButton="0" quotePrefix="0" xfId="0">
      <alignment vertical="center"/>
    </xf>
    <xf numFmtId="174" fontId="35" fillId="0" borderId="142" applyAlignment="1" pivotButton="0" quotePrefix="0" xfId="0">
      <alignment horizontal="center" vertical="center"/>
    </xf>
    <xf numFmtId="177" fontId="35" fillId="0" borderId="142" applyAlignment="1" pivotButton="0" quotePrefix="0" xfId="0">
      <alignment horizontal="center" vertical="center"/>
    </xf>
    <xf numFmtId="10" fontId="35" fillId="0" borderId="142" applyAlignment="1" pivotButton="0" quotePrefix="0" xfId="0">
      <alignment horizontal="center" vertical="center"/>
    </xf>
    <xf numFmtId="0" fontId="36" fillId="0" borderId="142" applyAlignment="1" pivotButton="0" quotePrefix="0" xfId="0">
      <alignment horizontal="center" vertical="center"/>
    </xf>
    <xf numFmtId="0" fontId="35" fillId="14" borderId="142" applyAlignment="1" pivotButton="0" quotePrefix="0" xfId="0">
      <alignment horizontal="center" vertical="center"/>
    </xf>
    <xf numFmtId="9" fontId="35" fillId="0" borderId="142" applyAlignment="1" pivotButton="0" quotePrefix="0" xfId="0">
      <alignment vertical="center"/>
    </xf>
    <xf numFmtId="0" fontId="35" fillId="2" borderId="142" applyAlignment="1" pivotButton="0" quotePrefix="0" xfId="0">
      <alignment horizontal="center" vertical="center"/>
    </xf>
    <xf numFmtId="10" fontId="35" fillId="2" borderId="142" applyAlignment="1" pivotButton="0" quotePrefix="0" xfId="0">
      <alignment horizontal="center" vertical="center"/>
    </xf>
    <xf numFmtId="0" fontId="35" fillId="7" borderId="142" applyAlignment="1" pivotButton="0" quotePrefix="0" xfId="0">
      <alignment horizontal="center" vertical="center"/>
    </xf>
    <xf numFmtId="9" fontId="35" fillId="16" borderId="142" applyAlignment="1" pivotButton="0" quotePrefix="0" xfId="0">
      <alignment vertical="center"/>
    </xf>
    <xf numFmtId="10" fontId="35" fillId="0" borderId="142" applyAlignment="1" pivotButton="0" quotePrefix="0" xfId="0">
      <alignment vertical="center"/>
    </xf>
    <xf numFmtId="10" fontId="35" fillId="16" borderId="142" applyAlignment="1" pivotButton="0" quotePrefix="0" xfId="0">
      <alignment vertical="center"/>
    </xf>
    <xf numFmtId="0" fontId="0" fillId="0" borderId="76" applyAlignment="1" pivotButton="0" quotePrefix="0" xfId="0">
      <alignment vertical="center"/>
    </xf>
    <xf numFmtId="0" fontId="35" fillId="0" borderId="119" applyAlignment="1" pivotButton="0" quotePrefix="0" xfId="0">
      <alignment horizontal="center" vertical="center"/>
    </xf>
    <xf numFmtId="10" fontId="91" fillId="0" borderId="9" applyAlignment="1" pivotButton="0" quotePrefix="0" xfId="2">
      <alignment vertical="center"/>
    </xf>
    <xf numFmtId="10" fontId="179" fillId="0" borderId="0" applyAlignment="1" pivotButton="0" quotePrefix="0" xfId="2">
      <alignment vertical="center"/>
    </xf>
    <xf numFmtId="10" fontId="91" fillId="0" borderId="0" applyAlignment="1" pivotButton="0" quotePrefix="0" xfId="2">
      <alignment vertical="center"/>
    </xf>
    <xf numFmtId="10" fontId="20" fillId="0" borderId="0" applyAlignment="1" pivotButton="0" quotePrefix="0" xfId="2">
      <alignment vertical="center"/>
    </xf>
    <xf numFmtId="0" fontId="0" fillId="0" borderId="123" applyAlignment="1" pivotButton="0" quotePrefix="0" xfId="0">
      <alignment horizontal="center" vertical="center"/>
    </xf>
    <xf numFmtId="0" fontId="0" fillId="0" borderId="122" applyAlignment="1" pivotButton="0" quotePrefix="0" xfId="0">
      <alignment horizontal="center" vertical="center"/>
    </xf>
    <xf numFmtId="0" fontId="1" fillId="0" borderId="142" applyAlignment="1" pivotButton="0" quotePrefix="0" xfId="0">
      <alignment horizontal="center" vertical="center"/>
    </xf>
    <xf numFmtId="0" fontId="82" fillId="0" borderId="114" applyAlignment="1" pivotButton="0" quotePrefix="0" xfId="0">
      <alignment horizontal="center"/>
    </xf>
    <xf numFmtId="0" fontId="82" fillId="0" borderId="75" applyAlignment="1" pivotButton="0" quotePrefix="0" xfId="0">
      <alignment horizontal="center"/>
    </xf>
    <xf numFmtId="0" fontId="82" fillId="0" borderId="75" applyAlignment="1" pivotButton="0" quotePrefix="0" xfId="0">
      <alignment horizontal="center" wrapText="1"/>
    </xf>
    <xf numFmtId="0" fontId="82" fillId="0" borderId="115" applyAlignment="1" pivotButton="0" quotePrefix="0" xfId="0">
      <alignment horizontal="center"/>
    </xf>
    <xf numFmtId="0" fontId="0" fillId="0" borderId="72" applyAlignment="1" pivotButton="0" quotePrefix="0" xfId="0">
      <alignment vertical="center"/>
    </xf>
    <xf numFmtId="0" fontId="0" fillId="0" borderId="69" applyAlignment="1" pivotButton="0" quotePrefix="0" xfId="0">
      <alignment vertical="center"/>
    </xf>
    <xf numFmtId="0" fontId="0" fillId="0" borderId="98" applyAlignment="1" pivotButton="0" quotePrefix="0" xfId="0">
      <alignment horizontal="center" vertical="center"/>
    </xf>
    <xf numFmtId="0" fontId="182" fillId="0" borderId="69" applyAlignment="1" pivotButton="0" quotePrefix="0" xfId="0">
      <alignment vertical="center"/>
    </xf>
    <xf numFmtId="194" fontId="38" fillId="22" borderId="16" applyAlignment="1" pivotButton="0" quotePrefix="0" xfId="0">
      <alignment horizontal="center" vertical="center"/>
    </xf>
    <xf numFmtId="0" fontId="0" fillId="0" borderId="22" applyAlignment="1" pivotButton="0" quotePrefix="0" xfId="0">
      <alignment vertical="center"/>
    </xf>
    <xf numFmtId="0" fontId="35" fillId="0" borderId="76" applyAlignment="1" pivotButton="0" quotePrefix="0" xfId="0">
      <alignment horizontal="center" vertical="center" wrapText="1"/>
    </xf>
    <xf numFmtId="166" fontId="35" fillId="0" borderId="76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2" fontId="0" fillId="0" borderId="145" applyAlignment="1" pivotButton="0" quotePrefix="0" xfId="0">
      <alignment vertical="center"/>
    </xf>
    <xf numFmtId="2" fontId="0" fillId="0" borderId="142" applyAlignment="1" pivotButton="0" quotePrefix="0" xfId="0">
      <alignment vertical="center"/>
    </xf>
    <xf numFmtId="174" fontId="0" fillId="0" borderId="145" applyAlignment="1" pivotButton="0" quotePrefix="0" xfId="0">
      <alignment vertical="center"/>
    </xf>
    <xf numFmtId="0" fontId="88" fillId="31" borderId="10" applyAlignment="1" pivotButton="0" quotePrefix="0" xfId="0">
      <alignment horizontal="right" vertical="top"/>
    </xf>
    <xf numFmtId="164" fontId="30" fillId="31" borderId="2" applyAlignment="1" pivotButton="0" quotePrefix="0" xfId="0">
      <alignment vertical="center"/>
    </xf>
    <xf numFmtId="172" fontId="30" fillId="31" borderId="2" applyAlignment="1" pivotButton="0" quotePrefix="0" xfId="0">
      <alignment vertical="center"/>
    </xf>
    <xf numFmtId="0" fontId="12" fillId="31" borderId="2" applyAlignment="1" pivotButton="0" quotePrefix="0" xfId="0">
      <alignment horizontal="center"/>
    </xf>
    <xf numFmtId="0" fontId="8" fillId="31" borderId="2" applyAlignment="1" pivotButton="0" quotePrefix="0" xfId="0">
      <alignment horizontal="center"/>
    </xf>
    <xf numFmtId="164" fontId="12" fillId="31" borderId="2" pivotButton="0" quotePrefix="0" xfId="3"/>
    <xf numFmtId="164" fontId="12" fillId="31" borderId="6" pivotButton="0" quotePrefix="0" xfId="3"/>
    <xf numFmtId="0" fontId="11" fillId="31" borderId="48" applyAlignment="1" pivotButton="0" quotePrefix="0" xfId="0">
      <alignment horizontal="center" vertical="top"/>
    </xf>
    <xf numFmtId="172" fontId="30" fillId="31" borderId="15" applyAlignment="1" pivotButton="0" quotePrefix="0" xfId="0">
      <alignment vertical="center"/>
    </xf>
    <xf numFmtId="164" fontId="163" fillId="31" borderId="2" applyAlignment="1" pivotButton="0" quotePrefix="0" xfId="34">
      <alignment vertical="center"/>
    </xf>
    <xf numFmtId="0" fontId="163" fillId="31" borderId="2" applyAlignment="1" pivotButton="0" quotePrefix="0" xfId="34">
      <alignment horizontal="center"/>
    </xf>
    <xf numFmtId="0" fontId="11" fillId="31" borderId="10" applyAlignment="1" pivotButton="0" quotePrefix="0" xfId="0">
      <alignment horizontal="center" vertical="top"/>
    </xf>
    <xf numFmtId="0" fontId="163" fillId="31" borderId="2" applyAlignment="1" pivotButton="0" quotePrefix="0" xfId="34">
      <alignment horizontal="center" vertical="center"/>
    </xf>
    <xf numFmtId="0" fontId="8" fillId="31" borderId="2" applyAlignment="1" pivotButton="0" quotePrefix="0" xfId="0">
      <alignment horizontal="center" vertical="center"/>
    </xf>
    <xf numFmtId="164" fontId="12" fillId="31" borderId="2" applyAlignment="1" pivotButton="0" quotePrefix="0" xfId="3">
      <alignment vertical="center"/>
    </xf>
    <xf numFmtId="164" fontId="12" fillId="31" borderId="6" applyAlignment="1" pivotButton="0" quotePrefix="0" xfId="3">
      <alignment vertical="center"/>
    </xf>
    <xf numFmtId="0" fontId="11" fillId="31" borderId="107" applyAlignment="1" pivotButton="0" quotePrefix="0" xfId="0">
      <alignment horizontal="center" vertical="top"/>
    </xf>
    <xf numFmtId="172" fontId="30" fillId="31" borderId="109" applyAlignment="1" pivotButton="0" quotePrefix="0" xfId="0">
      <alignment vertical="center"/>
    </xf>
    <xf numFmtId="164" fontId="163" fillId="31" borderId="109" applyAlignment="1" pivotButton="0" quotePrefix="0" xfId="34">
      <alignment vertical="center"/>
    </xf>
    <xf numFmtId="0" fontId="163" fillId="31" borderId="109" applyAlignment="1" pivotButton="0" quotePrefix="0" xfId="34">
      <alignment horizontal="center"/>
    </xf>
    <xf numFmtId="0" fontId="8" fillId="31" borderId="109" applyAlignment="1" pivotButton="0" quotePrefix="0" xfId="0">
      <alignment horizontal="center"/>
    </xf>
    <xf numFmtId="172" fontId="30" fillId="31" borderId="106" applyAlignment="1" pivotButton="0" quotePrefix="0" xfId="0">
      <alignment vertical="center"/>
    </xf>
    <xf numFmtId="164" fontId="31" fillId="31" borderId="109" applyAlignment="1" pivotButton="0" quotePrefix="0" xfId="0">
      <alignment vertical="center"/>
    </xf>
    <xf numFmtId="0" fontId="12" fillId="31" borderId="109" applyAlignment="1" pivotButton="0" quotePrefix="0" xfId="0">
      <alignment horizontal="center"/>
    </xf>
    <xf numFmtId="164" fontId="12" fillId="49" borderId="15" pivotButton="0" quotePrefix="0" xfId="34"/>
    <xf numFmtId="0" fontId="33" fillId="0" borderId="2" applyAlignment="1" pivotButton="0" quotePrefix="0" xfId="0">
      <alignment horizontal="left" vertical="center"/>
    </xf>
    <xf numFmtId="172" fontId="30" fillId="0" borderId="15" applyAlignment="1" pivotButton="0" quotePrefix="0" xfId="0">
      <alignment vertical="center"/>
    </xf>
    <xf numFmtId="1" fontId="15" fillId="0" borderId="2" applyAlignment="1" pivotButton="0" quotePrefix="0" xfId="0">
      <alignment horizontal="center" vertical="center"/>
    </xf>
    <xf numFmtId="164" fontId="12" fillId="0" borderId="15" applyAlignment="1" pivotButton="0" quotePrefix="0" xfId="3">
      <alignment vertical="center" wrapText="1"/>
    </xf>
    <xf numFmtId="164" fontId="159" fillId="0" borderId="14" applyAlignment="1" pivotButton="0" quotePrefix="0" xfId="3">
      <alignment vertical="center"/>
    </xf>
    <xf numFmtId="164" fontId="12" fillId="0" borderId="13" applyAlignment="1" pivotButton="0" quotePrefix="0" xfId="3">
      <alignment vertical="center"/>
    </xf>
    <xf numFmtId="164" fontId="165" fillId="31" borderId="2" applyAlignment="1" pivotButton="0" quotePrefix="0" xfId="34">
      <alignment vertical="center"/>
    </xf>
    <xf numFmtId="0" fontId="165" fillId="31" borderId="2" applyAlignment="1" pivotButton="0" quotePrefix="0" xfId="34">
      <alignment horizontal="center"/>
    </xf>
    <xf numFmtId="0" fontId="165" fillId="31" borderId="2" applyAlignment="1" pivotButton="0" quotePrefix="0" xfId="34">
      <alignment horizontal="center" vertical="center"/>
    </xf>
    <xf numFmtId="0" fontId="11" fillId="31" borderId="10" applyAlignment="1" pivotButton="0" quotePrefix="0" xfId="0">
      <alignment horizontal="center" vertical="center"/>
    </xf>
    <xf numFmtId="178" fontId="12" fillId="31" borderId="2" applyAlignment="1" pivotButton="0" quotePrefix="0" xfId="0">
      <alignment horizontal="center"/>
    </xf>
    <xf numFmtId="164" fontId="55" fillId="31" borderId="2" pivotButton="0" quotePrefix="0" xfId="3"/>
    <xf numFmtId="164" fontId="163" fillId="31" borderId="2" applyAlignment="1" pivotButton="0" quotePrefix="0" xfId="34">
      <alignment horizontal="right" vertical="center"/>
    </xf>
    <xf numFmtId="194" fontId="163" fillId="31" borderId="2" applyAlignment="1" pivotButton="0" quotePrefix="0" xfId="34">
      <alignment horizontal="center"/>
    </xf>
    <xf numFmtId="0" fontId="196" fillId="0" borderId="2" applyAlignment="1" pivotButton="0" quotePrefix="0" xfId="0">
      <alignment horizontal="center" vertical="center"/>
    </xf>
    <xf numFmtId="0" fontId="196" fillId="0" borderId="143" applyAlignment="1" pivotButton="0" quotePrefix="0" xfId="0">
      <alignment horizontal="center" vertical="center"/>
    </xf>
    <xf numFmtId="0" fontId="196" fillId="0" borderId="18" applyAlignment="1" pivotButton="0" quotePrefix="0" xfId="0">
      <alignment horizontal="center" vertical="center"/>
    </xf>
    <xf numFmtId="164" fontId="196" fillId="0" borderId="143" applyAlignment="1" pivotButton="0" quotePrefix="0" xfId="0">
      <alignment horizontal="left" vertical="center"/>
    </xf>
    <xf numFmtId="3" fontId="196" fillId="0" borderId="2" applyAlignment="1" pivotButton="0" quotePrefix="0" xfId="0">
      <alignment horizontal="right" vertical="center"/>
    </xf>
    <xf numFmtId="0" fontId="196" fillId="0" borderId="2" applyAlignment="1" pivotButton="0" quotePrefix="0" xfId="0">
      <alignment horizontal="left" vertical="center"/>
    </xf>
    <xf numFmtId="164" fontId="196" fillId="0" borderId="2" applyAlignment="1" pivotButton="0" quotePrefix="0" xfId="0">
      <alignment horizontal="left" vertical="center"/>
    </xf>
    <xf numFmtId="0" fontId="196" fillId="0" borderId="143" applyAlignment="1" pivotButton="0" quotePrefix="0" xfId="0">
      <alignment horizontal="left" vertical="center"/>
    </xf>
    <xf numFmtId="3" fontId="196" fillId="0" borderId="142" applyAlignment="1" pivotButton="0" quotePrefix="0" xfId="0">
      <alignment horizontal="right" vertical="center"/>
    </xf>
    <xf numFmtId="0" fontId="196" fillId="0" borderId="142" applyAlignment="1" pivotButton="0" quotePrefix="0" xfId="0">
      <alignment horizontal="left" vertical="center"/>
    </xf>
    <xf numFmtId="0" fontId="55" fillId="0" borderId="45" applyAlignment="1" pivotButton="0" quotePrefix="0" xfId="0">
      <alignment horizontal="center" vertical="center"/>
    </xf>
    <xf numFmtId="10" fontId="55" fillId="0" borderId="16" applyAlignment="1" pivotButton="0" quotePrefix="0" xfId="2">
      <alignment horizontal="left" vertical="center"/>
    </xf>
    <xf numFmtId="0" fontId="193" fillId="0" borderId="0" applyAlignment="1" pivotButton="0" quotePrefix="0" xfId="0">
      <alignment vertical="center"/>
    </xf>
    <xf numFmtId="0" fontId="195" fillId="0" borderId="0" applyAlignment="1" pivotButton="0" quotePrefix="0" xfId="0">
      <alignment horizontal="left" vertical="center"/>
    </xf>
    <xf numFmtId="3" fontId="197" fillId="0" borderId="0" applyAlignment="1" pivotButton="0" quotePrefix="0" xfId="0">
      <alignment horizontal="right" vertical="center"/>
    </xf>
    <xf numFmtId="0" fontId="196" fillId="40" borderId="2" applyAlignment="1" pivotButton="0" quotePrefix="0" xfId="0">
      <alignment horizontal="left" vertical="center"/>
    </xf>
    <xf numFmtId="3" fontId="196" fillId="40" borderId="2" applyAlignment="1" pivotButton="0" quotePrefix="0" xfId="0">
      <alignment horizontal="right" vertical="center"/>
    </xf>
    <xf numFmtId="0" fontId="196" fillId="40" borderId="49" applyAlignment="1" pivotButton="0" quotePrefix="0" xfId="0">
      <alignment horizontal="left" vertical="center"/>
    </xf>
    <xf numFmtId="3" fontId="196" fillId="40" borderId="49" applyAlignment="1" pivotButton="0" quotePrefix="0" xfId="0">
      <alignment horizontal="right" vertical="center"/>
    </xf>
    <xf numFmtId="0" fontId="196" fillId="4" borderId="143" applyAlignment="1" pivotButton="0" quotePrefix="0" xfId="0">
      <alignment vertical="center"/>
    </xf>
    <xf numFmtId="0" fontId="196" fillId="4" borderId="144" applyAlignment="1" pivotButton="0" quotePrefix="0" xfId="0">
      <alignment vertical="center"/>
    </xf>
    <xf numFmtId="0" fontId="196" fillId="0" borderId="142" applyAlignment="1" pivotButton="0" quotePrefix="0" xfId="0">
      <alignment horizontal="center" vertical="center"/>
    </xf>
    <xf numFmtId="0" fontId="193" fillId="0" borderId="0" applyAlignment="1" pivotButton="0" quotePrefix="0" xfId="0">
      <alignment vertical="center" textRotation="90"/>
    </xf>
    <xf numFmtId="0" fontId="196" fillId="0" borderId="78" applyAlignment="1" pivotButton="0" quotePrefix="0" xfId="0">
      <alignment horizontal="left" vertical="center"/>
    </xf>
    <xf numFmtId="0" fontId="193" fillId="0" borderId="2" applyAlignment="1" pivotButton="0" quotePrefix="0" xfId="0">
      <alignment horizontal="left" vertical="center"/>
    </xf>
    <xf numFmtId="0" fontId="196" fillId="0" borderId="75" applyAlignment="1" pivotButton="0" quotePrefix="0" xfId="0">
      <alignment horizontal="left" vertical="center"/>
    </xf>
    <xf numFmtId="3" fontId="196" fillId="0" borderId="75" applyAlignment="1" pivotButton="0" quotePrefix="0" xfId="0">
      <alignment horizontal="right" vertical="center"/>
    </xf>
    <xf numFmtId="0" fontId="196" fillId="0" borderId="2" applyAlignment="1" pivotButton="0" quotePrefix="0" xfId="0">
      <alignment horizontal="left" vertical="center" wrapText="1"/>
    </xf>
    <xf numFmtId="192" fontId="10" fillId="2" borderId="42" applyAlignment="1" pivotButton="0" quotePrefix="0" xfId="1">
      <alignment vertical="center"/>
    </xf>
    <xf numFmtId="192" fontId="10" fillId="2" borderId="43" applyAlignment="1" pivotButton="0" quotePrefix="0" xfId="1">
      <alignment vertical="center"/>
    </xf>
    <xf numFmtId="192" fontId="10" fillId="14" borderId="44" applyAlignment="1" pivotButton="0" quotePrefix="0" xfId="1">
      <alignment vertical="center"/>
    </xf>
    <xf numFmtId="0" fontId="1" fillId="0" borderId="18" applyAlignment="1" pivotButton="0" quotePrefix="0" xfId="0">
      <alignment vertical="center"/>
    </xf>
    <xf numFmtId="0" fontId="200" fillId="0" borderId="18" applyAlignment="1" pivotButton="0" quotePrefix="0" xfId="0">
      <alignment vertical="center"/>
    </xf>
    <xf numFmtId="0" fontId="173" fillId="0" borderId="18" applyAlignment="1" pivotButton="0" quotePrefix="0" xfId="0">
      <alignment horizontal="center" vertical="center"/>
    </xf>
    <xf numFmtId="0" fontId="1" fillId="0" borderId="142" applyAlignment="1" pivotButton="0" quotePrefix="0" xfId="0">
      <alignment vertical="center"/>
    </xf>
    <xf numFmtId="0" fontId="173" fillId="0" borderId="142" applyAlignment="1" pivotButton="0" quotePrefix="0" xfId="0">
      <alignment vertical="center"/>
    </xf>
    <xf numFmtId="0" fontId="173" fillId="0" borderId="142" applyAlignment="1" pivotButton="0" quotePrefix="0" xfId="0">
      <alignment horizontal="center" vertical="center"/>
    </xf>
    <xf numFmtId="0" fontId="173" fillId="0" borderId="142" applyAlignment="1" pivotButton="0" quotePrefix="0" xfId="0">
      <alignment horizontal="left" vertical="center"/>
    </xf>
    <xf numFmtId="0" fontId="173" fillId="0" borderId="0" applyAlignment="1" pivotButton="0" quotePrefix="0" xfId="0">
      <alignment vertical="center"/>
    </xf>
    <xf numFmtId="0" fontId="173" fillId="0" borderId="42" applyAlignment="1" pivotButton="0" quotePrefix="0" xfId="0">
      <alignment horizontal="left" vertical="center"/>
    </xf>
    <xf numFmtId="0" fontId="173" fillId="0" borderId="43" applyAlignment="1" pivotButton="0" quotePrefix="0" xfId="0">
      <alignment horizontal="left" vertical="center"/>
    </xf>
    <xf numFmtId="0" fontId="1" fillId="0" borderId="44" applyAlignment="1" pivotButton="0" quotePrefix="0" xfId="0">
      <alignment horizontal="left" vertical="center"/>
    </xf>
    <xf numFmtId="0" fontId="173" fillId="0" borderId="18" applyAlignment="1" pivotButton="0" quotePrefix="0" xfId="0">
      <alignment horizontal="left" vertical="center"/>
    </xf>
    <xf numFmtId="9" fontId="173" fillId="0" borderId="142" applyAlignment="1" pivotButton="0" quotePrefix="0" xfId="0">
      <alignment horizontal="left" vertical="center"/>
    </xf>
    <xf numFmtId="10" fontId="173" fillId="0" borderId="142" applyAlignment="1" pivotButton="0" quotePrefix="0" xfId="0">
      <alignment horizontal="left" vertical="center"/>
    </xf>
    <xf numFmtId="0" fontId="173" fillId="0" borderId="119" applyAlignment="1" pivotButton="0" quotePrefix="0" xfId="0">
      <alignment horizontal="left" vertical="center"/>
    </xf>
    <xf numFmtId="0" fontId="173" fillId="0" borderId="44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42" applyAlignment="1" pivotButton="0" quotePrefix="0" xfId="0">
      <alignment horizontal="left" vertical="center" wrapText="1"/>
    </xf>
    <xf numFmtId="0" fontId="200" fillId="0" borderId="142" applyAlignment="1" pivotButton="0" quotePrefix="0" xfId="0">
      <alignment horizontal="left" vertical="center"/>
    </xf>
    <xf numFmtId="0" fontId="1" fillId="0" borderId="142" applyAlignment="1" pivotButton="0" quotePrefix="0" xfId="0">
      <alignment horizontal="left" vertical="center"/>
    </xf>
    <xf numFmtId="10" fontId="173" fillId="0" borderId="142" applyAlignment="1" pivotButton="0" quotePrefix="0" xfId="0">
      <alignment vertical="center"/>
    </xf>
    <xf numFmtId="0" fontId="173" fillId="0" borderId="43" applyAlignment="1" pivotButton="0" quotePrefix="0" xfId="0">
      <alignment vertical="center"/>
    </xf>
    <xf numFmtId="0" fontId="173" fillId="0" borderId="44" applyAlignment="1" pivotButton="0" quotePrefix="0" xfId="0">
      <alignment vertical="center"/>
    </xf>
    <xf numFmtId="0" fontId="173" fillId="0" borderId="18" applyAlignment="1" pivotButton="0" quotePrefix="0" xfId="0">
      <alignment vertical="center"/>
    </xf>
    <xf numFmtId="0" fontId="201" fillId="58" borderId="0" applyAlignment="1" pivotButton="0" quotePrefix="0" xfId="0">
      <alignment horizontal="center" vertical="center"/>
    </xf>
    <xf numFmtId="0" fontId="202" fillId="58" borderId="0" applyAlignment="1" pivotButton="0" quotePrefix="0" xfId="0">
      <alignment horizontal="center" vertical="center"/>
    </xf>
    <xf numFmtId="0" fontId="29" fillId="0" borderId="78" applyAlignment="1" pivotButton="0" quotePrefix="0" xfId="0">
      <alignment horizontal="left" vertical="center"/>
    </xf>
    <xf numFmtId="0" fontId="36" fillId="0" borderId="78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179" fontId="43" fillId="0" borderId="39" applyAlignment="1" pivotButton="0" quotePrefix="0" xfId="0">
      <alignment horizontal="center" vertical="center"/>
    </xf>
    <xf numFmtId="179" fontId="43" fillId="0" borderId="40" applyAlignment="1" pivotButton="0" quotePrefix="0" xfId="0">
      <alignment horizontal="center" vertical="center"/>
    </xf>
    <xf numFmtId="0" fontId="80" fillId="0" borderId="0" applyAlignment="1" pivotButton="0" quotePrefix="0" xfId="0">
      <alignment horizontal="center" vertical="center"/>
    </xf>
    <xf numFmtId="0" fontId="35" fillId="6" borderId="12" applyAlignment="1" pivotButton="0" quotePrefix="0" xfId="0">
      <alignment horizontal="center" vertical="center"/>
    </xf>
    <xf numFmtId="0" fontId="35" fillId="6" borderId="101" applyAlignment="1" pivotButton="0" quotePrefix="0" xfId="0">
      <alignment horizontal="center" vertical="center"/>
    </xf>
    <xf numFmtId="0" fontId="35" fillId="6" borderId="103" applyAlignment="1" pivotButton="0" quotePrefix="0" xfId="0">
      <alignment horizontal="center" vertical="center"/>
    </xf>
    <xf numFmtId="191" fontId="80" fillId="0" borderId="0" applyAlignment="1" pivotButton="0" quotePrefix="0" xfId="0">
      <alignment horizontal="center" vertical="center"/>
    </xf>
    <xf numFmtId="164" fontId="35" fillId="0" borderId="143" applyAlignment="1" pivotButton="0" quotePrefix="0" xfId="0">
      <alignment horizontal="center" vertical="center"/>
    </xf>
    <xf numFmtId="164" fontId="35" fillId="0" borderId="145" applyAlignment="1" pivotButton="0" quotePrefix="0" xfId="0">
      <alignment horizontal="center" vertical="center"/>
    </xf>
    <xf numFmtId="166" fontId="35" fillId="0" borderId="143" applyAlignment="1" pivotButton="0" quotePrefix="0" xfId="0">
      <alignment horizontal="center" vertical="center"/>
    </xf>
    <xf numFmtId="166" fontId="35" fillId="0" borderId="145" applyAlignment="1" pivotButton="0" quotePrefix="0" xfId="0">
      <alignment horizontal="center" vertical="center"/>
    </xf>
    <xf numFmtId="0" fontId="35" fillId="0" borderId="119" applyAlignment="1" pivotButton="0" quotePrefix="0" xfId="0">
      <alignment horizontal="center" vertical="center"/>
    </xf>
    <xf numFmtId="0" fontId="35" fillId="0" borderId="18" applyAlignment="1" pivotButton="0" quotePrefix="0" xfId="0">
      <alignment horizontal="center" vertical="center"/>
    </xf>
    <xf numFmtId="10" fontId="36" fillId="2" borderId="143" applyAlignment="1" pivotButton="0" quotePrefix="0" xfId="0">
      <alignment horizontal="center" vertical="center"/>
    </xf>
    <xf numFmtId="10" fontId="36" fillId="2" borderId="144" applyAlignment="1" pivotButton="0" quotePrefix="0" xfId="0">
      <alignment horizontal="center" vertical="center"/>
    </xf>
    <xf numFmtId="10" fontId="36" fillId="2" borderId="145" applyAlignment="1" pivotButton="0" quotePrefix="0" xfId="0">
      <alignment horizontal="center" vertical="center"/>
    </xf>
    <xf numFmtId="0" fontId="35" fillId="14" borderId="143" applyAlignment="1" pivotButton="0" quotePrefix="0" xfId="0">
      <alignment horizontal="center" vertical="center"/>
    </xf>
    <xf numFmtId="0" fontId="35" fillId="14" borderId="145" applyAlignment="1" pivotButton="0" quotePrefix="0" xfId="0">
      <alignment horizontal="center" vertical="center"/>
    </xf>
    <xf numFmtId="166" fontId="35" fillId="14" borderId="143" applyAlignment="1" pivotButton="0" quotePrefix="0" xfId="0">
      <alignment horizontal="center" vertical="center"/>
    </xf>
    <xf numFmtId="166" fontId="35" fillId="14" borderId="14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5" fillId="0" borderId="143" applyAlignment="1" pivotButton="0" quotePrefix="0" xfId="0">
      <alignment horizontal="center" vertical="center"/>
    </xf>
    <xf numFmtId="0" fontId="35" fillId="0" borderId="144" applyAlignment="1" pivotButton="0" quotePrefix="0" xfId="0">
      <alignment horizontal="center" vertical="center"/>
    </xf>
    <xf numFmtId="0" fontId="35" fillId="0" borderId="145" applyAlignment="1" pivotButton="0" quotePrefix="0" xfId="0">
      <alignment horizontal="center" vertical="center"/>
    </xf>
    <xf numFmtId="198" fontId="35" fillId="0" borderId="143" applyAlignment="1" pivotButton="0" quotePrefix="0" xfId="0">
      <alignment horizontal="center" vertical="center"/>
    </xf>
    <xf numFmtId="198" fontId="35" fillId="0" borderId="145" applyAlignment="1" pivotButton="0" quotePrefix="0" xfId="0">
      <alignment horizontal="center" vertical="center"/>
    </xf>
    <xf numFmtId="0" fontId="51" fillId="0" borderId="46" applyAlignment="1" pivotButton="0" quotePrefix="0" xfId="0">
      <alignment horizontal="right" vertical="top"/>
    </xf>
    <xf numFmtId="0" fontId="51" fillId="0" borderId="49" applyAlignment="1" pivotButton="0" quotePrefix="0" xfId="0">
      <alignment horizontal="right" vertical="top"/>
    </xf>
    <xf numFmtId="0" fontId="49" fillId="0" borderId="11" applyAlignment="1" pivotButton="0" quotePrefix="0" xfId="0">
      <alignment horizontal="right" vertical="top"/>
    </xf>
    <xf numFmtId="0" fontId="49" fillId="0" borderId="7" applyAlignment="1" pivotButton="0" quotePrefix="0" xfId="0">
      <alignment horizontal="right" vertical="top"/>
    </xf>
    <xf numFmtId="0" fontId="30" fillId="0" borderId="2" applyAlignment="1" pivotButton="0" quotePrefix="0" xfId="0">
      <alignment horizontal="left" vertical="center"/>
    </xf>
    <xf numFmtId="0" fontId="49" fillId="0" borderId="12" applyAlignment="1" pivotButton="0" quotePrefix="0" xfId="0">
      <alignment horizontal="right" vertical="top"/>
    </xf>
    <xf numFmtId="0" fontId="49" fillId="0" borderId="4" applyAlignment="1" pivotButton="0" quotePrefix="0" xfId="0">
      <alignment horizontal="right" vertical="top"/>
    </xf>
    <xf numFmtId="0" fontId="49" fillId="0" borderId="10" applyAlignment="1" pivotButton="0" quotePrefix="0" xfId="0">
      <alignment horizontal="right" vertical="top"/>
    </xf>
    <xf numFmtId="0" fontId="49" fillId="0" borderId="2" applyAlignment="1" pivotButton="0" quotePrefix="0" xfId="0">
      <alignment horizontal="right" vertical="top"/>
    </xf>
    <xf numFmtId="0" fontId="51" fillId="0" borderId="10" applyAlignment="1" pivotButton="0" quotePrefix="0" xfId="0">
      <alignment horizontal="right" vertical="top"/>
    </xf>
    <xf numFmtId="0" fontId="51" fillId="0" borderId="2" applyAlignment="1" pivotButton="0" quotePrefix="0" xfId="0">
      <alignment horizontal="right" vertical="top"/>
    </xf>
    <xf numFmtId="0" fontId="99" fillId="20" borderId="26" applyAlignment="1" pivotButton="0" quotePrefix="0" xfId="0">
      <alignment horizontal="left" vertical="center"/>
    </xf>
    <xf numFmtId="0" fontId="99" fillId="20" borderId="47" applyAlignment="1" pivotButton="0" quotePrefix="0" xfId="0">
      <alignment horizontal="left" vertical="center"/>
    </xf>
    <xf numFmtId="0" fontId="30" fillId="31" borderId="111" applyAlignment="1" pivotButton="0" quotePrefix="0" xfId="0">
      <alignment horizontal="left" vertical="center"/>
    </xf>
    <xf numFmtId="0" fontId="30" fillId="31" borderId="105" applyAlignment="1" pivotButton="0" quotePrefix="0" xfId="0">
      <alignment horizontal="left" vertical="center"/>
    </xf>
    <xf numFmtId="0" fontId="30" fillId="31" borderId="106" applyAlignment="1" pivotButton="0" quotePrefix="0" xfId="0">
      <alignment horizontal="left" vertical="center"/>
    </xf>
    <xf numFmtId="0" fontId="31" fillId="31" borderId="111" applyAlignment="1" pivotButton="0" quotePrefix="0" xfId="0">
      <alignment horizontal="left" vertical="center"/>
    </xf>
    <xf numFmtId="0" fontId="31" fillId="31" borderId="105" applyAlignment="1" pivotButton="0" quotePrefix="0" xfId="0">
      <alignment horizontal="left" vertical="center"/>
    </xf>
    <xf numFmtId="0" fontId="31" fillId="31" borderId="106" applyAlignment="1" pivotButton="0" quotePrefix="0" xfId="0">
      <alignment horizontal="left" vertical="center"/>
    </xf>
    <xf numFmtId="0" fontId="30" fillId="0" borderId="108" applyAlignment="1" pivotButton="0" quotePrefix="0" xfId="0">
      <alignment horizontal="left" vertical="center"/>
    </xf>
    <xf numFmtId="0" fontId="30" fillId="0" borderId="105" applyAlignment="1" pivotButton="0" quotePrefix="0" xfId="0">
      <alignment horizontal="left" vertical="center"/>
    </xf>
    <xf numFmtId="0" fontId="30" fillId="0" borderId="106" applyAlignment="1" pivotButton="0" quotePrefix="0" xfId="0">
      <alignment horizontal="left" vertical="center"/>
    </xf>
    <xf numFmtId="0" fontId="31" fillId="0" borderId="2" applyAlignment="1" pivotButton="0" quotePrefix="0" xfId="0">
      <alignment horizontal="left" vertical="center"/>
    </xf>
    <xf numFmtId="0" fontId="99" fillId="20" borderId="65" applyAlignment="1" pivotButton="0" quotePrefix="0" xfId="0">
      <alignment horizontal="left" vertical="center"/>
    </xf>
    <xf numFmtId="0" fontId="99" fillId="20" borderId="41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49" fillId="0" borderId="46" applyAlignment="1" pivotButton="0" quotePrefix="0" xfId="0">
      <alignment horizontal="right" vertical="top"/>
    </xf>
    <xf numFmtId="0" fontId="49" fillId="0" borderId="49" applyAlignment="1" pivotButton="0" quotePrefix="0" xfId="0">
      <alignment horizontal="right" vertical="top"/>
    </xf>
    <xf numFmtId="0" fontId="43" fillId="0" borderId="32" applyAlignment="1" pivotButton="0" quotePrefix="0" xfId="0">
      <alignment horizontal="center" vertical="center"/>
    </xf>
    <xf numFmtId="0" fontId="43" fillId="0" borderId="35" applyAlignment="1" pivotButton="0" quotePrefix="0" xfId="0">
      <alignment horizontal="center" vertical="center"/>
    </xf>
    <xf numFmtId="0" fontId="49" fillId="0" borderId="32" applyAlignment="1" pivotButton="0" quotePrefix="0" xfId="0">
      <alignment horizontal="center" vertical="top"/>
    </xf>
    <xf numFmtId="0" fontId="49" fillId="0" borderId="35" applyAlignment="1" pivotButton="0" quotePrefix="0" xfId="0">
      <alignment horizontal="center" vertical="top"/>
    </xf>
    <xf numFmtId="0" fontId="30" fillId="31" borderId="13" applyAlignment="1" pivotButton="0" quotePrefix="0" xfId="0">
      <alignment horizontal="left" vertical="center"/>
    </xf>
    <xf numFmtId="0" fontId="30" fillId="31" borderId="14" applyAlignment="1" pivotButton="0" quotePrefix="0" xfId="0">
      <alignment horizontal="left" vertical="center"/>
    </xf>
    <xf numFmtId="0" fontId="30" fillId="31" borderId="15" applyAlignment="1" pivotButton="0" quotePrefix="0" xfId="0">
      <alignment horizontal="left" vertical="center"/>
    </xf>
    <xf numFmtId="0" fontId="22" fillId="11" borderId="26" applyAlignment="1" pivotButton="0" quotePrefix="0" xfId="0">
      <alignment horizontal="left" vertical="center"/>
    </xf>
    <xf numFmtId="0" fontId="22" fillId="11" borderId="47" applyAlignment="1" pivotButton="0" quotePrefix="0" xfId="0">
      <alignment horizontal="left" vertical="center"/>
    </xf>
    <xf numFmtId="0" fontId="30" fillId="31" borderId="2" applyAlignment="1" pivotButton="0" quotePrefix="0" xfId="0">
      <alignment horizontal="left" vertical="center"/>
    </xf>
    <xf numFmtId="0" fontId="31" fillId="31" borderId="2" applyAlignment="1" pivotButton="0" quotePrefix="0" xfId="0">
      <alignment horizontal="left" vertical="center"/>
    </xf>
    <xf numFmtId="0" fontId="30" fillId="0" borderId="13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0" fillId="0" borderId="15" applyAlignment="1" pivotButton="0" quotePrefix="0" xfId="0">
      <alignment horizontal="left" vertical="center"/>
    </xf>
    <xf numFmtId="0" fontId="31" fillId="0" borderId="13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30" fillId="0" borderId="77" applyAlignment="1" pivotButton="0" quotePrefix="0" xfId="0">
      <alignment horizontal="left" vertical="center"/>
    </xf>
    <xf numFmtId="0" fontId="30" fillId="0" borderId="74" applyAlignment="1" pivotButton="0" quotePrefix="0" xfId="0">
      <alignment horizontal="left" vertical="center"/>
    </xf>
    <xf numFmtId="0" fontId="30" fillId="0" borderId="79" applyAlignment="1" pivotButton="0" quotePrefix="0" xfId="0">
      <alignment horizontal="left" vertical="center"/>
    </xf>
    <xf numFmtId="0" fontId="31" fillId="31" borderId="13" applyAlignment="1" pivotButton="0" quotePrefix="0" xfId="0">
      <alignment horizontal="left" vertical="center"/>
    </xf>
    <xf numFmtId="0" fontId="31" fillId="31" borderId="14" applyAlignment="1" pivotButton="0" quotePrefix="0" xfId="0">
      <alignment horizontal="left" vertical="center"/>
    </xf>
    <xf numFmtId="0" fontId="31" fillId="31" borderId="15" applyAlignment="1" pivotButton="0" quotePrefix="0" xfId="0">
      <alignment horizontal="left" vertical="center"/>
    </xf>
    <xf numFmtId="0" fontId="56" fillId="0" borderId="2" applyAlignment="1" pivotButton="0" quotePrefix="0" xfId="0">
      <alignment horizontal="left" vertical="center"/>
    </xf>
    <xf numFmtId="0" fontId="31" fillId="0" borderId="77" applyAlignment="1" pivotButton="0" quotePrefix="0" xfId="0">
      <alignment horizontal="left" vertical="center"/>
    </xf>
    <xf numFmtId="0" fontId="31" fillId="0" borderId="74" applyAlignment="1" pivotButton="0" quotePrefix="0" xfId="0">
      <alignment horizontal="left" vertical="center"/>
    </xf>
    <xf numFmtId="0" fontId="31" fillId="0" borderId="79" applyAlignment="1" pivotButton="0" quotePrefix="0" xfId="0">
      <alignment horizontal="left" vertical="center"/>
    </xf>
    <xf numFmtId="0" fontId="31" fillId="24" borderId="13" applyAlignment="1" pivotButton="0" quotePrefix="0" xfId="0">
      <alignment horizontal="left" vertical="center"/>
    </xf>
    <xf numFmtId="0" fontId="31" fillId="24" borderId="14" applyAlignment="1" pivotButton="0" quotePrefix="0" xfId="0">
      <alignment horizontal="left" vertical="center"/>
    </xf>
    <xf numFmtId="0" fontId="31" fillId="24" borderId="15" applyAlignment="1" pivotButton="0" quotePrefix="0" xfId="0">
      <alignment horizontal="left" vertical="center"/>
    </xf>
    <xf numFmtId="164" fontId="95" fillId="0" borderId="14" applyAlignment="1" pivotButton="0" quotePrefix="0" xfId="3">
      <alignment horizontal="right" vertical="center"/>
    </xf>
    <xf numFmtId="164" fontId="12" fillId="0" borderId="15" applyAlignment="1" pivotButton="0" quotePrefix="0" xfId="3">
      <alignment horizontal="right" vertical="center"/>
    </xf>
    <xf numFmtId="0" fontId="31" fillId="0" borderId="143" applyAlignment="1" pivotButton="0" quotePrefix="0" xfId="0">
      <alignment horizontal="left" vertical="center"/>
    </xf>
    <xf numFmtId="0" fontId="31" fillId="0" borderId="144" applyAlignment="1" pivotButton="0" quotePrefix="0" xfId="0">
      <alignment horizontal="left" vertical="center"/>
    </xf>
    <xf numFmtId="0" fontId="31" fillId="0" borderId="145" applyAlignment="1" pivotButton="0" quotePrefix="0" xfId="0">
      <alignment horizontal="left" vertical="center"/>
    </xf>
    <xf numFmtId="0" fontId="14" fillId="11" borderId="26" applyAlignment="1" pivotButton="0" quotePrefix="0" xfId="0">
      <alignment horizontal="left" vertical="center"/>
    </xf>
    <xf numFmtId="0" fontId="14" fillId="11" borderId="47" applyAlignment="1" pivotButton="0" quotePrefix="0" xfId="0">
      <alignment horizontal="left" vertical="center"/>
    </xf>
    <xf numFmtId="9" fontId="89" fillId="0" borderId="29" applyAlignment="1" pivotButton="0" quotePrefix="0" xfId="0">
      <alignment horizontal="center" vertical="center"/>
    </xf>
    <xf numFmtId="9" fontId="89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0" fillId="0" borderId="3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9" fillId="0" borderId="3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99" fontId="55" fillId="31" borderId="13" applyAlignment="1" pivotButton="0" quotePrefix="0" xfId="0">
      <alignment horizontal="left" vertical="top"/>
    </xf>
    <xf numFmtId="199" fontId="55" fillId="31" borderId="14" applyAlignment="1" pivotButton="0" quotePrefix="0" xfId="0">
      <alignment horizontal="left" vertical="top"/>
    </xf>
    <xf numFmtId="199" fontId="55" fillId="31" borderId="15" applyAlignment="1" pivotButton="0" quotePrefix="0" xfId="0">
      <alignment horizontal="left" vertical="top"/>
    </xf>
    <xf numFmtId="164" fontId="12" fillId="0" borderId="14" applyAlignment="1" pivotButton="0" quotePrefix="0" xfId="3">
      <alignment horizontal="right"/>
    </xf>
    <xf numFmtId="164" fontId="12" fillId="0" borderId="15" applyAlignment="1" pivotButton="0" quotePrefix="0" xfId="3">
      <alignment horizontal="right"/>
    </xf>
    <xf numFmtId="0" fontId="37" fillId="0" borderId="28" applyAlignment="1" pivotButton="0" quotePrefix="0" xfId="0">
      <alignment horizontal="center" vertical="center" wrapText="1"/>
    </xf>
    <xf numFmtId="0" fontId="37" fillId="0" borderId="36" applyAlignment="1" pivotButton="0" quotePrefix="0" xfId="0">
      <alignment horizontal="center" vertical="center" wrapText="1"/>
    </xf>
    <xf numFmtId="0" fontId="37" fillId="0" borderId="30" applyAlignment="1" pivotButton="0" quotePrefix="0" xfId="0">
      <alignment horizontal="center" vertical="center" wrapText="1"/>
    </xf>
    <xf numFmtId="0" fontId="37" fillId="0" borderId="38" applyAlignment="1" pivotButton="0" quotePrefix="0" xfId="0">
      <alignment horizontal="center" vertical="center" wrapText="1"/>
    </xf>
    <xf numFmtId="194" fontId="37" fillId="0" borderId="36" applyAlignment="1" pivotButton="0" quotePrefix="0" xfId="0">
      <alignment horizontal="center" vertical="center"/>
    </xf>
    <xf numFmtId="194" fontId="37" fillId="0" borderId="38" applyAlignment="1" pivotButton="0" quotePrefix="0" xfId="0">
      <alignment horizontal="center" vertical="center"/>
    </xf>
    <xf numFmtId="0" fontId="37" fillId="0" borderId="36" applyAlignment="1" pivotButton="0" quotePrefix="0" xfId="0">
      <alignment horizontal="left" vertical="center" wrapText="1"/>
    </xf>
    <xf numFmtId="0" fontId="37" fillId="0" borderId="38" applyAlignment="1" pivotButton="0" quotePrefix="0" xfId="0">
      <alignment horizontal="left" vertical="center" wrapText="1"/>
    </xf>
    <xf numFmtId="0" fontId="98" fillId="0" borderId="28" applyAlignment="1" pivotButton="0" quotePrefix="0" xfId="0">
      <alignment horizontal="center" vertical="center" wrapText="1"/>
    </xf>
    <xf numFmtId="0" fontId="98" fillId="0" borderId="36" applyAlignment="1" pivotButton="0" quotePrefix="0" xfId="0">
      <alignment horizontal="center" vertical="center"/>
    </xf>
    <xf numFmtId="0" fontId="98" fillId="0" borderId="30" applyAlignment="1" pivotButton="0" quotePrefix="0" xfId="0">
      <alignment horizontal="center" vertical="center"/>
    </xf>
    <xf numFmtId="0" fontId="98" fillId="0" borderId="38" applyAlignment="1" pivotButton="0" quotePrefix="0" xfId="0">
      <alignment horizontal="center" vertical="center"/>
    </xf>
    <xf numFmtId="10" fontId="89" fillId="0" borderId="29" applyAlignment="1" pivotButton="0" quotePrefix="0" xfId="0">
      <alignment horizontal="center" vertical="center"/>
    </xf>
    <xf numFmtId="10" fontId="89" fillId="0" borderId="31" applyAlignment="1" pivotButton="0" quotePrefix="0" xfId="0">
      <alignment horizontal="center" vertical="center"/>
    </xf>
    <xf numFmtId="0" fontId="196" fillId="0" borderId="143" applyAlignment="1" pivotButton="0" quotePrefix="0" xfId="0">
      <alignment horizontal="center" vertical="center"/>
    </xf>
    <xf numFmtId="0" fontId="196" fillId="0" borderId="145" applyAlignment="1" pivotButton="0" quotePrefix="0" xfId="0">
      <alignment horizontal="center" vertical="center"/>
    </xf>
    <xf numFmtId="0" fontId="196" fillId="4" borderId="14" applyAlignment="1" pivotButton="0" quotePrefix="0" xfId="0">
      <alignment horizontal="left" vertical="center"/>
    </xf>
    <xf numFmtId="0" fontId="196" fillId="4" borderId="15" applyAlignment="1" pivotButton="0" quotePrefix="0" xfId="0">
      <alignment horizontal="left" vertical="center"/>
    </xf>
    <xf numFmtId="0" fontId="196" fillId="4" borderId="145" applyAlignment="1" pivotButton="0" quotePrefix="0" xfId="0">
      <alignment horizontal="left" vertical="center"/>
    </xf>
    <xf numFmtId="0" fontId="196" fillId="4" borderId="2" applyAlignment="1" pivotButton="0" quotePrefix="0" xfId="0">
      <alignment horizontal="left" vertical="center"/>
    </xf>
    <xf numFmtId="0" fontId="196" fillId="21" borderId="2" applyAlignment="1" pivotButton="0" quotePrefix="0" xfId="0">
      <alignment horizontal="left" vertical="center"/>
    </xf>
    <xf numFmtId="0" fontId="198" fillId="0" borderId="143" applyAlignment="1" pivotButton="0" quotePrefix="0" xfId="0">
      <alignment horizontal="center" vertical="center"/>
    </xf>
    <xf numFmtId="0" fontId="196" fillId="0" borderId="144" applyAlignment="1" pivotButton="0" quotePrefix="0" xfId="0">
      <alignment horizontal="center" vertical="center"/>
    </xf>
    <xf numFmtId="0" fontId="196" fillId="40" borderId="143" applyAlignment="1" pivotButton="0" quotePrefix="0" xfId="0">
      <alignment horizontal="center" vertical="center"/>
    </xf>
    <xf numFmtId="0" fontId="196" fillId="40" borderId="145" applyAlignment="1" pivotButton="0" quotePrefix="0" xfId="0">
      <alignment horizontal="center" vertical="center"/>
    </xf>
    <xf numFmtId="0" fontId="93" fillId="0" borderId="77" applyAlignment="1" pivotButton="0" quotePrefix="0" xfId="0">
      <alignment horizontal="left" vertical="center"/>
    </xf>
    <xf numFmtId="0" fontId="93" fillId="0" borderId="74" applyAlignment="1" pivotButton="0" quotePrefix="0" xfId="0">
      <alignment horizontal="left" vertical="center"/>
    </xf>
    <xf numFmtId="0" fontId="93" fillId="0" borderId="79" applyAlignment="1" pivotButton="0" quotePrefix="0" xfId="0">
      <alignment horizontal="left" vertical="center"/>
    </xf>
    <xf numFmtId="0" fontId="92" fillId="0" borderId="13" applyAlignment="1" pivotButton="0" quotePrefix="0" xfId="5">
      <alignment horizontal="center" vertical="center"/>
    </xf>
    <xf numFmtId="0" fontId="92" fillId="0" borderId="15" applyAlignment="1" pivotButton="0" quotePrefix="0" xfId="5">
      <alignment horizontal="center" vertical="center"/>
    </xf>
    <xf numFmtId="0" fontId="41" fillId="0" borderId="13" applyAlignment="1" pivotButton="0" quotePrefix="0" xfId="5">
      <alignment horizontal="center" vertical="center"/>
    </xf>
    <xf numFmtId="0" fontId="41" fillId="0" borderId="14" applyAlignment="1" pivotButton="0" quotePrefix="0" xfId="5">
      <alignment horizontal="center" vertical="center"/>
    </xf>
    <xf numFmtId="0" fontId="41" fillId="0" borderId="15" applyAlignment="1" pivotButton="0" quotePrefix="0" xfId="5">
      <alignment horizontal="center" vertical="center"/>
    </xf>
    <xf numFmtId="0" fontId="50" fillId="0" borderId="13" applyAlignment="1" pivotButton="0" quotePrefix="0" xfId="12">
      <alignment horizontal="center" vertical="center"/>
    </xf>
    <xf numFmtId="0" fontId="50" fillId="0" borderId="14" applyAlignment="1" pivotButton="0" quotePrefix="0" xfId="12">
      <alignment horizontal="center" vertical="center"/>
    </xf>
    <xf numFmtId="0" fontId="50" fillId="0" borderId="15" applyAlignment="1" pivotButton="0" quotePrefix="0" xfId="12">
      <alignment horizontal="center" vertical="center"/>
    </xf>
    <xf numFmtId="0" fontId="50" fillId="32" borderId="49" applyAlignment="1" pivotButton="0" quotePrefix="0" xfId="12">
      <alignment horizontal="center" vertical="center"/>
    </xf>
    <xf numFmtId="0" fontId="50" fillId="32" borderId="51" applyAlignment="1" pivotButton="0" quotePrefix="0" xfId="12">
      <alignment horizontal="center" vertical="center"/>
    </xf>
    <xf numFmtId="0" fontId="50" fillId="32" borderId="18" applyAlignment="1" pivotButton="0" quotePrefix="0" xfId="12">
      <alignment horizontal="center" vertical="center"/>
    </xf>
    <xf numFmtId="0" fontId="93" fillId="0" borderId="13" applyAlignment="1" pivotButton="0" quotePrefix="0" xfId="5">
      <alignment horizontal="left" vertical="center"/>
    </xf>
    <xf numFmtId="0" fontId="93" fillId="0" borderId="14" applyAlignment="1" pivotButton="0" quotePrefix="0" xfId="5">
      <alignment horizontal="left" vertical="center"/>
    </xf>
    <xf numFmtId="0" fontId="93" fillId="0" borderId="15" applyAlignment="1" pivotButton="0" quotePrefix="0" xfId="5">
      <alignment horizontal="left" vertical="center"/>
    </xf>
    <xf numFmtId="0" fontId="92" fillId="0" borderId="77" applyAlignment="1" pivotButton="0" quotePrefix="0" xfId="0">
      <alignment horizontal="center" vertical="center"/>
    </xf>
    <xf numFmtId="0" fontId="92" fillId="0" borderId="79" applyAlignment="1" pivotButton="0" quotePrefix="0" xfId="0">
      <alignment horizontal="center" vertical="center"/>
    </xf>
    <xf numFmtId="0" fontId="41" fillId="0" borderId="77" applyAlignment="1" pivotButton="0" quotePrefix="0" xfId="0">
      <alignment horizontal="center" vertical="center"/>
    </xf>
    <xf numFmtId="0" fontId="41" fillId="0" borderId="74" applyAlignment="1" pivotButton="0" quotePrefix="0" xfId="0">
      <alignment horizontal="center" vertical="center"/>
    </xf>
    <xf numFmtId="0" fontId="41" fillId="0" borderId="79" applyAlignment="1" pivotButton="0" quotePrefix="0" xfId="0">
      <alignment horizontal="center" vertical="center"/>
    </xf>
    <xf numFmtId="0" fontId="21" fillId="26" borderId="77" applyAlignment="1" pivotButton="0" quotePrefix="0" xfId="0">
      <alignment horizontal="left" vertical="top"/>
    </xf>
    <xf numFmtId="0" fontId="21" fillId="26" borderId="74" applyAlignment="1" pivotButton="0" quotePrefix="0" xfId="0">
      <alignment horizontal="left" vertical="top"/>
    </xf>
    <xf numFmtId="0" fontId="21" fillId="26" borderId="79" applyAlignment="1" pivotButton="0" quotePrefix="0" xfId="0">
      <alignment horizontal="left" vertical="top"/>
    </xf>
    <xf numFmtId="10" fontId="125" fillId="26" borderId="77" applyAlignment="1" pivotButton="0" quotePrefix="0" xfId="0">
      <alignment horizontal="left" vertical="center"/>
    </xf>
    <xf numFmtId="10" fontId="125" fillId="26" borderId="74" applyAlignment="1" pivotButton="0" quotePrefix="0" xfId="0">
      <alignment horizontal="left" vertical="center"/>
    </xf>
    <xf numFmtId="10" fontId="125" fillId="26" borderId="79" applyAlignment="1" pivotButton="0" quotePrefix="0" xfId="0">
      <alignment horizontal="left" vertical="center"/>
    </xf>
    <xf numFmtId="0" fontId="21" fillId="0" borderId="77" applyAlignment="1" pivotButton="0" quotePrefix="0" xfId="0">
      <alignment horizontal="left" vertical="top"/>
    </xf>
    <xf numFmtId="0" fontId="21" fillId="0" borderId="74" applyAlignment="1" pivotButton="0" quotePrefix="0" xfId="0">
      <alignment horizontal="left" vertical="top"/>
    </xf>
    <xf numFmtId="0" fontId="21" fillId="0" borderId="79" applyAlignment="1" pivotButton="0" quotePrefix="0" xfId="0">
      <alignment horizontal="left" vertical="top"/>
    </xf>
    <xf numFmtId="10" fontId="146" fillId="0" borderId="77" applyAlignment="1" pivotButton="0" quotePrefix="0" xfId="0">
      <alignment horizontal="left" vertical="center"/>
    </xf>
    <xf numFmtId="10" fontId="146" fillId="0" borderId="74" applyAlignment="1" pivotButton="0" quotePrefix="0" xfId="0">
      <alignment horizontal="left" vertical="center"/>
    </xf>
    <xf numFmtId="10" fontId="146" fillId="0" borderId="79" applyAlignment="1" pivotButton="0" quotePrefix="0" xfId="0">
      <alignment horizontal="left" vertical="center"/>
    </xf>
    <xf numFmtId="0" fontId="21" fillId="0" borderId="75" applyAlignment="1" pivotButton="0" quotePrefix="0" xfId="0">
      <alignment horizontal="left" vertical="top"/>
    </xf>
    <xf numFmtId="0" fontId="173" fillId="59" borderId="32" applyAlignment="1" pivotButton="0" quotePrefix="0" xfId="0">
      <alignment horizontal="center" vertical="center"/>
    </xf>
    <xf numFmtId="0" fontId="173" fillId="59" borderId="92" applyAlignment="1" pivotButton="0" quotePrefix="0" xfId="0">
      <alignment horizontal="center" vertical="center"/>
    </xf>
    <xf numFmtId="0" fontId="173" fillId="59" borderId="16" applyAlignment="1" pivotButton="0" quotePrefix="0" xfId="0">
      <alignment horizontal="center" vertical="center"/>
    </xf>
    <xf numFmtId="0" fontId="173" fillId="0" borderId="80" applyAlignment="1" pivotButton="0" quotePrefix="0" xfId="0">
      <alignment horizontal="left" vertical="center"/>
    </xf>
    <xf numFmtId="0" fontId="173" fillId="0" borderId="18" applyAlignment="1" pivotButton="0" quotePrefix="0" xfId="0">
      <alignment horizontal="left" vertical="center"/>
    </xf>
    <xf numFmtId="0" fontId="173" fillId="0" borderId="80" applyAlignment="1" pivotButton="0" quotePrefix="0" xfId="0">
      <alignment horizontal="center" vertical="center"/>
    </xf>
    <xf numFmtId="0" fontId="173" fillId="0" borderId="18" applyAlignment="1" pivotButton="0" quotePrefix="0" xfId="0">
      <alignment horizontal="center" vertical="center"/>
    </xf>
    <xf numFmtId="0" fontId="173" fillId="0" borderId="119" applyAlignment="1" pivotButton="0" quotePrefix="0" xfId="0">
      <alignment horizontal="left" vertical="center"/>
    </xf>
    <xf numFmtId="0" fontId="201" fillId="58" borderId="32" applyAlignment="1" pivotButton="0" quotePrefix="0" xfId="0">
      <alignment horizontal="center" vertical="center"/>
    </xf>
    <xf numFmtId="0" fontId="201" fillId="58" borderId="92" applyAlignment="1" pivotButton="0" quotePrefix="0" xfId="0">
      <alignment horizontal="center" vertical="center"/>
    </xf>
    <xf numFmtId="0" fontId="201" fillId="58" borderId="16" applyAlignment="1" pivotButton="0" quotePrefix="0" xfId="0">
      <alignment horizontal="center" vertical="center"/>
    </xf>
    <xf numFmtId="0" fontId="199" fillId="58" borderId="32" applyAlignment="1" pivotButton="0" quotePrefix="0" xfId="0">
      <alignment horizontal="center" vertical="center"/>
    </xf>
    <xf numFmtId="0" fontId="199" fillId="58" borderId="92" applyAlignment="1" pivotButton="0" quotePrefix="0" xfId="0">
      <alignment horizontal="center" vertical="center"/>
    </xf>
    <xf numFmtId="0" fontId="199" fillId="58" borderId="16" applyAlignment="1" pivotButton="0" quotePrefix="0" xfId="0">
      <alignment horizontal="center" vertical="center"/>
    </xf>
    <xf numFmtId="0" fontId="173" fillId="40" borderId="72" applyAlignment="1" pivotButton="0" quotePrefix="0" xfId="0">
      <alignment horizontal="center" vertical="center"/>
    </xf>
    <xf numFmtId="0" fontId="173" fillId="40" borderId="0" applyAlignment="1" pivotButton="0" quotePrefix="0" xfId="0">
      <alignment horizontal="center" vertical="center"/>
    </xf>
    <xf numFmtId="0" fontId="173" fillId="40" borderId="69" applyAlignment="1" pivotButton="0" quotePrefix="0" xfId="0">
      <alignment horizontal="center" vertical="center"/>
    </xf>
    <xf numFmtId="0" fontId="102" fillId="2" borderId="28" applyAlignment="1" pivotButton="0" quotePrefix="0" xfId="0">
      <alignment horizontal="center" vertical="center"/>
    </xf>
    <xf numFmtId="0" fontId="102" fillId="2" borderId="36" applyAlignment="1" pivotButton="0" quotePrefix="0" xfId="0">
      <alignment horizontal="center" vertical="center"/>
    </xf>
    <xf numFmtId="0" fontId="102" fillId="2" borderId="29" applyAlignment="1" pivotButton="0" quotePrefix="0" xfId="0">
      <alignment horizontal="center" vertical="center"/>
    </xf>
    <xf numFmtId="0" fontId="102" fillId="2" borderId="30" applyAlignment="1" pivotButton="0" quotePrefix="0" xfId="0">
      <alignment horizontal="center" vertical="center"/>
    </xf>
    <xf numFmtId="0" fontId="102" fillId="2" borderId="38" applyAlignment="1" pivotButton="0" quotePrefix="0" xfId="0">
      <alignment horizontal="center" vertical="center"/>
    </xf>
    <xf numFmtId="0" fontId="102" fillId="2" borderId="31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5" fillId="0" borderId="76" applyAlignment="1" pivotButton="0" quotePrefix="0" xfId="0">
      <alignment horizontal="left" vertical="center"/>
    </xf>
    <xf numFmtId="0" fontId="15" fillId="0" borderId="1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5" fillId="0" borderId="142" applyAlignment="1" pivotButton="0" quotePrefix="0" xfId="0">
      <alignment horizontal="center" vertical="center"/>
    </xf>
    <xf numFmtId="3" fontId="15" fillId="0" borderId="112" applyAlignment="1" pivotButton="0" quotePrefix="0" xfId="0">
      <alignment horizontal="center" vertical="center"/>
    </xf>
    <xf numFmtId="3" fontId="15" fillId="0" borderId="18" applyAlignment="1" pivotButton="0" quotePrefix="0" xfId="0">
      <alignment horizontal="center" vertical="center"/>
    </xf>
    <xf numFmtId="3" fontId="15" fillId="0" borderId="80" applyAlignment="1" pivotButton="0" quotePrefix="0" xfId="0">
      <alignment horizontal="center" vertical="center"/>
    </xf>
    <xf numFmtId="0" fontId="0" fillId="0" borderId="142" applyAlignment="1" pivotButton="0" quotePrefix="0" xfId="0">
      <alignment horizontal="center" vertical="center"/>
    </xf>
    <xf numFmtId="0" fontId="15" fillId="0" borderId="80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5" fillId="0" borderId="119" applyAlignment="1" pivotButton="0" quotePrefix="0" xfId="0">
      <alignment horizontal="left" vertical="center" wrapText="1"/>
    </xf>
    <xf numFmtId="0" fontId="15" fillId="0" borderId="80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left" vertical="center" wrapText="1"/>
    </xf>
    <xf numFmtId="0" fontId="15" fillId="0" borderId="112" applyAlignment="1" pivotButton="0" quotePrefix="0" xfId="0">
      <alignment horizontal="left" vertical="center" wrapText="1"/>
    </xf>
    <xf numFmtId="0" fontId="15" fillId="0" borderId="80" applyAlignment="1" pivotButton="0" quotePrefix="0" xfId="0">
      <alignment horizontal="left" vertical="center"/>
    </xf>
    <xf numFmtId="0" fontId="15" fillId="0" borderId="18" applyAlignment="1" pivotButton="0" quotePrefix="0" xfId="0">
      <alignment horizontal="left" vertical="center"/>
    </xf>
    <xf numFmtId="0" fontId="15" fillId="0" borderId="109" applyAlignment="1" pivotButton="0" quotePrefix="0" xfId="0">
      <alignment horizontal="center" vertical="center"/>
    </xf>
    <xf numFmtId="0" fontId="15" fillId="0" borderId="112" applyAlignment="1" pivotButton="0" quotePrefix="0" xfId="0">
      <alignment horizontal="center" vertical="center"/>
    </xf>
    <xf numFmtId="0" fontId="15" fillId="0" borderId="112" applyAlignment="1" pivotButton="0" quotePrefix="0" xfId="0">
      <alignment horizontal="center" vertical="center" wrapText="1"/>
    </xf>
    <xf numFmtId="0" fontId="15" fillId="26" borderId="80" applyAlignment="1" pivotButton="0" quotePrefix="0" xfId="0">
      <alignment horizontal="left" vertical="center" wrapText="1"/>
    </xf>
    <xf numFmtId="0" fontId="15" fillId="26" borderId="18" applyAlignment="1" pivotButton="0" quotePrefix="0" xfId="0">
      <alignment horizontal="left" vertical="center" wrapText="1"/>
    </xf>
    <xf numFmtId="0" fontId="15" fillId="26" borderId="82" applyAlignment="1" pivotButton="0" quotePrefix="0" xfId="0">
      <alignment horizontal="left" vertical="center" wrapText="1"/>
    </xf>
    <xf numFmtId="0" fontId="15" fillId="26" borderId="90" applyAlignment="1" pivotButton="0" quotePrefix="0" xfId="0">
      <alignment horizontal="left" vertical="center" wrapText="1"/>
    </xf>
    <xf numFmtId="0" fontId="15" fillId="26" borderId="112" applyAlignment="1" pivotButton="0" quotePrefix="0" xfId="0">
      <alignment horizontal="left" vertical="center" wrapText="1"/>
    </xf>
    <xf numFmtId="0" fontId="15" fillId="0" borderId="109" applyAlignment="1" pivotButton="0" quotePrefix="0" xfId="0">
      <alignment horizontal="left" vertical="center"/>
    </xf>
    <xf numFmtId="0" fontId="15" fillId="0" borderId="111" applyAlignment="1" pivotButton="0" quotePrefix="0" xfId="0">
      <alignment horizontal="center" vertical="center"/>
    </xf>
    <xf numFmtId="0" fontId="15" fillId="0" borderId="90" applyAlignment="1" pivotButton="0" quotePrefix="0" xfId="0">
      <alignment horizontal="left" vertical="center" wrapText="1"/>
    </xf>
    <xf numFmtId="0" fontId="15" fillId="0" borderId="82" applyAlignment="1" pivotButton="0" quotePrefix="0" xfId="0">
      <alignment horizontal="left" vertical="center" wrapText="1"/>
    </xf>
    <xf numFmtId="0" fontId="15" fillId="29" borderId="109" applyAlignment="1" pivotButton="0" quotePrefix="0" xfId="0">
      <alignment horizontal="left" vertical="center"/>
    </xf>
    <xf numFmtId="0" fontId="15" fillId="15" borderId="109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6" fillId="0" borderId="112" applyAlignment="1" pivotButton="0" quotePrefix="0" xfId="72">
      <alignment horizontal="center" vertical="center" wrapText="1"/>
    </xf>
    <xf numFmtId="0" fontId="166" fillId="0" borderId="80" applyAlignment="1" pivotButton="0" quotePrefix="0" xfId="72">
      <alignment horizontal="center" vertical="center" wrapText="1"/>
    </xf>
    <xf numFmtId="0" fontId="166" fillId="0" borderId="18" applyAlignment="1" pivotButton="0" quotePrefix="0" xfId="72">
      <alignment horizontal="center" vertical="center" wrapText="1"/>
    </xf>
    <xf numFmtId="0" fontId="166" fillId="0" borderId="112" applyAlignment="1" pivotButton="0" quotePrefix="0" xfId="72">
      <alignment horizontal="center" vertical="center"/>
    </xf>
    <xf numFmtId="0" fontId="166" fillId="0" borderId="80" applyAlignment="1" pivotButton="0" quotePrefix="0" xfId="72">
      <alignment horizontal="center" vertical="center"/>
    </xf>
    <xf numFmtId="0" fontId="166" fillId="0" borderId="18" applyAlignment="1" pivotButton="0" quotePrefix="0" xfId="72">
      <alignment horizontal="center" vertical="center"/>
    </xf>
    <xf numFmtId="0" fontId="166" fillId="0" borderId="111" applyAlignment="1" pivotButton="0" quotePrefix="0" xfId="72">
      <alignment horizontal="center" vertical="center"/>
    </xf>
    <xf numFmtId="0" fontId="166" fillId="0" borderId="105" applyAlignment="1" pivotButton="0" quotePrefix="0" xfId="72">
      <alignment horizontal="center" vertical="center"/>
    </xf>
    <xf numFmtId="0" fontId="166" fillId="0" borderId="106" applyAlignment="1" pivotButton="0" quotePrefix="0" xfId="72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86" fillId="0" borderId="10" applyAlignment="1" pivotButton="0" quotePrefix="0" xfId="0">
      <alignment horizontal="center" vertical="center"/>
    </xf>
    <xf numFmtId="0" fontId="86" fillId="0" borderId="57" applyAlignment="1" pivotButton="0" quotePrefix="0" xfId="0">
      <alignment horizontal="center" vertical="center"/>
    </xf>
    <xf numFmtId="0" fontId="86" fillId="0" borderId="58" applyAlignment="1" pivotButton="0" quotePrefix="0" xfId="0">
      <alignment horizontal="center" vertical="center"/>
    </xf>
    <xf numFmtId="0" fontId="86" fillId="0" borderId="21" applyAlignment="1" pivotButton="0" quotePrefix="0" xfId="0">
      <alignment horizontal="center" vertical="center"/>
    </xf>
    <xf numFmtId="0" fontId="86" fillId="0" borderId="32" applyAlignment="1" pivotButton="0" quotePrefix="0" xfId="0">
      <alignment horizontal="center" vertical="center"/>
    </xf>
    <xf numFmtId="0" fontId="86" fillId="0" borderId="35" applyAlignment="1" pivotButton="0" quotePrefix="0" xfId="0">
      <alignment horizontal="center" vertical="center"/>
    </xf>
    <xf numFmtId="0" fontId="86" fillId="0" borderId="16" applyAlignment="1" pivotButton="0" quotePrefix="0" xfId="0">
      <alignment horizontal="center" vertical="center"/>
    </xf>
    <xf numFmtId="0" fontId="166" fillId="0" borderId="0" applyAlignment="1" pivotButton="0" quotePrefix="0" xfId="72">
      <alignment horizontal="left" vertical="center"/>
    </xf>
    <xf numFmtId="0" fontId="167" fillId="0" borderId="0" applyAlignment="1" pivotButton="0" quotePrefix="0" xfId="71">
      <alignment horizontal="left" vertical="center" wrapText="1"/>
    </xf>
    <xf numFmtId="0" fontId="166" fillId="0" borderId="0" applyAlignment="1" pivotButton="0" quotePrefix="0" xfId="72">
      <alignment horizontal="left"/>
    </xf>
    <xf numFmtId="0" fontId="118" fillId="0" borderId="0" applyAlignment="1" pivotButton="0" quotePrefix="0" xfId="72">
      <alignment horizontal="left" vertical="center" wrapText="1"/>
    </xf>
    <xf numFmtId="0" fontId="166" fillId="0" borderId="0" applyAlignment="1" pivotButton="0" quotePrefix="0" xfId="72">
      <alignment horizontal="center"/>
    </xf>
    <xf numFmtId="0" fontId="166" fillId="0" borderId="75" applyAlignment="1" pivotButton="0" quotePrefix="0" xfId="72">
      <alignment horizontal="left" vertical="center"/>
    </xf>
    <xf numFmtId="0" fontId="34" fillId="0" borderId="24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0" fontId="34" fillId="0" borderId="5" applyAlignment="1" pivotButton="0" quotePrefix="0" xfId="0">
      <alignment horizontal="center" vertical="center"/>
    </xf>
    <xf numFmtId="0" fontId="36" fillId="0" borderId="2" applyAlignment="1" pivotButton="0" quotePrefix="0" xfId="0">
      <alignment horizontal="center" vertical="center"/>
    </xf>
    <xf numFmtId="0" fontId="36" fillId="0" borderId="49" applyAlignment="1" pivotButton="0" quotePrefix="0" xfId="0">
      <alignment horizontal="center" vertical="center"/>
    </xf>
    <xf numFmtId="171" fontId="34" fillId="0" borderId="52" applyAlignment="1" pivotButton="0" quotePrefix="0" xfId="0">
      <alignment horizontal="center" vertical="center"/>
    </xf>
    <xf numFmtId="0" fontId="34" fillId="0" borderId="51" applyAlignment="1" pivotButton="0" quotePrefix="0" xfId="0">
      <alignment horizontal="center" vertical="center"/>
    </xf>
    <xf numFmtId="0" fontId="71" fillId="0" borderId="11" applyAlignment="1" pivotButton="0" quotePrefix="0" xfId="0">
      <alignment horizontal="center" vertical="center"/>
    </xf>
    <xf numFmtId="0" fontId="71" fillId="0" borderId="7" applyAlignment="1" pivotButton="0" quotePrefix="0" xfId="0">
      <alignment horizontal="center" vertical="center"/>
    </xf>
    <xf numFmtId="0" fontId="71" fillId="0" borderId="10" applyAlignment="1" pivotButton="0" quotePrefix="0" xfId="0">
      <alignment horizontal="center" vertical="center"/>
    </xf>
    <xf numFmtId="0" fontId="71" fillId="0" borderId="2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 wrapText="1"/>
    </xf>
    <xf numFmtId="0" fontId="41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left" vertical="top" wrapText="1"/>
    </xf>
    <xf numFmtId="0" fontId="57" fillId="0" borderId="2" applyAlignment="1" pivotButton="0" quotePrefix="0" xfId="0">
      <alignment horizontal="left" vertical="top"/>
    </xf>
    <xf numFmtId="0" fontId="41" fillId="0" borderId="12" applyAlignment="1" pivotButton="0" quotePrefix="0" xfId="0">
      <alignment horizontal="center" vertical="center" wrapText="1"/>
    </xf>
    <xf numFmtId="0" fontId="41" fillId="0" borderId="4" applyAlignment="1" pivotButton="0" quotePrefix="0" xfId="0">
      <alignment horizontal="center" vertical="center"/>
    </xf>
    <xf numFmtId="0" fontId="41" fillId="0" borderId="4" applyAlignment="1" pivotButton="0" quotePrefix="0" xfId="0">
      <alignment horizontal="left" vertical="top" wrapText="1"/>
    </xf>
    <xf numFmtId="0" fontId="57" fillId="0" borderId="4" applyAlignment="1" pivotButton="0" quotePrefix="0" xfId="0">
      <alignment horizontal="left" vertical="top"/>
    </xf>
    <xf numFmtId="0" fontId="41" fillId="0" borderId="49" applyAlignment="1" pivotButton="0" quotePrefix="0" xfId="0">
      <alignment horizontal="left" vertical="top" wrapText="1"/>
    </xf>
    <xf numFmtId="0" fontId="41" fillId="0" borderId="51" applyAlignment="1" pivotButton="0" quotePrefix="0" xfId="0">
      <alignment horizontal="left" vertical="top" wrapText="1"/>
    </xf>
    <xf numFmtId="0" fontId="41" fillId="0" borderId="18" applyAlignment="1" pivotButton="0" quotePrefix="0" xfId="0">
      <alignment horizontal="left" vertical="top" wrapText="1"/>
    </xf>
    <xf numFmtId="0" fontId="75" fillId="0" borderId="12" applyAlignment="1" pivotButton="0" quotePrefix="0" xfId="0">
      <alignment horizontal="center" vertical="center"/>
    </xf>
    <xf numFmtId="0" fontId="75" fillId="0" borderId="4" applyAlignment="1" pivotButton="0" quotePrefix="0" xfId="0">
      <alignment horizontal="center" vertical="center"/>
    </xf>
    <xf numFmtId="0" fontId="71" fillId="0" borderId="48" applyAlignment="1" pivotButton="0" quotePrefix="0" xfId="0">
      <alignment horizontal="center" vertical="center"/>
    </xf>
    <xf numFmtId="0" fontId="71" fillId="0" borderId="14" applyAlignment="1" pivotButton="0" quotePrefix="0" xfId="0">
      <alignment horizontal="center" vertical="center"/>
    </xf>
    <xf numFmtId="0" fontId="71" fillId="0" borderId="15" applyAlignment="1" pivotButton="0" quotePrefix="0" xfId="0">
      <alignment horizontal="center" vertical="center"/>
    </xf>
    <xf numFmtId="0" fontId="34" fillId="16" borderId="11" applyAlignment="1" pivotButton="0" quotePrefix="0" xfId="0">
      <alignment horizontal="center" vertical="center"/>
    </xf>
    <xf numFmtId="0" fontId="34" fillId="16" borderId="7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36" fillId="14" borderId="4" applyAlignment="1" pivotButton="0" quotePrefix="0" xfId="0">
      <alignment horizontal="center" vertical="center"/>
    </xf>
    <xf numFmtId="0" fontId="34" fillId="0" borderId="2" applyAlignment="1" pivotButton="0" quotePrefix="0" xfId="0">
      <alignment horizontal="center" vertical="center"/>
    </xf>
    <xf numFmtId="0" fontId="34" fillId="0" borderId="7" applyAlignment="1" pivotButton="0" quotePrefix="0" xfId="0">
      <alignment horizontal="center" vertical="center"/>
    </xf>
    <xf numFmtId="0" fontId="75" fillId="0" borderId="48" applyAlignment="1" pivotButton="0" quotePrefix="0" xfId="0">
      <alignment horizontal="center" vertical="center"/>
    </xf>
    <xf numFmtId="0" fontId="75" fillId="0" borderId="14" applyAlignment="1" pivotButton="0" quotePrefix="0" xfId="0">
      <alignment horizontal="center" vertical="center"/>
    </xf>
    <xf numFmtId="0" fontId="75" fillId="0" borderId="15" applyAlignment="1" pivotButton="0" quotePrefix="0" xfId="0">
      <alignment horizontal="center" vertical="center"/>
    </xf>
    <xf numFmtId="0" fontId="57" fillId="0" borderId="49" applyAlignment="1" pivotButton="0" quotePrefix="0" xfId="0">
      <alignment horizontal="left" vertical="top"/>
    </xf>
    <xf numFmtId="0" fontId="57" fillId="0" borderId="51" applyAlignment="1" pivotButton="0" quotePrefix="0" xfId="0">
      <alignment horizontal="left" vertical="top"/>
    </xf>
    <xf numFmtId="0" fontId="57" fillId="0" borderId="18" applyAlignment="1" pivotButton="0" quotePrefix="0" xfId="0">
      <alignment horizontal="left" vertical="top"/>
    </xf>
    <xf numFmtId="0" fontId="41" fillId="0" borderId="17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41" fillId="0" borderId="18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68" fillId="0" borderId="51" applyAlignment="1" pivotButton="0" quotePrefix="0" xfId="0">
      <alignment horizontal="left" vertical="top" wrapText="1"/>
    </xf>
    <xf numFmtId="0" fontId="68" fillId="0" borderId="51" applyAlignment="1" pivotButton="0" quotePrefix="0" xfId="0">
      <alignment horizontal="left" vertical="top"/>
    </xf>
    <xf numFmtId="0" fontId="68" fillId="0" borderId="34" applyAlignment="1" pivotButton="0" quotePrefix="0" xfId="0">
      <alignment horizontal="left" vertical="top"/>
    </xf>
    <xf numFmtId="0" fontId="57" fillId="0" borderId="7" applyAlignment="1" pivotButton="0" quotePrefix="0" xfId="0">
      <alignment horizontal="left" vertical="top"/>
    </xf>
    <xf numFmtId="0" fontId="36" fillId="12" borderId="12" applyAlignment="1" pivotButton="0" quotePrefix="0" xfId="0">
      <alignment horizontal="center" vertical="center"/>
    </xf>
    <xf numFmtId="0" fontId="36" fillId="12" borderId="4" applyAlignment="1" pivotButton="0" quotePrefix="0" xfId="0">
      <alignment horizontal="center" vertical="center"/>
    </xf>
    <xf numFmtId="0" fontId="67" fillId="0" borderId="10" applyAlignment="1" pivotButton="0" quotePrefix="0" xfId="0">
      <alignment horizontal="center" vertical="center"/>
    </xf>
    <xf numFmtId="0" fontId="67" fillId="0" borderId="46" applyAlignment="1" pivotButton="0" quotePrefix="0" xfId="0">
      <alignment horizontal="center" vertical="center"/>
    </xf>
    <xf numFmtId="0" fontId="67" fillId="0" borderId="2" applyAlignment="1" pivotButton="0" quotePrefix="0" xfId="0">
      <alignment horizontal="center" vertical="center"/>
    </xf>
    <xf numFmtId="0" fontId="67" fillId="0" borderId="49" applyAlignment="1" pivotButton="0" quotePrefix="0" xfId="0">
      <alignment horizontal="center" vertical="center"/>
    </xf>
    <xf numFmtId="0" fontId="36" fillId="7" borderId="12" applyAlignment="1" pivotButton="0" quotePrefix="0" xfId="0">
      <alignment horizontal="center" vertical="center"/>
    </xf>
    <xf numFmtId="0" fontId="36" fillId="7" borderId="4" applyAlignment="1" pivotButton="0" quotePrefix="0" xfId="0">
      <alignment horizontal="center" vertical="center"/>
    </xf>
    <xf numFmtId="0" fontId="41" fillId="0" borderId="53" applyAlignment="1" pivotButton="0" quotePrefix="0" xfId="0">
      <alignment horizontal="center" vertical="center" wrapText="1"/>
    </xf>
    <xf numFmtId="0" fontId="41" fillId="0" borderId="51" applyAlignment="1" pivotButton="0" quotePrefix="0" xfId="0">
      <alignment horizontal="center" vertical="center"/>
    </xf>
    <xf numFmtId="0" fontId="41" fillId="0" borderId="46" applyAlignment="1" pivotButton="0" quotePrefix="0" xfId="0">
      <alignment horizontal="center" vertical="center" wrapText="1"/>
    </xf>
    <xf numFmtId="0" fontId="41" fillId="0" borderId="49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 wrapText="1"/>
    </xf>
    <xf numFmtId="0" fontId="35" fillId="0" borderId="2" applyAlignment="1" pivotButton="0" quotePrefix="0" xfId="0">
      <alignment horizontal="center" vertical="center"/>
    </xf>
    <xf numFmtId="0" fontId="36" fillId="13" borderId="2" applyAlignment="1" pivotButton="0" quotePrefix="0" xfId="0">
      <alignment horizontal="center" vertical="center"/>
    </xf>
    <xf numFmtId="0" fontId="34" fillId="16" borderId="10" applyAlignment="1" pivotButton="0" quotePrefix="0" xfId="0">
      <alignment horizontal="center" vertical="center"/>
    </xf>
    <xf numFmtId="0" fontId="34" fillId="16" borderId="2" applyAlignment="1" pivotButton="0" quotePrefix="0" xfId="0">
      <alignment horizontal="center" vertical="center"/>
    </xf>
    <xf numFmtId="0" fontId="34" fillId="0" borderId="49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6" fillId="6" borderId="2" applyAlignment="1" pivotButton="0" quotePrefix="0" xfId="0">
      <alignment horizontal="center" vertical="center"/>
    </xf>
    <xf numFmtId="0" fontId="36" fillId="10" borderId="13" applyAlignment="1" pivotButton="0" quotePrefix="0" xfId="0">
      <alignment horizontal="center" vertical="center"/>
    </xf>
    <xf numFmtId="0" fontId="36" fillId="10" borderId="14" applyAlignment="1" pivotButton="0" quotePrefix="0" xfId="0">
      <alignment horizontal="center" vertical="center"/>
    </xf>
    <xf numFmtId="0" fontId="36" fillId="10" borderId="15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4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 wrapText="1"/>
    </xf>
    <xf numFmtId="0" fontId="35" fillId="0" borderId="10" applyAlignment="1" pivotButton="0" quotePrefix="0" xfId="0">
      <alignment horizontal="center" vertical="center" wrapText="1"/>
    </xf>
    <xf numFmtId="0" fontId="35" fillId="0" borderId="18" applyAlignment="1" pivotButton="0" quotePrefix="0" xfId="0">
      <alignment horizontal="center" vertical="center" wrapText="1"/>
    </xf>
    <xf numFmtId="0" fontId="35" fillId="0" borderId="2" applyAlignment="1" pivotButton="0" quotePrefix="0" xfId="0">
      <alignment vertical="top" wrapText="1"/>
    </xf>
    <xf numFmtId="0" fontId="34" fillId="16" borderId="57" applyAlignment="1" pivotButton="0" quotePrefix="0" xfId="0">
      <alignment horizontal="center" vertical="center"/>
    </xf>
    <xf numFmtId="0" fontId="34" fillId="16" borderId="58" applyAlignment="1" pivotButton="0" quotePrefix="0" xfId="0">
      <alignment horizontal="center" vertical="center"/>
    </xf>
    <xf numFmtId="0" fontId="34" fillId="16" borderId="21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7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35" fillId="0" borderId="18" applyAlignment="1" pivotButton="0" quotePrefix="0" xfId="0">
      <alignment vertical="top" wrapText="1"/>
    </xf>
    <xf numFmtId="0" fontId="57" fillId="0" borderId="18" applyAlignment="1" pivotButton="0" quotePrefix="0" xfId="0">
      <alignment horizontal="left" vertical="top" wrapText="1"/>
    </xf>
    <xf numFmtId="0" fontId="57" fillId="0" borderId="2" applyAlignment="1" pivotButton="0" quotePrefix="0" xfId="0">
      <alignment horizontal="left" vertical="top" wrapText="1"/>
    </xf>
    <xf numFmtId="0" fontId="36" fillId="15" borderId="12" applyAlignment="1" pivotButton="0" quotePrefix="0" xfId="0">
      <alignment horizontal="center" vertical="center"/>
    </xf>
    <xf numFmtId="0" fontId="36" fillId="15" borderId="4" applyAlignment="1" pivotButton="0" quotePrefix="0" xfId="0">
      <alignment horizontal="center" vertical="center"/>
    </xf>
    <xf numFmtId="0" fontId="34" fillId="16" borderId="30" applyAlignment="1" pivotButton="0" quotePrefix="0" xfId="0">
      <alignment horizontal="center" vertical="center"/>
    </xf>
    <xf numFmtId="0" fontId="34" fillId="16" borderId="38" applyAlignment="1" pivotButton="0" quotePrefix="0" xfId="0">
      <alignment horizontal="center" vertical="center"/>
    </xf>
    <xf numFmtId="0" fontId="34" fillId="16" borderId="55" applyAlignment="1" pivotButton="0" quotePrefix="0" xfId="0">
      <alignment horizontal="center" vertical="center"/>
    </xf>
    <xf numFmtId="0" fontId="0" fillId="2" borderId="117" applyAlignment="1" pivotButton="0" quotePrefix="0" xfId="0">
      <alignment horizontal="center" vertical="center"/>
    </xf>
    <xf numFmtId="0" fontId="28" fillId="0" borderId="119" applyAlignment="1" pivotButton="0" quotePrefix="0" xfId="0">
      <alignment horizontal="center" vertical="center"/>
    </xf>
    <xf numFmtId="0" fontId="110" fillId="0" borderId="18" applyAlignment="1" pivotButton="0" quotePrefix="0" xfId="0">
      <alignment horizontal="center" vertical="center"/>
    </xf>
    <xf numFmtId="0" fontId="110" fillId="0" borderId="119" applyAlignment="1" pivotButton="0" quotePrefix="0" xfId="0">
      <alignment horizontal="center" vertical="center"/>
    </xf>
    <xf numFmtId="0" fontId="0" fillId="0" borderId="0" pivotButton="0" quotePrefix="0" xfId="0"/>
    <xf numFmtId="190" fontId="107" fillId="0" borderId="13" applyAlignment="1" applyProtection="1" pivotButton="0" quotePrefix="0" xfId="0">
      <alignment horizontal="left" vertical="center"/>
      <protection locked="0" hidden="0"/>
    </xf>
    <xf numFmtId="189" fontId="107" fillId="0" borderId="13" applyAlignment="1" applyProtection="1" pivotButton="0" quotePrefix="0" xfId="0">
      <alignment horizontal="left" vertical="center"/>
      <protection locked="0" hidden="0"/>
    </xf>
    <xf numFmtId="0" fontId="36" fillId="0" borderId="140" applyAlignment="1" pivotButton="0" quotePrefix="0" xfId="0">
      <alignment horizontal="left" vertical="center"/>
    </xf>
    <xf numFmtId="0" fontId="0" fillId="0" borderId="105" pivotButton="0" quotePrefix="0" xfId="0"/>
    <xf numFmtId="0" fontId="0" fillId="0" borderId="118" pivotButton="0" quotePrefix="0" xfId="0"/>
    <xf numFmtId="180" fontId="35" fillId="0" borderId="0" applyAlignment="1" applyProtection="1" pivotButton="0" quotePrefix="0" xfId="0">
      <alignment vertical="center"/>
      <protection locked="0" hidden="0"/>
    </xf>
    <xf numFmtId="0" fontId="29" fillId="0" borderId="140" applyAlignment="1" pivotButton="0" quotePrefix="0" xfId="0">
      <alignment horizontal="left" vertical="center"/>
    </xf>
    <xf numFmtId="177" fontId="35" fillId="22" borderId="53" applyAlignment="1" pivotButton="0" quotePrefix="0" xfId="0">
      <alignment horizontal="center" vertical="center"/>
    </xf>
    <xf numFmtId="179" fontId="35" fillId="0" borderId="51" applyAlignment="1" pivotButton="0" quotePrefix="0" xfId="0">
      <alignment horizontal="center" vertical="center"/>
    </xf>
    <xf numFmtId="179" fontId="35" fillId="0" borderId="3" applyAlignment="1" pivotButton="0" quotePrefix="0" xfId="0">
      <alignment horizontal="center" vertical="center"/>
    </xf>
    <xf numFmtId="165" fontId="35" fillId="0" borderId="2" applyAlignment="1" pivotButton="0" quotePrefix="0" xfId="0">
      <alignment horizontal="center" vertical="center"/>
    </xf>
    <xf numFmtId="179" fontId="35" fillId="0" borderId="67" applyAlignment="1" pivotButton="0" quotePrefix="0" xfId="0">
      <alignment horizontal="center" vertical="center"/>
    </xf>
    <xf numFmtId="165" fontId="35" fillId="0" borderId="7" applyAlignment="1" pivotButton="0" quotePrefix="0" xfId="0">
      <alignment horizontal="center" vertical="center"/>
    </xf>
    <xf numFmtId="179" fontId="35" fillId="0" borderId="68" applyAlignment="1" pivotButton="0" quotePrefix="0" xfId="0">
      <alignment horizontal="center" vertical="center"/>
    </xf>
    <xf numFmtId="179" fontId="43" fillId="0" borderId="45" applyAlignment="1" pivotButton="0" quotePrefix="0" xfId="0">
      <alignment horizontal="center" vertical="center"/>
    </xf>
    <xf numFmtId="0" fontId="0" fillId="0" borderId="40" pivotButton="0" quotePrefix="0" xfId="0"/>
    <xf numFmtId="177" fontId="35" fillId="22" borderId="10" applyAlignment="1" pivotButton="0" quotePrefix="0" xfId="0">
      <alignment horizontal="center" vertical="center"/>
    </xf>
    <xf numFmtId="191" fontId="80" fillId="0" borderId="0" applyAlignment="1" pivotButton="0" quotePrefix="0" xfId="0">
      <alignment horizontal="center" vertical="center"/>
    </xf>
    <xf numFmtId="177" fontId="35" fillId="29" borderId="53" applyAlignment="1" pivotButton="0" quotePrefix="0" xfId="0">
      <alignment horizontal="center" vertical="center"/>
    </xf>
    <xf numFmtId="177" fontId="35" fillId="29" borderId="11" applyAlignment="1" pivotButton="0" quotePrefix="0" xfId="0">
      <alignment horizontal="center" vertical="center"/>
    </xf>
    <xf numFmtId="177" fontId="35" fillId="0" borderId="53" applyAlignment="1" pivotButton="0" quotePrefix="0" xfId="0">
      <alignment horizontal="center" vertical="center"/>
    </xf>
    <xf numFmtId="177" fontId="35" fillId="0" borderId="11" applyAlignment="1" pivotButton="0" quotePrefix="0" xfId="0">
      <alignment horizontal="center" vertical="center"/>
    </xf>
    <xf numFmtId="177" fontId="35" fillId="22" borderId="5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17" pivotButton="0" quotePrefix="0" xfId="0"/>
    <xf numFmtId="177" fontId="35" fillId="29" borderId="104" applyAlignment="1" pivotButton="0" quotePrefix="0" xfId="0">
      <alignment horizontal="center" vertical="center"/>
    </xf>
    <xf numFmtId="177" fontId="35" fillId="0" borderId="44" applyAlignment="1" pivotButton="0" quotePrefix="0" xfId="0">
      <alignment horizontal="center" vertical="center"/>
    </xf>
    <xf numFmtId="166" fontId="36" fillId="0" borderId="0" applyAlignment="1" pivotButton="0" quotePrefix="0" xfId="0">
      <alignment vertical="center"/>
    </xf>
    <xf numFmtId="166" fontId="48" fillId="30" borderId="42" applyAlignment="1" pivotButton="0" quotePrefix="0" xfId="0">
      <alignment horizontal="center" vertical="center"/>
    </xf>
    <xf numFmtId="166" fontId="48" fillId="30" borderId="43" applyAlignment="1" pivotButton="0" quotePrefix="0" xfId="0">
      <alignment horizontal="center" vertical="center"/>
    </xf>
    <xf numFmtId="166" fontId="48" fillId="30" borderId="44" applyAlignment="1" pivotButton="0" quotePrefix="0" xfId="0">
      <alignment horizontal="center" vertical="center"/>
    </xf>
    <xf numFmtId="166" fontId="48" fillId="0" borderId="128" applyAlignment="1" pivotButton="0" quotePrefix="0" xfId="0">
      <alignment horizontal="center" vertical="center"/>
    </xf>
    <xf numFmtId="166" fontId="35" fillId="0" borderId="76" applyAlignment="1" pivotButton="0" quotePrefix="0" xfId="0">
      <alignment horizontal="center" vertical="center"/>
    </xf>
    <xf numFmtId="192" fontId="10" fillId="2" borderId="42" applyAlignment="1" pivotButton="0" quotePrefix="0" xfId="1">
      <alignment vertical="center"/>
    </xf>
    <xf numFmtId="174" fontId="0" fillId="0" borderId="145" applyAlignment="1" pivotButton="0" quotePrefix="0" xfId="0">
      <alignment vertical="center"/>
    </xf>
    <xf numFmtId="166" fontId="35" fillId="0" borderId="0" applyAlignment="1" pivotButton="0" quotePrefix="0" xfId="0">
      <alignment vertical="center"/>
    </xf>
    <xf numFmtId="192" fontId="10" fillId="2" borderId="43" applyAlignment="1" pivotButton="0" quotePrefix="0" xfId="1">
      <alignment vertical="center"/>
    </xf>
    <xf numFmtId="0" fontId="35" fillId="0" borderId="148" applyAlignment="1" pivotButton="0" quotePrefix="0" xfId="0">
      <alignment horizontal="center" vertical="center"/>
    </xf>
    <xf numFmtId="174" fontId="35" fillId="0" borderId="142" applyAlignment="1" pivotButton="0" quotePrefix="0" xfId="0">
      <alignment horizontal="center" vertical="center"/>
    </xf>
    <xf numFmtId="174" fontId="109" fillId="0" borderId="0" applyAlignment="1" pivotButton="0" quotePrefix="0" xfId="0">
      <alignment vertical="center"/>
    </xf>
    <xf numFmtId="0" fontId="0" fillId="0" borderId="150" pivotButton="0" quotePrefix="0" xfId="0"/>
    <xf numFmtId="177" fontId="35" fillId="0" borderId="142" applyAlignment="1" pivotButton="0" quotePrefix="0" xfId="0">
      <alignment horizontal="center" vertical="center"/>
    </xf>
    <xf numFmtId="10" fontId="36" fillId="2" borderId="142" applyAlignment="1" pivotButton="0" quotePrefix="0" xfId="0">
      <alignment horizontal="center" vertical="center"/>
    </xf>
    <xf numFmtId="0" fontId="0" fillId="0" borderId="144" pivotButton="0" quotePrefix="0" xfId="0"/>
    <xf numFmtId="0" fontId="0" fillId="0" borderId="145" pivotButton="0" quotePrefix="0" xfId="0"/>
    <xf numFmtId="166" fontId="35" fillId="14" borderId="142" applyAlignment="1" pivotButton="0" quotePrefix="0" xfId="0">
      <alignment horizontal="center" vertical="center"/>
    </xf>
    <xf numFmtId="164" fontId="35" fillId="0" borderId="142" applyAlignment="1" pivotButton="0" quotePrefix="0" xfId="0">
      <alignment horizontal="center" vertical="center"/>
    </xf>
    <xf numFmtId="166" fontId="35" fillId="0" borderId="142" applyAlignment="1" pivotButton="0" quotePrefix="0" xfId="0">
      <alignment horizontal="center" vertical="center"/>
    </xf>
    <xf numFmtId="192" fontId="10" fillId="14" borderId="44" applyAlignment="1" pivotButton="0" quotePrefix="0" xfId="1">
      <alignment vertical="center"/>
    </xf>
    <xf numFmtId="198" fontId="35" fillId="0" borderId="142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7" fontId="8" fillId="0" borderId="0" pivotButton="0" quotePrefix="0" xfId="3"/>
    <xf numFmtId="164" fontId="8" fillId="0" borderId="0" pivotButton="0" quotePrefix="0" xfId="3"/>
    <xf numFmtId="0" fontId="37" fillId="0" borderId="32" applyAlignment="1" pivotButton="0" quotePrefix="0" xfId="0">
      <alignment horizontal="center" vertical="center" wrapText="1"/>
    </xf>
    <xf numFmtId="0" fontId="0" fillId="0" borderId="36" pivotButton="0" quotePrefix="0" xfId="0"/>
    <xf numFmtId="194" fontId="37" fillId="0" borderId="35" applyAlignment="1" pivotButton="0" quotePrefix="0" xfId="0">
      <alignment horizontal="center" vertical="center"/>
    </xf>
    <xf numFmtId="0" fontId="37" fillId="0" borderId="35" applyAlignment="1" pivotButton="0" quotePrefix="0" xfId="0">
      <alignment horizontal="left" vertical="center" wrapText="1"/>
    </xf>
    <xf numFmtId="0" fontId="98" fillId="0" borderId="32" applyAlignment="1" pivotButton="0" quotePrefix="0" xfId="0">
      <alignment horizontal="center" vertical="center" wrapText="1"/>
    </xf>
    <xf numFmtId="10" fontId="89" fillId="0" borderId="16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9" fontId="89" fillId="0" borderId="16" applyAlignment="1" pivotButton="0" quotePrefix="0" xfId="0">
      <alignment horizontal="center" vertical="center"/>
    </xf>
    <xf numFmtId="164" fontId="9" fillId="0" borderId="0" pivotButton="0" quotePrefix="0" xfId="3"/>
    <xf numFmtId="0" fontId="0" fillId="0" borderId="30" pivotButton="0" quotePrefix="0" xfId="0"/>
    <xf numFmtId="0" fontId="0" fillId="0" borderId="38" pivotButton="0" quotePrefix="0" xfId="0"/>
    <xf numFmtId="0" fontId="0" fillId="0" borderId="31" pivotButton="0" quotePrefix="0" xfId="0"/>
    <xf numFmtId="0" fontId="9" fillId="0" borderId="4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16" pivotButton="0" quotePrefix="0" xfId="0"/>
    <xf numFmtId="164" fontId="8" fillId="0" borderId="50" applyAlignment="1" pivotButton="0" quotePrefix="0" xfId="3">
      <alignment horizontal="center" vertical="center" wrapText="1"/>
    </xf>
    <xf numFmtId="164" fontId="8" fillId="0" borderId="43" applyAlignment="1" pivotButton="0" quotePrefix="0" xfId="3">
      <alignment horizontal="center" vertical="center" wrapText="1"/>
    </xf>
    <xf numFmtId="164" fontId="9" fillId="21" borderId="35" applyAlignment="1" pivotButton="0" quotePrefix="0" xfId="0">
      <alignment horizontal="center" vertical="center" wrapText="1"/>
    </xf>
    <xf numFmtId="164" fontId="8" fillId="0" borderId="43" applyAlignment="1" pivotButton="0" quotePrefix="0" xfId="0">
      <alignment horizontal="center" vertical="center" wrapText="1"/>
    </xf>
    <xf numFmtId="164" fontId="8" fillId="0" borderId="44" applyAlignment="1" pivotButton="0" quotePrefix="0" xfId="3">
      <alignment horizontal="center" vertical="center" wrapText="1"/>
    </xf>
    <xf numFmtId="164" fontId="8" fillId="11" borderId="36" applyAlignment="1" pivotButton="0" quotePrefix="0" xfId="3">
      <alignment horizontal="center" vertical="center" wrapText="1"/>
    </xf>
    <xf numFmtId="164" fontId="8" fillId="11" borderId="36" applyAlignment="1" pivotButton="0" quotePrefix="0" xfId="0">
      <alignment horizontal="center" vertical="center" wrapText="1"/>
    </xf>
    <xf numFmtId="164" fontId="8" fillId="11" borderId="29" applyAlignment="1" pivotButton="0" quotePrefix="0" xfId="3">
      <alignment horizontal="center" vertical="center" wrapText="1"/>
    </xf>
    <xf numFmtId="164" fontId="8" fillId="11" borderId="60" applyAlignment="1" pivotButton="0" quotePrefix="0" xfId="3">
      <alignment horizontal="center" vertical="center" wrapText="1"/>
    </xf>
    <xf numFmtId="199" fontId="55" fillId="31" borderId="142" applyAlignment="1" pivotButton="0" quotePrefix="0" xfId="0">
      <alignment horizontal="left" vertical="top"/>
    </xf>
    <xf numFmtId="164" fontId="30" fillId="31" borderId="2" applyAlignment="1" pivotButton="0" quotePrefix="0" xfId="0">
      <alignment vertical="center"/>
    </xf>
    <xf numFmtId="172" fontId="30" fillId="31" borderId="15" applyAlignment="1" pivotButton="0" quotePrefix="0" xfId="0">
      <alignment vertical="center"/>
    </xf>
    <xf numFmtId="172" fontId="30" fillId="31" borderId="2" applyAlignment="1" pivotButton="0" quotePrefix="0" xfId="0">
      <alignment vertical="center"/>
    </xf>
    <xf numFmtId="164" fontId="163" fillId="31" borderId="2" applyAlignment="1" pivotButton="0" quotePrefix="0" xfId="34">
      <alignment vertical="center"/>
    </xf>
    <xf numFmtId="164" fontId="12" fillId="31" borderId="2" pivotButton="0" quotePrefix="0" xfId="3"/>
    <xf numFmtId="164" fontId="12" fillId="31" borderId="6" pivotButton="0" quotePrefix="0" xfId="3"/>
    <xf numFmtId="186" fontId="163" fillId="49" borderId="15" pivotButton="0" quotePrefix="0" xfId="34"/>
    <xf numFmtId="164" fontId="163" fillId="49" borderId="14" applyAlignment="1" pivotButton="0" quotePrefix="0" xfId="34">
      <alignment horizontal="center"/>
    </xf>
    <xf numFmtId="195" fontId="163" fillId="49" borderId="15" applyAlignment="1" pivotButton="0" quotePrefix="0" xfId="34">
      <alignment horizontal="center"/>
    </xf>
    <xf numFmtId="175" fontId="97" fillId="0" borderId="6" applyAlignment="1" pivotButton="0" quotePrefix="0" xfId="0">
      <alignment horizontal="left" vertical="center"/>
    </xf>
    <xf numFmtId="0" fontId="31" fillId="0" borderId="142" applyAlignment="1" pivotButton="0" quotePrefix="0" xfId="0">
      <alignment horizontal="left" vertical="center"/>
    </xf>
    <xf numFmtId="164" fontId="30" fillId="0" borderId="2" applyAlignment="1" pivotButton="0" quotePrefix="0" xfId="0">
      <alignment vertical="center"/>
    </xf>
    <xf numFmtId="172" fontId="30" fillId="4" borderId="15" applyAlignment="1" pivotButton="0" quotePrefix="0" xfId="0">
      <alignment vertical="center"/>
    </xf>
    <xf numFmtId="172" fontId="30" fillId="21" borderId="2" applyAlignment="1" pivotButton="0" quotePrefix="0" xfId="0">
      <alignment vertical="center"/>
    </xf>
    <xf numFmtId="164" fontId="30" fillId="2" borderId="2" applyAlignment="1" pivotButton="0" quotePrefix="0" xfId="0">
      <alignment vertical="center"/>
    </xf>
    <xf numFmtId="164" fontId="12" fillId="0" borderId="2" pivotButton="0" quotePrefix="0" xfId="3"/>
    <xf numFmtId="164" fontId="12" fillId="0" borderId="6" pivotButton="0" quotePrefix="0" xfId="3"/>
    <xf numFmtId="164" fontId="12" fillId="0" borderId="15" pivotButton="0" quotePrefix="0" xfId="3"/>
    <xf numFmtId="164" fontId="12" fillId="0" borderId="145" applyAlignment="1" pivotButton="0" quotePrefix="0" xfId="3">
      <alignment horizontal="right"/>
    </xf>
    <xf numFmtId="164" fontId="12" fillId="0" borderId="13" applyAlignment="1" pivotButton="0" quotePrefix="0" xfId="3">
      <alignment horizontal="right"/>
    </xf>
    <xf numFmtId="0" fontId="31" fillId="31" borderId="142" applyAlignment="1" pivotButton="0" quotePrefix="0" xfId="0">
      <alignment horizontal="left" vertical="center"/>
    </xf>
    <xf numFmtId="164" fontId="12" fillId="49" borderId="15" pivotButton="0" quotePrefix="0" xfId="34"/>
    <xf numFmtId="164" fontId="12" fillId="0" borderId="14" pivotButton="0" quotePrefix="0" xfId="3"/>
    <xf numFmtId="164" fontId="12" fillId="0" borderId="13" pivotButton="0" quotePrefix="0" xfId="3"/>
    <xf numFmtId="0" fontId="30" fillId="0" borderId="142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164" fontId="12" fillId="0" borderId="0" applyAlignment="1" pivotButton="0" quotePrefix="0" xfId="3">
      <alignment horizontal="center"/>
    </xf>
    <xf numFmtId="164" fontId="12" fillId="0" borderId="3" applyAlignment="1" pivotButton="0" quotePrefix="0" xfId="3">
      <alignment horizontal="center"/>
    </xf>
    <xf numFmtId="164" fontId="12" fillId="0" borderId="69" applyAlignment="1" pivotButton="0" quotePrefix="0" xfId="3">
      <alignment horizontal="center"/>
    </xf>
    <xf numFmtId="164" fontId="30" fillId="11" borderId="0" applyAlignment="1" pivotButton="0" quotePrefix="0" xfId="0">
      <alignment vertical="center"/>
    </xf>
    <xf numFmtId="164" fontId="12" fillId="11" borderId="0" pivotButton="0" quotePrefix="0" xfId="3"/>
    <xf numFmtId="164" fontId="12" fillId="11" borderId="3" pivotButton="0" quotePrefix="0" xfId="3"/>
    <xf numFmtId="164" fontId="12" fillId="11" borderId="69" pivotButton="0" quotePrefix="0" xfId="3"/>
    <xf numFmtId="164" fontId="12" fillId="31" borderId="2" applyAlignment="1" pivotButton="0" quotePrefix="0" xfId="3">
      <alignment vertical="center"/>
    </xf>
    <xf numFmtId="164" fontId="12" fillId="31" borderId="6" applyAlignment="1" pivotButton="0" quotePrefix="0" xfId="3">
      <alignment vertical="center"/>
    </xf>
    <xf numFmtId="164" fontId="12" fillId="0" borderId="15" applyAlignment="1" pivotButton="0" quotePrefix="0" xfId="3">
      <alignment vertical="center" wrapText="1"/>
    </xf>
    <xf numFmtId="164" fontId="159" fillId="0" borderId="14" applyAlignment="1" pivotButton="0" quotePrefix="0" xfId="3">
      <alignment vertical="center"/>
    </xf>
    <xf numFmtId="164" fontId="12" fillId="0" borderId="13" applyAlignment="1" pivotButton="0" quotePrefix="0" xfId="3">
      <alignment vertical="center"/>
    </xf>
    <xf numFmtId="164" fontId="75" fillId="0" borderId="14" pivotButton="0" quotePrefix="0" xfId="3"/>
    <xf numFmtId="172" fontId="30" fillId="0" borderId="15" applyAlignment="1" pivotButton="0" quotePrefix="0" xfId="0">
      <alignment vertical="center"/>
    </xf>
    <xf numFmtId="172" fontId="30" fillId="0" borderId="2" applyAlignment="1" pivotButton="0" quotePrefix="0" xfId="0">
      <alignment vertical="center"/>
    </xf>
    <xf numFmtId="164" fontId="12" fillId="0" borderId="6" applyAlignment="1" pivotButton="0" quotePrefix="0" xfId="3">
      <alignment horizontal="center"/>
    </xf>
    <xf numFmtId="164" fontId="12" fillId="0" borderId="15" applyAlignment="1" pivotButton="0" quotePrefix="0" xfId="3">
      <alignment horizontal="center"/>
    </xf>
    <xf numFmtId="0" fontId="56" fillId="0" borderId="142" applyAlignment="1" pivotButton="0" quotePrefix="0" xfId="0">
      <alignment horizontal="left" vertical="center"/>
    </xf>
    <xf numFmtId="181" fontId="12" fillId="0" borderId="2" applyAlignment="1" pivotButton="0" quotePrefix="0" xfId="0">
      <alignment horizontal="center"/>
    </xf>
    <xf numFmtId="0" fontId="0" fillId="0" borderId="47" pivotButton="0" quotePrefix="0" xfId="0"/>
    <xf numFmtId="164" fontId="163" fillId="49" borderId="2" applyAlignment="1" pivotButton="0" quotePrefix="0" xfId="34">
      <alignment vertical="center"/>
    </xf>
    <xf numFmtId="188" fontId="12" fillId="0" borderId="15" applyAlignment="1" pivotButton="0" quotePrefix="0" xfId="3">
      <alignment horizontal="right"/>
    </xf>
    <xf numFmtId="164" fontId="31" fillId="8" borderId="2" applyAlignment="1" pivotButton="0" quotePrefix="0" xfId="0">
      <alignment vertical="center"/>
    </xf>
    <xf numFmtId="164" fontId="31" fillId="0" borderId="2" applyAlignment="1" pivotButton="0" quotePrefix="0" xfId="0">
      <alignment vertical="center"/>
    </xf>
    <xf numFmtId="173" fontId="163" fillId="49" borderId="2" applyAlignment="1" pivotButton="0" quotePrefix="0" xfId="34">
      <alignment horizontal="center"/>
    </xf>
    <xf numFmtId="188" fontId="12" fillId="0" borderId="15" pivotButton="0" quotePrefix="0" xfId="3"/>
    <xf numFmtId="0" fontId="31" fillId="24" borderId="142" applyAlignment="1" pivotButton="0" quotePrefix="0" xfId="0">
      <alignment horizontal="left" vertical="center"/>
    </xf>
    <xf numFmtId="164" fontId="12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69" applyAlignment="1" pivotButton="0" quotePrefix="0" xfId="0">
      <alignment horizontal="center" vertical="center"/>
    </xf>
    <xf numFmtId="164" fontId="30" fillId="8" borderId="2" applyAlignment="1" pivotButton="0" quotePrefix="0" xfId="0">
      <alignment vertical="center"/>
    </xf>
    <xf numFmtId="164" fontId="55" fillId="0" borderId="2" applyAlignment="1" pivotButton="0" quotePrefix="0" xfId="3">
      <alignment horizontal="right" vertical="center"/>
    </xf>
    <xf numFmtId="164" fontId="12" fillId="0" borderId="2" applyAlignment="1" pivotButton="0" quotePrefix="0" xfId="3">
      <alignment horizontal="right" vertical="center"/>
    </xf>
    <xf numFmtId="164" fontId="12" fillId="0" borderId="6" applyAlignment="1" pivotButton="0" quotePrefix="0" xfId="3">
      <alignment horizontal="right" vertical="center"/>
    </xf>
    <xf numFmtId="164" fontId="12" fillId="0" borderId="15" applyAlignment="1" pivotButton="0" quotePrefix="0" xfId="3">
      <alignment horizontal="right" vertical="center"/>
    </xf>
    <xf numFmtId="164" fontId="12" fillId="0" borderId="14" applyAlignment="1" pivotButton="0" quotePrefix="0" xfId="3">
      <alignment horizontal="right" vertical="center"/>
    </xf>
    <xf numFmtId="164" fontId="12" fillId="0" borderId="13" applyAlignment="1" pivotButton="0" quotePrefix="0" xfId="3">
      <alignment horizontal="right" vertical="center"/>
    </xf>
    <xf numFmtId="164" fontId="95" fillId="0" borderId="13" applyAlignment="1" pivotButton="0" quotePrefix="0" xfId="3">
      <alignment vertical="center"/>
    </xf>
    <xf numFmtId="164" fontId="95" fillId="0" borderId="145" applyAlignment="1" pivotButton="0" quotePrefix="0" xfId="3">
      <alignment horizontal="right" vertical="center"/>
    </xf>
    <xf numFmtId="164" fontId="12" fillId="0" borderId="0" applyAlignment="1" pivotButton="0" quotePrefix="0" xfId="0">
      <alignment horizontal="right" vertical="center"/>
    </xf>
    <xf numFmtId="164" fontId="12" fillId="2" borderId="6" pivotButton="0" quotePrefix="0" xfId="3"/>
    <xf numFmtId="0" fontId="31" fillId="0" borderId="140" applyAlignment="1" pivotButton="0" quotePrefix="0" xfId="0">
      <alignment horizontal="left" vertical="center"/>
    </xf>
    <xf numFmtId="164" fontId="30" fillId="0" borderId="78" applyAlignment="1" pivotButton="0" quotePrefix="0" xfId="0">
      <alignment vertical="center"/>
    </xf>
    <xf numFmtId="172" fontId="30" fillId="4" borderId="79" applyAlignment="1" pivotButton="0" quotePrefix="0" xfId="0">
      <alignment vertical="center"/>
    </xf>
    <xf numFmtId="172" fontId="30" fillId="21" borderId="78" applyAlignment="1" pivotButton="0" quotePrefix="0" xfId="0">
      <alignment vertical="center"/>
    </xf>
    <xf numFmtId="164" fontId="30" fillId="2" borderId="78" applyAlignment="1" pivotButton="0" quotePrefix="0" xfId="0">
      <alignment vertical="center"/>
    </xf>
    <xf numFmtId="164" fontId="12" fillId="0" borderId="78" pivotButton="0" quotePrefix="0" xfId="3"/>
    <xf numFmtId="164" fontId="12" fillId="0" borderId="102" pivotButton="0" quotePrefix="0" xfId="3"/>
    <xf numFmtId="164" fontId="12" fillId="0" borderId="74" pivotButton="0" quotePrefix="0" xfId="3"/>
    <xf numFmtId="164" fontId="12" fillId="0" borderId="77" pivotButton="0" quotePrefix="0" xfId="3"/>
    <xf numFmtId="173" fontId="12" fillId="0" borderId="2" applyAlignment="1" pivotButton="0" quotePrefix="0" xfId="0">
      <alignment horizontal="center"/>
    </xf>
    <xf numFmtId="172" fontId="30" fillId="4" borderId="2" applyAlignment="1" pivotButton="0" quotePrefix="0" xfId="0">
      <alignment vertical="center"/>
    </xf>
    <xf numFmtId="164" fontId="55" fillId="0" borderId="2" pivotButton="0" quotePrefix="0" xfId="3"/>
    <xf numFmtId="178" fontId="12" fillId="31" borderId="2" applyAlignment="1" pivotButton="0" quotePrefix="0" xfId="0">
      <alignment horizontal="center"/>
    </xf>
    <xf numFmtId="164" fontId="55" fillId="31" borderId="2" pivotButton="0" quotePrefix="0" xfId="3"/>
    <xf numFmtId="164" fontId="165" fillId="31" borderId="2" applyAlignment="1" pivotButton="0" quotePrefix="0" xfId="34">
      <alignment vertical="center"/>
    </xf>
    <xf numFmtId="164" fontId="186" fillId="49" borderId="15" applyAlignment="1" pivotButton="0" quotePrefix="0" xfId="34">
      <alignment wrapText="1"/>
    </xf>
    <xf numFmtId="164" fontId="185" fillId="0" borderId="14" applyAlignment="1" pivotButton="0" quotePrefix="0" xfId="3">
      <alignment vertical="center"/>
    </xf>
    <xf numFmtId="164" fontId="12" fillId="0" borderId="20" pivotButton="0" quotePrefix="0" xfId="3"/>
    <xf numFmtId="164" fontId="12" fillId="0" borderId="47" pivotButton="0" quotePrefix="0" xfId="3"/>
    <xf numFmtId="164" fontId="12" fillId="0" borderId="22" pivotButton="0" quotePrefix="0" xfId="3"/>
    <xf numFmtId="0" fontId="30" fillId="0" borderId="140" applyAlignment="1" pivotButton="0" quotePrefix="0" xfId="0">
      <alignment horizontal="left" vertical="center"/>
    </xf>
    <xf numFmtId="164" fontId="12" fillId="0" borderId="15" applyAlignment="1" pivotButton="0" quotePrefix="0" xfId="3">
      <alignment horizontal="right"/>
    </xf>
    <xf numFmtId="164" fontId="30" fillId="2" borderId="2" applyAlignment="1" pivotButton="0" quotePrefix="0" xfId="0">
      <alignment horizontal="right" vertical="center"/>
    </xf>
    <xf numFmtId="172" fontId="30" fillId="0" borderId="0" applyAlignment="1" pivotButton="0" quotePrefix="0" xfId="0">
      <alignment vertical="center"/>
    </xf>
    <xf numFmtId="164" fontId="12" fillId="0" borderId="0" pivotButton="0" quotePrefix="0" xfId="3"/>
    <xf numFmtId="164" fontId="163" fillId="31" borderId="2" applyAlignment="1" pivotButton="0" quotePrefix="0" xfId="34">
      <alignment horizontal="right" vertical="center"/>
    </xf>
    <xf numFmtId="188" fontId="95" fillId="0" borderId="15" pivotButton="0" quotePrefix="0" xfId="3"/>
    <xf numFmtId="0" fontId="30" fillId="31" borderId="142" applyAlignment="1" pivotButton="0" quotePrefix="0" xfId="0">
      <alignment horizontal="left" vertical="center"/>
    </xf>
    <xf numFmtId="164" fontId="163" fillId="49" borderId="15" pivotButton="0" quotePrefix="0" xfId="34"/>
    <xf numFmtId="164" fontId="163" fillId="49" borderId="118" pivotButton="0" quotePrefix="0" xfId="34"/>
    <xf numFmtId="181" fontId="12" fillId="0" borderId="0" applyAlignment="1" pivotButton="0" quotePrefix="0" xfId="0">
      <alignment horizontal="center"/>
    </xf>
    <xf numFmtId="164" fontId="12" fillId="0" borderId="66" applyAlignment="1" pivotButton="0" quotePrefix="0" xfId="0">
      <alignment horizontal="center" vertical="center"/>
    </xf>
    <xf numFmtId="164" fontId="30" fillId="0" borderId="38" applyAlignment="1" pivotButton="0" quotePrefix="0" xfId="0">
      <alignment vertical="center"/>
    </xf>
    <xf numFmtId="164" fontId="12" fillId="0" borderId="38" applyAlignment="1" pivotButton="0" quotePrefix="0" xfId="3">
      <alignment horizontal="center"/>
    </xf>
    <xf numFmtId="164" fontId="12" fillId="0" borderId="31" applyAlignment="1" pivotButton="0" quotePrefix="0" xfId="3">
      <alignment horizontal="center"/>
    </xf>
    <xf numFmtId="164" fontId="12" fillId="0" borderId="55" applyAlignment="1" pivotButton="0" quotePrefix="0" xfId="3">
      <alignment horizontal="center"/>
    </xf>
    <xf numFmtId="0" fontId="0" fillId="0" borderId="41" pivotButton="0" quotePrefix="0" xfId="0"/>
    <xf numFmtId="0" fontId="0" fillId="0" borderId="24" pivotButton="0" quotePrefix="0" xfId="0"/>
    <xf numFmtId="164" fontId="12" fillId="0" borderId="4" applyAlignment="1" pivotButton="0" quotePrefix="0" xfId="3">
      <alignment vertical="top"/>
    </xf>
    <xf numFmtId="164" fontId="12" fillId="0" borderId="5" applyAlignment="1" pivotButton="0" quotePrefix="0" xfId="3">
      <alignment vertical="top"/>
    </xf>
    <xf numFmtId="164" fontId="12" fillId="0" borderId="24" applyAlignment="1" pivotButton="0" quotePrefix="0" xfId="3">
      <alignment vertical="top"/>
    </xf>
    <xf numFmtId="164" fontId="96" fillId="8" borderId="24" applyAlignment="1" pivotButton="0" quotePrefix="0" xfId="3">
      <alignment vertical="top"/>
    </xf>
    <xf numFmtId="164" fontId="96" fillId="8" borderId="4" applyAlignment="1" pivotButton="0" quotePrefix="0" xfId="3">
      <alignment vertical="top"/>
    </xf>
    <xf numFmtId="169" fontId="8" fillId="0" borderId="5" applyAlignment="1" pivotButton="0" quotePrefix="0" xfId="0">
      <alignment vertical="center"/>
    </xf>
    <xf numFmtId="164" fontId="12" fillId="0" borderId="2" applyAlignment="1" pivotButton="0" quotePrefix="0" xfId="3">
      <alignment vertical="top"/>
    </xf>
    <xf numFmtId="164" fontId="12" fillId="0" borderId="6" applyAlignment="1" pivotButton="0" quotePrefix="0" xfId="3">
      <alignment vertical="top"/>
    </xf>
    <xf numFmtId="164" fontId="12" fillId="0" borderId="15" applyAlignment="1" pivotButton="0" quotePrefix="0" xfId="3">
      <alignment vertical="top"/>
    </xf>
    <xf numFmtId="164" fontId="12" fillId="0" borderId="13" applyAlignment="1" pivotButton="0" quotePrefix="0" xfId="3">
      <alignment vertical="top"/>
    </xf>
    <xf numFmtId="164" fontId="52" fillId="0" borderId="2" applyAlignment="1" pivotButton="0" quotePrefix="0" xfId="3">
      <alignment vertical="top"/>
    </xf>
    <xf numFmtId="164" fontId="52" fillId="0" borderId="6" applyAlignment="1" pivotButton="0" quotePrefix="0" xfId="3">
      <alignment vertical="top"/>
    </xf>
    <xf numFmtId="164" fontId="52" fillId="0" borderId="15" applyAlignment="1" pivotButton="0" quotePrefix="0" xfId="3">
      <alignment vertical="top"/>
    </xf>
    <xf numFmtId="164" fontId="52" fillId="0" borderId="13" applyAlignment="1" pivotButton="0" quotePrefix="0" xfId="3">
      <alignment vertical="top"/>
    </xf>
    <xf numFmtId="0" fontId="0" fillId="0" borderId="147" pivotButton="0" quotePrefix="0" xfId="0"/>
    <xf numFmtId="0" fontId="0" fillId="0" borderId="115" pivotButton="0" quotePrefix="0" xfId="0"/>
    <xf numFmtId="164" fontId="52" fillId="0" borderId="49" applyAlignment="1" pivotButton="0" quotePrefix="0" xfId="3">
      <alignment vertical="top"/>
    </xf>
    <xf numFmtId="164" fontId="52" fillId="0" borderId="27" applyAlignment="1" pivotButton="0" quotePrefix="0" xfId="3">
      <alignment vertical="top"/>
    </xf>
    <xf numFmtId="164" fontId="52" fillId="0" borderId="54" applyAlignment="1" pivotButton="0" quotePrefix="0" xfId="3">
      <alignment vertical="top"/>
    </xf>
    <xf numFmtId="164" fontId="52" fillId="0" borderId="64" applyAlignment="1" pivotButton="0" quotePrefix="0" xfId="3">
      <alignment vertical="top"/>
    </xf>
    <xf numFmtId="169" fontId="8" fillId="0" borderId="27" applyAlignment="1" pivotButton="0" quotePrefix="0" xfId="0">
      <alignment vertical="center"/>
    </xf>
    <xf numFmtId="164" fontId="11" fillId="0" borderId="49" applyAlignment="1" pivotButton="0" quotePrefix="0" xfId="3">
      <alignment vertical="top"/>
    </xf>
    <xf numFmtId="164" fontId="11" fillId="0" borderId="8" applyAlignment="1" pivotButton="0" quotePrefix="0" xfId="3">
      <alignment vertical="top"/>
    </xf>
    <xf numFmtId="164" fontId="11" fillId="0" borderId="54" applyAlignment="1" pivotButton="0" quotePrefix="0" xfId="3">
      <alignment vertical="top"/>
    </xf>
    <xf numFmtId="164" fontId="11" fillId="0" borderId="64" applyAlignment="1" pivotButton="0" quotePrefix="0" xfId="3">
      <alignment vertical="top"/>
    </xf>
    <xf numFmtId="164" fontId="11" fillId="0" borderId="36" applyAlignment="1" pivotButton="0" quotePrefix="0" xfId="3">
      <alignment vertical="top"/>
    </xf>
    <xf numFmtId="164" fontId="11" fillId="0" borderId="60" applyAlignment="1" pivotButton="0" quotePrefix="0" xfId="3">
      <alignment vertical="top"/>
    </xf>
    <xf numFmtId="169" fontId="8" fillId="0" borderId="36" applyAlignment="1" pivotButton="0" quotePrefix="0" xfId="0">
      <alignment vertical="center"/>
    </xf>
    <xf numFmtId="164" fontId="11" fillId="0" borderId="38" applyAlignment="1" pivotButton="0" quotePrefix="0" xfId="3">
      <alignment vertical="top"/>
    </xf>
    <xf numFmtId="164" fontId="11" fillId="0" borderId="55" applyAlignment="1" pivotButton="0" quotePrefix="0" xfId="3">
      <alignment vertical="top"/>
    </xf>
    <xf numFmtId="169" fontId="8" fillId="0" borderId="38" applyAlignment="1" pivotButton="0" quotePrefix="0" xfId="0">
      <alignment vertical="center"/>
    </xf>
    <xf numFmtId="176" fontId="103" fillId="2" borderId="41" applyAlignment="1" pivotButton="0" quotePrefix="0" xfId="0">
      <alignment horizontal="left" vertical="center"/>
    </xf>
    <xf numFmtId="164" fontId="100" fillId="20" borderId="41" applyAlignment="1" pivotButton="0" quotePrefix="0" xfId="0">
      <alignment vertical="center"/>
    </xf>
    <xf numFmtId="164" fontId="101" fillId="20" borderId="41" pivotButton="0" quotePrefix="0" xfId="3"/>
    <xf numFmtId="164" fontId="101" fillId="20" borderId="59" pivotButton="0" quotePrefix="0" xfId="3"/>
    <xf numFmtId="164" fontId="101" fillId="20" borderId="24" pivotButton="0" quotePrefix="0" xfId="3"/>
    <xf numFmtId="164" fontId="95" fillId="0" borderId="13" pivotButton="0" quotePrefix="0" xfId="3"/>
    <xf numFmtId="164" fontId="12" fillId="2" borderId="13" pivotButton="0" quotePrefix="0" xfId="3"/>
    <xf numFmtId="0" fontId="30" fillId="31" borderId="151" applyAlignment="1" pivotButton="0" quotePrefix="0" xfId="0">
      <alignment horizontal="left" vertical="center"/>
    </xf>
    <xf numFmtId="0" fontId="0" fillId="0" borderId="153" pivotButton="0" quotePrefix="0" xfId="0"/>
    <xf numFmtId="172" fontId="30" fillId="31" borderId="109" applyAlignment="1" pivotButton="0" quotePrefix="0" xfId="0">
      <alignment vertical="center"/>
    </xf>
    <xf numFmtId="164" fontId="163" fillId="31" borderId="109" applyAlignment="1" pivotButton="0" quotePrefix="0" xfId="34">
      <alignment vertical="center"/>
    </xf>
    <xf numFmtId="164" fontId="12" fillId="0" borderId="106" pivotButton="0" quotePrefix="0" xfId="3"/>
    <xf numFmtId="164" fontId="12" fillId="0" borderId="109" pivotButton="0" quotePrefix="0" xfId="3"/>
    <xf numFmtId="0" fontId="31" fillId="31" borderId="151" applyAlignment="1" pivotButton="0" quotePrefix="0" xfId="0">
      <alignment horizontal="left" vertical="center"/>
    </xf>
    <xf numFmtId="172" fontId="30" fillId="31" borderId="106" applyAlignment="1" pivotButton="0" quotePrefix="0" xfId="0">
      <alignment vertical="center"/>
    </xf>
    <xf numFmtId="164" fontId="31" fillId="31" borderId="109" applyAlignment="1" pivotButton="0" quotePrefix="0" xfId="0">
      <alignment vertical="center"/>
    </xf>
    <xf numFmtId="164" fontId="12" fillId="0" borderId="105" pivotButton="0" quotePrefix="0" xfId="3"/>
    <xf numFmtId="164" fontId="12" fillId="0" borderId="111" pivotButton="0" quotePrefix="0" xfId="3"/>
    <xf numFmtId="181" fontId="12" fillId="29" borderId="2" applyAlignment="1" pivotButton="0" quotePrefix="0" xfId="0">
      <alignment horizontal="center"/>
    </xf>
    <xf numFmtId="176" fontId="103" fillId="2" borderId="0" applyAlignment="1" pivotButton="0" quotePrefix="0" xfId="0">
      <alignment horizontal="left" vertical="center"/>
    </xf>
    <xf numFmtId="164" fontId="100" fillId="20" borderId="0" applyAlignment="1" pivotButton="0" quotePrefix="0" xfId="0">
      <alignment vertical="center"/>
    </xf>
    <xf numFmtId="164" fontId="101" fillId="20" borderId="0" pivotButton="0" quotePrefix="0" xfId="3"/>
    <xf numFmtId="164" fontId="101" fillId="20" borderId="3" pivotButton="0" quotePrefix="0" xfId="3"/>
    <xf numFmtId="164" fontId="101" fillId="20" borderId="69" pivotButton="0" quotePrefix="0" xfId="3"/>
    <xf numFmtId="174" fontId="10" fillId="0" borderId="14" applyAlignment="1" pivotButton="0" quotePrefix="0" xfId="2">
      <alignment vertical="center"/>
    </xf>
    <xf numFmtId="174" fontId="10" fillId="2" borderId="14" applyAlignment="1" pivotButton="0" quotePrefix="0" xfId="2">
      <alignment vertical="center"/>
    </xf>
    <xf numFmtId="164" fontId="30" fillId="20" borderId="0" applyAlignment="1" pivotButton="0" quotePrefix="0" xfId="0">
      <alignment vertical="center"/>
    </xf>
    <xf numFmtId="164" fontId="12" fillId="20" borderId="0" pivotButton="0" quotePrefix="0" xfId="3"/>
    <xf numFmtId="164" fontId="12" fillId="20" borderId="3" pivotButton="0" quotePrefix="0" xfId="3"/>
    <xf numFmtId="164" fontId="12" fillId="20" borderId="69" pivotButton="0" quotePrefix="0" xfId="3"/>
    <xf numFmtId="0" fontId="0" fillId="0" borderId="125" pivotButton="0" quotePrefix="0" xfId="0"/>
    <xf numFmtId="0" fontId="0" fillId="0" borderId="21" pivotButton="0" quotePrefix="0" xfId="0"/>
    <xf numFmtId="164" fontId="11" fillId="0" borderId="7" applyAlignment="1" pivotButton="0" quotePrefix="0" xfId="3">
      <alignment vertical="top"/>
    </xf>
    <xf numFmtId="164" fontId="11" fillId="0" borderId="21" applyAlignment="1" pivotButton="0" quotePrefix="0" xfId="3">
      <alignment vertical="top"/>
    </xf>
    <xf numFmtId="164" fontId="11" fillId="0" borderId="23" applyAlignment="1" pivotButton="0" quotePrefix="0" xfId="3">
      <alignment vertical="top"/>
    </xf>
    <xf numFmtId="169" fontId="8" fillId="0" borderId="8" applyAlignment="1" pivotButton="0" quotePrefix="0" xfId="0">
      <alignment vertical="center"/>
    </xf>
    <xf numFmtId="164" fontId="196" fillId="0" borderId="143" applyAlignment="1" pivotButton="0" quotePrefix="0" xfId="0">
      <alignment horizontal="left" vertical="center"/>
    </xf>
    <xf numFmtId="164" fontId="196" fillId="0" borderId="2" applyAlignment="1" pivotButton="0" quotePrefix="0" xfId="0">
      <alignment horizontal="left" vertical="center"/>
    </xf>
    <xf numFmtId="0" fontId="196" fillId="40" borderId="142" applyAlignment="1" pivotButton="0" quotePrefix="0" xfId="0">
      <alignment horizontal="center" vertical="center"/>
    </xf>
    <xf numFmtId="0" fontId="196" fillId="21" borderId="142" applyAlignment="1" pivotButton="0" quotePrefix="0" xfId="0">
      <alignment horizontal="left" vertical="center"/>
    </xf>
    <xf numFmtId="0" fontId="198" fillId="0" borderId="142" applyAlignment="1" pivotButton="0" quotePrefix="0" xfId="0">
      <alignment horizontal="center" vertical="center"/>
    </xf>
    <xf numFmtId="182" fontId="118" fillId="39" borderId="0" applyAlignment="1" pivotButton="0" quotePrefix="0" xfId="17">
      <alignment vertical="center"/>
    </xf>
    <xf numFmtId="182" fontId="118" fillId="29" borderId="0" applyAlignment="1" pivotButton="0" quotePrefix="0" xfId="17">
      <alignment vertical="center"/>
    </xf>
    <xf numFmtId="182" fontId="50" fillId="0" borderId="0" applyAlignment="1" pivotButton="0" quotePrefix="0" xfId="17">
      <alignment vertical="center"/>
    </xf>
    <xf numFmtId="182" fontId="118" fillId="27" borderId="0" applyAlignment="1" pivotButton="0" quotePrefix="0" xfId="17">
      <alignment vertical="center"/>
    </xf>
    <xf numFmtId="182" fontId="118" fillId="6" borderId="0" applyAlignment="1" pivotButton="0" quotePrefix="0" xfId="17">
      <alignment vertical="center"/>
    </xf>
    <xf numFmtId="182" fontId="118" fillId="40" borderId="0" applyAlignment="1" pivotButton="0" quotePrefix="0" xfId="17">
      <alignment vertical="center"/>
    </xf>
    <xf numFmtId="182" fontId="118" fillId="41" borderId="0" applyAlignment="1" pivotButton="0" quotePrefix="0" xfId="17">
      <alignment vertical="center"/>
    </xf>
    <xf numFmtId="182" fontId="156" fillId="0" borderId="0" applyAlignment="1" pivotButton="0" quotePrefix="0" xfId="17">
      <alignment vertical="center"/>
    </xf>
    <xf numFmtId="182" fontId="118" fillId="8" borderId="0" applyAlignment="1" pivotButton="0" quotePrefix="0" xfId="17">
      <alignment vertical="center"/>
    </xf>
    <xf numFmtId="182" fontId="118" fillId="25" borderId="0" applyAlignment="1" pivotButton="0" quotePrefix="0" xfId="17">
      <alignment vertical="center"/>
    </xf>
    <xf numFmtId="182" fontId="118" fillId="26" borderId="0" applyAlignment="1" pivotButton="0" quotePrefix="0" xfId="17">
      <alignment vertical="center"/>
    </xf>
    <xf numFmtId="182" fontId="118" fillId="0" borderId="0" applyAlignment="1" pivotButton="0" quotePrefix="0" xfId="17">
      <alignment vertical="center"/>
    </xf>
    <xf numFmtId="182" fontId="118" fillId="32" borderId="0" applyAlignment="1" pivotButton="0" quotePrefix="0" xfId="17">
      <alignment vertical="center"/>
    </xf>
    <xf numFmtId="183" fontId="47" fillId="0" borderId="25" applyAlignment="1" pivotButton="0" quotePrefix="0" xfId="5">
      <alignment horizontal="right" vertical="center"/>
    </xf>
    <xf numFmtId="184" fontId="120" fillId="0" borderId="33" applyAlignment="1" pivotButton="0" quotePrefix="0" xfId="5">
      <alignment horizontal="right" vertical="center"/>
    </xf>
    <xf numFmtId="182" fontId="18" fillId="0" borderId="0" applyAlignment="1" pivotButton="0" quotePrefix="0" xfId="5">
      <alignment horizontal="center" vertical="center"/>
    </xf>
    <xf numFmtId="164" fontId="18" fillId="35" borderId="31" applyAlignment="1" pivotButton="0" quotePrefix="0" xfId="5">
      <alignment horizontal="center" vertical="center" shrinkToFit="1"/>
    </xf>
    <xf numFmtId="164" fontId="18" fillId="0" borderId="0" applyAlignment="1" pivotButton="0" quotePrefix="0" xfId="5">
      <alignment vertical="center"/>
    </xf>
    <xf numFmtId="184" fontId="120" fillId="36" borderId="25" applyAlignment="1" pivotButton="0" quotePrefix="0" xfId="5">
      <alignment vertical="center"/>
    </xf>
    <xf numFmtId="164" fontId="18" fillId="0" borderId="52" applyAlignment="1" pivotButton="0" quotePrefix="0" xfId="5">
      <alignment horizontal="center" vertical="center" shrinkToFit="1"/>
    </xf>
    <xf numFmtId="164" fontId="18" fillId="0" borderId="36" applyAlignment="1" pivotButton="0" quotePrefix="0" xfId="5">
      <alignment horizontal="center" vertical="center" shrinkToFit="1"/>
    </xf>
    <xf numFmtId="164" fontId="18" fillId="0" borderId="29" applyAlignment="1" pivotButton="0" quotePrefix="0" xfId="5">
      <alignment horizontal="center" vertical="center" shrinkToFit="1"/>
    </xf>
    <xf numFmtId="184" fontId="120" fillId="36" borderId="53" applyAlignment="1" pivotButton="0" quotePrefix="0" xfId="5">
      <alignment vertical="center"/>
    </xf>
    <xf numFmtId="164" fontId="18" fillId="0" borderId="51" applyAlignment="1" pivotButton="0" quotePrefix="0" xfId="5">
      <alignment horizontal="center" vertical="center" shrinkToFit="1"/>
    </xf>
    <xf numFmtId="164" fontId="18" fillId="0" borderId="0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 shrinkToFit="1"/>
    </xf>
    <xf numFmtId="184" fontId="120" fillId="36" borderId="33" applyAlignment="1" pivotButton="0" quotePrefix="0" xfId="5">
      <alignment vertical="center"/>
    </xf>
    <xf numFmtId="164" fontId="18" fillId="0" borderId="34" applyAlignment="1" pivotButton="0" quotePrefix="0" xfId="5">
      <alignment horizontal="center" vertical="center" shrinkToFit="1"/>
    </xf>
    <xf numFmtId="164" fontId="18" fillId="0" borderId="38" applyAlignment="1" pivotButton="0" quotePrefix="0" xfId="5">
      <alignment horizontal="center" vertical="center" shrinkToFit="1"/>
    </xf>
    <xf numFmtId="164" fontId="18" fillId="0" borderId="31" applyAlignment="1" pivotButton="0" quotePrefix="0" xfId="5">
      <alignment horizontal="center" vertical="center" shrinkToFit="1"/>
    </xf>
    <xf numFmtId="184" fontId="120" fillId="37" borderId="53" applyAlignment="1" pivotButton="0" quotePrefix="0" xfId="5">
      <alignment vertical="center"/>
    </xf>
    <xf numFmtId="164" fontId="18" fillId="2" borderId="0" applyAlignment="1" pivotButton="0" quotePrefix="0" xfId="5">
      <alignment horizontal="center" vertical="center" shrinkToFit="1"/>
    </xf>
    <xf numFmtId="166" fontId="18" fillId="0" borderId="51" applyAlignment="1" pivotButton="0" quotePrefix="0" xfId="5">
      <alignment horizontal="center" vertical="center"/>
    </xf>
    <xf numFmtId="166" fontId="18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center"/>
    </xf>
    <xf numFmtId="184" fontId="95" fillId="37" borderId="53" applyAlignment="1" pivotButton="0" quotePrefix="0" xfId="5">
      <alignment vertical="center"/>
    </xf>
    <xf numFmtId="164" fontId="110" fillId="0" borderId="0" applyAlignment="1" pivotButton="0" quotePrefix="0" xfId="5">
      <alignment horizontal="center" vertical="center"/>
    </xf>
    <xf numFmtId="164" fontId="18" fillId="0" borderId="3" applyAlignment="1" pivotButton="0" quotePrefix="0" xfId="5">
      <alignment horizontal="center" vertical="center"/>
    </xf>
    <xf numFmtId="184" fontId="95" fillId="0" borderId="25" applyAlignment="1" pivotButton="0" quotePrefix="0" xfId="5">
      <alignment horizontal="right" vertical="center"/>
    </xf>
    <xf numFmtId="164" fontId="45" fillId="0" borderId="36" applyAlignment="1" pivotButton="0" quotePrefix="0" xfId="5">
      <alignment horizontal="center" vertical="center" shrinkToFit="1"/>
    </xf>
    <xf numFmtId="164" fontId="45" fillId="0" borderId="73" applyAlignment="1" pivotButton="0" quotePrefix="0" xfId="5">
      <alignment horizontal="center" vertical="center" shrinkToFit="1"/>
    </xf>
    <xf numFmtId="164" fontId="45" fillId="0" borderId="29" applyAlignment="1" pivotButton="0" quotePrefix="0" xfId="5">
      <alignment horizontal="center" vertical="center" shrinkToFit="1"/>
    </xf>
    <xf numFmtId="164" fontId="118" fillId="0" borderId="0" applyAlignment="1" pivotButton="0" quotePrefix="0" xfId="12">
      <alignment vertical="center"/>
    </xf>
    <xf numFmtId="184" fontId="14" fillId="0" borderId="33" applyAlignment="1" pivotButton="0" quotePrefix="0" xfId="5">
      <alignment horizontal="right" vertical="center"/>
    </xf>
    <xf numFmtId="164" fontId="20" fillId="0" borderId="34" applyAlignment="1" pivotButton="0" quotePrefix="0" xfId="5">
      <alignment horizontal="center" vertical="center" shrinkToFit="1"/>
    </xf>
    <xf numFmtId="164" fontId="20" fillId="0" borderId="38" applyAlignment="1" pivotButton="0" quotePrefix="0" xfId="5">
      <alignment horizontal="center" vertical="center" shrinkToFit="1"/>
    </xf>
    <xf numFmtId="164" fontId="20" fillId="0" borderId="31" applyAlignment="1" pivotButton="0" quotePrefix="0" xfId="5">
      <alignment horizontal="center" vertical="center" shrinkToFit="1"/>
    </xf>
    <xf numFmtId="164" fontId="19" fillId="0" borderId="51" applyAlignment="1" pivotButton="0" quotePrefix="0" xfId="5">
      <alignment horizontal="center" vertical="center" shrinkToFit="1"/>
    </xf>
    <xf numFmtId="164" fontId="19" fillId="0" borderId="0" applyAlignment="1" pivotButton="0" quotePrefix="0" xfId="5">
      <alignment horizontal="center" vertical="center" shrinkToFit="1"/>
    </xf>
    <xf numFmtId="164" fontId="120" fillId="0" borderId="0" applyAlignment="1" pivotButton="0" quotePrefix="0" xfId="5">
      <alignment horizontal="center" vertical="center" shrinkToFit="1"/>
    </xf>
    <xf numFmtId="164" fontId="120" fillId="0" borderId="3" applyAlignment="1" pivotButton="0" quotePrefix="0" xfId="5">
      <alignment horizontal="center" vertical="center" shrinkToFit="1"/>
    </xf>
    <xf numFmtId="184" fontId="120" fillId="0" borderId="53" applyAlignment="1" pivotButton="0" quotePrefix="0" xfId="5">
      <alignment vertical="center"/>
    </xf>
    <xf numFmtId="164" fontId="110" fillId="0" borderId="51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horizontal="center" vertical="center" shrinkToFit="1"/>
    </xf>
    <xf numFmtId="164" fontId="110" fillId="0" borderId="3" applyAlignment="1" pivotButton="0" quotePrefix="0" xfId="5">
      <alignment horizontal="center" vertical="center" shrinkToFit="1"/>
    </xf>
    <xf numFmtId="164" fontId="21" fillId="0" borderId="63" applyAlignment="1" pivotButton="0" quotePrefix="0" xfId="5">
      <alignment horizontal="center" vertical="center" shrinkToFit="1"/>
    </xf>
    <xf numFmtId="164" fontId="21" fillId="0" borderId="1" applyAlignment="1" pivotButton="0" quotePrefix="0" xfId="5">
      <alignment horizontal="center" vertical="center" shrinkToFit="1"/>
    </xf>
    <xf numFmtId="164" fontId="21" fillId="0" borderId="61" applyAlignment="1" pivotButton="0" quotePrefix="0" xfId="5">
      <alignment horizontal="center" vertical="center" shrinkToFit="1"/>
    </xf>
    <xf numFmtId="164" fontId="21" fillId="0" borderId="51" applyAlignment="1" pivotButton="0" quotePrefix="0" xfId="5">
      <alignment horizontal="center" vertical="center" shrinkToFit="1"/>
    </xf>
    <xf numFmtId="164" fontId="21" fillId="0" borderId="0" applyAlignment="1" pivotButton="0" quotePrefix="0" xfId="5">
      <alignment horizontal="center" vertical="center" shrinkToFit="1"/>
    </xf>
    <xf numFmtId="172" fontId="20" fillId="0" borderId="0" applyAlignment="1" pivotButton="0" quotePrefix="0" xfId="5">
      <alignment horizontal="center" vertical="center" shrinkToFit="1"/>
    </xf>
    <xf numFmtId="172" fontId="20" fillId="0" borderId="3" applyAlignment="1" pivotButton="0" quotePrefix="0" xfId="5">
      <alignment horizontal="center" vertical="center" shrinkToFit="1"/>
    </xf>
    <xf numFmtId="164" fontId="21" fillId="0" borderId="34" applyAlignment="1" pivotButton="0" quotePrefix="0" xfId="5">
      <alignment horizontal="center" vertical="center" shrinkToFit="1"/>
    </xf>
    <xf numFmtId="172" fontId="20" fillId="0" borderId="35" applyAlignment="1" pivotButton="0" quotePrefix="0" xfId="5">
      <alignment horizontal="center" vertical="center" shrinkToFit="1"/>
    </xf>
    <xf numFmtId="172" fontId="20" fillId="0" borderId="16" applyAlignment="1" pivotButton="0" quotePrefix="0" xfId="5">
      <alignment horizontal="center" vertical="center" shrinkToFit="1"/>
    </xf>
    <xf numFmtId="181" fontId="110" fillId="0" borderId="0" applyAlignment="1" pivotButton="0" quotePrefix="0" xfId="5">
      <alignment vertical="center"/>
    </xf>
    <xf numFmtId="0" fontId="92" fillId="0" borderId="142" applyAlignment="1" pivotButton="0" quotePrefix="0" xfId="5">
      <alignment horizontal="center" vertical="center"/>
    </xf>
    <xf numFmtId="0" fontId="41" fillId="0" borderId="142" applyAlignment="1" pivotButton="0" quotePrefix="0" xfId="5">
      <alignment horizontal="center" vertical="center"/>
    </xf>
    <xf numFmtId="164" fontId="110" fillId="0" borderId="0" applyAlignment="1" pivotButton="0" quotePrefix="0" xfId="5">
      <alignment vertical="center"/>
    </xf>
    <xf numFmtId="0" fontId="50" fillId="0" borderId="142" applyAlignment="1" pivotButton="0" quotePrefix="0" xfId="12">
      <alignment horizontal="center" vertical="center"/>
    </xf>
    <xf numFmtId="182" fontId="50" fillId="15" borderId="2" applyAlignment="1" pivotButton="0" quotePrefix="0" xfId="17">
      <alignment vertical="center"/>
    </xf>
    <xf numFmtId="164" fontId="90" fillId="0" borderId="13" applyAlignment="1" pivotButton="0" quotePrefix="0" xfId="7">
      <alignment horizontal="center" vertical="center" shrinkToFit="1"/>
    </xf>
    <xf numFmtId="166" fontId="18" fillId="0" borderId="0" applyAlignment="1" pivotButton="0" quotePrefix="0" xfId="5">
      <alignment horizontal="center" vertical="center" shrinkToFit="1"/>
    </xf>
    <xf numFmtId="167" fontId="90" fillId="0" borderId="13" applyAlignment="1" pivotButton="0" quotePrefix="0" xfId="7">
      <alignment horizontal="center" vertical="center" shrinkToFit="1"/>
    </xf>
    <xf numFmtId="0" fontId="50" fillId="32" borderId="142" applyAlignment="1" pivotButton="0" quotePrefix="0" xfId="12">
      <alignment horizontal="center" vertical="center"/>
    </xf>
    <xf numFmtId="172" fontId="90" fillId="0" borderId="13" applyAlignment="1" pivotButton="0" quotePrefix="0" xfId="7">
      <alignment horizontal="center" vertical="center" shrinkToFit="1"/>
    </xf>
    <xf numFmtId="164" fontId="25" fillId="0" borderId="14" applyAlignment="1" pivotButton="0" quotePrefix="0" xfId="5">
      <alignment vertical="center"/>
    </xf>
    <xf numFmtId="182" fontId="50" fillId="0" borderId="2" applyAlignment="1" pivotButton="0" quotePrefix="0" xfId="12">
      <alignment vertical="center"/>
    </xf>
    <xf numFmtId="0" fontId="0" fillId="0" borderId="51" pivotButton="0" quotePrefix="0" xfId="0"/>
    <xf numFmtId="166" fontId="90" fillId="0" borderId="13" applyAlignment="1" pivotButton="0" quotePrefix="0" xfId="5">
      <alignment horizontal="center" vertical="center" shrinkToFit="1"/>
    </xf>
    <xf numFmtId="0" fontId="0" fillId="0" borderId="18" pivotButton="0" quotePrefix="0" xfId="0"/>
    <xf numFmtId="182" fontId="50" fillId="2" borderId="2" applyAlignment="1" pivotButton="0" quotePrefix="0" xfId="12">
      <alignment vertical="center"/>
    </xf>
    <xf numFmtId="182" fontId="114" fillId="2" borderId="2" applyAlignment="1" pivotButton="0" quotePrefix="0" xfId="12">
      <alignment vertical="center"/>
    </xf>
    <xf numFmtId="182" fontId="50" fillId="32" borderId="2" applyAlignment="1" pivotButton="0" quotePrefix="0" xfId="12">
      <alignment vertical="center"/>
    </xf>
    <xf numFmtId="182" fontId="35" fillId="32" borderId="2" applyAlignment="1" pivotButton="0" quotePrefix="0" xfId="12">
      <alignment vertical="center"/>
    </xf>
    <xf numFmtId="182" fontId="114" fillId="32" borderId="2" applyAlignment="1" pivotButton="0" quotePrefix="0" xfId="12">
      <alignment horizontal="center" vertical="center"/>
    </xf>
    <xf numFmtId="166" fontId="138" fillId="0" borderId="13" applyAlignment="1" pivotButton="0" quotePrefix="0" xfId="5">
      <alignment horizontal="center" vertical="center" shrinkToFit="1"/>
    </xf>
    <xf numFmtId="182" fontId="23" fillId="25" borderId="0" applyAlignment="1" pivotButton="0" quotePrefix="0" xfId="17">
      <alignment horizontal="center" vertical="center"/>
    </xf>
    <xf numFmtId="182" fontId="23" fillId="38" borderId="0" applyAlignment="1" pivotButton="0" quotePrefix="0" xfId="17">
      <alignment vertical="center"/>
    </xf>
    <xf numFmtId="182" fontId="139" fillId="21" borderId="2" applyAlignment="1" pivotButton="0" quotePrefix="0" xfId="12">
      <alignment horizontal="center" vertical="center"/>
    </xf>
    <xf numFmtId="174" fontId="90" fillId="33" borderId="13" applyAlignment="1" pivotButton="0" quotePrefix="0" xfId="8">
      <alignment horizontal="center" vertical="center" shrinkToFit="1"/>
    </xf>
    <xf numFmtId="166" fontId="93" fillId="0" borderId="13" applyAlignment="1" pivotButton="0" quotePrefix="0" xfId="5">
      <alignment horizontal="left" vertical="center"/>
    </xf>
    <xf numFmtId="182" fontId="24" fillId="25" borderId="0" applyAlignment="1" pivotButton="0" quotePrefix="0" xfId="17">
      <alignment horizontal="left" vertical="center"/>
    </xf>
    <xf numFmtId="166" fontId="90" fillId="0" borderId="13" applyAlignment="1" pivotButton="0" quotePrefix="0" xfId="8">
      <alignment horizontal="center" vertical="center" shrinkToFit="1"/>
    </xf>
    <xf numFmtId="182" fontId="23" fillId="25" borderId="0" applyAlignment="1" pivotButton="0" quotePrefix="0" xfId="17">
      <alignment horizontal="left" vertical="center"/>
    </xf>
    <xf numFmtId="182" fontId="23" fillId="0" borderId="0" applyAlignment="1" pivotButton="0" quotePrefix="0" xfId="17">
      <alignment horizontal="left" vertical="center"/>
    </xf>
    <xf numFmtId="0" fontId="93" fillId="0" borderId="142" applyAlignment="1" pivotButton="0" quotePrefix="0" xfId="5">
      <alignment horizontal="left" vertical="center"/>
    </xf>
    <xf numFmtId="165" fontId="119" fillId="0" borderId="13" applyAlignment="1" pivotButton="0" quotePrefix="0" xfId="5">
      <alignment horizontal="center" vertical="center" shrinkToFit="1"/>
    </xf>
    <xf numFmtId="183" fontId="47" fillId="0" borderId="81" applyAlignment="1" pivotButton="0" quotePrefix="0" xfId="0">
      <alignment horizontal="right" vertical="center"/>
    </xf>
    <xf numFmtId="184" fontId="152" fillId="0" borderId="87" applyAlignment="1" pivotButton="0" quotePrefix="0" xfId="0">
      <alignment horizontal="right" vertical="center"/>
    </xf>
    <xf numFmtId="164" fontId="18" fillId="0" borderId="88" applyAlignment="1" pivotButton="0" quotePrefix="0" xfId="0">
      <alignment horizontal="center" vertical="center" shrinkToFit="1"/>
    </xf>
    <xf numFmtId="164" fontId="18" fillId="0" borderId="89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/>
    </xf>
    <xf numFmtId="184" fontId="95" fillId="47" borderId="81" applyAlignment="1" pivotButton="0" quotePrefix="0" xfId="0">
      <alignment vertical="center"/>
    </xf>
    <xf numFmtId="164" fontId="18" fillId="0" borderId="82" applyAlignment="1" pivotButton="0" quotePrefix="0" xfId="0">
      <alignment horizontal="center" vertical="center" shrinkToFit="1"/>
    </xf>
    <xf numFmtId="164" fontId="18" fillId="0" borderId="83" applyAlignment="1" pivotButton="0" quotePrefix="0" xfId="0">
      <alignment horizontal="center" vertical="center" shrinkToFit="1"/>
    </xf>
    <xf numFmtId="164" fontId="18" fillId="0" borderId="84" applyAlignment="1" pivotButton="0" quotePrefix="0" xfId="0">
      <alignment horizontal="center" vertical="center" shrinkToFit="1"/>
    </xf>
    <xf numFmtId="164" fontId="18" fillId="0" borderId="0" applyAlignment="1" pivotButton="0" quotePrefix="0" xfId="0">
      <alignment horizontal="center" vertical="center"/>
    </xf>
    <xf numFmtId="184" fontId="95" fillId="47" borderId="87" applyAlignment="1" pivotButton="0" quotePrefix="0" xfId="0">
      <alignment vertical="center"/>
    </xf>
    <xf numFmtId="164" fontId="18" fillId="0" borderId="90" applyAlignment="1" pivotButton="0" quotePrefix="0" xfId="0">
      <alignment horizontal="center" vertical="center" shrinkToFit="1"/>
    </xf>
    <xf numFmtId="164" fontId="18" fillId="0" borderId="97" applyAlignment="1" pivotButton="0" quotePrefix="0" xfId="0">
      <alignment horizontal="center" vertical="center" shrinkToFit="1"/>
    </xf>
    <xf numFmtId="184" fontId="120" fillId="3" borderId="81" applyAlignment="1" pivotButton="0" quotePrefix="0" xfId="0">
      <alignment vertical="center"/>
    </xf>
    <xf numFmtId="164" fontId="18" fillId="0" borderId="98" applyAlignment="1" pivotButton="0" quotePrefix="0" xfId="0">
      <alignment horizontal="center" vertical="center" shrinkToFit="1"/>
    </xf>
    <xf numFmtId="184" fontId="120" fillId="3" borderId="85" applyAlignment="1" pivotButton="0" quotePrefix="0" xfId="0">
      <alignment vertical="center"/>
    </xf>
    <xf numFmtId="164" fontId="18" fillId="0" borderId="80" applyAlignment="1" pivotButton="0" quotePrefix="0" xfId="0">
      <alignment horizontal="center" vertical="center" shrinkToFit="1"/>
    </xf>
    <xf numFmtId="164" fontId="18" fillId="0" borderId="0" applyAlignment="1" pivotButton="0" quotePrefix="0" xfId="0">
      <alignment horizontal="center" vertical="center" shrinkToFit="1"/>
    </xf>
    <xf numFmtId="164" fontId="18" fillId="0" borderId="3" applyAlignment="1" pivotButton="0" quotePrefix="0" xfId="0">
      <alignment horizontal="center" vertical="center" shrinkToFit="1"/>
    </xf>
    <xf numFmtId="184" fontId="95" fillId="3" borderId="85" applyAlignment="1" pivotButton="0" quotePrefix="0" xfId="0">
      <alignment vertical="center"/>
    </xf>
    <xf numFmtId="184" fontId="95" fillId="0" borderId="81" applyAlignment="1" pivotButton="0" quotePrefix="0" xfId="0">
      <alignment horizontal="right" vertical="center"/>
    </xf>
    <xf numFmtId="164" fontId="45" fillId="0" borderId="82" applyAlignment="1" pivotButton="0" quotePrefix="0" xfId="0">
      <alignment horizontal="center" vertical="center" shrinkToFit="1"/>
    </xf>
    <xf numFmtId="164" fontId="45" fillId="0" borderId="83" applyAlignment="1" pivotButton="0" quotePrefix="0" xfId="0">
      <alignment horizontal="center" vertical="center" shrinkToFit="1"/>
    </xf>
    <xf numFmtId="164" fontId="45" fillId="0" borderId="98" applyAlignment="1" pivotButton="0" quotePrefix="0" xfId="0">
      <alignment horizontal="center" vertical="center" shrinkToFit="1"/>
    </xf>
    <xf numFmtId="164" fontId="18" fillId="0" borderId="74" applyAlignment="1" pivotButton="0" quotePrefix="0" xfId="0">
      <alignment horizontal="center" vertical="center" shrinkToFit="1"/>
    </xf>
    <xf numFmtId="164" fontId="18" fillId="48" borderId="74" applyAlignment="1" pivotButton="0" quotePrefix="0" xfId="0">
      <alignment horizontal="center" vertical="center" shrinkToFit="1"/>
    </xf>
    <xf numFmtId="164" fontId="18" fillId="0" borderId="99" applyAlignment="1" pivotButton="0" quotePrefix="0" xfId="0">
      <alignment horizontal="center" vertical="center" shrinkToFit="1"/>
    </xf>
    <xf numFmtId="184" fontId="95" fillId="0" borderId="85" applyAlignment="1" pivotButton="0" quotePrefix="0" xfId="0">
      <alignment horizontal="right" vertical="center"/>
    </xf>
    <xf numFmtId="164" fontId="45" fillId="0" borderId="80" applyAlignment="1" pivotButton="0" quotePrefix="0" xfId="0">
      <alignment horizontal="center" vertical="center" shrinkToFit="1"/>
    </xf>
    <xf numFmtId="164" fontId="45" fillId="0" borderId="91" applyAlignment="1" pivotButton="0" quotePrefix="0" xfId="0">
      <alignment horizontal="center" vertical="center" shrinkToFit="1"/>
    </xf>
    <xf numFmtId="164" fontId="45" fillId="0" borderId="100" applyAlignment="1" pivotButton="0" quotePrefix="0" xfId="0">
      <alignment horizontal="center" vertical="center" shrinkToFit="1"/>
    </xf>
    <xf numFmtId="164" fontId="18" fillId="29" borderId="0" applyAlignment="1" pivotButton="0" quotePrefix="0" xfId="0">
      <alignment horizontal="center" vertical="center"/>
    </xf>
    <xf numFmtId="172" fontId="45" fillId="0" borderId="0" applyAlignment="1" pivotButton="0" quotePrefix="0" xfId="0">
      <alignment horizontal="center" vertical="center" shrinkToFit="1"/>
    </xf>
    <xf numFmtId="172" fontId="45" fillId="48" borderId="0" applyAlignment="1" pivotButton="0" quotePrefix="0" xfId="0">
      <alignment horizontal="center" vertical="center" shrinkToFit="1"/>
    </xf>
    <xf numFmtId="164" fontId="45" fillId="0" borderId="0" applyAlignment="1" pivotButton="0" quotePrefix="0" xfId="0">
      <alignment horizontal="center" vertical="center" shrinkToFit="1"/>
    </xf>
    <xf numFmtId="184" fontId="14" fillId="0" borderId="87" applyAlignment="1" pivotButton="0" quotePrefix="0" xfId="0">
      <alignment horizontal="right" vertical="center"/>
    </xf>
    <xf numFmtId="164" fontId="20" fillId="0" borderId="90" applyAlignment="1" pivotButton="0" quotePrefix="0" xfId="0">
      <alignment horizontal="center" vertical="center" shrinkToFit="1"/>
    </xf>
    <xf numFmtId="164" fontId="20" fillId="0" borderId="88" applyAlignment="1" pivotButton="0" quotePrefix="0" xfId="0">
      <alignment horizontal="center" vertical="center" shrinkToFit="1"/>
    </xf>
    <xf numFmtId="164" fontId="19" fillId="0" borderId="80" applyAlignment="1" pivotButton="0" quotePrefix="0" xfId="0">
      <alignment horizontal="center" vertical="center" shrinkToFit="1"/>
    </xf>
    <xf numFmtId="164" fontId="19" fillId="0" borderId="0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 shrinkToFit="1"/>
    </xf>
    <xf numFmtId="164" fontId="120" fillId="0" borderId="86" applyAlignment="1" pivotButton="0" quotePrefix="0" xfId="0">
      <alignment horizontal="center" vertical="center" shrinkToFit="1"/>
    </xf>
    <xf numFmtId="184" fontId="120" fillId="0" borderId="85" applyAlignment="1" pivotButton="0" quotePrefix="0" xfId="0">
      <alignment vertical="center"/>
    </xf>
    <xf numFmtId="164" fontId="0" fillId="0" borderId="8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horizontal="center" vertical="center" shrinkToFit="1"/>
    </xf>
    <xf numFmtId="164" fontId="0" fillId="0" borderId="86" applyAlignment="1" pivotButton="0" quotePrefix="0" xfId="0">
      <alignment horizontal="center" vertical="center" shrinkToFit="1"/>
    </xf>
    <xf numFmtId="164" fontId="21" fillId="0" borderId="94" applyAlignment="1" pivotButton="0" quotePrefix="0" xfId="0">
      <alignment horizontal="center" vertical="center" shrinkToFit="1"/>
    </xf>
    <xf numFmtId="164" fontId="21" fillId="0" borderId="95" applyAlignment="1" pivotButton="0" quotePrefix="0" xfId="0">
      <alignment horizontal="center" vertical="center" shrinkToFit="1"/>
    </xf>
    <xf numFmtId="164" fontId="21" fillId="0" borderId="96" applyAlignment="1" pivotButton="0" quotePrefix="0" xfId="0">
      <alignment horizontal="center" vertical="center" shrinkToFit="1"/>
    </xf>
    <xf numFmtId="164" fontId="21" fillId="0" borderId="80" applyAlignment="1" pivotButton="0" quotePrefix="0" xfId="0">
      <alignment horizontal="center" vertical="center" shrinkToFit="1"/>
    </xf>
    <xf numFmtId="164" fontId="21" fillId="0" borderId="0" applyAlignment="1" pivotButton="0" quotePrefix="0" xfId="0">
      <alignment horizontal="center" vertical="center" shrinkToFit="1"/>
    </xf>
    <xf numFmtId="172" fontId="20" fillId="0" borderId="0" applyAlignment="1" pivotButton="0" quotePrefix="0" xfId="0">
      <alignment horizontal="center" vertical="center" shrinkToFit="1"/>
    </xf>
    <xf numFmtId="172" fontId="20" fillId="0" borderId="86" applyAlignment="1" pivotButton="0" quotePrefix="0" xfId="0">
      <alignment horizontal="center" vertical="center" shrinkToFit="1"/>
    </xf>
    <xf numFmtId="164" fontId="21" fillId="0" borderId="90" applyAlignment="1" pivotButton="0" quotePrefix="0" xfId="0">
      <alignment horizontal="center" vertical="center" shrinkToFit="1"/>
    </xf>
    <xf numFmtId="172" fontId="20" fillId="25" borderId="92" applyAlignment="1" pivotButton="0" quotePrefix="0" xfId="0">
      <alignment horizontal="center" vertical="center" shrinkToFit="1"/>
    </xf>
    <xf numFmtId="172" fontId="20" fillId="0" borderId="92" applyAlignment="1" pivotButton="0" quotePrefix="0" xfId="0">
      <alignment horizontal="center" vertical="center" shrinkToFit="1"/>
    </xf>
    <xf numFmtId="172" fontId="22" fillId="0" borderId="88" applyAlignment="1" pivotButton="0" quotePrefix="0" xfId="0">
      <alignment horizontal="center" vertical="center" shrinkToFit="1"/>
    </xf>
    <xf numFmtId="172" fontId="20" fillId="0" borderId="89" applyAlignment="1" pivotButton="0" quotePrefix="0" xfId="0">
      <alignment horizontal="center" vertical="center" shrinkToFit="1"/>
    </xf>
    <xf numFmtId="185" fontId="8" fillId="0" borderId="0" applyAlignment="1" pivotButton="0" quotePrefix="0" xfId="0">
      <alignment vertical="center"/>
    </xf>
    <xf numFmtId="0" fontId="92" fillId="0" borderId="140" applyAlignment="1" pivotButton="0" quotePrefix="0" xfId="0">
      <alignment horizontal="center" vertical="center"/>
    </xf>
    <xf numFmtId="0" fontId="41" fillId="0" borderId="14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86" fontId="90" fillId="0" borderId="77" applyAlignment="1" pivotButton="0" quotePrefix="0" xfId="0">
      <alignment horizontal="center" vertical="center" shrinkToFit="1"/>
    </xf>
    <xf numFmtId="166" fontId="18" fillId="0" borderId="0" applyAlignment="1" pivotButton="0" quotePrefix="0" xfId="0">
      <alignment horizontal="center" vertical="center" shrinkToFit="1"/>
    </xf>
    <xf numFmtId="167" fontId="90" fillId="0" borderId="77" applyAlignment="1" pivotButton="0" quotePrefix="0" xfId="0">
      <alignment horizontal="center" vertical="center" shrinkToFit="1"/>
    </xf>
    <xf numFmtId="172" fontId="90" fillId="0" borderId="77" applyAlignment="1" pivotButton="0" quotePrefix="0" xfId="0">
      <alignment horizontal="center" vertical="center" shrinkToFit="1"/>
    </xf>
    <xf numFmtId="164" fontId="25" fillId="0" borderId="74" applyAlignment="1" pivotButton="0" quotePrefix="0" xfId="0">
      <alignment vertical="center"/>
    </xf>
    <xf numFmtId="0" fontId="21" fillId="26" borderId="140" applyAlignment="1" pivotButton="0" quotePrefix="0" xfId="0">
      <alignment horizontal="left" vertical="top"/>
    </xf>
    <xf numFmtId="182" fontId="0" fillId="0" borderId="0" applyAlignment="1" pivotButton="0" quotePrefix="0" xfId="0">
      <alignment vertical="center"/>
    </xf>
    <xf numFmtId="166" fontId="90" fillId="0" borderId="77" applyAlignment="1" pivotButton="0" quotePrefix="0" xfId="0">
      <alignment horizontal="center" vertical="center" shrinkToFit="1"/>
    </xf>
    <xf numFmtId="10" fontId="125" fillId="26" borderId="140" applyAlignment="1" pivotButton="0" quotePrefix="0" xfId="0">
      <alignment horizontal="left" vertical="center"/>
    </xf>
    <xf numFmtId="0" fontId="21" fillId="0" borderId="140" applyAlignment="1" pivotButton="0" quotePrefix="0" xfId="0">
      <alignment horizontal="left" vertical="top"/>
    </xf>
    <xf numFmtId="10" fontId="146" fillId="0" borderId="140" applyAlignment="1" pivotButton="0" quotePrefix="0" xfId="0">
      <alignment horizontal="left" vertical="center"/>
    </xf>
    <xf numFmtId="0" fontId="0" fillId="0" borderId="75" pivotButton="0" quotePrefix="0" xfId="0"/>
    <xf numFmtId="166" fontId="133" fillId="0" borderId="77" applyAlignment="1" pivotButton="0" quotePrefix="0" xfId="0">
      <alignment horizontal="center" vertical="center" shrinkToFit="1"/>
    </xf>
    <xf numFmtId="174" fontId="90" fillId="2" borderId="77" applyAlignment="1" pivotButton="0" quotePrefix="0" xfId="0">
      <alignment horizontal="center" vertical="center" shrinkToFit="1"/>
    </xf>
    <xf numFmtId="166" fontId="93" fillId="0" borderId="77" applyAlignment="1" pivotButton="0" quotePrefix="0" xfId="0">
      <alignment horizontal="left" vertical="center"/>
    </xf>
    <xf numFmtId="0" fontId="93" fillId="0" borderId="140" applyAlignment="1" pivotButton="0" quotePrefix="0" xfId="0">
      <alignment horizontal="left" vertical="center"/>
    </xf>
    <xf numFmtId="168" fontId="23" fillId="0" borderId="0" applyAlignment="1" pivotButton="0" quotePrefix="0" xfId="0">
      <alignment vertical="center"/>
    </xf>
    <xf numFmtId="165" fontId="119" fillId="0" borderId="77" applyAlignment="1" pivotButton="0" quotePrefix="0" xfId="0">
      <alignment horizontal="center" vertical="center" shrinkToFit="1"/>
    </xf>
    <xf numFmtId="165" fontId="23" fillId="0" borderId="0" applyAlignment="1" pivotButton="0" quotePrefix="0" xfId="0">
      <alignment horizontal="center" vertical="center" shrinkToFit="1"/>
    </xf>
    <xf numFmtId="172" fontId="8" fillId="0" borderId="78" applyAlignment="1" pivotButton="0" quotePrefix="0" xfId="0">
      <alignment vertical="center"/>
    </xf>
    <xf numFmtId="166" fontId="8" fillId="0" borderId="78" applyAlignment="1" pivotButton="0" quotePrefix="0" xfId="0">
      <alignment vertical="center"/>
    </xf>
    <xf numFmtId="164" fontId="8" fillId="0" borderId="78" applyAlignment="1" pivotButton="0" quotePrefix="0" xfId="0">
      <alignment vertical="center"/>
    </xf>
    <xf numFmtId="164" fontId="136" fillId="0" borderId="0" applyAlignment="1" pivotButton="0" quotePrefix="0" xfId="0">
      <alignment vertical="center"/>
    </xf>
    <xf numFmtId="164" fontId="120" fillId="0" borderId="0" applyAlignment="1" pivotButton="0" quotePrefix="0" xfId="0">
      <alignment vertical="center"/>
    </xf>
    <xf numFmtId="164" fontId="136" fillId="25" borderId="0" applyAlignment="1" pivotButton="0" quotePrefix="0" xfId="0">
      <alignment vertical="center"/>
    </xf>
    <xf numFmtId="164" fontId="136" fillId="0" borderId="74" applyAlignment="1" pivotButton="0" quotePrefix="0" xfId="0">
      <alignment vertical="center"/>
    </xf>
    <xf numFmtId="164" fontId="136" fillId="0" borderId="75" applyAlignment="1" pivotButton="0" quotePrefix="0" xfId="0">
      <alignment vertical="center"/>
    </xf>
    <xf numFmtId="164" fontId="131" fillId="0" borderId="0" applyAlignment="1" pivotButton="0" quotePrefix="0" xfId="0">
      <alignment vertical="center"/>
    </xf>
    <xf numFmtId="164" fontId="136" fillId="45" borderId="0" applyAlignment="1" pivotButton="0" quotePrefix="0" xfId="0">
      <alignment vertical="center"/>
    </xf>
    <xf numFmtId="164" fontId="136" fillId="0" borderId="76" applyAlignment="1" pivotButton="0" quotePrefix="0" xfId="0">
      <alignment vertical="center"/>
    </xf>
    <xf numFmtId="164" fontId="136" fillId="26" borderId="74" applyAlignment="1" pivotButton="0" quotePrefix="0" xfId="0">
      <alignment vertical="center"/>
    </xf>
    <xf numFmtId="166" fontId="120" fillId="0" borderId="0" applyAlignment="1" pivotButton="0" quotePrefix="0" xfId="0">
      <alignment vertical="center"/>
    </xf>
    <xf numFmtId="166" fontId="136" fillId="0" borderId="0" applyAlignment="1" pivotButton="0" quotePrefix="0" xfId="0">
      <alignment vertical="center"/>
    </xf>
    <xf numFmtId="166" fontId="8" fillId="2" borderId="0" applyAlignment="1" pivotButton="0" quotePrefix="0" xfId="0">
      <alignment vertical="center"/>
    </xf>
    <xf numFmtId="10" fontId="0" fillId="0" borderId="142" applyAlignment="1" pivotButton="0" quotePrefix="0" xfId="0">
      <alignment vertical="center"/>
    </xf>
    <xf numFmtId="0" fontId="199" fillId="58" borderId="45" applyAlignment="1" pivotButton="0" quotePrefix="0" xfId="0">
      <alignment horizontal="center" vertical="center"/>
    </xf>
    <xf numFmtId="0" fontId="201" fillId="58" borderId="45" applyAlignment="1" pivotButton="0" quotePrefix="0" xfId="0">
      <alignment horizontal="center" vertical="center"/>
    </xf>
    <xf numFmtId="0" fontId="173" fillId="40" borderId="51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80" pivotButton="0" quotePrefix="0" xfId="0"/>
    <xf numFmtId="0" fontId="173" fillId="59" borderId="45" applyAlignment="1" pivotButton="0" quotePrefix="0" xfId="0">
      <alignment horizontal="center" vertical="center"/>
    </xf>
    <xf numFmtId="0" fontId="173" fillId="0" borderId="150" applyAlignment="1" pivotButton="0" quotePrefix="0" xfId="0">
      <alignment horizontal="left" vertical="center"/>
    </xf>
    <xf numFmtId="0" fontId="173" fillId="0" borderId="150" applyAlignment="1" pivotButton="0" quotePrefix="0" xfId="0">
      <alignment horizontal="center" vertical="center"/>
    </xf>
    <xf numFmtId="0" fontId="173" fillId="0" borderId="148" applyAlignment="1" pivotButton="0" quotePrefix="0" xfId="0">
      <alignment horizontal="left" vertical="center"/>
    </xf>
    <xf numFmtId="0" fontId="102" fillId="2" borderId="4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54" pivotButton="0" quotePrefix="0" xfId="0"/>
    <xf numFmtId="0" fontId="0" fillId="0" borderId="76" pivotButton="0" quotePrefix="0" xfId="0"/>
    <xf numFmtId="0" fontId="15" fillId="0" borderId="142" applyAlignment="1" pivotButton="0" quotePrefix="0" xfId="0">
      <alignment horizontal="left" vertical="center" wrapText="1"/>
    </xf>
    <xf numFmtId="0" fontId="15" fillId="0" borderId="142" applyAlignment="1" pivotButton="0" quotePrefix="0" xfId="0">
      <alignment horizontal="center" vertical="center" wrapText="1"/>
    </xf>
    <xf numFmtId="0" fontId="15" fillId="0" borderId="148" applyAlignment="1" pivotButton="0" quotePrefix="0" xfId="0">
      <alignment horizontal="left" vertical="center" wrapText="1"/>
    </xf>
    <xf numFmtId="0" fontId="15" fillId="0" borderId="148" applyAlignment="1" pivotButton="0" quotePrefix="0" xfId="0">
      <alignment horizontal="center" vertical="center"/>
    </xf>
    <xf numFmtId="0" fontId="0" fillId="0" borderId="148" applyAlignment="1" pivotButton="0" quotePrefix="0" xfId="0">
      <alignment horizontal="center" vertical="center"/>
    </xf>
    <xf numFmtId="166" fontId="15" fillId="0" borderId="142" applyAlignment="1" pivotButton="0" quotePrefix="0" xfId="0">
      <alignment horizontal="center" vertical="center"/>
    </xf>
    <xf numFmtId="164" fontId="15" fillId="0" borderId="142" applyAlignment="1" pivotButton="0" quotePrefix="0" xfId="0">
      <alignment horizontal="center" vertical="center"/>
    </xf>
    <xf numFmtId="0" fontId="15" fillId="26" borderId="156" applyAlignment="1" pivotButton="0" quotePrefix="0" xfId="0">
      <alignment horizontal="left" vertical="center" wrapText="1"/>
    </xf>
    <xf numFmtId="0" fontId="0" fillId="0" borderId="157" pivotButton="0" quotePrefix="0" xfId="0"/>
    <xf numFmtId="0" fontId="15" fillId="26" borderId="155" applyAlignment="1" pivotButton="0" quotePrefix="0" xfId="0">
      <alignment horizontal="left" vertical="center" wrapText="1"/>
    </xf>
    <xf numFmtId="0" fontId="0" fillId="0" borderId="90" pivotButton="0" quotePrefix="0" xfId="0"/>
    <xf numFmtId="0" fontId="15" fillId="26" borderId="150" applyAlignment="1" pivotButton="0" quotePrefix="0" xfId="0">
      <alignment horizontal="left" vertical="center" wrapText="1"/>
    </xf>
    <xf numFmtId="0" fontId="15" fillId="0" borderId="143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22" pivotButton="0" quotePrefix="0" xfId="0"/>
    <xf numFmtId="0" fontId="15" fillId="0" borderId="156" applyAlignment="1" pivotButton="0" quotePrefix="0" xfId="0">
      <alignment horizontal="left" vertical="center" wrapText="1"/>
    </xf>
    <xf numFmtId="0" fontId="15" fillId="0" borderId="155" applyAlignment="1" pivotButton="0" quotePrefix="0" xfId="0">
      <alignment horizontal="left" vertical="center" wrapText="1"/>
    </xf>
    <xf numFmtId="0" fontId="15" fillId="0" borderId="150" applyAlignment="1" pivotButton="0" quotePrefix="0" xfId="0">
      <alignment horizontal="left" vertical="center" wrapText="1"/>
    </xf>
    <xf numFmtId="0" fontId="15" fillId="29" borderId="142" applyAlignment="1" pivotButton="0" quotePrefix="0" xfId="0">
      <alignment horizontal="left" vertical="center"/>
    </xf>
    <xf numFmtId="0" fontId="15" fillId="15" borderId="142" applyAlignment="1" pivotButton="0" quotePrefix="0" xfId="0">
      <alignment horizontal="left" vertical="center"/>
    </xf>
    <xf numFmtId="191" fontId="163" fillId="49" borderId="2" applyAlignment="1" pivotButton="0" quotePrefix="0" xfId="34">
      <alignment horizontal="center" vertical="center"/>
    </xf>
    <xf numFmtId="191" fontId="15" fillId="0" borderId="109" applyAlignment="1" pivotButton="0" quotePrefix="0" xfId="0">
      <alignment horizontal="center" vertical="center"/>
    </xf>
    <xf numFmtId="197" fontId="15" fillId="0" borderId="109" applyAlignment="1" pivotButton="0" quotePrefix="0" xfId="0">
      <alignment horizontal="center" vertical="center"/>
    </xf>
    <xf numFmtId="193" fontId="10" fillId="49" borderId="2" applyAlignment="1" pivotButton="0" quotePrefix="0" xfId="1">
      <alignment vertical="center"/>
    </xf>
    <xf numFmtId="173" fontId="15" fillId="0" borderId="0" applyAlignment="1" pivotButton="0" quotePrefix="0" xfId="0">
      <alignment horizontal="center" vertical="center"/>
    </xf>
    <xf numFmtId="173" fontId="15" fillId="0" borderId="2" applyAlignment="1" pivotButton="0" quotePrefix="0" xfId="0">
      <alignment horizontal="center" vertical="center"/>
    </xf>
    <xf numFmtId="173" fontId="15" fillId="0" borderId="2" applyAlignment="1" pivotButton="0" quotePrefix="0" xfId="5">
      <alignment horizontal="center" vertical="center"/>
    </xf>
    <xf numFmtId="164" fontId="15" fillId="0" borderId="2" applyAlignment="1" pivotButton="0" quotePrefix="0" xfId="5">
      <alignment horizontal="center" vertical="center"/>
    </xf>
    <xf numFmtId="164" fontId="86" fillId="0" borderId="2" applyAlignment="1" pivotButton="0" quotePrefix="0" xfId="0">
      <alignment horizontal="center" vertical="center"/>
    </xf>
    <xf numFmtId="164" fontId="117" fillId="0" borderId="2" applyAlignment="1" pivotButton="0" quotePrefix="0" xfId="0">
      <alignment horizontal="center" vertical="center"/>
    </xf>
    <xf numFmtId="164" fontId="15" fillId="0" borderId="78" applyAlignment="1" pivotButton="0" quotePrefix="0" xfId="5">
      <alignment horizontal="center" vertical="center"/>
    </xf>
    <xf numFmtId="173" fontId="15" fillId="0" borderId="131" applyAlignment="1" pivotButton="0" quotePrefix="0" xfId="0">
      <alignment horizontal="center" vertical="center"/>
    </xf>
    <xf numFmtId="164" fontId="15" fillId="0" borderId="131" applyAlignment="1" pivotButton="0" quotePrefix="0" xfId="5">
      <alignment horizontal="center" vertical="center"/>
    </xf>
    <xf numFmtId="173" fontId="15" fillId="0" borderId="131" applyAlignment="1" pivotButton="0" quotePrefix="0" xfId="5">
      <alignment horizontal="center" vertical="center"/>
    </xf>
    <xf numFmtId="173" fontId="15" fillId="0" borderId="136" applyAlignment="1" pivotButton="0" quotePrefix="0" xfId="0">
      <alignment horizontal="center" vertical="center"/>
    </xf>
    <xf numFmtId="164" fontId="15" fillId="0" borderId="136" applyAlignment="1" pivotButton="0" quotePrefix="0" xfId="5">
      <alignment horizontal="center" vertical="center"/>
    </xf>
    <xf numFmtId="173" fontId="15" fillId="0" borderId="136" applyAlignment="1" pivotButton="0" quotePrefix="0" xfId="5">
      <alignment horizontal="center" vertical="center"/>
    </xf>
    <xf numFmtId="173" fontId="15" fillId="0" borderId="133" applyAlignment="1" pivotButton="0" quotePrefix="0" xfId="0">
      <alignment horizontal="center" vertical="center"/>
    </xf>
    <xf numFmtId="164" fontId="15" fillId="0" borderId="133" applyAlignment="1" pivotButton="0" quotePrefix="0" xfId="5">
      <alignment horizontal="center" vertical="center"/>
    </xf>
    <xf numFmtId="173" fontId="15" fillId="0" borderId="133" applyAlignment="1" pivotButton="0" quotePrefix="0" xfId="5">
      <alignment horizontal="center" vertical="center"/>
    </xf>
    <xf numFmtId="173" fontId="15" fillId="0" borderId="135" applyAlignment="1" pivotButton="0" quotePrefix="0" xfId="0">
      <alignment horizontal="center" vertical="center"/>
    </xf>
    <xf numFmtId="164" fontId="15" fillId="0" borderId="135" applyAlignment="1" pivotButton="0" quotePrefix="0" xfId="5">
      <alignment horizontal="center" vertical="center"/>
    </xf>
    <xf numFmtId="173" fontId="15" fillId="0" borderId="135" applyAlignment="1" pivotButton="0" quotePrefix="0" xfId="5">
      <alignment horizontal="center" vertical="center"/>
    </xf>
    <xf numFmtId="173" fontId="15" fillId="0" borderId="137" applyAlignment="1" pivotButton="0" quotePrefix="0" xfId="0">
      <alignment horizontal="center" vertical="center"/>
    </xf>
    <xf numFmtId="164" fontId="15" fillId="0" borderId="137" applyAlignment="1" pivotButton="0" quotePrefix="0" xfId="5">
      <alignment horizontal="center" vertical="center"/>
    </xf>
    <xf numFmtId="173" fontId="15" fillId="0" borderId="137" applyAlignment="1" pivotButton="0" quotePrefix="0" xfId="5">
      <alignment horizontal="center" vertical="center"/>
    </xf>
    <xf numFmtId="173" fontId="15" fillId="0" borderId="138" applyAlignment="1" pivotButton="0" quotePrefix="0" xfId="0">
      <alignment horizontal="center" vertical="center"/>
    </xf>
    <xf numFmtId="166" fontId="15" fillId="0" borderId="138" applyAlignment="1" pivotButton="0" quotePrefix="0" xfId="0">
      <alignment horizontal="center" vertical="center"/>
    </xf>
    <xf numFmtId="173" fontId="15" fillId="0" borderId="138" applyAlignment="1" pivotButton="0" quotePrefix="0" xfId="5">
      <alignment horizontal="center" vertical="center"/>
    </xf>
    <xf numFmtId="173" fontId="15" fillId="0" borderId="140" applyAlignment="1" pivotButton="0" quotePrefix="0" xfId="0">
      <alignment horizontal="center" vertical="center"/>
    </xf>
    <xf numFmtId="164" fontId="15" fillId="0" borderId="140" applyAlignment="1" pivotButton="0" quotePrefix="0" xfId="5">
      <alignment horizontal="center" vertical="center"/>
    </xf>
    <xf numFmtId="173" fontId="15" fillId="0" borderId="141" applyAlignment="1" pivotButton="0" quotePrefix="0" xfId="0">
      <alignment horizontal="center" vertical="center"/>
    </xf>
    <xf numFmtId="164" fontId="15" fillId="0" borderId="142" applyAlignment="1" pivotButton="0" quotePrefix="0" xfId="5">
      <alignment horizontal="center" vertical="center"/>
    </xf>
    <xf numFmtId="173" fontId="15" fillId="0" borderId="142" applyAlignment="1" pivotButton="0" quotePrefix="0" xfId="0">
      <alignment horizontal="center" vertical="center"/>
    </xf>
    <xf numFmtId="192" fontId="10" fillId="0" borderId="0" applyAlignment="1" pivotButton="0" quotePrefix="0" xfId="1">
      <alignment vertical="center"/>
    </xf>
    <xf numFmtId="178" fontId="15" fillId="0" borderId="2" applyAlignment="1" pivotButton="0" quotePrefix="0" xfId="0">
      <alignment horizontal="center" vertical="center"/>
    </xf>
    <xf numFmtId="187" fontId="15" fillId="0" borderId="0" applyAlignment="1" pivotButton="0" quotePrefix="0" xfId="0">
      <alignment horizontal="center" vertical="center"/>
    </xf>
    <xf numFmtId="173" fontId="15" fillId="0" borderId="0" applyAlignment="1" pivotButton="0" quotePrefix="0" xfId="0">
      <alignment horizontal="left" vertical="center"/>
    </xf>
    <xf numFmtId="0" fontId="166" fillId="0" borderId="151" applyAlignment="1" pivotButton="0" quotePrefix="0" xfId="72">
      <alignment horizontal="center" vertical="center"/>
    </xf>
    <xf numFmtId="0" fontId="166" fillId="0" borderId="142" applyAlignment="1" pivotButton="0" quotePrefix="0" xfId="72">
      <alignment horizontal="center" vertical="center" wrapText="1"/>
    </xf>
    <xf numFmtId="0" fontId="166" fillId="0" borderId="142" applyAlignment="1" pivotButton="0" quotePrefix="0" xfId="72">
      <alignment horizontal="center" vertical="center"/>
    </xf>
    <xf numFmtId="166" fontId="166" fillId="0" borderId="109" pivotButton="0" quotePrefix="0" xfId="72"/>
    <xf numFmtId="166" fontId="166" fillId="0" borderId="109" applyAlignment="1" pivotButton="0" quotePrefix="0" xfId="72">
      <alignment horizontal="center" vertical="center"/>
    </xf>
    <xf numFmtId="166" fontId="166" fillId="0" borderId="0" pivotButton="0" quotePrefix="0" xfId="72"/>
    <xf numFmtId="187" fontId="15" fillId="0" borderId="0" applyAlignment="1" pivotButton="0" quotePrefix="0" xfId="0">
      <alignment horizontal="left" vertical="center"/>
    </xf>
    <xf numFmtId="0" fontId="86" fillId="0" borderId="45" applyAlignment="1" pivotButton="0" quotePrefix="0" xfId="0">
      <alignment horizontal="center" vertical="center"/>
    </xf>
    <xf numFmtId="0" fontId="86" fillId="0" borderId="11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170" fontId="72" fillId="0" borderId="2" applyAlignment="1" pivotButton="0" quotePrefix="0" xfId="4">
      <alignment horizontal="center" vertical="center"/>
    </xf>
    <xf numFmtId="170" fontId="73" fillId="0" borderId="2" applyAlignment="1" pivotButton="0" quotePrefix="0" xfId="0">
      <alignment horizontal="center" vertical="center"/>
    </xf>
    <xf numFmtId="170" fontId="71" fillId="0" borderId="6" applyAlignment="1" pivotButton="0" quotePrefix="0" xfId="0">
      <alignment vertical="center"/>
    </xf>
    <xf numFmtId="171" fontId="35" fillId="0" borderId="0" applyAlignment="1" pivotButton="0" quotePrefix="0" xfId="0">
      <alignment vertical="center"/>
    </xf>
    <xf numFmtId="170" fontId="73" fillId="0" borderId="7" applyAlignment="1" pivotButton="0" quotePrefix="0" xfId="0">
      <alignment horizontal="center" vertical="center"/>
    </xf>
    <xf numFmtId="170" fontId="71" fillId="0" borderId="8" applyAlignment="1" pivotButton="0" quotePrefix="0" xfId="0">
      <alignment horizontal="center" vertical="center"/>
    </xf>
    <xf numFmtId="170" fontId="69" fillId="0" borderId="0" applyAlignment="1" pivotButton="0" quotePrefix="0" xfId="4">
      <alignment horizontal="center" vertical="center"/>
    </xf>
    <xf numFmtId="170" fontId="59" fillId="0" borderId="0" applyAlignment="1" pivotButton="0" quotePrefix="0" xfId="0">
      <alignment vertical="center"/>
    </xf>
    <xf numFmtId="171" fontId="34" fillId="0" borderId="52" applyAlignment="1" pivotButton="0" quotePrefix="0" xfId="0">
      <alignment horizontal="center" vertical="center"/>
    </xf>
    <xf numFmtId="0" fontId="67" fillId="0" borderId="142" applyAlignment="1" pivotButton="0" quotePrefix="0" xfId="0">
      <alignment horizontal="center" vertical="center"/>
    </xf>
    <xf numFmtId="170" fontId="63" fillId="0" borderId="24" applyAlignment="1" pivotButton="0" quotePrefix="0" xfId="4">
      <alignment horizontal="center" vertical="center"/>
    </xf>
    <xf numFmtId="170" fontId="63" fillId="0" borderId="4" applyAlignment="1" pivotButton="0" quotePrefix="0" xfId="4">
      <alignment horizontal="center" vertical="center"/>
    </xf>
    <xf numFmtId="170" fontId="64" fillId="0" borderId="4" applyAlignment="1" pivotButton="0" quotePrefix="0" xfId="0">
      <alignment horizontal="center" vertical="center"/>
    </xf>
    <xf numFmtId="170" fontId="34" fillId="0" borderId="5" applyAlignment="1" pivotButton="0" quotePrefix="0" xfId="0">
      <alignment horizontal="center" vertical="center"/>
    </xf>
    <xf numFmtId="170" fontId="34" fillId="0" borderId="15" applyAlignment="1" pivotButton="0" quotePrefix="0" xfId="0">
      <alignment horizontal="center" vertical="center"/>
    </xf>
    <xf numFmtId="170" fontId="34" fillId="0" borderId="2" applyAlignment="1" pivotButton="0" quotePrefix="0" xfId="0">
      <alignment vertical="center"/>
    </xf>
    <xf numFmtId="170" fontId="34" fillId="0" borderId="6" applyAlignment="1" pivotButton="0" quotePrefix="0" xfId="0">
      <alignment vertical="center"/>
    </xf>
    <xf numFmtId="170" fontId="34" fillId="0" borderId="15" applyAlignment="1" pivotButton="0" quotePrefix="0" xfId="0">
      <alignment vertical="center"/>
    </xf>
    <xf numFmtId="0" fontId="41" fillId="0" borderId="142" applyAlignment="1" pivotButton="0" quotePrefix="0" xfId="0">
      <alignment horizontal="center" vertical="center"/>
    </xf>
    <xf numFmtId="0" fontId="41" fillId="0" borderId="142" applyAlignment="1" pivotButton="0" quotePrefix="0" xfId="0">
      <alignment horizontal="left" vertical="top" wrapText="1"/>
    </xf>
    <xf numFmtId="0" fontId="57" fillId="0" borderId="142" applyAlignment="1" pivotButton="0" quotePrefix="0" xfId="0">
      <alignment horizontal="left" vertical="top"/>
    </xf>
    <xf numFmtId="170" fontId="54" fillId="0" borderId="15" applyAlignment="1" pivotButton="0" quotePrefix="0" xfId="4">
      <alignment horizontal="center" vertical="center"/>
    </xf>
    <xf numFmtId="170" fontId="63" fillId="0" borderId="2" applyAlignment="1" pivotButton="0" quotePrefix="0" xfId="4">
      <alignment horizontal="center" vertical="center"/>
    </xf>
    <xf numFmtId="170" fontId="64" fillId="0" borderId="2" applyAlignment="1" pivotButton="0" quotePrefix="0" xfId="0">
      <alignment horizontal="center" vertical="center"/>
    </xf>
    <xf numFmtId="170" fontId="54" fillId="0" borderId="2" applyAlignment="1" pivotButton="0" quotePrefix="0" xfId="4">
      <alignment horizontal="center" vertical="center"/>
    </xf>
    <xf numFmtId="170" fontId="34" fillId="2" borderId="2" applyAlignment="1" pivotButton="0" quotePrefix="0" xfId="0">
      <alignment horizontal="center" vertical="center"/>
    </xf>
    <xf numFmtId="170" fontId="34" fillId="2" borderId="15" applyAlignment="1" pivotButton="0" quotePrefix="0" xfId="0">
      <alignment horizontal="center" vertical="center"/>
    </xf>
    <xf numFmtId="170" fontId="59" fillId="0" borderId="2" applyAlignment="1" pivotButton="0" quotePrefix="0" xfId="0">
      <alignment vertical="center"/>
    </xf>
    <xf numFmtId="170" fontId="65" fillId="0" borderId="15" applyAlignment="1" pivotButton="0" quotePrefix="0" xfId="0">
      <alignment horizontal="center" vertical="center"/>
    </xf>
    <xf numFmtId="170" fontId="70" fillId="2" borderId="2" applyAlignment="1" pivotButton="0" quotePrefix="0" xfId="4">
      <alignment horizontal="center" vertical="center"/>
    </xf>
    <xf numFmtId="170" fontId="70" fillId="0" borderId="2" applyAlignment="1" pivotButton="0" quotePrefix="0" xfId="4">
      <alignment horizontal="center" vertical="center"/>
    </xf>
    <xf numFmtId="170" fontId="65" fillId="0" borderId="2" applyAlignment="1" pivotButton="0" quotePrefix="0" xfId="0">
      <alignment horizontal="center" vertical="center"/>
    </xf>
    <xf numFmtId="170" fontId="58" fillId="0" borderId="20" applyAlignment="1" pivotButton="0" quotePrefix="0" xfId="0">
      <alignment horizontal="center" vertical="center"/>
    </xf>
    <xf numFmtId="170" fontId="58" fillId="0" borderId="18" applyAlignment="1" pivotButton="0" quotePrefix="0" xfId="0">
      <alignment horizontal="center" vertical="center"/>
    </xf>
    <xf numFmtId="170" fontId="34" fillId="0" borderId="19" applyAlignment="1" pivotButton="0" quotePrefix="0" xfId="0">
      <alignment vertical="center"/>
    </xf>
    <xf numFmtId="0" fontId="68" fillId="0" borderId="34" applyAlignment="1" pivotButton="0" quotePrefix="0" xfId="0">
      <alignment horizontal="left" vertical="top" wrapText="1"/>
    </xf>
    <xf numFmtId="0" fontId="0" fillId="0" borderId="34" pivotButton="0" quotePrefix="0" xfId="0"/>
    <xf numFmtId="170" fontId="34" fillId="0" borderId="21" applyAlignment="1" pivotButton="0" quotePrefix="0" xfId="0">
      <alignment vertical="center"/>
    </xf>
    <xf numFmtId="170" fontId="34" fillId="0" borderId="7" applyAlignment="1" pivotButton="0" quotePrefix="0" xfId="0">
      <alignment vertical="center"/>
    </xf>
    <xf numFmtId="170" fontId="34" fillId="0" borderId="8" applyAlignment="1" pivotButton="0" quotePrefix="0" xfId="0">
      <alignment vertical="center"/>
    </xf>
    <xf numFmtId="0" fontId="34" fillId="16" borderId="33" applyAlignment="1" pivotButton="0" quotePrefix="0" xfId="0">
      <alignment horizontal="center" vertical="center"/>
    </xf>
    <xf numFmtId="0" fontId="0" fillId="0" borderId="55" pivotButton="0" quotePrefix="0" xfId="0"/>
    <xf numFmtId="170" fontId="54" fillId="16" borderId="55" applyAlignment="1" pivotButton="0" quotePrefix="0" xfId="4">
      <alignment horizontal="center" vertical="center"/>
    </xf>
    <xf numFmtId="170" fontId="54" fillId="16" borderId="34" applyAlignment="1" pivotButton="0" quotePrefix="0" xfId="4">
      <alignment horizontal="center" vertical="center"/>
    </xf>
    <xf numFmtId="170" fontId="34" fillId="16" borderId="56" applyAlignment="1" pivotButton="0" quotePrefix="0" xfId="0">
      <alignment vertical="center"/>
    </xf>
    <xf numFmtId="170" fontId="34" fillId="0" borderId="0" applyAlignment="1" pivotButton="0" quotePrefix="0" xfId="0">
      <alignment vertical="center"/>
    </xf>
    <xf numFmtId="170" fontId="54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horizontal="center" vertical="center"/>
    </xf>
    <xf numFmtId="170" fontId="54" fillId="2" borderId="2" applyAlignment="1" pivotButton="0" quotePrefix="0" xfId="4">
      <alignment horizontal="center" vertical="center"/>
    </xf>
    <xf numFmtId="0" fontId="35" fillId="0" borderId="142" applyAlignment="1" pivotButton="0" quotePrefix="0" xfId="0">
      <alignment horizontal="center" vertical="center" wrapText="1"/>
    </xf>
    <xf numFmtId="170" fontId="58" fillId="0" borderId="2" applyAlignment="1" pivotButton="0" quotePrefix="0" xfId="0">
      <alignment horizontal="center" vertical="center"/>
    </xf>
    <xf numFmtId="170" fontId="54" fillId="16" borderId="7" applyAlignment="1" pivotButton="0" quotePrefix="0" xfId="4">
      <alignment horizontal="center" vertical="center"/>
    </xf>
    <xf numFmtId="170" fontId="34" fillId="16" borderId="8" applyAlignment="1" pivotButton="0" quotePrefix="0" xfId="0">
      <alignment vertical="center"/>
    </xf>
    <xf numFmtId="170" fontId="54" fillId="0" borderId="0" applyAlignment="1" pivotButton="0" quotePrefix="0" xfId="4">
      <alignment horizontal="center" vertical="center"/>
    </xf>
    <xf numFmtId="170" fontId="66" fillId="0" borderId="18" applyAlignment="1" pivotButton="0" quotePrefix="0" xfId="4">
      <alignment horizontal="center" vertical="center"/>
    </xf>
    <xf numFmtId="170" fontId="66" fillId="0" borderId="2" applyAlignment="1" pivotButton="0" quotePrefix="0" xfId="4">
      <alignment horizontal="center" vertical="center"/>
    </xf>
    <xf numFmtId="170" fontId="34" fillId="0" borderId="6" applyAlignment="1" pivotButton="0" quotePrefix="0" xfId="0">
      <alignment horizontal="center" vertical="center"/>
    </xf>
    <xf numFmtId="0" fontId="35" fillId="0" borderId="142" applyAlignment="1" pivotButton="0" quotePrefix="0" xfId="0">
      <alignment vertical="top" wrapText="1"/>
    </xf>
    <xf numFmtId="170" fontId="54" fillId="16" borderId="2" applyAlignment="1" pivotButton="0" quotePrefix="0" xfId="4">
      <alignment horizontal="center" vertical="center"/>
    </xf>
    <xf numFmtId="170" fontId="34" fillId="16" borderId="2" applyAlignment="1" pivotButton="0" quotePrefix="0" xfId="0">
      <alignment vertical="center"/>
    </xf>
    <xf numFmtId="170" fontId="34" fillId="16" borderId="6" applyAlignment="1" pivotButton="0" quotePrefix="0" xfId="0">
      <alignment vertical="center"/>
    </xf>
    <xf numFmtId="170" fontId="54" fillId="16" borderId="38" applyAlignment="1" pivotButton="0" quotePrefix="0" xfId="4">
      <alignment horizontal="center" vertical="center"/>
    </xf>
    <xf numFmtId="170" fontId="34" fillId="16" borderId="38" applyAlignment="1" pivotButton="0" quotePrefix="0" xfId="0">
      <alignment vertical="center"/>
    </xf>
    <xf numFmtId="170" fontId="34" fillId="16" borderId="31" applyAlignment="1" pivotButton="0" quotePrefix="0" xfId="0">
      <alignment vertical="center"/>
    </xf>
    <xf numFmtId="170" fontId="34" fillId="0" borderId="0" applyAlignment="1" pivotButton="0" quotePrefix="0" xfId="0">
      <alignment horizontal="center" vertical="center"/>
    </xf>
    <xf numFmtId="0" fontId="36" fillId="10" borderId="142" applyAlignment="1" pivotButton="0" quotePrefix="0" xfId="0">
      <alignment horizontal="center" vertical="center"/>
    </xf>
    <xf numFmtId="0" fontId="34" fillId="0" borderId="142" applyAlignment="1" pivotButton="0" quotePrefix="0" xfId="0">
      <alignment horizontal="center" vertical="center"/>
    </xf>
    <xf numFmtId="170" fontId="34" fillId="0" borderId="2" applyAlignment="1" pivotButton="0" quotePrefix="0" xfId="0">
      <alignment horizontal="center" vertical="center"/>
    </xf>
    <xf numFmtId="0" fontId="36" fillId="6" borderId="142" applyAlignment="1" pivotButton="0" quotePrefix="0" xfId="0">
      <alignment horizontal="center" vertical="center"/>
    </xf>
    <xf numFmtId="0" fontId="36" fillId="13" borderId="142" applyAlignment="1" pivotButton="0" quotePrefix="0" xfId="0">
      <alignment horizontal="center" vertical="center"/>
    </xf>
    <xf numFmtId="0" fontId="0" fillId="2" borderId="140" applyAlignment="1" pivotButton="0" quotePrefix="0" xfId="0">
      <alignment horizontal="center" vertical="center"/>
    </xf>
    <xf numFmtId="185" fontId="21" fillId="0" borderId="0" applyAlignment="1" pivotButton="0" quotePrefix="0" xfId="0">
      <alignment horizontal="center"/>
    </xf>
    <xf numFmtId="185" fontId="110" fillId="0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196" fontId="110" fillId="0" borderId="0" applyAlignment="1" pivotButton="0" quotePrefix="0" xfId="0">
      <alignment horizontal="center"/>
    </xf>
    <xf numFmtId="185" fontId="189" fillId="0" borderId="0" applyAlignment="1" pivotButton="0" quotePrefix="0" xfId="0">
      <alignment horizontal="center"/>
    </xf>
    <xf numFmtId="185" fontId="28" fillId="0" borderId="0" applyAlignment="1" pivotButton="0" quotePrefix="0" xfId="0">
      <alignment horizontal="center"/>
    </xf>
    <xf numFmtId="0" fontId="28" fillId="0" borderId="148" applyAlignment="1" pivotButton="0" quotePrefix="0" xfId="0">
      <alignment horizontal="center" vertical="center"/>
    </xf>
    <xf numFmtId="0" fontId="110" fillId="0" borderId="148" applyAlignment="1" pivotButton="0" quotePrefix="0" xfId="0">
      <alignment horizontal="center" vertical="center"/>
    </xf>
    <xf numFmtId="185" fontId="110" fillId="0" borderId="116" applyAlignment="1" pivotButton="0" quotePrefix="0" xfId="0">
      <alignment horizontal="center" vertical="center"/>
    </xf>
    <xf numFmtId="185" fontId="110" fillId="0" borderId="117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/>
    </xf>
    <xf numFmtId="185" fontId="28" fillId="0" borderId="117" applyAlignment="1" pivotButton="0" quotePrefix="0" xfId="0">
      <alignment horizontal="center"/>
    </xf>
  </cellXfs>
  <cellStyles count="80">
    <cellStyle name="一般" xfId="0" builtinId="0"/>
    <cellStyle name="千分位" xfId="1" builtinId="3"/>
    <cellStyle name="百分比" xfId="2" builtinId="5"/>
    <cellStyle name="貨幣" xfId="3" builtinId="4"/>
    <cellStyle name="超連結" xfId="4" builtinId="8"/>
    <cellStyle name="一般 2" xfId="5"/>
    <cellStyle name="一般 3" xfId="6"/>
    <cellStyle name="千分位 2" xfId="7"/>
    <cellStyle name="百分比 2" xfId="8"/>
    <cellStyle name="一般 4" xfId="9"/>
    <cellStyle name="一般 3 2" xfId="10"/>
    <cellStyle name="一般 4 2" xfId="11"/>
    <cellStyle name="一般 6" xfId="12"/>
    <cellStyle name="一般 2 2" xfId="13"/>
    <cellStyle name="千分位 3" xfId="14"/>
    <cellStyle name="貨幣 2" xfId="15"/>
    <cellStyle name="超連結 2" xfId="16"/>
    <cellStyle name="千分位 6" xfId="17"/>
    <cellStyle name="一般 3 9" xfId="18"/>
    <cellStyle name="一般 3 2 2" xfId="19"/>
    <cellStyle name="一般 3 3" xfId="20"/>
    <cellStyle name="一般 4 5" xfId="21"/>
    <cellStyle name="千分位 4" xfId="22"/>
    <cellStyle name="一般 3 4" xfId="23"/>
    <cellStyle name="一般 3 5" xfId="24"/>
    <cellStyle name="一般 4 2 2" xfId="25"/>
    <cellStyle name="一般 3 6" xfId="26"/>
    <cellStyle name="一般 5" xfId="27"/>
    <cellStyle name="千分位 5" xfId="28"/>
    <cellStyle name="一般 3 7" xfId="29"/>
    <cellStyle name="一般 4 3" xfId="30"/>
    <cellStyle name="一般 3 8" xfId="31"/>
    <cellStyle name="一般 4 4" xfId="32"/>
    <cellStyle name="一般 7" xfId="33"/>
    <cellStyle name="好" xfId="34" builtinId="26"/>
    <cellStyle name="中等 2" xfId="35"/>
    <cellStyle name="中等" xfId="36" builtinId="28"/>
    <cellStyle name="一般 3 11" xfId="37"/>
    <cellStyle name="一般 4 7" xfId="38"/>
    <cellStyle name="一般 3 2 4" xfId="39"/>
    <cellStyle name="一般 4 2 4" xfId="40"/>
    <cellStyle name="一般 3 9 3" xfId="41"/>
    <cellStyle name="一般 3 2 2 3" xfId="42"/>
    <cellStyle name="一般 3 3 3" xfId="43"/>
    <cellStyle name="一般 4 5 3" xfId="44"/>
    <cellStyle name="千分位 4 3" xfId="45"/>
    <cellStyle name="一般 3 4 3" xfId="46"/>
    <cellStyle name="一般 3 5 3" xfId="47"/>
    <cellStyle name="一般 4 2 2 3" xfId="48"/>
    <cellStyle name="一般 3 6 3" xfId="49"/>
    <cellStyle name="一般 3 7 3" xfId="50"/>
    <cellStyle name="一般 4 3 3" xfId="51"/>
    <cellStyle name="一般 3 8 3" xfId="52"/>
    <cellStyle name="一般 4 4 3" xfId="53"/>
    <cellStyle name="一般 3 10" xfId="54"/>
    <cellStyle name="一般 4 6" xfId="55"/>
    <cellStyle name="一般 3 2 3" xfId="56"/>
    <cellStyle name="一般 4 2 3" xfId="57"/>
    <cellStyle name="一般 3 9 2" xfId="58"/>
    <cellStyle name="一般 3 2 2 2" xfId="59"/>
    <cellStyle name="一般 3 3 2" xfId="60"/>
    <cellStyle name="一般 4 5 2" xfId="61"/>
    <cellStyle name="千分位 4 2" xfId="62"/>
    <cellStyle name="一般 3 4 2" xfId="63"/>
    <cellStyle name="一般 3 5 2" xfId="64"/>
    <cellStyle name="一般 4 2 2 2" xfId="65"/>
    <cellStyle name="一般 3 6 2" xfId="66"/>
    <cellStyle name="一般 3 7 2" xfId="67"/>
    <cellStyle name="一般 4 3 2" xfId="68"/>
    <cellStyle name="一般 3 8 2" xfId="69"/>
    <cellStyle name="一般 4 4 2" xfId="70"/>
    <cellStyle name="超連結 3" xfId="71"/>
    <cellStyle name="一般 8" xfId="72"/>
    <cellStyle name="千分位 7" xfId="73"/>
    <cellStyle name="百分比 3" xfId="74"/>
    <cellStyle name="壞 2" xfId="75"/>
    <cellStyle name="輸出 2" xfId="76"/>
    <cellStyle name="一般 9" xfId="77"/>
    <cellStyle name="一般 10" xfId="78"/>
    <cellStyle name="千分位 8" xfId="79"/>
  </cellStyles>
  <dxfs count="6">
    <dxf>
      <font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69FF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externalLink" Target="/xl/externalLinks/externalLink1.xml" Id="rId43" /><Relationship Type="http://schemas.openxmlformats.org/officeDocument/2006/relationships/externalLink" Target="/xl/externalLinks/externalLink2.xml" Id="rId44" /><Relationship Type="http://schemas.openxmlformats.org/officeDocument/2006/relationships/externalLink" Target="/xl/externalLinks/externalLink3.xml" Id="rId45" /><Relationship Type="http://schemas.openxmlformats.org/officeDocument/2006/relationships/externalLink" Target="/xl/externalLinks/externalLink4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成本比例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4241545706413941"/>
          <y val="0.1740852600770429"/>
          <w val="0.538738418125107"/>
          <h val="0.7295713966476387"/>
        </manualLayout>
      </layout>
      <pieChart>
        <varyColors val="1"/>
        <ser>
          <idx val="0"/>
          <order val="0"/>
          <tx>
            <strRef>
              <f>比例!$C$5</f>
              <strCache>
                <ptCount val="1"/>
                <pt idx="0">
                  <v>成本比例</v>
                </pt>
              </strCache>
            </strRef>
          </tx>
          <spPr>
            <a:ln>
              <a:prstDash val="solid"/>
            </a:ln>
          </spPr>
          <explosion val="12"/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比例!$C$6:$C$15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073697201923774"/>
          <y val="0"/>
          <w val="0.3725037349973491"/>
          <h val="1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業務報價比例</a:t>
            </a:r>
          </a:p>
        </rich>
      </tx>
      <layout>
        <manualLayout>
          <xMode val="edge"/>
          <yMode val="edge"/>
          <wMode val="factor"/>
          <hMode val="factor"/>
          <x val="0.3627006216405173"/>
          <y val="0.01412253467249064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5581599695674978"/>
          <y val="0.1618990138689962"/>
          <w val="0.5387384181251073"/>
          <h val="0.7295713966476387"/>
        </manualLayout>
      </layout>
      <pieChart>
        <varyColors val="1"/>
        <ser>
          <idx val="0"/>
          <order val="0"/>
          <tx>
            <strRef>
              <f>比例!$J$5</f>
              <strCache>
                <ptCount val="1"/>
                <pt idx="0">
                  <v>業務報價比例</v>
                </pt>
              </strCache>
            </strRef>
          </tx>
          <spPr>
            <a:ln>
              <a:prstDash val="solid"/>
            </a:ln>
          </spPr>
          <explosion val="12"/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比例!$J$6:$J$15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440102306066219"/>
          <y val="0.02837913225993539"/>
          <w val="0.351018536985051"/>
          <h val="0.936545057858545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利潤比例</a:t>
            </a:r>
          </a:p>
        </rich>
      </tx>
      <layout>
        <manualLayout>
          <xMode val="edge"/>
          <yMode val="edge"/>
          <wMode val="factor"/>
          <hMode val="factor"/>
          <x val="0.3627006216405173"/>
          <y val="0.01412253467249064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9271526402771843"/>
          <y val="0.1791344547882681"/>
          <w val="0.5387384181251076"/>
          <h val="0.7295713966476387"/>
        </manualLayout>
      </layout>
      <pieChart>
        <varyColors val="1"/>
        <ser>
          <idx val="0"/>
          <order val="0"/>
          <tx>
            <strRef>
              <f>比例!$Q$5</f>
              <strCache>
                <ptCount val="1"/>
                <pt idx="0">
                  <v>利潤比例</v>
                </pt>
              </strCache>
            </strRef>
          </tx>
          <spPr>
            <a:ln>
              <a:prstDash val="solid"/>
            </a:ln>
          </spPr>
          <explosion val="5"/>
          <dLbls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比例!$Q$6:$Q$15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5255357591149"/>
          <y val="0.01065619044988818"/>
          <w val="0.3399910309816808"/>
          <h val="0.971131762821398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Roger Chang(張維仁)</author>
  </authors>
  <commentList>
    <comment ref="B97" authorId="0" shapeId="0">
      <text>
        <t>以首年電費10% 測算20年</t>
      </text>
    </comment>
    <comment ref="F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G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B131" authorId="0" shapeId="0">
      <text>
        <t>每年電費收入10% 估算</t>
      </text>
    </comment>
    <comment ref="B134" authorId="0" shapeId="0">
      <text>
        <t xml:space="preserve">稅後淨利金額 抓40% 作營運週轉金
</t>
      </text>
    </comment>
    <comment ref="C143" authorId="0" shapeId="0">
      <text>
        <t>Key in 專案處理狀態:
已簽核
設計評估中
洽談中</t>
      </text>
    </comment>
    <comment ref="F143" authorId="0" shapeId="0">
      <text>
        <t xml:space="preserve">Key in 縣市名
</t>
      </text>
    </comment>
    <comment ref="H143" authorId="0" shapeId="0">
      <text>
        <t>自有
租賃
購入</t>
      </text>
    </comment>
    <comment ref="J143" authorId="0" shapeId="0">
      <text>
        <t>帶 分析表 案場建置量</t>
      </text>
    </comment>
    <comment ref="L143" authorId="0" shapeId="0">
      <text>
        <t>(總電費收入-總建置成本)/總電費收入</t>
      </text>
    </comment>
    <comment ref="M143" authorId="0" shapeId="0">
      <text>
        <t xml:space="preserve"> (總電費收入-租金-設備折舊-運維費用-人事成本-保險) / 總電費收入
</t>
      </text>
    </comment>
    <comment ref="N143" authorId="0" shapeId="0">
      <text>
        <t>( 淨利-所得稅(20%)-法定盈餘公基金(10%)-營運週轉金40% ) / 總電費收入</t>
      </text>
    </comment>
    <comment ref="O143" authorId="0" shapeId="0">
      <text>
        <t>總建置成本/1000</t>
      </text>
    </comment>
    <comment ref="P143" authorId="0" shapeId="0">
      <text>
        <t>總建置成本/1000</t>
      </text>
    </comment>
    <comment ref="Q143" authorId="0" shapeId="0">
      <text>
        <t xml:space="preserve">總累積費用/1000
(費用類 包含 : 租金+設備成本攤提+運維費用攤提+保險攤提+人事費用攤提)
</t>
      </text>
    </comment>
    <comment ref="R143" authorId="0" shapeId="0">
      <text>
        <t>總累積稅金/1000</t>
      </text>
    </comment>
    <comment ref="S143" authorId="0" shapeId="0">
      <text>
        <t xml:space="preserve">總電費收入-總建置成本-費用(含租金+設備成本攤提+運維費用攤提+保險攤提+人事費用攤提)
</t>
      </text>
    </comment>
    <comment ref="T143" authorId="0" shapeId="0">
      <text>
        <t xml:space="preserve">淨利-稅金-營運週轉金
</t>
      </text>
    </comment>
  </commentList>
</comments>
</file>

<file path=xl/comments/comment2.xml><?xml version="1.0" encoding="utf-8"?>
<comments xmlns="http://schemas.openxmlformats.org/spreadsheetml/2006/main">
  <authors>
    <author>Roger Chang(張維仁)</author>
  </authors>
  <commentList>
    <comment ref="B97" authorId="0" shapeId="0">
      <text>
        <t>以首年電費10% 測算20年</t>
      </text>
    </comment>
    <comment ref="F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G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B131" authorId="0" shapeId="0">
      <text>
        <t>每年電費收入10% 估算</t>
      </text>
    </comment>
    <comment ref="B134" authorId="0" shapeId="0">
      <text>
        <t xml:space="preserve">稅後淨利金額 抓40% 作營運週轉金
</t>
      </text>
    </comment>
    <comment ref="C143" authorId="0" shapeId="0">
      <text>
        <t>Key in 專案處理狀態:
已簽核
設計評估中
洽談中</t>
      </text>
    </comment>
    <comment ref="F143" authorId="0" shapeId="0">
      <text>
        <t xml:space="preserve">Key in 縣市名
</t>
      </text>
    </comment>
    <comment ref="H143" authorId="0" shapeId="0">
      <text>
        <t>自有
租賃
購入</t>
      </text>
    </comment>
    <comment ref="J143" authorId="0" shapeId="0">
      <text>
        <t>帶 分析表 案場建置量</t>
      </text>
    </comment>
    <comment ref="L143" authorId="0" shapeId="0">
      <text>
        <t>(總電費收入-總建置成本)/總電費收入</t>
      </text>
    </comment>
    <comment ref="M143" authorId="0" shapeId="0">
      <text>
        <t xml:space="preserve"> (總電費收入-租金-設備折舊-運維費用-人事成本-保險) / 總電費收入
</t>
      </text>
    </comment>
    <comment ref="N143" authorId="0" shapeId="0">
      <text>
        <t>( 淨利-所得稅(20%)-法定盈餘公基金(10%)-營運週轉金40% ) / 總電費收入</t>
      </text>
    </comment>
    <comment ref="O143" authorId="0" shapeId="0">
      <text>
        <t>總建置成本/1000</t>
      </text>
    </comment>
    <comment ref="P143" authorId="0" shapeId="0">
      <text>
        <t>總建置成本/1000</t>
      </text>
    </comment>
    <comment ref="Q143" authorId="0" shapeId="0">
      <text>
        <t xml:space="preserve">總累積費用/1000
(費用類 包含 : 租金+設備成本攤提+運維費用攤提+保險攤提+人事費用攤提)
</t>
      </text>
    </comment>
    <comment ref="R143" authorId="0" shapeId="0">
      <text>
        <t>總累積稅金/1000</t>
      </text>
    </comment>
    <comment ref="S143" authorId="0" shapeId="0">
      <text>
        <t xml:space="preserve">總電費收入-總建置成本-費用(含租金+設備成本攤提+運維費用攤提+保險攤提+人事費用攤提)
</t>
      </text>
    </comment>
    <comment ref="T143" authorId="0" shapeId="0">
      <text>
        <t xml:space="preserve">淨利-稅金-營運週轉金
</t>
      </text>
    </comment>
  </commentList>
</comments>
</file>

<file path=xl/comments/comment3.xml><?xml version="1.0" encoding="utf-8"?>
<comments xmlns="http://schemas.openxmlformats.org/spreadsheetml/2006/main">
  <authors>
    <author>JoeyTian</author>
  </authors>
  <commentList>
    <comment ref="H5" authorId="0" shapeId="0">
      <text>
        <t>JoeyTian:
推進價格未確認</t>
      </text>
    </comment>
    <comment ref="G12" authorId="0" shapeId="0">
      <text>
        <t>JoeyTian:
此供應商無法配合工程施作</t>
      </text>
    </comment>
    <comment ref="H12" authorId="0" shapeId="0">
      <text>
        <t>JoeyTian:
此供應商無法配合工程施作</t>
      </text>
    </comment>
    <comment ref="I12" authorId="0" shapeId="0">
      <text>
        <t>JoeyTian:
此供應商無法配合工程施作</t>
      </text>
    </comment>
    <comment ref="J12" authorId="0" shapeId="0">
      <text>
        <t>JoeyTian:
此供應商無法配合工程施作</t>
      </text>
    </comment>
    <comment ref="H45" authorId="0" shapeId="0">
      <text>
        <t>JoeyTian:
30KVA</t>
      </text>
    </comment>
    <comment ref="H64" authorId="0" shapeId="0">
      <text>
        <t>JoeyTian:
Brook口頭報價</t>
      </text>
    </comment>
    <comment ref="G76" authorId="0" shapeId="0">
      <text>
        <t>JoeyTian:
Mail 報價
2015/09/17 下午 02:32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179294</colOff>
      <row>15</row>
      <rowOff>56030</rowOff>
    </from>
    <to>
      <col>7</col>
      <colOff>470646</colOff>
      <row>32</row>
      <rowOff>33618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22411</colOff>
      <row>15</row>
      <rowOff>56030</rowOff>
    </from>
    <to>
      <col>14</col>
      <colOff>380999</colOff>
      <row>32</row>
      <rowOff>33618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15</col>
      <colOff>22412</colOff>
      <row>15</row>
      <rowOff>56029</rowOff>
    </from>
    <to>
      <col>21</col>
      <colOff>33617</colOff>
      <row>32</row>
      <rowOff>33617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1776;&#32121;/&#31995;&#32113;&#20998;&#26512;V3(&#23526;&#38555;&#30332;&#29983;)_(&#21776;&#23071;50KW_V0)_%20by%20Joey20151008_Release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26032;&#31481;-&#38263;&#27054;&#21830;&#27161;/&#26032;&#31481;-&#38263;&#27054;&#21830;&#27161;/&#38263;&#27054;&#21830;&#27161;(&#23526;&#38555;&#30332;&#29983;)%20ACPV&#25237;&#22577;&#20998;&#26512;%2019.6KW%2020150316_V0%20by%20brook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0013;&#33288;&#24037;&#26989;&#21312;&#31649;&#29702;&#20013;&#24515;/&#31995;&#32113;&#20998;&#26512;V2(&#23526;&#38555;&#30332;&#29983;)_(&#33495;&#26647;&#20013;&#24515;&#24037;&#26989;&#21312;&#31649;&#29702;&#20013;&#24515;V2_245W_19.6KW)_%20by%20Joey20150427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0553;&#26124;/20150818_&#20553;&#26124;&#27231;&#38651;by%20Joey/&#31995;&#32113;&#20998;&#26512;V3(&#23526;&#38555;&#30332;&#29983;)_(&#20553;&#26124;50KW_&#24179;&#37610;&#24335;_V0)_%20by%20Joey20151008_Releas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2772294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成本分析"/>
      <sheetName val="發電統計預估"/>
      <sheetName val="回收分析"/>
      <sheetName val="等效時數"/>
      <sheetName val="報價用"/>
    </sheetNames>
    <sheetDataSet>
      <sheetData sheetId="0">
        <row r="43">
          <cell r="J43">
            <v>1487083.8095238095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1189676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2727373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wer.larc.nasa.gov/data-access-viewer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Relationship Type="http://schemas.openxmlformats.org/officeDocument/2006/relationships/hyperlink" Target="mailto:max@thingnario.com" TargetMode="External" Id="rId26" /><Relationship Type="http://schemas.openxmlformats.org/officeDocument/2006/relationships/hyperlink" Target="mailto:max@thingnario.com" TargetMode="External" Id="rId27" /><Relationship Type="http://schemas.openxmlformats.org/officeDocument/2006/relationships/hyperlink" Target="mailto:max@thingnario.com" TargetMode="External" Id="rId28" /><Relationship Type="http://schemas.openxmlformats.org/officeDocument/2006/relationships/hyperlink" Target="mailto:max@thingnario.com" TargetMode="External" Id="rId29" /><Relationship Type="http://schemas.openxmlformats.org/officeDocument/2006/relationships/hyperlink" Target="mailto:max@thingnario.com" TargetMode="External" Id="rId30" /></Relationships>
</file>

<file path=xl/worksheets/_rels/sheet16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Relationship Type="http://schemas.openxmlformats.org/officeDocument/2006/relationships/hyperlink" Target="mailto:max@thingnario.com" TargetMode="External" Id="rId26" /></Relationships>
</file>

<file path=xl/worksheets/_rels/sheet17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/Relationships>
</file>

<file path=xl/worksheets/_rels/sheet18.xml.rels><Relationships xmlns="http://schemas.openxmlformats.org/package/2006/relationships"><Relationship Type="http://schemas.openxmlformats.org/officeDocument/2006/relationships/hyperlink" Target="mailto:joshchiu@solartech-energy.com" TargetMode="External" Id="rId1" /><Relationship Type="http://schemas.openxmlformats.org/officeDocument/2006/relationships/hyperlink" Target="mailto:ann_cheng@motech.com.tw" TargetMode="External" Id="rId2" /><Relationship Type="http://schemas.openxmlformats.org/officeDocument/2006/relationships/hyperlink" Target="mailto:ann_cheng@motech.com.tw" TargetMode="External" Id="rId3" /><Relationship Type="http://schemas.openxmlformats.org/officeDocument/2006/relationships/hyperlink" Target="mailto:suifang.shih@tsecpv.com" TargetMode="External" Id="rId4" /><Relationship Type="http://schemas.openxmlformats.org/officeDocument/2006/relationships/hyperlink" Target="mailto:suifang.shih@tsecpv.com" TargetMode="External" Id="rId5" /><Relationship Type="http://schemas.openxmlformats.org/officeDocument/2006/relationships/hyperlink" Target="mailto:j.chen@winaico.com" TargetMode="External" Id="rId6" /></Relationships>
</file>

<file path=xl/worksheets/_rels/sheet20.xml.rels><Relationships xmlns="http://schemas.openxmlformats.org/package/2006/relationships"><Relationship Type="http://schemas.openxmlformats.org/officeDocument/2006/relationships/hyperlink" Target="mailto:Vivi.Li@cyberpower.com" TargetMode="External" Id="rId1" /><Relationship Type="http://schemas.openxmlformats.org/officeDocument/2006/relationships/hyperlink" Target="mailto:Vivi.Li@cyberpower.com" TargetMode="External" Id="rId2" /><Relationship Type="http://schemas.openxmlformats.org/officeDocument/2006/relationships/hyperlink" Target="mailto:Vivi.Li@cyberpower.com" TargetMode="External" Id="rId3" /><Relationship Type="http://schemas.openxmlformats.org/officeDocument/2006/relationships/hyperlink" Target="mailto:Vivi.Li@cyberpower.com" TargetMode="External" Id="rId4" /><Relationship Type="http://schemas.openxmlformats.org/officeDocument/2006/relationships/hyperlink" Target="mailto:Vivi.Li@cyberpower.com" TargetMode="External" Id="rId5" /><Relationship Type="http://schemas.openxmlformats.org/officeDocument/2006/relationships/hyperlink" Target="mailto:Vivi.Li@cyberpower.com" TargetMode="External" Id="rId6" /><Relationship Type="http://schemas.openxmlformats.org/officeDocument/2006/relationships/hyperlink" Target="mailto:Vivi.Li@cyberpower.com" TargetMode="External" Id="rId7" /><Relationship Type="http://schemas.openxmlformats.org/officeDocument/2006/relationships/hyperlink" Target="mailto:Vivi.Li@cyberpower.com" TargetMode="External" Id="rId8" /><Relationship Type="http://schemas.openxmlformats.org/officeDocument/2006/relationships/hyperlink" Target="mailto:Vivi.Li@cyberpower.com" TargetMode="External" Id="rId9" /><Relationship Type="http://schemas.openxmlformats.org/officeDocument/2006/relationships/hyperlink" Target="mailto:Vivi.Li@cyberpower.com" TargetMode="External" Id="rId10" /><Relationship Type="http://schemas.openxmlformats.org/officeDocument/2006/relationships/hyperlink" Target="mailto:Vivi.Li@cyberpower.com" TargetMode="External" Id="rId11" /><Relationship Type="http://schemas.openxmlformats.org/officeDocument/2006/relationships/hyperlink" Target="mailto:Vivi.Li@cyberpower.com" TargetMode="External" Id="rId12" /><Relationship Type="http://schemas.openxmlformats.org/officeDocument/2006/relationships/hyperlink" Target="mailto:Vivi.Li@cyberpower.com" TargetMode="External" Id="rId13" /><Relationship Type="http://schemas.openxmlformats.org/officeDocument/2006/relationships/hyperlink" Target="mailto:Vivi.Li@cyberpower.com" TargetMode="External" Id="rId14" /><Relationship Type="http://schemas.openxmlformats.org/officeDocument/2006/relationships/hyperlink" Target="mailto:Vivi.Li@cyberpower.com" TargetMode="External" Id="rId15" /><Relationship Type="http://schemas.openxmlformats.org/officeDocument/2006/relationships/hyperlink" Target="mailto:Vivi.Li@cyberpower.com" TargetMode="External" Id="rId16" /><Relationship Type="http://schemas.openxmlformats.org/officeDocument/2006/relationships/hyperlink" Target="mailto:Vivi.Li@cyberpower.com" TargetMode="External" Id="rId17" /><Relationship Type="http://schemas.openxmlformats.org/officeDocument/2006/relationships/hyperlink" Target="mailto:Vivi.Li@cyberpower.com" TargetMode="External" Id="rId18" /><Relationship Type="http://schemas.openxmlformats.org/officeDocument/2006/relationships/hyperlink" Target="mailto:Vivi.Li@cyberpower.com" TargetMode="External" Id="rId19" /><Relationship Type="http://schemas.openxmlformats.org/officeDocument/2006/relationships/hyperlink" Target="mailto:Vivi.Li@cyberpower.com" TargetMode="External" Id="rId20" /><Relationship Type="http://schemas.openxmlformats.org/officeDocument/2006/relationships/hyperlink" Target="mailto:Vivi.Li@cyberpower.com" TargetMode="External" Id="rId21" /><Relationship Type="http://schemas.openxmlformats.org/officeDocument/2006/relationships/hyperlink" Target="mailto:Vivi.Li@cyberpower.com" TargetMode="External" Id="rId22" /><Relationship Type="http://schemas.openxmlformats.org/officeDocument/2006/relationships/hyperlink" Target="mailto:Vivi.Li@cyberpower.com" TargetMode="External" Id="rId23" /><Relationship Type="http://schemas.openxmlformats.org/officeDocument/2006/relationships/hyperlink" Target="mailto:Vivi.Li@cyberpower.com" TargetMode="External" Id="rId24" /><Relationship Type="http://schemas.openxmlformats.org/officeDocument/2006/relationships/hyperlink" Target="mailto:Vivi.Li@cyberpower.com" TargetMode="External" Id="rId25" /><Relationship Type="http://schemas.openxmlformats.org/officeDocument/2006/relationships/hyperlink" Target="mailto:Vivi.Li@cyberpower.com" TargetMode="External" Id="rId26" /><Relationship Type="http://schemas.openxmlformats.org/officeDocument/2006/relationships/hyperlink" Target="mailto:Vivi.Li@cyberpower.com" TargetMode="External" Id="rId27" /><Relationship Type="http://schemas.openxmlformats.org/officeDocument/2006/relationships/hyperlink" Target="mailto:Vivi.Li@cyberpower.com" TargetMode="External" Id="rId28" /><Relationship Type="http://schemas.openxmlformats.org/officeDocument/2006/relationships/hyperlink" Target="mailto:Vivi.Li@cyberpower.com" TargetMode="External" Id="rId29" /><Relationship Type="http://schemas.openxmlformats.org/officeDocument/2006/relationships/hyperlink" Target="mailto:Vivi.Li@cyberpower.com" TargetMode="External" Id="rId30" /><Relationship Type="http://schemas.openxmlformats.org/officeDocument/2006/relationships/hyperlink" Target="mailto:Vivi.Li@cyberpower.com" TargetMode="External" Id="rId31" /><Relationship Type="http://schemas.openxmlformats.org/officeDocument/2006/relationships/hyperlink" Target="mailto:Vivi.Li@cyberpower.com" TargetMode="External" Id="rId32" /><Relationship Type="http://schemas.openxmlformats.org/officeDocument/2006/relationships/hyperlink" Target="mailto:Vivi.Li@cyberpower.com" TargetMode="External" Id="rId33" /><Relationship Type="http://schemas.openxmlformats.org/officeDocument/2006/relationships/hyperlink" Target="mailto:Vivi.Li@cyberpower.com" TargetMode="External" Id="rId34" /><Relationship Type="http://schemas.openxmlformats.org/officeDocument/2006/relationships/hyperlink" Target="mailto:Vivi.Li@cyberpower.com" TargetMode="External" Id="rId35" /><Relationship Type="http://schemas.openxmlformats.org/officeDocument/2006/relationships/hyperlink" Target="mailto:Vivi.Li@cyberpower.com" TargetMode="External" Id="rId36" /><Relationship Type="http://schemas.openxmlformats.org/officeDocument/2006/relationships/hyperlink" Target="mailto:Vivi.Li@cyberpower.com" TargetMode="External" Id="rId37" /><Relationship Type="http://schemas.openxmlformats.org/officeDocument/2006/relationships/hyperlink" Target="mailto:Vivi.Li@cyberpower.com" TargetMode="External" Id="rId38" /><Relationship Type="http://schemas.openxmlformats.org/officeDocument/2006/relationships/hyperlink" Target="mailto:Vivi.Li@cyberpower.com" TargetMode="External" Id="rId39" /><Relationship Type="http://schemas.openxmlformats.org/officeDocument/2006/relationships/hyperlink" Target="mailto:Vivi.Li@cyberpower.com" TargetMode="External" Id="rId40" /><Relationship Type="http://schemas.openxmlformats.org/officeDocument/2006/relationships/hyperlink" Target="mailto:Vivi.Li@cyberpower.com" TargetMode="External" Id="rId41" /><Relationship Type="http://schemas.openxmlformats.org/officeDocument/2006/relationships/hyperlink" Target="mailto:Vivi.Li@cyberpower.com" TargetMode="External" Id="rId42" /><Relationship Type="http://schemas.openxmlformats.org/officeDocument/2006/relationships/hyperlink" Target="mailto:Aaron.Hsu@cyberpower.com" TargetMode="External" Id="rId43" /><Relationship Type="http://schemas.openxmlformats.org/officeDocument/2006/relationships/hyperlink" Target="mailto:Aaron.Hsu@cyberpower.com" TargetMode="External" Id="rId44" /><Relationship Type="http://schemas.openxmlformats.org/officeDocument/2006/relationships/hyperlink" Target="mailto:Aaron.Hsu@cyberpower.com" TargetMode="External" Id="rId45" /><Relationship Type="http://schemas.openxmlformats.org/officeDocument/2006/relationships/hyperlink" Target="mailto:Aaron.Hsu@cyberpower.com" TargetMode="External" Id="rId46" /><Relationship Type="http://schemas.openxmlformats.org/officeDocument/2006/relationships/hyperlink" Target="mailto:Aaron.Hsu@cyberpower.com" TargetMode="External" Id="rId47" /><Relationship Type="http://schemas.openxmlformats.org/officeDocument/2006/relationships/hyperlink" Target="mailto:Aaron.Hsu@cyberpower.com" TargetMode="External" Id="rId48" /><Relationship Type="http://schemas.openxmlformats.org/officeDocument/2006/relationships/hyperlink" Target="mailto:Aaron.Hsu@cyberpower.com" TargetMode="External" Id="rId49" /><Relationship Type="http://schemas.openxmlformats.org/officeDocument/2006/relationships/hyperlink" Target="mailto:Aaron.Hsu@cyberpower.com" TargetMode="External" Id="rId50" /><Relationship Type="http://schemas.openxmlformats.org/officeDocument/2006/relationships/hyperlink" Target="mailto:Aaron.Hsu@cyberpower.com" TargetMode="External" Id="rId51" /><Relationship Type="http://schemas.openxmlformats.org/officeDocument/2006/relationships/hyperlink" Target="mailto:Aaron.Hsu@cyberpower.com" TargetMode="External" Id="rId52" /><Relationship Type="http://schemas.openxmlformats.org/officeDocument/2006/relationships/hyperlink" Target="mailto:Aaron.Hsu@cyberpower.com" TargetMode="External" Id="rId53" /><Relationship Type="http://schemas.openxmlformats.org/officeDocument/2006/relationships/hyperlink" Target="mailto:Aaron.Hsu@cyberpower.com" TargetMode="External" Id="rId54" /><Relationship Type="http://schemas.openxmlformats.org/officeDocument/2006/relationships/hyperlink" Target="mailto:Aaron.Hsu@cyberpower.com" TargetMode="External" Id="rId55" /><Relationship Type="http://schemas.openxmlformats.org/officeDocument/2006/relationships/hyperlink" Target="mailto:Aaron.Hsu@cyberpower.com" TargetMode="External" Id="rId56" /><Relationship Type="http://schemas.openxmlformats.org/officeDocument/2006/relationships/hyperlink" Target="mailto:Vivi.Li@cyberpower.com" TargetMode="External" Id="rId57" /><Relationship Type="http://schemas.openxmlformats.org/officeDocument/2006/relationships/hyperlink" Target="mailto:Vivi.Li@cyberpower.com" TargetMode="External" Id="rId58" /><Relationship Type="http://schemas.openxmlformats.org/officeDocument/2006/relationships/hyperlink" Target="mailto:Aaron.Hsu@cyberpower.com" TargetMode="External" Id="rId59" /><Relationship Type="http://schemas.openxmlformats.org/officeDocument/2006/relationships/hyperlink" Target="mailto:Aaron.Hsu@cyberpower.com" TargetMode="External" Id="rId60" /><Relationship Type="http://schemas.openxmlformats.org/officeDocument/2006/relationships/hyperlink" Target="mailto:Aaron.Hsu@cyberpower.com" TargetMode="External" Id="rId61" /><Relationship Type="http://schemas.openxmlformats.org/officeDocument/2006/relationships/hyperlink" Target="mailto:Aaron.Hsu@cyberpower.com" TargetMode="External" Id="rId62" /><Relationship Type="http://schemas.openxmlformats.org/officeDocument/2006/relationships/hyperlink" Target="mailto:Aaron.Hsu@cyberpower.com" TargetMode="External" Id="rId63" /><Relationship Type="http://schemas.openxmlformats.org/officeDocument/2006/relationships/hyperlink" Target="mailto:Aaron.Hsu@cyberpower.com" TargetMode="External" Id="rId64" /><Relationship Type="http://schemas.openxmlformats.org/officeDocument/2006/relationships/hyperlink" Target="mailto:Aaron.Hsu@cyberpower.com" TargetMode="External" Id="rId65" /><Relationship Type="http://schemas.openxmlformats.org/officeDocument/2006/relationships/hyperlink" Target="mailto:Aaron.Hsu@cyberpower.com" TargetMode="External" Id="rId66" /><Relationship Type="http://schemas.openxmlformats.org/officeDocument/2006/relationships/hyperlink" Target="mailto:Aaron.Hsu@cyberpower.com" TargetMode="External" Id="rId67" /><Relationship Type="http://schemas.openxmlformats.org/officeDocument/2006/relationships/hyperlink" Target="mailto:Aaron.Hsu@cyberpower.com" TargetMode="External" Id="rId68" /><Relationship Type="http://schemas.openxmlformats.org/officeDocument/2006/relationships/hyperlink" Target="mailto:Aaron.Hsu@cyberpower.com" TargetMode="External" Id="rId69" /><Relationship Type="http://schemas.openxmlformats.org/officeDocument/2006/relationships/hyperlink" Target="mailto:Aaron.Hsu@cyberpower.com" TargetMode="External" Id="rId70" /><Relationship Type="http://schemas.openxmlformats.org/officeDocument/2006/relationships/hyperlink" Target="mailto:Aaron.Hsu@cyberpower.com" TargetMode="External" Id="rId71" /><Relationship Type="http://schemas.openxmlformats.org/officeDocument/2006/relationships/hyperlink" Target="mailto:Aaron.Hsu@cyberpower.com" TargetMode="External" Id="rId72" /><Relationship Type="http://schemas.openxmlformats.org/officeDocument/2006/relationships/hyperlink" Target="mailto:Aaron.Hsu@cyberpower.com" TargetMode="External" Id="rId73" /><Relationship Type="http://schemas.openxmlformats.org/officeDocument/2006/relationships/hyperlink" Target="mailto:Aaron.Hsu@cyberpower.com" TargetMode="External" Id="rId74" /><Relationship Type="http://schemas.openxmlformats.org/officeDocument/2006/relationships/hyperlink" Target="mailto:Aaron.Hsu@cyberpower.com" TargetMode="External" Id="rId75" /><Relationship Type="http://schemas.openxmlformats.org/officeDocument/2006/relationships/hyperlink" Target="mailto:Aaron.Hsu@cyberpower.com" TargetMode="External" Id="rId76" /><Relationship Type="http://schemas.openxmlformats.org/officeDocument/2006/relationships/hyperlink" Target="mailto:Aaron.Hsu@cyberpower.com" TargetMode="External" Id="rId77" /><Relationship Type="http://schemas.openxmlformats.org/officeDocument/2006/relationships/hyperlink" Target="mailto:Aaron.Hsu@cyberpower.com" TargetMode="External" Id="rId78" /><Relationship Type="http://schemas.openxmlformats.org/officeDocument/2006/relationships/hyperlink" Target="mailto:gina.lu@fimer.com" TargetMode="External" Id="rId79" /><Relationship Type="http://schemas.openxmlformats.org/officeDocument/2006/relationships/hyperlink" Target="mailto:gina.lu@fimer.com" TargetMode="External" Id="rId80" /><Relationship Type="http://schemas.openxmlformats.org/officeDocument/2006/relationships/hyperlink" Target="mailto:gina.lu@fimer.com" TargetMode="External" Id="rId81" /><Relationship Type="http://schemas.openxmlformats.org/officeDocument/2006/relationships/hyperlink" Target="mailto:gina.lu@fimer.com" TargetMode="External" Id="rId82" /><Relationship Type="http://schemas.openxmlformats.org/officeDocument/2006/relationships/hyperlink" Target="mailto:gina.lu@fimer.com" TargetMode="External" Id="rId83" /><Relationship Type="http://schemas.openxmlformats.org/officeDocument/2006/relationships/hyperlink" Target="mailto:gina.lu@fimer.com" TargetMode="External" Id="rId84" /><Relationship Type="http://schemas.openxmlformats.org/officeDocument/2006/relationships/hyperlink" Target="mailto:gina.lu@fimer.com" TargetMode="External" Id="rId85" /><Relationship Type="http://schemas.openxmlformats.org/officeDocument/2006/relationships/hyperlink" Target="mailto:gina.lu@fimer.com" TargetMode="External" Id="rId86" /><Relationship Type="http://schemas.openxmlformats.org/officeDocument/2006/relationships/hyperlink" Target="mailto:gina.lu@fimer.com" TargetMode="External" Id="rId87" /><Relationship Type="http://schemas.openxmlformats.org/officeDocument/2006/relationships/hyperlink" Target="mailto:gina.lu@fimer.com" TargetMode="External" Id="rId88" /><Relationship Type="http://schemas.openxmlformats.org/officeDocument/2006/relationships/hyperlink" Target="mailto:Vivi.Li@cyberpower.com" TargetMode="External" Id="rId89" /><Relationship Type="http://schemas.openxmlformats.org/officeDocument/2006/relationships/hyperlink" Target="mailto:Vivi.Li@cyberpower.com" TargetMode="External" Id="rId90" /><Relationship Type="http://schemas.openxmlformats.org/officeDocument/2006/relationships/hyperlink" Target="mailto:Maviswang@apd.com.tw" TargetMode="External" Id="rId91" /><Relationship Type="http://schemas.openxmlformats.org/officeDocument/2006/relationships/hyperlink" Target="mailto:Maviswang@apd.com.tw" TargetMode="External" Id="rId92" /><Relationship Type="http://schemas.openxmlformats.org/officeDocument/2006/relationships/hyperlink" Target="mailto:Maviswang@apd.com.tw" TargetMode="External" Id="rId93" /><Relationship Type="http://schemas.openxmlformats.org/officeDocument/2006/relationships/hyperlink" Target="mailto:Maviswang@apd.com.tw" TargetMode="External" Id="rId94" /><Relationship Type="http://schemas.openxmlformats.org/officeDocument/2006/relationships/hyperlink" Target="mailto:Maviswang@apd.com.tw" TargetMode="External" Id="rId95" /><Relationship Type="http://schemas.openxmlformats.org/officeDocument/2006/relationships/hyperlink" Target="mailto:Maviswang@apd.com.tw" TargetMode="External" Id="rId96" /><Relationship Type="http://schemas.openxmlformats.org/officeDocument/2006/relationships/hyperlink" Target="mailto:Maviswang@apd.com.tw" TargetMode="External" Id="rId97" /><Relationship Type="http://schemas.openxmlformats.org/officeDocument/2006/relationships/hyperlink" Target="mailto:Maviswang@apd.com.tw" TargetMode="External" Id="rId98" /><Relationship Type="http://schemas.openxmlformats.org/officeDocument/2006/relationships/hyperlink" Target="mailto:Maviswang@apd.com.tw" TargetMode="External" Id="rId99" /><Relationship Type="http://schemas.openxmlformats.org/officeDocument/2006/relationships/hyperlink" Target="mailto:Maviswang@apd.com.tw" TargetMode="External" Id="rId100" /><Relationship Type="http://schemas.openxmlformats.org/officeDocument/2006/relationships/hyperlink" Target="mailto:Maviswang@apd.com.tw" TargetMode="External" Id="rId101" /><Relationship Type="http://schemas.openxmlformats.org/officeDocument/2006/relationships/hyperlink" Target="mailto:Maviswang@apd.com.tw" TargetMode="External" Id="rId102" /><Relationship Type="http://schemas.openxmlformats.org/officeDocument/2006/relationships/hyperlink" Target="mailto:Maviswang@apd.com.tw" TargetMode="External" Id="rId103" /><Relationship Type="http://schemas.openxmlformats.org/officeDocument/2006/relationships/hyperlink" Target="mailto:Maviswang@apd.com.tw" TargetMode="External" Id="rId104" /><Relationship Type="http://schemas.openxmlformats.org/officeDocument/2006/relationships/hyperlink" Target="mailto:Maviswang@apd.com.tw" TargetMode="External" Id="rId105" /><Relationship Type="http://schemas.openxmlformats.org/officeDocument/2006/relationships/hyperlink" Target="mailto:Maviswang@apd.com.tw" TargetMode="External" Id="rId106" /><Relationship Type="http://schemas.openxmlformats.org/officeDocument/2006/relationships/hyperlink" Target="mailto:Maviswang@apd.com.tw" TargetMode="External" Id="rId107" /><Relationship Type="http://schemas.openxmlformats.org/officeDocument/2006/relationships/hyperlink" Target="mailto:Maviswang@apd.com.tw" TargetMode="External" Id="rId108" /><Relationship Type="http://schemas.openxmlformats.org/officeDocument/2006/relationships/hyperlink" Target="mailto:Maviswang@apd.com.tw" TargetMode="External" Id="rId109" /><Relationship Type="http://schemas.openxmlformats.org/officeDocument/2006/relationships/hyperlink" Target="mailto:Maviswang@apd.com.tw" TargetMode="External" Id="rId110" /><Relationship Type="http://schemas.openxmlformats.org/officeDocument/2006/relationships/hyperlink" Target="mailto:Maviswang@apd.com.tw" TargetMode="External" Id="rId111" /><Relationship Type="http://schemas.openxmlformats.org/officeDocument/2006/relationships/hyperlink" Target="mailto:Maviswang@apd.com.tw" TargetMode="External" Id="rId112" /><Relationship Type="http://schemas.openxmlformats.org/officeDocument/2006/relationships/hyperlink" Target="mailto:Maviswang@apd.com.tw" TargetMode="External" Id="rId113" /><Relationship Type="http://schemas.openxmlformats.org/officeDocument/2006/relationships/hyperlink" Target="mailto:Maviswang@apd.com.tw" TargetMode="External" Id="rId114" /><Relationship Type="http://schemas.openxmlformats.org/officeDocument/2006/relationships/hyperlink" Target="mailto:Maviswang@apd.com.tw" TargetMode="External" Id="rId115" /><Relationship Type="http://schemas.openxmlformats.org/officeDocument/2006/relationships/hyperlink" Target="mailto:Maviswang@apd.com.tw" TargetMode="External" Id="rId116" /><Relationship Type="http://schemas.openxmlformats.org/officeDocument/2006/relationships/hyperlink" Target="mailto:Maviswang@apd.com.tw" TargetMode="External" Id="rId117" /><Relationship Type="http://schemas.openxmlformats.org/officeDocument/2006/relationships/hyperlink" Target="mailto:Maviswang@apd.com.tw" TargetMode="External" Id="rId118" /><Relationship Type="http://schemas.openxmlformats.org/officeDocument/2006/relationships/hyperlink" Target="mailto:Maviswang@apd.com.tw" TargetMode="External" Id="rId119" /><Relationship Type="http://schemas.openxmlformats.org/officeDocument/2006/relationships/hyperlink" Target="mailto:Maviswang@apd.com.tw" TargetMode="External" Id="rId120" /><Relationship Type="http://schemas.openxmlformats.org/officeDocument/2006/relationships/hyperlink" Target="mailto:Maviswang@apd.com.tw" TargetMode="External" Id="rId121" /><Relationship Type="http://schemas.openxmlformats.org/officeDocument/2006/relationships/hyperlink" Target="mailto:Maviswang@apd.com.tw" TargetMode="External" Id="rId122" /><Relationship Type="http://schemas.openxmlformats.org/officeDocument/2006/relationships/hyperlink" Target="mailto:Maviswang@apd.com.tw" TargetMode="External" Id="rId123" /><Relationship Type="http://schemas.openxmlformats.org/officeDocument/2006/relationships/hyperlink" Target="mailto:Maviswang@apd.com.tw" TargetMode="External" Id="rId124" /><Relationship Type="http://schemas.openxmlformats.org/officeDocument/2006/relationships/hyperlink" Target="mailto:Maviswang@apd.com.tw" TargetMode="External" Id="rId125" /><Relationship Type="http://schemas.openxmlformats.org/officeDocument/2006/relationships/hyperlink" Target="mailto:Maviswang@apd.com.tw" TargetMode="External" Id="rId126" /><Relationship Type="http://schemas.openxmlformats.org/officeDocument/2006/relationships/hyperlink" Target="mailto:Maviswang@apd.com.tw" TargetMode="External" Id="rId127" /><Relationship Type="http://schemas.openxmlformats.org/officeDocument/2006/relationships/hyperlink" Target="mailto:Maviswang@apd.com.tw" TargetMode="External" Id="rId128" /><Relationship Type="http://schemas.openxmlformats.org/officeDocument/2006/relationships/hyperlink" Target="mailto:Maviswang@apd.com.tw" TargetMode="External" Id="rId129" /><Relationship Type="http://schemas.openxmlformats.org/officeDocument/2006/relationships/hyperlink" Target="mailto:Maviswang@apd.com.tw" TargetMode="External" Id="rId130" /><Relationship Type="http://schemas.openxmlformats.org/officeDocument/2006/relationships/hyperlink" Target="mailto:Maviswang@apd.com.tw" TargetMode="External" Id="rId131" /><Relationship Type="http://schemas.openxmlformats.org/officeDocument/2006/relationships/hyperlink" Target="mailto:Maviswang@apd.com.tw" TargetMode="External" Id="rId132" /><Relationship Type="http://schemas.openxmlformats.org/officeDocument/2006/relationships/hyperlink" Target="mailto:Maviswang@apd.com.tw" TargetMode="External" Id="rId133" /><Relationship Type="http://schemas.openxmlformats.org/officeDocument/2006/relationships/hyperlink" Target="mailto:Maviswang@apd.com.tw" TargetMode="External" Id="rId134" /><Relationship Type="http://schemas.openxmlformats.org/officeDocument/2006/relationships/hyperlink" Target="mailto:Maviswang@apd.com.tw" TargetMode="External" Id="rId135" /><Relationship Type="http://schemas.openxmlformats.org/officeDocument/2006/relationships/hyperlink" Target="mailto:Maviswang@apd.com.tw" TargetMode="External" Id="rId136" /><Relationship Type="http://schemas.openxmlformats.org/officeDocument/2006/relationships/hyperlink" Target="mailto:Maviswang@apd.com.tw" TargetMode="External" Id="rId137" /><Relationship Type="http://schemas.openxmlformats.org/officeDocument/2006/relationships/hyperlink" Target="mailto:Maviswang@apd.com.tw" TargetMode="External" Id="rId138" /><Relationship Type="http://schemas.openxmlformats.org/officeDocument/2006/relationships/hyperlink" Target="mailto:chance.kuo@vgwatt.com" TargetMode="External" Id="rId139" /><Relationship Type="http://schemas.openxmlformats.org/officeDocument/2006/relationships/hyperlink" Target="mailto:chance.kuo@vgwatt.com" TargetMode="External" Id="rId140" /><Relationship Type="http://schemas.openxmlformats.org/officeDocument/2006/relationships/hyperlink" Target="mailto:chance.kuo@vgwatt.com" TargetMode="External" Id="rId141" /><Relationship Type="http://schemas.openxmlformats.org/officeDocument/2006/relationships/hyperlink" Target="mailto:chance.kuo@vgwatt.com" TargetMode="External" Id="rId142" /><Relationship Type="http://schemas.openxmlformats.org/officeDocument/2006/relationships/hyperlink" Target="mailto:chance.kuo@vgwatt.com" TargetMode="External" Id="rId143" /><Relationship Type="http://schemas.openxmlformats.org/officeDocument/2006/relationships/hyperlink" Target="mailto:chance.kuo@vgwatt.com" TargetMode="External" Id="rId144" /><Relationship Type="http://schemas.openxmlformats.org/officeDocument/2006/relationships/hyperlink" Target="mailto:chance.kuo@vgwatt.com" TargetMode="External" Id="rId145" /><Relationship Type="http://schemas.openxmlformats.org/officeDocument/2006/relationships/hyperlink" Target="mailto:chance.kuo@vgwatt.com" TargetMode="External" Id="rId146" /><Relationship Type="http://schemas.openxmlformats.org/officeDocument/2006/relationships/hyperlink" Target="mailto:chance.kuo@vgwatt.com" TargetMode="External" Id="rId147" /><Relationship Type="http://schemas.openxmlformats.org/officeDocument/2006/relationships/hyperlink" Target="mailto:chance.kuo@vgwatt.com" TargetMode="External" Id="rId148" /><Relationship Type="http://schemas.openxmlformats.org/officeDocument/2006/relationships/hyperlink" Target="mailto:chance.kuo@vgwatt.com" TargetMode="External" Id="rId149" /><Relationship Type="http://schemas.openxmlformats.org/officeDocument/2006/relationships/hyperlink" Target="mailto:chance.kuo@vgwatt.com" TargetMode="External" Id="rId150" /><Relationship Type="http://schemas.openxmlformats.org/officeDocument/2006/relationships/hyperlink" Target="mailto:chance.kuo@vgwatt.com" TargetMode="External" Id="rId151" /><Relationship Type="http://schemas.openxmlformats.org/officeDocument/2006/relationships/hyperlink" Target="mailto:chance.kuo@vgwatt.com" TargetMode="External" Id="rId152" /><Relationship Type="http://schemas.openxmlformats.org/officeDocument/2006/relationships/hyperlink" Target="mailto:chance.kuo@vgwatt.com" TargetMode="External" Id="rId153" /><Relationship Type="http://schemas.openxmlformats.org/officeDocument/2006/relationships/hyperlink" Target="mailto:chance.kuo@vgwatt.com" TargetMode="External" Id="rId154" /><Relationship Type="http://schemas.openxmlformats.org/officeDocument/2006/relationships/hyperlink" Target="mailto:chance.kuo@vgwatt.com" TargetMode="External" Id="rId155" /><Relationship Type="http://schemas.openxmlformats.org/officeDocument/2006/relationships/hyperlink" Target="mailto:chance.kuo@vgwatt.com" TargetMode="External" Id="rId156" /><Relationship Type="http://schemas.openxmlformats.org/officeDocument/2006/relationships/hyperlink" Target="mailto:chance.kuo@vgwatt.com" TargetMode="External" Id="rId157" /><Relationship Type="http://schemas.openxmlformats.org/officeDocument/2006/relationships/hyperlink" Target="mailto:chance.kuo@vgwatt.com" TargetMode="External" Id="rId158" /><Relationship Type="http://schemas.openxmlformats.org/officeDocument/2006/relationships/hyperlink" Target="mailto:chance.kuo@vgwatt.com" TargetMode="External" Id="rId159" /><Relationship Type="http://schemas.openxmlformats.org/officeDocument/2006/relationships/hyperlink" Target="mailto:chance.kuo@vgwatt.com" TargetMode="External" Id="rId160" /><Relationship Type="http://schemas.openxmlformats.org/officeDocument/2006/relationships/hyperlink" Target="mailto:chance.kuo@vgwatt.com" TargetMode="External" Id="rId161" /><Relationship Type="http://schemas.openxmlformats.org/officeDocument/2006/relationships/hyperlink" Target="mailto:chance.kuo@vgwatt.com" TargetMode="External" Id="rId162" /><Relationship Type="http://schemas.openxmlformats.org/officeDocument/2006/relationships/hyperlink" Target="mailto:chance.kuo@vgwatt.com" TargetMode="External" Id="rId163" /></Relationships>
</file>

<file path=xl/worksheets/_rels/sheet21.xml.rels><Relationships xmlns="http://schemas.openxmlformats.org/package/2006/relationships"><Relationship Type="http://schemas.openxmlformats.org/officeDocument/2006/relationships/hyperlink" Target="mailto:soeasy@prospect-technology.com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24h.pchome.com.tw/prod/QFAP18-A900AF8MO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s3-ap-northeast-1.amazonaws.com/static.iyp.tw/22019/files/6ba43200-45b2-4e37-b6db-8ab12d9e23cb.pdf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1776;&#32121;-&#23436;&#25972;&#29992;&#21360;&#21512;&#32004;.pdf" TargetMode="External" Id="rId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49;&#29702;&#20013;&#24515;-&#23436;&#25972;&#29992;&#21360;&#21512;&#32004;.pdf" TargetMode="External" Id="rId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&#20553;&#26124;-&#23436;&#25972;&#29992;&#21360;&#21512;&#32004;.pdf" TargetMode="External" Id="rId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(&#23526;&#38555;&#30332;&#29983;)_(&#21776;&#23071;50KW_V0)_%20by%20Joey20151008_Release.xlsx" TargetMode="External" Id="rId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(&#23526;&#38555;&#30332;&#29983;)%20ACPV&#25237;&#22577;&#20998;&#26512;%2019.6KW%2020150316_V0%20by%20brook.xlsx" TargetMode="External" Id="rId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(&#23526;&#38555;&#30332;&#29983;)_(&#33495;&#26647;&#20013;&#24515;&#24037;&#26989;&#21312;&#31649;&#29702;&#20013;&#24515;V2_245W_19.6KW)_%20by%20Joey20150427.xlsx" TargetMode="External" Id="rId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(&#23526;&#38555;&#30332;&#29983;)_(&#20553;&#26124;50KW_&#24179;&#37610;&#24335;_V0)_%20by%20Joey20151008_Release.xlsx" TargetMode="External" Id="rId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3665;&#27589;&#38651;&#21147;&#31995;&#32113;&#26045;&#20316;&#22577;&#20729;/&#23665;&#27589;-&#21776;&#32121;&#20844;&#21496;49.995KW&#31995;&#32113;&#35373;&#20633;&#21450;&#26045;&#24037;&#22577;&#20729;&#21934;.pdf" TargetMode="External" Id="rId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3665;&#27589;_&#38651;&#21147;&#31995;&#32113;&#26045;&#20316;&#22577;&#20729;/&#23665;&#27589;-&#38263;&#27054;&#21830;&#27161;19.6KW&#31995;&#32113;&#35373;&#20633;&#21450;&#26045;&#24037;&#22577;&#20729;&#21934;.pdf" TargetMode="External" Id="rId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9790;&#30332;&#38651;&#21147;&#31995;&#32113;&#22577;&#20729;/&#21776;&#23071;&#21450;&#20553;&#26124;&#22577;&#20729;&#21934;20151008.pdf" TargetMode="External" Id="rId1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9790;&#30332;_&#38651;&#21147;&#31995;&#32113;&#22577;&#20729;/&#26032;&#31481;&#38263;&#27054;&#21830;&#27161;&#22826;&#38525;&#20809;&#38651;&#27231;&#22577;&#20729;&#21934;1040921.pdf" TargetMode="External" Id="rId1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&#29790;&#30332;&#27231;&#38651;&#24037;&#31243;&#22577;&#20729;/&#21776;&#23071;&#21450;&#20553;&#26124;&#22577;&#20729;&#21934;20151008.pdf" TargetMode="External" Id="rId1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178;&#35486;&#22577;&#20729;/20151022-&#20449;&#37030;&#38651;&#23376;-&#38263;&#27054;&#21830;&#27161;-&#26032;&#31481;&#24066;&#29275;&#22484;&#21335;&#36335;.pdf" TargetMode="External" Id="rId1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2178;&#35486;&#27231;&#38651;&#22577;&#20729;/20151022-&#20449;&#37030;&#38651;&#23376;-&#33495;&#26647;&#32291;&#37509;&#38012;&#37129;&#20013;&#33288;&#24037;&#26989;&#21312;&#20013;&#33288;&#19968;&#34903;-&#31649;&#29702;&#20013;&#24515;-.pdf" TargetMode="External" Id="rId1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_(&#21776;&#23071;50KW_V0)_%20by%20Joey20150814_Release.xlsx" TargetMode="External" Id="rId1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1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1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_(&#20553;&#26124;50KW_&#24179;&#37610;&#24335;_V0)_%20by%20Joey20150818_Release.xlsx" TargetMode="External" Id="rId1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2080;&#27083;&#36039;&#26009;/&#25512;&#36914;_&#32080;&#27083;&#22294;&#21450;&#22577;&#20729;_Final_20150915/PI15100801_AT370_&#21776;&#25424;.pdf" TargetMode="External" Id="rId1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PI15102204_AT370_&#38263;&#27054;&#21830;&#27161;.pdf" TargetMode="External" Id="rId2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25512;&#36914;&#32080;&#27083;&#36039;&#26009;/PI15102305_AT370_&#20013;&#33288;&#24037;&#26989;&#21312;&#31649;&#29702;&#20013;&#24515;.pdf" TargetMode="External" Id="rId2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1007_&#25512;&#36914;&#32080;&#27083;&#22294;/PI15100802_AT370_&#20553;&#26124;&#38651;&#27683;.pdf" TargetMode="External" Id="rId2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569;&#25824;&#22577;&#20729;&#22238;&#31805;.pdf" TargetMode="External" Id="rId2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25512;&#36914;&#32080;&#27083;&#36039;&#26009;/&#22577;&#20729;&#22238;&#31805;.pdf" TargetMode="External" Id="rId2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Falon_&#38263;&#27054;&#21830;&#27161;&#32080;&#27083;&#21450;&#22577;&#20729;/150923&#38263;&#27054;&#21830;&#27161;&#37569;&#26842;&#22577;&#20729;&#21934;.pdf" TargetMode="External" Id="rId2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_(&#21776;&#23071;50KW_V0)_%20by%20Joey20150814_Release.xlsx" TargetMode="External" Id="rId2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2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2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_(&#20553;&#26124;50KW_&#24179;&#37610;&#24335;_V0)_%20by%20Joey20150818_Release.xlsx" TargetMode="External" Id="rId2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2577;&#20729;&#22238;&#31805;.pdf" TargetMode="External" Id="rId3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2577;&#20729;&#22238;&#31805;.pdf" TargetMode="External" Id="rId3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4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4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&#38263;&#38534;&#37628;&#27083;&#22577;&#20729;1.pdf" TargetMode="External" Id="rId4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img-X21154110.pdf" TargetMode="External" Id="rId4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&#22577;&#20729;&#22238;&#20659;.pdf" TargetMode="External" Id="rId4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4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8558;&#28246;-&#21147;&#22478;&#26742;&#30436;&#23996;/&#26085;&#29036;_DC%20BOX&#22577;&#20729;/&#26742;&#30436;&#23996;&#20449;&#37030;&#38651;&#23376;&#22577;&#20729;&#21934;104.09.17-.pdf" TargetMode="External" Id="rId4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8558;&#28246;-&#21147;&#22478;&#26742;&#30436;&#23996;/&#20808;&#21855;&#31185;&#25216;_&#29544;&#31435;&#22411;&#36870;&#35722;&#22120;&#22577;&#20729;/&#28558;&#28246;&#29544;&#31435;&#22411;_&#29544;&#31435;&#22411;&#36870;&#35722;&#22120;SP10000.pdf" TargetMode="External" Id="rId47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B1" zoomScale="85" zoomScaleNormal="85" workbookViewId="0">
      <selection activeCell="O30" sqref="O30"/>
    </sheetView>
  </sheetViews>
  <sheetFormatPr baseColWidth="8" defaultColWidth="11.375" defaultRowHeight="16.5"/>
  <cols>
    <col width="34.875" customWidth="1" style="1643" min="1" max="1"/>
    <col width="6.625" customWidth="1" style="1643" min="2" max="13"/>
    <col width="14.375" customWidth="1" style="1643" min="14" max="14"/>
    <col hidden="1" width="11.375" customWidth="1" style="1643" min="16" max="16"/>
    <col width="11.5" customWidth="1" style="1643" min="17" max="17"/>
    <col width="11.25" customWidth="1" style="1643" min="18" max="18"/>
    <col width="51.5" customWidth="1" style="1643" min="19" max="19"/>
    <col width="6.625" customWidth="1" style="1643" min="20" max="32"/>
  </cols>
  <sheetData>
    <row r="1" ht="16.5" customHeight="1" s="1643">
      <c r="A1" s="1299" t="inlineStr">
        <is>
          <t xml:space="preserve">Parameters for Tilted Solar Panels: </t>
        </is>
      </c>
    </row>
    <row r="2">
      <c r="A2" s="13" t="n"/>
    </row>
    <row r="3" ht="20.25" customHeight="1" s="1643">
      <c r="A3" s="1644">
        <f>Q5</f>
        <v/>
      </c>
      <c r="B3" s="343" t="inlineStr">
        <is>
          <t>Jan</t>
        </is>
      </c>
      <c r="C3" s="342" t="inlineStr">
        <is>
          <t>Feb</t>
        </is>
      </c>
      <c r="D3" s="342" t="inlineStr">
        <is>
          <t>Mar</t>
        </is>
      </c>
      <c r="E3" s="342" t="inlineStr">
        <is>
          <t>Apr</t>
        </is>
      </c>
      <c r="F3" s="342" t="inlineStr">
        <is>
          <t>May</t>
        </is>
      </c>
      <c r="G3" s="342" t="inlineStr">
        <is>
          <t>Jun</t>
        </is>
      </c>
      <c r="H3" s="342" t="inlineStr">
        <is>
          <t>Jul</t>
        </is>
      </c>
      <c r="I3" s="342" t="inlineStr">
        <is>
          <t>Aug</t>
        </is>
      </c>
      <c r="J3" s="342" t="inlineStr">
        <is>
          <t>Sep</t>
        </is>
      </c>
      <c r="K3" s="342" t="inlineStr">
        <is>
          <t>Oct</t>
        </is>
      </c>
      <c r="L3" s="342" t="inlineStr">
        <is>
          <t>Nov</t>
        </is>
      </c>
      <c r="M3" s="342" t="inlineStr">
        <is>
          <t>Dec</t>
        </is>
      </c>
      <c r="N3" s="343" t="inlineStr">
        <is>
          <t>Annual</t>
        </is>
      </c>
      <c r="Q3" s="349" t="inlineStr">
        <is>
          <t>請貼這→</t>
        </is>
      </c>
      <c r="S3" s="796" t="n"/>
    </row>
    <row r="4">
      <c r="A4" s="1645">
        <f>R5</f>
        <v/>
      </c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5" t="inlineStr">
        <is>
          <t>Average</t>
        </is>
      </c>
      <c r="Q4" s="795" t="inlineStr">
        <is>
          <t>LAT</t>
        </is>
      </c>
      <c r="R4" s="795" t="inlineStr">
        <is>
          <t>LON</t>
        </is>
      </c>
      <c r="S4" s="122" t="inlineStr">
        <is>
          <t>PARAMETER</t>
        </is>
      </c>
      <c r="T4" s="122" t="inlineStr">
        <is>
          <t>JAN</t>
        </is>
      </c>
      <c r="U4" s="122" t="inlineStr">
        <is>
          <t>FEB</t>
        </is>
      </c>
      <c r="V4" s="122" t="inlineStr">
        <is>
          <t>MAR</t>
        </is>
      </c>
      <c r="W4" s="122" t="inlineStr">
        <is>
          <t>APR</t>
        </is>
      </c>
      <c r="X4" s="122" t="inlineStr">
        <is>
          <t>MAY</t>
        </is>
      </c>
      <c r="Y4" s="122" t="inlineStr">
        <is>
          <t>JUN</t>
        </is>
      </c>
      <c r="Z4" s="122" t="inlineStr">
        <is>
          <t>JUL</t>
        </is>
      </c>
      <c r="AA4" s="122" t="inlineStr">
        <is>
          <t>AUG</t>
        </is>
      </c>
      <c r="AB4" s="122" t="inlineStr">
        <is>
          <t>SEP</t>
        </is>
      </c>
      <c r="AC4" s="122" t="inlineStr">
        <is>
          <t>OCT</t>
        </is>
      </c>
      <c r="AD4" s="122" t="inlineStr">
        <is>
          <t>NOV</t>
        </is>
      </c>
      <c r="AE4" s="122" t="inlineStr">
        <is>
          <t>DEC</t>
        </is>
      </c>
      <c r="AF4" s="122" t="inlineStr">
        <is>
          <t>ANN</t>
        </is>
      </c>
    </row>
    <row r="5" ht="16.5" customHeight="1" s="1643">
      <c r="A5" s="348">
        <f>SUBSTITUTE(S5,P5,"")</f>
        <v/>
      </c>
      <c r="B5" s="122">
        <f>T5</f>
        <v/>
      </c>
      <c r="C5" s="122">
        <f>U5</f>
        <v/>
      </c>
      <c r="D5" s="122">
        <f>V5</f>
        <v/>
      </c>
      <c r="E5" s="122">
        <f>W5</f>
        <v/>
      </c>
      <c r="F5" s="122">
        <f>X5</f>
        <v/>
      </c>
      <c r="G5" s="122">
        <f>Y5</f>
        <v/>
      </c>
      <c r="H5" s="122">
        <f>Z5</f>
        <v/>
      </c>
      <c r="I5" s="122">
        <f>AA5</f>
        <v/>
      </c>
      <c r="J5" s="122">
        <f>AB5</f>
        <v/>
      </c>
      <c r="K5" s="122">
        <f>AC5</f>
        <v/>
      </c>
      <c r="L5" s="122">
        <f>AD5</f>
        <v/>
      </c>
      <c r="M5" s="122">
        <f>AE5</f>
        <v/>
      </c>
      <c r="N5" s="314">
        <f>AF5</f>
        <v/>
      </c>
      <c r="P5" s="346" t="inlineStr">
        <is>
          <t>ALLSKY_SFC_</t>
        </is>
      </c>
      <c r="Q5" s="797" t="n"/>
      <c r="R5" s="797" t="n"/>
      <c r="S5" s="786" t="inlineStr">
        <is>
          <t>ALLSKY_SFC_SW_DNI</t>
        </is>
      </c>
      <c r="T5" s="786" t="n"/>
      <c r="U5" s="786" t="n"/>
      <c r="V5" s="786" t="n"/>
      <c r="W5" s="786" t="n"/>
      <c r="X5" s="786" t="n"/>
      <c r="Y5" s="786" t="n"/>
      <c r="Z5" s="786" t="n"/>
      <c r="AA5" s="786" t="n"/>
      <c r="AB5" s="786" t="n"/>
      <c r="AC5" s="786" t="n"/>
      <c r="AD5" s="786" t="n"/>
      <c r="AE5" s="786" t="n"/>
      <c r="AF5" s="786" t="n"/>
    </row>
    <row r="6">
      <c r="A6" s="348">
        <f>SUBSTITUTE(S6,P6,"")</f>
        <v/>
      </c>
      <c r="B6" s="122">
        <f>T6</f>
        <v/>
      </c>
      <c r="C6" s="122">
        <f>U6</f>
        <v/>
      </c>
      <c r="D6" s="122">
        <f>V6</f>
        <v/>
      </c>
      <c r="E6" s="122">
        <f>W6</f>
        <v/>
      </c>
      <c r="F6" s="122">
        <f>X6</f>
        <v/>
      </c>
      <c r="G6" s="122">
        <f>Y6</f>
        <v/>
      </c>
      <c r="H6" s="122">
        <f>Z6</f>
        <v/>
      </c>
      <c r="I6" s="122">
        <f>AA6</f>
        <v/>
      </c>
      <c r="J6" s="122">
        <f>AB6</f>
        <v/>
      </c>
      <c r="K6" s="122">
        <f>AC6</f>
        <v/>
      </c>
      <c r="L6" s="122">
        <f>AD6</f>
        <v/>
      </c>
      <c r="M6" s="122">
        <f>AE6</f>
        <v/>
      </c>
      <c r="N6" s="314">
        <f>AF6</f>
        <v/>
      </c>
      <c r="P6" s="346" t="inlineStr">
        <is>
          <t>ALLSKY_SFC_</t>
        </is>
      </c>
      <c r="Q6" s="767" t="n"/>
      <c r="R6" s="767" t="n"/>
      <c r="S6" s="786" t="inlineStr">
        <is>
          <t>ALLSKY_SFC_SW_DWN</t>
        </is>
      </c>
      <c r="T6" s="786" t="n"/>
      <c r="U6" s="786" t="n"/>
      <c r="V6" s="786" t="n"/>
      <c r="W6" s="786" t="n"/>
      <c r="X6" s="786" t="n"/>
      <c r="Y6" s="786" t="n"/>
      <c r="Z6" s="786" t="n"/>
      <c r="AA6" s="786" t="n"/>
      <c r="AB6" s="786" t="n"/>
      <c r="AC6" s="786" t="n"/>
      <c r="AD6" s="786" t="n"/>
      <c r="AE6" s="786" t="n"/>
      <c r="AF6" s="786" t="n"/>
    </row>
    <row r="7">
      <c r="A7" s="348">
        <f>SUBSTITUTE(S7,P7,"")</f>
        <v/>
      </c>
      <c r="B7" s="122">
        <f>T7</f>
        <v/>
      </c>
      <c r="C7" s="122">
        <f>U7</f>
        <v/>
      </c>
      <c r="D7" s="122">
        <f>V7</f>
        <v/>
      </c>
      <c r="E7" s="122">
        <f>W7</f>
        <v/>
      </c>
      <c r="F7" s="122">
        <f>X7</f>
        <v/>
      </c>
      <c r="G7" s="122">
        <f>Y7</f>
        <v/>
      </c>
      <c r="H7" s="122">
        <f>Z7</f>
        <v/>
      </c>
      <c r="I7" s="122">
        <f>AA7</f>
        <v/>
      </c>
      <c r="J7" s="122">
        <f>AB7</f>
        <v/>
      </c>
      <c r="K7" s="122">
        <f>AC7</f>
        <v/>
      </c>
      <c r="L7" s="122">
        <f>AD7</f>
        <v/>
      </c>
      <c r="M7" s="122">
        <f>AE7</f>
        <v/>
      </c>
      <c r="N7" s="314">
        <f>AF7</f>
        <v/>
      </c>
      <c r="P7" s="346" t="inlineStr">
        <is>
          <t>ALLSKY_SFC_</t>
        </is>
      </c>
      <c r="Q7" s="767" t="n"/>
      <c r="R7" s="767" t="n"/>
      <c r="S7" s="786" t="inlineStr">
        <is>
          <t>ALLSKY_SFC_SW_DIFF</t>
        </is>
      </c>
      <c r="T7" s="786" t="n"/>
      <c r="U7" s="786" t="n"/>
      <c r="V7" s="786" t="n"/>
      <c r="W7" s="786" t="n"/>
      <c r="X7" s="786" t="n"/>
      <c r="Y7" s="786" t="n"/>
      <c r="Z7" s="786" t="n"/>
      <c r="AA7" s="786" t="n"/>
      <c r="AB7" s="786" t="n"/>
      <c r="AC7" s="786" t="n"/>
      <c r="AD7" s="786" t="n"/>
      <c r="AE7" s="786" t="n"/>
      <c r="AF7" s="786" t="n"/>
    </row>
    <row r="8">
      <c r="A8" s="348">
        <f>SUBSTITUTE(S8,P8,"")</f>
        <v/>
      </c>
      <c r="B8" s="122">
        <f>T8</f>
        <v/>
      </c>
      <c r="C8" s="122">
        <f>U8</f>
        <v/>
      </c>
      <c r="D8" s="122">
        <f>V8</f>
        <v/>
      </c>
      <c r="E8" s="122">
        <f>W8</f>
        <v/>
      </c>
      <c r="F8" s="122">
        <f>X8</f>
        <v/>
      </c>
      <c r="G8" s="122">
        <f>Y8</f>
        <v/>
      </c>
      <c r="H8" s="122">
        <f>Z8</f>
        <v/>
      </c>
      <c r="I8" s="122">
        <f>AA8</f>
        <v/>
      </c>
      <c r="J8" s="122">
        <f>AB8</f>
        <v/>
      </c>
      <c r="K8" s="122">
        <f>AC8</f>
        <v/>
      </c>
      <c r="L8" s="122">
        <f>AD8</f>
        <v/>
      </c>
      <c r="M8" s="122">
        <f>AE8</f>
        <v/>
      </c>
      <c r="N8" s="314">
        <f>AF8</f>
        <v/>
      </c>
      <c r="P8" s="0" t="inlineStr">
        <is>
          <t>SI_EF_TILTED_SURFACE_</t>
        </is>
      </c>
      <c r="Q8" s="767" t="n"/>
      <c r="R8" s="767" t="n"/>
      <c r="S8" s="786" t="inlineStr">
        <is>
          <t>SI_EF_TILTED_SURFACE_HORIZONTAL</t>
        </is>
      </c>
      <c r="T8" s="786" t="n"/>
      <c r="U8" s="786" t="n"/>
      <c r="V8" s="786" t="n"/>
      <c r="W8" s="786" t="n"/>
      <c r="X8" s="786" t="n"/>
      <c r="Y8" s="786" t="n"/>
      <c r="Z8" s="786" t="n"/>
      <c r="AA8" s="786" t="n"/>
      <c r="AB8" s="786" t="n"/>
      <c r="AC8" s="786" t="n"/>
      <c r="AD8" s="786" t="n"/>
      <c r="AE8" s="786" t="n"/>
      <c r="AF8" s="786" t="n"/>
    </row>
    <row r="9">
      <c r="A9" s="348">
        <f>SUBSTITUTE(S9,P9,"")</f>
        <v/>
      </c>
      <c r="B9" s="122">
        <f>T9</f>
        <v/>
      </c>
      <c r="C9" s="122">
        <f>U9</f>
        <v/>
      </c>
      <c r="D9" s="122">
        <f>V9</f>
        <v/>
      </c>
      <c r="E9" s="122">
        <f>W9</f>
        <v/>
      </c>
      <c r="F9" s="122">
        <f>X9</f>
        <v/>
      </c>
      <c r="G9" s="122">
        <f>Y9</f>
        <v/>
      </c>
      <c r="H9" s="122">
        <f>Z9</f>
        <v/>
      </c>
      <c r="I9" s="122">
        <f>AA9</f>
        <v/>
      </c>
      <c r="J9" s="122">
        <f>AB9</f>
        <v/>
      </c>
      <c r="K9" s="122">
        <f>AC9</f>
        <v/>
      </c>
      <c r="L9" s="122">
        <f>AD9</f>
        <v/>
      </c>
      <c r="M9" s="122">
        <f>AE9</f>
        <v/>
      </c>
      <c r="N9" s="314">
        <f>AF9</f>
        <v/>
      </c>
      <c r="P9" s="0" t="inlineStr">
        <is>
          <t>SI_EF_TILTED_SURFACE_</t>
        </is>
      </c>
      <c r="Q9" s="767" t="n"/>
      <c r="R9" s="767" t="n"/>
      <c r="S9" s="786" t="inlineStr">
        <is>
          <t>SI_EF_TILTED_SURFACE_LAT_MINUS15</t>
        </is>
      </c>
      <c r="T9" s="786" t="n"/>
      <c r="U9" s="786" t="n"/>
      <c r="V9" s="786" t="n"/>
      <c r="W9" s="786" t="n"/>
      <c r="X9" s="786" t="n"/>
      <c r="Y9" s="786" t="n"/>
      <c r="Z9" s="786" t="n"/>
      <c r="AA9" s="786" t="n"/>
      <c r="AB9" s="786" t="n"/>
      <c r="AC9" s="786" t="n"/>
      <c r="AD9" s="786" t="n"/>
      <c r="AE9" s="786" t="n"/>
      <c r="AF9" s="786" t="n"/>
    </row>
    <row r="10">
      <c r="A10" s="348">
        <f>SUBSTITUTE(S10,P10,"")</f>
        <v/>
      </c>
      <c r="B10" s="122">
        <f>T10</f>
        <v/>
      </c>
      <c r="C10" s="122">
        <f>U10</f>
        <v/>
      </c>
      <c r="D10" s="122">
        <f>V10</f>
        <v/>
      </c>
      <c r="E10" s="122">
        <f>W10</f>
        <v/>
      </c>
      <c r="F10" s="122">
        <f>X10</f>
        <v/>
      </c>
      <c r="G10" s="122">
        <f>Y10</f>
        <v/>
      </c>
      <c r="H10" s="122">
        <f>Z10</f>
        <v/>
      </c>
      <c r="I10" s="122">
        <f>AA10</f>
        <v/>
      </c>
      <c r="J10" s="122">
        <f>AB10</f>
        <v/>
      </c>
      <c r="K10" s="122">
        <f>AC10</f>
        <v/>
      </c>
      <c r="L10" s="122">
        <f>AD10</f>
        <v/>
      </c>
      <c r="M10" s="122">
        <f>AE10</f>
        <v/>
      </c>
      <c r="N10" s="314">
        <f>AF10</f>
        <v/>
      </c>
      <c r="P10" s="0" t="inlineStr">
        <is>
          <t>SI_EF_TILTED_SURFACE_</t>
        </is>
      </c>
      <c r="Q10" s="767" t="n"/>
      <c r="R10" s="767" t="n"/>
      <c r="S10" s="786" t="inlineStr">
        <is>
          <t>SI_EF_TILTED_SURFACE_LATITUDE</t>
        </is>
      </c>
      <c r="T10" s="786" t="n"/>
      <c r="U10" s="786" t="n"/>
      <c r="V10" s="786" t="n"/>
      <c r="W10" s="786" t="n"/>
      <c r="X10" s="786" t="n"/>
      <c r="Y10" s="786" t="n"/>
      <c r="Z10" s="786" t="n"/>
      <c r="AA10" s="786" t="n"/>
      <c r="AB10" s="786" t="n"/>
      <c r="AC10" s="786" t="n"/>
      <c r="AD10" s="786" t="n"/>
      <c r="AE10" s="786" t="n"/>
      <c r="AF10" s="786" t="n"/>
    </row>
    <row r="11">
      <c r="A11" s="348">
        <f>SUBSTITUTE(S11,P11,"")</f>
        <v/>
      </c>
      <c r="B11" s="122">
        <f>T11</f>
        <v/>
      </c>
      <c r="C11" s="122">
        <f>U11</f>
        <v/>
      </c>
      <c r="D11" s="122">
        <f>V11</f>
        <v/>
      </c>
      <c r="E11" s="122">
        <f>W11</f>
        <v/>
      </c>
      <c r="F11" s="122">
        <f>X11</f>
        <v/>
      </c>
      <c r="G11" s="122">
        <f>Y11</f>
        <v/>
      </c>
      <c r="H11" s="122">
        <f>Z11</f>
        <v/>
      </c>
      <c r="I11" s="122">
        <f>AA11</f>
        <v/>
      </c>
      <c r="J11" s="122">
        <f>AB11</f>
        <v/>
      </c>
      <c r="K11" s="122">
        <f>AC11</f>
        <v/>
      </c>
      <c r="L11" s="122">
        <f>AD11</f>
        <v/>
      </c>
      <c r="M11" s="122">
        <f>AE11</f>
        <v/>
      </c>
      <c r="N11" s="314">
        <f>AF11</f>
        <v/>
      </c>
      <c r="P11" s="0" t="inlineStr">
        <is>
          <t>SI_EF_TILTED_SURFACE_</t>
        </is>
      </c>
      <c r="Q11" s="767" t="n"/>
      <c r="R11" s="767" t="n"/>
      <c r="S11" s="786" t="inlineStr">
        <is>
          <t>SI_EF_TILTED_SURFACE_LAT_PLUS15</t>
        </is>
      </c>
      <c r="T11" s="786" t="n"/>
      <c r="U11" s="786" t="n"/>
      <c r="V11" s="786" t="n"/>
      <c r="W11" s="786" t="n"/>
      <c r="X11" s="786" t="n"/>
      <c r="Y11" s="786" t="n"/>
      <c r="Z11" s="786" t="n"/>
      <c r="AA11" s="786" t="n"/>
      <c r="AB11" s="786" t="n"/>
      <c r="AC11" s="786" t="n"/>
      <c r="AD11" s="786" t="n"/>
      <c r="AE11" s="786" t="n"/>
      <c r="AF11" s="786" t="n"/>
    </row>
    <row r="12">
      <c r="A12" s="348">
        <f>SUBSTITUTE(S12,P12,"")</f>
        <v/>
      </c>
      <c r="B12" s="122">
        <f>T12</f>
        <v/>
      </c>
      <c r="C12" s="122">
        <f>U12</f>
        <v/>
      </c>
      <c r="D12" s="122">
        <f>V12</f>
        <v/>
      </c>
      <c r="E12" s="122">
        <f>W12</f>
        <v/>
      </c>
      <c r="F12" s="122">
        <f>X12</f>
        <v/>
      </c>
      <c r="G12" s="122">
        <f>Y12</f>
        <v/>
      </c>
      <c r="H12" s="122">
        <f>Z12</f>
        <v/>
      </c>
      <c r="I12" s="122">
        <f>AA12</f>
        <v/>
      </c>
      <c r="J12" s="122">
        <f>AB12</f>
        <v/>
      </c>
      <c r="K12" s="122">
        <f>AC12</f>
        <v/>
      </c>
      <c r="L12" s="122">
        <f>AD12</f>
        <v/>
      </c>
      <c r="M12" s="122">
        <f>AE12</f>
        <v/>
      </c>
      <c r="N12" s="314">
        <f>AF12</f>
        <v/>
      </c>
      <c r="P12" s="0" t="inlineStr">
        <is>
          <t>SI_EF_TILTED_SURFACE_</t>
        </is>
      </c>
      <c r="Q12" s="767" t="n"/>
      <c r="R12" s="767" t="n"/>
      <c r="S12" s="786" t="inlineStr">
        <is>
          <t>SI_EF_TILTED_SURFACE_VERTICAL</t>
        </is>
      </c>
      <c r="T12" s="786" t="n"/>
      <c r="U12" s="786" t="n"/>
      <c r="V12" s="786" t="n"/>
      <c r="W12" s="786" t="n"/>
      <c r="X12" s="786" t="n"/>
      <c r="Y12" s="786" t="n"/>
      <c r="Z12" s="786" t="n"/>
      <c r="AA12" s="786" t="n"/>
      <c r="AB12" s="786" t="n"/>
      <c r="AC12" s="786" t="n"/>
      <c r="AD12" s="786" t="n"/>
      <c r="AE12" s="786" t="n"/>
      <c r="AF12" s="786" t="n"/>
    </row>
    <row r="13">
      <c r="A13" s="348">
        <f>SUBSTITUTE(S13,P13,"")</f>
        <v/>
      </c>
      <c r="B13" s="122">
        <f>T13</f>
        <v/>
      </c>
      <c r="C13" s="122">
        <f>U13</f>
        <v/>
      </c>
      <c r="D13" s="122">
        <f>V13</f>
        <v/>
      </c>
      <c r="E13" s="122">
        <f>W13</f>
        <v/>
      </c>
      <c r="F13" s="122">
        <f>X13</f>
        <v/>
      </c>
      <c r="G13" s="122">
        <f>Y13</f>
        <v/>
      </c>
      <c r="H13" s="122">
        <f>Z13</f>
        <v/>
      </c>
      <c r="I13" s="122">
        <f>AA13</f>
        <v/>
      </c>
      <c r="J13" s="122">
        <f>AB13</f>
        <v/>
      </c>
      <c r="K13" s="122">
        <f>AC13</f>
        <v/>
      </c>
      <c r="L13" s="122">
        <f>AD13</f>
        <v/>
      </c>
      <c r="M13" s="122">
        <f>AE13</f>
        <v/>
      </c>
      <c r="N13" s="314">
        <f>AF13</f>
        <v/>
      </c>
      <c r="P13" s="0" t="inlineStr">
        <is>
          <t>SI_EF_TILTED_SURFACE_</t>
        </is>
      </c>
      <c r="Q13" s="767" t="n"/>
      <c r="R13" s="767" t="n"/>
      <c r="S13" s="786" t="inlineStr">
        <is>
          <t>SI_EF_TILTED_SURFACE_OPTIMAL</t>
        </is>
      </c>
      <c r="T13" s="786" t="n"/>
      <c r="U13" s="786" t="n"/>
      <c r="V13" s="786" t="n"/>
      <c r="W13" s="786" t="n"/>
      <c r="X13" s="786" t="n"/>
      <c r="Y13" s="786" t="n"/>
      <c r="Z13" s="786" t="n"/>
      <c r="AA13" s="786" t="n"/>
      <c r="AB13" s="786" t="n"/>
      <c r="AC13" s="786" t="n"/>
      <c r="AD13" s="786" t="n"/>
      <c r="AE13" s="786" t="n"/>
      <c r="AF13" s="786" t="n"/>
    </row>
    <row r="14">
      <c r="A14" s="122">
        <f>SUBSTITUTE(S14,P14,"")</f>
        <v/>
      </c>
      <c r="B14" s="122">
        <f>T14</f>
        <v/>
      </c>
      <c r="C14" s="122">
        <f>U14</f>
        <v/>
      </c>
      <c r="D14" s="122">
        <f>V14</f>
        <v/>
      </c>
      <c r="E14" s="122">
        <f>W14</f>
        <v/>
      </c>
      <c r="F14" s="122">
        <f>X14</f>
        <v/>
      </c>
      <c r="G14" s="122">
        <f>Y14</f>
        <v/>
      </c>
      <c r="H14" s="122">
        <f>Z14</f>
        <v/>
      </c>
      <c r="I14" s="122">
        <f>AA14</f>
        <v/>
      </c>
      <c r="J14" s="122">
        <f>AB14</f>
        <v/>
      </c>
      <c r="K14" s="122">
        <f>AC14</f>
        <v/>
      </c>
      <c r="L14" s="122">
        <f>AD14</f>
        <v/>
      </c>
      <c r="M14" s="122">
        <f>AE14</f>
        <v/>
      </c>
      <c r="N14" s="314">
        <f>AF14</f>
        <v/>
      </c>
      <c r="P14" s="0" t="inlineStr">
        <is>
          <t>SI_EF_TILTED_SURFACE_</t>
        </is>
      </c>
      <c r="Q14" s="767" t="n"/>
      <c r="R14" s="767" t="n"/>
      <c r="S14" s="786" t="inlineStr">
        <is>
          <t>SI_EF_TILTED_SURFACE_OPTIMAL_ANG</t>
        </is>
      </c>
      <c r="T14" s="786" t="n"/>
      <c r="U14" s="786" t="n"/>
      <c r="V14" s="786" t="n"/>
      <c r="W14" s="786" t="n"/>
      <c r="X14" s="786" t="n"/>
      <c r="Y14" s="786" t="n"/>
      <c r="Z14" s="786" t="n"/>
      <c r="AA14" s="786" t="n"/>
      <c r="AB14" s="786" t="n"/>
      <c r="AC14" s="786" t="n"/>
      <c r="AD14" s="786" t="n"/>
      <c r="AE14" s="786" t="n"/>
      <c r="AF14" s="786" t="n"/>
    </row>
    <row r="15" ht="22.35" customHeight="1" s="1643">
      <c r="A15" s="122">
        <f>SUBSTITUTE(S15,P15,"")</f>
        <v/>
      </c>
      <c r="B15" s="122">
        <f>T15</f>
        <v/>
      </c>
      <c r="C15" s="122">
        <f>U15</f>
        <v/>
      </c>
      <c r="D15" s="122">
        <f>V15</f>
        <v/>
      </c>
      <c r="E15" s="122">
        <f>W15</f>
        <v/>
      </c>
      <c r="F15" s="122">
        <f>X15</f>
        <v/>
      </c>
      <c r="G15" s="122">
        <f>Y15</f>
        <v/>
      </c>
      <c r="H15" s="122">
        <f>Z15</f>
        <v/>
      </c>
      <c r="I15" s="122">
        <f>AA15</f>
        <v/>
      </c>
      <c r="J15" s="122">
        <f>AB15</f>
        <v/>
      </c>
      <c r="K15" s="122">
        <f>AC15</f>
        <v/>
      </c>
      <c r="L15" s="122">
        <f>AD15</f>
        <v/>
      </c>
      <c r="M15" s="122">
        <f>AE15</f>
        <v/>
      </c>
      <c r="N15" s="314">
        <f>AF15</f>
        <v/>
      </c>
      <c r="P15" s="0" t="inlineStr">
        <is>
          <t>SI_EF_TILTED_SURFACE_</t>
        </is>
      </c>
      <c r="Q15" s="767" t="n"/>
      <c r="R15" s="767" t="n"/>
      <c r="S15" s="786" t="inlineStr">
        <is>
          <t>SI_EF_TILTED_SURFACE_OPTIMAL_ANG_ORT</t>
        </is>
      </c>
      <c r="T15" s="786" t="n"/>
      <c r="U15" s="786" t="n"/>
      <c r="V15" s="786" t="n"/>
      <c r="W15" s="786" t="n"/>
      <c r="X15" s="786" t="n"/>
      <c r="Y15" s="786" t="n"/>
      <c r="Z15" s="786" t="n"/>
      <c r="AA15" s="786" t="n"/>
      <c r="AB15" s="786" t="n"/>
      <c r="AC15" s="786" t="n"/>
      <c r="AD15" s="786" t="n"/>
      <c r="AE15" s="786" t="n"/>
      <c r="AF15" s="786" t="n"/>
    </row>
    <row r="16" ht="36.75" customHeight="1" s="1643">
      <c r="A16" s="1300" t="inlineStr">
        <is>
          <t xml:space="preserve">   NOTE: Diffuse radiation, direct normal radiation and tilted surface radiation are not calculated when the clearness index (K) is below 0.3 or above 0.8.</t>
        </is>
      </c>
    </row>
    <row r="17">
      <c r="P17" s="0" t="inlineStr">
        <is>
          <t>Location: Latitude</t>
        </is>
      </c>
      <c r="S17" s="1646" t="inlineStr">
        <is>
          <t xml:space="preserve">Parameter(s): </t>
        </is>
      </c>
      <c r="T17" s="1647" t="n"/>
      <c r="U17" s="1647" t="n"/>
      <c r="V17" s="1647" t="n"/>
      <c r="W17" s="1647" t="n"/>
      <c r="X17" s="1647" t="n"/>
      <c r="Y17" s="1647" t="n"/>
      <c r="Z17" s="1647" t="n"/>
      <c r="AA17" s="1647" t="n"/>
      <c r="AB17" s="1647" t="n"/>
      <c r="AC17" s="1647" t="n"/>
      <c r="AD17" s="1647" t="n"/>
      <c r="AE17" s="1647" t="n"/>
      <c r="AF17" s="1648" t="n"/>
    </row>
    <row r="18">
      <c r="A18" s="0" t="inlineStr">
        <is>
          <t>https://eosweb.larc.nasa.gov/cgi-bin/sse/grid.cgi?email=skip@larc.nasa.gov</t>
        </is>
      </c>
      <c r="L18" s="1649" t="n"/>
      <c r="M18" s="1649" t="n"/>
      <c r="N18" s="1649" t="n"/>
      <c r="P18" s="0" t="inlineStr">
        <is>
          <t xml:space="preserve">Longitude 120.8254 </t>
        </is>
      </c>
      <c r="S18" s="794" t="inlineStr">
        <is>
          <t>ALLSKY_SFC_SW_DNI</t>
        </is>
      </c>
      <c r="T18" s="1650" t="inlineStr">
        <is>
          <t xml:space="preserve">全天面短波向下直接法向輻照度 (kW-hr/m^2/day) </t>
        </is>
      </c>
      <c r="U18" s="1647" t="n"/>
      <c r="V18" s="1647" t="n"/>
      <c r="W18" s="1647" t="n"/>
      <c r="X18" s="1647" t="n"/>
      <c r="Y18" s="1647" t="n"/>
      <c r="Z18" s="1647" t="n"/>
      <c r="AA18" s="1647" t="n"/>
      <c r="AB18" s="1647" t="n"/>
      <c r="AC18" s="1647" t="n"/>
      <c r="AD18" s="1647" t="n"/>
      <c r="AE18" s="1647" t="n"/>
      <c r="AF18" s="1648" t="n"/>
    </row>
    <row r="19">
      <c r="P19" s="0" t="inlineStr">
        <is>
          <t>Location: Latitude  24.5648   Longitude</t>
        </is>
      </c>
      <c r="Q19" s="793" t="n"/>
      <c r="S19" s="794" t="inlineStr">
        <is>
          <t>ALLSKY_SFC_SW_DWN</t>
        </is>
      </c>
      <c r="T19" s="1650" t="inlineStr">
        <is>
          <t xml:space="preserve">全天面短波下行輻照度 (kW-hr/m^2/day) </t>
        </is>
      </c>
      <c r="U19" s="1647" t="n"/>
      <c r="V19" s="1647" t="n"/>
      <c r="W19" s="1647" t="n"/>
      <c r="X19" s="1647" t="n"/>
      <c r="Y19" s="1647" t="n"/>
      <c r="Z19" s="1647" t="n"/>
      <c r="AA19" s="1647" t="n"/>
      <c r="AB19" s="1647" t="n"/>
      <c r="AC19" s="1647" t="n"/>
      <c r="AD19" s="1647" t="n"/>
      <c r="AE19" s="1647" t="n"/>
      <c r="AF19" s="1648" t="n"/>
    </row>
    <row r="20">
      <c r="A20" s="341" t="inlineStr">
        <is>
          <t>https://power.larc.nasa.gov/data-access-viewer/</t>
        </is>
      </c>
      <c r="E20" s="350" t="inlineStr">
        <is>
          <t>NEW</t>
        </is>
      </c>
      <c r="P20" s="0">
        <f>SUBSTITUTE(S3,P17,"")</f>
        <v/>
      </c>
      <c r="Q20" s="793" t="n"/>
      <c r="S20" s="794" t="inlineStr">
        <is>
          <t>ALLSKY_SFC_SW_DIFF</t>
        </is>
      </c>
      <c r="T20" s="1650" t="inlineStr">
        <is>
          <t xml:space="preserve">全天表面短波漫射輻照度 (kW-hr/m^2/day) </t>
        </is>
      </c>
      <c r="U20" s="1647" t="n"/>
      <c r="V20" s="1647" t="n"/>
      <c r="W20" s="1647" t="n"/>
      <c r="X20" s="1647" t="n"/>
      <c r="Y20" s="1647" t="n"/>
      <c r="Z20" s="1647" t="n"/>
      <c r="AA20" s="1647" t="n"/>
      <c r="AB20" s="1647" t="n"/>
      <c r="AC20" s="1647" t="n"/>
      <c r="AD20" s="1647" t="n"/>
      <c r="AE20" s="1647" t="n"/>
      <c r="AF20" s="1648" t="n"/>
    </row>
    <row r="21">
      <c r="Q21" s="793" t="n"/>
      <c r="S21" s="794" t="inlineStr">
        <is>
          <t>SI_EF_TILTED_SURFACE_HORIZONTAL</t>
        </is>
      </c>
      <c r="T21" s="1650" t="inlineStr">
        <is>
          <t xml:space="preserve">赤道面向水平面的太陽輻照度（kW-hr/m^2/day） </t>
        </is>
      </c>
      <c r="U21" s="1647" t="n"/>
      <c r="V21" s="1647" t="n"/>
      <c r="W21" s="1647" t="n"/>
      <c r="X21" s="1647" t="n"/>
      <c r="Y21" s="1647" t="n"/>
      <c r="Z21" s="1647" t="n"/>
      <c r="AA21" s="1647" t="n"/>
      <c r="AB21" s="1647" t="n"/>
      <c r="AC21" s="1647" t="n"/>
      <c r="AD21" s="1647" t="n"/>
      <c r="AE21" s="1647" t="n"/>
      <c r="AF21" s="1648" t="n"/>
    </row>
    <row r="22">
      <c r="Q22" s="793" t="n"/>
      <c r="S22" s="794" t="inlineStr">
        <is>
          <t>SI_EF_TILTED_SURFACE_LAT_MINUS15</t>
        </is>
      </c>
      <c r="T22" s="1650" t="inlineStr">
        <is>
          <t xml:space="preserve">赤道面向緯度減 15 傾斜的太陽輻照度 (kW-hr/m^2/day) </t>
        </is>
      </c>
      <c r="U22" s="1647" t="n"/>
      <c r="V22" s="1647" t="n"/>
      <c r="W22" s="1647" t="n"/>
      <c r="X22" s="1647" t="n"/>
      <c r="Y22" s="1647" t="n"/>
      <c r="Z22" s="1647" t="n"/>
      <c r="AA22" s="1647" t="n"/>
      <c r="AB22" s="1647" t="n"/>
      <c r="AC22" s="1647" t="n"/>
      <c r="AD22" s="1647" t="n"/>
      <c r="AE22" s="1647" t="n"/>
      <c r="AF22" s="1648" t="n"/>
    </row>
    <row r="23">
      <c r="Q23" s="793" t="n"/>
      <c r="R23" s="678" t="n"/>
      <c r="S23" s="794" t="inlineStr">
        <is>
          <t>SI_EF_TILTED_SURFACE_LATITUDE</t>
        </is>
      </c>
      <c r="T23" s="1650" t="inlineStr">
        <is>
          <t xml:space="preserve">赤道面向緯度傾斜的太陽輻照度（kW-hr/m^2/day） </t>
        </is>
      </c>
      <c r="U23" s="1647" t="n"/>
      <c r="V23" s="1647" t="n"/>
      <c r="W23" s="1647" t="n"/>
      <c r="X23" s="1647" t="n"/>
      <c r="Y23" s="1647" t="n"/>
      <c r="Z23" s="1647" t="n"/>
      <c r="AA23" s="1647" t="n"/>
      <c r="AB23" s="1647" t="n"/>
      <c r="AC23" s="1647" t="n"/>
      <c r="AD23" s="1647" t="n"/>
      <c r="AE23" s="1647" t="n"/>
      <c r="AF23" s="1648" t="n"/>
    </row>
    <row r="24">
      <c r="Q24" s="793" t="n"/>
      <c r="R24" s="678" t="n"/>
      <c r="S24" s="794" t="inlineStr">
        <is>
          <t>SI_EF_TILTED_SURFACE_LAT_PLUS15</t>
        </is>
      </c>
      <c r="T24" s="1650" t="inlineStr">
        <is>
          <t xml:space="preserve">面向赤道緯度加上 15 傾斜度的太陽輻照度（kW-hr/m^2/day） </t>
        </is>
      </c>
      <c r="U24" s="1647" t="n"/>
      <c r="V24" s="1647" t="n"/>
      <c r="W24" s="1647" t="n"/>
      <c r="X24" s="1647" t="n"/>
      <c r="Y24" s="1647" t="n"/>
      <c r="Z24" s="1647" t="n"/>
      <c r="AA24" s="1647" t="n"/>
      <c r="AB24" s="1647" t="n"/>
      <c r="AC24" s="1647" t="n"/>
      <c r="AD24" s="1647" t="n"/>
      <c r="AE24" s="1647" t="n"/>
      <c r="AF24" s="1648" t="n"/>
    </row>
    <row r="25">
      <c r="Q25" s="793" t="n"/>
      <c r="R25" s="678" t="n"/>
      <c r="S25" s="794" t="inlineStr">
        <is>
          <t xml:space="preserve">SI_EF_TILTED_SURFACE_VERTICAL </t>
        </is>
      </c>
      <c r="T25" s="1650" t="inlineStr">
        <is>
          <t xml:space="preserve">面向赤道垂直表面的太陽輻照度（kW-hr/m^2/day） </t>
        </is>
      </c>
      <c r="U25" s="1647" t="n"/>
      <c r="V25" s="1647" t="n"/>
      <c r="W25" s="1647" t="n"/>
      <c r="X25" s="1647" t="n"/>
      <c r="Y25" s="1647" t="n"/>
      <c r="Z25" s="1647" t="n"/>
      <c r="AA25" s="1647" t="n"/>
      <c r="AB25" s="1647" t="n"/>
      <c r="AC25" s="1647" t="n"/>
      <c r="AD25" s="1647" t="n"/>
      <c r="AE25" s="1647" t="n"/>
      <c r="AF25" s="1648" t="n"/>
    </row>
    <row r="26">
      <c r="Q26" s="793" t="n"/>
      <c r="R26" s="678" t="n"/>
      <c r="S26" s="794" t="inlineStr">
        <is>
          <t>SI_EF_TILTED_SURFACE_OPTIMAL</t>
        </is>
      </c>
      <c r="T26" s="1650" t="inlineStr">
        <is>
          <t xml:space="preserve">太陽輻照度最佳 (kW-hr/m^2/day) </t>
        </is>
      </c>
      <c r="U26" s="1647" t="n"/>
      <c r="V26" s="1647" t="n"/>
      <c r="W26" s="1647" t="n"/>
      <c r="X26" s="1647" t="n"/>
      <c r="Y26" s="1647" t="n"/>
      <c r="Z26" s="1647" t="n"/>
      <c r="AA26" s="1647" t="n"/>
      <c r="AB26" s="1647" t="n"/>
      <c r="AC26" s="1647" t="n"/>
      <c r="AD26" s="1647" t="n"/>
      <c r="AE26" s="1647" t="n"/>
      <c r="AF26" s="1648" t="n"/>
    </row>
    <row r="27">
      <c r="Q27" s="793" t="n"/>
      <c r="R27" s="678" t="n"/>
      <c r="S27" s="794" t="inlineStr">
        <is>
          <t>SI_EF_TILTED_SURFACE_OPTIMAL_ANG</t>
        </is>
      </c>
      <c r="T27" s="1650" t="inlineStr">
        <is>
          <t xml:space="preserve">太陽輻照度最佳角度（度） </t>
        </is>
      </c>
      <c r="U27" s="1647" t="n"/>
      <c r="V27" s="1647" t="n"/>
      <c r="W27" s="1647" t="n"/>
      <c r="X27" s="1647" t="n"/>
      <c r="Y27" s="1647" t="n"/>
      <c r="Z27" s="1647" t="n"/>
      <c r="AA27" s="1647" t="n"/>
      <c r="AB27" s="1647" t="n"/>
      <c r="AC27" s="1647" t="n"/>
      <c r="AD27" s="1647" t="n"/>
      <c r="AE27" s="1647" t="n"/>
      <c r="AF27" s="1648" t="n"/>
    </row>
    <row r="28">
      <c r="Q28" s="793" t="n"/>
      <c r="S28" s="794" t="inlineStr">
        <is>
          <t>SI_EF_TILTED_SURFACE_OPTIMAL_ANG_ORT</t>
        </is>
      </c>
      <c r="T28" s="1650" t="inlineStr">
        <is>
          <t xml:space="preserve">太陽輻照度傾斜表面方向（N/S 方向） </t>
        </is>
      </c>
      <c r="U28" s="1647" t="n"/>
      <c r="V28" s="1647" t="n"/>
      <c r="W28" s="1647" t="n"/>
      <c r="X28" s="1647" t="n"/>
      <c r="Y28" s="1647" t="n"/>
      <c r="Z28" s="1647" t="n"/>
      <c r="AA28" s="1647" t="n"/>
      <c r="AB28" s="1647" t="n"/>
      <c r="AC28" s="1647" t="n"/>
      <c r="AD28" s="1647" t="n"/>
      <c r="AE28" s="1647" t="n"/>
      <c r="AF28" s="1648" t="n"/>
    </row>
    <row r="29">
      <c r="Q29" s="793" t="n"/>
    </row>
  </sheetData>
  <mergeCells count="14">
    <mergeCell ref="T28:AF28"/>
    <mergeCell ref="T18:AF18"/>
    <mergeCell ref="T27:AF27"/>
    <mergeCell ref="T23:AF23"/>
    <mergeCell ref="A16:N16"/>
    <mergeCell ref="S17:AF17"/>
    <mergeCell ref="T22:AF22"/>
    <mergeCell ref="T26:AF26"/>
    <mergeCell ref="T21:AF21"/>
    <mergeCell ref="T20:AF20"/>
    <mergeCell ref="T25:AF25"/>
    <mergeCell ref="T24:AF24"/>
    <mergeCell ref="T19:AF19"/>
    <mergeCell ref="A1:N1"/>
  </mergeCells>
  <hyperlinks>
    <hyperlink xmlns:r="http://schemas.openxmlformats.org/officeDocument/2006/relationships" ref="A20" r:id="rId1"/>
  </hyperlink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7"/>
  <sheetViews>
    <sheetView showGridLines="0" zoomScale="70" zoomScaleNormal="70" workbookViewId="0">
      <selection activeCell="J6" sqref="J6:J7"/>
    </sheetView>
  </sheetViews>
  <sheetFormatPr baseColWidth="8" defaultRowHeight="16.5"/>
  <cols>
    <col width="1" customWidth="1" style="1643" min="1" max="1"/>
    <col width="3.5" customWidth="1" style="1643" min="2" max="2"/>
    <col width="10.625" customWidth="1" style="1643" min="3" max="3"/>
    <col width="13.625" customWidth="1" style="1643" min="4" max="4"/>
    <col width="10.125" bestFit="1" customWidth="1" style="1643" min="5" max="5"/>
    <col width="9" customWidth="1" style="1643" min="6" max="6"/>
    <col width="1.125" customWidth="1" style="1643" min="7" max="7"/>
    <col hidden="1" width="7.875" customWidth="1" style="1643" min="8" max="8"/>
    <col width="1.5" customWidth="1" style="1643" min="9" max="9"/>
    <col width="17" customWidth="1" style="1643" min="10" max="10"/>
    <col hidden="1" width="9" customWidth="1" style="1643" min="11" max="11"/>
    <col hidden="1" width="16" customWidth="1" style="1643" min="12" max="12"/>
    <col hidden="1" width="9" customWidth="1" style="1643" min="13" max="14"/>
    <col hidden="1" width="3.125" customWidth="1" style="1643" min="15" max="15"/>
    <col hidden="1" width="9" customWidth="1" style="1643" min="16" max="18"/>
    <col width="9" customWidth="1" style="1643" min="26" max="26"/>
    <col width="14.375" bestFit="1" customWidth="1" style="1643" min="27" max="27"/>
  </cols>
  <sheetData>
    <row r="2" ht="17.25" customHeight="1" s="1643" thickBot="1">
      <c r="C2" s="1321" t="inlineStr">
        <is>
          <t>苗栗為分界</t>
        </is>
      </c>
      <c r="E2" s="19" t="n"/>
      <c r="F2" s="19" t="n"/>
      <c r="G2" s="19" t="n"/>
      <c r="H2" s="19" t="n"/>
      <c r="I2" s="19" t="n"/>
      <c r="J2" s="19" t="n"/>
    </row>
    <row r="3" ht="16.5" customHeight="1" s="1643">
      <c r="B3" s="391" t="inlineStr">
        <is>
          <t>屋</t>
        </is>
      </c>
      <c r="C3" s="309" t="inlineStr">
        <is>
          <t>北</t>
        </is>
      </c>
      <c r="D3" s="25" t="inlineStr">
        <is>
          <t>111年</t>
        </is>
      </c>
      <c r="E3" s="305" t="inlineStr">
        <is>
          <t>上</t>
        </is>
      </c>
      <c r="F3" s="306" t="inlineStr">
        <is>
          <t>下</t>
        </is>
      </c>
      <c r="G3" s="19" t="n"/>
      <c r="H3" s="168" t="inlineStr">
        <is>
          <t>躉售費率</t>
        </is>
      </c>
      <c r="I3" s="163" t="n"/>
      <c r="L3" s="165" t="inlineStr">
        <is>
          <t>本案適用級距</t>
        </is>
      </c>
      <c r="M3" s="165" t="inlineStr">
        <is>
          <t>本案適用費率欄位(行)</t>
        </is>
      </c>
      <c r="N3" s="165" t="n"/>
      <c r="O3" s="165" t="n"/>
      <c r="P3" s="165" t="inlineStr">
        <is>
          <t>本案適用級距欄位(列)</t>
        </is>
      </c>
      <c r="Q3" s="165" t="n"/>
      <c r="R3" s="165" t="n"/>
    </row>
    <row r="4" ht="17.25" customHeight="1" s="1643" thickBot="1">
      <c r="B4" s="391" t="inlineStr">
        <is>
          <t>頂</t>
        </is>
      </c>
      <c r="C4" s="307" t="n"/>
      <c r="D4" s="1651" t="inlineStr">
        <is>
          <t>1-&lt;20 kW</t>
        </is>
      </c>
      <c r="E4" s="1652">
        <f>E10*1.15</f>
        <v/>
      </c>
      <c r="F4" s="1653">
        <f>F10*1.15</f>
        <v/>
      </c>
      <c r="G4" s="19" t="n"/>
      <c r="H4" s="1303">
        <f>INDEX(D3:F6,P4,M4)</f>
        <v/>
      </c>
      <c r="I4" s="164" t="n"/>
      <c r="L4" s="165">
        <f>IF(#REF!="屋頂",IF(#REF!&lt;20,費率!D4,IF(#REF!&lt;100,費率!D5,費率!D6)),0)</f>
        <v/>
      </c>
      <c r="M4" s="165">
        <f>MATCH(#REF!,費率!D3:F3,0)</f>
        <v/>
      </c>
      <c r="N4" s="165" t="n"/>
      <c r="O4" s="165" t="n"/>
      <c r="P4" s="165">
        <f>MATCH(L4,D3:D6,0)</f>
        <v/>
      </c>
      <c r="Q4" s="165" t="n"/>
      <c r="R4" s="165" t="n"/>
    </row>
    <row r="5" ht="17.25" customHeight="1" s="1643" thickBot="1">
      <c r="B5" s="391" t="inlineStr">
        <is>
          <t>型</t>
        </is>
      </c>
      <c r="C5" s="307" t="n"/>
      <c r="D5" s="385" t="inlineStr">
        <is>
          <t>20-&lt;100 kW</t>
        </is>
      </c>
      <c r="E5" s="1654">
        <f>E11*1.15</f>
        <v/>
      </c>
      <c r="F5" s="1655">
        <f>F11*1.15</f>
        <v/>
      </c>
      <c r="G5" s="19" t="n"/>
      <c r="I5" s="164" t="n"/>
      <c r="J5" s="768" t="inlineStr">
        <is>
          <t>合併計算</t>
        </is>
      </c>
      <c r="L5" s="166" t="n"/>
      <c r="M5" s="165" t="n"/>
      <c r="N5" s="165" t="n"/>
      <c r="O5" s="165" t="n"/>
      <c r="P5" s="165" t="n"/>
      <c r="Q5" s="165" t="n"/>
      <c r="R5" s="165" t="n"/>
    </row>
    <row r="6" ht="17.25" customHeight="1" s="1643" thickBot="1">
      <c r="C6" s="308" t="n"/>
      <c r="D6" s="386" t="inlineStr">
        <is>
          <t>100-&lt;500kW</t>
        </is>
      </c>
      <c r="E6" s="1656">
        <f>E12*1.15</f>
        <v/>
      </c>
      <c r="F6" s="1657">
        <f>F12*1.15</f>
        <v/>
      </c>
      <c r="I6" s="19" t="n"/>
      <c r="J6" s="1658">
        <f>IF(#REF!="屋頂",IF(#REF!="否",IF(L11=7,H10,IF(L11=1,H4)),IF(L11=7,H20,IF(L11=1,H17))),IF(L11=7,H27,IF(L11=1,H24)))</f>
        <v/>
      </c>
      <c r="L6" s="165" t="n"/>
      <c r="M6" s="165" t="n"/>
      <c r="N6" s="165" t="n"/>
      <c r="O6" s="165" t="n"/>
      <c r="P6" s="165" t="n"/>
      <c r="Q6" s="165" t="n"/>
      <c r="R6" s="165" t="n"/>
    </row>
    <row r="7" ht="17.25" customHeight="1" s="1643" thickBot="1">
      <c r="I7" s="163" t="n"/>
      <c r="J7" s="1659" t="n"/>
      <c r="L7" s="165" t="inlineStr">
        <is>
          <t>本案適用級距</t>
        </is>
      </c>
      <c r="M7" s="165" t="inlineStr">
        <is>
          <t>本案適用費率欄位(行)</t>
        </is>
      </c>
      <c r="N7" s="165" t="n"/>
      <c r="O7" s="165" t="n"/>
      <c r="P7" s="165" t="inlineStr">
        <is>
          <t>本案適用級距欄位(列)</t>
        </is>
      </c>
      <c r="Q7" s="165" t="n"/>
      <c r="R7" s="165" t="n"/>
    </row>
    <row r="8" ht="17.25" customHeight="1" s="1643" thickBot="1">
      <c r="C8" s="1321" t="inlineStr">
        <is>
          <t>苗栗為分界</t>
        </is>
      </c>
      <c r="D8" s="19" t="n"/>
      <c r="E8" s="19" t="n"/>
      <c r="F8" s="19" t="n"/>
      <c r="G8" s="19" t="n"/>
      <c r="H8" s="169" t="n"/>
      <c r="I8" s="164" t="n"/>
      <c r="J8" s="0" t="inlineStr">
        <is>
          <t>實際費率看回收頁</t>
        </is>
      </c>
      <c r="L8" s="165">
        <f>IF(#REF!="屋頂",IF(#REF!&lt;20,費率!D10,IF(#REF!&lt;100,費率!D11,費率!D12)),0)</f>
        <v/>
      </c>
      <c r="M8" s="165">
        <f>MATCH(#REF!,費率!D9:F9,0)</f>
        <v/>
      </c>
      <c r="N8" s="165" t="n"/>
      <c r="O8" s="165" t="n"/>
      <c r="P8" s="165">
        <f>MATCH(L8,D9:D12,0)</f>
        <v/>
      </c>
      <c r="Q8" s="165" t="n"/>
      <c r="R8" s="165" t="n"/>
    </row>
    <row r="9">
      <c r="B9" s="391" t="inlineStr">
        <is>
          <t>屋</t>
        </is>
      </c>
      <c r="C9" s="309" t="inlineStr">
        <is>
          <t>南</t>
        </is>
      </c>
      <c r="D9" s="25" t="inlineStr">
        <is>
          <t>111年</t>
        </is>
      </c>
      <c r="E9" s="27" t="inlineStr">
        <is>
          <t>上</t>
        </is>
      </c>
      <c r="F9" s="26" t="inlineStr">
        <is>
          <t>下</t>
        </is>
      </c>
      <c r="G9" s="19" t="n"/>
      <c r="H9" s="168" t="inlineStr">
        <is>
          <t>躉售費率</t>
        </is>
      </c>
      <c r="I9" s="164" t="n"/>
      <c r="L9" s="165" t="n"/>
      <c r="M9" s="165" t="n"/>
      <c r="N9" s="165" t="n"/>
      <c r="O9" s="165" t="n"/>
      <c r="P9" s="165" t="n"/>
      <c r="Q9" s="165" t="n"/>
      <c r="R9" s="165" t="n"/>
    </row>
    <row r="10" ht="16.5" customHeight="1" s="1643">
      <c r="B10" s="391" t="inlineStr">
        <is>
          <t>頂</t>
        </is>
      </c>
      <c r="C10" s="307" t="n"/>
      <c r="D10" s="1660" t="inlineStr">
        <is>
          <t>1-&lt;20 kW</t>
        </is>
      </c>
      <c r="E10" s="394" t="n">
        <v>5.8952</v>
      </c>
      <c r="F10" s="356" t="n">
        <v>5.7848</v>
      </c>
      <c r="H10" s="1661">
        <f>INDEX(D9:F12,P8,M8)</f>
        <v/>
      </c>
      <c r="L10" s="167" t="inlineStr">
        <is>
          <t>選用費率</t>
        </is>
      </c>
      <c r="M10" s="165" t="n"/>
      <c r="N10" s="165" t="n"/>
      <c r="O10" s="165" t="n"/>
      <c r="P10" s="165" t="n"/>
      <c r="Q10" s="165" t="n"/>
      <c r="R10" s="165" t="n"/>
    </row>
    <row r="11">
      <c r="B11" s="391" t="inlineStr">
        <is>
          <t>型</t>
        </is>
      </c>
      <c r="C11" s="307" t="n"/>
      <c r="D11" s="388" t="inlineStr">
        <is>
          <t>20-&lt;100 kW</t>
        </is>
      </c>
      <c r="E11" s="394" t="n">
        <v>4.5549</v>
      </c>
      <c r="F11" s="356" t="n">
        <v>4.4538</v>
      </c>
      <c r="L11" s="167">
        <f>MATCH(#REF!,費率!C3:C19,0)</f>
        <v/>
      </c>
      <c r="M11" s="165" t="n"/>
      <c r="N11" s="165" t="n"/>
      <c r="O11" s="165" t="n"/>
      <c r="P11" s="165" t="n"/>
      <c r="Q11" s="165" t="n"/>
      <c r="R11" s="165" t="n"/>
    </row>
    <row r="12" ht="17.25" customHeight="1" s="1643" thickBot="1">
      <c r="C12" s="308" t="n"/>
      <c r="D12" s="386" t="inlineStr">
        <is>
          <t>100-&lt;500kW</t>
        </is>
      </c>
      <c r="E12" s="28" t="n">
        <v>4.097</v>
      </c>
      <c r="F12" s="357" t="n">
        <v>3.9666</v>
      </c>
    </row>
    <row r="13" ht="17.25" customHeight="1" s="1643" thickBot="1">
      <c r="J13" s="768" t="inlineStr">
        <is>
          <t>無合併計算</t>
        </is>
      </c>
    </row>
    <row r="14">
      <c r="J14" s="1658">
        <f>IF(L11=7,H10,IF(L11=1,H4))</f>
        <v/>
      </c>
    </row>
    <row r="15" ht="17.25" customHeight="1" s="1643" thickBot="1">
      <c r="C15" s="1321" t="inlineStr">
        <is>
          <t>苗栗為分界</t>
        </is>
      </c>
      <c r="J15" s="1659" t="n"/>
    </row>
    <row r="16" ht="16.5" customHeight="1" s="1643">
      <c r="B16" s="391" t="inlineStr">
        <is>
          <t>屋</t>
        </is>
      </c>
      <c r="C16" s="309" t="inlineStr">
        <is>
          <t>北</t>
        </is>
      </c>
      <c r="D16" s="25" t="inlineStr">
        <is>
          <t>111年</t>
        </is>
      </c>
      <c r="E16" s="305" t="inlineStr">
        <is>
          <t>上</t>
        </is>
      </c>
      <c r="F16" s="306" t="inlineStr">
        <is>
          <t>下</t>
        </is>
      </c>
      <c r="H16" s="168" t="inlineStr">
        <is>
          <t>躉售費率</t>
        </is>
      </c>
      <c r="L16" s="165" t="inlineStr">
        <is>
          <t>本案適用級距</t>
        </is>
      </c>
      <c r="M16" s="165" t="inlineStr">
        <is>
          <t>本案適用費率欄位(行)</t>
        </is>
      </c>
      <c r="N16" s="165" t="n"/>
      <c r="O16" s="165" t="n"/>
      <c r="P16" s="165" t="inlineStr">
        <is>
          <t>本案適用級距欄位(列)</t>
        </is>
      </c>
      <c r="Q16" s="165" t="n"/>
    </row>
    <row r="17" ht="17.25" customHeight="1" s="1643" thickBot="1">
      <c r="B17" s="391" t="inlineStr">
        <is>
          <t>頂</t>
        </is>
      </c>
      <c r="C17" s="307" t="n"/>
      <c r="D17" s="1662" t="inlineStr">
        <is>
          <t>500 kW↑</t>
        </is>
      </c>
      <c r="E17" s="1653">
        <f>E19*1.15</f>
        <v/>
      </c>
      <c r="F17" s="1653">
        <f>F19*1.15</f>
        <v/>
      </c>
      <c r="H17" s="1303">
        <f>INDEX(D16:F17,P17,M17)</f>
        <v/>
      </c>
      <c r="L17" s="165">
        <f>IF(#REF!="屋頂",IF(#REF!="是",D17,0),0)</f>
        <v/>
      </c>
      <c r="M17" s="165">
        <f>MATCH(#REF!,費率!D16:F16,0)</f>
        <v/>
      </c>
      <c r="N17" s="165" t="n"/>
      <c r="O17" s="165" t="n"/>
      <c r="P17" s="165">
        <f>MATCH(L17,D16:D17,0)</f>
        <v/>
      </c>
      <c r="Q17" s="165" t="n"/>
    </row>
    <row r="18" ht="16.5" customHeight="1" s="1643">
      <c r="B18" s="391" t="inlineStr">
        <is>
          <t>型</t>
        </is>
      </c>
      <c r="C18" s="309" t="inlineStr">
        <is>
          <t>南</t>
        </is>
      </c>
      <c r="D18" s="25" t="inlineStr">
        <is>
          <t>111年</t>
        </is>
      </c>
      <c r="E18" s="27" t="inlineStr">
        <is>
          <t>上</t>
        </is>
      </c>
      <c r="F18" s="26" t="inlineStr">
        <is>
          <t>下</t>
        </is>
      </c>
      <c r="L18" s="165" t="inlineStr">
        <is>
          <t>本案適用級距</t>
        </is>
      </c>
      <c r="M18" s="165" t="inlineStr">
        <is>
          <t>本案適用費率欄位(行)</t>
        </is>
      </c>
      <c r="N18" s="165" t="n"/>
      <c r="O18" s="165" t="n"/>
      <c r="P18" s="165" t="inlineStr">
        <is>
          <t>本案適用級距欄位(列)</t>
        </is>
      </c>
      <c r="Q18" s="165" t="n"/>
    </row>
    <row r="19" ht="17.25" customHeight="1" s="1643" thickBot="1">
      <c r="C19" s="308" t="n"/>
      <c r="D19" s="1663" t="inlineStr">
        <is>
          <t>500 kW↑</t>
        </is>
      </c>
      <c r="E19" s="28" t="n">
        <v>4.1122</v>
      </c>
      <c r="F19" s="1657" t="n">
        <v>3.9727</v>
      </c>
      <c r="H19" s="168" t="inlineStr">
        <is>
          <t>躉售費率</t>
        </is>
      </c>
      <c r="L19" s="165">
        <f>IF(#REF!="屋頂",IF(#REF!="是",D19,0),0)</f>
        <v/>
      </c>
      <c r="M19" s="165">
        <f>MATCH(#REF!,費率!D18:F18,0)</f>
        <v/>
      </c>
      <c r="N19" s="165" t="n"/>
      <c r="O19" s="165" t="n"/>
      <c r="P19" s="165">
        <f>MATCH(L19,D18:D19,0)</f>
        <v/>
      </c>
      <c r="Q19" s="165" t="n"/>
    </row>
    <row r="20" ht="16.5" customHeight="1" s="1643">
      <c r="D20" s="383" t="inlineStr">
        <is>
          <t>合併</t>
        </is>
      </c>
      <c r="H20" s="1303">
        <f>INDEX(D18:F19,P19,M19)</f>
        <v/>
      </c>
    </row>
    <row r="21" ht="16.5" customHeight="1" s="1643"/>
    <row r="22" ht="17.25" customHeight="1" s="1643" thickBot="1">
      <c r="C22" s="1321" t="inlineStr">
        <is>
          <t>苗栗為分界</t>
        </is>
      </c>
    </row>
    <row r="23">
      <c r="B23" s="392" t="inlineStr">
        <is>
          <t>地</t>
        </is>
      </c>
      <c r="C23" s="309" t="inlineStr">
        <is>
          <t>北</t>
        </is>
      </c>
      <c r="D23" s="25" t="inlineStr">
        <is>
          <t>111年</t>
        </is>
      </c>
      <c r="E23" s="305" t="inlineStr">
        <is>
          <t>上</t>
        </is>
      </c>
      <c r="F23" s="306" t="inlineStr">
        <is>
          <t>下</t>
        </is>
      </c>
      <c r="H23" s="168" t="inlineStr">
        <is>
          <t>躉售費率</t>
        </is>
      </c>
      <c r="L23" s="165" t="inlineStr">
        <is>
          <t>本案適用級距</t>
        </is>
      </c>
      <c r="M23" s="165" t="inlineStr">
        <is>
          <t>本案適用費率欄位(行)</t>
        </is>
      </c>
      <c r="N23" s="165" t="n"/>
      <c r="O23" s="165" t="n"/>
      <c r="P23" s="165" t="inlineStr">
        <is>
          <t>本案適用級距欄位(列)</t>
        </is>
      </c>
      <c r="Q23" s="165" t="n"/>
    </row>
    <row r="24" ht="17.25" customHeight="1" s="1643" thickBot="1">
      <c r="B24" s="392" t="inlineStr">
        <is>
          <t>面</t>
        </is>
      </c>
      <c r="C24" s="307" t="n"/>
      <c r="D24" s="1664" t="inlineStr">
        <is>
          <t>1 kW↑</t>
        </is>
      </c>
      <c r="E24" s="1653">
        <f>E26*1.15</f>
        <v/>
      </c>
      <c r="F24" s="1653">
        <f>F26*1.15</f>
        <v/>
      </c>
      <c r="H24" s="1303">
        <f>INDEX(D23:F24,P24,M24)</f>
        <v/>
      </c>
      <c r="L24" s="165">
        <f>IF(#REF!="屋頂",0,D24)</f>
        <v/>
      </c>
      <c r="M24" s="165">
        <f>MATCH(#REF!,費率!D23:F23,0)</f>
        <v/>
      </c>
      <c r="N24" s="165" t="n"/>
      <c r="O24" s="165" t="n"/>
      <c r="P24" s="165">
        <f>MATCH(L24,D23:D24,0)</f>
        <v/>
      </c>
      <c r="Q24" s="165" t="n"/>
    </row>
    <row r="25">
      <c r="B25" s="392" t="inlineStr">
        <is>
          <t>型</t>
        </is>
      </c>
      <c r="C25" s="309" t="inlineStr">
        <is>
          <t>南</t>
        </is>
      </c>
      <c r="D25" s="25" t="inlineStr">
        <is>
          <t>111年</t>
        </is>
      </c>
      <c r="E25" s="27" t="inlineStr">
        <is>
          <t>上</t>
        </is>
      </c>
      <c r="F25" s="26" t="inlineStr">
        <is>
          <t>下</t>
        </is>
      </c>
      <c r="L25" s="165" t="inlineStr">
        <is>
          <t>本案適用級距</t>
        </is>
      </c>
      <c r="M25" s="165" t="inlineStr">
        <is>
          <t>本案適用費率欄位(行)</t>
        </is>
      </c>
      <c r="N25" s="165" t="n"/>
      <c r="O25" s="165" t="n"/>
      <c r="P25" s="165" t="inlineStr">
        <is>
          <t>本案適用級距欄位(列)</t>
        </is>
      </c>
      <c r="Q25" s="165" t="n"/>
    </row>
    <row r="26" ht="17.25" customHeight="1" s="1643" thickBot="1">
      <c r="C26" s="308" t="n"/>
      <c r="D26" s="1665" t="inlineStr">
        <is>
          <t>1 kW↑</t>
        </is>
      </c>
      <c r="E26" s="28" t="n">
        <v>4.0031</v>
      </c>
      <c r="F26" s="357" t="n">
        <v>3.868</v>
      </c>
      <c r="H26" s="168" t="inlineStr">
        <is>
          <t>躉售費率</t>
        </is>
      </c>
      <c r="L26" s="165">
        <f>IF(#REF!="屋頂",0,D26)</f>
        <v/>
      </c>
      <c r="M26" s="165">
        <f>MATCH(#REF!,費率!D25:F25,0)</f>
        <v/>
      </c>
      <c r="N26" s="165" t="n"/>
      <c r="O26" s="165" t="n"/>
      <c r="P26" s="165">
        <f>MATCH(L26,D25:D26,0)</f>
        <v/>
      </c>
      <c r="Q26" s="165" t="n"/>
    </row>
    <row r="27" ht="16.5" customHeight="1" s="1643">
      <c r="H27" s="1303">
        <f>INDEX(D25:F26,P26,M26)</f>
        <v/>
      </c>
    </row>
    <row r="28"/>
    <row r="30">
      <c r="E30" s="19" t="n"/>
    </row>
    <row r="31" ht="17.25" customHeight="1" s="1643" thickBot="1">
      <c r="C31" s="775" t="inlineStr">
        <is>
          <t>高效能模組(元/度)</t>
        </is>
      </c>
      <c r="D31" s="774" t="n"/>
    </row>
    <row r="32">
      <c r="C32" s="1304" t="inlineStr">
        <is>
          <t>屋頂型</t>
        </is>
      </c>
      <c r="D32" s="1666" t="inlineStr">
        <is>
          <t>1-&lt;20 kW</t>
        </is>
      </c>
      <c r="E32" s="19" t="n">
        <v>0.3471</v>
      </c>
    </row>
    <row r="33" ht="16.5" customHeight="1" s="1643">
      <c r="C33" s="1667" t="n"/>
      <c r="D33" s="772" t="inlineStr">
        <is>
          <t>20-&lt;100 kW</t>
        </is>
      </c>
      <c r="E33" s="19" t="n">
        <v>0.2672</v>
      </c>
    </row>
    <row r="34">
      <c r="C34" s="1667" t="n"/>
      <c r="D34" s="772" t="inlineStr">
        <is>
          <t>100-&lt;500kW</t>
        </is>
      </c>
      <c r="E34" s="19" t="n">
        <v>0.238</v>
      </c>
    </row>
    <row r="35" ht="17.25" customHeight="1" s="1643" thickBot="1">
      <c r="C35" s="1668" t="n"/>
      <c r="D35" s="1669" t="inlineStr">
        <is>
          <t>500 kW↑</t>
        </is>
      </c>
      <c r="E35" s="19" t="n">
        <v>0.2384</v>
      </c>
    </row>
    <row r="36" ht="17.25" customHeight="1" s="1643" thickBot="1">
      <c r="E36" s="19" t="n"/>
    </row>
    <row r="37" ht="32.25" customHeight="1" s="1643" thickBot="1">
      <c r="C37" s="769" t="inlineStr">
        <is>
          <t>地面型</t>
        </is>
      </c>
      <c r="D37" s="1670" t="inlineStr">
        <is>
          <t>1 kW↑</t>
        </is>
      </c>
      <c r="E37" s="19" t="n">
        <v>0.2321</v>
      </c>
    </row>
  </sheetData>
  <mergeCells count="9">
    <mergeCell ref="J14:J15"/>
    <mergeCell ref="H27:H28"/>
    <mergeCell ref="H17:H18"/>
    <mergeCell ref="H4:H5"/>
    <mergeCell ref="H20:H21"/>
    <mergeCell ref="H10:H11"/>
    <mergeCell ref="J6:J7"/>
    <mergeCell ref="C32:C35"/>
    <mergeCell ref="H24:H2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D74"/>
  <sheetViews>
    <sheetView showGridLines="0" zoomScale="70" zoomScaleNormal="70" workbookViewId="0">
      <selection activeCell="U46" sqref="U46"/>
    </sheetView>
  </sheetViews>
  <sheetFormatPr baseColWidth="8" defaultColWidth="11.375" defaultRowHeight="16.5"/>
  <cols>
    <col width="0.75" customWidth="1" style="1643" min="1" max="1"/>
    <col width="1.5" customWidth="1" style="1643" min="2" max="2"/>
    <col width="16.5" customWidth="1" style="1643" min="3" max="3"/>
    <col width="14.5" bestFit="1" customWidth="1" style="1643" min="4" max="4"/>
    <col width="12.125" customWidth="1" style="1643" min="5" max="5"/>
    <col width="11.375" bestFit="1" customWidth="1" style="1643" min="6" max="6"/>
    <col width="12.625" bestFit="1" customWidth="1" style="1643" min="7" max="7"/>
    <col width="12.5" bestFit="1" customWidth="1" style="1643" min="8" max="8"/>
    <col width="12.625" bestFit="1" customWidth="1" style="1643" min="9" max="9"/>
    <col width="14" bestFit="1" customWidth="1" style="1643" min="10" max="11"/>
    <col width="13.125" customWidth="1" style="1643" min="12" max="12"/>
    <col width="14" bestFit="1" customWidth="1" style="1643" min="13" max="13"/>
    <col width="12.5" bestFit="1" customWidth="1" style="1643" min="14" max="14"/>
    <col width="14.5" bestFit="1" customWidth="1" style="1643" min="15" max="15"/>
    <col width="13.75" customWidth="1" style="1643" min="16" max="16"/>
    <col width="14.5" customWidth="1" style="1643" min="17" max="17"/>
    <col width="3.375" customWidth="1" style="1643" min="18" max="18"/>
    <col width="11.375" customWidth="1" style="1643" min="19" max="19"/>
    <col width="9.75" bestFit="1" customWidth="1" style="1643" min="20" max="20"/>
    <col width="12.875" customWidth="1" style="1643" min="21" max="21"/>
    <col width="17.75" bestFit="1" customWidth="1" style="1643" min="22" max="22"/>
    <col width="20.125" bestFit="1" customWidth="1" style="1643" min="23" max="23"/>
    <col width="10.375" bestFit="1" customWidth="1" style="1643" min="24" max="24"/>
    <col width="15.25" bestFit="1" customWidth="1" style="1643" min="25" max="25"/>
    <col width="12.875" bestFit="1" customWidth="1" style="1643" min="26" max="26"/>
    <col width="12.75" bestFit="1" customWidth="1" style="1643" min="27" max="27"/>
    <col width="15.625" bestFit="1" customWidth="1" style="1643" min="28" max="28"/>
    <col width="12" bestFit="1" customWidth="1" style="1643" min="29" max="29"/>
    <col width="14" bestFit="1" customWidth="1" style="1643" min="30" max="30"/>
    <col width="8.5" bestFit="1" customWidth="1" style="1643" min="32" max="41"/>
  </cols>
  <sheetData>
    <row r="1" ht="6.75" customHeight="1" s="1643" thickBot="1"/>
    <row r="2" ht="19.5" customHeight="1" s="1643" thickBot="1">
      <c r="C2" s="21" t="inlineStr">
        <is>
          <t>安裝總容量</t>
        </is>
      </c>
      <c r="D2" s="1160">
        <f>#REF!</f>
        <v/>
      </c>
      <c r="E2" s="22" t="inlineStr">
        <is>
          <t>kW</t>
        </is>
      </c>
      <c r="F2" s="380" t="n"/>
      <c r="H2" s="367" t="n"/>
    </row>
    <row r="3" ht="19.5" customHeight="1" s="1643" thickBot="1">
      <c r="C3" s="974" t="inlineStr">
        <is>
          <t>設計傾角</t>
        </is>
      </c>
      <c r="D3" s="1161" t="inlineStr">
        <is>
          <t>SW_DWN</t>
        </is>
      </c>
      <c r="E3" s="975" t="inlineStr">
        <is>
          <t>度</t>
        </is>
      </c>
    </row>
    <row r="4" ht="33.75" customHeight="1" s="1643" thickBot="1">
      <c r="C4" s="381" t="n"/>
      <c r="D4" s="381" t="n"/>
      <c r="E4" s="382" t="n"/>
      <c r="U4" s="990" t="inlineStr">
        <is>
          <t>說明</t>
        </is>
      </c>
      <c r="V4" s="991" t="inlineStr">
        <is>
          <t>水平面總輻射量</t>
        </is>
      </c>
      <c r="W4" s="991" t="inlineStr">
        <is>
          <t>水平面散射輻射量</t>
        </is>
      </c>
      <c r="X4" s="991" t="inlineStr">
        <is>
          <t>環境溫度</t>
        </is>
      </c>
      <c r="Y4" s="992" t="inlineStr">
        <is>
          <t>入射採光面上
的總輻射量</t>
        </is>
      </c>
      <c r="Z4" s="992" t="inlineStr">
        <is>
          <t>陣列輸出的
有效能量</t>
        </is>
      </c>
      <c r="AA4" s="991" t="inlineStr">
        <is>
          <t>併網電量</t>
        </is>
      </c>
      <c r="AB4" s="991" t="inlineStr">
        <is>
          <t>系統效率PR值</t>
        </is>
      </c>
      <c r="AC4" s="991" t="inlineStr">
        <is>
          <t>等效日照</t>
        </is>
      </c>
      <c r="AD4" s="993" t="inlineStr">
        <is>
          <t>有效日照</t>
        </is>
      </c>
    </row>
    <row r="5" ht="8.25" customFormat="1" customHeight="1" s="170" thickBot="1">
      <c r="A5" s="1185" t="n"/>
      <c r="B5" s="1186" t="n"/>
      <c r="C5" s="1187" t="n">
        <v>1</v>
      </c>
      <c r="D5" s="1187" t="n">
        <v>2</v>
      </c>
      <c r="E5" s="1187" t="n">
        <v>3</v>
      </c>
      <c r="F5" s="1187" t="n">
        <v>4</v>
      </c>
      <c r="G5" s="1187" t="n">
        <v>5</v>
      </c>
      <c r="H5" s="1187" t="n">
        <v>6</v>
      </c>
      <c r="I5" s="1187" t="n">
        <v>7</v>
      </c>
      <c r="J5" s="1187" t="n">
        <v>8</v>
      </c>
      <c r="K5" s="1187" t="n">
        <v>9</v>
      </c>
      <c r="L5" s="1187" t="n">
        <v>10</v>
      </c>
      <c r="M5" s="1187" t="n">
        <v>11</v>
      </c>
      <c r="N5" s="1187" t="n">
        <v>12</v>
      </c>
      <c r="O5" s="1187" t="n">
        <v>13</v>
      </c>
      <c r="P5" s="1187" t="n">
        <v>14</v>
      </c>
      <c r="Q5" s="1186" t="n"/>
      <c r="R5" s="1188" t="n"/>
    </row>
    <row r="6" ht="21.75" customHeight="1" s="1643" thickBot="1">
      <c r="A6" s="1189" t="n"/>
      <c r="C6" s="989" t="inlineStr">
        <is>
          <t>系統PR值</t>
        </is>
      </c>
      <c r="D6" s="981">
        <f>AB22</f>
        <v/>
      </c>
      <c r="E6" s="1178" t="n"/>
      <c r="F6" s="1179" t="n"/>
      <c r="G6" s="1180" t="n"/>
      <c r="H6" s="1180" t="n"/>
      <c r="I6" s="1180" t="n"/>
      <c r="J6" s="1180" t="n"/>
      <c r="K6" s="1180" t="n"/>
      <c r="L6" s="1180" t="n"/>
      <c r="M6" s="1180" t="n"/>
      <c r="N6" s="1180" t="n"/>
      <c r="O6" s="1180" t="n"/>
      <c r="P6" s="1181" t="n"/>
      <c r="Q6" s="33" t="n"/>
      <c r="R6" s="1190" t="n"/>
    </row>
    <row r="7" ht="17.25" customHeight="1" s="1643" thickBot="1">
      <c r="A7" s="1189" t="n"/>
      <c r="C7" s="967" t="n"/>
      <c r="D7" s="1671" t="n"/>
      <c r="E7" s="1671" t="n"/>
      <c r="F7" s="1671" t="n"/>
      <c r="G7" s="1671" t="n"/>
      <c r="H7" s="1671" t="n"/>
      <c r="I7" s="1671" t="n"/>
      <c r="J7" s="1671" t="n"/>
      <c r="K7" s="1671" t="n"/>
      <c r="L7" s="1671" t="n"/>
      <c r="M7" s="1671" t="n"/>
      <c r="N7" s="1671" t="n"/>
      <c r="O7" s="1671" t="n"/>
      <c r="P7" s="1671" t="n"/>
      <c r="Q7" s="33" t="n"/>
      <c r="R7" s="1190" t="n"/>
      <c r="U7" s="969" t="n"/>
      <c r="V7" s="970" t="n"/>
      <c r="W7" s="970" t="n"/>
      <c r="X7" s="970" t="n"/>
      <c r="Y7" s="970" t="n"/>
      <c r="Z7" s="970" t="n"/>
      <c r="AA7" s="970" t="n"/>
      <c r="AB7" s="970" t="n"/>
      <c r="AC7" s="970" t="n"/>
      <c r="AD7" s="971" t="n"/>
    </row>
    <row r="8" ht="50.25" customHeight="1" s="1643" thickBot="1">
      <c r="A8" s="1189" t="n"/>
      <c r="C8" s="966" t="inlineStr">
        <is>
          <t>發電量評估</t>
        </is>
      </c>
      <c r="D8" s="983" t="inlineStr">
        <is>
          <t>一月</t>
        </is>
      </c>
      <c r="E8" s="983" t="inlineStr">
        <is>
          <t>二月</t>
        </is>
      </c>
      <c r="F8" s="983" t="inlineStr">
        <is>
          <t>三月</t>
        </is>
      </c>
      <c r="G8" s="983" t="inlineStr">
        <is>
          <t>四月</t>
        </is>
      </c>
      <c r="H8" s="983" t="inlineStr">
        <is>
          <t>五月</t>
        </is>
      </c>
      <c r="I8" s="983" t="inlineStr">
        <is>
          <t>六月</t>
        </is>
      </c>
      <c r="J8" s="983" t="inlineStr">
        <is>
          <t>七月</t>
        </is>
      </c>
      <c r="K8" s="983" t="inlineStr">
        <is>
          <t>八月</t>
        </is>
      </c>
      <c r="L8" s="983" t="inlineStr">
        <is>
          <t>九月</t>
        </is>
      </c>
      <c r="M8" s="983" t="inlineStr">
        <is>
          <t>十月</t>
        </is>
      </c>
      <c r="N8" s="983" t="inlineStr">
        <is>
          <t>十一月</t>
        </is>
      </c>
      <c r="O8" s="983" t="inlineStr">
        <is>
          <t>十二月</t>
        </is>
      </c>
      <c r="P8" s="984" t="inlineStr">
        <is>
          <t>每年
總發電量
(度/每年)</t>
        </is>
      </c>
      <c r="Q8" s="965" t="inlineStr">
        <is>
          <t>每年
每KW總發電量
(度/KW/每年)</t>
        </is>
      </c>
      <c r="R8" s="1190" t="n"/>
      <c r="S8" s="1191" t="inlineStr">
        <is>
          <t>有效日照</t>
        </is>
      </c>
      <c r="U8" s="972" t="n"/>
      <c r="V8" s="1162" t="inlineStr">
        <is>
          <t>GlobHor</t>
        </is>
      </c>
      <c r="W8" s="1119" t="inlineStr">
        <is>
          <t>DiffHor</t>
        </is>
      </c>
      <c r="X8" s="1119" t="inlineStr">
        <is>
          <t>T_Amb</t>
        </is>
      </c>
      <c r="Y8" s="1119" t="inlineStr">
        <is>
          <t>GlobInc</t>
        </is>
      </c>
      <c r="Z8" s="1119" t="inlineStr">
        <is>
          <t>EArray</t>
        </is>
      </c>
      <c r="AA8" s="1119" t="inlineStr">
        <is>
          <t>E_Grid</t>
        </is>
      </c>
      <c r="AB8" s="1119" t="inlineStr">
        <is>
          <t>PR</t>
        </is>
      </c>
      <c r="AC8" s="1119" t="inlineStr">
        <is>
          <t>Yr</t>
        </is>
      </c>
      <c r="AD8" s="973" t="inlineStr">
        <is>
          <t>Yf</t>
        </is>
      </c>
    </row>
    <row r="9" ht="33.75" customHeight="1" s="1643" thickBot="1">
      <c r="A9" s="1189" t="n"/>
      <c r="C9" s="982" t="inlineStr">
        <is>
          <t>AC 併網總發電量 (度/月)</t>
        </is>
      </c>
      <c r="D9" s="1672" t="n"/>
      <c r="E9" s="1673" t="n"/>
      <c r="F9" s="1673" t="n"/>
      <c r="G9" s="1673" t="n"/>
      <c r="H9" s="1673" t="n"/>
      <c r="I9" s="1673" t="n"/>
      <c r="J9" s="1673" t="n"/>
      <c r="K9" s="1673" t="n"/>
      <c r="L9" s="1673" t="n"/>
      <c r="M9" s="1673" t="n"/>
      <c r="N9" s="1673" t="n"/>
      <c r="O9" s="1673" t="n"/>
      <c r="P9" s="1674" t="n"/>
      <c r="Q9" s="1675" t="n"/>
      <c r="R9" s="1192" t="n"/>
      <c r="S9" s="1193">
        <f>Q9/365</f>
        <v/>
      </c>
      <c r="U9" s="972" t="n"/>
      <c r="V9" s="1163" t="inlineStr">
        <is>
          <t>kWh/m²</t>
        </is>
      </c>
      <c r="W9" s="1119" t="inlineStr">
        <is>
          <t>kWh/m²</t>
        </is>
      </c>
      <c r="X9" s="1119" t="inlineStr">
        <is>
          <t>°C</t>
        </is>
      </c>
      <c r="Y9" s="1119" t="inlineStr">
        <is>
          <t>kWh/m²</t>
        </is>
      </c>
      <c r="Z9" s="1119" t="inlineStr">
        <is>
          <t>kWh</t>
        </is>
      </c>
      <c r="AA9" s="976" t="inlineStr">
        <is>
          <t>kWh</t>
        </is>
      </c>
      <c r="AB9" s="1119" t="inlineStr">
        <is>
          <t>ratio</t>
        </is>
      </c>
      <c r="AC9" s="1119" t="inlineStr">
        <is>
          <t>kWh/m²/day</t>
        </is>
      </c>
      <c r="AD9" s="973" t="inlineStr">
        <is>
          <t>kWh/kWp/day</t>
        </is>
      </c>
    </row>
    <row r="10" ht="17.25" customHeight="1" s="1643" thickBot="1">
      <c r="A10" s="1194" t="n"/>
      <c r="B10" s="1176" t="n"/>
      <c r="C10" s="1195" t="n"/>
      <c r="D10" s="1676" t="n"/>
      <c r="E10" s="1676" t="n"/>
      <c r="F10" s="1676" t="n"/>
      <c r="G10" s="1676" t="n"/>
      <c r="H10" s="1676" t="n"/>
      <c r="I10" s="1676" t="n"/>
      <c r="J10" s="1676" t="n"/>
      <c r="K10" s="1676" t="n"/>
      <c r="L10" s="1676" t="n"/>
      <c r="M10" s="1676" t="n"/>
      <c r="N10" s="1676" t="n"/>
      <c r="O10" s="1676" t="n"/>
      <c r="P10" s="1676" t="n"/>
      <c r="Q10" s="1676" t="n"/>
      <c r="R10" s="1197" t="n"/>
      <c r="U10" s="1182" t="inlineStr">
        <is>
          <t>1月</t>
        </is>
      </c>
      <c r="V10" s="1677" t="n"/>
      <c r="W10" s="1198" t="n"/>
      <c r="X10" s="1199" t="n"/>
      <c r="Y10" s="1199" t="n"/>
      <c r="Z10" s="1198" t="n"/>
      <c r="AA10" s="977" t="n"/>
      <c r="AB10" s="1678" t="n"/>
      <c r="AC10" s="1119" t="n"/>
      <c r="AD10" s="973" t="n"/>
    </row>
    <row r="11" ht="17.25" customHeight="1" s="1643" thickBot="1">
      <c r="C11" s="23" t="n"/>
      <c r="D11" s="1679" t="n"/>
      <c r="E11" s="1679" t="n"/>
      <c r="F11" s="1679" t="n"/>
      <c r="G11" s="1679" t="n"/>
      <c r="H11" s="1679" t="n"/>
      <c r="I11" s="1679" t="n"/>
      <c r="J11" s="1679" t="n"/>
      <c r="K11" s="1679" t="n"/>
      <c r="L11" s="1679" t="n"/>
      <c r="M11" s="1679" t="n"/>
      <c r="N11" s="1679" t="n"/>
      <c r="O11" s="1679" t="n"/>
      <c r="P11" s="1679" t="n"/>
      <c r="U11" s="1182" t="inlineStr">
        <is>
          <t>2月</t>
        </is>
      </c>
      <c r="V11" s="1680" t="n"/>
      <c r="W11" s="1198" t="n"/>
      <c r="X11" s="1199" t="n"/>
      <c r="Y11" s="1199" t="n"/>
      <c r="Z11" s="1198" t="n"/>
      <c r="AA11" s="977" t="n"/>
      <c r="AB11" s="1678" t="n"/>
      <c r="AC11" s="1119" t="n"/>
      <c r="AD11" s="973" t="n"/>
    </row>
    <row r="12" ht="17.25" customHeight="1" s="1643" thickBot="1">
      <c r="D12" s="1679" t="n"/>
      <c r="E12" s="1679" t="n"/>
      <c r="F12" s="1679" t="n"/>
      <c r="G12" s="1679" t="n"/>
      <c r="L12" s="1681" t="inlineStr">
        <is>
          <t>衰退率</t>
        </is>
      </c>
      <c r="M12" s="1153" t="inlineStr">
        <is>
          <t>首年</t>
        </is>
      </c>
      <c r="N12" s="1682" t="n">
        <v>0.01</v>
      </c>
      <c r="O12" s="19" t="n"/>
      <c r="U12" s="1182" t="inlineStr">
        <is>
          <t>3月</t>
        </is>
      </c>
      <c r="V12" s="1680" t="n"/>
      <c r="W12" s="1198" t="n"/>
      <c r="X12" s="1199" t="n"/>
      <c r="Y12" s="1199" t="n"/>
      <c r="Z12" s="1198" t="n"/>
      <c r="AA12" s="977" t="n"/>
      <c r="AB12" s="1678" t="n"/>
      <c r="AC12" s="1119" t="n"/>
      <c r="AD12" s="973" t="n"/>
    </row>
    <row r="13" ht="21" customHeight="1" s="1643" thickBot="1">
      <c r="C13" s="171" t="inlineStr">
        <is>
          <t>手動計算值</t>
        </is>
      </c>
      <c r="D13" s="1679" t="n"/>
      <c r="E13" s="1679" t="n"/>
      <c r="F13" s="1679" t="n"/>
      <c r="G13" s="1679" t="n"/>
      <c r="H13" s="1679" t="n"/>
      <c r="I13" s="378" t="n"/>
      <c r="J13" s="379" t="n"/>
      <c r="K13" s="1683" t="n"/>
      <c r="L13" s="1684" t="n"/>
      <c r="M13" s="1685" t="inlineStr">
        <is>
          <t>第2-25年</t>
        </is>
      </c>
      <c r="N13" s="1166" t="n">
        <v>0.004</v>
      </c>
      <c r="O13" s="29" t="n"/>
      <c r="T13" s="18" t="n"/>
      <c r="U13" s="1182" t="inlineStr">
        <is>
          <t>4月</t>
        </is>
      </c>
      <c r="V13" s="1680" t="n"/>
      <c r="W13" s="1198" t="n"/>
      <c r="X13" s="1199" t="n"/>
      <c r="Y13" s="1199" t="n"/>
      <c r="Z13" s="1198" t="n"/>
      <c r="AA13" s="977" t="n"/>
      <c r="AB13" s="1678" t="n"/>
      <c r="AC13" s="1119" t="n"/>
      <c r="AD13" s="973" t="n"/>
    </row>
    <row r="14" ht="17.25" customHeight="1" s="1643" thickBot="1">
      <c r="D14" s="1679" t="n"/>
      <c r="E14" s="1679" t="n"/>
      <c r="F14" s="1679" t="n"/>
      <c r="G14" s="1679" t="n"/>
      <c r="H14" s="1679" t="n"/>
      <c r="I14" s="378" t="n"/>
      <c r="J14" s="379" t="n"/>
      <c r="K14" s="1683" t="n"/>
      <c r="O14" s="19" t="n"/>
      <c r="U14" s="1182" t="inlineStr">
        <is>
          <t>5月</t>
        </is>
      </c>
      <c r="V14" s="1680" t="n"/>
      <c r="W14" s="1198" t="n"/>
      <c r="X14" s="1199" t="n"/>
      <c r="Y14" s="1199" t="n"/>
      <c r="Z14" s="1198" t="n"/>
      <c r="AA14" s="977" t="n"/>
      <c r="AB14" s="1678" t="n"/>
      <c r="AC14" s="1119" t="n"/>
      <c r="AD14" s="973" t="n"/>
    </row>
    <row r="15" ht="18.6" customHeight="1" s="1643" thickBot="1">
      <c r="C15" s="1167" t="inlineStr">
        <is>
          <t>模組衰減率(年)</t>
        </is>
      </c>
      <c r="D15" s="1686" t="n">
        <v>0.004</v>
      </c>
      <c r="E15" s="1687" t="n"/>
      <c r="F15" s="1687" t="n"/>
      <c r="G15" s="1687" t="n"/>
      <c r="H15" s="1687" t="n"/>
      <c r="I15" s="1688" t="n"/>
      <c r="L15" s="29" t="inlineStr">
        <is>
          <t>衰退率</t>
        </is>
      </c>
      <c r="M15" s="29" t="inlineStr">
        <is>
          <t>年</t>
        </is>
      </c>
      <c r="N15" s="29" t="inlineStr">
        <is>
          <t>遞減%</t>
        </is>
      </c>
      <c r="O15" s="29" t="inlineStr">
        <is>
          <t>模組瓦數(W)</t>
        </is>
      </c>
      <c r="T15" s="18" t="n"/>
      <c r="U15" s="1182" t="inlineStr">
        <is>
          <t>6月</t>
        </is>
      </c>
      <c r="V15" s="1680" t="n"/>
      <c r="W15" s="1198" t="n"/>
      <c r="X15" s="1199" t="n"/>
      <c r="Y15" s="1199" t="n"/>
      <c r="Z15" s="1198" t="n"/>
      <c r="AA15" s="977" t="n"/>
      <c r="AB15" s="1678" t="n"/>
      <c r="AC15" s="1119" t="n"/>
      <c r="AD15" s="973" t="n"/>
    </row>
    <row r="16" ht="18.6" customHeight="1" s="1643" thickBot="1">
      <c r="C16" s="1168" t="inlineStr">
        <is>
          <t>發電量計算</t>
        </is>
      </c>
      <c r="D16" s="1168" t="inlineStr">
        <is>
          <t>年發電量(KWH)</t>
        </is>
      </c>
      <c r="E16" s="1688" t="n"/>
      <c r="F16" s="1689" t="inlineStr">
        <is>
          <t>年躉電收入(NTD)</t>
        </is>
      </c>
      <c r="G16" s="1688" t="n"/>
      <c r="H16" s="1689" t="inlineStr">
        <is>
          <t>累計躉電收入(NTD)</t>
        </is>
      </c>
      <c r="I16" s="1688" t="n"/>
      <c r="J16" s="167" t="n"/>
      <c r="L16" s="1169" t="n">
        <v>0</v>
      </c>
      <c r="M16" s="1170" t="n">
        <v>0</v>
      </c>
      <c r="N16" s="1171" t="n">
        <v>1</v>
      </c>
      <c r="O16" s="1172" t="n">
        <v>550</v>
      </c>
      <c r="U16" s="1182" t="inlineStr">
        <is>
          <t>7月</t>
        </is>
      </c>
      <c r="V16" s="1680" t="n"/>
      <c r="W16" s="1198" t="n"/>
      <c r="X16" s="1199" t="n"/>
      <c r="Y16" s="1199" t="n"/>
      <c r="Z16" s="1198" t="n"/>
      <c r="AA16" s="977" t="n"/>
      <c r="AB16" s="1678" t="n"/>
      <c r="AC16" s="1119" t="n"/>
      <c r="AD16" s="973" t="n"/>
    </row>
    <row r="17" ht="18.6" customHeight="1" s="1643" thickBot="1">
      <c r="C17" s="1153" t="inlineStr">
        <is>
          <t>第1年</t>
        </is>
      </c>
      <c r="D17" s="1690" t="n"/>
      <c r="E17" s="1688" t="n"/>
      <c r="F17" s="1691" t="n"/>
      <c r="G17" s="1688" t="n"/>
      <c r="H17" s="1691" t="n"/>
      <c r="I17" s="1688" t="n"/>
      <c r="J17" s="765">
        <f>N17</f>
        <v/>
      </c>
      <c r="L17" s="1173">
        <f>$N$12</f>
        <v/>
      </c>
      <c r="M17" s="1170" t="n">
        <v>1</v>
      </c>
      <c r="N17" s="1171">
        <f>N16-L17</f>
        <v/>
      </c>
      <c r="O17" s="1153">
        <f>$O$16*N17</f>
        <v/>
      </c>
      <c r="U17" s="1182" t="inlineStr">
        <is>
          <t>8月</t>
        </is>
      </c>
      <c r="V17" s="1680" t="n"/>
      <c r="W17" s="1198" t="n"/>
      <c r="X17" s="1199" t="n"/>
      <c r="Y17" s="1199" t="n"/>
      <c r="Z17" s="1198" t="n"/>
      <c r="AA17" s="977" t="n"/>
      <c r="AB17" s="1678" t="n"/>
      <c r="AC17" s="1119" t="n"/>
      <c r="AD17" s="973" t="n"/>
    </row>
    <row r="18" ht="18.6" customHeight="1" s="1643" thickBot="1">
      <c r="C18" s="1153" t="inlineStr">
        <is>
          <t>第2年</t>
        </is>
      </c>
      <c r="D18" s="1690" t="n"/>
      <c r="E18" s="1688" t="n"/>
      <c r="F18" s="1691" t="n"/>
      <c r="G18" s="1688" t="n"/>
      <c r="H18" s="1691" t="n"/>
      <c r="I18" s="1688" t="n"/>
      <c r="J18" s="765">
        <f>N18</f>
        <v/>
      </c>
      <c r="L18" s="1174">
        <f>$N$13</f>
        <v/>
      </c>
      <c r="M18" s="1153" t="n">
        <v>2</v>
      </c>
      <c r="N18" s="1166">
        <f>N17-L18</f>
        <v/>
      </c>
      <c r="O18" s="1153">
        <f>$O$16*N18</f>
        <v/>
      </c>
      <c r="U18" s="1182" t="inlineStr">
        <is>
          <t>9月</t>
        </is>
      </c>
      <c r="V18" s="1680" t="n"/>
      <c r="W18" s="1198" t="n"/>
      <c r="X18" s="1199" t="n"/>
      <c r="Y18" s="1199" t="n"/>
      <c r="Z18" s="1198" t="n"/>
      <c r="AA18" s="977" t="n"/>
      <c r="AB18" s="1678" t="n"/>
      <c r="AC18" s="1119" t="n"/>
      <c r="AD18" s="973" t="n"/>
    </row>
    <row r="19" ht="18.6" customHeight="1" s="1643" thickBot="1">
      <c r="C19" s="1153" t="inlineStr">
        <is>
          <t>第3年</t>
        </is>
      </c>
      <c r="D19" s="1690" t="n"/>
      <c r="E19" s="1688" t="n"/>
      <c r="F19" s="1691" t="n"/>
      <c r="G19" s="1688" t="n"/>
      <c r="H19" s="1691" t="n"/>
      <c r="I19" s="1688" t="n"/>
      <c r="J19" s="765">
        <f>N19</f>
        <v/>
      </c>
      <c r="L19" s="1174">
        <f>$N$13</f>
        <v/>
      </c>
      <c r="M19" s="1153" t="n">
        <v>3</v>
      </c>
      <c r="N19" s="1166">
        <f>N18-L19</f>
        <v/>
      </c>
      <c r="O19" s="1153">
        <f>$O$16*N19</f>
        <v/>
      </c>
      <c r="U19" s="1182" t="inlineStr">
        <is>
          <t>10月</t>
        </is>
      </c>
      <c r="V19" s="1680" t="n"/>
      <c r="W19" s="1198" t="n"/>
      <c r="X19" s="1199" t="n"/>
      <c r="Y19" s="1199" t="n"/>
      <c r="Z19" s="1198" t="n"/>
      <c r="AA19" s="977" t="n"/>
      <c r="AB19" s="1678" t="n"/>
      <c r="AC19" s="1119" t="n"/>
      <c r="AD19" s="973" t="n"/>
    </row>
    <row r="20" ht="18.6" customHeight="1" s="1643" thickBot="1">
      <c r="C20" s="1153" t="inlineStr">
        <is>
          <t>第4年</t>
        </is>
      </c>
      <c r="D20" s="1690" t="n"/>
      <c r="E20" s="1688" t="n"/>
      <c r="F20" s="1691" t="n"/>
      <c r="G20" s="1688" t="n"/>
      <c r="H20" s="1691" t="n"/>
      <c r="I20" s="1688" t="n"/>
      <c r="J20" s="765">
        <f>N20</f>
        <v/>
      </c>
      <c r="L20" s="1174">
        <f>$N$13</f>
        <v/>
      </c>
      <c r="M20" s="1153" t="n">
        <v>4</v>
      </c>
      <c r="N20" s="1166">
        <f>N19-L20</f>
        <v/>
      </c>
      <c r="O20" s="1153">
        <f>$O$16*N20</f>
        <v/>
      </c>
      <c r="U20" s="1182" t="inlineStr">
        <is>
          <t>11月</t>
        </is>
      </c>
      <c r="V20" s="1680" t="n"/>
      <c r="W20" s="1198" t="n"/>
      <c r="X20" s="1199" t="n"/>
      <c r="Y20" s="1199" t="n"/>
      <c r="Z20" s="1198" t="n"/>
      <c r="AA20" s="977" t="n"/>
      <c r="AB20" s="1678" t="n"/>
      <c r="AC20" s="1119" t="n"/>
      <c r="AD20" s="973" t="n"/>
    </row>
    <row r="21" ht="18.6" customHeight="1" s="1643" thickBot="1">
      <c r="C21" s="1153" t="inlineStr">
        <is>
          <t>第5年</t>
        </is>
      </c>
      <c r="D21" s="1690" t="n"/>
      <c r="E21" s="1688" t="n"/>
      <c r="F21" s="1691" t="n"/>
      <c r="G21" s="1688" t="n"/>
      <c r="H21" s="1691" t="n"/>
      <c r="I21" s="1688" t="n"/>
      <c r="J21" s="765">
        <f>N21</f>
        <v/>
      </c>
      <c r="L21" s="1175">
        <f>$N$13</f>
        <v/>
      </c>
      <c r="M21" s="1170" t="n">
        <v>5</v>
      </c>
      <c r="N21" s="1171">
        <f>N20-L21</f>
        <v/>
      </c>
      <c r="O21" s="1153">
        <f>$O$16*N21</f>
        <v/>
      </c>
      <c r="U21" s="1182" t="inlineStr">
        <is>
          <t>12月</t>
        </is>
      </c>
      <c r="V21" s="1680" t="n"/>
      <c r="W21" s="1198" t="n"/>
      <c r="X21" s="1199" t="n"/>
      <c r="Y21" s="1199" t="n"/>
      <c r="Z21" s="1198" t="n"/>
      <c r="AA21" s="977" t="n"/>
      <c r="AB21" s="1678" t="n"/>
      <c r="AC21" s="1119" t="n"/>
      <c r="AD21" s="979" t="n"/>
    </row>
    <row r="22" ht="18.6" customHeight="1" s="1643" thickBot="1">
      <c r="C22" s="1153" t="inlineStr">
        <is>
          <t>第6年</t>
        </is>
      </c>
      <c r="D22" s="1690" t="n"/>
      <c r="E22" s="1688" t="n"/>
      <c r="F22" s="1691" t="n"/>
      <c r="G22" s="1688" t="n"/>
      <c r="H22" s="1691" t="n"/>
      <c r="I22" s="1688" t="n"/>
      <c r="J22" s="765">
        <f>N22</f>
        <v/>
      </c>
      <c r="L22" s="1174">
        <f>$N$13</f>
        <v/>
      </c>
      <c r="M22" s="1153" t="n">
        <v>6</v>
      </c>
      <c r="N22" s="1166">
        <f>N21-L22</f>
        <v/>
      </c>
      <c r="O22" s="1153">
        <f>$O$16*N22</f>
        <v/>
      </c>
      <c r="U22" s="1183" t="inlineStr">
        <is>
          <t>年</t>
        </is>
      </c>
      <c r="V22" s="1692" t="n"/>
      <c r="W22" s="1198" t="n"/>
      <c r="X22" s="1199" t="n"/>
      <c r="Y22" s="1199" t="n"/>
      <c r="Z22" s="1198" t="n"/>
      <c r="AA22" s="977" t="n"/>
      <c r="AB22" s="1678" t="n"/>
      <c r="AC22" s="978" t="n"/>
      <c r="AD22" s="980" t="n"/>
    </row>
    <row r="23" ht="18.6" customHeight="1" s="1643">
      <c r="C23" s="1153" t="inlineStr">
        <is>
          <t>第7年</t>
        </is>
      </c>
      <c r="D23" s="1690" t="n"/>
      <c r="E23" s="1688" t="n"/>
      <c r="F23" s="1691" t="n"/>
      <c r="G23" s="1688" t="n"/>
      <c r="H23" s="1691" t="n"/>
      <c r="I23" s="1688" t="n"/>
      <c r="J23" s="765">
        <f>N23</f>
        <v/>
      </c>
      <c r="L23" s="1174">
        <f>$N$13</f>
        <v/>
      </c>
      <c r="M23" s="1153" t="n">
        <v>7</v>
      </c>
      <c r="N23" s="1166">
        <f>N22-L23</f>
        <v/>
      </c>
      <c r="O23" s="1153">
        <f>$O$16*N23</f>
        <v/>
      </c>
    </row>
    <row r="24" ht="18.6" customHeight="1" s="1643">
      <c r="C24" s="1153" t="inlineStr">
        <is>
          <t>第8年</t>
        </is>
      </c>
      <c r="D24" s="1690" t="n"/>
      <c r="E24" s="1688" t="n"/>
      <c r="F24" s="1691" t="n"/>
      <c r="G24" s="1688" t="n"/>
      <c r="H24" s="1691" t="n"/>
      <c r="I24" s="1688" t="n"/>
      <c r="J24" s="765">
        <f>N24</f>
        <v/>
      </c>
      <c r="L24" s="1174">
        <f>$N$13</f>
        <v/>
      </c>
      <c r="M24" s="1153" t="n">
        <v>8</v>
      </c>
      <c r="N24" s="1166">
        <f>N23-L24</f>
        <v/>
      </c>
      <c r="O24" s="1153">
        <f>$O$16*N24</f>
        <v/>
      </c>
    </row>
    <row r="25" ht="18.6" customHeight="1" s="1643">
      <c r="C25" s="1184" t="inlineStr">
        <is>
          <t>第9年</t>
        </is>
      </c>
      <c r="D25" s="1690" t="n"/>
      <c r="E25" s="1688" t="n"/>
      <c r="F25" s="1691" t="n"/>
      <c r="G25" s="1688" t="n"/>
      <c r="H25" s="1691" t="n"/>
      <c r="I25" s="1688" t="n"/>
      <c r="J25" s="765">
        <f>N25</f>
        <v/>
      </c>
      <c r="L25" s="1174">
        <f>$N$13</f>
        <v/>
      </c>
      <c r="M25" s="1153" t="n">
        <v>9</v>
      </c>
      <c r="N25" s="1166">
        <f>N24-L25</f>
        <v/>
      </c>
      <c r="O25" s="1153">
        <f>$O$16*N25</f>
        <v/>
      </c>
    </row>
    <row r="26" ht="18.6" customHeight="1" s="1643">
      <c r="C26" s="1153" t="inlineStr">
        <is>
          <t>第10年</t>
        </is>
      </c>
      <c r="D26" s="1690" t="n"/>
      <c r="E26" s="1688" t="n"/>
      <c r="F26" s="1691" t="n"/>
      <c r="G26" s="1688" t="n"/>
      <c r="H26" s="1691" t="n"/>
      <c r="I26" s="1688" t="n"/>
      <c r="J26" s="765">
        <f>N26</f>
        <v/>
      </c>
      <c r="K26" s="1679" t="n"/>
      <c r="L26" s="1175">
        <f>$N$13</f>
        <v/>
      </c>
      <c r="M26" s="1170" t="n">
        <v>10</v>
      </c>
      <c r="N26" s="1171">
        <f>N25-L26</f>
        <v/>
      </c>
      <c r="O26" s="1153">
        <f>$O$16*N26</f>
        <v/>
      </c>
    </row>
    <row r="27" ht="18.6" customHeight="1" s="1643">
      <c r="C27" s="1153" t="inlineStr">
        <is>
          <t>第11年</t>
        </is>
      </c>
      <c r="D27" s="1690" t="n"/>
      <c r="E27" s="1688" t="n"/>
      <c r="F27" s="1691" t="n"/>
      <c r="G27" s="1688" t="n"/>
      <c r="H27" s="1691" t="n"/>
      <c r="I27" s="1688" t="n"/>
      <c r="J27" s="765">
        <f>N27</f>
        <v/>
      </c>
      <c r="L27" s="1174">
        <f>$N$13</f>
        <v/>
      </c>
      <c r="M27" s="1153" t="n">
        <v>11</v>
      </c>
      <c r="N27" s="1166">
        <f>N26-L27</f>
        <v/>
      </c>
      <c r="O27" s="1153">
        <f>$O$16*N27</f>
        <v/>
      </c>
    </row>
    <row r="28" ht="18.6" customHeight="1" s="1643">
      <c r="C28" s="1153" t="inlineStr">
        <is>
          <t>第12年</t>
        </is>
      </c>
      <c r="D28" s="1690" t="n"/>
      <c r="E28" s="1688" t="n"/>
      <c r="F28" s="1691" t="n"/>
      <c r="G28" s="1688" t="n"/>
      <c r="H28" s="1691" t="n"/>
      <c r="I28" s="1688" t="n"/>
      <c r="J28" s="765">
        <f>N28</f>
        <v/>
      </c>
      <c r="L28" s="1174">
        <f>$N$13</f>
        <v/>
      </c>
      <c r="M28" s="1153" t="n">
        <v>12</v>
      </c>
      <c r="N28" s="1166">
        <f>N27-L28</f>
        <v/>
      </c>
      <c r="O28" s="1153">
        <f>$O$16*N28</f>
        <v/>
      </c>
    </row>
    <row r="29" ht="18.6" customHeight="1" s="1643">
      <c r="C29" s="1153" t="inlineStr">
        <is>
          <t>第13年</t>
        </is>
      </c>
      <c r="D29" s="1690" t="n"/>
      <c r="E29" s="1688" t="n"/>
      <c r="F29" s="1691" t="n"/>
      <c r="G29" s="1688" t="n"/>
      <c r="H29" s="1691" t="n"/>
      <c r="I29" s="1688" t="n"/>
      <c r="J29" s="765">
        <f>N29</f>
        <v/>
      </c>
      <c r="L29" s="1174">
        <f>$N$13</f>
        <v/>
      </c>
      <c r="M29" s="1153" t="n">
        <v>13</v>
      </c>
      <c r="N29" s="1166">
        <f>N28-L29</f>
        <v/>
      </c>
      <c r="O29" s="1153">
        <f>$O$16*N29</f>
        <v/>
      </c>
    </row>
    <row r="30" ht="18.6" customHeight="1" s="1643">
      <c r="C30" s="1153" t="inlineStr">
        <is>
          <t>第14年</t>
        </is>
      </c>
      <c r="D30" s="1690" t="n"/>
      <c r="E30" s="1688" t="n"/>
      <c r="F30" s="1691" t="n"/>
      <c r="G30" s="1688" t="n"/>
      <c r="H30" s="1691" t="n"/>
      <c r="I30" s="1688" t="n"/>
      <c r="J30" s="765">
        <f>N30</f>
        <v/>
      </c>
      <c r="L30" s="1174">
        <f>$N$13</f>
        <v/>
      </c>
      <c r="M30" s="1153" t="n">
        <v>14</v>
      </c>
      <c r="N30" s="1166">
        <f>N29-L30</f>
        <v/>
      </c>
      <c r="O30" s="1153">
        <f>$O$16*N30</f>
        <v/>
      </c>
    </row>
    <row r="31" ht="18.6" customHeight="1" s="1643">
      <c r="C31" s="1153" t="inlineStr">
        <is>
          <t>第15年</t>
        </is>
      </c>
      <c r="D31" s="1690" t="n"/>
      <c r="E31" s="1688" t="n"/>
      <c r="F31" s="1691" t="n"/>
      <c r="G31" s="1688" t="n"/>
      <c r="H31" s="1691" t="n"/>
      <c r="I31" s="1688" t="n"/>
      <c r="J31" s="765">
        <f>N31</f>
        <v/>
      </c>
      <c r="K31" s="1679" t="n"/>
      <c r="L31" s="1174">
        <f>$N$13</f>
        <v/>
      </c>
      <c r="M31" s="1153" t="n">
        <v>15</v>
      </c>
      <c r="N31" s="1166">
        <f>N30-L31</f>
        <v/>
      </c>
      <c r="O31" s="1153">
        <f>$O$16*N31</f>
        <v/>
      </c>
    </row>
    <row r="32" ht="18.6" customHeight="1" s="1643">
      <c r="C32" s="1153" t="inlineStr">
        <is>
          <t>第16年</t>
        </is>
      </c>
      <c r="D32" s="1690" t="n"/>
      <c r="E32" s="1688" t="n"/>
      <c r="F32" s="1691" t="n"/>
      <c r="G32" s="1688" t="n"/>
      <c r="H32" s="1691" t="n"/>
      <c r="I32" s="1688" t="n"/>
      <c r="J32" s="765">
        <f>N32</f>
        <v/>
      </c>
      <c r="L32" s="1174">
        <f>$N$13</f>
        <v/>
      </c>
      <c r="M32" s="1153" t="n">
        <v>16</v>
      </c>
      <c r="N32" s="1166">
        <f>N31-L32</f>
        <v/>
      </c>
      <c r="O32" s="1153">
        <f>$O$16*N32</f>
        <v/>
      </c>
    </row>
    <row r="33" ht="18.6" customHeight="1" s="1643">
      <c r="C33" s="1153" t="inlineStr">
        <is>
          <t>第17年</t>
        </is>
      </c>
      <c r="D33" s="1690" t="n"/>
      <c r="E33" s="1688" t="n"/>
      <c r="F33" s="1691" t="n"/>
      <c r="G33" s="1688" t="n"/>
      <c r="H33" s="1691" t="n"/>
      <c r="I33" s="1688" t="n"/>
      <c r="J33" s="765">
        <f>N33</f>
        <v/>
      </c>
      <c r="L33" s="1174">
        <f>$N$13</f>
        <v/>
      </c>
      <c r="M33" s="1153" t="n">
        <v>17</v>
      </c>
      <c r="N33" s="1166">
        <f>N32-L33</f>
        <v/>
      </c>
      <c r="O33" s="1153">
        <f>$O$16*N33</f>
        <v/>
      </c>
    </row>
    <row r="34" ht="18.6" customHeight="1" s="1643">
      <c r="C34" s="1153" t="inlineStr">
        <is>
          <t>第18年</t>
        </is>
      </c>
      <c r="D34" s="1690" t="n"/>
      <c r="E34" s="1688" t="n"/>
      <c r="F34" s="1691" t="n"/>
      <c r="G34" s="1688" t="n"/>
      <c r="H34" s="1691" t="n"/>
      <c r="I34" s="1688" t="n"/>
      <c r="J34" s="765">
        <f>N34</f>
        <v/>
      </c>
      <c r="L34" s="1174">
        <f>$N$13</f>
        <v/>
      </c>
      <c r="M34" s="1153" t="n">
        <v>18</v>
      </c>
      <c r="N34" s="1166">
        <f>N33-L34</f>
        <v/>
      </c>
      <c r="O34" s="1153">
        <f>$O$16*N34</f>
        <v/>
      </c>
    </row>
    <row r="35" ht="18.6" customHeight="1" s="1643">
      <c r="C35" s="1153" t="inlineStr">
        <is>
          <t>第19年</t>
        </is>
      </c>
      <c r="D35" s="1690" t="n"/>
      <c r="E35" s="1688" t="n"/>
      <c r="F35" s="1691" t="n"/>
      <c r="G35" s="1688" t="n"/>
      <c r="H35" s="1691" t="n"/>
      <c r="I35" s="1688" t="n"/>
      <c r="J35" s="765">
        <f>N35</f>
        <v/>
      </c>
      <c r="L35" s="1174">
        <f>$N$13</f>
        <v/>
      </c>
      <c r="M35" s="1153" t="n">
        <v>19</v>
      </c>
      <c r="N35" s="1166">
        <f>N34-L35</f>
        <v/>
      </c>
      <c r="O35" s="1153">
        <f>$O$16*N35</f>
        <v/>
      </c>
    </row>
    <row r="36" ht="18.6" customHeight="1" s="1643">
      <c r="C36" s="1312" t="inlineStr">
        <is>
          <t>第20年</t>
        </is>
      </c>
      <c r="D36" s="1690" t="n"/>
      <c r="E36" s="1688" t="n"/>
      <c r="F36" s="1691" t="n"/>
      <c r="G36" s="1688" t="n"/>
      <c r="H36" s="1691" t="n"/>
      <c r="I36" s="1688" t="n"/>
      <c r="J36" s="765">
        <f>N36</f>
        <v/>
      </c>
      <c r="K36" s="1679" t="n"/>
      <c r="L36" s="1175">
        <f>$N$13</f>
        <v/>
      </c>
      <c r="M36" s="1170" t="n">
        <v>20</v>
      </c>
      <c r="N36" s="1171">
        <f>N35-L36</f>
        <v/>
      </c>
      <c r="O36" s="1153">
        <f>$O$16*N36</f>
        <v/>
      </c>
    </row>
    <row r="37" ht="18.6" customHeight="1" s="1643">
      <c r="C37" s="1153" t="n"/>
      <c r="D37" s="1687" t="n"/>
      <c r="E37" s="1687" t="n"/>
      <c r="F37" s="1687" t="n"/>
      <c r="G37" s="1687" t="n"/>
      <c r="H37" s="1687" t="n"/>
      <c r="I37" s="1688" t="n"/>
      <c r="K37" s="1679" t="n"/>
      <c r="L37" s="1174">
        <f>$N$13</f>
        <v/>
      </c>
      <c r="M37" s="1153" t="n">
        <v>21</v>
      </c>
      <c r="N37" s="1166">
        <f>N36-L37</f>
        <v/>
      </c>
      <c r="O37" s="1153">
        <f>$O$16*N37</f>
        <v/>
      </c>
    </row>
    <row r="38" ht="18.6" customHeight="1" s="1643">
      <c r="C38" s="1313" t="inlineStr">
        <is>
          <t>平均值</t>
        </is>
      </c>
      <c r="D38" s="1693" t="n"/>
      <c r="E38" s="1688" t="n"/>
      <c r="F38" s="1693" t="n"/>
      <c r="G38" s="1688" t="n"/>
      <c r="H38" s="1691" t="n"/>
      <c r="I38" s="1688" t="n"/>
      <c r="J38" s="1679" t="n"/>
      <c r="K38" s="1679" t="n"/>
      <c r="L38" s="1174">
        <f>$N$13</f>
        <v/>
      </c>
      <c r="M38" s="1153" t="n">
        <v>22</v>
      </c>
      <c r="N38" s="1166">
        <f>N37-L38</f>
        <v/>
      </c>
      <c r="O38" s="1153">
        <f>$O$16*N38</f>
        <v/>
      </c>
    </row>
    <row r="39" ht="18.6" customHeight="1" s="1643">
      <c r="C39" s="23" t="n"/>
      <c r="D39" s="1679" t="n"/>
      <c r="E39" s="1679" t="n"/>
      <c r="F39" s="1679" t="n"/>
      <c r="G39" s="1679" t="n"/>
      <c r="H39" s="1679" t="n"/>
      <c r="I39" s="1679" t="n"/>
      <c r="J39" s="1679" t="n"/>
      <c r="K39" s="1679" t="n"/>
      <c r="L39" s="1174">
        <f>$N$13</f>
        <v/>
      </c>
      <c r="M39" s="1153" t="n">
        <v>23</v>
      </c>
      <c r="N39" s="1166">
        <f>N38-L39</f>
        <v/>
      </c>
      <c r="O39" s="1153">
        <f>$O$16*N39</f>
        <v/>
      </c>
    </row>
    <row r="40" ht="18.6" customHeight="1" s="1643">
      <c r="G40" s="1679" t="n"/>
      <c r="L40" s="1174">
        <f>$N$13</f>
        <v/>
      </c>
      <c r="M40" s="1153" t="n">
        <v>24</v>
      </c>
      <c r="N40" s="1166">
        <f>N39-L40</f>
        <v/>
      </c>
      <c r="O40" s="1153">
        <f>$O$16*N40</f>
        <v/>
      </c>
    </row>
    <row r="41" ht="18.6" customHeight="1" s="1643">
      <c r="L41" s="1175">
        <f>$N$13</f>
        <v/>
      </c>
      <c r="M41" s="1170" t="n">
        <v>25</v>
      </c>
      <c r="N41" s="1171">
        <f>N40-L41</f>
        <v/>
      </c>
      <c r="O41" s="1153">
        <f>$O$16*N41</f>
        <v/>
      </c>
    </row>
    <row r="42" ht="15.75" customHeight="1" s="1643">
      <c r="O42" s="1679" t="n"/>
      <c r="P42" s="1679" t="n"/>
    </row>
    <row r="43" ht="15.75" customHeight="1" s="1643">
      <c r="O43" s="1679" t="n"/>
      <c r="P43" s="1679" t="n"/>
    </row>
    <row r="44" ht="15.75" customHeight="1" s="1643">
      <c r="N44" s="1679" t="n"/>
      <c r="O44" s="1679" t="n"/>
      <c r="P44" s="1679" t="n"/>
    </row>
    <row r="45">
      <c r="J45" s="1679" t="n"/>
      <c r="K45" s="1679" t="n"/>
      <c r="L45" s="1679" t="n"/>
      <c r="M45" s="1679" t="n"/>
      <c r="N45" s="1679" t="n"/>
      <c r="O45" s="1679" t="n"/>
      <c r="P45" s="1679" t="n"/>
    </row>
    <row r="46">
      <c r="J46" s="1679" t="n"/>
      <c r="K46" s="1679" t="n"/>
      <c r="L46" s="1679" t="n"/>
    </row>
    <row r="47">
      <c r="J47" s="1679" t="n"/>
      <c r="K47" s="1679" t="n"/>
      <c r="L47" s="1679" t="n"/>
    </row>
    <row r="48">
      <c r="J48" s="1679" t="n"/>
      <c r="K48" s="1679" t="n"/>
      <c r="L48" s="1679" t="n"/>
    </row>
    <row r="49">
      <c r="H49" s="1679" t="n"/>
      <c r="I49" s="1679" t="n"/>
      <c r="J49" s="1679" t="n"/>
      <c r="K49" s="1679" t="n"/>
      <c r="L49" s="1679" t="n"/>
    </row>
    <row r="50">
      <c r="G50" s="1679" t="n"/>
      <c r="H50" s="1679" t="n"/>
      <c r="I50" s="1679" t="n"/>
      <c r="J50" s="1679" t="n"/>
      <c r="K50" s="1679" t="n"/>
      <c r="L50" s="1679" t="n"/>
    </row>
    <row r="51">
      <c r="C51" s="23" t="n"/>
      <c r="D51" s="1679" t="n"/>
      <c r="E51" s="1679" t="n"/>
      <c r="F51" s="1679" t="n"/>
      <c r="G51" s="1679" t="n"/>
      <c r="J51" s="1679" t="n"/>
      <c r="K51" s="1679" t="n"/>
      <c r="L51" s="1679" t="n"/>
    </row>
    <row r="53">
      <c r="F53" s="1679" t="n"/>
    </row>
    <row r="54">
      <c r="F54" s="1679" t="n"/>
    </row>
    <row r="68">
      <c r="Q68" s="1321" t="n"/>
      <c r="R68" s="1321" t="n"/>
    </row>
    <row r="69">
      <c r="P69" s="1321" t="n"/>
    </row>
    <row r="73" ht="15" customHeight="1" s="1643">
      <c r="C73" s="19" t="n"/>
      <c r="D73" s="19" t="n"/>
      <c r="E73" s="19" t="n"/>
    </row>
    <row r="74" ht="15" customHeight="1" s="1643">
      <c r="C74" s="19" t="n"/>
      <c r="D74" s="19" t="n"/>
      <c r="E74" s="19" t="n"/>
    </row>
    <row r="75" ht="15" customHeight="1" s="1643"/>
    <row r="76" ht="15" customHeight="1" s="1643"/>
    <row r="77" ht="15" customHeight="1" s="1643"/>
    <row r="78" ht="15" customHeight="1" s="1643"/>
    <row r="79" ht="15" customHeight="1" s="1643"/>
    <row r="80" ht="15" customHeight="1" s="1643"/>
    <row r="81" ht="15" customHeight="1" s="1643"/>
    <row r="82" ht="15" customHeight="1" s="1643"/>
    <row r="83" ht="15" customHeight="1" s="1643"/>
    <row r="84" ht="15" customHeight="1" s="1643"/>
    <row r="85" ht="15" customHeight="1" s="1643"/>
    <row r="86" ht="15" customHeight="1" s="1643"/>
    <row r="87" ht="15" customHeight="1" s="1643"/>
    <row r="88" ht="15" customHeight="1" s="1643"/>
    <row r="89" ht="15" customHeight="1" s="1643"/>
    <row r="90" ht="15" customHeight="1" s="1643"/>
    <row r="91" ht="6" customHeight="1" s="1643"/>
    <row r="92" ht="15" customHeight="1" s="1643"/>
    <row r="93" ht="30.75" customHeight="1" s="1643"/>
    <row r="106" ht="23.25" customHeight="1" s="1643"/>
  </sheetData>
  <mergeCells count="70">
    <mergeCell ref="D20:E20"/>
    <mergeCell ref="H35:I35"/>
    <mergeCell ref="H20:I20"/>
    <mergeCell ref="H38:I38"/>
    <mergeCell ref="F29:G29"/>
    <mergeCell ref="F16:G16"/>
    <mergeCell ref="H29:I29"/>
    <mergeCell ref="D34:E34"/>
    <mergeCell ref="D19:E19"/>
    <mergeCell ref="F25:G25"/>
    <mergeCell ref="F34:G34"/>
    <mergeCell ref="F19:G19"/>
    <mergeCell ref="L12:L13"/>
    <mergeCell ref="D22:E22"/>
    <mergeCell ref="H31:I31"/>
    <mergeCell ref="D36:E36"/>
    <mergeCell ref="D31:E31"/>
    <mergeCell ref="C37:I37"/>
    <mergeCell ref="D21:E21"/>
    <mergeCell ref="F21:G21"/>
    <mergeCell ref="H34:I34"/>
    <mergeCell ref="H25:I25"/>
    <mergeCell ref="H21:I21"/>
    <mergeCell ref="F30:G30"/>
    <mergeCell ref="F24:G24"/>
    <mergeCell ref="D27:E27"/>
    <mergeCell ref="F20:G20"/>
    <mergeCell ref="F18:G18"/>
    <mergeCell ref="F33:G33"/>
    <mergeCell ref="D32:E32"/>
    <mergeCell ref="F36:G36"/>
    <mergeCell ref="H36:I36"/>
    <mergeCell ref="F32:G32"/>
    <mergeCell ref="F26:G26"/>
    <mergeCell ref="D17:E17"/>
    <mergeCell ref="F17:G17"/>
    <mergeCell ref="F35:G35"/>
    <mergeCell ref="H17:I17"/>
    <mergeCell ref="D15:I15"/>
    <mergeCell ref="D16:E16"/>
    <mergeCell ref="F38:G38"/>
    <mergeCell ref="H16:I16"/>
    <mergeCell ref="H32:I32"/>
    <mergeCell ref="F23:G23"/>
    <mergeCell ref="F31:G31"/>
    <mergeCell ref="D28:E28"/>
    <mergeCell ref="H19:I19"/>
    <mergeCell ref="F28:G28"/>
    <mergeCell ref="F22:G22"/>
    <mergeCell ref="H28:I28"/>
    <mergeCell ref="H22:I22"/>
    <mergeCell ref="D18:E18"/>
    <mergeCell ref="F27:G27"/>
    <mergeCell ref="H27:I27"/>
    <mergeCell ref="D25:E25"/>
    <mergeCell ref="D30:E30"/>
    <mergeCell ref="D24:E24"/>
    <mergeCell ref="D33:E33"/>
    <mergeCell ref="R68:S68"/>
    <mergeCell ref="D29:E29"/>
    <mergeCell ref="H24:I24"/>
    <mergeCell ref="H18:I18"/>
    <mergeCell ref="H33:I33"/>
    <mergeCell ref="D38:E38"/>
    <mergeCell ref="D23:E23"/>
    <mergeCell ref="H23:I23"/>
    <mergeCell ref="D26:E26"/>
    <mergeCell ref="H30:I30"/>
    <mergeCell ref="D35:E35"/>
    <mergeCell ref="H26:I26"/>
  </mergeCells>
  <dataValidations count="1">
    <dataValidation sqref="D3:D4" showDropDown="0" showInputMessage="1" showErrorMessage="1" allowBlank="0" type="list">
      <formula1>#REF!</formula1>
    </dataValidation>
  </dataValidation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U220"/>
  <sheetViews>
    <sheetView showGridLines="0" zoomScale="70" zoomScaleNormal="70" workbookViewId="0">
      <pane xSplit="1" ySplit="4" topLeftCell="B134" activePane="bottomRight" state="frozen"/>
      <selection pane="topRight" activeCell="B1" sqref="B1"/>
      <selection pane="bottomLeft" activeCell="A5" sqref="A5"/>
      <selection pane="bottomRight" activeCell="P179" sqref="P179"/>
    </sheetView>
  </sheetViews>
  <sheetFormatPr baseColWidth="8" defaultColWidth="9" defaultRowHeight="16.5"/>
  <cols>
    <col width="2.125" customWidth="1" style="1643" min="1" max="1"/>
    <col width="10.375" customWidth="1" style="4" min="2" max="2"/>
    <col width="8.125" customWidth="1" style="4" min="3" max="3"/>
    <col width="12" customWidth="1" style="4" min="4" max="4"/>
    <col width="24.75" customWidth="1" style="4" min="5" max="5"/>
    <col width="15" customWidth="1" style="4" min="6" max="6"/>
    <col width="6.125" customWidth="1" style="4" min="7" max="7"/>
    <col width="11.25" bestFit="1" customWidth="1" style="4" min="8" max="8"/>
    <col width="5.625" customWidth="1" style="4" min="9" max="9"/>
    <col width="11.25" customWidth="1" style="4" min="10" max="10"/>
    <col width="12.5" customWidth="1" style="4" min="11" max="11"/>
    <col width="9.375" customWidth="1" style="4" min="12" max="12"/>
    <col width="14.375" customWidth="1" style="1694" min="13" max="13"/>
    <col width="13.625" customWidth="1" style="1694" min="14" max="14"/>
    <col width="15.25" customWidth="1" style="1694" min="15" max="15"/>
    <col width="29.25" bestFit="1" customWidth="1" style="1694" min="16" max="16"/>
    <col width="10" customWidth="1" style="1694" min="17" max="17"/>
    <col width="6.625" customWidth="1" style="1694" min="18" max="18"/>
    <col width="9.875" customWidth="1" style="1694" min="19" max="19"/>
    <col width="51.875" customWidth="1" style="4" min="20" max="20"/>
    <col width="1.75" customWidth="1" style="4" min="21" max="21"/>
  </cols>
  <sheetData>
    <row r="1" ht="7.5" customHeight="1" s="1643" thickBot="1">
      <c r="B1" s="0" t="n"/>
      <c r="C1" s="1321" t="n"/>
      <c r="D1" s="1321" t="n"/>
      <c r="E1" s="1321" t="n"/>
      <c r="J1" s="0" t="n"/>
      <c r="K1" s="0" t="n"/>
      <c r="L1" s="0" t="n"/>
      <c r="M1" s="0" t="n"/>
      <c r="N1" s="1695" t="n"/>
      <c r="O1" s="1696" t="n"/>
      <c r="P1" s="1696" t="n"/>
      <c r="Q1" s="1696" t="n"/>
      <c r="R1" s="1696" t="n"/>
      <c r="S1" s="1696" t="n"/>
    </row>
    <row r="2" ht="24.75" customHeight="1" s="1643">
      <c r="B2" s="1697">
        <f>#REF!</f>
        <v/>
      </c>
      <c r="C2" s="1698" t="n"/>
      <c r="D2" s="1699">
        <f>#REF!</f>
        <v/>
      </c>
      <c r="E2" s="1700" t="inlineStr">
        <is>
          <t>kW系統設置成本分析</t>
        </is>
      </c>
      <c r="F2" s="1701" t="inlineStr">
        <is>
          <t>工程利潤
(未稅售價-未稅成本)
/未稅售價</t>
        </is>
      </c>
      <c r="G2" s="1698" t="n"/>
      <c r="H2" s="1702">
        <f>($M$175-$O$175)/$M$175</f>
        <v/>
      </c>
      <c r="I2" s="1703" t="n"/>
      <c r="J2" s="1701" t="inlineStr">
        <is>
          <t>實際利潤
(未稅售價-未稅成本)
/未稅售價</t>
        </is>
      </c>
      <c r="K2" s="1698" t="n"/>
      <c r="L2" s="1704">
        <f>($M$175-$P$175)/$M$175</f>
        <v/>
      </c>
      <c r="N2" s="1705" t="n"/>
      <c r="O2" s="1705" t="n"/>
      <c r="P2" s="1705" t="n"/>
      <c r="Q2" s="1705" t="n"/>
      <c r="R2" s="1705" t="n"/>
      <c r="S2" s="1705" t="n"/>
      <c r="T2" s="177" t="n"/>
    </row>
    <row r="3" ht="27" customHeight="1" s="1643" thickBot="1">
      <c r="B3" s="1706" t="n"/>
      <c r="C3" s="1707" t="n"/>
      <c r="D3" s="1707" t="n"/>
      <c r="E3" s="1707" t="n"/>
      <c r="F3" s="1706" t="n"/>
      <c r="G3" s="1707" t="n"/>
      <c r="H3" s="1708" t="n"/>
      <c r="I3" s="178" t="n"/>
      <c r="J3" s="1706" t="n"/>
      <c r="K3" s="1707" t="n"/>
      <c r="L3" s="1708" t="n"/>
      <c r="M3" s="295" t="n"/>
      <c r="N3" s="1696" t="n"/>
      <c r="O3" s="1696" t="n"/>
      <c r="Q3" s="1696" t="n"/>
      <c r="R3" s="1696" t="n"/>
      <c r="S3" s="1696" t="n"/>
    </row>
    <row r="4" ht="38.25" customHeight="1" s="1643" thickBot="1">
      <c r="B4" s="1396" t="inlineStr">
        <is>
          <t>編號</t>
        </is>
      </c>
      <c r="C4" s="1709" t="inlineStr">
        <is>
          <t>名  稱</t>
        </is>
      </c>
      <c r="D4" s="1710" t="n"/>
      <c r="E4" s="1711" t="n"/>
      <c r="F4" s="1712" t="inlineStr">
        <is>
          <t>業務報價用
(單價NTD)</t>
        </is>
      </c>
      <c r="G4" s="255" t="inlineStr">
        <is>
          <t>業務
倍率</t>
        </is>
      </c>
      <c r="H4" s="1713" t="inlineStr">
        <is>
          <t>PM buffer
(單價NTD)</t>
        </is>
      </c>
      <c r="I4" s="1714" t="inlineStr">
        <is>
          <t>PM
倍率</t>
        </is>
      </c>
      <c r="J4" s="1715" t="inlineStr">
        <is>
          <t>實際單價
(NTD)</t>
        </is>
      </c>
      <c r="K4" s="42" t="inlineStr">
        <is>
          <t>數量</t>
        </is>
      </c>
      <c r="L4" s="42" t="inlineStr">
        <is>
          <t>單位</t>
        </is>
      </c>
      <c r="M4" s="1713" t="inlineStr">
        <is>
          <t>業務報價
(NTD)</t>
        </is>
      </c>
      <c r="N4" s="1713" t="inlineStr">
        <is>
          <t>PM buffer
(NTD)</t>
        </is>
      </c>
      <c r="O4" s="1716" t="inlineStr">
        <is>
          <t>預估成本
(NTD)</t>
        </is>
      </c>
      <c r="P4" s="1712" t="inlineStr">
        <is>
          <t>實際報價</t>
        </is>
      </c>
      <c r="Q4" s="1400" t="inlineStr">
        <is>
          <t>備              註</t>
        </is>
      </c>
      <c r="R4" s="1710" t="n"/>
      <c r="S4" s="1710" t="n"/>
      <c r="T4" s="1711" t="n"/>
    </row>
    <row r="5" ht="19.5" customHeight="1" s="1643">
      <c r="B5" s="67" t="inlineStr">
        <is>
          <t>模組及逆變器</t>
        </is>
      </c>
      <c r="C5" s="55" t="n"/>
      <c r="D5" s="55" t="n"/>
      <c r="E5" s="55" t="n"/>
      <c r="F5" s="1717" t="n"/>
      <c r="G5" s="1717" t="n"/>
      <c r="H5" s="1717" t="n"/>
      <c r="I5" s="1717" t="n"/>
      <c r="J5" s="1718" t="n"/>
      <c r="K5" s="58" t="n"/>
      <c r="L5" s="58" t="n"/>
      <c r="M5" s="1717" t="n"/>
      <c r="N5" s="1717" t="n"/>
      <c r="O5" s="1719" t="n"/>
      <c r="P5" s="1720" t="n"/>
      <c r="Q5" s="1717" t="n"/>
      <c r="R5" s="1717" t="n"/>
      <c r="S5" s="1717" t="n"/>
      <c r="T5" s="59" t="n"/>
    </row>
    <row r="6" ht="16.5" customHeight="1" s="1643">
      <c r="B6" s="1208" t="n">
        <v>1</v>
      </c>
      <c r="C6" s="1721" t="inlineStr">
        <is>
          <t>DCPV</t>
        </is>
      </c>
      <c r="D6" s="1687" t="n"/>
      <c r="E6" s="1688" t="n"/>
      <c r="F6" s="1722">
        <f>H6*G6</f>
        <v/>
      </c>
      <c r="G6" s="1723" t="n">
        <v>1.2</v>
      </c>
      <c r="H6" s="1722">
        <f>I6*J6</f>
        <v/>
      </c>
      <c r="I6" s="1724" t="n">
        <v>1.05</v>
      </c>
      <c r="J6" s="1725">
        <f>模組!E3*模組!D3*#REF!</f>
        <v/>
      </c>
      <c r="K6" s="1211">
        <f>#REF!</f>
        <v/>
      </c>
      <c r="L6" s="1205" t="inlineStr">
        <is>
          <t>片</t>
        </is>
      </c>
      <c r="M6" s="1726">
        <f>F6*K6</f>
        <v/>
      </c>
      <c r="N6" s="1726">
        <f>H6*K6</f>
        <v/>
      </c>
      <c r="O6" s="1727">
        <f>J6*K6</f>
        <v/>
      </c>
      <c r="P6" s="1728" t="n"/>
      <c r="Q6" s="1729" t="n"/>
      <c r="R6" s="1729" t="n"/>
      <c r="S6" s="1730" t="n"/>
      <c r="T6" s="1731" t="n"/>
    </row>
    <row r="7" ht="17.25" customHeight="1" s="1643">
      <c r="B7" s="45" t="n">
        <v>2</v>
      </c>
      <c r="C7" s="1732" t="inlineStr">
        <is>
          <t>Micro Inverter</t>
        </is>
      </c>
      <c r="D7" s="1687" t="n"/>
      <c r="E7" s="1688" t="n"/>
      <c r="F7" s="1733">
        <f>H7*G7</f>
        <v/>
      </c>
      <c r="G7" s="1734" t="n">
        <v>1.7</v>
      </c>
      <c r="H7" s="1733">
        <f>I7*J7</f>
        <v/>
      </c>
      <c r="I7" s="1735" t="n">
        <v>1.05</v>
      </c>
      <c r="J7" s="1736">
        <f>微逆變!E3*#REF!</f>
        <v/>
      </c>
      <c r="K7" s="406" t="n">
        <v>0</v>
      </c>
      <c r="L7" s="808" t="inlineStr">
        <is>
          <t>台</t>
        </is>
      </c>
      <c r="M7" s="1737">
        <f>F7*K7</f>
        <v/>
      </c>
      <c r="N7" s="1737">
        <f>H7*K7</f>
        <v/>
      </c>
      <c r="O7" s="1738">
        <f>J7*K7</f>
        <v/>
      </c>
      <c r="P7" s="1739" t="n"/>
      <c r="Q7" s="1740" t="n"/>
      <c r="R7" s="1688" t="n"/>
      <c r="S7" s="1741" t="n"/>
      <c r="T7" s="802" t="inlineStr">
        <is>
          <t>含inverter加工及配件</t>
        </is>
      </c>
    </row>
    <row r="8">
      <c r="B8" s="1208" t="n">
        <v>3</v>
      </c>
      <c r="C8" s="1742" t="inlineStr">
        <is>
          <t>String Iinverter</t>
        </is>
      </c>
      <c r="D8" s="1687" t="n"/>
      <c r="E8" s="1688" t="n"/>
      <c r="F8" s="1722">
        <f>H8*G8</f>
        <v/>
      </c>
      <c r="G8" s="1723" t="n">
        <v>1.2</v>
      </c>
      <c r="H8" s="1722">
        <f>I8*J8</f>
        <v/>
      </c>
      <c r="I8" s="1724" t="n">
        <v>1.05</v>
      </c>
      <c r="J8" s="1725">
        <f>逆變!F8</f>
        <v/>
      </c>
      <c r="K8" s="1211" t="n">
        <v>0</v>
      </c>
      <c r="L8" s="1205" t="inlineStr">
        <is>
          <t>式</t>
        </is>
      </c>
      <c r="M8" s="1726">
        <f>F8*K8</f>
        <v/>
      </c>
      <c r="N8" s="1726">
        <f>H8*K8</f>
        <v/>
      </c>
      <c r="O8" s="1727">
        <f>J8*K8</f>
        <v/>
      </c>
      <c r="P8" s="1743" t="n"/>
      <c r="Q8" s="1744" t="n"/>
      <c r="R8" s="1737" t="n"/>
      <c r="S8" s="1745" t="n"/>
      <c r="T8" s="802" t="inlineStr">
        <is>
          <t>x 牌 x 台 x KW;  x 牌 x 台 x KW</t>
        </is>
      </c>
    </row>
    <row r="9">
      <c r="B9" s="45" t="n">
        <v>4</v>
      </c>
      <c r="C9" s="1746" t="inlineStr">
        <is>
          <t>獨立Iinverter</t>
        </is>
      </c>
      <c r="D9" s="1687" t="n"/>
      <c r="E9" s="1688" t="n"/>
      <c r="F9" s="1733">
        <f>H9*G9</f>
        <v/>
      </c>
      <c r="G9" s="1734" t="n">
        <v>1.05</v>
      </c>
      <c r="H9" s="1733">
        <f>I9*J9</f>
        <v/>
      </c>
      <c r="I9" s="1735" t="n">
        <v>1.05</v>
      </c>
      <c r="J9" s="1733">
        <f>'(獨)逆變'!F3</f>
        <v/>
      </c>
      <c r="K9" s="352" t="n">
        <v>0</v>
      </c>
      <c r="L9" s="808" t="inlineStr">
        <is>
          <t>台</t>
        </is>
      </c>
      <c r="M9" s="1737">
        <f>F9*K9</f>
        <v/>
      </c>
      <c r="N9" s="1737">
        <f>H9*K9</f>
        <v/>
      </c>
      <c r="O9" s="1738">
        <f>J9*K9</f>
        <v/>
      </c>
      <c r="P9" s="1739" t="n"/>
      <c r="Q9" s="1744" t="n"/>
      <c r="R9" s="1737" t="n"/>
      <c r="S9" s="1745" t="n"/>
      <c r="T9" s="802" t="inlineStr">
        <is>
          <t>x 牌 x 台 x KW;  x 牌 x 台 x KW</t>
        </is>
      </c>
    </row>
    <row r="10">
      <c r="B10" s="830" t="n"/>
      <c r="C10" s="38" t="n"/>
      <c r="D10" s="38" t="n"/>
      <c r="E10" s="38" t="n"/>
      <c r="F10" s="1747" t="n"/>
      <c r="G10" s="1747" t="n"/>
      <c r="H10" s="1747" t="n"/>
      <c r="I10" s="1747" t="n"/>
      <c r="J10" s="1747" t="n"/>
      <c r="K10" s="37" t="n"/>
      <c r="L10" s="829" t="inlineStr">
        <is>
          <t>小計</t>
        </is>
      </c>
      <c r="M10" s="1748">
        <f>SUM(M6:M9)</f>
        <v/>
      </c>
      <c r="N10" s="1748">
        <f>SUM(N6:N9)</f>
        <v/>
      </c>
      <c r="O10" s="1749">
        <f>SUM(O6:O9)</f>
        <v/>
      </c>
      <c r="P10" s="1750" t="n"/>
      <c r="Q10" s="1748" t="n"/>
      <c r="R10" s="1748" t="n"/>
      <c r="S10" s="1748" t="n"/>
      <c r="T10" s="46" t="n"/>
    </row>
    <row r="11">
      <c r="B11" s="830" t="n"/>
      <c r="C11" s="38" t="n"/>
      <c r="D11" s="38" t="n"/>
      <c r="E11" s="38" t="n"/>
      <c r="F11" s="1747" t="n"/>
      <c r="G11" s="1747" t="n"/>
      <c r="H11" s="1747" t="n"/>
      <c r="I11" s="1747" t="n"/>
      <c r="J11" s="1747" t="n"/>
      <c r="K11" s="37" t="n"/>
      <c r="L11" s="829" t="inlineStr">
        <is>
          <t>平均1KW(未稅)</t>
        </is>
      </c>
      <c r="M11" s="1748">
        <f>M10/$D$2</f>
        <v/>
      </c>
      <c r="N11" s="1748">
        <f>N10/$D$2</f>
        <v/>
      </c>
      <c r="O11" s="1749">
        <f>O10/$D$2</f>
        <v/>
      </c>
      <c r="P11" s="1750" t="n"/>
      <c r="Q11" s="1748" t="n"/>
      <c r="R11" s="1748" t="n"/>
      <c r="S11" s="1748" t="n"/>
      <c r="T11" s="46" t="n"/>
    </row>
    <row r="12">
      <c r="B12" s="66" t="inlineStr">
        <is>
          <t>文件&amp;行政</t>
        </is>
      </c>
      <c r="C12" s="49" t="n"/>
      <c r="D12" s="49" t="n"/>
      <c r="E12" s="49" t="n"/>
      <c r="F12" s="1751" t="n"/>
      <c r="G12" s="1751" t="n"/>
      <c r="H12" s="1751" t="n"/>
      <c r="I12" s="1751" t="n"/>
      <c r="J12" s="1751" t="n"/>
      <c r="K12" s="51" t="n"/>
      <c r="L12" s="52" t="n"/>
      <c r="M12" s="1752" t="n"/>
      <c r="N12" s="1752" t="n"/>
      <c r="O12" s="1753" t="n"/>
      <c r="P12" s="1754" t="n"/>
      <c r="Q12" s="1752" t="n"/>
      <c r="R12" s="1752" t="n"/>
      <c r="S12" s="1752" t="n"/>
      <c r="T12" s="54" t="n"/>
    </row>
    <row r="13">
      <c r="B13" s="1235" t="n">
        <v>1</v>
      </c>
      <c r="C13" s="1742" t="inlineStr">
        <is>
          <t>市電躉售併聯申請</t>
        </is>
      </c>
      <c r="D13" s="1687" t="n"/>
      <c r="E13" s="1688" t="n"/>
      <c r="F13" s="1722">
        <f>H13*G13</f>
        <v/>
      </c>
      <c r="G13" s="1723" t="n">
        <v>1.2</v>
      </c>
      <c r="H13" s="1722">
        <f>I13*J13</f>
        <v/>
      </c>
      <c r="I13" s="1724" t="n">
        <v>1.05</v>
      </c>
      <c r="J13" s="1725">
        <f>IF(D2&lt;100,行政!D20,行政!D3)*0+行政!D3</f>
        <v/>
      </c>
      <c r="K13" s="1213" t="n"/>
      <c r="L13" s="1214" t="inlineStr">
        <is>
          <t>式</t>
        </is>
      </c>
      <c r="M13" s="1755">
        <f>F13*K13</f>
        <v/>
      </c>
      <c r="N13" s="1755">
        <f>H13*K13</f>
        <v/>
      </c>
      <c r="O13" s="1756">
        <f>J13*K13</f>
        <v/>
      </c>
      <c r="P13" s="1757" t="n"/>
      <c r="Q13" s="1758" t="inlineStr">
        <is>
          <t>單期500~2MW $86000/式</t>
        </is>
      </c>
      <c r="R13" s="1759" t="n"/>
      <c r="S13" s="1759" t="n"/>
      <c r="T13" s="802" t="inlineStr">
        <is>
          <t>工程圖說需有甲級蓋章</t>
        </is>
      </c>
      <c r="U13" s="36" t="n"/>
    </row>
    <row r="14">
      <c r="B14" s="1212" t="n">
        <v>2</v>
      </c>
      <c r="C14" s="1742" t="inlineStr">
        <is>
          <t>結構技師簽證</t>
        </is>
      </c>
      <c r="D14" s="1687" t="n"/>
      <c r="E14" s="1688" t="n"/>
      <c r="F14" s="1722">
        <f>H14*G14</f>
        <v/>
      </c>
      <c r="G14" s="1723" t="n">
        <v>1.2</v>
      </c>
      <c r="H14" s="1722">
        <f>I14*J14</f>
        <v/>
      </c>
      <c r="I14" s="1724" t="n">
        <v>1.05</v>
      </c>
      <c r="J14" s="1725">
        <f>行政!D7*0+D2*80</f>
        <v/>
      </c>
      <c r="K14" s="1211" t="n"/>
      <c r="L14" s="1205" t="inlineStr">
        <is>
          <t>式</t>
        </is>
      </c>
      <c r="M14" s="1726">
        <f>F14*K14</f>
        <v/>
      </c>
      <c r="N14" s="1726">
        <f>H14*K14</f>
        <v/>
      </c>
      <c r="O14" s="1727">
        <f>J14*K14</f>
        <v/>
      </c>
      <c r="P14" s="1739" t="n"/>
      <c r="Q14" s="1760" t="inlineStr">
        <is>
          <t>80/kW</t>
        </is>
      </c>
      <c r="R14" s="1745" t="n"/>
      <c r="S14" s="1745" t="n"/>
      <c r="T14" s="802" t="inlineStr">
        <is>
          <t>含結構計算及完竣表</t>
        </is>
      </c>
    </row>
    <row r="15">
      <c r="B15" s="1212" t="n">
        <v>3</v>
      </c>
      <c r="C15" s="1742" t="inlineStr">
        <is>
          <t>電機技師簽證費(100KW以上需要)</t>
        </is>
      </c>
      <c r="D15" s="1687" t="n"/>
      <c r="E15" s="1688" t="n"/>
      <c r="F15" s="1722">
        <f>H15*G15</f>
        <v/>
      </c>
      <c r="G15" s="1723" t="n">
        <v>1.2</v>
      </c>
      <c r="H15" s="1722">
        <f>I15*J15</f>
        <v/>
      </c>
      <c r="I15" s="1724" t="n">
        <v>1.05</v>
      </c>
      <c r="J15" s="1725">
        <f>IF(D2&lt;500,行政!D54,行政!D54+IF((D2-500)&lt;500,行政!D54,IF((D2-500)&lt;=1000,行政!D56,IF((D2-500)&lt;=1500,行政!D57,IF((D2-500)&lt;=2000,行政!D58)))))*0+行政!D11</f>
        <v/>
      </c>
      <c r="K15" s="1211" t="n"/>
      <c r="L15" s="1205" t="inlineStr">
        <is>
          <t>式</t>
        </is>
      </c>
      <c r="M15" s="1726">
        <f>F15*K15</f>
        <v/>
      </c>
      <c r="N15" s="1726">
        <f>H15*K15</f>
        <v/>
      </c>
      <c r="O15" s="1727">
        <f>J15*K15</f>
        <v/>
      </c>
      <c r="P15" s="1739" t="n"/>
      <c r="Q15" s="1744" t="n"/>
      <c r="R15" s="1745" t="n"/>
      <c r="S15" s="1745" t="n"/>
      <c r="T15" s="802" t="n"/>
    </row>
    <row r="16">
      <c r="B16" s="810" t="n">
        <v>4</v>
      </c>
      <c r="C16" s="1732" t="inlineStr">
        <is>
          <t>電機技師簽證費(APS簽證)</t>
        </is>
      </c>
      <c r="D16" s="1687" t="n"/>
      <c r="E16" s="1688" t="n"/>
      <c r="F16" s="1733">
        <f>H16*G16</f>
        <v/>
      </c>
      <c r="G16" s="1734" t="n">
        <v>1.05</v>
      </c>
      <c r="H16" s="1733">
        <f>I16*J16</f>
        <v/>
      </c>
      <c r="I16" s="1735" t="n">
        <v>1.05</v>
      </c>
      <c r="J16" s="1736">
        <f>行政!D55</f>
        <v/>
      </c>
      <c r="K16" s="406" t="n"/>
      <c r="L16" s="808" t="inlineStr">
        <is>
          <t>式</t>
        </is>
      </c>
      <c r="M16" s="1737">
        <f>F16*K16</f>
        <v/>
      </c>
      <c r="N16" s="1737">
        <f>H16*K16</f>
        <v/>
      </c>
      <c r="O16" s="1738">
        <f>J16*K16</f>
        <v/>
      </c>
      <c r="P16" s="1739" t="n"/>
      <c r="Q16" s="1744" t="n"/>
      <c r="R16" s="1745" t="n"/>
      <c r="S16" s="1745" t="n"/>
      <c r="T16" s="802" t="inlineStr">
        <is>
          <t>100kW↓</t>
        </is>
      </c>
    </row>
    <row r="17">
      <c r="B17" s="1212" t="n">
        <v>5</v>
      </c>
      <c r="C17" s="1742" t="inlineStr">
        <is>
          <t>太陽光電乙級技術士簽證</t>
        </is>
      </c>
      <c r="D17" s="1687" t="n"/>
      <c r="E17" s="1688" t="n"/>
      <c r="F17" s="1722">
        <f>H17*G17</f>
        <v/>
      </c>
      <c r="G17" s="1723" t="n">
        <v>1.2</v>
      </c>
      <c r="H17" s="1722">
        <f>I17*J17</f>
        <v/>
      </c>
      <c r="I17" s="1724" t="n">
        <v>1.05</v>
      </c>
      <c r="J17" s="1722">
        <f>行政!D65</f>
        <v/>
      </c>
      <c r="K17" s="1204" t="n"/>
      <c r="L17" s="1205" t="inlineStr">
        <is>
          <t>式</t>
        </is>
      </c>
      <c r="M17" s="1726">
        <f>F17*K17</f>
        <v/>
      </c>
      <c r="N17" s="1726">
        <f>H17*K17</f>
        <v/>
      </c>
      <c r="O17" s="1727">
        <f>J17*K17</f>
        <v/>
      </c>
      <c r="P17" s="1739" t="n"/>
      <c r="Q17" s="1744" t="n"/>
      <c r="R17" s="1745" t="n"/>
      <c r="S17" s="1745" t="n"/>
      <c r="T17" s="802" t="inlineStr">
        <is>
          <t>100kW↓</t>
        </is>
      </c>
    </row>
    <row r="18">
      <c r="B18" s="810" t="n"/>
      <c r="C18" s="1732" t="n"/>
      <c r="D18" s="1687" t="n"/>
      <c r="E18" s="1688" t="n"/>
      <c r="F18" s="1733">
        <f>H18*G18</f>
        <v/>
      </c>
      <c r="G18" s="1761" t="n">
        <v>1.05</v>
      </c>
      <c r="H18" s="1733">
        <f>I18*J18</f>
        <v/>
      </c>
      <c r="I18" s="1762" t="n">
        <v>1.05</v>
      </c>
      <c r="J18" s="1733" t="n"/>
      <c r="K18" s="260" t="n"/>
      <c r="L18" s="808" t="inlineStr">
        <is>
          <t>式</t>
        </is>
      </c>
      <c r="M18" s="1737">
        <f>F18*K18</f>
        <v/>
      </c>
      <c r="N18" s="1737">
        <f>H18*K18</f>
        <v/>
      </c>
      <c r="O18" s="1738">
        <f>J18*K18</f>
        <v/>
      </c>
      <c r="P18" s="1739" t="n"/>
      <c r="Q18" s="1744" t="n"/>
      <c r="R18" s="1745" t="n"/>
      <c r="S18" s="1745" t="n"/>
      <c r="T18" s="802" t="n"/>
    </row>
    <row r="19">
      <c r="B19" s="830" t="n"/>
      <c r="C19" s="827" t="n"/>
      <c r="D19" s="827" t="n"/>
      <c r="E19" s="827" t="n"/>
      <c r="F19" s="1747" t="n"/>
      <c r="G19" s="1747" t="n"/>
      <c r="H19" s="1747" t="n"/>
      <c r="I19" s="1747" t="n"/>
      <c r="J19" s="1747" t="n"/>
      <c r="K19" s="37" t="n"/>
      <c r="L19" s="829" t="inlineStr">
        <is>
          <t>小計</t>
        </is>
      </c>
      <c r="M19" s="1748">
        <f>SUM(M13:M17)</f>
        <v/>
      </c>
      <c r="N19" s="1748">
        <f>SUM(N13:N17)</f>
        <v/>
      </c>
      <c r="O19" s="1749">
        <f>SUM(O13:O18)</f>
        <v/>
      </c>
      <c r="P19" s="1750" t="n"/>
      <c r="Q19" s="1748" t="n"/>
      <c r="R19" s="1748" t="n"/>
      <c r="S19" s="1748" t="n"/>
      <c r="T19" s="46" t="n"/>
    </row>
    <row r="20">
      <c r="B20" s="830" t="n"/>
      <c r="C20" s="827" t="n"/>
      <c r="D20" s="827" t="n"/>
      <c r="E20" s="827" t="n"/>
      <c r="F20" s="1747" t="n"/>
      <c r="G20" s="1747" t="n"/>
      <c r="H20" s="1747" t="n"/>
      <c r="I20" s="1747" t="n"/>
      <c r="J20" s="1747" t="n"/>
      <c r="K20" s="37" t="n"/>
      <c r="L20" s="829" t="inlineStr">
        <is>
          <t>平均1KW(未稅)</t>
        </is>
      </c>
      <c r="M20" s="1748">
        <f>M19/$D$2</f>
        <v/>
      </c>
      <c r="N20" s="1748">
        <f>N19/$D$2</f>
        <v/>
      </c>
      <c r="O20" s="1749">
        <f>O19/$D$2</f>
        <v/>
      </c>
      <c r="P20" s="1750" t="n"/>
      <c r="Q20" s="1748" t="n"/>
      <c r="R20" s="1748" t="n"/>
      <c r="S20" s="1748" t="n"/>
      <c r="T20" s="46" t="n"/>
    </row>
    <row r="21">
      <c r="B21" s="222" t="inlineStr">
        <is>
          <t>設計監造</t>
        </is>
      </c>
      <c r="C21" s="49" t="n"/>
      <c r="D21" s="49" t="n"/>
      <c r="E21" s="49" t="n"/>
      <c r="F21" s="1751" t="n"/>
      <c r="G21" s="1751" t="n"/>
      <c r="H21" s="1751" t="n"/>
      <c r="I21" s="1751" t="n"/>
      <c r="J21" s="1751" t="n"/>
      <c r="K21" s="51" t="n"/>
      <c r="L21" s="52" t="n"/>
      <c r="M21" s="1752" t="n"/>
      <c r="N21" s="1752" t="n"/>
      <c r="O21" s="1753" t="n"/>
      <c r="P21" s="1754" t="n"/>
      <c r="Q21" s="1752" t="n"/>
      <c r="R21" s="1752" t="n"/>
      <c r="S21" s="1752" t="n"/>
      <c r="T21" s="54" t="n"/>
    </row>
    <row r="22">
      <c r="B22" s="810" t="n">
        <v>1</v>
      </c>
      <c r="C22" s="1746" t="inlineStr">
        <is>
          <t>系統設計監造及設計費</t>
        </is>
      </c>
      <c r="D22" s="1687" t="n"/>
      <c r="E22" s="1688" t="n"/>
      <c r="F22" s="1733">
        <f>H22*G22</f>
        <v/>
      </c>
      <c r="G22" s="1734" t="n">
        <v>1.05</v>
      </c>
      <c r="H22" s="1733">
        <f>I22*J22</f>
        <v/>
      </c>
      <c r="I22" s="1735" t="n">
        <v>1.05</v>
      </c>
      <c r="J22" s="1733" t="n">
        <v>50000</v>
      </c>
      <c r="K22" s="352" t="n">
        <v>0</v>
      </c>
      <c r="L22" s="808" t="inlineStr">
        <is>
          <t>式</t>
        </is>
      </c>
      <c r="M22" s="1737">
        <f>F22*K22</f>
        <v/>
      </c>
      <c r="N22" s="1737">
        <f>H22*K22</f>
        <v/>
      </c>
      <c r="O22" s="1763" t="n">
        <v>0</v>
      </c>
      <c r="P22" s="1764" t="n"/>
      <c r="Q22" s="1744" t="n"/>
      <c r="R22" s="1745" t="n"/>
      <c r="S22" s="1745" t="n"/>
      <c r="T22" s="802" t="inlineStr">
        <is>
          <t xml:space="preserve"> sinbon監造, sinbon設計電力系統(結構圖繪製,電力圖繪製)</t>
        </is>
      </c>
    </row>
    <row r="23">
      <c r="B23" s="810" t="n">
        <v>2</v>
      </c>
      <c r="C23" s="1765" t="inlineStr">
        <is>
          <t>開發費</t>
        </is>
      </c>
      <c r="D23" s="1687" t="n"/>
      <c r="E23" s="1688" t="n"/>
      <c r="F23" s="1733">
        <f>H23*G23</f>
        <v/>
      </c>
      <c r="G23" s="1734" t="n">
        <v>1</v>
      </c>
      <c r="H23" s="1733">
        <f>I23*J23</f>
        <v/>
      </c>
      <c r="I23" s="1735" t="n">
        <v>1</v>
      </c>
      <c r="J23" s="1736" t="n">
        <v>3000</v>
      </c>
      <c r="K23" s="1766" t="n">
        <v>0</v>
      </c>
      <c r="L23" s="808" t="inlineStr">
        <is>
          <t>KW</t>
        </is>
      </c>
      <c r="M23" s="1737">
        <f>F23*K23</f>
        <v/>
      </c>
      <c r="N23" s="1737">
        <f>H23*K23</f>
        <v/>
      </c>
      <c r="O23" s="1763">
        <f>J23*K23</f>
        <v/>
      </c>
      <c r="P23" s="1764" t="n"/>
      <c r="Q23" s="1744" t="n"/>
      <c r="R23" s="1745" t="n"/>
      <c r="S23" s="1745" t="n"/>
      <c r="T23" s="802" t="n"/>
    </row>
    <row r="24">
      <c r="B24" s="830" t="n"/>
      <c r="C24" s="827" t="n"/>
      <c r="D24" s="827" t="n"/>
      <c r="E24" s="827" t="n"/>
      <c r="F24" s="1747" t="n"/>
      <c r="G24" s="1747" t="n"/>
      <c r="H24" s="1747" t="n"/>
      <c r="I24" s="1747" t="n"/>
      <c r="J24" s="1747" t="n"/>
      <c r="K24" s="37" t="n"/>
      <c r="L24" s="829" t="inlineStr">
        <is>
          <t>小計</t>
        </is>
      </c>
      <c r="M24" s="1748">
        <f>SUM(M22:M23)</f>
        <v/>
      </c>
      <c r="N24" s="1748">
        <f>SUM(N22:N23)</f>
        <v/>
      </c>
      <c r="O24" s="1749">
        <f>SUM(O22:O23)</f>
        <v/>
      </c>
      <c r="P24" s="1750" t="n"/>
      <c r="Q24" s="1748" t="n"/>
      <c r="R24" s="1748" t="n"/>
      <c r="S24" s="1748" t="n"/>
      <c r="T24" s="46" t="n"/>
    </row>
    <row r="25">
      <c r="B25" s="830" t="n"/>
      <c r="C25" s="827" t="n"/>
      <c r="D25" s="827" t="n"/>
      <c r="E25" s="827" t="n"/>
      <c r="F25" s="1747" t="n"/>
      <c r="G25" s="1747" t="n"/>
      <c r="H25" s="1747" t="n"/>
      <c r="I25" s="1747" t="n"/>
      <c r="J25" s="1747" t="n"/>
      <c r="K25" s="37" t="n"/>
      <c r="L25" s="829" t="inlineStr">
        <is>
          <t>平均1KW(未稅)</t>
        </is>
      </c>
      <c r="M25" s="1748">
        <f>M24/$D$2</f>
        <v/>
      </c>
      <c r="N25" s="1748">
        <f>N24/$D$2</f>
        <v/>
      </c>
      <c r="O25" s="1749">
        <f>O24/$D$2</f>
        <v/>
      </c>
      <c r="P25" s="1750" t="n"/>
      <c r="Q25" s="1748" t="n"/>
      <c r="R25" s="1748" t="n"/>
      <c r="S25" s="1748" t="n"/>
      <c r="T25" s="46" t="n"/>
    </row>
    <row r="26">
      <c r="B26" s="1392" t="inlineStr">
        <is>
          <t>鋼料結構工程</t>
        </is>
      </c>
      <c r="C26" s="1767" t="n"/>
      <c r="D26" s="60" t="n"/>
      <c r="E26" s="60" t="n"/>
      <c r="F26" s="1751" t="n"/>
      <c r="G26" s="1751" t="n"/>
      <c r="H26" s="1751" t="n"/>
      <c r="I26" s="1751" t="n"/>
      <c r="J26" s="1751" t="n"/>
      <c r="K26" s="51" t="n"/>
      <c r="L26" s="52" t="n"/>
      <c r="M26" s="1752" t="n"/>
      <c r="N26" s="1752" t="n"/>
      <c r="O26" s="1753" t="n"/>
      <c r="P26" s="1754" t="n"/>
      <c r="Q26" s="1752" t="n"/>
      <c r="R26" s="1752" t="n"/>
      <c r="S26" s="1752" t="n"/>
      <c r="T26" s="54" t="n"/>
    </row>
    <row r="27">
      <c r="B27" s="810" t="n">
        <v>1</v>
      </c>
      <c r="C27" s="1732" t="inlineStr">
        <is>
          <t>材料費用: H型鋼</t>
        </is>
      </c>
      <c r="D27" s="1687" t="n"/>
      <c r="E27" s="1688" t="n"/>
      <c r="F27" s="1733">
        <f>H27*G27</f>
        <v/>
      </c>
      <c r="G27" s="1734" t="n">
        <v>1.05</v>
      </c>
      <c r="H27" s="1733">
        <f>I27*J27</f>
        <v/>
      </c>
      <c r="I27" s="1735" t="n">
        <v>1.05</v>
      </c>
      <c r="J27" s="1768">
        <f>鋼構!D3*1.4*1.4*1.1</f>
        <v/>
      </c>
      <c r="K27" s="999" t="n">
        <v>0</v>
      </c>
      <c r="L27" s="808" t="inlineStr">
        <is>
          <t>KG</t>
        </is>
      </c>
      <c r="M27" s="1737">
        <f>F27*K27</f>
        <v/>
      </c>
      <c r="N27" s="1737">
        <f>H27*K27</f>
        <v/>
      </c>
      <c r="O27" s="1738">
        <f>J27*K27</f>
        <v/>
      </c>
      <c r="P27" s="1769" t="inlineStr">
        <is>
          <t>1.4*1.4*1.1</t>
        </is>
      </c>
      <c r="Q27" s="1744" t="n"/>
      <c r="R27" s="1745" t="n"/>
      <c r="S27" s="1745" t="n"/>
      <c r="T27" s="802" t="inlineStr">
        <is>
          <t>(規格)</t>
        </is>
      </c>
    </row>
    <row r="28">
      <c r="B28" s="810" t="n">
        <v>2</v>
      </c>
      <c r="C28" s="1732" t="inlineStr">
        <is>
          <t>材料費用: C型鋼</t>
        </is>
      </c>
      <c r="D28" s="1687" t="n"/>
      <c r="E28" s="1688" t="n"/>
      <c r="F28" s="1733">
        <f>H28*G28</f>
        <v/>
      </c>
      <c r="G28" s="1734" t="n">
        <v>1.05</v>
      </c>
      <c r="H28" s="1733">
        <f>I28*J28</f>
        <v/>
      </c>
      <c r="I28" s="1735" t="n">
        <v>1.05</v>
      </c>
      <c r="J28" s="1768">
        <f>鋼構!F3*1.4*1.4*1.1</f>
        <v/>
      </c>
      <c r="K28" s="999" t="n">
        <v>0</v>
      </c>
      <c r="L28" s="808" t="inlineStr">
        <is>
          <t>KG</t>
        </is>
      </c>
      <c r="M28" s="1737">
        <f>F28*K28</f>
        <v/>
      </c>
      <c r="N28" s="1737">
        <f>H28*K28</f>
        <v/>
      </c>
      <c r="O28" s="1738">
        <f>J28*K28</f>
        <v/>
      </c>
      <c r="P28" s="1769" t="inlineStr">
        <is>
          <t>1.4*1.4*1.1</t>
        </is>
      </c>
      <c r="Q28" s="1744" t="n"/>
      <c r="R28" s="1745" t="n"/>
      <c r="S28" s="1745" t="n"/>
      <c r="T28" s="802" t="inlineStr">
        <is>
          <t>(規格)</t>
        </is>
      </c>
    </row>
    <row r="29">
      <c r="B29" s="810" t="n">
        <v>3</v>
      </c>
      <c r="C29" s="1732" t="inlineStr">
        <is>
          <t>材料費用: 熱浸鍍鋅費用</t>
        </is>
      </c>
      <c r="D29" s="1687" t="n"/>
      <c r="E29" s="1688" t="n"/>
      <c r="F29" s="1733">
        <f>H29*G29</f>
        <v/>
      </c>
      <c r="G29" s="1734" t="n">
        <v>1.05</v>
      </c>
      <c r="H29" s="1733">
        <f>I29*J29</f>
        <v/>
      </c>
      <c r="I29" s="1735" t="n">
        <v>1.05</v>
      </c>
      <c r="J29" s="1770">
        <f>鋼構!H3*1.1</f>
        <v/>
      </c>
      <c r="K29" s="352" t="n">
        <v>0</v>
      </c>
      <c r="L29" s="808" t="inlineStr">
        <is>
          <t>KG</t>
        </is>
      </c>
      <c r="M29" s="1737">
        <f>F29*K29</f>
        <v/>
      </c>
      <c r="N29" s="1737">
        <f>H29*K29</f>
        <v/>
      </c>
      <c r="O29" s="1738">
        <f>J29*K29</f>
        <v/>
      </c>
      <c r="P29" s="1769" t="inlineStr">
        <is>
          <t>*1.1</t>
        </is>
      </c>
      <c r="Q29" s="1744" t="n"/>
      <c r="R29" s="1745" t="n"/>
      <c r="S29" s="1745" t="n"/>
      <c r="T29" s="802" t="inlineStr">
        <is>
          <t>噴砂噴漆 $8/kg</t>
        </is>
      </c>
    </row>
    <row r="30">
      <c r="B30" s="810" t="n">
        <v>4</v>
      </c>
      <c r="C30" s="1732" t="inlineStr">
        <is>
          <t>材料費用: 五金配件+人工</t>
        </is>
      </c>
      <c r="D30" s="1687" t="n"/>
      <c r="E30" s="1688" t="n"/>
      <c r="F30" s="1733">
        <f>H30*G30</f>
        <v/>
      </c>
      <c r="G30" s="1734" t="n">
        <v>1.05</v>
      </c>
      <c r="H30" s="1733">
        <f>I30*J30</f>
        <v/>
      </c>
      <c r="I30" s="1735" t="n">
        <v>1.05</v>
      </c>
      <c r="J30" s="1771">
        <f>鋼構!J3</f>
        <v/>
      </c>
      <c r="K30" s="352" t="n">
        <v>0</v>
      </c>
      <c r="L30" s="808" t="inlineStr">
        <is>
          <t>KG</t>
        </is>
      </c>
      <c r="M30" s="1737">
        <f>F30*K30</f>
        <v/>
      </c>
      <c r="N30" s="1737">
        <f>H30*K30</f>
        <v/>
      </c>
      <c r="O30" s="1738">
        <f>J30*K30</f>
        <v/>
      </c>
      <c r="P30" s="1739" t="n"/>
      <c r="Q30" s="1744" t="n"/>
      <c r="R30" s="1745" t="n"/>
      <c r="S30" s="1745" t="n"/>
      <c r="T30" s="802" t="inlineStr">
        <is>
          <t>葉23，尚25；耐17</t>
        </is>
      </c>
    </row>
    <row r="31">
      <c r="B31" s="810" t="n">
        <v>5</v>
      </c>
      <c r="C31" s="1732" t="inlineStr">
        <is>
          <t>材料費用: 水泥基礎</t>
        </is>
      </c>
      <c r="D31" s="1687" t="n"/>
      <c r="E31" s="1688" t="n"/>
      <c r="F31" s="1733">
        <f>H31*G31</f>
        <v/>
      </c>
      <c r="G31" s="1734" t="n">
        <v>1.05</v>
      </c>
      <c r="H31" s="1733">
        <f>I31*J31</f>
        <v/>
      </c>
      <c r="I31" s="1735" t="n">
        <v>1.05</v>
      </c>
      <c r="J31" s="1768">
        <f>鋼構!L3</f>
        <v/>
      </c>
      <c r="K31" s="999" t="n"/>
      <c r="L31" s="808" t="inlineStr">
        <is>
          <t>柱</t>
        </is>
      </c>
      <c r="M31" s="1737">
        <f>F31*K31</f>
        <v/>
      </c>
      <c r="N31" s="1737">
        <f>H31*K31</f>
        <v/>
      </c>
      <c r="O31" s="1738">
        <f>J31*K31</f>
        <v/>
      </c>
      <c r="P31" s="1739" t="n"/>
      <c r="Q31" s="1744" t="n"/>
      <c r="R31" s="1745" t="n"/>
      <c r="S31" s="1745" t="n"/>
      <c r="T31" s="802" t="inlineStr">
        <is>
          <t>葉老闆</t>
        </is>
      </c>
    </row>
    <row r="32">
      <c r="B32" s="810" t="n">
        <v>6</v>
      </c>
      <c r="C32" s="1732" t="inlineStr">
        <is>
          <t>材料費用: 吊運費</t>
        </is>
      </c>
      <c r="D32" s="1687" t="n"/>
      <c r="E32" s="1688" t="n"/>
      <c r="F32" s="1733">
        <f>H32*G32</f>
        <v/>
      </c>
      <c r="G32" s="1734" t="n">
        <v>1.05</v>
      </c>
      <c r="H32" s="1733">
        <f>I32*J32</f>
        <v/>
      </c>
      <c r="I32" s="1735" t="n">
        <v>1.05</v>
      </c>
      <c r="J32" s="1770">
        <f>鋼構!N3</f>
        <v/>
      </c>
      <c r="K32" s="352" t="n">
        <v>0</v>
      </c>
      <c r="L32" s="808" t="inlineStr">
        <is>
          <t>KG</t>
        </is>
      </c>
      <c r="M32" s="1737">
        <f>F32*K32</f>
        <v/>
      </c>
      <c r="N32" s="1737">
        <f>H32*K32</f>
        <v/>
      </c>
      <c r="O32" s="1738">
        <f>J32*K32</f>
        <v/>
      </c>
      <c r="P32" s="1739" t="n"/>
      <c r="Q32" s="1744" t="n"/>
      <c r="R32" s="1745" t="n"/>
      <c r="S32" s="1745" t="n"/>
      <c r="T32" s="802" t="n"/>
    </row>
    <row r="33">
      <c r="B33" s="810" t="n">
        <v>7</v>
      </c>
      <c r="C33" s="1732" t="inlineStr">
        <is>
          <t>材料費用: 管理費</t>
        </is>
      </c>
      <c r="D33" s="1687" t="n"/>
      <c r="E33" s="1688" t="n"/>
      <c r="F33" s="1733">
        <f>H33*G33</f>
        <v/>
      </c>
      <c r="G33" s="1734" t="n">
        <v>1.05</v>
      </c>
      <c r="H33" s="1733">
        <f>I33*J33</f>
        <v/>
      </c>
      <c r="I33" s="1735" t="n">
        <v>1.05</v>
      </c>
      <c r="J33" s="1733">
        <f>(O27+O28+O29+O30+O31+O32)*0.08</f>
        <v/>
      </c>
      <c r="K33" s="352" t="n">
        <v>1</v>
      </c>
      <c r="L33" s="808" t="inlineStr">
        <is>
          <t>式</t>
        </is>
      </c>
      <c r="M33" s="1737">
        <f>F33*K33</f>
        <v/>
      </c>
      <c r="N33" s="1737">
        <f>H33*K33</f>
        <v/>
      </c>
      <c r="O33" s="1738">
        <f>J33*K33</f>
        <v/>
      </c>
      <c r="P33" s="1739" t="n"/>
      <c r="Q33" s="1744" t="n"/>
      <c r="R33" s="1745" t="n"/>
      <c r="S33" s="1745" t="n"/>
      <c r="T33" s="802" t="n"/>
    </row>
    <row r="34">
      <c r="B34" s="810" t="n">
        <v>8</v>
      </c>
      <c r="C34" s="1732" t="inlineStr">
        <is>
          <t>材料費用: 膨脹螺栓(與樓板結合)</t>
        </is>
      </c>
      <c r="D34" s="1687" t="n"/>
      <c r="E34" s="1688" t="n"/>
      <c r="F34" s="1733">
        <f>H34*G34</f>
        <v/>
      </c>
      <c r="G34" s="1734" t="n">
        <v>1.05</v>
      </c>
      <c r="H34" s="1733">
        <f>I34*J34</f>
        <v/>
      </c>
      <c r="I34" s="1735" t="n">
        <v>1.05</v>
      </c>
      <c r="J34" s="1733" t="n">
        <v>0</v>
      </c>
      <c r="K34" s="352" t="n">
        <v>0</v>
      </c>
      <c r="L34" s="808" t="inlineStr">
        <is>
          <t>式</t>
        </is>
      </c>
      <c r="M34" s="1737">
        <f>F34*K34</f>
        <v/>
      </c>
      <c r="N34" s="1737">
        <f>H34*K34</f>
        <v/>
      </c>
      <c r="O34" s="1738">
        <f>J34*K34</f>
        <v/>
      </c>
      <c r="P34" s="1739" t="n"/>
      <c r="Q34" s="1744" t="n"/>
      <c r="R34" s="1745" t="n"/>
      <c r="S34" s="1745" t="n"/>
      <c r="T34" s="802" t="n"/>
    </row>
    <row r="35">
      <c r="B35" s="810" t="n">
        <v>9</v>
      </c>
      <c r="C35" s="1732" t="inlineStr">
        <is>
          <t>材料費用: 白鐵花紋板</t>
        </is>
      </c>
      <c r="D35" s="1687" t="n"/>
      <c r="E35" s="1688" t="n"/>
      <c r="F35" s="1733">
        <f>H35*G35</f>
        <v/>
      </c>
      <c r="G35" s="1734" t="n">
        <v>1.05</v>
      </c>
      <c r="H35" s="1733">
        <f>I35*J35</f>
        <v/>
      </c>
      <c r="I35" s="1735" t="n">
        <v>1.05</v>
      </c>
      <c r="J35" s="1733" t="n">
        <v>0</v>
      </c>
      <c r="K35" s="352" t="n">
        <v>0</v>
      </c>
      <c r="L35" s="808" t="inlineStr">
        <is>
          <t>式</t>
        </is>
      </c>
      <c r="M35" s="1737">
        <f>F35*K35</f>
        <v/>
      </c>
      <c r="N35" s="1737">
        <f>H35*K35</f>
        <v/>
      </c>
      <c r="O35" s="1738">
        <f>J35*K35</f>
        <v/>
      </c>
      <c r="P35" s="1739" t="n"/>
      <c r="Q35" s="1744" t="n"/>
      <c r="R35" s="1745" t="n"/>
      <c r="S35" s="1745" t="n"/>
      <c r="T35" s="802" t="n"/>
    </row>
    <row r="36">
      <c r="B36" s="810" t="n">
        <v>10</v>
      </c>
      <c r="C36" s="1732" t="inlineStr">
        <is>
          <t>材料費用: 維修走道 (鋼構用)</t>
        </is>
      </c>
      <c r="D36" s="1687" t="n"/>
      <c r="E36" s="1688" t="n"/>
      <c r="F36" s="1733">
        <f>H36*G36</f>
        <v/>
      </c>
      <c r="G36" s="1734" t="n">
        <v>1.05</v>
      </c>
      <c r="H36" s="1733">
        <f>I36*J36</f>
        <v/>
      </c>
      <c r="I36" s="1735" t="n">
        <v>1.05</v>
      </c>
      <c r="J36" s="1768">
        <f>500*1.2</f>
        <v/>
      </c>
      <c r="K36" s="1772" t="n">
        <v>0</v>
      </c>
      <c r="L36" s="808" t="inlineStr">
        <is>
          <t>張</t>
        </is>
      </c>
      <c r="M36" s="1737">
        <f>F36*K36</f>
        <v/>
      </c>
      <c r="N36" s="1737">
        <f>H36*K36</f>
        <v/>
      </c>
      <c r="O36" s="1738">
        <f>J36*K36</f>
        <v/>
      </c>
      <c r="P36" s="1773" t="n">
        <v>1.2</v>
      </c>
      <c r="Q36" s="1744" t="n"/>
      <c r="R36" s="1745" t="n"/>
      <c r="S36" s="1745" t="n"/>
      <c r="T36" s="802" t="inlineStr">
        <is>
          <t>400x2400mm/張 $500</t>
        </is>
      </c>
    </row>
    <row r="37">
      <c r="B37" s="810" t="n">
        <v>11</v>
      </c>
      <c r="C37" s="1732" t="inlineStr">
        <is>
          <t>爬梯+護籠</t>
        </is>
      </c>
      <c r="D37" s="1687" t="n"/>
      <c r="E37" s="1688" t="n"/>
      <c r="F37" s="1733">
        <f>H37*G37</f>
        <v/>
      </c>
      <c r="G37" s="1734" t="n">
        <v>1.05</v>
      </c>
      <c r="H37" s="1733">
        <f>I37*J37</f>
        <v/>
      </c>
      <c r="I37" s="1735" t="n">
        <v>1.05</v>
      </c>
      <c r="J37" s="1736">
        <f>材料!E32*1.2</f>
        <v/>
      </c>
      <c r="K37" s="193" t="n">
        <v>0</v>
      </c>
      <c r="L37" s="808" t="inlineStr">
        <is>
          <t>米</t>
        </is>
      </c>
      <c r="M37" s="1737">
        <f>F37*K37</f>
        <v/>
      </c>
      <c r="N37" s="1737">
        <f>H37*K37</f>
        <v/>
      </c>
      <c r="O37" s="1738">
        <f>J37*K37</f>
        <v/>
      </c>
      <c r="P37" s="1773" t="n">
        <v>1.2</v>
      </c>
      <c r="Q37" s="1744" t="n"/>
      <c r="R37" s="1745" t="n"/>
      <c r="S37" s="1745" t="n"/>
      <c r="T37" s="802" t="inlineStr">
        <is>
          <t>中苗，金明案發包價</t>
        </is>
      </c>
    </row>
    <row r="38">
      <c r="B38" s="810" t="n">
        <v>12</v>
      </c>
      <c r="C38" s="1732" t="inlineStr">
        <is>
          <t>既設烤漆_清板 0.52T(盛餘)</t>
        </is>
      </c>
      <c r="D38" s="1687" t="n"/>
      <c r="E38" s="1688" t="n"/>
      <c r="F38" s="1733">
        <f>H38*G38</f>
        <v/>
      </c>
      <c r="G38" s="1734" t="n">
        <v>1.05</v>
      </c>
      <c r="H38" s="1733">
        <f>I38*J38</f>
        <v/>
      </c>
      <c r="I38" s="1735" t="n">
        <v>1.05</v>
      </c>
      <c r="J38" s="1733">
        <f>材料!E15*1.15*1.2</f>
        <v/>
      </c>
      <c r="K38" s="260" t="n">
        <v>0</v>
      </c>
      <c r="L38" s="808" t="inlineStr">
        <is>
          <t>坪</t>
        </is>
      </c>
      <c r="M38" s="1737">
        <f>F38*K38</f>
        <v/>
      </c>
      <c r="N38" s="1737">
        <f>H38*K38</f>
        <v/>
      </c>
      <c r="O38" s="1738">
        <f>J38*K38</f>
        <v/>
      </c>
      <c r="P38" s="1773" t="n">
        <v>1.2</v>
      </c>
      <c r="Q38" s="1744" t="n"/>
      <c r="R38" s="1745" t="n"/>
      <c r="S38" s="1745" t="n"/>
      <c r="T38" s="802" t="inlineStr">
        <is>
          <t>1坪=3.3平方公尺，含Z或口型鋼</t>
        </is>
      </c>
    </row>
    <row r="39">
      <c r="B39" s="810" t="n">
        <v>13</v>
      </c>
      <c r="C39" s="1774" t="inlineStr">
        <is>
          <t>新設烤漆_清板 0.52T(盛餘)</t>
        </is>
      </c>
      <c r="D39" s="1687" t="n"/>
      <c r="E39" s="1688" t="n"/>
      <c r="F39" s="1733">
        <f>H39*G39</f>
        <v/>
      </c>
      <c r="G39" s="1734" t="n">
        <v>1.05</v>
      </c>
      <c r="H39" s="1733">
        <f>I39*J39</f>
        <v/>
      </c>
      <c r="I39" s="1735" t="n">
        <v>1.05</v>
      </c>
      <c r="J39" s="1736">
        <f>材料!E14*1.2</f>
        <v/>
      </c>
      <c r="K39" s="193" t="n">
        <v>0</v>
      </c>
      <c r="L39" s="808" t="inlineStr">
        <is>
          <t>坪</t>
        </is>
      </c>
      <c r="M39" s="1737">
        <f>F39*K39</f>
        <v/>
      </c>
      <c r="N39" s="1737">
        <f>H39*K39</f>
        <v/>
      </c>
      <c r="O39" s="1738">
        <f>J39*K39</f>
        <v/>
      </c>
      <c r="P39" s="1773" t="n">
        <v>1.2</v>
      </c>
      <c r="Q39" s="1744" t="n"/>
      <c r="R39" s="1745" t="n"/>
      <c r="S39" s="1745" t="n"/>
      <c r="T39" s="802" t="inlineStr">
        <is>
          <t>1坪=3.3平方公尺</t>
        </is>
      </c>
    </row>
    <row r="40">
      <c r="B40" s="810" t="n">
        <v>14</v>
      </c>
      <c r="C40" s="1774" t="inlineStr">
        <is>
          <t>新設烤漆_雙層鋼板 0.52T(盛餘)</t>
        </is>
      </c>
      <c r="D40" s="1687" t="n"/>
      <c r="E40" s="1688" t="n"/>
      <c r="F40" s="1733">
        <f>H40*G40</f>
        <v/>
      </c>
      <c r="G40" s="1734" t="n">
        <v>1.05</v>
      </c>
      <c r="H40" s="1733">
        <f>I40*J40</f>
        <v/>
      </c>
      <c r="I40" s="1735" t="n">
        <v>1.05</v>
      </c>
      <c r="J40" s="1736">
        <f>材料!E16*1.2</f>
        <v/>
      </c>
      <c r="K40" s="193" t="n">
        <v>0</v>
      </c>
      <c r="L40" s="808" t="inlineStr">
        <is>
          <t>坪</t>
        </is>
      </c>
      <c r="M40" s="1737">
        <f>F40*K40</f>
        <v/>
      </c>
      <c r="N40" s="1737">
        <f>H40*K40</f>
        <v/>
      </c>
      <c r="O40" s="1738">
        <f>J40*K40</f>
        <v/>
      </c>
      <c r="P40" s="1773" t="n">
        <v>1.2</v>
      </c>
      <c r="Q40" s="1744" t="n"/>
      <c r="R40" s="1745" t="n"/>
      <c r="S40" s="1745" t="n"/>
      <c r="T40" s="802" t="inlineStr">
        <is>
          <t>業界也稱「三明治板」</t>
        </is>
      </c>
    </row>
    <row r="41">
      <c r="B41" s="810" t="n">
        <v>15</v>
      </c>
      <c r="C41" s="1732" t="inlineStr">
        <is>
          <t>不鏽鋼水槽(0.4T)</t>
        </is>
      </c>
      <c r="D41" s="1687" t="n"/>
      <c r="E41" s="1688" t="n"/>
      <c r="F41" s="1733">
        <f>H41*G41</f>
        <v/>
      </c>
      <c r="G41" s="1734" t="n">
        <v>1.05</v>
      </c>
      <c r="H41" s="1733">
        <f>I41*J41</f>
        <v/>
      </c>
      <c r="I41" s="1735" t="n">
        <v>1.05</v>
      </c>
      <c r="J41" s="1736">
        <f>材料!E37*1.2</f>
        <v/>
      </c>
      <c r="K41" s="193" t="n">
        <v>0</v>
      </c>
      <c r="L41" s="808" t="inlineStr">
        <is>
          <t>米</t>
        </is>
      </c>
      <c r="M41" s="1737">
        <f>F41*K41</f>
        <v/>
      </c>
      <c r="N41" s="1737">
        <f>H41*K41</f>
        <v/>
      </c>
      <c r="O41" s="1738">
        <f>J41*K41</f>
        <v/>
      </c>
      <c r="P41" s="1773" t="n">
        <v>1.2</v>
      </c>
      <c r="Q41" s="1744" t="n"/>
      <c r="R41" s="1745" t="n"/>
      <c r="S41" s="1745" t="n"/>
      <c r="T41" s="802" t="n"/>
    </row>
    <row r="42">
      <c r="B42" s="810" t="n">
        <v>16</v>
      </c>
      <c r="C42" s="1732" t="inlineStr">
        <is>
          <t>收邊 烤漆鋁鋅板</t>
        </is>
      </c>
      <c r="D42" s="1687" t="n"/>
      <c r="E42" s="1688" t="n"/>
      <c r="F42" s="1733">
        <f>H42*G42</f>
        <v/>
      </c>
      <c r="G42" s="1734" t="n">
        <v>1.05</v>
      </c>
      <c r="H42" s="1733">
        <f>I42*J42</f>
        <v/>
      </c>
      <c r="I42" s="1735" t="n">
        <v>1.05</v>
      </c>
      <c r="J42" s="1736">
        <f>材料!E41*1.2</f>
        <v/>
      </c>
      <c r="K42" s="193" t="n">
        <v>0</v>
      </c>
      <c r="L42" s="808" t="inlineStr">
        <is>
          <t>米</t>
        </is>
      </c>
      <c r="M42" s="1737">
        <f>F42*K42</f>
        <v/>
      </c>
      <c r="N42" s="1737">
        <f>H42*K42</f>
        <v/>
      </c>
      <c r="O42" s="1738">
        <f>J42*K42</f>
        <v/>
      </c>
      <c r="P42" s="1773" t="n">
        <v>1.2</v>
      </c>
      <c r="Q42" s="1744" t="n"/>
      <c r="R42" s="1745" t="n"/>
      <c r="S42" s="1745" t="n"/>
      <c r="T42" s="802" t="n"/>
    </row>
    <row r="43">
      <c r="B43" s="830" t="n"/>
      <c r="C43" s="38" t="n"/>
      <c r="D43" s="38" t="n"/>
      <c r="E43" s="38" t="n"/>
      <c r="F43" s="1747" t="n"/>
      <c r="G43" s="1747" t="n"/>
      <c r="H43" s="1747" t="n"/>
      <c r="I43" s="1747" t="n"/>
      <c r="J43" s="1747" t="n"/>
      <c r="K43" s="37" t="n"/>
      <c r="L43" s="829" t="inlineStr">
        <is>
          <t>小計</t>
        </is>
      </c>
      <c r="M43" s="1775">
        <f>(SUM(M27:M42))*0</f>
        <v/>
      </c>
      <c r="N43" s="1775">
        <f>SUM(N27:N42)</f>
        <v/>
      </c>
      <c r="O43" s="1776">
        <f>SUM(O27:O42)</f>
        <v/>
      </c>
      <c r="P43" s="1777" t="n"/>
      <c r="Q43" s="1775" t="n"/>
      <c r="R43" s="1775" t="n"/>
      <c r="S43" s="1775" t="n"/>
      <c r="T43" s="46" t="n"/>
    </row>
    <row r="44">
      <c r="B44" s="218" t="inlineStr">
        <is>
          <t>統包</t>
        </is>
      </c>
      <c r="C44" s="38" t="n"/>
      <c r="D44" s="38" t="n"/>
      <c r="E44" s="38" t="n"/>
      <c r="F44" s="1747" t="n"/>
      <c r="G44" s="1747" t="n"/>
      <c r="H44" s="1747" t="n"/>
      <c r="I44" s="1747" t="n"/>
      <c r="J44" s="1747" t="n"/>
      <c r="K44" s="37" t="n"/>
      <c r="L44" s="829" t="inlineStr">
        <is>
          <t>平均1KW(未稅)</t>
        </is>
      </c>
      <c r="M44" s="1748">
        <f>M43/$D$2</f>
        <v/>
      </c>
      <c r="N44" s="1748">
        <f>N43/$D$2</f>
        <v/>
      </c>
      <c r="O44" s="1749">
        <f>O43/$D$2</f>
        <v/>
      </c>
      <c r="P44" s="1750" t="n"/>
      <c r="Q44" s="1748" t="n"/>
      <c r="R44" s="1748" t="n"/>
      <c r="S44" s="1748" t="n"/>
      <c r="T44" s="46" t="n"/>
    </row>
    <row r="45" customFormat="1" s="1321">
      <c r="B45" s="219" t="n">
        <v>1</v>
      </c>
      <c r="C45" s="1732" t="inlineStr">
        <is>
          <t>鋼構搭設工程</t>
        </is>
      </c>
      <c r="D45" s="1687" t="n"/>
      <c r="E45" s="1688" t="n"/>
      <c r="F45" s="1733">
        <f>H45*G45</f>
        <v/>
      </c>
      <c r="G45" s="1734" t="n">
        <v>1.05</v>
      </c>
      <c r="H45" s="1733">
        <f>I45*J45</f>
        <v/>
      </c>
      <c r="I45" s="1735" t="n">
        <v>1.05</v>
      </c>
      <c r="J45" s="1778" t="n">
        <v>12000</v>
      </c>
      <c r="K45" s="1143" t="n">
        <v>0</v>
      </c>
      <c r="L45" s="175" t="inlineStr">
        <is>
          <t>KW</t>
        </is>
      </c>
      <c r="M45" s="1779">
        <f>F45*K45</f>
        <v/>
      </c>
      <c r="N45" s="1780">
        <f>H45*K45</f>
        <v/>
      </c>
      <c r="O45" s="1781">
        <f>J45*K45</f>
        <v/>
      </c>
      <c r="P45" s="1782" t="n"/>
      <c r="Q45" s="1783" t="n"/>
      <c r="R45" s="1784" t="n"/>
      <c r="S45" s="1784" t="n"/>
      <c r="T45" s="162" t="inlineStr">
        <is>
          <t>魚鱗12k,棚架16k；宇軒10k(HC、熱浸)，掛基礎座13k</t>
        </is>
      </c>
      <c r="U45" s="159" t="n"/>
    </row>
    <row r="46" customFormat="1" s="1321">
      <c r="B46" s="219" t="n">
        <v>1</v>
      </c>
      <c r="C46" s="1732" t="inlineStr">
        <is>
          <t>地面型搭設工程</t>
        </is>
      </c>
      <c r="D46" s="1687" t="n"/>
      <c r="E46" s="1688" t="n"/>
      <c r="F46" s="1733">
        <f>H46*G46</f>
        <v/>
      </c>
      <c r="G46" s="1734" t="n">
        <v>1.05</v>
      </c>
      <c r="H46" s="1733">
        <f>I46*J46</f>
        <v/>
      </c>
      <c r="I46" s="1735" t="n">
        <v>1.05</v>
      </c>
      <c r="J46" s="1778" t="n">
        <v>13000</v>
      </c>
      <c r="K46" s="363" t="n">
        <v>0</v>
      </c>
      <c r="L46" s="175" t="inlineStr">
        <is>
          <t>KW</t>
        </is>
      </c>
      <c r="M46" s="1779">
        <f>F46*K46</f>
        <v/>
      </c>
      <c r="N46" s="1780">
        <f>H46*K46</f>
        <v/>
      </c>
      <c r="O46" s="1781">
        <f>J46*K46</f>
        <v/>
      </c>
      <c r="P46" s="1782" t="n"/>
      <c r="Q46" s="1785" t="n"/>
      <c r="R46" s="1786" t="inlineStr">
        <is>
          <t>除整地外</t>
        </is>
      </c>
      <c r="S46" s="1688" t="n"/>
      <c r="T46" s="162" t="inlineStr">
        <is>
          <t>(包含地質探堪、基礎座、支架安裝含料、模組安裝)</t>
        </is>
      </c>
      <c r="U46" s="159" t="n"/>
    </row>
    <row r="47" ht="15.75" customHeight="1" s="1643">
      <c r="B47" s="830" t="n"/>
      <c r="C47" s="69" t="n"/>
      <c r="D47" s="827" t="n"/>
      <c r="E47" s="827" t="n"/>
      <c r="F47" s="1747" t="n"/>
      <c r="G47" s="1747" t="n"/>
      <c r="H47" s="1747" t="n"/>
      <c r="I47" s="1747" t="n"/>
      <c r="J47" s="1747" t="n"/>
      <c r="K47" s="37" t="n"/>
      <c r="L47" s="829" t="inlineStr">
        <is>
          <t>小計</t>
        </is>
      </c>
      <c r="M47" s="1775">
        <f>SUM(M45:M46)</f>
        <v/>
      </c>
      <c r="N47" s="1775">
        <f>SUM(N45:N46)</f>
        <v/>
      </c>
      <c r="O47" s="1776">
        <f>SUM(O45:O46)</f>
        <v/>
      </c>
      <c r="P47" s="1777" t="n"/>
      <c r="Q47" s="1775" t="n"/>
      <c r="R47" s="1787" t="n"/>
      <c r="S47" s="1775" t="n"/>
      <c r="T47" s="46" t="n"/>
    </row>
    <row r="48">
      <c r="B48" s="830" t="n"/>
      <c r="C48" s="69" t="n"/>
      <c r="D48" s="827" t="n"/>
      <c r="E48" s="827" t="n"/>
      <c r="F48" s="1747" t="n"/>
      <c r="G48" s="1747" t="n"/>
      <c r="H48" s="1747" t="n"/>
      <c r="I48" s="1747" t="n"/>
      <c r="J48" s="1747" t="n"/>
      <c r="K48" s="37" t="n"/>
      <c r="L48" s="829" t="inlineStr">
        <is>
          <t>平均1KW(未稅)</t>
        </is>
      </c>
      <c r="M48" s="1748">
        <f>M47/$D$2</f>
        <v/>
      </c>
      <c r="N48" s="1748">
        <f>N47/$D$2</f>
        <v/>
      </c>
      <c r="O48" s="1749">
        <f>O47/$D$2</f>
        <v/>
      </c>
      <c r="P48" s="1750" t="n"/>
      <c r="Q48" s="1748" t="n"/>
      <c r="R48" s="1748" t="n"/>
      <c r="S48" s="1748" t="n"/>
      <c r="T48" s="46" t="n"/>
    </row>
    <row r="49">
      <c r="B49" s="66" t="inlineStr">
        <is>
          <t>鋁合金結構工程</t>
        </is>
      </c>
      <c r="C49" s="60" t="n"/>
      <c r="D49" s="60" t="n"/>
      <c r="E49" s="60" t="n"/>
      <c r="F49" s="1751" t="n"/>
      <c r="G49" s="1751" t="n"/>
      <c r="H49" s="1751" t="n"/>
      <c r="I49" s="1751" t="n"/>
      <c r="J49" s="1751" t="n"/>
      <c r="K49" s="51" t="n"/>
      <c r="L49" s="52" t="n"/>
      <c r="M49" s="1752" t="n"/>
      <c r="N49" s="1752" t="n"/>
      <c r="O49" s="1753" t="n"/>
      <c r="P49" s="1754" t="n"/>
      <c r="Q49" s="1752" t="n"/>
      <c r="R49" s="1752" t="n"/>
      <c r="S49" s="1752" t="n"/>
      <c r="T49" s="54" t="n"/>
    </row>
    <row r="50">
      <c r="B50" s="810" t="n">
        <v>1</v>
      </c>
      <c r="C50" s="1732" t="inlineStr">
        <is>
          <t>材料費用: 平貼支架</t>
        </is>
      </c>
      <c r="D50" s="1687" t="n"/>
      <c r="E50" s="1688" t="n"/>
      <c r="F50" s="1733">
        <f>H50*G50</f>
        <v/>
      </c>
      <c r="G50" s="1734" t="n">
        <v>1.05</v>
      </c>
      <c r="H50" s="1733">
        <f>I50*J50</f>
        <v/>
      </c>
      <c r="I50" s="1735" t="n">
        <v>1.05</v>
      </c>
      <c r="J50" s="1736">
        <f>鋁支架!E3*1.2</f>
        <v/>
      </c>
      <c r="K50" s="260">
        <f>K6*0</f>
        <v/>
      </c>
      <c r="L50" s="808" t="inlineStr">
        <is>
          <t>片</t>
        </is>
      </c>
      <c r="M50" s="1737">
        <f>F50*K50</f>
        <v/>
      </c>
      <c r="N50" s="1737">
        <f>H50*K50</f>
        <v/>
      </c>
      <c r="O50" s="1788">
        <f>J50*K50</f>
        <v/>
      </c>
      <c r="P50" s="1773" t="n">
        <v>1.2</v>
      </c>
      <c r="Q50" s="1744" t="inlineStr">
        <is>
          <t>C間距&lt;90→730/片</t>
        </is>
      </c>
      <c r="R50" s="1745" t="n"/>
      <c r="S50" s="1745" t="n"/>
      <c r="T50" s="802" t="inlineStr">
        <is>
          <t>鋁鎂鋅k27：平鋪2700/KW(映發)、2600/kW(石中劍)</t>
        </is>
      </c>
    </row>
    <row r="51">
      <c r="B51" s="810" t="n">
        <v>2</v>
      </c>
      <c r="C51" s="1732" t="inlineStr">
        <is>
          <t>材料費用: 仰角支架</t>
        </is>
      </c>
      <c r="D51" s="1687" t="n"/>
      <c r="E51" s="1688" t="n"/>
      <c r="F51" s="1733">
        <f>H51*G51</f>
        <v/>
      </c>
      <c r="G51" s="1734" t="n">
        <v>1.05</v>
      </c>
      <c r="H51" s="1733">
        <f>I51*J51</f>
        <v/>
      </c>
      <c r="I51" s="1735" t="n">
        <v>1.05</v>
      </c>
      <c r="J51" s="1736">
        <f>鋁支架!E5</f>
        <v/>
      </c>
      <c r="K51" s="260" t="n">
        <v>0</v>
      </c>
      <c r="L51" s="808" t="inlineStr">
        <is>
          <t>片</t>
        </is>
      </c>
      <c r="M51" s="1737">
        <f>F51*K51</f>
        <v/>
      </c>
      <c r="N51" s="1737">
        <f>H51*K51</f>
        <v/>
      </c>
      <c r="O51" s="1738">
        <f>J51*K51</f>
        <v/>
      </c>
      <c r="P51" s="1773" t="n">
        <v>1.2</v>
      </c>
      <c r="Q51" s="1744" t="n"/>
      <c r="R51" s="1745" t="n"/>
      <c r="S51" s="1745" t="n"/>
      <c r="T51" s="802" t="inlineStr">
        <is>
          <t>鋁鎂鋅k27：架高3500/KW(映發)</t>
        </is>
      </c>
    </row>
    <row r="52">
      <c r="B52" s="810" t="n">
        <v>3</v>
      </c>
      <c r="C52" s="1732" t="inlineStr">
        <is>
          <t>材料費用: 棚架支架</t>
        </is>
      </c>
      <c r="D52" s="1687" t="n"/>
      <c r="E52" s="1688" t="n"/>
      <c r="F52" s="1733">
        <f>H52*G52</f>
        <v/>
      </c>
      <c r="G52" s="1734" t="n">
        <v>1.05</v>
      </c>
      <c r="H52" s="1733">
        <f>I52*J52</f>
        <v/>
      </c>
      <c r="I52" s="1735" t="n">
        <v>1.05</v>
      </c>
      <c r="J52" s="1736">
        <f>鋁支架!P4*1.2</f>
        <v/>
      </c>
      <c r="K52" s="260" t="n">
        <v>0</v>
      </c>
      <c r="L52" s="808" t="inlineStr">
        <is>
          <t>kW</t>
        </is>
      </c>
      <c r="M52" s="1737">
        <f>F52*K52</f>
        <v/>
      </c>
      <c r="N52" s="1737">
        <f>H52*K52</f>
        <v/>
      </c>
      <c r="O52" s="1738">
        <f>J52*K52</f>
        <v/>
      </c>
      <c r="P52" s="1773" t="n">
        <v>1.2</v>
      </c>
      <c r="Q52" s="1744" t="n"/>
      <c r="R52" s="1745" t="n"/>
      <c r="S52" s="1745" t="n"/>
      <c r="T52" s="802" t="n"/>
    </row>
    <row r="53">
      <c r="B53" s="810" t="n">
        <v>4</v>
      </c>
      <c r="C53" s="1732" t="inlineStr">
        <is>
          <t>材料費用: 豐菱鎖片(防鬆脫螺絲)</t>
        </is>
      </c>
      <c r="D53" s="1687" t="n"/>
      <c r="E53" s="1688" t="n"/>
      <c r="F53" s="1733">
        <f>H53*G53</f>
        <v/>
      </c>
      <c r="G53" s="1734" t="n">
        <v>1.05</v>
      </c>
      <c r="H53" s="1733">
        <f>I53*J53</f>
        <v/>
      </c>
      <c r="I53" s="1735" t="n">
        <v>1.05</v>
      </c>
      <c r="J53" s="1736" t="n">
        <v>10</v>
      </c>
      <c r="K53" s="260">
        <f>K6*4*0</f>
        <v/>
      </c>
      <c r="L53" s="808" t="inlineStr">
        <is>
          <t>片</t>
        </is>
      </c>
      <c r="M53" s="1737">
        <f>F53*K53</f>
        <v/>
      </c>
      <c r="N53" s="1737">
        <f>H53*K53</f>
        <v/>
      </c>
      <c r="O53" s="1738">
        <f>J53*K53</f>
        <v/>
      </c>
      <c r="P53" s="1739" t="n"/>
      <c r="Q53" s="1744" t="n"/>
      <c r="R53" s="1745" t="n"/>
      <c r="S53" s="1745" t="n"/>
      <c r="T53" s="802" t="inlineStr">
        <is>
          <t>模組下鎖用</t>
        </is>
      </c>
    </row>
    <row r="54">
      <c r="B54" s="810" t="n">
        <v>5</v>
      </c>
      <c r="C54" s="1732" t="inlineStr">
        <is>
          <t>材料費用: 膨脹螺栓(與樓板結合)</t>
        </is>
      </c>
      <c r="D54" s="1687" t="n"/>
      <c r="E54" s="1688" t="n"/>
      <c r="F54" s="1733">
        <f>H54*G54</f>
        <v/>
      </c>
      <c r="G54" s="1734" t="n">
        <v>1.05</v>
      </c>
      <c r="H54" s="1733">
        <f>I54*J54</f>
        <v/>
      </c>
      <c r="I54" s="1735" t="n">
        <v>1.05</v>
      </c>
      <c r="J54" s="1733" t="n">
        <v>12</v>
      </c>
      <c r="K54" s="352" t="n">
        <v>0</v>
      </c>
      <c r="L54" s="808" t="inlineStr">
        <is>
          <t>支</t>
        </is>
      </c>
      <c r="M54" s="1737">
        <f>F54*K54</f>
        <v/>
      </c>
      <c r="N54" s="1737">
        <f>H54*K54</f>
        <v/>
      </c>
      <c r="O54" s="1738">
        <f>J54*K54</f>
        <v/>
      </c>
      <c r="P54" s="1739" t="n"/>
      <c r="Q54" s="1744" t="n"/>
      <c r="R54" s="1745" t="n"/>
      <c r="S54" s="1745" t="n"/>
      <c r="T54" s="802" t="n"/>
    </row>
    <row r="55">
      <c r="B55" s="810" t="n">
        <v>6</v>
      </c>
      <c r="C55" s="1732" t="inlineStr">
        <is>
          <t>材料費用: 植筋劑</t>
        </is>
      </c>
      <c r="D55" s="1687" t="n"/>
      <c r="E55" s="1688" t="n"/>
      <c r="F55" s="1733">
        <f>H55*G55</f>
        <v/>
      </c>
      <c r="G55" s="1734" t="n">
        <v>1.05</v>
      </c>
      <c r="H55" s="1733">
        <f>I55*J55</f>
        <v/>
      </c>
      <c r="I55" s="1735" t="n">
        <v>1.05</v>
      </c>
      <c r="J55" s="1733" t="n">
        <v>350</v>
      </c>
      <c r="K55" s="352" t="n">
        <v>0</v>
      </c>
      <c r="L55" s="808" t="inlineStr">
        <is>
          <t>支</t>
        </is>
      </c>
      <c r="M55" s="1737">
        <f>F55*K55</f>
        <v/>
      </c>
      <c r="N55" s="1737">
        <f>H55*K55</f>
        <v/>
      </c>
      <c r="O55" s="1738">
        <f>J55*K55</f>
        <v/>
      </c>
      <c r="P55" s="1739" t="n"/>
      <c r="Q55" s="1744" t="n"/>
      <c r="R55" s="1745" t="n"/>
      <c r="S55" s="1745" t="n"/>
      <c r="T55" s="802" t="n"/>
    </row>
    <row r="56">
      <c r="B56" s="810" t="n">
        <v>7</v>
      </c>
      <c r="C56" s="1732" t="inlineStr">
        <is>
          <t>材料費用: 其它材料</t>
        </is>
      </c>
      <c r="D56" s="1687" t="n"/>
      <c r="E56" s="1688" t="n"/>
      <c r="F56" s="1733">
        <f>H56*G56</f>
        <v/>
      </c>
      <c r="G56" s="1734" t="n">
        <v>1.05</v>
      </c>
      <c r="H56" s="1733">
        <f>I56*J56</f>
        <v/>
      </c>
      <c r="I56" s="1735" t="n">
        <v>1.05</v>
      </c>
      <c r="J56" s="1733" t="n">
        <v>0</v>
      </c>
      <c r="K56" s="352" t="n">
        <v>0</v>
      </c>
      <c r="L56" s="808" t="inlineStr">
        <is>
          <t>式</t>
        </is>
      </c>
      <c r="M56" s="1737">
        <f>F56*K56</f>
        <v/>
      </c>
      <c r="N56" s="1737">
        <f>H56*K56</f>
        <v/>
      </c>
      <c r="O56" s="1738">
        <f>J56*K56</f>
        <v/>
      </c>
      <c r="P56" s="1739" t="n"/>
      <c r="Q56" s="1744" t="n"/>
      <c r="R56" s="1745" t="n"/>
      <c r="S56" s="1745" t="n"/>
      <c r="T56" s="802" t="n"/>
    </row>
    <row r="57">
      <c r="B57" s="810" t="n">
        <v>8</v>
      </c>
      <c r="C57" s="1789" t="inlineStr">
        <is>
          <t>安全母索(主幹)</t>
        </is>
      </c>
      <c r="D57" s="1647" t="n"/>
      <c r="E57" s="1648" t="n"/>
      <c r="F57" s="1790">
        <f>H57*G57</f>
        <v/>
      </c>
      <c r="G57" s="1791" t="n">
        <v>1.05</v>
      </c>
      <c r="H57" s="1790">
        <f>I57*J57</f>
        <v/>
      </c>
      <c r="I57" s="1792" t="n">
        <v>1.05</v>
      </c>
      <c r="J57" s="1793">
        <f>200*1.2</f>
        <v/>
      </c>
      <c r="K57" s="821" t="n">
        <v>0</v>
      </c>
      <c r="L57" s="816" t="inlineStr">
        <is>
          <t>米</t>
        </is>
      </c>
      <c r="M57" s="1737">
        <f>F57*K57</f>
        <v/>
      </c>
      <c r="N57" s="1794">
        <f>H57*K57</f>
        <v/>
      </c>
      <c r="O57" s="1795">
        <f>J57*K57</f>
        <v/>
      </c>
      <c r="P57" s="1773" t="n">
        <v>1.2</v>
      </c>
      <c r="Q57" s="1796" t="n"/>
      <c r="R57" s="1797" t="n"/>
      <c r="S57" s="1797" t="n"/>
      <c r="T57" s="819" t="n"/>
    </row>
    <row r="58">
      <c r="B58" s="810" t="n">
        <v>9</v>
      </c>
      <c r="C58" s="1732" t="inlineStr">
        <is>
          <t>安全圍籬</t>
        </is>
      </c>
      <c r="D58" s="1687" t="n"/>
      <c r="E58" s="1688" t="n"/>
      <c r="F58" s="1733">
        <f>H58*G58</f>
        <v/>
      </c>
      <c r="G58" s="1734" t="n">
        <v>1.05</v>
      </c>
      <c r="H58" s="1733">
        <f>I58*J58</f>
        <v/>
      </c>
      <c r="I58" s="1735" t="n">
        <v>1.05</v>
      </c>
      <c r="J58" s="1736">
        <f>550*1.2</f>
        <v/>
      </c>
      <c r="K58" s="821" t="n">
        <v>0</v>
      </c>
      <c r="L58" s="808" t="inlineStr">
        <is>
          <t>米</t>
        </is>
      </c>
      <c r="M58" s="1737">
        <f>F58*K58</f>
        <v/>
      </c>
      <c r="N58" s="1737">
        <f>H58*K58</f>
        <v/>
      </c>
      <c r="O58" s="1738">
        <f>J58*K58</f>
        <v/>
      </c>
      <c r="P58" s="1773" t="n">
        <v>1.2</v>
      </c>
      <c r="Q58" s="1744" t="n"/>
      <c r="R58" s="1745" t="n"/>
      <c r="S58" s="1745" t="n"/>
      <c r="T58" s="802" t="inlineStr">
        <is>
          <t>詠發報價</t>
        </is>
      </c>
    </row>
    <row r="59">
      <c r="B59" s="810" t="n">
        <v>10</v>
      </c>
      <c r="C59" s="1732" t="inlineStr">
        <is>
          <t>維修走道</t>
        </is>
      </c>
      <c r="D59" s="1687" t="n"/>
      <c r="E59" s="1688" t="n"/>
      <c r="F59" s="1733">
        <f>H59*G59</f>
        <v/>
      </c>
      <c r="G59" s="1734" t="n">
        <v>1.05</v>
      </c>
      <c r="H59" s="1733">
        <f>I59*J59</f>
        <v/>
      </c>
      <c r="I59" s="1735" t="n">
        <v>1.05</v>
      </c>
      <c r="J59" s="1736">
        <f>500*1.2</f>
        <v/>
      </c>
      <c r="K59" s="1157">
        <f>D2*0</f>
        <v/>
      </c>
      <c r="L59" s="808" t="inlineStr">
        <is>
          <t>KW</t>
        </is>
      </c>
      <c r="M59" s="1737">
        <f>F59*K59</f>
        <v/>
      </c>
      <c r="N59" s="1737">
        <f>H59*K59</f>
        <v/>
      </c>
      <c r="O59" s="1788">
        <f>J59*K59</f>
        <v/>
      </c>
      <c r="P59" s="1773" t="n">
        <v>1.2</v>
      </c>
      <c r="Q59" s="1744" t="n"/>
      <c r="R59" s="1745" t="n"/>
      <c r="S59" s="1745" t="n"/>
      <c r="T59" s="802" t="inlineStr">
        <is>
          <t>主幹(500)+分路(500)為四片一組(寬40CM)=1000</t>
        </is>
      </c>
    </row>
    <row r="60">
      <c r="B60" s="810" t="n">
        <v>11</v>
      </c>
      <c r="C60" s="1732" t="inlineStr">
        <is>
          <t>材料升級: 鍍膜25u↑</t>
        </is>
      </c>
      <c r="D60" s="1687" t="n"/>
      <c r="E60" s="1688" t="n"/>
      <c r="F60" s="1733">
        <f>H60*G60</f>
        <v/>
      </c>
      <c r="G60" s="1734" t="n">
        <v>1.05</v>
      </c>
      <c r="H60" s="1733">
        <f>I60*J60</f>
        <v/>
      </c>
      <c r="I60" s="1735" t="n">
        <v>1.05</v>
      </c>
      <c r="J60" s="1733" t="n">
        <v>100</v>
      </c>
      <c r="K60" s="1798" t="n">
        <v>0</v>
      </c>
      <c r="L60" s="808" t="inlineStr">
        <is>
          <t>KW</t>
        </is>
      </c>
      <c r="M60" s="1737">
        <f>F60*K60</f>
        <v/>
      </c>
      <c r="N60" s="1737">
        <f>H60*K60</f>
        <v/>
      </c>
      <c r="O60" s="1738">
        <f>J60*K60</f>
        <v/>
      </c>
      <c r="P60" s="1773" t="n">
        <v>1.2</v>
      </c>
      <c r="Q60" s="1744" t="n"/>
      <c r="R60" s="1745" t="n"/>
      <c r="S60" s="1745" t="n"/>
      <c r="T60" s="802" t="inlineStr">
        <is>
          <t>鹽灘</t>
        </is>
      </c>
    </row>
    <row r="61">
      <c r="B61" s="810" t="n">
        <v>12</v>
      </c>
      <c r="C61" s="1732" t="inlineStr">
        <is>
          <t>材料升級: 螺絲316</t>
        </is>
      </c>
      <c r="D61" s="1687" t="n"/>
      <c r="E61" s="1688" t="n"/>
      <c r="F61" s="1733">
        <f>H61*G61</f>
        <v/>
      </c>
      <c r="G61" s="1734" t="n">
        <v>1.05</v>
      </c>
      <c r="H61" s="1733">
        <f>I61*J61</f>
        <v/>
      </c>
      <c r="I61" s="1735" t="n">
        <v>1.05</v>
      </c>
      <c r="J61" s="1733" t="n">
        <v>100</v>
      </c>
      <c r="K61" s="1798" t="n">
        <v>0</v>
      </c>
      <c r="L61" s="808" t="inlineStr">
        <is>
          <t>KW</t>
        </is>
      </c>
      <c r="M61" s="1737">
        <f>F61*K61</f>
        <v/>
      </c>
      <c r="N61" s="1737">
        <f>H61*K61</f>
        <v/>
      </c>
      <c r="O61" s="1738">
        <f>J61*K61</f>
        <v/>
      </c>
      <c r="P61" s="1773" t="n">
        <v>1.2</v>
      </c>
      <c r="Q61" s="1744" t="n"/>
      <c r="R61" s="1745" t="n"/>
      <c r="S61" s="1745" t="n"/>
      <c r="T61" s="802" t="inlineStr">
        <is>
          <t>鹽灘</t>
        </is>
      </c>
    </row>
    <row r="62">
      <c r="B62" s="778" t="n">
        <v>13</v>
      </c>
      <c r="C62" s="1732" t="inlineStr">
        <is>
          <t>材料升級: 撐高座30cm</t>
        </is>
      </c>
      <c r="D62" s="1687" t="n"/>
      <c r="E62" s="1688" t="n"/>
      <c r="F62" s="1733">
        <f>H62*G62</f>
        <v/>
      </c>
      <c r="G62" s="1734" t="n">
        <v>1.05</v>
      </c>
      <c r="H62" s="1733">
        <f>I62*J62</f>
        <v/>
      </c>
      <c r="I62" s="1735" t="n">
        <v>1.05</v>
      </c>
      <c r="J62" s="1733" t="n">
        <v>200</v>
      </c>
      <c r="K62" s="1798">
        <f>D4</f>
        <v/>
      </c>
      <c r="L62" s="808" t="inlineStr">
        <is>
          <t>KW</t>
        </is>
      </c>
      <c r="M62" s="1737">
        <f>F62*K62</f>
        <v/>
      </c>
      <c r="N62" s="1737">
        <f>H62*K62</f>
        <v/>
      </c>
      <c r="O62" s="1738">
        <f>J62*K62</f>
        <v/>
      </c>
      <c r="P62" s="1773" t="n">
        <v>1.2</v>
      </c>
      <c r="Q62" s="1744" t="n"/>
      <c r="R62" s="1745" t="n"/>
      <c r="S62" s="1745" t="n"/>
      <c r="T62" s="802" t="inlineStr">
        <is>
          <t>鹽灘 散熱</t>
        </is>
      </c>
    </row>
    <row r="63">
      <c r="B63" s="810" t="n">
        <v>14</v>
      </c>
      <c r="C63" s="1732" t="inlineStr">
        <is>
          <t>防水支架 (璟元)</t>
        </is>
      </c>
      <c r="D63" s="1687" t="n"/>
      <c r="E63" s="1688" t="n"/>
      <c r="F63" s="1733">
        <f>H63*G63</f>
        <v/>
      </c>
      <c r="G63" s="1734" t="n">
        <v>1.05</v>
      </c>
      <c r="H63" s="1733">
        <f>I63*J63</f>
        <v/>
      </c>
      <c r="I63" s="1735" t="n">
        <v>1.05</v>
      </c>
      <c r="J63" s="1733" t="n">
        <v>4800</v>
      </c>
      <c r="K63" s="260" t="n">
        <v>0</v>
      </c>
      <c r="L63" s="808" t="inlineStr">
        <is>
          <t>KW</t>
        </is>
      </c>
      <c r="M63" s="1737">
        <f>F63*K63</f>
        <v/>
      </c>
      <c r="N63" s="1737">
        <f>H63*K63</f>
        <v/>
      </c>
      <c r="O63" s="1738">
        <f>J63*K63</f>
        <v/>
      </c>
      <c r="P63" s="1773" t="n">
        <v>1.2</v>
      </c>
      <c r="Q63" s="1744" t="n"/>
      <c r="R63" s="1745" t="n"/>
      <c r="S63" s="1745" t="n"/>
      <c r="T63" s="802" t="inlineStr">
        <is>
          <t>二代版(含短邊接水槽)</t>
        </is>
      </c>
    </row>
    <row r="64">
      <c r="B64" s="810" t="n">
        <v>15</v>
      </c>
      <c r="C64" s="1732" t="inlineStr">
        <is>
          <t>防水支架 (雅唐)</t>
        </is>
      </c>
      <c r="D64" s="1687" t="n"/>
      <c r="E64" s="1688" t="n"/>
      <c r="F64" s="1733">
        <f>H64*G64</f>
        <v/>
      </c>
      <c r="G64" s="1799" t="n">
        <v>1</v>
      </c>
      <c r="H64" s="1733">
        <f>I64*J64</f>
        <v/>
      </c>
      <c r="I64" s="1735" t="n">
        <v>1.05</v>
      </c>
      <c r="J64" s="1778">
        <f>鋁支架!J5</f>
        <v/>
      </c>
      <c r="K64" s="352" t="n">
        <v>0</v>
      </c>
      <c r="L64" s="808" t="inlineStr">
        <is>
          <t>坪</t>
        </is>
      </c>
      <c r="M64" s="1800">
        <f>F64*K64</f>
        <v/>
      </c>
      <c r="N64" s="1737">
        <f>H64*K64</f>
        <v/>
      </c>
      <c r="O64" s="1738">
        <f>J64*K64</f>
        <v/>
      </c>
      <c r="P64" s="1773" t="n">
        <v>1.2</v>
      </c>
      <c r="Q64" s="1744" t="n"/>
      <c r="R64" s="1745" t="n"/>
      <c r="S64" s="1745" t="n"/>
      <c r="T64" s="802" t="inlineStr">
        <is>
          <t>1坪=3.3平方公尺</t>
        </is>
      </c>
    </row>
    <row r="65">
      <c r="B65" s="830" t="n"/>
      <c r="C65" s="38" t="n"/>
      <c r="D65" s="38" t="n"/>
      <c r="E65" s="38" t="n"/>
      <c r="F65" s="1747" t="n"/>
      <c r="G65" s="1747" t="n"/>
      <c r="H65" s="1747" t="n"/>
      <c r="I65" s="1747" t="n"/>
      <c r="J65" s="1747" t="n"/>
      <c r="K65" s="37" t="n"/>
      <c r="L65" s="829" t="inlineStr">
        <is>
          <t>小計</t>
        </is>
      </c>
      <c r="M65" s="1775">
        <f>SUM(M50:M64)</f>
        <v/>
      </c>
      <c r="N65" s="1775">
        <f>SUM(N50:N64)</f>
        <v/>
      </c>
      <c r="O65" s="1776">
        <f>SUM(O50:O64)</f>
        <v/>
      </c>
      <c r="P65" s="1777" t="n"/>
      <c r="Q65" s="1775" t="n"/>
      <c r="R65" s="1775" t="n"/>
      <c r="S65" s="1775" t="n"/>
      <c r="T65" s="46" t="n"/>
    </row>
    <row r="66">
      <c r="B66" s="218" t="inlineStr">
        <is>
          <t>統包</t>
        </is>
      </c>
      <c r="C66" s="38" t="n"/>
      <c r="D66" s="38" t="n"/>
      <c r="E66" s="38" t="n"/>
      <c r="F66" s="1747" t="n"/>
      <c r="G66" s="1747" t="n"/>
      <c r="H66" s="1747" t="n"/>
      <c r="I66" s="1747" t="n"/>
      <c r="J66" s="1747" t="n"/>
      <c r="K66" s="37" t="n"/>
      <c r="L66" s="829" t="inlineStr">
        <is>
          <t>平均1KW(未稅)</t>
        </is>
      </c>
      <c r="M66" s="1748">
        <f>M65/$D$2</f>
        <v/>
      </c>
      <c r="N66" s="1748">
        <f>N65/$D$2</f>
        <v/>
      </c>
      <c r="O66" s="1749">
        <f>O65/$D$2</f>
        <v/>
      </c>
      <c r="P66" s="1750" t="n"/>
      <c r="Q66" s="1748" t="n"/>
      <c r="R66" s="1748" t="n"/>
      <c r="S66" s="1748" t="n"/>
      <c r="T66" s="46" t="n"/>
    </row>
    <row r="67">
      <c r="B67" s="1201" t="n">
        <v>1</v>
      </c>
      <c r="C67" s="1742" t="inlineStr">
        <is>
          <t>平鋪式組裝工程 (鎖附於鋼棚上or 鐵皮浪板)</t>
        </is>
      </c>
      <c r="D67" s="1687" t="n"/>
      <c r="E67" s="1688" t="n"/>
      <c r="F67" s="1722">
        <f>H67*G67</f>
        <v/>
      </c>
      <c r="G67" s="1724" t="n">
        <v>1.3</v>
      </c>
      <c r="H67" s="1722">
        <f>I67*J67</f>
        <v/>
      </c>
      <c r="I67" s="1724" t="n">
        <v>1.05</v>
      </c>
      <c r="J67" s="1722" t="n">
        <v>3800</v>
      </c>
      <c r="K67" s="1801" t="n"/>
      <c r="L67" s="1205" t="inlineStr">
        <is>
          <t>kW</t>
        </is>
      </c>
      <c r="M67" s="1726">
        <f>F67*K67</f>
        <v/>
      </c>
      <c r="N67" s="1726">
        <f>H67*K67</f>
        <v/>
      </c>
      <c r="O67" s="1727">
        <f>J67*K67</f>
        <v/>
      </c>
      <c r="P67" s="1739" t="n"/>
      <c r="Q67" s="1744" t="n"/>
      <c r="R67" s="1745" t="n"/>
      <c r="S67" s="1745" t="n"/>
      <c r="T67" s="802" t="inlineStr">
        <is>
          <t>組裝支架 (2人/天);  每人2500</t>
        </is>
      </c>
    </row>
    <row r="68">
      <c r="B68" s="220" t="n">
        <v>2</v>
      </c>
      <c r="C68" s="1732" t="inlineStr">
        <is>
          <t xml:space="preserve">棚架式組裝工程 </t>
        </is>
      </c>
      <c r="D68" s="1687" t="n"/>
      <c r="E68" s="1688" t="n"/>
      <c r="F68" s="1733">
        <f>H68*G68</f>
        <v/>
      </c>
      <c r="G68" s="1799" t="n">
        <v>1</v>
      </c>
      <c r="H68" s="1733">
        <f>I68*J68</f>
        <v/>
      </c>
      <c r="I68" s="1735" t="n">
        <v>1.05</v>
      </c>
      <c r="J68" s="1733" t="n">
        <v>0</v>
      </c>
      <c r="K68" s="352" t="n"/>
      <c r="L68" s="808" t="inlineStr">
        <is>
          <t>式</t>
        </is>
      </c>
      <c r="M68" s="1737">
        <f>F68*K68</f>
        <v/>
      </c>
      <c r="N68" s="1737">
        <f>H68*K68</f>
        <v/>
      </c>
      <c r="O68" s="1738">
        <f>J68*K68</f>
        <v/>
      </c>
      <c r="P68" s="1739" t="n"/>
      <c r="Q68" s="1744" t="n"/>
      <c r="R68" s="1745" t="n"/>
      <c r="S68" s="1745" t="n"/>
      <c r="T68" s="802" t="n"/>
    </row>
    <row r="69">
      <c r="B69" s="1201" t="n">
        <v>3</v>
      </c>
      <c r="C69" s="1742" t="inlineStr">
        <is>
          <t>魚鱗式組裝工程</t>
        </is>
      </c>
      <c r="D69" s="1687" t="n"/>
      <c r="E69" s="1688" t="n"/>
      <c r="F69" s="1722">
        <f>H69*G69</f>
        <v/>
      </c>
      <c r="G69" s="1724" t="n">
        <v>1.3</v>
      </c>
      <c r="H69" s="1722">
        <f>I69*J69</f>
        <v/>
      </c>
      <c r="I69" s="1724" t="n">
        <v>1.05</v>
      </c>
      <c r="J69" s="1722" t="n">
        <v>14000</v>
      </c>
      <c r="K69" s="1204" t="n"/>
      <c r="L69" s="1205" t="inlineStr">
        <is>
          <t>kW</t>
        </is>
      </c>
      <c r="M69" s="1726">
        <f>F69*K69</f>
        <v/>
      </c>
      <c r="N69" s="1726">
        <f>H69*K69</f>
        <v/>
      </c>
      <c r="O69" s="1727">
        <f>J69*K69</f>
        <v/>
      </c>
      <c r="P69" s="1739" t="n"/>
      <c r="Q69" s="1744" t="n"/>
      <c r="R69" s="1745" t="n"/>
      <c r="S69" s="1745" t="n"/>
      <c r="T69" s="802" t="n"/>
    </row>
    <row r="70">
      <c r="B70" s="830" t="n"/>
      <c r="C70" s="827" t="n"/>
      <c r="D70" s="827" t="n"/>
      <c r="E70" s="827" t="n"/>
      <c r="F70" s="1747" t="n"/>
      <c r="G70" s="1747" t="n"/>
      <c r="H70" s="1747" t="n"/>
      <c r="I70" s="1747" t="n"/>
      <c r="J70" s="1747" t="n"/>
      <c r="K70" s="37" t="n"/>
      <c r="L70" s="829" t="inlineStr">
        <is>
          <t>小計</t>
        </is>
      </c>
      <c r="M70" s="1775">
        <f>SUM(M67:M69)</f>
        <v/>
      </c>
      <c r="N70" s="1775">
        <f>SUM(N67:N69)</f>
        <v/>
      </c>
      <c r="O70" s="1776">
        <f>SUM(O67:O69)</f>
        <v/>
      </c>
      <c r="P70" s="1777" t="n"/>
      <c r="Q70" s="1775" t="n"/>
      <c r="R70" s="1775" t="n"/>
      <c r="S70" s="1775" t="n"/>
      <c r="T70" s="46" t="n"/>
    </row>
    <row r="71">
      <c r="B71" s="830" t="n"/>
      <c r="C71" s="827" t="n"/>
      <c r="D71" s="827" t="n"/>
      <c r="E71" s="827" t="n"/>
      <c r="F71" s="1747" t="n"/>
      <c r="G71" s="1747" t="n"/>
      <c r="H71" s="1747" t="n"/>
      <c r="I71" s="1747" t="n"/>
      <c r="J71" s="1747" t="n"/>
      <c r="K71" s="37" t="n"/>
      <c r="L71" s="829" t="inlineStr">
        <is>
          <t>平均1KW(未稅)</t>
        </is>
      </c>
      <c r="M71" s="1748">
        <f>M70/$D$2</f>
        <v/>
      </c>
      <c r="N71" s="1748">
        <f>N70/$D$2</f>
        <v/>
      </c>
      <c r="O71" s="1749">
        <f>O70/$D$2</f>
        <v/>
      </c>
      <c r="P71" s="1750" t="n"/>
      <c r="Q71" s="1748" t="n"/>
      <c r="R71" s="1748" t="n"/>
      <c r="S71" s="1748" t="n"/>
      <c r="T71" s="46" t="n"/>
    </row>
    <row r="72">
      <c r="B72" s="1364" t="inlineStr">
        <is>
          <t>水泥基座工程</t>
        </is>
      </c>
      <c r="C72" s="1767" t="n"/>
      <c r="D72" s="60" t="n"/>
      <c r="E72" s="60" t="n"/>
      <c r="F72" s="1751" t="n"/>
      <c r="G72" s="1751" t="n"/>
      <c r="H72" s="1751" t="n"/>
      <c r="I72" s="1751" t="n"/>
      <c r="J72" s="1751" t="n"/>
      <c r="K72" s="51" t="n"/>
      <c r="L72" s="52" t="n"/>
      <c r="M72" s="1752" t="n"/>
      <c r="N72" s="1752" t="n"/>
      <c r="O72" s="1753" t="n"/>
      <c r="P72" s="1754" t="n"/>
      <c r="Q72" s="1752" t="n"/>
      <c r="R72" s="1752" t="n"/>
      <c r="S72" s="1752" t="n"/>
      <c r="T72" s="54" t="n"/>
    </row>
    <row r="73">
      <c r="B73" s="810" t="n">
        <v>1</v>
      </c>
      <c r="C73" s="1765" t="n"/>
      <c r="D73" s="1687" t="n"/>
      <c r="E73" s="1688" t="n"/>
      <c r="F73" s="1733">
        <f>H73*G73</f>
        <v/>
      </c>
      <c r="G73" s="1799" t="n">
        <v>1</v>
      </c>
      <c r="H73" s="1733">
        <f>I73*J73</f>
        <v/>
      </c>
      <c r="I73" s="1735" t="n">
        <v>1.05</v>
      </c>
      <c r="J73" s="1733" t="n">
        <v>0</v>
      </c>
      <c r="K73" s="352" t="n">
        <v>0</v>
      </c>
      <c r="L73" s="808" t="inlineStr">
        <is>
          <t>式</t>
        </is>
      </c>
      <c r="M73" s="1800" t="n"/>
      <c r="N73" s="1737" t="n"/>
      <c r="O73" s="1738" t="n"/>
      <c r="P73" s="1739" t="n"/>
      <c r="Q73" s="1739" t="n"/>
      <c r="R73" s="1737" t="n"/>
      <c r="S73" s="1737" t="n"/>
      <c r="T73" s="802" t="n"/>
    </row>
    <row r="74">
      <c r="B74" s="810" t="n">
        <v>2</v>
      </c>
      <c r="C74" s="1732" t="n"/>
      <c r="D74" s="1687" t="n"/>
      <c r="E74" s="1688" t="n"/>
      <c r="F74" s="1733">
        <f>H74*G74</f>
        <v/>
      </c>
      <c r="G74" s="1799" t="n">
        <v>1</v>
      </c>
      <c r="H74" s="1733">
        <f>I74*J74</f>
        <v/>
      </c>
      <c r="I74" s="1735" t="n">
        <v>1.05</v>
      </c>
      <c r="J74" s="1733" t="n">
        <v>0</v>
      </c>
      <c r="K74" s="352" t="n">
        <v>0</v>
      </c>
      <c r="L74" s="808" t="inlineStr">
        <is>
          <t>式</t>
        </is>
      </c>
      <c r="M74" s="1800" t="n"/>
      <c r="N74" s="1737" t="n"/>
      <c r="O74" s="1738" t="n"/>
      <c r="P74" s="1739" t="n"/>
      <c r="Q74" s="1739" t="n"/>
      <c r="R74" s="1737" t="n"/>
      <c r="S74" s="1737" t="n"/>
      <c r="T74" s="802" t="n"/>
    </row>
    <row r="75">
      <c r="B75" s="810" t="n">
        <v>3</v>
      </c>
      <c r="C75" s="1732" t="inlineStr">
        <is>
          <t>技術指導費</t>
        </is>
      </c>
      <c r="D75" s="1687" t="n"/>
      <c r="E75" s="1688" t="n"/>
      <c r="F75" s="1733">
        <f>H75*G75</f>
        <v/>
      </c>
      <c r="G75" s="1799" t="n">
        <v>1</v>
      </c>
      <c r="H75" s="1733">
        <f>I75*J75</f>
        <v/>
      </c>
      <c r="I75" s="1735" t="n">
        <v>1.05</v>
      </c>
      <c r="J75" s="1733" t="n">
        <v>0</v>
      </c>
      <c r="K75" s="352" t="n">
        <v>0</v>
      </c>
      <c r="L75" s="808" t="inlineStr">
        <is>
          <t>式</t>
        </is>
      </c>
      <c r="M75" s="1800">
        <f>F75*K75</f>
        <v/>
      </c>
      <c r="N75" s="1737">
        <f>H75*K75</f>
        <v/>
      </c>
      <c r="O75" s="1738">
        <f>J75*K75</f>
        <v/>
      </c>
      <c r="P75" s="1739" t="n"/>
      <c r="Q75" s="1739" t="n"/>
      <c r="R75" s="1737" t="n"/>
      <c r="S75" s="1737" t="n"/>
      <c r="T75" s="802" t="n"/>
    </row>
    <row r="76">
      <c r="B76" s="830" t="n"/>
      <c r="C76" s="38" t="n"/>
      <c r="D76" s="38" t="n"/>
      <c r="E76" s="38" t="n"/>
      <c r="F76" s="1747" t="n"/>
      <c r="G76" s="1747" t="n"/>
      <c r="H76" s="1747" t="n"/>
      <c r="I76" s="1747" t="n"/>
      <c r="J76" s="1747" t="n"/>
      <c r="K76" s="37" t="n"/>
      <c r="L76" s="829" t="inlineStr">
        <is>
          <t>小計</t>
        </is>
      </c>
      <c r="M76" s="1775">
        <f>SUM(M73:M75)</f>
        <v/>
      </c>
      <c r="N76" s="1775">
        <f>SUM(N73:N75)</f>
        <v/>
      </c>
      <c r="O76" s="1776">
        <f>SUM(O73:O75)</f>
        <v/>
      </c>
      <c r="P76" s="1777" t="n"/>
      <c r="Q76" s="1775" t="n"/>
      <c r="R76" s="1775" t="n"/>
      <c r="S76" s="1775" t="n"/>
      <c r="T76" s="46" t="n"/>
    </row>
    <row r="77">
      <c r="B77" s="218" t="inlineStr">
        <is>
          <t>統包</t>
        </is>
      </c>
      <c r="C77" s="38" t="n"/>
      <c r="D77" s="38" t="n"/>
      <c r="E77" s="38" t="n"/>
      <c r="F77" s="1747" t="n"/>
      <c r="G77" s="1747" t="n"/>
      <c r="H77" s="1747" t="n"/>
      <c r="I77" s="1747" t="n"/>
      <c r="J77" s="1747" t="n"/>
      <c r="K77" s="37" t="n"/>
      <c r="L77" s="829" t="inlineStr">
        <is>
          <t>平均1KW(未稅)</t>
        </is>
      </c>
      <c r="M77" s="1748">
        <f>M76/$D$2</f>
        <v/>
      </c>
      <c r="N77" s="1748">
        <f>N76/$D$2</f>
        <v/>
      </c>
      <c r="O77" s="1749">
        <f>O76/$D$2</f>
        <v/>
      </c>
      <c r="P77" s="1750" t="n"/>
      <c r="Q77" s="1748" t="n"/>
      <c r="R77" s="1748" t="n"/>
      <c r="S77" s="1748" t="n"/>
      <c r="T77" s="46" t="n"/>
    </row>
    <row r="78">
      <c r="B78" s="1201" t="n">
        <v>1</v>
      </c>
      <c r="C78" s="1742" t="inlineStr">
        <is>
          <t>水泥基座工程</t>
        </is>
      </c>
      <c r="D78" s="1687" t="n"/>
      <c r="E78" s="1688" t="n"/>
      <c r="F78" s="1722">
        <f>H78*G78</f>
        <v/>
      </c>
      <c r="G78" s="1724" t="n">
        <v>1.25</v>
      </c>
      <c r="H78" s="1722">
        <f>I78*J78</f>
        <v/>
      </c>
      <c r="I78" s="1724" t="n">
        <v>1.05</v>
      </c>
      <c r="J78" s="1722" t="n">
        <v>2500</v>
      </c>
      <c r="K78" s="1204">
        <f>K69</f>
        <v/>
      </c>
      <c r="L78" s="1205" t="inlineStr">
        <is>
          <t>kW</t>
        </is>
      </c>
      <c r="M78" s="1802">
        <f>F78*K78</f>
        <v/>
      </c>
      <c r="N78" s="1726">
        <f>H78*K78</f>
        <v/>
      </c>
      <c r="O78" s="1727">
        <f>J78*K78</f>
        <v/>
      </c>
      <c r="P78" s="1739" t="n"/>
      <c r="Q78" s="1744" t="n"/>
      <c r="R78" s="1745" t="n"/>
      <c r="S78" s="1745" t="n"/>
      <c r="T78" s="802" t="n"/>
    </row>
    <row r="79">
      <c r="B79" s="830" t="n"/>
      <c r="C79" s="827" t="n"/>
      <c r="D79" s="827" t="n"/>
      <c r="E79" s="827" t="n"/>
      <c r="F79" s="1747" t="n"/>
      <c r="G79" s="1747" t="n"/>
      <c r="H79" s="1747" t="n"/>
      <c r="I79" s="1747" t="n"/>
      <c r="J79" s="1747" t="n"/>
      <c r="K79" s="37" t="n"/>
      <c r="L79" s="829" t="inlineStr">
        <is>
          <t>小計</t>
        </is>
      </c>
      <c r="M79" s="1775">
        <f>SUM(M78)</f>
        <v/>
      </c>
      <c r="N79" s="1775">
        <f>SUM(N78)</f>
        <v/>
      </c>
      <c r="O79" s="1776">
        <f>SUM(O78)</f>
        <v/>
      </c>
      <c r="P79" s="1777" t="n"/>
      <c r="Q79" s="1775" t="n"/>
      <c r="R79" s="1775" t="n"/>
      <c r="S79" s="1775" t="n"/>
      <c r="T79" s="46" t="n"/>
    </row>
    <row r="80">
      <c r="B80" s="830" t="n"/>
      <c r="C80" s="827" t="n"/>
      <c r="D80" s="827" t="n"/>
      <c r="E80" s="827" t="n"/>
      <c r="F80" s="1747" t="n"/>
      <c r="G80" s="1747" t="n"/>
      <c r="H80" s="1747" t="n"/>
      <c r="I80" s="1747" t="n"/>
      <c r="J80" s="1747" t="n"/>
      <c r="K80" s="37" t="n"/>
      <c r="L80" s="829" t="inlineStr">
        <is>
          <t>平均1KW(未稅)</t>
        </is>
      </c>
      <c r="M80" s="1748">
        <f>M79/$D$2</f>
        <v/>
      </c>
      <c r="N80" s="1748">
        <f>N79/$D$2</f>
        <v/>
      </c>
      <c r="O80" s="1749">
        <f>O79/$D$2</f>
        <v/>
      </c>
      <c r="P80" s="1750" t="n"/>
      <c r="Q80" s="1748" t="n"/>
      <c r="R80" s="1748" t="n"/>
      <c r="S80" s="1748" t="n"/>
      <c r="T80" s="46" t="n"/>
    </row>
    <row r="81">
      <c r="B81" s="44" t="inlineStr">
        <is>
          <t>防水工程</t>
        </is>
      </c>
      <c r="C81" s="60" t="n"/>
      <c r="D81" s="60" t="n"/>
      <c r="E81" s="60" t="n"/>
      <c r="F81" s="1751" t="n"/>
      <c r="G81" s="1751" t="n"/>
      <c r="H81" s="1751" t="n"/>
      <c r="I81" s="1751" t="n"/>
      <c r="J81" s="1751" t="n"/>
      <c r="K81" s="51" t="n"/>
      <c r="L81" s="52" t="n"/>
      <c r="M81" s="1752" t="n"/>
      <c r="N81" s="1752" t="n"/>
      <c r="O81" s="1753" t="n"/>
      <c r="P81" s="1754" t="n"/>
      <c r="Q81" s="1752" t="n"/>
      <c r="R81" s="1752" t="n"/>
      <c r="S81" s="1752" t="n"/>
      <c r="T81" s="54" t="n"/>
    </row>
    <row r="82">
      <c r="B82" s="810" t="n">
        <v>1</v>
      </c>
      <c r="C82" s="1732">
        <f>材料!B27</f>
        <v/>
      </c>
      <c r="D82" s="1687" t="n"/>
      <c r="E82" s="1688" t="n"/>
      <c r="F82" s="1733">
        <f>H82*G82</f>
        <v/>
      </c>
      <c r="G82" s="1734" t="n">
        <v>1.05</v>
      </c>
      <c r="H82" s="1733">
        <f>I82*J82</f>
        <v/>
      </c>
      <c r="I82" s="1735" t="n">
        <v>1.05</v>
      </c>
      <c r="J82" s="1733">
        <f>材料!E27</f>
        <v/>
      </c>
      <c r="K82" s="352" t="n">
        <v>0</v>
      </c>
      <c r="L82" s="808" t="inlineStr">
        <is>
          <t>米</t>
        </is>
      </c>
      <c r="M82" s="1800">
        <f>F82*K82</f>
        <v/>
      </c>
      <c r="N82" s="1737">
        <f>H82*K82</f>
        <v/>
      </c>
      <c r="O82" s="1738">
        <f>J82*K82</f>
        <v/>
      </c>
      <c r="P82" s="1739" t="n"/>
      <c r="Q82" s="1739" t="n"/>
      <c r="R82" s="1737" t="n"/>
      <c r="S82" s="1737" t="n"/>
      <c r="T82" s="802" t="n"/>
    </row>
    <row r="83">
      <c r="B83" s="810" t="n">
        <v>2</v>
      </c>
      <c r="C83" s="1732">
        <f>材料!B28</f>
        <v/>
      </c>
      <c r="D83" s="1687" t="n"/>
      <c r="E83" s="1688" t="n"/>
      <c r="F83" s="1733">
        <f>H83*G83</f>
        <v/>
      </c>
      <c r="G83" s="1734" t="n">
        <v>1.05</v>
      </c>
      <c r="H83" s="1733">
        <f>I83*J83</f>
        <v/>
      </c>
      <c r="I83" s="1735" t="n">
        <v>1.05</v>
      </c>
      <c r="J83" s="1733">
        <f>材料!E28</f>
        <v/>
      </c>
      <c r="K83" s="352" t="n">
        <v>0</v>
      </c>
      <c r="L83" s="808" t="inlineStr">
        <is>
          <t>米</t>
        </is>
      </c>
      <c r="M83" s="1800">
        <f>F83*K83</f>
        <v/>
      </c>
      <c r="N83" s="1737">
        <f>H83*K83</f>
        <v/>
      </c>
      <c r="O83" s="1738">
        <f>J83*K83</f>
        <v/>
      </c>
      <c r="P83" s="1739" t="n"/>
      <c r="Q83" s="1739" t="n"/>
      <c r="R83" s="1737" t="n"/>
      <c r="S83" s="1737" t="n"/>
      <c r="T83" s="802" t="inlineStr">
        <is>
          <t>銀色(貼表面)</t>
        </is>
      </c>
    </row>
    <row r="84">
      <c r="B84" s="810" t="n">
        <v>3</v>
      </c>
      <c r="C84" s="1732" t="inlineStr">
        <is>
          <t>材料費用: 一般防水膠</t>
        </is>
      </c>
      <c r="D84" s="1687" t="n"/>
      <c r="E84" s="1688" t="n"/>
      <c r="F84" s="1733">
        <f>H84*G84</f>
        <v/>
      </c>
      <c r="G84" s="1734" t="n">
        <v>1.05</v>
      </c>
      <c r="H84" s="1733">
        <f>I84*J84</f>
        <v/>
      </c>
      <c r="I84" s="1735" t="n">
        <v>1.05</v>
      </c>
      <c r="J84" s="1733" t="n">
        <v>200</v>
      </c>
      <c r="K84" s="352" t="n">
        <v>0</v>
      </c>
      <c r="L84" s="808" t="inlineStr">
        <is>
          <t>支</t>
        </is>
      </c>
      <c r="M84" s="1800">
        <f>F84*K84</f>
        <v/>
      </c>
      <c r="N84" s="1737">
        <f>H84*K84</f>
        <v/>
      </c>
      <c r="O84" s="1738">
        <f>J84*K84</f>
        <v/>
      </c>
      <c r="P84" s="1739" t="n"/>
      <c r="Q84" s="1739" t="n"/>
      <c r="R84" s="1737" t="n"/>
      <c r="S84" s="1737" t="n"/>
      <c r="T84" s="802" t="inlineStr">
        <is>
          <t>(道康寧817(600cc)) 總接縫長度1287m*4cm*2cm</t>
        </is>
      </c>
    </row>
    <row r="85">
      <c r="B85" s="810" t="n">
        <v>4</v>
      </c>
      <c r="C85" s="1371" t="inlineStr">
        <is>
          <t>防水工程：舊有水泥刨除</t>
        </is>
      </c>
      <c r="D85" s="1372" t="n"/>
      <c r="E85" s="1373" t="n"/>
      <c r="F85" s="1733">
        <f>H85*G85</f>
        <v/>
      </c>
      <c r="G85" s="1734" t="n">
        <v>1.05</v>
      </c>
      <c r="H85" s="1733">
        <f>I85*J85</f>
        <v/>
      </c>
      <c r="I85" s="1735" t="n">
        <v>1.05</v>
      </c>
      <c r="J85" s="1736" t="n">
        <v>1000</v>
      </c>
      <c r="K85" s="193" t="n">
        <v>0</v>
      </c>
      <c r="L85" s="808" t="inlineStr">
        <is>
          <t>坪</t>
        </is>
      </c>
      <c r="M85" s="1800">
        <f>F85*K85</f>
        <v/>
      </c>
      <c r="N85" s="1737">
        <f>H85*K85</f>
        <v/>
      </c>
      <c r="O85" s="1738">
        <f>J85*K85</f>
        <v/>
      </c>
      <c r="P85" s="1739" t="n"/>
      <c r="Q85" s="1744" t="n"/>
      <c r="R85" s="1745" t="n"/>
      <c r="S85" s="1745" t="n"/>
      <c r="T85" s="802" t="inlineStr">
        <is>
          <t>(凡平企業社)</t>
        </is>
      </c>
    </row>
    <row r="86">
      <c r="B86" s="810" t="n">
        <v>5</v>
      </c>
      <c r="C86" s="1371" t="inlineStr">
        <is>
          <t>防水工程：水泥(粉光)</t>
        </is>
      </c>
      <c r="D86" s="1372" t="n"/>
      <c r="E86" s="1373" t="n"/>
      <c r="F86" s="1733">
        <f>H86*G86</f>
        <v/>
      </c>
      <c r="G86" s="1734" t="n">
        <v>1.05</v>
      </c>
      <c r="H86" s="1733">
        <f>I86*J86</f>
        <v/>
      </c>
      <c r="I86" s="1735" t="n">
        <v>1.05</v>
      </c>
      <c r="J86" s="1736" t="n">
        <v>2000</v>
      </c>
      <c r="K86" s="193" t="n">
        <v>0</v>
      </c>
      <c r="L86" s="808" t="inlineStr">
        <is>
          <t>坪</t>
        </is>
      </c>
      <c r="M86" s="1800">
        <f>F86*K86</f>
        <v/>
      </c>
      <c r="N86" s="1737">
        <f>H86*K86</f>
        <v/>
      </c>
      <c r="O86" s="1738">
        <f>J86*K86</f>
        <v/>
      </c>
      <c r="P86" s="1739" t="n"/>
      <c r="Q86" s="1744" t="n"/>
      <c r="R86" s="1745" t="n"/>
      <c r="S86" s="1745" t="n"/>
      <c r="T86" s="802" t="n"/>
    </row>
    <row r="87">
      <c r="B87" s="810" t="n">
        <v>6</v>
      </c>
      <c r="C87" s="1371" t="inlineStr">
        <is>
          <t>防水工程：PU防水層</t>
        </is>
      </c>
      <c r="D87" s="1372" t="n"/>
      <c r="E87" s="1373" t="n"/>
      <c r="F87" s="1733">
        <f>H87*G87</f>
        <v/>
      </c>
      <c r="G87" s="1734" t="n">
        <v>1.05</v>
      </c>
      <c r="H87" s="1733">
        <f>I87*J87</f>
        <v/>
      </c>
      <c r="I87" s="1735" t="n">
        <v>1.05</v>
      </c>
      <c r="J87" s="1736" t="n">
        <v>1500</v>
      </c>
      <c r="K87" s="193" t="n">
        <v>0</v>
      </c>
      <c r="L87" s="808" t="inlineStr">
        <is>
          <t>坪</t>
        </is>
      </c>
      <c r="M87" s="1800">
        <f>F87*K87</f>
        <v/>
      </c>
      <c r="N87" s="1737">
        <f>H87*K87</f>
        <v/>
      </c>
      <c r="O87" s="1738">
        <f>J87*K87</f>
        <v/>
      </c>
      <c r="P87" s="1739" t="n"/>
      <c r="Q87" s="1744" t="n"/>
      <c r="R87" s="1745" t="n"/>
      <c r="S87" s="1745" t="n"/>
      <c r="T87" s="802" t="inlineStr">
        <is>
          <t>地坪PU施作(3層)曾宅</t>
        </is>
      </c>
    </row>
    <row r="88">
      <c r="B88" s="810" t="n">
        <v>7</v>
      </c>
      <c r="C88" s="1371" t="inlineStr">
        <is>
          <t>防水工程：清洗</t>
        </is>
      </c>
      <c r="D88" s="1372" t="n"/>
      <c r="E88" s="1373" t="n"/>
      <c r="F88" s="1733">
        <f>H88*G88</f>
        <v/>
      </c>
      <c r="G88" s="1734" t="n">
        <v>1.05</v>
      </c>
      <c r="H88" s="1733">
        <f>I88*J88</f>
        <v/>
      </c>
      <c r="I88" s="1735" t="n">
        <v>1.05</v>
      </c>
      <c r="J88" s="1736" t="n">
        <v>215</v>
      </c>
      <c r="K88" s="193" t="n">
        <v>0</v>
      </c>
      <c r="L88" s="808" t="inlineStr">
        <is>
          <t>坪</t>
        </is>
      </c>
      <c r="M88" s="1800">
        <f>F88*K88</f>
        <v/>
      </c>
      <c r="N88" s="1737">
        <f>H88*K88</f>
        <v/>
      </c>
      <c r="O88" s="1738">
        <f>J88*K88</f>
        <v/>
      </c>
      <c r="P88" s="1739" t="n"/>
      <c r="Q88" s="1744" t="n"/>
      <c r="R88" s="1745" t="n"/>
      <c r="S88" s="1745" t="n"/>
      <c r="T88" s="802" t="inlineStr">
        <is>
          <t>洗地機+高壓沖洗 (鴻業國際工程)</t>
        </is>
      </c>
    </row>
    <row r="89">
      <c r="B89" s="810" t="n">
        <v>8</v>
      </c>
      <c r="C89" s="1371" t="inlineStr">
        <is>
          <t>防水工程：防水漆</t>
        </is>
      </c>
      <c r="D89" s="1372" t="n"/>
      <c r="E89" s="1373" t="n"/>
      <c r="F89" s="1733">
        <f>H89*G89</f>
        <v/>
      </c>
      <c r="G89" s="1734" t="n">
        <v>1.05</v>
      </c>
      <c r="H89" s="1733">
        <f>I89*J89</f>
        <v/>
      </c>
      <c r="I89" s="1735" t="n">
        <v>1.05</v>
      </c>
      <c r="J89" s="1736" t="n">
        <v>840</v>
      </c>
      <c r="K89" s="193" t="n">
        <v>0</v>
      </c>
      <c r="L89" s="808" t="inlineStr">
        <is>
          <t>坪</t>
        </is>
      </c>
      <c r="M89" s="1800">
        <f>F89*K89</f>
        <v/>
      </c>
      <c r="N89" s="1737">
        <f>H89*K89</f>
        <v/>
      </c>
      <c r="O89" s="1738">
        <f>J89*K89</f>
        <v/>
      </c>
      <c r="P89" s="1739" t="n"/>
      <c r="Q89" s="1744" t="n"/>
      <c r="R89" s="1745" t="n"/>
      <c r="S89" s="1745" t="n"/>
      <c r="T89" s="802" t="inlineStr">
        <is>
          <t>一底漆+二面漆(金絲猴)</t>
        </is>
      </c>
    </row>
    <row r="90">
      <c r="B90" s="810" t="n">
        <v>9</v>
      </c>
      <c r="C90" s="1371" t="inlineStr">
        <is>
          <t>防水工程：隔熱漆</t>
        </is>
      </c>
      <c r="D90" s="1372" t="n"/>
      <c r="E90" s="1373" t="n"/>
      <c r="F90" s="1733">
        <f>H90*G90</f>
        <v/>
      </c>
      <c r="G90" s="1734" t="n">
        <v>1.05</v>
      </c>
      <c r="H90" s="1733">
        <f>I90*J90</f>
        <v/>
      </c>
      <c r="I90" s="1735" t="n">
        <v>1.05</v>
      </c>
      <c r="J90" s="1736" t="n">
        <v>745</v>
      </c>
      <c r="K90" s="193" t="n">
        <v>0</v>
      </c>
      <c r="L90" s="808" t="inlineStr">
        <is>
          <t>坪</t>
        </is>
      </c>
      <c r="M90" s="1800">
        <f>F90*K90</f>
        <v/>
      </c>
      <c r="N90" s="1737">
        <f>H90*K90</f>
        <v/>
      </c>
      <c r="O90" s="1738">
        <f>J90*K90</f>
        <v/>
      </c>
      <c r="P90" s="1739" t="n"/>
      <c r="Q90" s="1744" t="n"/>
      <c r="R90" s="1745" t="n"/>
      <c r="S90" s="1745" t="n"/>
      <c r="T90" s="802" t="inlineStr">
        <is>
          <t>底漆一道(金絲猴)</t>
        </is>
      </c>
    </row>
    <row r="91">
      <c r="B91" s="810" t="n">
        <v>10</v>
      </c>
      <c r="C91" s="1371" t="inlineStr">
        <is>
          <t>材料費用: 其它</t>
        </is>
      </c>
      <c r="D91" s="1372" t="n"/>
      <c r="E91" s="1373" t="n"/>
      <c r="F91" s="1733">
        <f>H91*G91</f>
        <v/>
      </c>
      <c r="G91" s="1734" t="n">
        <v>1.05</v>
      </c>
      <c r="H91" s="1733">
        <f>I91*J91</f>
        <v/>
      </c>
      <c r="I91" s="1735" t="n">
        <v>1.05</v>
      </c>
      <c r="J91" s="1733" t="n">
        <v>0</v>
      </c>
      <c r="K91" s="352" t="n">
        <v>0</v>
      </c>
      <c r="L91" s="808" t="inlineStr">
        <is>
          <t>式</t>
        </is>
      </c>
      <c r="M91" s="1800">
        <f>F91*K91</f>
        <v/>
      </c>
      <c r="N91" s="1737">
        <f>H91*K91</f>
        <v/>
      </c>
      <c r="O91" s="1738">
        <f>J91*K91</f>
        <v/>
      </c>
      <c r="P91" s="1739" t="n"/>
      <c r="Q91" s="1744" t="n"/>
      <c r="R91" s="1745" t="n"/>
      <c r="S91" s="1745" t="n"/>
      <c r="T91" s="802" t="n"/>
    </row>
    <row r="92">
      <c r="B92" s="810" t="n">
        <v>11</v>
      </c>
      <c r="C92" s="1746" t="inlineStr">
        <is>
          <t>人力: 點工人力</t>
        </is>
      </c>
      <c r="D92" s="1687" t="n"/>
      <c r="E92" s="1688" t="n"/>
      <c r="F92" s="1733">
        <f>H92*G92</f>
        <v/>
      </c>
      <c r="G92" s="1734" t="n">
        <v>1.05</v>
      </c>
      <c r="H92" s="1733">
        <f>I92*J92</f>
        <v/>
      </c>
      <c r="I92" s="1735" t="n">
        <v>1.05</v>
      </c>
      <c r="J92" s="1733" t="n">
        <v>0</v>
      </c>
      <c r="K92" s="352" t="n">
        <v>0</v>
      </c>
      <c r="L92" s="808" t="inlineStr">
        <is>
          <t>式</t>
        </is>
      </c>
      <c r="M92" s="1800">
        <f>F92*K92</f>
        <v/>
      </c>
      <c r="N92" s="1737">
        <f>H92*K92</f>
        <v/>
      </c>
      <c r="O92" s="1738">
        <f>J92*K92</f>
        <v/>
      </c>
      <c r="P92" s="1739" t="n"/>
      <c r="Q92" s="1744" t="n"/>
      <c r="R92" s="1745" t="n"/>
      <c r="S92" s="1745" t="n"/>
      <c r="T92" s="802" t="n"/>
    </row>
    <row r="93">
      <c r="B93" s="810" t="n">
        <v>12</v>
      </c>
      <c r="C93" s="1732" t="inlineStr">
        <is>
          <t>技術指導費</t>
        </is>
      </c>
      <c r="D93" s="1687" t="n"/>
      <c r="E93" s="1688" t="n"/>
      <c r="F93" s="1733">
        <f>H93*G93</f>
        <v/>
      </c>
      <c r="G93" s="1734" t="n">
        <v>1.05</v>
      </c>
      <c r="H93" s="1733">
        <f>I93*J93</f>
        <v/>
      </c>
      <c r="I93" s="1735" t="n">
        <v>1.05</v>
      </c>
      <c r="J93" s="1733" t="n">
        <v>0</v>
      </c>
      <c r="K93" s="352" t="n">
        <v>0</v>
      </c>
      <c r="L93" s="808" t="inlineStr">
        <is>
          <t>式</t>
        </is>
      </c>
      <c r="M93" s="1800">
        <f>F93*K93</f>
        <v/>
      </c>
      <c r="N93" s="1737">
        <f>H93*K93</f>
        <v/>
      </c>
      <c r="O93" s="1738">
        <f>J93*K93</f>
        <v/>
      </c>
      <c r="P93" s="1739" t="n"/>
      <c r="Q93" s="1744" t="n"/>
      <c r="R93" s="1745" t="n"/>
      <c r="S93" s="1745" t="n"/>
      <c r="T93" s="802" t="n"/>
    </row>
    <row r="94">
      <c r="B94" s="830" t="n"/>
      <c r="C94" s="38" t="n"/>
      <c r="D94" s="38" t="n"/>
      <c r="E94" s="38" t="n"/>
      <c r="F94" s="1747" t="n"/>
      <c r="G94" s="1747" t="n"/>
      <c r="H94" s="1747" t="n"/>
      <c r="I94" s="1747" t="n"/>
      <c r="J94" s="1747" t="n"/>
      <c r="K94" s="37" t="n"/>
      <c r="L94" s="829" t="inlineStr">
        <is>
          <t>小計</t>
        </is>
      </c>
      <c r="M94" s="1775">
        <f>SUM(M82:M93)</f>
        <v/>
      </c>
      <c r="N94" s="1775">
        <f>SUM(N82:N93)</f>
        <v/>
      </c>
      <c r="O94" s="1776">
        <f>SUM(O82:O93)</f>
        <v/>
      </c>
      <c r="P94" s="1777" t="n"/>
      <c r="Q94" s="1775" t="n"/>
      <c r="R94" s="1775" t="n"/>
      <c r="S94" s="1775" t="n"/>
      <c r="T94" s="46" t="n"/>
    </row>
    <row r="95">
      <c r="B95" s="218" t="inlineStr">
        <is>
          <t>統包</t>
        </is>
      </c>
      <c r="C95" s="38" t="n"/>
      <c r="D95" s="38" t="n"/>
      <c r="E95" s="38" t="n"/>
      <c r="F95" s="1747" t="n"/>
      <c r="G95" s="1747" t="n"/>
      <c r="H95" s="1747" t="n"/>
      <c r="I95" s="1747" t="n"/>
      <c r="J95" s="1747" t="n"/>
      <c r="K95" s="37" t="n"/>
      <c r="L95" s="829" t="inlineStr">
        <is>
          <t>平均1KW(未稅)</t>
        </is>
      </c>
      <c r="M95" s="1748">
        <f>M94/$D$2</f>
        <v/>
      </c>
      <c r="N95" s="1748">
        <f>N94/$D$2</f>
        <v/>
      </c>
      <c r="O95" s="1749">
        <f>O94/$D$2</f>
        <v/>
      </c>
      <c r="P95" s="1750" t="n"/>
      <c r="Q95" s="1748" t="n"/>
      <c r="R95" s="1748" t="n"/>
      <c r="S95" s="1748" t="n"/>
      <c r="T95" s="46" t="n"/>
    </row>
    <row r="96">
      <c r="B96" s="338" t="n">
        <v>1</v>
      </c>
      <c r="C96" s="1732" t="inlineStr">
        <is>
          <t>模組間防水塗佈工程</t>
        </is>
      </c>
      <c r="D96" s="1687" t="n"/>
      <c r="E96" s="1688" t="n"/>
      <c r="F96" s="1733">
        <f>H96*G96</f>
        <v/>
      </c>
      <c r="G96" s="1799" t="n">
        <v>1</v>
      </c>
      <c r="H96" s="1733">
        <f>I96*J96</f>
        <v/>
      </c>
      <c r="I96" s="1735" t="n">
        <v>1.05</v>
      </c>
      <c r="J96" s="1733" t="n">
        <v>0</v>
      </c>
      <c r="K96" s="352" t="n">
        <v>0</v>
      </c>
      <c r="L96" s="808" t="inlineStr">
        <is>
          <t>式</t>
        </is>
      </c>
      <c r="M96" s="1800">
        <f>F96*K96</f>
        <v/>
      </c>
      <c r="N96" s="1737">
        <f>H96*K96</f>
        <v/>
      </c>
      <c r="O96" s="1738">
        <f>J96*K96</f>
        <v/>
      </c>
      <c r="P96" s="1739" t="n"/>
      <c r="Q96" s="1744" t="n"/>
      <c r="R96" s="1745" t="n"/>
      <c r="S96" s="1745" t="n"/>
      <c r="T96" s="802" t="n"/>
    </row>
    <row r="97">
      <c r="B97" s="338" t="n">
        <v>2</v>
      </c>
      <c r="C97" s="1732" t="inlineStr">
        <is>
          <t>聯美營造防水系統總工程</t>
        </is>
      </c>
      <c r="D97" s="1687" t="n"/>
      <c r="E97" s="1688" t="n"/>
      <c r="F97" s="1733">
        <f>H97*G97</f>
        <v/>
      </c>
      <c r="G97" s="1799" t="n">
        <v>1</v>
      </c>
      <c r="H97" s="1733">
        <f>I97*J97</f>
        <v/>
      </c>
      <c r="I97" s="1735" t="n">
        <v>1.05</v>
      </c>
      <c r="J97" s="1778">
        <f>鋁支架!J7</f>
        <v/>
      </c>
      <c r="K97" s="352" t="n">
        <v>0</v>
      </c>
      <c r="L97" s="353" t="inlineStr">
        <is>
          <t>KW</t>
        </is>
      </c>
      <c r="M97" s="1800">
        <f>F97*K97</f>
        <v/>
      </c>
      <c r="N97" s="1737">
        <f>H97*K97</f>
        <v/>
      </c>
      <c r="O97" s="1738">
        <f>J97*K97</f>
        <v/>
      </c>
      <c r="P97" s="1739" t="n"/>
      <c r="Q97" s="1744" t="n"/>
      <c r="R97" s="1745" t="n"/>
      <c r="S97" s="1745" t="n"/>
      <c r="T97" s="802" t="n"/>
    </row>
    <row r="98">
      <c r="B98" s="830" t="n"/>
      <c r="C98" s="827" t="n"/>
      <c r="D98" s="827" t="n"/>
      <c r="E98" s="827" t="n"/>
      <c r="F98" s="1747" t="n"/>
      <c r="G98" s="1747" t="n"/>
      <c r="H98" s="1747" t="n"/>
      <c r="I98" s="1747" t="n"/>
      <c r="J98" s="1747" t="n"/>
      <c r="K98" s="37" t="n"/>
      <c r="L98" s="829" t="inlineStr">
        <is>
          <t>小計</t>
        </is>
      </c>
      <c r="M98" s="1775">
        <f>SUM(M96:M97)</f>
        <v/>
      </c>
      <c r="N98" s="1775">
        <f>SUM(N96:N97)</f>
        <v/>
      </c>
      <c r="O98" s="1776">
        <f>SUM(O96:O97)</f>
        <v/>
      </c>
      <c r="P98" s="1777" t="n"/>
      <c r="Q98" s="1775" t="n"/>
      <c r="R98" s="1775" t="n"/>
      <c r="S98" s="1775" t="n"/>
      <c r="T98" s="46" t="n"/>
    </row>
    <row r="99">
      <c r="B99" s="830" t="n"/>
      <c r="C99" s="827" t="n"/>
      <c r="D99" s="827" t="n"/>
      <c r="E99" s="827" t="n"/>
      <c r="F99" s="1747" t="n"/>
      <c r="G99" s="1747" t="n"/>
      <c r="H99" s="1747" t="n"/>
      <c r="I99" s="1747" t="n"/>
      <c r="J99" s="1747" t="n"/>
      <c r="K99" s="37" t="n"/>
      <c r="L99" s="829" t="inlineStr">
        <is>
          <t>平均1KW(未稅)</t>
        </is>
      </c>
      <c r="M99" s="1748">
        <f>M98/$D$2</f>
        <v/>
      </c>
      <c r="N99" s="1748">
        <f>N98/$D$2</f>
        <v/>
      </c>
      <c r="O99" s="1749">
        <f>O98/$D$2</f>
        <v/>
      </c>
      <c r="P99" s="1750" t="n"/>
      <c r="Q99" s="1748" t="n"/>
      <c r="R99" s="1748" t="n"/>
      <c r="S99" s="1748" t="n"/>
      <c r="T99" s="46" t="n"/>
    </row>
    <row r="100">
      <c r="B100" s="223" t="inlineStr">
        <is>
          <t>系統監控工程</t>
        </is>
      </c>
      <c r="C100" s="60" t="n"/>
      <c r="D100" s="60" t="n"/>
      <c r="E100" s="60" t="n"/>
      <c r="F100" s="1751" t="n"/>
      <c r="G100" s="1751" t="n"/>
      <c r="H100" s="1751" t="n"/>
      <c r="I100" s="1751" t="n"/>
      <c r="J100" s="1751" t="n"/>
      <c r="K100" s="51" t="n"/>
      <c r="L100" s="52" t="n"/>
      <c r="M100" s="1752" t="n"/>
      <c r="N100" s="1752" t="n"/>
      <c r="O100" s="1753" t="n"/>
      <c r="P100" s="1754" t="n"/>
      <c r="Q100" s="1752" t="n"/>
      <c r="R100" s="1752" t="n"/>
      <c r="S100" s="1752" t="n"/>
      <c r="T100" s="54" t="n"/>
    </row>
    <row r="101">
      <c r="B101" s="810" t="n">
        <v>1</v>
      </c>
      <c r="C101" s="1732" t="inlineStr">
        <is>
          <t>材料費用: 監控收集器</t>
        </is>
      </c>
      <c r="D101" s="1687" t="n"/>
      <c r="E101" s="1688" t="n"/>
      <c r="F101" s="1733">
        <f>H101*G101</f>
        <v/>
      </c>
      <c r="G101" s="1734" t="n">
        <v>1.05</v>
      </c>
      <c r="H101" s="1733">
        <f>I101*J101</f>
        <v/>
      </c>
      <c r="I101" s="1735" t="n">
        <v>1.05</v>
      </c>
      <c r="J101" s="1736">
        <f>監控!D3</f>
        <v/>
      </c>
      <c r="K101" s="406" t="n">
        <v>0</v>
      </c>
      <c r="L101" s="808" t="inlineStr">
        <is>
          <t>台</t>
        </is>
      </c>
      <c r="M101" s="1737">
        <f>F101*K101</f>
        <v/>
      </c>
      <c r="N101" s="1737">
        <f>H101*K101</f>
        <v/>
      </c>
      <c r="O101" s="1738">
        <f>J101*K101</f>
        <v/>
      </c>
      <c r="P101" s="1739" t="n"/>
      <c r="Q101" s="1744" t="inlineStr">
        <is>
          <t>保固3年/台</t>
        </is>
      </c>
      <c r="R101" s="1745" t="n"/>
      <c r="S101" s="1745" t="n"/>
      <c r="T101" s="802" t="inlineStr">
        <is>
          <t>ECU-R</t>
        </is>
      </c>
    </row>
    <row r="102">
      <c r="B102" s="1212" t="n">
        <v>2</v>
      </c>
      <c r="C102" s="1742" t="inlineStr">
        <is>
          <t>材料費用: 數據收集盒</t>
        </is>
      </c>
      <c r="D102" s="1687" t="n"/>
      <c r="E102" s="1688" t="n"/>
      <c r="F102" s="1722">
        <f>H102*G102</f>
        <v/>
      </c>
      <c r="G102" s="1723" t="n">
        <v>1.15</v>
      </c>
      <c r="H102" s="1722">
        <f>I102*J102</f>
        <v/>
      </c>
      <c r="I102" s="1724" t="n">
        <v>1.05</v>
      </c>
      <c r="J102" s="1803">
        <f>監控!D7</f>
        <v/>
      </c>
      <c r="K102" s="1233" t="n"/>
      <c r="L102" s="1205" t="inlineStr">
        <is>
          <t>台</t>
        </is>
      </c>
      <c r="M102" s="1726">
        <f>F102*K102</f>
        <v/>
      </c>
      <c r="N102" s="1726">
        <f>H102*K102</f>
        <v/>
      </c>
      <c r="O102" s="1727">
        <f>J102*K102</f>
        <v/>
      </c>
      <c r="P102" s="1739" t="n"/>
      <c r="Q102" s="1744" t="inlineStr">
        <is>
          <t>保固1年/台</t>
        </is>
      </c>
      <c r="R102" s="1745" t="n"/>
      <c r="S102" s="1745" t="n"/>
      <c r="T102" s="802" t="n"/>
    </row>
    <row r="103">
      <c r="B103" s="1212" t="n">
        <v>3</v>
      </c>
      <c r="C103" s="1742" t="inlineStr">
        <is>
          <t>材料費用: 環控設備</t>
        </is>
      </c>
      <c r="D103" s="1687" t="n"/>
      <c r="E103" s="1688" t="n"/>
      <c r="F103" s="1722">
        <f>H103*G103</f>
        <v/>
      </c>
      <c r="G103" s="1723" t="n">
        <v>1.15</v>
      </c>
      <c r="H103" s="1722">
        <f>I103*J103</f>
        <v/>
      </c>
      <c r="I103" s="1724" t="n">
        <v>1.05</v>
      </c>
      <c r="J103" s="1803">
        <f>監控!H3</f>
        <v/>
      </c>
      <c r="K103" s="1233" t="n"/>
      <c r="L103" s="1205" t="inlineStr">
        <is>
          <t>式</t>
        </is>
      </c>
      <c r="M103" s="1726">
        <f>F103*K103</f>
        <v/>
      </c>
      <c r="N103" s="1726">
        <f>H103*K103</f>
        <v/>
      </c>
      <c r="O103" s="1727">
        <f>J103*K103</f>
        <v/>
      </c>
      <c r="P103" s="1739" t="n"/>
      <c r="Q103" s="1744" t="inlineStr">
        <is>
          <t>保固1年/式</t>
        </is>
      </c>
      <c r="R103" s="1745" t="n"/>
      <c r="S103" s="1745" t="n"/>
      <c r="T103" s="802" t="inlineStr">
        <is>
          <t>含溫度+日照+CT+交流錶頭+安裝費</t>
        </is>
      </c>
    </row>
    <row r="104">
      <c r="B104" s="1212" t="n">
        <v>4</v>
      </c>
      <c r="C104" s="1742" t="inlineStr">
        <is>
          <t xml:space="preserve">材料費用: 雲端系統 </t>
        </is>
      </c>
      <c r="D104" s="1687" t="n"/>
      <c r="E104" s="1688" t="n"/>
      <c r="F104" s="1722">
        <f>H104*G104</f>
        <v/>
      </c>
      <c r="G104" s="1723" t="n">
        <v>1.15</v>
      </c>
      <c r="H104" s="1722">
        <f>I104*J104</f>
        <v/>
      </c>
      <c r="I104" s="1724" t="n">
        <v>1.05</v>
      </c>
      <c r="J104" s="1803">
        <f>監控!H7</f>
        <v/>
      </c>
      <c r="K104" s="1234" t="n"/>
      <c r="L104" s="1214" t="inlineStr">
        <is>
          <t>年</t>
        </is>
      </c>
      <c r="M104" s="1755">
        <f>F104*K104</f>
        <v/>
      </c>
      <c r="N104" s="1755">
        <f>H104*K104</f>
        <v/>
      </c>
      <c r="O104" s="1756">
        <f>J104*K104</f>
        <v/>
      </c>
      <c r="P104" s="1804" t="n"/>
      <c r="Q104" s="1805" t="inlineStr">
        <is>
          <t>Dreams 20年需在期初</t>
        </is>
      </c>
      <c r="R104" s="1745" t="n"/>
      <c r="S104" s="1745" t="n"/>
      <c r="T104" s="802" t="n"/>
    </row>
    <row r="105">
      <c r="B105" s="810" t="n">
        <v>5</v>
      </c>
      <c r="C105" s="1732" t="inlineStr">
        <is>
          <t>材料費用: 監控用筆電+TV</t>
        </is>
      </c>
      <c r="D105" s="1687" t="n"/>
      <c r="E105" s="1688" t="n"/>
      <c r="F105" s="1733">
        <f>H105*G105</f>
        <v/>
      </c>
      <c r="G105" s="1734" t="n">
        <v>1.05</v>
      </c>
      <c r="H105" s="1733">
        <f>I105*J105</f>
        <v/>
      </c>
      <c r="I105" s="1735" t="n">
        <v>1.05</v>
      </c>
      <c r="J105" s="1733" t="n">
        <v>0</v>
      </c>
      <c r="K105" s="352" t="n"/>
      <c r="L105" s="808" t="inlineStr">
        <is>
          <t>式</t>
        </is>
      </c>
      <c r="M105" s="1737">
        <f>F105*K105</f>
        <v/>
      </c>
      <c r="N105" s="1737">
        <f>H105*K105</f>
        <v/>
      </c>
      <c r="O105" s="1738">
        <f>J105*K105</f>
        <v/>
      </c>
      <c r="P105" s="1739" t="n"/>
      <c r="Q105" s="1744" t="n"/>
      <c r="R105" s="1745" t="n"/>
      <c r="S105" s="1745" t="n"/>
      <c r="T105" s="802" t="inlineStr">
        <is>
          <t>TV10000，NB6000</t>
        </is>
      </c>
    </row>
    <row r="106">
      <c r="B106" s="810" t="n">
        <v>6</v>
      </c>
      <c r="C106" s="1732" t="inlineStr">
        <is>
          <t>材料費用: 日照計</t>
        </is>
      </c>
      <c r="D106" s="1687" t="n"/>
      <c r="E106" s="1688" t="n"/>
      <c r="F106" s="1733">
        <f>H106*G106</f>
        <v/>
      </c>
      <c r="G106" s="1734" t="n">
        <v>1.05</v>
      </c>
      <c r="H106" s="1733">
        <f>I106*J106</f>
        <v/>
      </c>
      <c r="I106" s="1735" t="n">
        <v>1.05</v>
      </c>
      <c r="J106" s="1733" t="n">
        <v>0</v>
      </c>
      <c r="K106" s="352" t="n"/>
      <c r="L106" s="808" t="inlineStr">
        <is>
          <t>台</t>
        </is>
      </c>
      <c r="M106" s="1737">
        <f>F106*K106</f>
        <v/>
      </c>
      <c r="N106" s="1737">
        <f>H106*K106</f>
        <v/>
      </c>
      <c r="O106" s="1738">
        <f>J106*K106</f>
        <v/>
      </c>
      <c r="P106" s="1739" t="n"/>
      <c r="Q106" s="1744" t="n"/>
      <c r="R106" s="1745" t="n"/>
      <c r="S106" s="1745" t="n"/>
      <c r="T106" s="802" t="n"/>
    </row>
    <row r="107">
      <c r="B107" s="810" t="n">
        <v>7</v>
      </c>
      <c r="C107" s="1732" t="inlineStr">
        <is>
          <t>材料費用: 戶外箱體</t>
        </is>
      </c>
      <c r="D107" s="1687" t="n"/>
      <c r="E107" s="1688" t="n"/>
      <c r="F107" s="1733">
        <f>H107*G107</f>
        <v/>
      </c>
      <c r="G107" s="1734" t="n">
        <v>1.05</v>
      </c>
      <c r="H107" s="1733">
        <f>I107*J107</f>
        <v/>
      </c>
      <c r="I107" s="1735" t="n">
        <v>1.05</v>
      </c>
      <c r="J107" s="1733" t="n">
        <v>0</v>
      </c>
      <c r="K107" s="352" t="n">
        <v>0</v>
      </c>
      <c r="L107" s="808" t="inlineStr">
        <is>
          <t>組</t>
        </is>
      </c>
      <c r="M107" s="1737">
        <f>F107*K107</f>
        <v/>
      </c>
      <c r="N107" s="1737">
        <f>H107*K107</f>
        <v/>
      </c>
      <c r="O107" s="1738">
        <f>J107*K107</f>
        <v/>
      </c>
      <c r="P107" s="1739" t="n"/>
      <c r="Q107" s="1744" t="n"/>
      <c r="R107" s="1745" t="n"/>
      <c r="S107" s="1745" t="n"/>
      <c r="T107" s="802" t="n"/>
    </row>
    <row r="108">
      <c r="B108" s="810" t="n">
        <v>8</v>
      </c>
      <c r="C108" s="1732" t="inlineStr">
        <is>
          <t>材料費用: AC Meter</t>
        </is>
      </c>
      <c r="D108" s="1687" t="n"/>
      <c r="E108" s="1688" t="n"/>
      <c r="F108" s="1733">
        <f>H108*G108</f>
        <v/>
      </c>
      <c r="G108" s="1734" t="n">
        <v>1.05</v>
      </c>
      <c r="H108" s="1733">
        <f>I108*J108</f>
        <v/>
      </c>
      <c r="I108" s="1735" t="n">
        <v>1.05</v>
      </c>
      <c r="J108" s="1733" t="n">
        <v>0</v>
      </c>
      <c r="K108" s="352" t="n">
        <v>0</v>
      </c>
      <c r="L108" s="808" t="inlineStr">
        <is>
          <t>台</t>
        </is>
      </c>
      <c r="M108" s="1737">
        <f>F108*K108</f>
        <v/>
      </c>
      <c r="N108" s="1737">
        <f>H108*K108</f>
        <v/>
      </c>
      <c r="O108" s="1738">
        <f>J108*K108</f>
        <v/>
      </c>
      <c r="P108" s="1739" t="n"/>
      <c r="Q108" s="1744" t="n"/>
      <c r="R108" s="1745" t="n"/>
      <c r="S108" s="1745" t="n"/>
      <c r="T108" s="802" t="n"/>
    </row>
    <row r="109">
      <c r="B109" s="810" t="n">
        <v>9</v>
      </c>
      <c r="C109" s="1732" t="inlineStr">
        <is>
          <t>材料費用: IP分享器</t>
        </is>
      </c>
      <c r="D109" s="1687" t="n"/>
      <c r="E109" s="1688" t="n"/>
      <c r="F109" s="1733">
        <f>H109*G109</f>
        <v/>
      </c>
      <c r="G109" s="1734" t="n">
        <v>1.05</v>
      </c>
      <c r="H109" s="1733">
        <f>I109*J109</f>
        <v/>
      </c>
      <c r="I109" s="1735" t="n">
        <v>1.05</v>
      </c>
      <c r="J109" s="1736" t="n">
        <v>2000</v>
      </c>
      <c r="K109" s="406" t="n">
        <v>0</v>
      </c>
      <c r="L109" s="808" t="inlineStr">
        <is>
          <t>台</t>
        </is>
      </c>
      <c r="M109" s="1737">
        <f>F109*K109</f>
        <v/>
      </c>
      <c r="N109" s="1737">
        <f>H109*K109</f>
        <v/>
      </c>
      <c r="O109" s="1738">
        <f>J109*K109</f>
        <v/>
      </c>
      <c r="P109" s="1739" t="n"/>
      <c r="Q109" s="1744" t="inlineStr">
        <is>
          <t>保固3年/台</t>
        </is>
      </c>
      <c r="R109" s="1745" t="n"/>
      <c r="S109" s="1745" t="n"/>
      <c r="T109" s="802" t="inlineStr">
        <is>
          <t>NETGEAR JFS516 16埠 10/100M 機架式 無網管 交換器</t>
        </is>
      </c>
    </row>
    <row r="110">
      <c r="B110" s="810" t="n">
        <v>10</v>
      </c>
      <c r="C110" s="1732" t="inlineStr">
        <is>
          <t>材料費用: 網路中繼器</t>
        </is>
      </c>
      <c r="D110" s="1687" t="n"/>
      <c r="E110" s="1688" t="n"/>
      <c r="F110" s="1733">
        <f>H110*G110</f>
        <v/>
      </c>
      <c r="G110" s="1734" t="n">
        <v>1.05</v>
      </c>
      <c r="H110" s="1733">
        <f>I110*J110</f>
        <v/>
      </c>
      <c r="I110" s="1735" t="n">
        <v>1.05</v>
      </c>
      <c r="J110" s="1733" t="n">
        <v>700</v>
      </c>
      <c r="K110" s="352" t="n">
        <v>0</v>
      </c>
      <c r="L110" s="808" t="inlineStr">
        <is>
          <t>台</t>
        </is>
      </c>
      <c r="M110" s="1737">
        <f>F110*K110</f>
        <v/>
      </c>
      <c r="N110" s="1737">
        <f>H110*K110</f>
        <v/>
      </c>
      <c r="O110" s="1738">
        <f>J110*K110</f>
        <v/>
      </c>
      <c r="P110" s="1739" t="n"/>
      <c r="Q110" s="1744" t="n"/>
      <c r="R110" s="1745" t="n"/>
      <c r="S110" s="1745" t="n"/>
      <c r="T110" s="802" t="n"/>
    </row>
    <row r="111">
      <c r="B111" s="810" t="n">
        <v>11</v>
      </c>
      <c r="C111" s="1732" t="inlineStr">
        <is>
          <t>材料費用: 網路線 RS485</t>
        </is>
      </c>
      <c r="D111" s="1687" t="n"/>
      <c r="E111" s="1688" t="n"/>
      <c r="F111" s="1733">
        <f>H111*G111</f>
        <v/>
      </c>
      <c r="G111" s="1734" t="n">
        <v>1.05</v>
      </c>
      <c r="H111" s="1733">
        <f>I111*J111</f>
        <v/>
      </c>
      <c r="I111" s="1735" t="n">
        <v>1.05</v>
      </c>
      <c r="J111" s="1733" t="n">
        <v>3200</v>
      </c>
      <c r="K111" s="352" t="n">
        <v>0</v>
      </c>
      <c r="L111" s="808" t="inlineStr">
        <is>
          <t>式</t>
        </is>
      </c>
      <c r="M111" s="1737">
        <f>F111*K111</f>
        <v/>
      </c>
      <c r="N111" s="1737">
        <f>H111*K111</f>
        <v/>
      </c>
      <c r="O111" s="1738">
        <f>J111*K111</f>
        <v/>
      </c>
      <c r="P111" s="1739" t="n"/>
      <c r="Q111" s="1744" t="n"/>
      <c r="R111" s="1745" t="n"/>
      <c r="S111" s="1745" t="n"/>
      <c r="T111" s="802" t="inlineStr">
        <is>
          <t>100米</t>
        </is>
      </c>
    </row>
    <row r="112">
      <c r="B112" s="810" t="n">
        <v>12</v>
      </c>
      <c r="C112" s="1746" t="inlineStr">
        <is>
          <t>人力: 點工人力</t>
        </is>
      </c>
      <c r="D112" s="1687" t="n"/>
      <c r="E112" s="1688" t="n"/>
      <c r="F112" s="1733">
        <f>H112*G112</f>
        <v/>
      </c>
      <c r="G112" s="1734" t="n">
        <v>1.05</v>
      </c>
      <c r="H112" s="1733">
        <f>I112*J112</f>
        <v/>
      </c>
      <c r="I112" s="1735" t="n">
        <v>1.05</v>
      </c>
      <c r="J112" s="1733" t="n">
        <v>0</v>
      </c>
      <c r="K112" s="352" t="n">
        <v>0</v>
      </c>
      <c r="L112" s="808" t="inlineStr">
        <is>
          <t>式</t>
        </is>
      </c>
      <c r="M112" s="1737">
        <f>F112*K112</f>
        <v/>
      </c>
      <c r="N112" s="1737">
        <f>H112*K112</f>
        <v/>
      </c>
      <c r="O112" s="1738">
        <f>J112*K112</f>
        <v/>
      </c>
      <c r="P112" s="1739" t="n"/>
      <c r="Q112" s="1744" t="n"/>
      <c r="R112" s="1745" t="n"/>
      <c r="S112" s="1745" t="n"/>
      <c r="T112" s="802" t="n"/>
    </row>
    <row r="113">
      <c r="B113" s="810" t="n">
        <v>13</v>
      </c>
      <c r="C113" s="1732" t="inlineStr">
        <is>
          <t>技術指導費</t>
        </is>
      </c>
      <c r="D113" s="1687" t="n"/>
      <c r="E113" s="1688" t="n"/>
      <c r="F113" s="1733">
        <f>H113*G113</f>
        <v/>
      </c>
      <c r="G113" s="1734" t="n">
        <v>1.05</v>
      </c>
      <c r="H113" s="1733">
        <f>I113*J113</f>
        <v/>
      </c>
      <c r="I113" s="1735" t="n">
        <v>1.05</v>
      </c>
      <c r="J113" s="1733" t="n">
        <v>0</v>
      </c>
      <c r="K113" s="352" t="n">
        <v>0</v>
      </c>
      <c r="L113" s="808" t="inlineStr">
        <is>
          <t>式</t>
        </is>
      </c>
      <c r="M113" s="1737">
        <f>F113*K113</f>
        <v/>
      </c>
      <c r="N113" s="1737">
        <f>H113*K113</f>
        <v/>
      </c>
      <c r="O113" s="1738">
        <f>J113*K113</f>
        <v/>
      </c>
      <c r="P113" s="1739" t="n"/>
      <c r="Q113" s="1744" t="n"/>
      <c r="R113" s="1745" t="n"/>
      <c r="S113" s="1745" t="n"/>
      <c r="T113" s="802" t="n"/>
    </row>
    <row r="114">
      <c r="B114" s="810" t="n">
        <v>14</v>
      </c>
      <c r="C114" s="1732" t="inlineStr">
        <is>
          <t>無線網卡</t>
        </is>
      </c>
      <c r="D114" s="1687" t="n"/>
      <c r="E114" s="1688" t="n"/>
      <c r="F114" s="1733">
        <f>H114*G114</f>
        <v/>
      </c>
      <c r="G114" s="1734" t="n">
        <v>1.05</v>
      </c>
      <c r="H114" s="1733">
        <f>I114*J114</f>
        <v/>
      </c>
      <c r="I114" s="1735" t="n">
        <v>1.05</v>
      </c>
      <c r="J114" s="1768" t="n">
        <v>120000</v>
      </c>
      <c r="K114" s="999" t="n">
        <v>0</v>
      </c>
      <c r="L114" s="808" t="inlineStr">
        <is>
          <t>式</t>
        </is>
      </c>
      <c r="M114" s="1737">
        <f>F114*K114</f>
        <v/>
      </c>
      <c r="N114" s="1737">
        <f>H114*K114</f>
        <v/>
      </c>
      <c r="O114" s="1738">
        <f>J114*K114</f>
        <v/>
      </c>
      <c r="P114" s="1804" t="inlineStr">
        <is>
          <t>網路安全疑慮需增設網路</t>
        </is>
      </c>
      <c r="Q114" s="1744" t="n"/>
      <c r="R114" s="1745" t="n"/>
      <c r="S114" s="1745" t="n"/>
      <c r="T114" s="802" t="inlineStr">
        <is>
          <t>吃到飽20年價；20kW↓ 19200 (20年，降速)</t>
        </is>
      </c>
    </row>
    <row r="115">
      <c r="B115" s="830" t="n"/>
      <c r="C115" s="827" t="n"/>
      <c r="D115" s="827" t="n"/>
      <c r="E115" s="827" t="n"/>
      <c r="F115" s="1747" t="n"/>
      <c r="G115" s="1747" t="n"/>
      <c r="H115" s="1747" t="n"/>
      <c r="I115" s="1747" t="n"/>
      <c r="J115" s="1747" t="n"/>
      <c r="K115" s="37" t="n"/>
      <c r="L115" s="829" t="inlineStr">
        <is>
          <t>小計</t>
        </is>
      </c>
      <c r="M115" s="1775">
        <f>SUM(M101:M114)</f>
        <v/>
      </c>
      <c r="N115" s="1775">
        <f>SUM(N101:N114)</f>
        <v/>
      </c>
      <c r="O115" s="1776">
        <f>SUM(O101:O114)</f>
        <v/>
      </c>
      <c r="P115" s="1777" t="n"/>
      <c r="Q115" s="1775" t="n"/>
      <c r="R115" s="1775" t="n"/>
      <c r="S115" s="1775" t="n"/>
      <c r="T115" s="46" t="n"/>
    </row>
    <row r="116">
      <c r="B116" s="218" t="inlineStr">
        <is>
          <t>統包</t>
        </is>
      </c>
      <c r="C116" s="827" t="n"/>
      <c r="D116" s="827" t="n"/>
      <c r="E116" s="827" t="n"/>
      <c r="F116" s="1747" t="n"/>
      <c r="G116" s="1747" t="n"/>
      <c r="H116" s="1747" t="n"/>
      <c r="I116" s="1747" t="n"/>
      <c r="J116" s="1747" t="n"/>
      <c r="K116" s="37" t="n"/>
      <c r="L116" s="829" t="inlineStr">
        <is>
          <t>平均1KW(未稅)</t>
        </is>
      </c>
      <c r="M116" s="1748">
        <f>M115/$D$2</f>
        <v/>
      </c>
      <c r="N116" s="1748">
        <f>N115/$D$2</f>
        <v/>
      </c>
      <c r="O116" s="1749">
        <f>O115/$D$2</f>
        <v/>
      </c>
      <c r="P116" s="1750" t="n"/>
      <c r="Q116" s="1748" t="n"/>
      <c r="R116" s="1748" t="n"/>
      <c r="S116" s="1748" t="n"/>
      <c r="T116" s="46" t="n"/>
    </row>
    <row r="117">
      <c r="B117" s="220" t="n">
        <v>1</v>
      </c>
      <c r="C117" s="1746" t="inlineStr">
        <is>
          <t>環控安裝工程</t>
        </is>
      </c>
      <c r="D117" s="1687" t="n"/>
      <c r="E117" s="1688" t="n"/>
      <c r="F117" s="1733">
        <f>H117*G117</f>
        <v/>
      </c>
      <c r="G117" s="1799" t="n">
        <v>1</v>
      </c>
      <c r="H117" s="1733">
        <f>I117*J117</f>
        <v/>
      </c>
      <c r="I117" s="1735" t="n">
        <v>1.05</v>
      </c>
      <c r="J117" s="1733">
        <f>監控!D25</f>
        <v/>
      </c>
      <c r="K117" s="352" t="n">
        <v>0</v>
      </c>
      <c r="L117" s="808" t="inlineStr">
        <is>
          <t>式</t>
        </is>
      </c>
      <c r="M117" s="1737">
        <f>F117*K117</f>
        <v/>
      </c>
      <c r="N117" s="1737">
        <f>H117*K117</f>
        <v/>
      </c>
      <c r="O117" s="1738">
        <f>K117*J117</f>
        <v/>
      </c>
      <c r="P117" s="1739" t="n"/>
      <c r="Q117" s="1744" t="n"/>
      <c r="R117" s="1745" t="n"/>
      <c r="S117" s="1745" t="n"/>
      <c r="T117" s="802" t="n"/>
    </row>
    <row r="118">
      <c r="B118" s="830" t="n"/>
      <c r="C118" s="827" t="n"/>
      <c r="D118" s="827" t="n"/>
      <c r="E118" s="827" t="n"/>
      <c r="F118" s="1747" t="n"/>
      <c r="G118" s="1747" t="n"/>
      <c r="H118" s="1747" t="n"/>
      <c r="I118" s="1747" t="n"/>
      <c r="J118" s="1747" t="n"/>
      <c r="K118" s="37" t="n"/>
      <c r="L118" s="829" t="inlineStr">
        <is>
          <t>小計</t>
        </is>
      </c>
      <c r="M118" s="1775">
        <f>SUM(M117)</f>
        <v/>
      </c>
      <c r="N118" s="1775">
        <f>SUM(N117)</f>
        <v/>
      </c>
      <c r="O118" s="1776">
        <f>SUM(O117)</f>
        <v/>
      </c>
      <c r="P118" s="1777" t="n"/>
      <c r="Q118" s="1775" t="n"/>
      <c r="R118" s="1775" t="n"/>
      <c r="S118" s="1775" t="n"/>
      <c r="T118" s="46" t="n"/>
    </row>
    <row r="119">
      <c r="B119" s="830" t="n"/>
      <c r="C119" s="827" t="n"/>
      <c r="D119" s="827" t="n"/>
      <c r="E119" s="827" t="n"/>
      <c r="F119" s="1747" t="n"/>
      <c r="G119" s="1747" t="n"/>
      <c r="H119" s="1747" t="n"/>
      <c r="I119" s="1747" t="n"/>
      <c r="J119" s="1747" t="n"/>
      <c r="K119" s="37" t="n"/>
      <c r="L119" s="829" t="inlineStr">
        <is>
          <t>平均1KW(未稅)</t>
        </is>
      </c>
      <c r="M119" s="1748">
        <f>M118/$D$2</f>
        <v/>
      </c>
      <c r="N119" s="1748">
        <f>N118/$D$2</f>
        <v/>
      </c>
      <c r="O119" s="1749">
        <f>O118/$D$2</f>
        <v/>
      </c>
      <c r="P119" s="1750" t="n"/>
      <c r="Q119" s="1748" t="n"/>
      <c r="R119" s="1748" t="n"/>
      <c r="S119" s="1748" t="n"/>
      <c r="T119" s="46" t="n"/>
    </row>
    <row r="120">
      <c r="B120" s="44" t="inlineStr">
        <is>
          <t>電力工程</t>
        </is>
      </c>
      <c r="C120" s="60" t="n"/>
      <c r="D120" s="60" t="n"/>
      <c r="E120" s="60" t="n"/>
      <c r="F120" s="1751" t="n"/>
      <c r="G120" s="1751" t="n"/>
      <c r="H120" s="1751" t="n"/>
      <c r="I120" s="1751" t="n"/>
      <c r="J120" s="1751" t="n"/>
      <c r="K120" s="51" t="n"/>
      <c r="L120" s="52" t="n"/>
      <c r="M120" s="1752" t="n"/>
      <c r="N120" s="1752" t="n"/>
      <c r="O120" s="1753" t="n"/>
      <c r="P120" s="1754" t="n"/>
      <c r="Q120" s="1752" t="n"/>
      <c r="R120" s="1752" t="n"/>
      <c r="S120" s="1752" t="n"/>
      <c r="T120" s="54" t="n"/>
    </row>
    <row r="121">
      <c r="B121" s="810" t="n">
        <v>1</v>
      </c>
      <c r="C121" s="1746" t="inlineStr">
        <is>
          <t>材料費用: 鋁線槽</t>
        </is>
      </c>
      <c r="D121" s="1687" t="n"/>
      <c r="E121" s="1688" t="n"/>
      <c r="F121" s="1733">
        <f>H121*G121</f>
        <v/>
      </c>
      <c r="G121" s="1734" t="n">
        <v>1.05</v>
      </c>
      <c r="H121" s="1733">
        <f>I121*J121</f>
        <v/>
      </c>
      <c r="I121" s="1735" t="n">
        <v>1.05</v>
      </c>
      <c r="J121" s="1733">
        <f>鋁線槽!D3</f>
        <v/>
      </c>
      <c r="K121" s="352" t="n">
        <v>0</v>
      </c>
      <c r="L121" s="808" t="inlineStr">
        <is>
          <t>米</t>
        </is>
      </c>
      <c r="M121" s="1737">
        <f>F121*K121</f>
        <v/>
      </c>
      <c r="N121" s="1737">
        <f>H121*K121</f>
        <v/>
      </c>
      <c r="O121" s="1738">
        <f>J121*K121</f>
        <v/>
      </c>
      <c r="P121" s="1739" t="n"/>
      <c r="Q121" s="1744" t="n"/>
      <c r="R121" s="1745" t="n"/>
      <c r="S121" s="1745" t="n"/>
      <c r="T121" s="802" t="n"/>
    </row>
    <row r="122">
      <c r="B122" s="810" t="n">
        <v>2</v>
      </c>
      <c r="C122" s="1368" t="inlineStr">
        <is>
          <t>材料費用: 金屬軟管</t>
        </is>
      </c>
      <c r="D122" s="1369" t="n"/>
      <c r="E122" s="1370" t="n"/>
      <c r="F122" s="1733">
        <f>H122*G122</f>
        <v/>
      </c>
      <c r="G122" s="1734" t="n">
        <v>1.05</v>
      </c>
      <c r="H122" s="1733">
        <f>I122*J122</f>
        <v/>
      </c>
      <c r="I122" s="1735" t="n">
        <v>1.05</v>
      </c>
      <c r="J122" s="1733" t="n">
        <v>0</v>
      </c>
      <c r="K122" s="352" t="n">
        <v>0</v>
      </c>
      <c r="L122" s="808" t="inlineStr">
        <is>
          <t>式</t>
        </is>
      </c>
      <c r="M122" s="1737">
        <f>F122*K122</f>
        <v/>
      </c>
      <c r="N122" s="1737">
        <f>H122*K122</f>
        <v/>
      </c>
      <c r="O122" s="1738">
        <f>J122*K122</f>
        <v/>
      </c>
      <c r="P122" s="1739" t="n"/>
      <c r="Q122" s="1744" t="n"/>
      <c r="R122" s="1745" t="n"/>
      <c r="S122" s="1745" t="n"/>
      <c r="T122" s="802" t="n"/>
      <c r="U122" s="36" t="n"/>
    </row>
    <row r="123">
      <c r="B123" s="810" t="n">
        <v>3</v>
      </c>
      <c r="C123" s="1368" t="inlineStr">
        <is>
          <t>材料費用: CD軟管</t>
        </is>
      </c>
      <c r="D123" s="1369" t="n"/>
      <c r="E123" s="1370" t="n"/>
      <c r="F123" s="1733">
        <f>H123*G123</f>
        <v/>
      </c>
      <c r="G123" s="1734" t="n">
        <v>1.05</v>
      </c>
      <c r="H123" s="1733">
        <f>I123*J123</f>
        <v/>
      </c>
      <c r="I123" s="1735" t="n">
        <v>1.05</v>
      </c>
      <c r="J123" s="1733" t="n">
        <v>0</v>
      </c>
      <c r="K123" s="352" t="n">
        <v>0</v>
      </c>
      <c r="L123" s="808" t="inlineStr">
        <is>
          <t>式</t>
        </is>
      </c>
      <c r="M123" s="1737">
        <f>F123*K123</f>
        <v/>
      </c>
      <c r="N123" s="1737">
        <f>H123*K123</f>
        <v/>
      </c>
      <c r="O123" s="1738">
        <f>J123*K123</f>
        <v/>
      </c>
      <c r="P123" s="1739" t="n"/>
      <c r="Q123" s="1744" t="n"/>
      <c r="R123" s="1745" t="n"/>
      <c r="S123" s="1745" t="n"/>
      <c r="T123" s="802" t="n"/>
      <c r="U123" s="36" t="n"/>
    </row>
    <row r="124">
      <c r="B124" s="810" t="n">
        <v>4</v>
      </c>
      <c r="C124" s="1368" t="inlineStr">
        <is>
          <t>材料費用: PVC管</t>
        </is>
      </c>
      <c r="D124" s="1369" t="n"/>
      <c r="E124" s="1370" t="n"/>
      <c r="F124" s="1733">
        <f>H124*G124</f>
        <v/>
      </c>
      <c r="G124" s="1734" t="n">
        <v>1.05</v>
      </c>
      <c r="H124" s="1733">
        <f>I124*J124</f>
        <v/>
      </c>
      <c r="I124" s="1735" t="n">
        <v>1.05</v>
      </c>
      <c r="J124" s="1733" t="n">
        <v>0</v>
      </c>
      <c r="K124" s="352" t="n">
        <v>0</v>
      </c>
      <c r="L124" s="808" t="inlineStr">
        <is>
          <t>式</t>
        </is>
      </c>
      <c r="M124" s="1737">
        <f>F124*K124</f>
        <v/>
      </c>
      <c r="N124" s="1737">
        <f>H124*K124</f>
        <v/>
      </c>
      <c r="O124" s="1738">
        <f>J124*K124</f>
        <v/>
      </c>
      <c r="P124" s="1739" t="n"/>
      <c r="Q124" s="1744" t="n"/>
      <c r="R124" s="1745" t="n"/>
      <c r="S124" s="1745" t="n"/>
      <c r="T124" s="802" t="n"/>
      <c r="U124" s="36" t="n"/>
    </row>
    <row r="125">
      <c r="B125" s="810" t="n">
        <v>5</v>
      </c>
      <c r="C125" s="1368" t="inlineStr">
        <is>
          <t>材料費用: EMT管</t>
        </is>
      </c>
      <c r="D125" s="1369" t="n"/>
      <c r="E125" s="1370" t="n"/>
      <c r="F125" s="1733">
        <f>H125*G125</f>
        <v/>
      </c>
      <c r="G125" s="1734" t="n">
        <v>1.05</v>
      </c>
      <c r="H125" s="1733">
        <f>I125*J125</f>
        <v/>
      </c>
      <c r="I125" s="1735" t="n">
        <v>1.05</v>
      </c>
      <c r="J125" s="1733" t="n">
        <v>0</v>
      </c>
      <c r="K125" s="352" t="n">
        <v>0</v>
      </c>
      <c r="L125" s="808" t="inlineStr">
        <is>
          <t>式</t>
        </is>
      </c>
      <c r="M125" s="1737">
        <f>F125*K125</f>
        <v/>
      </c>
      <c r="N125" s="1737">
        <f>H125*K125</f>
        <v/>
      </c>
      <c r="O125" s="1738">
        <f>J125*K125</f>
        <v/>
      </c>
      <c r="P125" s="1739" t="n"/>
      <c r="Q125" s="1744" t="n"/>
      <c r="R125" s="1745" t="n"/>
      <c r="S125" s="1745" t="n"/>
      <c r="T125" s="802" t="n"/>
      <c r="U125" s="36" t="n"/>
    </row>
    <row r="126">
      <c r="B126" s="810" t="n">
        <v>6</v>
      </c>
      <c r="C126" s="1368" t="inlineStr">
        <is>
          <t>材料費用: 接地銅棒</t>
        </is>
      </c>
      <c r="D126" s="1369" t="n"/>
      <c r="E126" s="1370" t="n"/>
      <c r="F126" s="1733">
        <f>H126*G126</f>
        <v/>
      </c>
      <c r="G126" s="1734" t="n">
        <v>1.05</v>
      </c>
      <c r="H126" s="1733">
        <f>I126*J126</f>
        <v/>
      </c>
      <c r="I126" s="1735" t="n">
        <v>1.05</v>
      </c>
      <c r="J126" s="1733" t="n">
        <v>0</v>
      </c>
      <c r="K126" s="352" t="n">
        <v>0</v>
      </c>
      <c r="L126" s="808" t="inlineStr">
        <is>
          <t>式</t>
        </is>
      </c>
      <c r="M126" s="1737">
        <f>F126*K126</f>
        <v/>
      </c>
      <c r="N126" s="1737">
        <f>H126*K126</f>
        <v/>
      </c>
      <c r="O126" s="1738">
        <f>J126*K126</f>
        <v/>
      </c>
      <c r="P126" s="1739" t="n"/>
      <c r="Q126" s="1744" t="n"/>
      <c r="R126" s="1745" t="n"/>
      <c r="S126" s="1745" t="n"/>
      <c r="T126" s="802" t="n"/>
      <c r="U126" s="36" t="n"/>
    </row>
    <row r="127">
      <c r="B127" s="810" t="n">
        <v>7</v>
      </c>
      <c r="C127" s="1732" t="inlineStr">
        <is>
          <t>材料費用: DC Cable  (DC端 )</t>
        </is>
      </c>
      <c r="D127" s="1687" t="n"/>
      <c r="E127" s="1688" t="n"/>
      <c r="F127" s="1733">
        <f>H127*G127</f>
        <v/>
      </c>
      <c r="G127" s="1734" t="n">
        <v>1.05</v>
      </c>
      <c r="H127" s="1733">
        <f>I127*J127</f>
        <v/>
      </c>
      <c r="I127" s="1735" t="n">
        <v>1.05</v>
      </c>
      <c r="J127" s="1733" t="n">
        <v>0</v>
      </c>
      <c r="K127" s="352" t="n">
        <v>0</v>
      </c>
      <c r="L127" s="808" t="inlineStr">
        <is>
          <t>米</t>
        </is>
      </c>
      <c r="M127" s="1737">
        <f>F127*K127</f>
        <v/>
      </c>
      <c r="N127" s="1737">
        <f>H127*K127</f>
        <v/>
      </c>
      <c r="O127" s="1738">
        <f>J127*K127</f>
        <v/>
      </c>
      <c r="P127" s="1739" t="n"/>
      <c r="Q127" s="1744" t="n"/>
      <c r="R127" s="1745" t="n"/>
      <c r="S127" s="1745" t="n"/>
      <c r="T127" s="802" t="n"/>
    </row>
    <row r="128">
      <c r="B128" s="810" t="n">
        <v>8</v>
      </c>
      <c r="C128" s="1732" t="inlineStr">
        <is>
          <t>材料費用: 電線 (AC端,接地…等 )</t>
        </is>
      </c>
      <c r="D128" s="1687" t="n"/>
      <c r="E128" s="1688" t="n"/>
      <c r="F128" s="1733">
        <f>H128*G128</f>
        <v/>
      </c>
      <c r="G128" s="1734" t="n">
        <v>1.05</v>
      </c>
      <c r="H128" s="1733">
        <f>I128*J128</f>
        <v/>
      </c>
      <c r="I128" s="1735" t="n">
        <v>1.05</v>
      </c>
      <c r="J128" s="1733" t="n">
        <v>0</v>
      </c>
      <c r="K128" s="352" t="n">
        <v>0</v>
      </c>
      <c r="L128" s="808" t="inlineStr">
        <is>
          <t>式</t>
        </is>
      </c>
      <c r="M128" s="1737">
        <f>F128*K128</f>
        <v/>
      </c>
      <c r="N128" s="1737">
        <f>H128*K128</f>
        <v/>
      </c>
      <c r="O128" s="1738">
        <f>J128*K128</f>
        <v/>
      </c>
      <c r="P128" s="1739" t="n"/>
      <c r="Q128" s="1744" t="n"/>
      <c r="R128" s="1745" t="n"/>
      <c r="S128" s="1745" t="n"/>
      <c r="T128" s="802" t="n"/>
    </row>
    <row r="129">
      <c r="B129" s="810" t="n">
        <v>9</v>
      </c>
      <c r="C129" s="1368" t="inlineStr">
        <is>
          <t>材料費用: 管體固定材料</t>
        </is>
      </c>
      <c r="D129" s="1369" t="n"/>
      <c r="E129" s="1370" t="n"/>
      <c r="F129" s="1733">
        <f>H129*G129</f>
        <v/>
      </c>
      <c r="G129" s="1734" t="n">
        <v>1.05</v>
      </c>
      <c r="H129" s="1733">
        <f>I129*J129</f>
        <v/>
      </c>
      <c r="I129" s="1735" t="n">
        <v>1.05</v>
      </c>
      <c r="J129" s="1733" t="n">
        <v>0</v>
      </c>
      <c r="K129" s="352" t="n">
        <v>0</v>
      </c>
      <c r="L129" s="808" t="inlineStr">
        <is>
          <t>式</t>
        </is>
      </c>
      <c r="M129" s="1737">
        <f>F129*K129</f>
        <v/>
      </c>
      <c r="N129" s="1737">
        <f>H129*K129</f>
        <v/>
      </c>
      <c r="O129" s="1738">
        <f>J129*K129</f>
        <v/>
      </c>
      <c r="P129" s="1739" t="n"/>
      <c r="Q129" s="1744" t="n"/>
      <c r="R129" s="1745" t="n"/>
      <c r="S129" s="1745" t="n"/>
      <c r="T129" s="802" t="n"/>
      <c r="U129" s="36" t="n"/>
    </row>
    <row r="130">
      <c r="B130" s="810" t="n">
        <v>10</v>
      </c>
      <c r="C130" s="70" t="inlineStr">
        <is>
          <t>材料費用: 其他材料</t>
        </is>
      </c>
      <c r="D130" s="71" t="n"/>
      <c r="E130" s="72" t="n"/>
      <c r="F130" s="1733">
        <f>H130*G130</f>
        <v/>
      </c>
      <c r="G130" s="1734" t="n">
        <v>1.05</v>
      </c>
      <c r="H130" s="1733">
        <f>I130*J130</f>
        <v/>
      </c>
      <c r="I130" s="1735" t="n">
        <v>1.05</v>
      </c>
      <c r="J130" s="1733" t="n">
        <v>0</v>
      </c>
      <c r="K130" s="354" t="n">
        <v>0</v>
      </c>
      <c r="L130" s="73" t="inlineStr">
        <is>
          <t>式</t>
        </is>
      </c>
      <c r="M130" s="1737">
        <f>F130*K130</f>
        <v/>
      </c>
      <c r="N130" s="1737">
        <f>H130*K130</f>
        <v/>
      </c>
      <c r="O130" s="1738">
        <f>J130*K130</f>
        <v/>
      </c>
      <c r="P130" s="1806" t="n"/>
      <c r="Q130" s="1807" t="n"/>
      <c r="R130" s="1808" t="n"/>
      <c r="S130" s="1808" t="n"/>
      <c r="T130" s="74" t="inlineStr">
        <is>
          <t>端子,壓接套環, 端子套環,號碼環,束線帶,膠帶及螺絲等</t>
        </is>
      </c>
      <c r="U130" s="36" t="n"/>
    </row>
    <row r="131">
      <c r="B131" s="810" t="n">
        <v>11</v>
      </c>
      <c r="C131" s="70" t="inlineStr">
        <is>
          <t>材料費用: 自購電錶費用</t>
        </is>
      </c>
      <c r="D131" s="71" t="n"/>
      <c r="E131" s="72" t="n"/>
      <c r="F131" s="1733">
        <f>H131*G131</f>
        <v/>
      </c>
      <c r="G131" s="1734" t="n">
        <v>1.05</v>
      </c>
      <c r="H131" s="1733">
        <f>I131*J131</f>
        <v/>
      </c>
      <c r="I131" s="1735" t="n">
        <v>1.05</v>
      </c>
      <c r="J131" s="1733" t="n">
        <v>0</v>
      </c>
      <c r="K131" s="352" t="n">
        <v>0</v>
      </c>
      <c r="L131" s="808" t="inlineStr">
        <is>
          <t>式</t>
        </is>
      </c>
      <c r="M131" s="1737">
        <f>F131*K131</f>
        <v/>
      </c>
      <c r="N131" s="1737">
        <f>H131*K131</f>
        <v/>
      </c>
      <c r="O131" s="1738">
        <f>J131*K131</f>
        <v/>
      </c>
      <c r="P131" s="1806" t="n"/>
      <c r="Q131" s="1807" t="n"/>
      <c r="R131" s="1808" t="n"/>
      <c r="S131" s="1808" t="n"/>
      <c r="T131" s="74" t="n"/>
      <c r="U131" s="36" t="n"/>
    </row>
    <row r="132">
      <c r="B132" s="810" t="n">
        <v>12</v>
      </c>
      <c r="C132" s="1732" t="inlineStr">
        <is>
          <t>材料費用: End Cap for Female cable</t>
        </is>
      </c>
      <c r="D132" s="1687" t="n"/>
      <c r="E132" s="1688" t="n"/>
      <c r="F132" s="1733">
        <f>H132*G132</f>
        <v/>
      </c>
      <c r="G132" s="1734" t="n">
        <v>1.05</v>
      </c>
      <c r="H132" s="1733">
        <f>I132*J132</f>
        <v/>
      </c>
      <c r="I132" s="1735" t="n">
        <v>1.05</v>
      </c>
      <c r="J132" s="1733" t="n">
        <v>160</v>
      </c>
      <c r="K132" s="352" t="n">
        <v>0</v>
      </c>
      <c r="L132" s="808" t="inlineStr">
        <is>
          <t>個</t>
        </is>
      </c>
      <c r="M132" s="1737">
        <f>F132*K132</f>
        <v/>
      </c>
      <c r="N132" s="1737">
        <f>H132*K132</f>
        <v/>
      </c>
      <c r="O132" s="1738">
        <f>J132*K132</f>
        <v/>
      </c>
      <c r="P132" s="1739" t="n"/>
      <c r="Q132" s="1744" t="n"/>
      <c r="R132" s="1745" t="n"/>
      <c r="S132" s="1745" t="n"/>
      <c r="T132" s="802" t="inlineStr">
        <is>
          <t xml:space="preserve">Solar Bridge End cap/個 </t>
        </is>
      </c>
    </row>
    <row r="133" ht="15.75" customHeight="1" s="1643">
      <c r="B133" s="810" t="n">
        <v>13</v>
      </c>
      <c r="C133" s="1732" t="inlineStr">
        <is>
          <t xml:space="preserve">材料費用: Transition cable, M, 10' </t>
        </is>
      </c>
      <c r="D133" s="1687" t="n"/>
      <c r="E133" s="1688" t="n"/>
      <c r="F133" s="1733">
        <f>H133*G133</f>
        <v/>
      </c>
      <c r="G133" s="1734" t="n">
        <v>1.05</v>
      </c>
      <c r="H133" s="1733">
        <f>I133*J133</f>
        <v/>
      </c>
      <c r="I133" s="1735" t="n">
        <v>1.05</v>
      </c>
      <c r="J133" s="1733" t="n">
        <v>860</v>
      </c>
      <c r="K133" s="352" t="n">
        <v>0</v>
      </c>
      <c r="L133" s="808" t="inlineStr">
        <is>
          <t>條</t>
        </is>
      </c>
      <c r="M133" s="1737">
        <f>F133*K133</f>
        <v/>
      </c>
      <c r="N133" s="1737">
        <f>H133*K133</f>
        <v/>
      </c>
      <c r="O133" s="1738">
        <f>J133*K133</f>
        <v/>
      </c>
      <c r="P133" s="1739" t="n"/>
      <c r="Q133" s="1744" t="n"/>
      <c r="R133" s="1745" t="n"/>
      <c r="S133" s="1745" t="n"/>
      <c r="T133" s="802" t="n"/>
    </row>
    <row r="134">
      <c r="B134" s="810" t="n">
        <v>14</v>
      </c>
      <c r="C134" s="1732" t="inlineStr">
        <is>
          <t xml:space="preserve">材料費用: Trunk Cable </t>
        </is>
      </c>
      <c r="D134" s="1687" t="n"/>
      <c r="E134" s="1688" t="n"/>
      <c r="F134" s="1733">
        <f>H134*G134</f>
        <v/>
      </c>
      <c r="G134" s="1734" t="n">
        <v>1.05</v>
      </c>
      <c r="H134" s="1733">
        <f>I134*J134</f>
        <v/>
      </c>
      <c r="I134" s="1735" t="n">
        <v>1.05</v>
      </c>
      <c r="J134" s="1733" t="n">
        <v>0</v>
      </c>
      <c r="K134" s="352" t="n">
        <v>0</v>
      </c>
      <c r="L134" s="808" t="inlineStr">
        <is>
          <t>式</t>
        </is>
      </c>
      <c r="M134" s="1737">
        <f>F134*K134</f>
        <v/>
      </c>
      <c r="N134" s="1737">
        <f>H134*K134</f>
        <v/>
      </c>
      <c r="O134" s="1738">
        <f>J134*K134</f>
        <v/>
      </c>
      <c r="P134" s="1739" t="n"/>
      <c r="Q134" s="1744" t="n"/>
      <c r="R134" s="1745" t="n"/>
      <c r="S134" s="1745" t="n"/>
      <c r="T134" s="802" t="n"/>
    </row>
    <row r="135">
      <c r="B135" s="810" t="n">
        <v>15</v>
      </c>
      <c r="C135" s="1746" t="inlineStr">
        <is>
          <t>人力: 點工人力</t>
        </is>
      </c>
      <c r="D135" s="1687" t="n"/>
      <c r="E135" s="1688" t="n"/>
      <c r="F135" s="1733">
        <f>H135*G135</f>
        <v/>
      </c>
      <c r="G135" s="1734" t="n">
        <v>1.05</v>
      </c>
      <c r="H135" s="1733">
        <f>I135*J135</f>
        <v/>
      </c>
      <c r="I135" s="1735" t="n">
        <v>1.05</v>
      </c>
      <c r="J135" s="1733" t="n">
        <v>0</v>
      </c>
      <c r="K135" s="352" t="n">
        <v>0</v>
      </c>
      <c r="L135" s="808" t="inlineStr">
        <is>
          <t>式</t>
        </is>
      </c>
      <c r="M135" s="1737">
        <f>F135*K135</f>
        <v/>
      </c>
      <c r="N135" s="1737">
        <f>H135*K135</f>
        <v/>
      </c>
      <c r="O135" s="1738">
        <f>J135*K135</f>
        <v/>
      </c>
      <c r="P135" s="1739" t="n"/>
      <c r="Q135" s="1744" t="n"/>
      <c r="R135" s="1745" t="n"/>
      <c r="S135" s="1745" t="n"/>
      <c r="T135" s="802" t="n"/>
    </row>
    <row r="136">
      <c r="B136" s="810" t="n">
        <v>16</v>
      </c>
      <c r="C136" s="1732" t="inlineStr">
        <is>
          <t>水路系統</t>
        </is>
      </c>
      <c r="D136" s="1687" t="n"/>
      <c r="E136" s="1688" t="n"/>
      <c r="F136" s="1733">
        <f>H136*G136</f>
        <v/>
      </c>
      <c r="G136" s="1734" t="n">
        <v>1.05</v>
      </c>
      <c r="H136" s="1733">
        <f>I136*J136</f>
        <v/>
      </c>
      <c r="I136" s="1735" t="n">
        <v>1.05</v>
      </c>
      <c r="J136" s="1733" t="n">
        <v>200000</v>
      </c>
      <c r="K136" s="352" t="n">
        <v>0</v>
      </c>
      <c r="L136" s="808" t="inlineStr">
        <is>
          <t>式</t>
        </is>
      </c>
      <c r="M136" s="1737">
        <f>F136*K136</f>
        <v/>
      </c>
      <c r="N136" s="1737">
        <f>H136*K136</f>
        <v/>
      </c>
      <c r="O136" s="1738">
        <f>J136*K136</f>
        <v/>
      </c>
      <c r="P136" s="1739" t="n"/>
      <c r="Q136" s="1744" t="n"/>
      <c r="R136" s="1745" t="n"/>
      <c r="S136" s="1745" t="n"/>
      <c r="T136" s="802" t="inlineStr">
        <is>
          <t>大宇</t>
        </is>
      </c>
    </row>
    <row r="137">
      <c r="B137" s="830" t="n"/>
      <c r="C137" s="38" t="n"/>
      <c r="D137" s="38" t="n"/>
      <c r="E137" s="38" t="n"/>
      <c r="F137" s="1747" t="n"/>
      <c r="G137" s="1747" t="n"/>
      <c r="H137" s="1747" t="n"/>
      <c r="I137" s="1747" t="n"/>
      <c r="J137" s="1747" t="n"/>
      <c r="K137" s="37" t="n"/>
      <c r="L137" s="829" t="inlineStr">
        <is>
          <t>小計</t>
        </is>
      </c>
      <c r="M137" s="1775">
        <f>SUM(M121:M136)</f>
        <v/>
      </c>
      <c r="N137" s="1775">
        <f>SUM(N121:N136)</f>
        <v/>
      </c>
      <c r="O137" s="1776">
        <f>SUM(O121:O136)</f>
        <v/>
      </c>
      <c r="P137" s="1777" t="n"/>
      <c r="Q137" s="1775" t="n"/>
      <c r="R137" s="1775" t="n"/>
      <c r="S137" s="1775" t="n"/>
      <c r="T137" s="46" t="n"/>
    </row>
    <row r="138">
      <c r="B138" s="228" t="inlineStr">
        <is>
          <t>機電設備</t>
        </is>
      </c>
      <c r="C138" s="38" t="n"/>
      <c r="D138" s="38" t="n"/>
      <c r="E138" s="38" t="n"/>
      <c r="F138" s="1747" t="n"/>
      <c r="G138" s="1747" t="n"/>
      <c r="H138" s="1747" t="n"/>
      <c r="I138" s="1747" t="n"/>
      <c r="J138" s="1747" t="n"/>
      <c r="K138" s="37" t="n"/>
      <c r="L138" s="829" t="inlineStr">
        <is>
          <t>平均1KW(未稅)</t>
        </is>
      </c>
      <c r="M138" s="1748">
        <f>M137/$D$2</f>
        <v/>
      </c>
      <c r="N138" s="1748">
        <f>N137/$D$2</f>
        <v/>
      </c>
      <c r="O138" s="1749">
        <f>O137/$D$2</f>
        <v/>
      </c>
      <c r="P138" s="1750" t="n"/>
      <c r="Q138" s="1748" t="n"/>
      <c r="R138" s="1748" t="n"/>
      <c r="S138" s="1748" t="n"/>
      <c r="T138" s="46" t="n"/>
    </row>
    <row r="139">
      <c r="B139" s="220" t="n">
        <v>1</v>
      </c>
      <c r="C139" s="1746" t="inlineStr">
        <is>
          <t>材料費用: AC箱</t>
        </is>
      </c>
      <c r="D139" s="1687" t="n"/>
      <c r="E139" s="1688" t="n"/>
      <c r="F139" s="1733">
        <f>H139*G139</f>
        <v/>
      </c>
      <c r="G139" s="1734" t="n">
        <v>1.05</v>
      </c>
      <c r="H139" s="1733">
        <f>I139*J139</f>
        <v/>
      </c>
      <c r="I139" s="1735" t="n">
        <v>1.05</v>
      </c>
      <c r="J139" s="1733" t="n">
        <v>0</v>
      </c>
      <c r="K139" s="352" t="n">
        <v>0</v>
      </c>
      <c r="L139" s="808" t="inlineStr">
        <is>
          <t>式</t>
        </is>
      </c>
      <c r="M139" s="1737">
        <f>F139*K139</f>
        <v/>
      </c>
      <c r="N139" s="1737">
        <f>H139*K139</f>
        <v/>
      </c>
      <c r="O139" s="1738">
        <f>J139*K139</f>
        <v/>
      </c>
      <c r="P139" s="1739" t="n"/>
      <c r="Q139" s="1744" t="n"/>
      <c r="R139" s="1745" t="n"/>
      <c r="S139" s="1745" t="n"/>
      <c r="T139" s="30" t="n"/>
      <c r="U139" s="36" t="n"/>
    </row>
    <row r="140">
      <c r="B140" s="220" t="n">
        <v>2</v>
      </c>
      <c r="C140" s="1746" t="inlineStr">
        <is>
          <t>材料費用: DC箱</t>
        </is>
      </c>
      <c r="D140" s="1687" t="n"/>
      <c r="E140" s="1688" t="n"/>
      <c r="F140" s="1733">
        <f>H140*G140</f>
        <v/>
      </c>
      <c r="G140" s="1734" t="n">
        <v>1.05</v>
      </c>
      <c r="H140" s="1733">
        <f>I140*J140</f>
        <v/>
      </c>
      <c r="I140" s="1735" t="n">
        <v>1.05</v>
      </c>
      <c r="J140" s="1733" t="n">
        <v>0</v>
      </c>
      <c r="K140" s="352" t="n">
        <v>0</v>
      </c>
      <c r="L140" s="808" t="inlineStr">
        <is>
          <t>式</t>
        </is>
      </c>
      <c r="M140" s="1737">
        <f>F140*K140</f>
        <v/>
      </c>
      <c r="N140" s="1737">
        <f>H140*K140</f>
        <v/>
      </c>
      <c r="O140" s="1738">
        <f>J140*K140</f>
        <v/>
      </c>
      <c r="P140" s="1739" t="n"/>
      <c r="Q140" s="1744" t="n"/>
      <c r="R140" s="1745" t="n"/>
      <c r="S140" s="1745" t="n"/>
      <c r="T140" s="802" t="n"/>
    </row>
    <row r="141">
      <c r="B141" s="823" t="n">
        <v>3</v>
      </c>
      <c r="C141" s="1809" t="inlineStr">
        <is>
          <t>材料費用: 低壓變壓器(380 -&gt; 220V)</t>
        </is>
      </c>
      <c r="D141" s="1647" t="n"/>
      <c r="E141" s="1648" t="n"/>
      <c r="F141" s="1790" t="n">
        <v>275625</v>
      </c>
      <c r="G141" s="1791" t="n">
        <v>1.05</v>
      </c>
      <c r="H141" s="1790" t="n">
        <v>262500</v>
      </c>
      <c r="I141" s="1792" t="n">
        <v>1.05</v>
      </c>
      <c r="J141" s="1793">
        <f>變壓器!G19</f>
        <v/>
      </c>
      <c r="K141" s="821" t="n">
        <v>0</v>
      </c>
      <c r="L141" s="816" t="inlineStr">
        <is>
          <t>式</t>
        </is>
      </c>
      <c r="M141" s="1737">
        <f>F141*K141</f>
        <v/>
      </c>
      <c r="N141" s="1737">
        <f>H141*K141</f>
        <v/>
      </c>
      <c r="O141" s="1738">
        <f>J141*K141</f>
        <v/>
      </c>
      <c r="P141" s="1810" t="inlineStr">
        <is>
          <t>TR500kVA</t>
        </is>
      </c>
      <c r="Q141" s="1796" t="n"/>
      <c r="R141" s="1797" t="n"/>
      <c r="S141" s="1797" t="n"/>
      <c r="T141" s="819" t="n"/>
    </row>
    <row r="142">
      <c r="B142" s="220" t="n">
        <v>3</v>
      </c>
      <c r="C142" s="1746" t="inlineStr">
        <is>
          <t>材料費用: 高壓RTU箱</t>
        </is>
      </c>
      <c r="D142" s="1687" t="n"/>
      <c r="E142" s="1688" t="n"/>
      <c r="F142" s="1733">
        <f>H142*G142</f>
        <v/>
      </c>
      <c r="G142" s="1734" t="n">
        <v>1.05</v>
      </c>
      <c r="H142" s="1733">
        <f>I142*J142</f>
        <v/>
      </c>
      <c r="I142" s="1735" t="n">
        <v>1.05</v>
      </c>
      <c r="J142" s="1736" t="n">
        <v>400000</v>
      </c>
      <c r="K142" s="406">
        <f>IF(#REF!="外線",IF(D2&gt;=1000,"1","0"),0)</f>
        <v/>
      </c>
      <c r="L142" s="808" t="inlineStr">
        <is>
          <t>式</t>
        </is>
      </c>
      <c r="M142" s="1737">
        <f>F142*K142</f>
        <v/>
      </c>
      <c r="N142" s="1737">
        <f>H142*K142</f>
        <v/>
      </c>
      <c r="O142" s="1738">
        <f>J142*K142</f>
        <v/>
      </c>
      <c r="P142" s="1739" t="n"/>
      <c r="Q142" s="1744" t="n"/>
      <c r="R142" s="1745" t="n"/>
      <c r="S142" s="1745" t="n"/>
      <c r="T142" s="802" t="inlineStr">
        <is>
          <t>1M以上需要</t>
        </is>
      </c>
    </row>
    <row r="143">
      <c r="B143" s="220" t="n">
        <v>4</v>
      </c>
      <c r="C143" s="1746" t="inlineStr">
        <is>
          <t>材料費用: 高壓竣工費</t>
        </is>
      </c>
      <c r="D143" s="1687" t="n"/>
      <c r="E143" s="1688" t="n"/>
      <c r="F143" s="1733">
        <f>H143*G143</f>
        <v/>
      </c>
      <c r="G143" s="1734" t="n">
        <v>1.05</v>
      </c>
      <c r="H143" s="1733">
        <f>I143*J143</f>
        <v/>
      </c>
      <c r="I143" s="1735" t="n">
        <v>1.05</v>
      </c>
      <c r="J143" s="1736" t="n">
        <v>50000</v>
      </c>
      <c r="K143" s="406">
        <f>IF(#REF!="外線",IF(D2&gt;=500,"1","0"),0)</f>
        <v/>
      </c>
      <c r="L143" s="808" t="inlineStr">
        <is>
          <t>式</t>
        </is>
      </c>
      <c r="M143" s="1737">
        <f>F143*K143</f>
        <v/>
      </c>
      <c r="N143" s="1737">
        <f>H143*K143</f>
        <v/>
      </c>
      <c r="O143" s="1738">
        <f>J143*K143</f>
        <v/>
      </c>
      <c r="P143" s="1739" t="n"/>
      <c r="Q143" s="1744" t="n"/>
      <c r="R143" s="1745" t="n"/>
      <c r="S143" s="1745" t="n"/>
      <c r="T143" s="802" t="inlineStr">
        <is>
          <t>看幾個盤(1盤約1萬) , 5w(1M)</t>
        </is>
      </c>
    </row>
    <row r="144">
      <c r="B144" s="220" t="n">
        <v>5</v>
      </c>
      <c r="C144" s="1746" t="inlineStr">
        <is>
          <t>材料費用: 高壓年度檢測費</t>
        </is>
      </c>
      <c r="D144" s="1687" t="n"/>
      <c r="E144" s="1688" t="n"/>
      <c r="F144" s="1733">
        <f>H144*G144</f>
        <v/>
      </c>
      <c r="G144" s="1734" t="n">
        <v>1.05</v>
      </c>
      <c r="H144" s="1733">
        <f>I144*J144</f>
        <v/>
      </c>
      <c r="I144" s="1735" t="n">
        <v>1.05</v>
      </c>
      <c r="J144" s="1736" t="n">
        <v>23000</v>
      </c>
      <c r="K144" s="193" t="n">
        <v>0</v>
      </c>
      <c r="L144" s="808" t="inlineStr">
        <is>
          <t>年</t>
        </is>
      </c>
      <c r="M144" s="1737">
        <f>F144*K144</f>
        <v/>
      </c>
      <c r="N144" s="1737">
        <f>H144*K144</f>
        <v/>
      </c>
      <c r="O144" s="1738">
        <f>J144*K144</f>
        <v/>
      </c>
      <c r="P144" s="1739" t="n"/>
      <c r="Q144" s="1744" t="n"/>
      <c r="R144" s="1745" t="n"/>
      <c r="S144" s="1745" t="n"/>
      <c r="T144" s="802" t="inlineStr">
        <is>
          <t>一次2.3萬,一年可兩次</t>
        </is>
      </c>
    </row>
    <row r="145">
      <c r="B145" s="220" t="n">
        <v>6</v>
      </c>
      <c r="C145" s="1732" t="inlineStr">
        <is>
          <t>材料費用: 高壓盤體設備</t>
        </is>
      </c>
      <c r="D145" s="1687" t="n"/>
      <c r="E145" s="1688" t="n"/>
      <c r="F145" s="1733">
        <f>H145*G145</f>
        <v/>
      </c>
      <c r="G145" s="1734" t="n">
        <v>1.05</v>
      </c>
      <c r="H145" s="1733">
        <f>I145*J145</f>
        <v/>
      </c>
      <c r="I145" s="1735" t="n">
        <v>1.05</v>
      </c>
      <c r="J145" s="1811">
        <f>IF(D2&lt;=1000,"2250000",IF(D2&lt;=1500,"2650000",IF(D2&lt;=2000,"3050000")))</f>
        <v/>
      </c>
      <c r="K145" s="406">
        <f>IF(#REF!="外線",IF(D2&gt;=500,"1","0"),0)</f>
        <v/>
      </c>
      <c r="L145" s="353" t="inlineStr">
        <is>
          <t>式</t>
        </is>
      </c>
      <c r="M145" s="1737">
        <f>F145*K145</f>
        <v/>
      </c>
      <c r="N145" s="1737">
        <f>H145*K145</f>
        <v/>
      </c>
      <c r="O145" s="1738">
        <f>J145*K145</f>
        <v/>
      </c>
      <c r="P145" s="1810" t="inlineStr">
        <is>
          <t>1.4；TR、盤↑</t>
        </is>
      </c>
      <c r="Q145" s="1744" t="n"/>
      <c r="R145" s="1745" t="n"/>
      <c r="S145" s="1745" t="n"/>
      <c r="T145" s="802" t="inlineStr">
        <is>
          <t>1M 225萬、1.5M 265萬、2M 305萬 (變壓器差價)</t>
        </is>
      </c>
    </row>
    <row r="146">
      <c r="B146" s="220" t="n">
        <v>7</v>
      </c>
      <c r="C146" s="1732" t="inlineStr">
        <is>
          <t>材料費用: 高壓盤內連接</t>
        </is>
      </c>
      <c r="D146" s="1687" t="n"/>
      <c r="E146" s="1688" t="n"/>
      <c r="F146" s="1733">
        <f>H146*G146</f>
        <v/>
      </c>
      <c r="G146" s="1734" t="n">
        <v>1.05</v>
      </c>
      <c r="H146" s="1733">
        <f>I146*J146</f>
        <v/>
      </c>
      <c r="I146" s="1735" t="n">
        <v>1.05</v>
      </c>
      <c r="J146" s="1811" t="n">
        <v>25000</v>
      </c>
      <c r="K146" s="406">
        <f>IF(#REF!="外線",IF(D2&gt;=500,"1","0"),0)</f>
        <v/>
      </c>
      <c r="L146" s="353" t="inlineStr">
        <is>
          <t>式</t>
        </is>
      </c>
      <c r="M146" s="1737">
        <f>F146*K146</f>
        <v/>
      </c>
      <c r="N146" s="1737">
        <f>H146*K146</f>
        <v/>
      </c>
      <c r="O146" s="1738">
        <f>J146*K146</f>
        <v/>
      </c>
      <c r="P146" s="1739" t="n"/>
      <c r="Q146" s="1744" t="n"/>
      <c r="R146" s="1745" t="n"/>
      <c r="S146" s="1745" t="n"/>
      <c r="T146" s="802" t="inlineStr">
        <is>
          <t>大舜(高壓盤內18顆高壓處理頭連接)</t>
        </is>
      </c>
    </row>
    <row r="147">
      <c r="B147" s="221" t="n"/>
      <c r="C147" s="827" t="n"/>
      <c r="D147" s="827" t="n"/>
      <c r="E147" s="827" t="n"/>
      <c r="F147" s="1747" t="n"/>
      <c r="G147" s="1812" t="n"/>
      <c r="H147" s="1747" t="n"/>
      <c r="I147" s="1812" t="n"/>
      <c r="J147" s="1747" t="n"/>
      <c r="K147" s="37" t="n"/>
      <c r="L147" s="829" t="inlineStr">
        <is>
          <t>小計</t>
        </is>
      </c>
      <c r="M147" s="1775">
        <f>SUM(M139:M146)</f>
        <v/>
      </c>
      <c r="N147" s="1775">
        <f>SUM(N139:N146)</f>
        <v/>
      </c>
      <c r="O147" s="1776">
        <f>SUM(O139:O146)</f>
        <v/>
      </c>
      <c r="P147" s="1777" t="n"/>
      <c r="Q147" s="1813" t="n"/>
      <c r="R147" s="1813" t="n"/>
      <c r="S147" s="1813" t="n"/>
      <c r="T147" s="46" t="n"/>
    </row>
    <row r="148">
      <c r="B148" s="218" t="inlineStr">
        <is>
          <t>統包</t>
        </is>
      </c>
      <c r="C148" s="827" t="n"/>
      <c r="D148" s="827" t="n"/>
      <c r="E148" s="827" t="n"/>
      <c r="F148" s="1747" t="n"/>
      <c r="G148" s="1812" t="n"/>
      <c r="H148" s="1747" t="n"/>
      <c r="I148" s="1812" t="n"/>
      <c r="J148" s="1747" t="n"/>
      <c r="K148" s="37" t="n"/>
      <c r="L148" s="829" t="inlineStr">
        <is>
          <t>平均1KW(未稅)</t>
        </is>
      </c>
      <c r="M148" s="1748">
        <f>M147/$D$2</f>
        <v/>
      </c>
      <c r="N148" s="1748">
        <f>N147/$D$2</f>
        <v/>
      </c>
      <c r="O148" s="1749">
        <f>O147/$D$2</f>
        <v/>
      </c>
      <c r="P148" s="1750" t="n"/>
      <c r="Q148" s="1813" t="n"/>
      <c r="R148" s="1813" t="n"/>
      <c r="S148" s="1813" t="n"/>
      <c r="T148" s="46" t="n"/>
    </row>
    <row r="149">
      <c r="B149" s="1201" t="n">
        <v>1</v>
      </c>
      <c r="C149" s="1742" t="inlineStr">
        <is>
          <t>系統配電工程</t>
        </is>
      </c>
      <c r="D149" s="1687" t="n"/>
      <c r="E149" s="1688" t="n"/>
      <c r="F149" s="1722">
        <f>H149*G149</f>
        <v/>
      </c>
      <c r="G149" s="1723" t="n">
        <v>1.4</v>
      </c>
      <c r="H149" s="1722">
        <f>I149*J149</f>
        <v/>
      </c>
      <c r="I149" s="1724" t="n">
        <v>1.05</v>
      </c>
      <c r="J149" s="1814" t="n">
        <v>12000</v>
      </c>
      <c r="K149" s="1239" t="n"/>
      <c r="L149" s="1205" t="inlineStr">
        <is>
          <t>KW</t>
        </is>
      </c>
      <c r="M149" s="1726">
        <f>F149*K149</f>
        <v/>
      </c>
      <c r="N149" s="1726">
        <f>H149*K149</f>
        <v/>
      </c>
      <c r="O149" s="1727">
        <f>J149*K149</f>
        <v/>
      </c>
      <c r="P149" s="1815" t="n"/>
      <c r="Q149" s="1744" t="n"/>
      <c r="R149" s="1745" t="n"/>
      <c r="S149" s="1745" t="n"/>
      <c r="T149" s="412" t="inlineStr">
        <is>
          <t>10↓(14000)、10~20 (13500)</t>
        </is>
      </c>
      <c r="U149" s="36" t="n"/>
    </row>
    <row r="150">
      <c r="B150" s="220" t="n">
        <v>2</v>
      </c>
      <c r="C150" s="1746" t="inlineStr">
        <is>
          <t>安裝AC模組工程</t>
        </is>
      </c>
      <c r="D150" s="1687" t="n"/>
      <c r="E150" s="1688" t="n"/>
      <c r="F150" s="1733">
        <f>H150*G150</f>
        <v/>
      </c>
      <c r="G150" s="1734" t="n">
        <v>1.05</v>
      </c>
      <c r="H150" s="1733">
        <f>I150*J150</f>
        <v/>
      </c>
      <c r="I150" s="1735" t="n">
        <v>1.05</v>
      </c>
      <c r="J150" s="1733" t="n">
        <v>150</v>
      </c>
      <c r="K150" s="352" t="n">
        <v>0</v>
      </c>
      <c r="L150" s="808" t="inlineStr">
        <is>
          <t>片</t>
        </is>
      </c>
      <c r="M150" s="1737">
        <f>F150*K150</f>
        <v/>
      </c>
      <c r="N150" s="1737">
        <f>H150*K150</f>
        <v/>
      </c>
      <c r="O150" s="1738">
        <f>J150*K150</f>
        <v/>
      </c>
      <c r="P150" s="1739" t="n"/>
      <c r="Q150" s="1744" t="n"/>
      <c r="R150" s="1745" t="n"/>
      <c r="S150" s="1745" t="n"/>
      <c r="T150" s="30" t="inlineStr">
        <is>
          <t>20~100 (13000)、100~200 (12000)、200~300 (11000)</t>
        </is>
      </c>
    </row>
    <row r="151">
      <c r="B151" s="220" t="n">
        <v>3</v>
      </c>
      <c r="C151" s="1746" t="inlineStr">
        <is>
          <t>自設電桿工程</t>
        </is>
      </c>
      <c r="D151" s="1687" t="n"/>
      <c r="E151" s="1688" t="n"/>
      <c r="F151" s="1733">
        <f>H151*G151</f>
        <v/>
      </c>
      <c r="G151" s="1734" t="n">
        <v>1.05</v>
      </c>
      <c r="H151" s="1733">
        <f>I151*J151</f>
        <v/>
      </c>
      <c r="I151" s="1735" t="n">
        <v>1.05</v>
      </c>
      <c r="J151" s="1733" t="n">
        <v>9000</v>
      </c>
      <c r="K151" s="352" t="n">
        <v>0</v>
      </c>
      <c r="L151" s="808" t="inlineStr">
        <is>
          <t>式</t>
        </is>
      </c>
      <c r="M151" s="1737">
        <f>F151*K151</f>
        <v/>
      </c>
      <c r="N151" s="1737">
        <f>H151*K151</f>
        <v/>
      </c>
      <c r="O151" s="1738">
        <f>J151*K151</f>
        <v/>
      </c>
      <c r="P151" s="1739" t="n"/>
      <c r="Q151" s="1744" t="n"/>
      <c r="R151" s="1745" t="n"/>
      <c r="S151" s="1745" t="n"/>
      <c r="T151" s="802" t="inlineStr">
        <is>
          <t>300~400 (10500)、400~500 (10000)、500↑(9500)</t>
        </is>
      </c>
    </row>
    <row r="152">
      <c r="B152" s="830" t="n"/>
      <c r="C152" s="827" t="n"/>
      <c r="D152" s="827" t="n"/>
      <c r="E152" s="827" t="n"/>
      <c r="F152" s="1747" t="n"/>
      <c r="G152" s="1747" t="n"/>
      <c r="H152" s="1747" t="n"/>
      <c r="I152" s="1747" t="n"/>
      <c r="J152" s="1747" t="n"/>
      <c r="K152" s="37" t="n"/>
      <c r="L152" s="829" t="inlineStr">
        <is>
          <t>小計</t>
        </is>
      </c>
      <c r="M152" s="1775">
        <f>SUM(M149:M151)</f>
        <v/>
      </c>
      <c r="N152" s="1775">
        <f>SUM(N149:N151)</f>
        <v/>
      </c>
      <c r="O152" s="1776">
        <f>SUM(O149:O151)</f>
        <v/>
      </c>
      <c r="P152" s="1777" t="n"/>
      <c r="Q152" s="1775" t="n"/>
      <c r="R152" s="1775" t="n"/>
      <c r="S152" s="1775" t="n"/>
      <c r="T152" s="46" t="n"/>
      <c r="U152" s="36" t="n"/>
    </row>
    <row r="153">
      <c r="B153" s="830" t="n"/>
      <c r="C153" s="827" t="n"/>
      <c r="D153" s="827" t="n"/>
      <c r="E153" s="827" t="n"/>
      <c r="F153" s="1747" t="n"/>
      <c r="G153" s="1747" t="n"/>
      <c r="H153" s="1747" t="n"/>
      <c r="I153" s="1747" t="n"/>
      <c r="J153" s="1747" t="n"/>
      <c r="K153" s="37" t="n"/>
      <c r="L153" s="829" t="inlineStr">
        <is>
          <t>平均1KW(未稅)</t>
        </is>
      </c>
      <c r="M153" s="1748">
        <f>M152/$D$2</f>
        <v/>
      </c>
      <c r="N153" s="1748">
        <f>N152/$D$2</f>
        <v/>
      </c>
      <c r="O153" s="1749">
        <f>O152/$D$2</f>
        <v/>
      </c>
      <c r="P153" s="1750" t="n"/>
      <c r="Q153" s="1748" t="n"/>
      <c r="R153" s="1748" t="n"/>
      <c r="S153" s="1748" t="n"/>
      <c r="T153" s="46" t="n"/>
      <c r="U153" s="36" t="n"/>
    </row>
    <row r="154">
      <c r="B154" s="1364" t="inlineStr">
        <is>
          <t>運輸及吊掛工程</t>
        </is>
      </c>
      <c r="C154" s="1767" t="n"/>
      <c r="D154" s="60" t="n"/>
      <c r="E154" s="60" t="n"/>
      <c r="F154" s="1751" t="n"/>
      <c r="G154" s="1751" t="n"/>
      <c r="H154" s="1751" t="n"/>
      <c r="I154" s="1751" t="n"/>
      <c r="J154" s="1751" t="n"/>
      <c r="K154" s="51" t="n"/>
      <c r="L154" s="52" t="n"/>
      <c r="M154" s="1752" t="n"/>
      <c r="N154" s="1752" t="n"/>
      <c r="O154" s="1753" t="n"/>
      <c r="P154" s="1754" t="n"/>
      <c r="Q154" s="1752" t="n"/>
      <c r="R154" s="1752" t="n"/>
      <c r="S154" s="1752" t="n"/>
      <c r="T154" s="54" t="n"/>
    </row>
    <row r="155">
      <c r="B155" s="1212" t="n">
        <v>1</v>
      </c>
      <c r="C155" s="1816" t="inlineStr">
        <is>
          <t>運費:模組</t>
        </is>
      </c>
      <c r="D155" s="1687" t="n"/>
      <c r="E155" s="1688" t="n"/>
      <c r="F155" s="1722">
        <f>H155*G155</f>
        <v/>
      </c>
      <c r="G155" s="1723" t="n">
        <v>1.1</v>
      </c>
      <c r="H155" s="1722">
        <f>I155*J155</f>
        <v/>
      </c>
      <c r="I155" s="1724" t="n">
        <v>1.05</v>
      </c>
      <c r="J155" s="1725" t="n">
        <v>5000</v>
      </c>
      <c r="K155" s="1211" t="n"/>
      <c r="L155" s="1205" t="inlineStr">
        <is>
          <t>式</t>
        </is>
      </c>
      <c r="M155" s="1726">
        <f>F155*K155</f>
        <v/>
      </c>
      <c r="N155" s="1726">
        <f>H155*K155</f>
        <v/>
      </c>
      <c r="O155" s="1727">
        <f>J155*K155</f>
        <v/>
      </c>
      <c r="P155" s="1817" t="inlineStr">
        <is>
          <t>1台/400片</t>
        </is>
      </c>
      <c r="Q155" s="1744" t="n"/>
      <c r="R155" s="1745" t="n"/>
      <c r="S155" s="1745" t="n"/>
      <c r="T155" s="802" t="n"/>
      <c r="U155" s="36" t="n"/>
    </row>
    <row r="156">
      <c r="B156" s="810" t="n">
        <v>2</v>
      </c>
      <c r="C156" s="0" t="inlineStr">
        <is>
          <t>運費:結構</t>
        </is>
      </c>
      <c r="D156" s="0" t="n"/>
      <c r="E156" s="0" t="n"/>
      <c r="F156" s="1733">
        <f>H156*G156</f>
        <v/>
      </c>
      <c r="G156" s="1734" t="n">
        <v>1.05</v>
      </c>
      <c r="H156" s="1733">
        <f>I156*J156</f>
        <v/>
      </c>
      <c r="I156" s="1735" t="n">
        <v>1.05</v>
      </c>
      <c r="J156" s="1778" t="n">
        <v>5000</v>
      </c>
      <c r="K156" s="352" t="n">
        <v>0</v>
      </c>
      <c r="L156" s="808" t="inlineStr">
        <is>
          <t>式</t>
        </is>
      </c>
      <c r="M156" s="1737">
        <f>F156*K156</f>
        <v/>
      </c>
      <c r="N156" s="1737">
        <f>H156*K156</f>
        <v/>
      </c>
      <c r="O156" s="1738">
        <f>J156*K156</f>
        <v/>
      </c>
      <c r="P156" s="1739" t="n"/>
      <c r="Q156" s="1744" t="n"/>
      <c r="R156" s="1745" t="n"/>
      <c r="S156" s="1745" t="n"/>
      <c r="T156" s="802" t="n"/>
    </row>
    <row r="157">
      <c r="B157" s="810" t="n">
        <v>3</v>
      </c>
      <c r="C157" s="1746" t="inlineStr">
        <is>
          <t>運費:逆變器</t>
        </is>
      </c>
      <c r="D157" s="1687" t="n"/>
      <c r="E157" s="1688" t="n"/>
      <c r="F157" s="1733">
        <f>H157*G157</f>
        <v/>
      </c>
      <c r="G157" s="1734" t="n">
        <v>1.05</v>
      </c>
      <c r="H157" s="1733">
        <f>I157*J157</f>
        <v/>
      </c>
      <c r="I157" s="1735" t="n">
        <v>1.05</v>
      </c>
      <c r="J157" s="1778" t="n">
        <v>5000</v>
      </c>
      <c r="K157" s="352" t="n">
        <v>0</v>
      </c>
      <c r="L157" s="808" t="inlineStr">
        <is>
          <t>式</t>
        </is>
      </c>
      <c r="M157" s="1737">
        <f>F157*K157</f>
        <v/>
      </c>
      <c r="N157" s="1737">
        <f>H157*K157</f>
        <v/>
      </c>
      <c r="O157" s="1738">
        <f>J157*K157</f>
        <v/>
      </c>
      <c r="P157" s="1739" t="n"/>
      <c r="Q157" s="1744" t="n"/>
      <c r="R157" s="1745" t="n"/>
      <c r="S157" s="1745" t="n"/>
      <c r="T157" s="802" t="n"/>
    </row>
    <row r="158">
      <c r="B158" s="810" t="n">
        <v>4</v>
      </c>
      <c r="C158" s="1746" t="inlineStr">
        <is>
          <t>運費:變壓器</t>
        </is>
      </c>
      <c r="D158" s="1687" t="n"/>
      <c r="E158" s="1688" t="n"/>
      <c r="F158" s="1733">
        <f>H158*G158</f>
        <v/>
      </c>
      <c r="G158" s="1734" t="n">
        <v>1.05</v>
      </c>
      <c r="H158" s="1733">
        <f>I158*J158</f>
        <v/>
      </c>
      <c r="I158" s="1735" t="n">
        <v>1.05</v>
      </c>
      <c r="J158" s="1778" t="n">
        <v>5000</v>
      </c>
      <c r="K158" s="352" t="n">
        <v>0</v>
      </c>
      <c r="L158" s="808" t="inlineStr">
        <is>
          <t>式</t>
        </is>
      </c>
      <c r="M158" s="1737">
        <f>F158*K158</f>
        <v/>
      </c>
      <c r="N158" s="1737">
        <f>H158*K158</f>
        <v/>
      </c>
      <c r="O158" s="1738">
        <f>J158*K158</f>
        <v/>
      </c>
      <c r="P158" s="1739" t="n"/>
      <c r="Q158" s="1744" t="n"/>
      <c r="R158" s="1745" t="n"/>
      <c r="S158" s="1745" t="n"/>
      <c r="T158" s="802" t="n"/>
    </row>
    <row r="159">
      <c r="B159" s="810" t="n">
        <v>5</v>
      </c>
      <c r="C159" s="1746" t="inlineStr">
        <is>
          <t>運費:箱體</t>
        </is>
      </c>
      <c r="D159" s="1687" t="n"/>
      <c r="E159" s="1688" t="n"/>
      <c r="F159" s="1733">
        <f>H159*G159</f>
        <v/>
      </c>
      <c r="G159" s="1734" t="n">
        <v>1.05</v>
      </c>
      <c r="H159" s="1733">
        <f>I159*J159</f>
        <v/>
      </c>
      <c r="I159" s="1735" t="n">
        <v>1.05</v>
      </c>
      <c r="J159" s="1778" t="n">
        <v>5000</v>
      </c>
      <c r="K159" s="352" t="n">
        <v>0</v>
      </c>
      <c r="L159" s="808" t="inlineStr">
        <is>
          <t>式</t>
        </is>
      </c>
      <c r="M159" s="1737">
        <f>F159*K159</f>
        <v/>
      </c>
      <c r="N159" s="1737">
        <f>H159*K159</f>
        <v/>
      </c>
      <c r="O159" s="1738">
        <f>J159*K159</f>
        <v/>
      </c>
      <c r="P159" s="1739" t="n"/>
      <c r="Q159" s="1744" t="n"/>
      <c r="R159" s="1745" t="n"/>
      <c r="S159" s="1745" t="n"/>
      <c r="T159" s="802" t="n"/>
    </row>
    <row r="160">
      <c r="B160" s="810" t="n">
        <v>6</v>
      </c>
      <c r="C160" s="1746" t="inlineStr">
        <is>
          <t>運費:其它</t>
        </is>
      </c>
      <c r="D160" s="1687" t="n"/>
      <c r="E160" s="1688" t="n"/>
      <c r="F160" s="1733">
        <f>H160*G160</f>
        <v/>
      </c>
      <c r="G160" s="1734" t="n">
        <v>1.05</v>
      </c>
      <c r="H160" s="1733">
        <f>I160*J160</f>
        <v/>
      </c>
      <c r="I160" s="1735" t="n">
        <v>1.05</v>
      </c>
      <c r="J160" s="1778" t="n">
        <v>5000</v>
      </c>
      <c r="K160" s="352" t="n">
        <v>0</v>
      </c>
      <c r="L160" s="808" t="inlineStr">
        <is>
          <t>式</t>
        </is>
      </c>
      <c r="M160" s="1737">
        <f>F160*K160</f>
        <v/>
      </c>
      <c r="N160" s="1737">
        <f>H160*K160</f>
        <v/>
      </c>
      <c r="O160" s="1738">
        <f>J160*K160</f>
        <v/>
      </c>
      <c r="P160" s="1739" t="n"/>
      <c r="Q160" s="1744" t="n"/>
      <c r="R160" s="1745" t="n"/>
      <c r="S160" s="1745" t="n"/>
      <c r="T160" s="802" t="n"/>
    </row>
    <row r="161">
      <c r="B161" s="1212" t="n">
        <v>7</v>
      </c>
      <c r="C161" s="1816" t="inlineStr">
        <is>
          <t>吊掛費用:模組</t>
        </is>
      </c>
      <c r="D161" s="1687" t="n"/>
      <c r="E161" s="1688" t="n"/>
      <c r="F161" s="1722">
        <f>H161*G161</f>
        <v/>
      </c>
      <c r="G161" s="1723" t="n">
        <v>1.1</v>
      </c>
      <c r="H161" s="1722">
        <f>I161*J161</f>
        <v/>
      </c>
      <c r="I161" s="1724" t="n">
        <v>1.05</v>
      </c>
      <c r="J161" s="1725" t="n">
        <v>15000</v>
      </c>
      <c r="K161" s="1211" t="n"/>
      <c r="L161" s="1205" t="inlineStr">
        <is>
          <t>式</t>
        </is>
      </c>
      <c r="M161" s="1726">
        <f>F161*K161</f>
        <v/>
      </c>
      <c r="N161" s="1726">
        <f>H161*K161</f>
        <v/>
      </c>
      <c r="O161" s="1727">
        <f>J161*K161</f>
        <v/>
      </c>
      <c r="P161" s="1818" t="inlineStr">
        <is>
          <t>模組4天、結構4天、廢料2天</t>
        </is>
      </c>
      <c r="Q161" s="1744" t="n"/>
      <c r="R161" s="1745" t="n"/>
      <c r="S161" s="1745" t="n"/>
      <c r="T161" s="802" t="inlineStr">
        <is>
          <t>依案場樓高&amp;區域調整</t>
        </is>
      </c>
      <c r="U161" s="36" t="n"/>
    </row>
    <row r="162">
      <c r="B162" s="810" t="n">
        <v>8</v>
      </c>
      <c r="C162" s="1746" t="inlineStr">
        <is>
          <t>吊掛費用:結構</t>
        </is>
      </c>
      <c r="D162" s="1687" t="n"/>
      <c r="E162" s="1688" t="n"/>
      <c r="F162" s="1733">
        <f>H162*G162</f>
        <v/>
      </c>
      <c r="G162" s="1734" t="n">
        <v>1.05</v>
      </c>
      <c r="H162" s="1733">
        <f>I162*J162</f>
        <v/>
      </c>
      <c r="I162" s="1735" t="n">
        <v>1.05</v>
      </c>
      <c r="J162" s="1778" t="n">
        <v>5000</v>
      </c>
      <c r="K162" s="352" t="n">
        <v>0</v>
      </c>
      <c r="L162" s="808" t="inlineStr">
        <is>
          <t>式</t>
        </is>
      </c>
      <c r="M162" s="1737">
        <f>F162*K162</f>
        <v/>
      </c>
      <c r="N162" s="1737">
        <f>H162*K162</f>
        <v/>
      </c>
      <c r="O162" s="1738">
        <f>J162*K162</f>
        <v/>
      </c>
      <c r="P162" s="1739" t="n"/>
      <c r="Q162" s="1744" t="n"/>
      <c r="R162" s="1745" t="n"/>
      <c r="S162" s="1745" t="n"/>
      <c r="T162" s="802" t="n"/>
    </row>
    <row r="163">
      <c r="B163" s="810" t="n">
        <v>9</v>
      </c>
      <c r="C163" s="1746" t="inlineStr">
        <is>
          <t>吊掛費用:逆變器</t>
        </is>
      </c>
      <c r="D163" s="1687" t="n"/>
      <c r="E163" s="1688" t="n"/>
      <c r="F163" s="1733">
        <f>H163*G163</f>
        <v/>
      </c>
      <c r="G163" s="1734" t="n">
        <v>1.05</v>
      </c>
      <c r="H163" s="1733">
        <f>I163*J163</f>
        <v/>
      </c>
      <c r="I163" s="1735" t="n">
        <v>1.05</v>
      </c>
      <c r="J163" s="1778" t="n">
        <v>5000</v>
      </c>
      <c r="K163" s="352" t="n">
        <v>0</v>
      </c>
      <c r="L163" s="808" t="inlineStr">
        <is>
          <t>式</t>
        </is>
      </c>
      <c r="M163" s="1737">
        <f>F163*K163</f>
        <v/>
      </c>
      <c r="N163" s="1737">
        <f>H163*K163</f>
        <v/>
      </c>
      <c r="O163" s="1738">
        <f>J163*K163</f>
        <v/>
      </c>
      <c r="P163" s="1739" t="n"/>
      <c r="Q163" s="1744" t="n"/>
      <c r="R163" s="1745" t="n"/>
      <c r="S163" s="1745" t="n"/>
      <c r="T163" s="802" t="n"/>
    </row>
    <row r="164">
      <c r="B164" s="810" t="n">
        <v>10</v>
      </c>
      <c r="C164" s="1746" t="inlineStr">
        <is>
          <t>吊掛費用:變壓器</t>
        </is>
      </c>
      <c r="D164" s="1687" t="n"/>
      <c r="E164" s="1688" t="n"/>
      <c r="F164" s="1733">
        <f>H164*G164</f>
        <v/>
      </c>
      <c r="G164" s="1734" t="n">
        <v>1.05</v>
      </c>
      <c r="H164" s="1733">
        <f>I164*J164</f>
        <v/>
      </c>
      <c r="I164" s="1735" t="n">
        <v>1.05</v>
      </c>
      <c r="J164" s="1778" t="n">
        <v>5000</v>
      </c>
      <c r="K164" s="352" t="n">
        <v>0</v>
      </c>
      <c r="L164" s="808" t="inlineStr">
        <is>
          <t>式</t>
        </is>
      </c>
      <c r="M164" s="1737">
        <f>F164*K164</f>
        <v/>
      </c>
      <c r="N164" s="1737">
        <f>H164*K164</f>
        <v/>
      </c>
      <c r="O164" s="1738">
        <f>J164*K164</f>
        <v/>
      </c>
      <c r="P164" s="1739" t="n"/>
      <c r="Q164" s="1744" t="n"/>
      <c r="R164" s="1745" t="n"/>
      <c r="S164" s="1745" t="n"/>
      <c r="T164" s="802" t="n"/>
    </row>
    <row r="165">
      <c r="B165" s="810" t="n">
        <v>11</v>
      </c>
      <c r="C165" s="1746" t="inlineStr">
        <is>
          <t>吊掛費用:箱體</t>
        </is>
      </c>
      <c r="D165" s="1687" t="n"/>
      <c r="E165" s="1688" t="n"/>
      <c r="F165" s="1733">
        <f>H165*G165</f>
        <v/>
      </c>
      <c r="G165" s="1734" t="n">
        <v>1.05</v>
      </c>
      <c r="H165" s="1733">
        <f>I165*J165</f>
        <v/>
      </c>
      <c r="I165" s="1735" t="n">
        <v>1.05</v>
      </c>
      <c r="J165" s="1778" t="n">
        <v>5000</v>
      </c>
      <c r="K165" s="352" t="n">
        <v>0</v>
      </c>
      <c r="L165" s="808" t="inlineStr">
        <is>
          <t>式</t>
        </is>
      </c>
      <c r="M165" s="1737">
        <f>F165*K165</f>
        <v/>
      </c>
      <c r="N165" s="1737">
        <f>H165*K165</f>
        <v/>
      </c>
      <c r="O165" s="1738">
        <f>J165*K165</f>
        <v/>
      </c>
      <c r="P165" s="1739" t="n"/>
      <c r="Q165" s="1744" t="n"/>
      <c r="R165" s="1745" t="n"/>
      <c r="S165" s="1745" t="n"/>
      <c r="T165" s="802" t="n"/>
    </row>
    <row r="166">
      <c r="B166" s="810" t="n">
        <v>12</v>
      </c>
      <c r="C166" s="1746" t="inlineStr">
        <is>
          <t>吊掛費用:其它</t>
        </is>
      </c>
      <c r="D166" s="1687" t="n"/>
      <c r="E166" s="1688" t="n"/>
      <c r="F166" s="1733">
        <f>H166*G166</f>
        <v/>
      </c>
      <c r="G166" s="1734" t="n">
        <v>1.05</v>
      </c>
      <c r="H166" s="1733">
        <f>I166*J166</f>
        <v/>
      </c>
      <c r="I166" s="1735" t="n">
        <v>1.05</v>
      </c>
      <c r="J166" s="1778" t="n">
        <v>5000</v>
      </c>
      <c r="K166" s="352" t="n">
        <v>0</v>
      </c>
      <c r="L166" s="808" t="inlineStr">
        <is>
          <t>式</t>
        </is>
      </c>
      <c r="M166" s="1737">
        <f>F166*K166</f>
        <v/>
      </c>
      <c r="N166" s="1737">
        <f>H166*K166</f>
        <v/>
      </c>
      <c r="O166" s="1738">
        <f>J166*K166</f>
        <v/>
      </c>
      <c r="P166" s="1739" t="n"/>
      <c r="Q166" s="1744" t="n"/>
      <c r="R166" s="1745" t="n"/>
      <c r="S166" s="1745" t="n"/>
      <c r="T166" s="802" t="n"/>
    </row>
    <row r="167">
      <c r="B167" s="830" t="n"/>
      <c r="C167" s="827" t="n"/>
      <c r="D167" s="827" t="n"/>
      <c r="E167" s="827" t="n"/>
      <c r="F167" s="1747" t="n"/>
      <c r="G167" s="1747" t="n"/>
      <c r="H167" s="1747" t="n"/>
      <c r="I167" s="1747" t="n"/>
      <c r="J167" s="1747" t="n"/>
      <c r="K167" s="1819" t="n"/>
      <c r="L167" s="829" t="inlineStr">
        <is>
          <t>小計</t>
        </is>
      </c>
      <c r="M167" s="1775">
        <f>SUM(M155:M166)</f>
        <v/>
      </c>
      <c r="N167" s="1775">
        <f>SUM(N155:N166)</f>
        <v/>
      </c>
      <c r="O167" s="1776">
        <f>SUM(O155:O166)</f>
        <v/>
      </c>
      <c r="P167" s="1777" t="n"/>
      <c r="Q167" s="1775" t="n"/>
      <c r="R167" s="1775" t="n"/>
      <c r="S167" s="1775" t="n"/>
      <c r="T167" s="46" t="n"/>
    </row>
    <row r="168">
      <c r="B168" s="830" t="n"/>
      <c r="C168" s="827" t="n"/>
      <c r="D168" s="827" t="n"/>
      <c r="E168" s="827" t="n"/>
      <c r="F168" s="1747" t="n"/>
      <c r="G168" s="1747" t="n"/>
      <c r="H168" s="1747" t="n"/>
      <c r="I168" s="1747" t="n"/>
      <c r="J168" s="1747" t="n"/>
      <c r="K168" s="1819" t="n"/>
      <c r="L168" s="829" t="inlineStr">
        <is>
          <t>平均1KW(未稅)</t>
        </is>
      </c>
      <c r="M168" s="1748">
        <f>M167/$D$2</f>
        <v/>
      </c>
      <c r="N168" s="1748">
        <f>N167/$D$2</f>
        <v/>
      </c>
      <c r="O168" s="1749">
        <f>O167/$D$2</f>
        <v/>
      </c>
      <c r="P168" s="1750" t="n"/>
      <c r="Q168" s="1748" t="n"/>
      <c r="R168" s="1748" t="n"/>
      <c r="S168" s="1748" t="n"/>
      <c r="T168" s="46" t="n"/>
    </row>
    <row r="169">
      <c r="B169" s="44" t="inlineStr">
        <is>
          <t>台電工程</t>
        </is>
      </c>
      <c r="C169" s="60" t="n"/>
      <c r="D169" s="60" t="n"/>
      <c r="E169" s="60" t="n"/>
      <c r="F169" s="1751" t="n"/>
      <c r="G169" s="1751" t="n"/>
      <c r="H169" s="1751" t="n"/>
      <c r="I169" s="1751" t="n"/>
      <c r="J169" s="1751" t="n"/>
      <c r="K169" s="51" t="n"/>
      <c r="L169" s="52" t="n"/>
      <c r="M169" s="1752" t="n"/>
      <c r="N169" s="1752" t="n"/>
      <c r="O169" s="1753" t="n"/>
      <c r="P169" s="1754" t="n"/>
      <c r="Q169" s="1752" t="n"/>
      <c r="R169" s="1752" t="n"/>
      <c r="S169" s="1752" t="n"/>
      <c r="T169" s="54" t="n"/>
      <c r="U169" s="36" t="n"/>
    </row>
    <row r="170">
      <c r="B170" s="810" t="n">
        <v>1</v>
      </c>
      <c r="C170" s="1746" t="inlineStr">
        <is>
          <t>併網工程費用 (50KW以下免收) [併接外線]</t>
        </is>
      </c>
      <c r="D170" s="1687" t="n"/>
      <c r="E170" s="1688" t="n"/>
      <c r="F170" s="1733">
        <f>H170*G170</f>
        <v/>
      </c>
      <c r="G170" s="1799" t="n">
        <v>1</v>
      </c>
      <c r="H170" s="1733">
        <f>I170*J170</f>
        <v/>
      </c>
      <c r="I170" s="1735" t="n">
        <v>1.05</v>
      </c>
      <c r="J170" s="1768">
        <f>IF(#REF!="外線",IF(#REF!="屋頂",IF(D2&lt;=100,台電!D13,IF(D2&lt;=500,台電!D14,IF(D2&gt;=500,台電!D15))),台電!D16),0)+台電!D15</f>
        <v/>
      </c>
      <c r="K170" s="1004" t="n">
        <v>0</v>
      </c>
      <c r="L170" s="808" t="inlineStr">
        <is>
          <t>KW</t>
        </is>
      </c>
      <c r="M170" s="1737">
        <f>F170*K170</f>
        <v/>
      </c>
      <c r="N170" s="1737">
        <f>H170*K170</f>
        <v/>
      </c>
      <c r="O170" s="1738">
        <f>J170*K170</f>
        <v/>
      </c>
      <c r="P170" s="1739" t="n"/>
      <c r="Q170" s="1744" t="n"/>
      <c r="R170" s="1745" t="n"/>
      <c r="S170" s="1745" t="n"/>
      <c r="T170" s="802" t="inlineStr">
        <is>
          <t>依台電細部協商後,才可確認併內線或外線</t>
        </is>
      </c>
    </row>
    <row r="171">
      <c r="B171" s="810" t="n">
        <v>2</v>
      </c>
      <c r="C171" s="1746" t="inlineStr">
        <is>
          <t>併網審查作業費(高壓8.5萬)</t>
        </is>
      </c>
      <c r="D171" s="1687" t="n"/>
      <c r="E171" s="1688" t="n"/>
      <c r="F171" s="1733">
        <f>H171*G171</f>
        <v/>
      </c>
      <c r="G171" s="1799" t="n">
        <v>1</v>
      </c>
      <c r="H171" s="1733">
        <f>I171*J171</f>
        <v/>
      </c>
      <c r="I171" s="1735" t="n">
        <v>1.05</v>
      </c>
      <c r="J171" s="1768">
        <f>台電!D7</f>
        <v/>
      </c>
      <c r="K171" s="999">
        <f>IF(#REF!="外線",IF(D2&gt;=500,K13,"0"),0)</f>
        <v/>
      </c>
      <c r="L171" s="808" t="inlineStr">
        <is>
          <t>式</t>
        </is>
      </c>
      <c r="M171" s="1737">
        <f>F171*K171</f>
        <v/>
      </c>
      <c r="N171" s="1737">
        <f>H171*K171</f>
        <v/>
      </c>
      <c r="O171" s="1738">
        <f>J171*K171</f>
        <v/>
      </c>
      <c r="P171" s="1739" t="n"/>
      <c r="Q171" s="1744" t="n"/>
      <c r="R171" s="1745" t="n"/>
      <c r="S171" s="1745" t="n"/>
      <c r="T171" s="802" t="inlineStr">
        <is>
          <t>依台電細部協商後,才可確認</t>
        </is>
      </c>
    </row>
    <row r="172">
      <c r="B172" s="830" t="n"/>
      <c r="C172" s="827" t="n"/>
      <c r="D172" s="827" t="n"/>
      <c r="E172" s="827" t="n"/>
      <c r="F172" s="1747" t="n"/>
      <c r="G172" s="1747" t="n"/>
      <c r="H172" s="1747" t="n"/>
      <c r="I172" s="1747" t="n"/>
      <c r="J172" s="1747" t="n"/>
      <c r="K172" s="37" t="n"/>
      <c r="L172" s="829" t="inlineStr">
        <is>
          <t>小計</t>
        </is>
      </c>
      <c r="M172" s="1775">
        <f>SUM(M170:M171)</f>
        <v/>
      </c>
      <c r="N172" s="1775">
        <f>SUM(N170:N171)</f>
        <v/>
      </c>
      <c r="O172" s="1820">
        <f>SUM(O170:O171)</f>
        <v/>
      </c>
      <c r="P172" s="1777" t="n"/>
      <c r="Q172" s="1775" t="n"/>
      <c r="R172" s="1775" t="n"/>
      <c r="S172" s="1775" t="n"/>
      <c r="T172" s="46" t="n"/>
    </row>
    <row r="173" ht="17.25" customHeight="1" s="1643" thickBot="1">
      <c r="B173" s="186" t="n"/>
      <c r="C173" s="187" t="n"/>
      <c r="D173" s="187" t="n"/>
      <c r="E173" s="187" t="n"/>
      <c r="F173" s="1821" t="n"/>
      <c r="G173" s="1821" t="n"/>
      <c r="H173" s="1821" t="n"/>
      <c r="I173" s="1821" t="n"/>
      <c r="J173" s="1821" t="n"/>
      <c r="K173" s="189" t="n"/>
      <c r="L173" s="190" t="inlineStr">
        <is>
          <t>平均1KW(未稅)</t>
        </is>
      </c>
      <c r="M173" s="1822">
        <f>M172/$D$2</f>
        <v/>
      </c>
      <c r="N173" s="1822">
        <f>N172/$D$2</f>
        <v/>
      </c>
      <c r="O173" s="1823">
        <f>O172/$D$2</f>
        <v/>
      </c>
      <c r="P173" s="1824" t="n"/>
      <c r="Q173" s="1822" t="n"/>
      <c r="R173" s="1822" t="n"/>
      <c r="S173" s="1822" t="n"/>
      <c r="T173" s="192" t="n"/>
    </row>
    <row r="174" ht="7.5" customHeight="1" s="1643" thickBot="1">
      <c r="B174" s="1359" t="n"/>
      <c r="C174" s="1710" t="n"/>
      <c r="D174" s="1710" t="n"/>
      <c r="E174" s="1710" t="n"/>
      <c r="F174" s="1710" t="n"/>
      <c r="G174" s="1710" t="n"/>
      <c r="H174" s="1710" t="n"/>
      <c r="I174" s="1710" t="n"/>
      <c r="J174" s="1710" t="n"/>
      <c r="K174" s="1710" t="n"/>
      <c r="L174" s="1710" t="n"/>
      <c r="M174" s="1710" t="n"/>
      <c r="N174" s="1710" t="n"/>
      <c r="O174" s="1710" t="n"/>
      <c r="P174" s="324" t="n"/>
      <c r="Q174" s="257" t="n"/>
      <c r="R174" s="257" t="n"/>
      <c r="S174" s="257" t="n"/>
      <c r="T174" s="258" t="n"/>
    </row>
    <row r="175">
      <c r="B175" s="1332" t="inlineStr">
        <is>
          <t>合計(未稅)</t>
        </is>
      </c>
      <c r="C175" s="1825" t="n"/>
      <c r="D175" s="1825" t="n"/>
      <c r="E175" s="1825" t="n"/>
      <c r="F175" s="1825" t="n"/>
      <c r="G175" s="1825" t="n"/>
      <c r="H175" s="1825" t="n"/>
      <c r="I175" s="1825" t="n"/>
      <c r="J175" s="1825" t="n"/>
      <c r="K175" s="1825" t="n"/>
      <c r="L175" s="1826" t="n"/>
      <c r="M175" s="1827">
        <f>SUM(M10,M19,M24,M43,M47,M65,M70,M76,M79,M94,M98,M115,M118,M137,M147,M152,M167,M172)</f>
        <v/>
      </c>
      <c r="N175" s="1827">
        <f>SUM(N10,N19,N24,N43,N47,N65,N70,N76,N79,N94,N98,N115,N118,N137,N147,N152,N167,N172)</f>
        <v/>
      </c>
      <c r="O175" s="1828">
        <f>SUM(O10,O19,O24,O43,O47,O65,O70,O76,O79,O94,O98,O115,O118,O137,O147,O152,O167,O172)*0+O179*D2</f>
        <v/>
      </c>
      <c r="P175" s="1829" t="n"/>
      <c r="Q175" s="1830" t="n"/>
      <c r="R175" s="1831" t="n"/>
      <c r="S175" s="1831" t="n"/>
      <c r="T175" s="1832" t="n"/>
    </row>
    <row r="176">
      <c r="B176" s="1334" t="inlineStr">
        <is>
          <t>稅金5%</t>
        </is>
      </c>
      <c r="C176" s="1687" t="n"/>
      <c r="D176" s="1687" t="n"/>
      <c r="E176" s="1687" t="n"/>
      <c r="F176" s="1687" t="n"/>
      <c r="G176" s="1687" t="n"/>
      <c r="H176" s="1687" t="n"/>
      <c r="I176" s="1687" t="n"/>
      <c r="J176" s="1687" t="n"/>
      <c r="K176" s="1687" t="n"/>
      <c r="L176" s="1688" t="n"/>
      <c r="M176" s="1833">
        <f>M175*0.05</f>
        <v/>
      </c>
      <c r="N176" s="1833">
        <f>N175*0.05</f>
        <v/>
      </c>
      <c r="O176" s="1834">
        <f>O175*0.05</f>
        <v/>
      </c>
      <c r="P176" s="1835" t="n"/>
      <c r="Q176" s="1835" t="n"/>
      <c r="R176" s="1836" t="n"/>
      <c r="S176" s="1836" t="n"/>
      <c r="T176" s="802" t="n"/>
    </row>
    <row r="177">
      <c r="B177" s="1336" t="inlineStr">
        <is>
          <t>合計(含稅)</t>
        </is>
      </c>
      <c r="C177" s="1687" t="n"/>
      <c r="D177" s="1687" t="n"/>
      <c r="E177" s="1687" t="n"/>
      <c r="F177" s="1687" t="n"/>
      <c r="G177" s="1687" t="n"/>
      <c r="H177" s="1687" t="n"/>
      <c r="I177" s="1687" t="n"/>
      <c r="J177" s="1687" t="n"/>
      <c r="K177" s="1687" t="n"/>
      <c r="L177" s="1688" t="n"/>
      <c r="M177" s="1837">
        <f>SUM(M175:M176)</f>
        <v/>
      </c>
      <c r="N177" s="1837">
        <f>SUM(N175:N176)</f>
        <v/>
      </c>
      <c r="O177" s="1838">
        <f>O175+O176</f>
        <v/>
      </c>
      <c r="P177" s="1839" t="n"/>
      <c r="Q177" s="1839" t="n"/>
      <c r="R177" s="1840" t="n"/>
      <c r="S177" s="1840" t="n"/>
      <c r="T177" s="802" t="n"/>
    </row>
    <row r="178">
      <c r="B178" s="1327" t="inlineStr">
        <is>
          <t>平均1KW(含稅)</t>
        </is>
      </c>
      <c r="C178" s="1841" t="n"/>
      <c r="D178" s="1841" t="n"/>
      <c r="E178" s="1841" t="n"/>
      <c r="F178" s="1841" t="n"/>
      <c r="G178" s="1841" t="n"/>
      <c r="H178" s="1841" t="n"/>
      <c r="I178" s="1841" t="n"/>
      <c r="J178" s="1841" t="n"/>
      <c r="K178" s="1841" t="n"/>
      <c r="L178" s="1842" t="n"/>
      <c r="M178" s="1843">
        <f>M179*1.05</f>
        <v/>
      </c>
      <c r="N178" s="1843">
        <f>N179*1.05</f>
        <v/>
      </c>
      <c r="O178" s="1844">
        <f>O179*1.05</f>
        <v/>
      </c>
      <c r="P178" s="1845" t="n"/>
      <c r="Q178" s="1845" t="n"/>
      <c r="R178" s="1846" t="n"/>
      <c r="S178" s="1846" t="n"/>
      <c r="T178" s="1847" t="n"/>
    </row>
    <row r="179" ht="16.15" customHeight="1" s="1643" thickBot="1">
      <c r="B179" s="1355" t="inlineStr">
        <is>
          <t>平均1KW(未稅)</t>
        </is>
      </c>
      <c r="C179" s="1841" t="n"/>
      <c r="D179" s="1841" t="n"/>
      <c r="E179" s="1841" t="n"/>
      <c r="F179" s="1841" t="n"/>
      <c r="G179" s="1841" t="n"/>
      <c r="H179" s="1841" t="n"/>
      <c r="I179" s="1841" t="n"/>
      <c r="J179" s="1841" t="n"/>
      <c r="K179" s="1841" t="n"/>
      <c r="L179" s="1842" t="n"/>
      <c r="M179" s="1848">
        <f>M175/$D$2</f>
        <v/>
      </c>
      <c r="N179" s="1848">
        <f>N175/$D$2</f>
        <v/>
      </c>
      <c r="O179" s="1849">
        <f>O175/$D$2*0+#REF!</f>
        <v/>
      </c>
      <c r="P179" s="1850" t="n"/>
      <c r="Q179" s="1850" t="n"/>
      <c r="R179" s="1851" t="n"/>
      <c r="S179" s="1851" t="n"/>
      <c r="T179" s="1847" t="n"/>
    </row>
    <row r="180" ht="14.25" customHeight="1" s="1643" thickBot="1">
      <c r="B180" s="278" t="n"/>
      <c r="C180" s="278" t="n"/>
      <c r="D180" s="278" t="n"/>
      <c r="E180" s="278" t="n"/>
      <c r="F180" s="278" t="n"/>
      <c r="G180" s="278" t="n"/>
      <c r="H180" s="278" t="n"/>
      <c r="I180" s="278" t="n"/>
      <c r="J180" s="278" t="n"/>
      <c r="K180" s="278" t="n"/>
      <c r="L180" s="278" t="n"/>
      <c r="M180" s="1852" t="n"/>
      <c r="N180" s="1852" t="n"/>
      <c r="O180" s="1852" t="n"/>
      <c r="P180" s="1853" t="n"/>
      <c r="Q180" s="1852" t="n"/>
      <c r="R180" s="1852" t="n"/>
      <c r="S180" s="1852" t="n"/>
      <c r="T180" s="1854" t="n"/>
    </row>
    <row r="181" ht="22.5" customHeight="1" s="1643" thickBot="1">
      <c r="B181" s="1357" t="inlineStr">
        <is>
          <t>其它利潤</t>
        </is>
      </c>
      <c r="C181" s="1710" t="n"/>
      <c r="D181" s="293">
        <f>(M214-O214)/M214</f>
        <v/>
      </c>
      <c r="E181" s="294" t="n"/>
      <c r="F181" s="295" t="n"/>
      <c r="G181" s="296" t="n"/>
      <c r="H181" s="296" t="n"/>
      <c r="I181" s="296" t="n"/>
      <c r="J181" s="296" t="n"/>
      <c r="K181" s="296" t="n"/>
      <c r="L181" s="296" t="n"/>
      <c r="M181" s="1855" t="n"/>
      <c r="N181" s="1855" t="n"/>
      <c r="O181" s="1855" t="n"/>
      <c r="P181" s="1856" t="n"/>
      <c r="Q181" s="1855" t="n"/>
      <c r="R181" s="1855" t="n"/>
      <c r="S181" s="1855" t="n"/>
      <c r="T181" s="1857" t="n"/>
    </row>
    <row r="182" ht="19.5" customHeight="1" s="1643">
      <c r="B182" s="1350" t="inlineStr">
        <is>
          <t>維運工程</t>
        </is>
      </c>
      <c r="C182" s="1825" t="n"/>
      <c r="D182" s="281" t="inlineStr">
        <is>
          <t>保固共</t>
        </is>
      </c>
      <c r="E182" s="1858" t="n">
        <v>20</v>
      </c>
      <c r="F182" s="1859" t="n"/>
      <c r="G182" s="1859" t="n"/>
      <c r="H182" s="1859" t="n"/>
      <c r="I182" s="1859" t="n"/>
      <c r="J182" s="1859" t="n"/>
      <c r="K182" s="283" t="n"/>
      <c r="L182" s="284" t="n"/>
      <c r="M182" s="1860" t="n"/>
      <c r="N182" s="1860" t="n"/>
      <c r="O182" s="1861" t="n"/>
      <c r="P182" s="1862" t="n"/>
      <c r="Q182" s="1860" t="n"/>
      <c r="R182" s="1860" t="n"/>
      <c r="S182" s="1860" t="n"/>
      <c r="T182" s="287" t="n"/>
    </row>
    <row r="183">
      <c r="B183" s="810" t="n">
        <v>1</v>
      </c>
      <c r="C183" s="1746" t="inlineStr">
        <is>
          <t>清洗</t>
        </is>
      </c>
      <c r="D183" s="1687" t="n"/>
      <c r="E183" s="1688" t="n"/>
      <c r="F183" s="1733">
        <f>H183*G183</f>
        <v/>
      </c>
      <c r="G183" s="1799" t="n">
        <v>1</v>
      </c>
      <c r="H183" s="1733">
        <f>I183*J183</f>
        <v/>
      </c>
      <c r="I183" s="1735" t="n">
        <v>1</v>
      </c>
      <c r="J183" s="1778" t="n">
        <v>15</v>
      </c>
      <c r="K183" s="352" t="n">
        <v>0</v>
      </c>
      <c r="L183" s="808" t="inlineStr">
        <is>
          <t>片</t>
        </is>
      </c>
      <c r="M183" s="1737">
        <f>F183*K183*S183*Q183</f>
        <v/>
      </c>
      <c r="N183" s="1737">
        <f>H183*K183*S183*Q183</f>
        <v/>
      </c>
      <c r="O183" s="1738">
        <f>J183*K183*S183*Q183</f>
        <v/>
      </c>
      <c r="P183" s="1739" t="n"/>
      <c r="Q183" s="1744">
        <f>E182</f>
        <v/>
      </c>
      <c r="R183" s="1863" t="inlineStr">
        <is>
          <t>年</t>
        </is>
      </c>
      <c r="S183" s="1864" t="n">
        <v>2</v>
      </c>
      <c r="T183" s="802" t="inlineStr">
        <is>
          <t>每年次數</t>
        </is>
      </c>
    </row>
    <row r="184">
      <c r="B184" s="810" t="n">
        <v>2</v>
      </c>
      <c r="C184" s="1746" t="inlineStr">
        <is>
          <t>材料更換</t>
        </is>
      </c>
      <c r="D184" s="1687" t="n"/>
      <c r="E184" s="1688" t="n"/>
      <c r="F184" s="1733">
        <f>H184*G184</f>
        <v/>
      </c>
      <c r="G184" s="1799" t="n">
        <v>1</v>
      </c>
      <c r="H184" s="1733">
        <f>I184*J184</f>
        <v/>
      </c>
      <c r="I184" s="1735" t="n">
        <v>1</v>
      </c>
      <c r="J184" s="1778" t="n">
        <v>50000</v>
      </c>
      <c r="K184" s="352" t="n">
        <v>0</v>
      </c>
      <c r="L184" s="808" t="inlineStr">
        <is>
          <t>年</t>
        </is>
      </c>
      <c r="M184" s="1737">
        <f>F184*K184</f>
        <v/>
      </c>
      <c r="N184" s="1737">
        <f>H184*K184</f>
        <v/>
      </c>
      <c r="O184" s="1738">
        <f>J184*K184</f>
        <v/>
      </c>
      <c r="P184" s="1739" t="n"/>
      <c r="Q184" s="1744" t="n"/>
      <c r="R184" s="1863" t="n"/>
      <c r="S184" s="1745" t="n"/>
      <c r="T184" s="802" t="n"/>
      <c r="U184" s="36" t="n"/>
    </row>
    <row r="185">
      <c r="B185" s="810" t="n">
        <v>3</v>
      </c>
      <c r="C185" s="1746" t="inlineStr">
        <is>
          <t>電廠數據分析</t>
        </is>
      </c>
      <c r="D185" s="1687" t="n"/>
      <c r="E185" s="1688" t="n"/>
      <c r="F185" s="1733">
        <f>H185*G185</f>
        <v/>
      </c>
      <c r="G185" s="1799" t="n">
        <v>1</v>
      </c>
      <c r="H185" s="1733">
        <f>I185*J185</f>
        <v/>
      </c>
      <c r="I185" s="1735" t="n">
        <v>1.05</v>
      </c>
      <c r="J185" s="1778">
        <f>J103</f>
        <v/>
      </c>
      <c r="K185" s="352" t="n">
        <v>0</v>
      </c>
      <c r="L185" s="808" t="inlineStr">
        <is>
          <t>年</t>
        </is>
      </c>
      <c r="M185" s="1737">
        <f>F185*K185</f>
        <v/>
      </c>
      <c r="N185" s="1737">
        <f>H185*K185</f>
        <v/>
      </c>
      <c r="O185" s="1738">
        <f>J185*K185</f>
        <v/>
      </c>
      <c r="P185" s="1739" t="n"/>
      <c r="Q185" s="1744" t="n"/>
      <c r="R185" s="1863" t="n"/>
      <c r="S185" s="1745" t="n"/>
      <c r="T185" s="802" t="inlineStr">
        <is>
          <t>信邦人員分析</t>
        </is>
      </c>
    </row>
    <row r="186">
      <c r="B186" s="810" t="n">
        <v>4</v>
      </c>
      <c r="C186" s="1155" t="inlineStr">
        <is>
          <t>逆變器更換</t>
        </is>
      </c>
      <c r="D186" s="1687" t="n"/>
      <c r="E186" s="1688" t="n"/>
      <c r="F186" s="1733">
        <f>H186*G186</f>
        <v/>
      </c>
      <c r="G186" s="1799" t="n">
        <v>1</v>
      </c>
      <c r="H186" s="1733">
        <f>I186*J186</f>
        <v/>
      </c>
      <c r="I186" s="1735" t="n">
        <v>1.05</v>
      </c>
      <c r="J186" s="1778">
        <f>M8</f>
        <v/>
      </c>
      <c r="K186" s="352" t="n"/>
      <c r="L186" s="314" t="inlineStr">
        <is>
          <t>次</t>
        </is>
      </c>
      <c r="M186" s="1737">
        <f>F186*K186</f>
        <v/>
      </c>
      <c r="N186" s="1737">
        <f>H186*K186</f>
        <v/>
      </c>
      <c r="O186" s="1738">
        <f>J186*K186</f>
        <v/>
      </c>
      <c r="P186" s="1739" t="n"/>
      <c r="Q186" s="317" t="n"/>
      <c r="R186" s="122" t="n"/>
      <c r="S186" s="122" t="n"/>
      <c r="T186" s="313" t="n"/>
      <c r="U186" s="36" t="n"/>
    </row>
    <row r="187">
      <c r="B187" s="1217" t="n">
        <v>5</v>
      </c>
      <c r="C187" s="1865" t="inlineStr">
        <is>
          <t>數據收集器更換</t>
        </is>
      </c>
      <c r="D187" s="1687" t="n"/>
      <c r="E187" s="1866" t="n"/>
      <c r="F187" s="1722">
        <f>H187*G187</f>
        <v/>
      </c>
      <c r="G187" s="1867" t="n">
        <v>1</v>
      </c>
      <c r="H187" s="1722">
        <f>I187*J187</f>
        <v/>
      </c>
      <c r="I187" s="1867" t="n">
        <v>1.05</v>
      </c>
      <c r="J187" s="1868" t="n">
        <v>28000</v>
      </c>
      <c r="K187" s="1220" t="n"/>
      <c r="L187" s="1221" t="inlineStr">
        <is>
          <t>台</t>
        </is>
      </c>
      <c r="M187" s="1726">
        <f>F187*K187</f>
        <v/>
      </c>
      <c r="N187" s="1726">
        <f>H187*K187</f>
        <v/>
      </c>
      <c r="O187" s="1727">
        <f>J187*K187</f>
        <v/>
      </c>
      <c r="P187" s="1869" t="inlineStr">
        <is>
          <t>1台使用4年</t>
        </is>
      </c>
      <c r="Q187" s="1869" t="n"/>
      <c r="R187" s="1870" t="n"/>
      <c r="S187" s="1870" t="n"/>
      <c r="T187" s="836" t="n"/>
      <c r="U187" s="36" t="n"/>
    </row>
    <row r="188">
      <c r="B188" s="1212" t="n">
        <v>6</v>
      </c>
      <c r="C188" s="1865" t="inlineStr">
        <is>
          <t>環控設備更換</t>
        </is>
      </c>
      <c r="D188" s="1687" t="n"/>
      <c r="E188" s="1866" t="n"/>
      <c r="F188" s="1722">
        <f>H188*G188</f>
        <v/>
      </c>
      <c r="G188" s="1867" t="n">
        <v>1</v>
      </c>
      <c r="H188" s="1722">
        <f>I188*J188</f>
        <v/>
      </c>
      <c r="I188" s="1867" t="n">
        <v>1.05</v>
      </c>
      <c r="J188" s="1868" t="n">
        <v>28500</v>
      </c>
      <c r="K188" s="1220" t="n"/>
      <c r="L188" s="1221" t="inlineStr">
        <is>
          <t>式</t>
        </is>
      </c>
      <c r="M188" s="1726">
        <f>F188*K188</f>
        <v/>
      </c>
      <c r="N188" s="1726">
        <f>H188*K188</f>
        <v/>
      </c>
      <c r="O188" s="1727">
        <f>J188*K188</f>
        <v/>
      </c>
      <c r="P188" s="1869" t="inlineStr">
        <is>
          <t>日照計使用4年</t>
        </is>
      </c>
      <c r="Q188" s="1869" t="n"/>
      <c r="R188" s="1870" t="n"/>
      <c r="S188" s="1870" t="n"/>
      <c r="T188" s="836" t="n"/>
      <c r="U188" s="36" t="n"/>
    </row>
    <row r="189">
      <c r="B189" s="1217" t="n">
        <v>7</v>
      </c>
      <c r="C189" s="1871" t="inlineStr">
        <is>
          <t>材料費用: 雲端系統</t>
        </is>
      </c>
      <c r="D189" s="1687" t="n"/>
      <c r="E189" s="1866" t="n"/>
      <c r="F189" s="1722">
        <f>H189*G189</f>
        <v/>
      </c>
      <c r="G189" s="1872" t="n">
        <v>1.05</v>
      </c>
      <c r="H189" s="1722">
        <f>I189*J189</f>
        <v/>
      </c>
      <c r="I189" s="1867" t="n">
        <v>1.05</v>
      </c>
      <c r="J189" s="1873">
        <f>J104</f>
        <v/>
      </c>
      <c r="K189" s="1224" t="n"/>
      <c r="L189" s="1221" t="inlineStr">
        <is>
          <t>年</t>
        </is>
      </c>
      <c r="M189" s="1726">
        <f>F189*K189</f>
        <v/>
      </c>
      <c r="N189" s="1726">
        <f>H189*K189</f>
        <v/>
      </c>
      <c r="O189" s="1727">
        <f>J189*K189</f>
        <v/>
      </c>
      <c r="P189" s="1869" t="n"/>
      <c r="Q189" s="1874" t="n"/>
      <c r="R189" s="1875" t="n"/>
      <c r="S189" s="1875" t="n"/>
      <c r="T189" s="836" t="n"/>
      <c r="U189" s="36" t="n"/>
    </row>
    <row r="190">
      <c r="B190" s="810" t="n">
        <v>8</v>
      </c>
      <c r="C190" s="1809" t="inlineStr">
        <is>
          <t>交通費</t>
        </is>
      </c>
      <c r="D190" s="1647" t="n"/>
      <c r="E190" s="1648" t="n"/>
      <c r="F190" s="1733">
        <f>H190*G190</f>
        <v/>
      </c>
      <c r="G190" s="1799" t="n">
        <v>1</v>
      </c>
      <c r="H190" s="1733">
        <f>I190*J190</f>
        <v/>
      </c>
      <c r="I190" s="1735" t="n">
        <v>1</v>
      </c>
      <c r="J190" s="1778" t="n">
        <v>50000</v>
      </c>
      <c r="K190" s="352" t="n"/>
      <c r="L190" s="808" t="inlineStr">
        <is>
          <t>年</t>
        </is>
      </c>
      <c r="M190" s="1737">
        <f>F190*K190</f>
        <v/>
      </c>
      <c r="N190" s="1737">
        <f>H190*K190</f>
        <v/>
      </c>
      <c r="O190" s="1738">
        <f>J190*K190</f>
        <v/>
      </c>
      <c r="P190" s="1739" t="n"/>
      <c r="Q190" s="1744" t="n"/>
      <c r="R190" s="1745" t="n"/>
      <c r="S190" s="1745" t="n"/>
      <c r="T190" s="802" t="n"/>
      <c r="U190" s="36" t="n"/>
    </row>
    <row r="191">
      <c r="B191" s="830" t="n"/>
      <c r="C191" s="827" t="n"/>
      <c r="D191" s="827" t="n"/>
      <c r="E191" s="827" t="n"/>
      <c r="F191" s="1747" t="n"/>
      <c r="G191" s="1747" t="n"/>
      <c r="H191" s="1747" t="n"/>
      <c r="I191" s="1747" t="n"/>
      <c r="J191" s="1747" t="n"/>
      <c r="K191" s="1819" t="n"/>
      <c r="L191" s="829" t="inlineStr">
        <is>
          <t>小計</t>
        </is>
      </c>
      <c r="M191" s="1775">
        <f>SUM(M183:M190)</f>
        <v/>
      </c>
      <c r="N191" s="1775">
        <f>SUM(N183:N190)</f>
        <v/>
      </c>
      <c r="O191" s="1776">
        <f>SUM(O183:O190)</f>
        <v/>
      </c>
      <c r="P191" s="1777" t="n"/>
      <c r="Q191" s="1775" t="n"/>
      <c r="R191" s="1775" t="n"/>
      <c r="S191" s="1775" t="n"/>
      <c r="T191" s="46" t="n"/>
    </row>
    <row r="192">
      <c r="B192" s="218" t="inlineStr">
        <is>
          <t>統包</t>
        </is>
      </c>
      <c r="C192" s="827" t="n"/>
      <c r="D192" s="827" t="n"/>
      <c r="E192" s="827" t="n"/>
      <c r="F192" s="1747" t="n"/>
      <c r="G192" s="1747" t="n"/>
      <c r="H192" s="1747" t="n"/>
      <c r="I192" s="1747" t="n"/>
      <c r="J192" s="1747" t="n"/>
      <c r="K192" s="1819" t="n"/>
      <c r="L192" s="829" t="inlineStr">
        <is>
          <t>平均1KW(未稅)</t>
        </is>
      </c>
      <c r="M192" s="1748">
        <f>M191/$D$2</f>
        <v/>
      </c>
      <c r="N192" s="1748">
        <f>N191/$D$2</f>
        <v/>
      </c>
      <c r="O192" s="1749">
        <f>O191/$D$2</f>
        <v/>
      </c>
      <c r="P192" s="1750" t="n"/>
      <c r="Q192" s="1748" t="n"/>
      <c r="R192" s="1748" t="n"/>
      <c r="S192" s="1748" t="n"/>
      <c r="T192" s="46" t="n"/>
    </row>
    <row r="193">
      <c r="B193" s="220" t="n">
        <v>1</v>
      </c>
      <c r="C193" s="1732" t="inlineStr">
        <is>
          <t>清洗工程</t>
        </is>
      </c>
      <c r="D193" s="1687" t="n"/>
      <c r="E193" s="1688" t="n"/>
      <c r="F193" s="1733">
        <f>H193*G193</f>
        <v/>
      </c>
      <c r="G193" s="1799" t="n">
        <v>1.5</v>
      </c>
      <c r="H193" s="1733">
        <f>I193*J193</f>
        <v/>
      </c>
      <c r="I193" s="1735" t="n">
        <v>1</v>
      </c>
      <c r="J193" s="1736" t="n">
        <v>4000</v>
      </c>
      <c r="K193" s="1876">
        <f>D2</f>
        <v/>
      </c>
      <c r="L193" s="808" t="inlineStr">
        <is>
          <t>KW</t>
        </is>
      </c>
      <c r="M193" s="1737">
        <f>F193*K193</f>
        <v/>
      </c>
      <c r="N193" s="1737">
        <f>H193*K193</f>
        <v/>
      </c>
      <c r="O193" s="1738">
        <f>J193*K193</f>
        <v/>
      </c>
      <c r="P193" s="1869" t="inlineStr">
        <is>
          <t>400-&gt;300/kW(需與運維確認)</t>
        </is>
      </c>
      <c r="Q193" s="1744" t="n"/>
      <c r="R193" s="1745" t="n"/>
      <c r="S193" s="1745" t="n"/>
      <c r="T193" s="30" t="inlineStr">
        <is>
          <t>400/kW*20年(攤提)</t>
        </is>
      </c>
      <c r="U193" s="36" t="n"/>
    </row>
    <row r="194">
      <c r="B194" s="220" t="n">
        <v>2</v>
      </c>
      <c r="C194" s="1746" t="inlineStr">
        <is>
          <t>電廠數據分析工程</t>
        </is>
      </c>
      <c r="D194" s="1687" t="n"/>
      <c r="E194" s="1688" t="n"/>
      <c r="F194" s="1733">
        <f>H194*G194</f>
        <v/>
      </c>
      <c r="G194" s="1799" t="n">
        <v>1.05</v>
      </c>
      <c r="H194" s="1733">
        <f>I194*J194</f>
        <v/>
      </c>
      <c r="I194" s="1735" t="n">
        <v>1.05</v>
      </c>
      <c r="J194" s="1778" t="n">
        <v>100000</v>
      </c>
      <c r="K194" s="352" t="n">
        <v>0</v>
      </c>
      <c r="L194" s="808" t="inlineStr">
        <is>
          <t>式</t>
        </is>
      </c>
      <c r="M194" s="1737">
        <f>F194*K194</f>
        <v/>
      </c>
      <c r="N194" s="1737">
        <f>H194*K194</f>
        <v/>
      </c>
      <c r="O194" s="1738">
        <f>J194*K194</f>
        <v/>
      </c>
      <c r="P194" s="1739" t="n"/>
      <c r="Q194" s="1744" t="n"/>
      <c r="R194" s="1745" t="n"/>
      <c r="S194" s="1745" t="n"/>
      <c r="T194" s="30" t="n"/>
      <c r="U194" s="36" t="n"/>
    </row>
    <row r="195">
      <c r="B195" s="830" t="n"/>
      <c r="C195" s="827" t="n"/>
      <c r="D195" s="827" t="n"/>
      <c r="E195" s="827" t="n"/>
      <c r="F195" s="1747" t="n"/>
      <c r="G195" s="1747" t="n"/>
      <c r="H195" s="1747" t="n"/>
      <c r="I195" s="1747" t="n"/>
      <c r="J195" s="1747" t="n"/>
      <c r="K195" s="37" t="n"/>
      <c r="L195" s="829" t="inlineStr">
        <is>
          <t>小計</t>
        </is>
      </c>
      <c r="M195" s="1775">
        <f>SUM(M193:M194)</f>
        <v/>
      </c>
      <c r="N195" s="1775">
        <f>SUM(N193:N194)</f>
        <v/>
      </c>
      <c r="O195" s="1776">
        <f>SUM(O193:O194)</f>
        <v/>
      </c>
      <c r="P195" s="1777" t="n"/>
      <c r="Q195" s="1775" t="n"/>
      <c r="R195" s="1775" t="n"/>
      <c r="S195" s="1775" t="n"/>
      <c r="T195" s="46" t="n"/>
      <c r="U195" s="36" t="n"/>
    </row>
    <row r="196">
      <c r="B196" s="830" t="n"/>
      <c r="C196" s="827" t="n"/>
      <c r="D196" s="827" t="n"/>
      <c r="E196" s="827" t="n"/>
      <c r="F196" s="1747" t="n"/>
      <c r="G196" s="1747" t="n"/>
      <c r="H196" s="1747" t="n"/>
      <c r="I196" s="1747" t="n"/>
      <c r="J196" s="1747" t="n"/>
      <c r="K196" s="37" t="n"/>
      <c r="L196" s="829" t="inlineStr">
        <is>
          <t>平均1KW(未稅)</t>
        </is>
      </c>
      <c r="M196" s="1748">
        <f>M195/$D$2</f>
        <v/>
      </c>
      <c r="N196" s="1748">
        <f>N195/$D$2</f>
        <v/>
      </c>
      <c r="O196" s="1749">
        <f>O195/$D$2</f>
        <v/>
      </c>
      <c r="P196" s="1750" t="n"/>
      <c r="Q196" s="1748" t="n"/>
      <c r="R196" s="1748" t="n"/>
      <c r="S196" s="1748" t="n"/>
      <c r="T196" s="46" t="n"/>
      <c r="U196" s="36" t="n"/>
    </row>
    <row r="197" ht="19.5" customHeight="1" s="1643">
      <c r="B197" s="1338" t="inlineStr">
        <is>
          <t>模組回收費</t>
        </is>
      </c>
      <c r="C197" s="1767" t="n"/>
      <c r="D197" s="267" t="inlineStr">
        <is>
          <t>攤提共</t>
        </is>
      </c>
      <c r="E197" s="1877" t="n">
        <v>10</v>
      </c>
      <c r="F197" s="1878" t="n"/>
      <c r="G197" s="1878" t="n"/>
      <c r="H197" s="1878" t="n"/>
      <c r="I197" s="1878" t="n"/>
      <c r="J197" s="1878" t="n"/>
      <c r="K197" s="269" t="n"/>
      <c r="L197" s="270" t="n"/>
      <c r="M197" s="1879" t="n"/>
      <c r="N197" s="1879" t="n"/>
      <c r="O197" s="1880" t="n"/>
      <c r="P197" s="1881" t="n"/>
      <c r="Q197" s="1879" t="n"/>
      <c r="R197" s="1879" t="n"/>
      <c r="S197" s="1879" t="n"/>
      <c r="T197" s="273" t="n"/>
    </row>
    <row r="198">
      <c r="B198" s="810" t="n">
        <v>1</v>
      </c>
      <c r="C198" s="1746" t="inlineStr">
        <is>
          <t>模組回收費</t>
        </is>
      </c>
      <c r="D198" s="1687" t="n"/>
      <c r="E198" s="1688" t="n"/>
      <c r="F198" s="1733">
        <f>H198*G198</f>
        <v/>
      </c>
      <c r="G198" s="1762" t="n">
        <v>1</v>
      </c>
      <c r="H198" s="1733">
        <f>J198*I198</f>
        <v/>
      </c>
      <c r="I198" s="1762" t="n">
        <v>1</v>
      </c>
      <c r="J198" s="1736" t="n">
        <v>1000</v>
      </c>
      <c r="K198" s="1876">
        <f>D2</f>
        <v/>
      </c>
      <c r="L198" s="808" t="inlineStr">
        <is>
          <t>KW</t>
        </is>
      </c>
      <c r="M198" s="1737">
        <f>K198*F198</f>
        <v/>
      </c>
      <c r="N198" s="1737">
        <f>K198*H198</f>
        <v/>
      </c>
      <c r="O198" s="1738">
        <f>J198*K198</f>
        <v/>
      </c>
      <c r="P198" s="1739" t="n"/>
      <c r="Q198" s="1882" t="n"/>
      <c r="R198" s="1863" t="n"/>
      <c r="S198" s="1745" t="n"/>
      <c r="T198" s="30" t="inlineStr">
        <is>
          <t>100/kW*10年(攤提)</t>
        </is>
      </c>
    </row>
    <row r="199">
      <c r="B199" s="830" t="n"/>
      <c r="C199" s="827" t="n"/>
      <c r="D199" s="827" t="n"/>
      <c r="E199" s="827" t="n"/>
      <c r="F199" s="1747" t="n"/>
      <c r="G199" s="1747" t="n"/>
      <c r="H199" s="1747" t="n"/>
      <c r="I199" s="1747" t="n"/>
      <c r="J199" s="1747" t="n"/>
      <c r="K199" s="1819" t="n"/>
      <c r="L199" s="829" t="inlineStr">
        <is>
          <t>小計</t>
        </is>
      </c>
      <c r="M199" s="1775">
        <f>SUM(M198:M198)</f>
        <v/>
      </c>
      <c r="N199" s="1775">
        <f>SUM(N198:N198)</f>
        <v/>
      </c>
      <c r="O199" s="1776">
        <f>SUM(O198:O198)</f>
        <v/>
      </c>
      <c r="P199" s="1777" t="n"/>
      <c r="Q199" s="1775" t="n"/>
      <c r="R199" s="1775" t="n"/>
      <c r="S199" s="1775" t="n"/>
      <c r="T199" s="46" t="n"/>
    </row>
    <row r="200">
      <c r="B200" s="218" t="n"/>
      <c r="C200" s="827" t="n"/>
      <c r="D200" s="827" t="n"/>
      <c r="E200" s="827" t="n"/>
      <c r="F200" s="1747" t="n"/>
      <c r="G200" s="1747" t="n"/>
      <c r="H200" s="1747" t="n"/>
      <c r="I200" s="1747" t="n"/>
      <c r="J200" s="1747" t="n"/>
      <c r="K200" s="1819" t="n"/>
      <c r="L200" s="829" t="inlineStr">
        <is>
          <t>平均1KW(未稅)</t>
        </is>
      </c>
      <c r="M200" s="1748">
        <f>M199/$D$2</f>
        <v/>
      </c>
      <c r="N200" s="1748">
        <f>N199/$D$2</f>
        <v/>
      </c>
      <c r="O200" s="1749">
        <f>O199/$D$2</f>
        <v/>
      </c>
      <c r="P200" s="1750" t="n"/>
      <c r="Q200" s="1748" t="n"/>
      <c r="R200" s="1748" t="n"/>
      <c r="S200" s="1748" t="n"/>
      <c r="T200" s="46" t="n"/>
    </row>
    <row r="201" ht="19.5" customHeight="1" s="1643">
      <c r="B201" s="1338" t="inlineStr">
        <is>
          <t>保險</t>
        </is>
      </c>
      <c r="C201" s="1767" t="n"/>
      <c r="D201" s="267" t="inlineStr">
        <is>
          <t>保險共</t>
        </is>
      </c>
      <c r="E201" s="1877" t="n">
        <v>20</v>
      </c>
      <c r="F201" s="1878" t="n"/>
      <c r="G201" s="1878" t="n"/>
      <c r="H201" s="1878" t="n"/>
      <c r="I201" s="1878" t="n"/>
      <c r="J201" s="1878" t="n"/>
      <c r="K201" s="269" t="n"/>
      <c r="L201" s="270" t="n"/>
      <c r="M201" s="1879" t="n"/>
      <c r="N201" s="1879" t="n"/>
      <c r="O201" s="1880" t="n"/>
      <c r="P201" s="1881" t="n"/>
      <c r="Q201" s="1879" t="n"/>
      <c r="R201" s="1879" t="n"/>
      <c r="S201" s="1879" t="n"/>
      <c r="T201" s="273" t="n"/>
    </row>
    <row r="202">
      <c r="B202" s="810" t="n">
        <v>1</v>
      </c>
      <c r="C202" s="1746" t="inlineStr">
        <is>
          <t>保險費</t>
        </is>
      </c>
      <c r="D202" s="1687" t="n"/>
      <c r="E202" s="1688" t="n"/>
      <c r="F202" s="1733">
        <f>M175*Q202</f>
        <v/>
      </c>
      <c r="G202" s="1762" t="n">
        <v>1</v>
      </c>
      <c r="H202" s="1733">
        <f>N175*Q202</f>
        <v/>
      </c>
      <c r="I202" s="1762" t="n">
        <v>1</v>
      </c>
      <c r="J202" s="1736">
        <f>O175*Q202</f>
        <v/>
      </c>
      <c r="K202" s="193" t="n">
        <v>20</v>
      </c>
      <c r="L202" s="808" t="inlineStr">
        <is>
          <t>年</t>
        </is>
      </c>
      <c r="M202" s="1737">
        <f>F202*K202</f>
        <v/>
      </c>
      <c r="N202" s="1737">
        <f>H202*K202</f>
        <v/>
      </c>
      <c r="O202" s="1738">
        <f>J202*K202</f>
        <v/>
      </c>
      <c r="P202" s="1739" t="n"/>
      <c r="Q202" s="1883" t="n">
        <v>0.003</v>
      </c>
      <c r="R202" s="1863" t="n"/>
      <c r="S202" s="1745" t="n"/>
      <c r="T202" s="802" t="inlineStr">
        <is>
          <t>總造價的百分比(不含保險及租金)</t>
        </is>
      </c>
    </row>
    <row r="203">
      <c r="B203" s="810" t="n">
        <v>2</v>
      </c>
      <c r="C203" s="1746" t="n"/>
      <c r="D203" s="1687" t="n"/>
      <c r="E203" s="1688" t="n"/>
      <c r="F203" s="1733" t="n"/>
      <c r="G203" s="1762" t="n"/>
      <c r="H203" s="1733" t="n"/>
      <c r="I203" s="1762" t="n"/>
      <c r="J203" s="1733" t="n"/>
      <c r="K203" s="260" t="n"/>
      <c r="L203" s="808" t="n"/>
      <c r="M203" s="1737" t="n"/>
      <c r="N203" s="1737" t="n"/>
      <c r="O203" s="1738" t="n"/>
      <c r="P203" s="1739" t="n"/>
      <c r="Q203" s="1744" t="n"/>
      <c r="R203" s="1863" t="n"/>
      <c r="S203" s="1745" t="n"/>
      <c r="T203" s="802" t="n"/>
      <c r="U203" s="36" t="n"/>
    </row>
    <row r="204">
      <c r="B204" s="810" t="n">
        <v>3</v>
      </c>
      <c r="C204" s="1746" t="n"/>
      <c r="D204" s="1687" t="n"/>
      <c r="E204" s="1688" t="n"/>
      <c r="F204" s="1733" t="n"/>
      <c r="G204" s="1762" t="n"/>
      <c r="H204" s="1733" t="n"/>
      <c r="I204" s="1762" t="n"/>
      <c r="J204" s="1733" t="n"/>
      <c r="K204" s="260" t="n"/>
      <c r="L204" s="808" t="n"/>
      <c r="M204" s="1737" t="n"/>
      <c r="N204" s="1737" t="n"/>
      <c r="O204" s="1738" t="n"/>
      <c r="P204" s="1739" t="n"/>
      <c r="Q204" s="1744" t="n"/>
      <c r="R204" s="1863" t="n"/>
      <c r="S204" s="1745" t="n"/>
      <c r="T204" s="802" t="n"/>
    </row>
    <row r="205">
      <c r="B205" s="810" t="n">
        <v>4</v>
      </c>
      <c r="C205" s="1746" t="inlineStr">
        <is>
          <t>其它</t>
        </is>
      </c>
      <c r="D205" s="1687" t="n"/>
      <c r="E205" s="1688" t="n"/>
      <c r="F205" s="1733" t="n"/>
      <c r="G205" s="1762" t="n"/>
      <c r="H205" s="1733" t="n"/>
      <c r="I205" s="1762" t="n"/>
      <c r="J205" s="1733" t="n"/>
      <c r="K205" s="260" t="n"/>
      <c r="L205" s="808" t="n"/>
      <c r="M205" s="1737" t="n"/>
      <c r="N205" s="1737" t="n"/>
      <c r="O205" s="1738" t="n"/>
      <c r="P205" s="1739" t="n"/>
      <c r="Q205" s="1744" t="n"/>
      <c r="R205" s="1745" t="n"/>
      <c r="S205" s="1745" t="n"/>
      <c r="T205" s="802" t="n"/>
      <c r="U205" s="36" t="n"/>
    </row>
    <row r="206">
      <c r="B206" s="830" t="n"/>
      <c r="C206" s="827" t="n"/>
      <c r="D206" s="827" t="n"/>
      <c r="E206" s="827" t="n"/>
      <c r="F206" s="1747" t="n"/>
      <c r="G206" s="1747" t="n"/>
      <c r="H206" s="1747" t="n"/>
      <c r="I206" s="1747" t="n"/>
      <c r="J206" s="1747" t="n"/>
      <c r="K206" s="1819" t="n"/>
      <c r="L206" s="829" t="inlineStr">
        <is>
          <t>小計</t>
        </is>
      </c>
      <c r="M206" s="1775">
        <f>SUM(M202:M205)</f>
        <v/>
      </c>
      <c r="N206" s="1775">
        <f>SUM(N202:N205)</f>
        <v/>
      </c>
      <c r="O206" s="1776">
        <f>SUM(O202:O205)</f>
        <v/>
      </c>
      <c r="P206" s="1777" t="n"/>
      <c r="Q206" s="1775" t="n"/>
      <c r="R206" s="1775" t="n"/>
      <c r="S206" s="1775" t="n"/>
      <c r="T206" s="46" t="n"/>
    </row>
    <row r="207">
      <c r="B207" s="218" t="n"/>
      <c r="C207" s="827" t="n"/>
      <c r="D207" s="827" t="n"/>
      <c r="E207" s="827" t="n"/>
      <c r="F207" s="1747" t="n"/>
      <c r="G207" s="1747" t="n"/>
      <c r="H207" s="1747" t="n"/>
      <c r="I207" s="1747" t="n"/>
      <c r="J207" s="1747" t="n"/>
      <c r="K207" s="1819" t="n"/>
      <c r="L207" s="829" t="inlineStr">
        <is>
          <t>平均1KW(未稅)</t>
        </is>
      </c>
      <c r="M207" s="1748">
        <f>M206/$D$2</f>
        <v/>
      </c>
      <c r="N207" s="1748">
        <f>N206/$D$2</f>
        <v/>
      </c>
      <c r="O207" s="1749">
        <f>O206/$D$2</f>
        <v/>
      </c>
      <c r="P207" s="1750" t="n"/>
      <c r="Q207" s="1748" t="n"/>
      <c r="R207" s="1748" t="n"/>
      <c r="S207" s="1748" t="n"/>
      <c r="T207" s="46" t="n"/>
    </row>
    <row r="208">
      <c r="B208" s="275" t="inlineStr">
        <is>
          <t>其它</t>
        </is>
      </c>
      <c r="C208" s="274" t="n"/>
      <c r="D208" s="274" t="n"/>
      <c r="E208" s="274" t="n"/>
      <c r="F208" s="1884" t="n"/>
      <c r="G208" s="1884" t="n"/>
      <c r="H208" s="1884" t="n"/>
      <c r="I208" s="1884" t="n"/>
      <c r="J208" s="1884" t="n"/>
      <c r="K208" s="262" t="n"/>
      <c r="L208" s="263" t="n"/>
      <c r="M208" s="1885" t="n"/>
      <c r="N208" s="1885" t="n"/>
      <c r="O208" s="1886" t="n"/>
      <c r="P208" s="1887" t="n"/>
      <c r="Q208" s="1885" t="n"/>
      <c r="R208" s="1885" t="n"/>
      <c r="S208" s="1885" t="n"/>
      <c r="T208" s="266" t="n"/>
      <c r="U208" s="36" t="n"/>
    </row>
    <row r="209">
      <c r="B209" s="810" t="n">
        <v>1</v>
      </c>
      <c r="C209" s="1746" t="inlineStr">
        <is>
          <t>屋頂租金</t>
        </is>
      </c>
      <c r="D209" s="1687" t="n"/>
      <c r="E209" s="1688" t="n"/>
      <c r="F209" s="1733">
        <f>G209*H209</f>
        <v/>
      </c>
      <c r="G209" s="1762" t="n">
        <v>1</v>
      </c>
      <c r="H209" s="1733">
        <f>I209*J209</f>
        <v/>
      </c>
      <c r="I209" s="1762" t="n">
        <v>1</v>
      </c>
      <c r="J209" s="1736">
        <f>(AVERAGE(#REF!))*Q209</f>
        <v/>
      </c>
      <c r="K209" s="193" t="n">
        <v>20</v>
      </c>
      <c r="L209" s="808" t="inlineStr">
        <is>
          <t>年</t>
        </is>
      </c>
      <c r="M209" s="1737">
        <f>F209*K209</f>
        <v/>
      </c>
      <c r="N209" s="1737">
        <f>H209*K209</f>
        <v/>
      </c>
      <c r="O209" s="1738">
        <f>J209*K209</f>
        <v/>
      </c>
      <c r="P209" s="1739" t="n"/>
      <c r="Q209" s="1883">
        <f>#REF!</f>
        <v/>
      </c>
      <c r="R209" s="1745" t="n"/>
      <c r="S209" s="1745" t="n"/>
      <c r="T209" s="802" t="inlineStr">
        <is>
          <t>每年電費收入的百分比</t>
        </is>
      </c>
    </row>
    <row r="210">
      <c r="B210" s="810" t="n">
        <v>2</v>
      </c>
      <c r="C210" s="1746" t="n"/>
      <c r="D210" s="1687" t="n"/>
      <c r="E210" s="1688" t="n"/>
      <c r="F210" s="1733">
        <f>G210*H210</f>
        <v/>
      </c>
      <c r="G210" s="1799" t="n">
        <v>1.05</v>
      </c>
      <c r="H210" s="1733">
        <f>I210*J210</f>
        <v/>
      </c>
      <c r="I210" s="1735" t="n">
        <v>1.05</v>
      </c>
      <c r="J210" s="1778" t="n">
        <v>0</v>
      </c>
      <c r="K210" s="352" t="n">
        <v>0</v>
      </c>
      <c r="L210" s="808" t="inlineStr">
        <is>
          <t>式</t>
        </is>
      </c>
      <c r="M210" s="1737">
        <f>F210*K210</f>
        <v/>
      </c>
      <c r="N210" s="1737">
        <f>H210*K210</f>
        <v/>
      </c>
      <c r="O210" s="1738">
        <f>J210*K210</f>
        <v/>
      </c>
      <c r="P210" s="1739" t="n"/>
      <c r="Q210" s="1744" t="n"/>
      <c r="R210" s="1745" t="n"/>
      <c r="S210" s="1745" t="n"/>
      <c r="T210" s="802" t="n"/>
    </row>
    <row r="211">
      <c r="B211" s="810" t="n">
        <v>3</v>
      </c>
      <c r="C211" s="1746" t="n"/>
      <c r="D211" s="1687" t="n"/>
      <c r="E211" s="1688" t="n"/>
      <c r="F211" s="1733">
        <f>G211*H211</f>
        <v/>
      </c>
      <c r="G211" s="1799" t="n">
        <v>1.05</v>
      </c>
      <c r="H211" s="1733">
        <f>I211*J211</f>
        <v/>
      </c>
      <c r="I211" s="1735" t="n">
        <v>1.05</v>
      </c>
      <c r="J211" s="1778" t="n">
        <v>0</v>
      </c>
      <c r="K211" s="352" t="n">
        <v>0</v>
      </c>
      <c r="L211" s="808" t="inlineStr">
        <is>
          <t>式</t>
        </is>
      </c>
      <c r="M211" s="1737">
        <f>F211*K211</f>
        <v/>
      </c>
      <c r="N211" s="1737">
        <f>H211*K211</f>
        <v/>
      </c>
      <c r="O211" s="1738">
        <f>J211*K211</f>
        <v/>
      </c>
      <c r="P211" s="1739" t="n"/>
      <c r="Q211" s="1744" t="n"/>
      <c r="R211" s="1745" t="n"/>
      <c r="S211" s="1745" t="n"/>
      <c r="T211" s="802" t="n"/>
    </row>
    <row r="212">
      <c r="B212" s="830" t="n"/>
      <c r="C212" s="827" t="n"/>
      <c r="D212" s="827" t="n"/>
      <c r="E212" s="827" t="n"/>
      <c r="F212" s="1747" t="n"/>
      <c r="G212" s="1747" t="n"/>
      <c r="H212" s="1747" t="n"/>
      <c r="I212" s="1747" t="n"/>
      <c r="J212" s="1747" t="n"/>
      <c r="K212" s="37" t="n"/>
      <c r="L212" s="829" t="inlineStr">
        <is>
          <t>小計</t>
        </is>
      </c>
      <c r="M212" s="1775">
        <f>SUM(M209)</f>
        <v/>
      </c>
      <c r="N212" s="1775">
        <f>SUM(N209)</f>
        <v/>
      </c>
      <c r="O212" s="1776">
        <f>SUM(O209)</f>
        <v/>
      </c>
      <c r="P212" s="1777" t="n"/>
      <c r="Q212" s="1775" t="n"/>
      <c r="R212" s="1775" t="n"/>
      <c r="S212" s="1775" t="n"/>
      <c r="T212" s="46" t="n"/>
    </row>
    <row r="213" ht="17.25" customHeight="1" s="1643" thickBot="1">
      <c r="B213" s="186" t="n"/>
      <c r="C213" s="187" t="n"/>
      <c r="D213" s="187" t="n"/>
      <c r="E213" s="187" t="n"/>
      <c r="F213" s="1821" t="n"/>
      <c r="G213" s="1821" t="n"/>
      <c r="H213" s="1821" t="n"/>
      <c r="I213" s="1821" t="n"/>
      <c r="J213" s="1821" t="n"/>
      <c r="K213" s="189" t="n"/>
      <c r="L213" s="190" t="inlineStr">
        <is>
          <t>平均1KW(未稅)</t>
        </is>
      </c>
      <c r="M213" s="1822">
        <f>M212/$D$2</f>
        <v/>
      </c>
      <c r="N213" s="1822">
        <f>N212/$D$2</f>
        <v/>
      </c>
      <c r="O213" s="1823">
        <f>O212/$D$2</f>
        <v/>
      </c>
      <c r="P213" s="1824" t="n"/>
      <c r="Q213" s="1822" t="n"/>
      <c r="R213" s="1822" t="n"/>
      <c r="S213" s="1822" t="n"/>
      <c r="T213" s="192" t="n"/>
    </row>
    <row r="214" ht="16.15" customHeight="1" s="1643">
      <c r="B214" s="1332" t="inlineStr">
        <is>
          <t>合計(未稅)</t>
        </is>
      </c>
      <c r="C214" s="1825" t="n"/>
      <c r="D214" s="1825" t="n"/>
      <c r="E214" s="1825" t="n"/>
      <c r="F214" s="1825" t="n"/>
      <c r="G214" s="1825" t="n"/>
      <c r="H214" s="1825" t="n"/>
      <c r="I214" s="1825" t="n"/>
      <c r="J214" s="1825" t="n"/>
      <c r="K214" s="1825" t="n"/>
      <c r="L214" s="1826" t="n"/>
      <c r="M214" s="1827">
        <f>SUM(M191,M195,M206,M212,M199)</f>
        <v/>
      </c>
      <c r="N214" s="1827">
        <f>SUM(N191,N195,N206,N212,N199)</f>
        <v/>
      </c>
      <c r="O214" s="1828">
        <f>SUM(O191,O195,O206,O212,O199)</f>
        <v/>
      </c>
      <c r="P214" s="1829" t="n"/>
      <c r="Q214" s="1830" t="n"/>
      <c r="R214" s="1831" t="n"/>
      <c r="S214" s="1831" t="n"/>
      <c r="T214" s="1832" t="n"/>
    </row>
    <row r="215" ht="16.15" customHeight="1" s="1643">
      <c r="B215" s="1334" t="inlineStr">
        <is>
          <t>稅金5%</t>
        </is>
      </c>
      <c r="C215" s="1687" t="n"/>
      <c r="D215" s="1687" t="n"/>
      <c r="E215" s="1687" t="n"/>
      <c r="F215" s="1687" t="n"/>
      <c r="G215" s="1687" t="n"/>
      <c r="H215" s="1687" t="n"/>
      <c r="I215" s="1687" t="n"/>
      <c r="J215" s="1687" t="n"/>
      <c r="K215" s="1687" t="n"/>
      <c r="L215" s="1688" t="n"/>
      <c r="M215" s="1833">
        <f>M214*0.05</f>
        <v/>
      </c>
      <c r="N215" s="1833">
        <f>N214*0.05</f>
        <v/>
      </c>
      <c r="O215" s="1834">
        <f>O214*0.05</f>
        <v/>
      </c>
      <c r="P215" s="1835" t="n"/>
      <c r="Q215" s="1835" t="n"/>
      <c r="R215" s="1836" t="n"/>
      <c r="S215" s="1836" t="n"/>
      <c r="T215" s="802" t="n"/>
    </row>
    <row r="216">
      <c r="B216" s="1336" t="inlineStr">
        <is>
          <t>合計(含稅)</t>
        </is>
      </c>
      <c r="C216" s="1687" t="n"/>
      <c r="D216" s="1687" t="n"/>
      <c r="E216" s="1687" t="n"/>
      <c r="F216" s="1687" t="n"/>
      <c r="G216" s="1687" t="n"/>
      <c r="H216" s="1687" t="n"/>
      <c r="I216" s="1687" t="n"/>
      <c r="J216" s="1687" t="n"/>
      <c r="K216" s="1687" t="n"/>
      <c r="L216" s="1688" t="n"/>
      <c r="M216" s="1837">
        <f>SUM(M214:M215)</f>
        <v/>
      </c>
      <c r="N216" s="1837">
        <f>SUM(N214:N215)</f>
        <v/>
      </c>
      <c r="O216" s="1838">
        <f>O214+O215</f>
        <v/>
      </c>
      <c r="P216" s="1839" t="n"/>
      <c r="Q216" s="1839" t="n"/>
      <c r="R216" s="1840" t="n"/>
      <c r="S216" s="1840" t="n"/>
      <c r="T216" s="802" t="n"/>
    </row>
    <row r="217">
      <c r="B217" s="1327" t="inlineStr">
        <is>
          <t>平均1KW(含稅)</t>
        </is>
      </c>
      <c r="C217" s="1841" t="n"/>
      <c r="D217" s="1841" t="n"/>
      <c r="E217" s="1841" t="n"/>
      <c r="F217" s="1841" t="n"/>
      <c r="G217" s="1841" t="n"/>
      <c r="H217" s="1841" t="n"/>
      <c r="I217" s="1841" t="n"/>
      <c r="J217" s="1841" t="n"/>
      <c r="K217" s="1841" t="n"/>
      <c r="L217" s="1842" t="n"/>
      <c r="M217" s="1843">
        <f>M218*1.05</f>
        <v/>
      </c>
      <c r="N217" s="1843">
        <f>N218*1.05</f>
        <v/>
      </c>
      <c r="O217" s="1844">
        <f>O218*1.05</f>
        <v/>
      </c>
      <c r="P217" s="1845" t="n"/>
      <c r="Q217" s="1845" t="n"/>
      <c r="R217" s="1846" t="n"/>
      <c r="S217" s="1846" t="n"/>
      <c r="T217" s="1847" t="n"/>
    </row>
    <row r="218" ht="17.25" customHeight="1" s="1643" thickBot="1">
      <c r="B218" s="1329" t="inlineStr">
        <is>
          <t>平均1KW(未稅)</t>
        </is>
      </c>
      <c r="C218" s="1888" t="n"/>
      <c r="D218" s="1888" t="n"/>
      <c r="E218" s="1888" t="n"/>
      <c r="F218" s="1888" t="n"/>
      <c r="G218" s="1888" t="n"/>
      <c r="H218" s="1888" t="n"/>
      <c r="I218" s="1888" t="n"/>
      <c r="J218" s="1888" t="n"/>
      <c r="K218" s="1888" t="n"/>
      <c r="L218" s="1889" t="n"/>
      <c r="M218" s="1890">
        <f>M214/$D$2</f>
        <v/>
      </c>
      <c r="N218" s="1890">
        <f>N214/$D$2</f>
        <v/>
      </c>
      <c r="O218" s="1849">
        <f>O214/$D$2</f>
        <v/>
      </c>
      <c r="P218" s="1891" t="n"/>
      <c r="Q218" s="1891" t="n"/>
      <c r="R218" s="1892" t="n"/>
      <c r="S218" s="1892" t="n"/>
      <c r="T218" s="1893" t="n"/>
    </row>
    <row r="220">
      <c r="N220" s="0" t="n"/>
    </row>
  </sheetData>
  <mergeCells count="153">
    <mergeCell ref="Q7:R7"/>
    <mergeCell ref="C193:E193"/>
    <mergeCell ref="C142:E142"/>
    <mergeCell ref="C202:E202"/>
    <mergeCell ref="C31:E31"/>
    <mergeCell ref="C40:E40"/>
    <mergeCell ref="B215:L215"/>
    <mergeCell ref="C51:E51"/>
    <mergeCell ref="C60:E60"/>
    <mergeCell ref="C23:E23"/>
    <mergeCell ref="C194:E194"/>
    <mergeCell ref="C7:E7"/>
    <mergeCell ref="E2:E3"/>
    <mergeCell ref="B182:C182"/>
    <mergeCell ref="C165:E165"/>
    <mergeCell ref="C57:E57"/>
    <mergeCell ref="C140:E140"/>
    <mergeCell ref="C155:E155"/>
    <mergeCell ref="C18:E18"/>
    <mergeCell ref="B178:L178"/>
    <mergeCell ref="C101:E101"/>
    <mergeCell ref="B174:O174"/>
    <mergeCell ref="C34:E34"/>
    <mergeCell ref="C204:E204"/>
    <mergeCell ref="C157:E157"/>
    <mergeCell ref="C42:E42"/>
    <mergeCell ref="C151:E151"/>
    <mergeCell ref="C74:E74"/>
    <mergeCell ref="B177:L177"/>
    <mergeCell ref="C141:E141"/>
    <mergeCell ref="C128:E128"/>
    <mergeCell ref="B197:C197"/>
    <mergeCell ref="B26:C26"/>
    <mergeCell ref="B154:C154"/>
    <mergeCell ref="C113:E113"/>
    <mergeCell ref="C103:E103"/>
    <mergeCell ref="C143:E143"/>
    <mergeCell ref="C112:E112"/>
    <mergeCell ref="C205:E205"/>
    <mergeCell ref="C183:E183"/>
    <mergeCell ref="C84:E84"/>
    <mergeCell ref="C75:E75"/>
    <mergeCell ref="C22:E22"/>
    <mergeCell ref="C127:E127"/>
    <mergeCell ref="C133:E133"/>
    <mergeCell ref="C198:E198"/>
    <mergeCell ref="C114:E114"/>
    <mergeCell ref="C59:E59"/>
    <mergeCell ref="H2:H3"/>
    <mergeCell ref="C46:E46"/>
    <mergeCell ref="C52:E52"/>
    <mergeCell ref="C61:E61"/>
    <mergeCell ref="J2:K3"/>
    <mergeCell ref="C39:E39"/>
    <mergeCell ref="C159:E159"/>
    <mergeCell ref="C106:E106"/>
    <mergeCell ref="B179:L179"/>
    <mergeCell ref="C32:E32"/>
    <mergeCell ref="C38:E38"/>
    <mergeCell ref="C209:E209"/>
    <mergeCell ref="C161:E161"/>
    <mergeCell ref="C13:E13"/>
    <mergeCell ref="C170:E170"/>
    <mergeCell ref="C145:E145"/>
    <mergeCell ref="C15:E15"/>
    <mergeCell ref="C33:E33"/>
    <mergeCell ref="C104:E104"/>
    <mergeCell ref="C187:E187"/>
    <mergeCell ref="C73:E73"/>
    <mergeCell ref="C35:E35"/>
    <mergeCell ref="C121:E121"/>
    <mergeCell ref="C63:E63"/>
    <mergeCell ref="C16:E16"/>
    <mergeCell ref="C50:E50"/>
    <mergeCell ref="C117:E117"/>
    <mergeCell ref="B72:C72"/>
    <mergeCell ref="C55:E55"/>
    <mergeCell ref="C9:E9"/>
    <mergeCell ref="C163:E163"/>
    <mergeCell ref="D2:D3"/>
    <mergeCell ref="C36:E36"/>
    <mergeCell ref="B214:L214"/>
    <mergeCell ref="C135:E135"/>
    <mergeCell ref="C150:E150"/>
    <mergeCell ref="C144:E144"/>
    <mergeCell ref="C158:E158"/>
    <mergeCell ref="C67:E67"/>
    <mergeCell ref="C190:E190"/>
    <mergeCell ref="C28:E28"/>
    <mergeCell ref="C37:E37"/>
    <mergeCell ref="C186:E186"/>
    <mergeCell ref="C69:E69"/>
    <mergeCell ref="C96:E96"/>
    <mergeCell ref="C78:E78"/>
    <mergeCell ref="C136:E136"/>
    <mergeCell ref="C92:E92"/>
    <mergeCell ref="C30:E30"/>
    <mergeCell ref="C210:E210"/>
    <mergeCell ref="C6:E6"/>
    <mergeCell ref="C62:E62"/>
    <mergeCell ref="C14:E14"/>
    <mergeCell ref="C185:E185"/>
    <mergeCell ref="Q4:T4"/>
    <mergeCell ref="C107:E107"/>
    <mergeCell ref="F2:G3"/>
    <mergeCell ref="R46:S46"/>
    <mergeCell ref="C4:E4"/>
    <mergeCell ref="C64:E64"/>
    <mergeCell ref="B216:L216"/>
    <mergeCell ref="C184:E184"/>
    <mergeCell ref="C162:E162"/>
    <mergeCell ref="C171:E171"/>
    <mergeCell ref="C54:E54"/>
    <mergeCell ref="C41:E41"/>
    <mergeCell ref="C134:E134"/>
    <mergeCell ref="C146:E146"/>
    <mergeCell ref="C93:E93"/>
    <mergeCell ref="B218:L218"/>
    <mergeCell ref="C164:E164"/>
    <mergeCell ref="C211:E211"/>
    <mergeCell ref="C56:E56"/>
    <mergeCell ref="C139:E139"/>
    <mergeCell ref="C105:E105"/>
    <mergeCell ref="C188:E188"/>
    <mergeCell ref="C27:E27"/>
    <mergeCell ref="C132:E132"/>
    <mergeCell ref="C110:E110"/>
    <mergeCell ref="B176:L176"/>
    <mergeCell ref="C203:E203"/>
    <mergeCell ref="C8:E8"/>
    <mergeCell ref="C17:E17"/>
    <mergeCell ref="B181:C181"/>
    <mergeCell ref="C82:E82"/>
    <mergeCell ref="C149:E149"/>
    <mergeCell ref="B175:L175"/>
    <mergeCell ref="C189:E189"/>
    <mergeCell ref="C53:E53"/>
    <mergeCell ref="C102:E102"/>
    <mergeCell ref="C111:E111"/>
    <mergeCell ref="C68:E68"/>
    <mergeCell ref="C83:E83"/>
    <mergeCell ref="C108:E108"/>
    <mergeCell ref="C166:E166"/>
    <mergeCell ref="B217:L217"/>
    <mergeCell ref="L2:L3"/>
    <mergeCell ref="C160:E160"/>
    <mergeCell ref="C58:E58"/>
    <mergeCell ref="B201:C201"/>
    <mergeCell ref="B2:C3"/>
    <mergeCell ref="C45:E45"/>
    <mergeCell ref="C97:E97"/>
    <mergeCell ref="C29:E29"/>
    <mergeCell ref="C109:E109"/>
  </mergeCell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1"/>
  <sheetViews>
    <sheetView showGridLines="0" topLeftCell="C1" zoomScale="82" zoomScaleNormal="70" workbookViewId="0">
      <selection activeCell="L49" sqref="L49"/>
    </sheetView>
  </sheetViews>
  <sheetFormatPr baseColWidth="8" defaultColWidth="9" defaultRowHeight="15.75"/>
  <cols>
    <col width="0.75" customWidth="1" style="393" min="1" max="1"/>
    <col width="7.875" customWidth="1" style="393" min="2" max="2"/>
    <col width="27.5" bestFit="1" customWidth="1" style="393" min="3" max="3"/>
    <col width="9.75" customWidth="1" style="393" min="4" max="4"/>
    <col width="8.375" customWidth="1" style="393" min="5" max="5"/>
    <col width="11.75" customWidth="1" style="393" min="6" max="6"/>
    <col width="6.75" customWidth="1" style="393" min="7" max="7"/>
    <col width="3.5" customWidth="1" style="393" min="8" max="8"/>
    <col width="3.125" customWidth="1" style="393" min="9" max="9"/>
    <col width="4.125" customWidth="1" style="393" min="10" max="10"/>
    <col width="8.25" customWidth="1" style="393" min="11" max="11"/>
    <col width="27.5" bestFit="1" customWidth="1" style="393" min="12" max="12"/>
    <col width="11.125" customWidth="1" style="393" min="13" max="13"/>
    <col width="8.625" customWidth="1" style="393" min="14" max="14"/>
    <col width="12.75" customWidth="1" style="393" min="15" max="15"/>
    <col width="34.5" customWidth="1" style="393" min="16" max="16"/>
    <col width="4.75" bestFit="1" customWidth="1" style="393" min="17" max="17"/>
    <col width="11.125" customWidth="1" style="393" min="18" max="18"/>
    <col width="10" bestFit="1" customWidth="1" style="393" min="19" max="19"/>
    <col width="9" customWidth="1" style="393" min="20" max="16384"/>
  </cols>
  <sheetData>
    <row r="1" ht="2.25" customHeight="1" s="1643"/>
    <row r="2" ht="16.5" customHeight="1" s="1643">
      <c r="B2" s="1259" t="n"/>
      <c r="C2" s="1260">
        <f>成本!D2</f>
        <v/>
      </c>
      <c r="D2" s="1424" t="inlineStr">
        <is>
          <t xml:space="preserve"> KW交流太陽能光電板發電系統</t>
        </is>
      </c>
      <c r="E2" s="1687" t="n"/>
      <c r="F2" s="1687" t="n"/>
      <c r="G2" s="1688" t="n"/>
      <c r="I2" s="1262" t="n"/>
      <c r="K2" s="1259" t="n"/>
      <c r="L2" s="1260">
        <f>C2</f>
        <v/>
      </c>
      <c r="M2" s="1424" t="inlineStr">
        <is>
          <t xml:space="preserve"> KW交流太陽能光電板發電系統</t>
        </is>
      </c>
      <c r="N2" s="1687" t="n"/>
      <c r="O2" s="1687" t="n"/>
      <c r="P2" s="1688" t="n"/>
    </row>
    <row r="3" ht="16.5" customHeight="1" s="1643">
      <c r="B3" s="1240" t="inlineStr">
        <is>
          <t>編號</t>
        </is>
      </c>
      <c r="C3" s="1420" t="inlineStr">
        <is>
          <t>名稱</t>
        </is>
      </c>
      <c r="D3" s="1240" t="inlineStr">
        <is>
          <t>數量</t>
        </is>
      </c>
      <c r="E3" s="1240" t="inlineStr">
        <is>
          <t>單位</t>
        </is>
      </c>
      <c r="F3" s="1240" t="inlineStr">
        <is>
          <t>小計</t>
        </is>
      </c>
      <c r="G3" s="1240" t="inlineStr">
        <is>
          <t>備註</t>
        </is>
      </c>
      <c r="I3" s="1262" t="n"/>
      <c r="K3" s="1240" t="inlineStr">
        <is>
          <t>編號</t>
        </is>
      </c>
      <c r="L3" s="1240" t="inlineStr">
        <is>
          <t>名稱</t>
        </is>
      </c>
      <c r="M3" s="1242" t="inlineStr">
        <is>
          <t>數量</t>
        </is>
      </c>
      <c r="N3" s="1242" t="inlineStr">
        <is>
          <t>單位</t>
        </is>
      </c>
      <c r="O3" s="1242" t="inlineStr">
        <is>
          <t>小計</t>
        </is>
      </c>
      <c r="P3" s="1242" t="inlineStr">
        <is>
          <t>備註</t>
        </is>
      </c>
    </row>
    <row r="4" ht="16.5" customHeight="1" s="1643">
      <c r="B4" s="1240" t="n">
        <v>1</v>
      </c>
      <c r="C4" s="1894" t="inlineStr">
        <is>
          <t>太陽能模組</t>
        </is>
      </c>
      <c r="D4" s="1240">
        <f>成本!K6</f>
        <v/>
      </c>
      <c r="E4" s="1240" t="inlineStr">
        <is>
          <t>片</t>
        </is>
      </c>
      <c r="F4" s="1244">
        <f>成本!M6</f>
        <v/>
      </c>
      <c r="G4" s="1245" t="n"/>
      <c r="I4" s="1262" t="n"/>
      <c r="K4" s="1240" t="n">
        <v>1</v>
      </c>
      <c r="L4" s="1895">
        <f>C4</f>
        <v/>
      </c>
      <c r="M4" s="1240">
        <f>D4</f>
        <v/>
      </c>
      <c r="N4" s="1240" t="inlineStr">
        <is>
          <t>片</t>
        </is>
      </c>
      <c r="O4" s="1244" t="n">
        <v>9168000</v>
      </c>
      <c r="P4" s="1245" t="inlineStr">
        <is>
          <t>20年保固</t>
        </is>
      </c>
    </row>
    <row r="5" ht="16.5" customHeight="1" s="1643">
      <c r="B5" s="1240" t="n">
        <v>2</v>
      </c>
      <c r="C5" s="1894" t="inlineStr">
        <is>
          <t>逆變器</t>
        </is>
      </c>
      <c r="D5" s="1240" t="n">
        <v>1</v>
      </c>
      <c r="E5" s="1240" t="inlineStr">
        <is>
          <t>式</t>
        </is>
      </c>
      <c r="F5" s="1244">
        <f>成本!M8</f>
        <v/>
      </c>
      <c r="G5" s="1245" t="n"/>
      <c r="I5" s="1262" t="n"/>
      <c r="K5" s="1240" t="n">
        <v>2</v>
      </c>
      <c r="L5" s="1895">
        <f>C5</f>
        <v/>
      </c>
      <c r="M5" s="1240">
        <f>D5</f>
        <v/>
      </c>
      <c r="N5" s="1240" t="inlineStr">
        <is>
          <t>式</t>
        </is>
      </c>
      <c r="O5" s="1244" t="n">
        <v>2375000</v>
      </c>
      <c r="P5" s="1245" t="inlineStr">
        <is>
          <t>20年保固</t>
        </is>
      </c>
    </row>
    <row r="6" ht="16.5" customHeight="1" s="1643">
      <c r="B6" s="1240" t="n">
        <v>3</v>
      </c>
      <c r="C6" s="1894" t="inlineStr">
        <is>
          <t>市電躉售併聯申請</t>
        </is>
      </c>
      <c r="D6" s="1240" t="n">
        <v>1</v>
      </c>
      <c r="E6" s="1240" t="inlineStr">
        <is>
          <t>式</t>
        </is>
      </c>
      <c r="F6" s="1244">
        <f>成本!M13</f>
        <v/>
      </c>
      <c r="G6" s="1245" t="n"/>
      <c r="I6" s="1262" t="n"/>
      <c r="K6" s="1240" t="n">
        <v>3</v>
      </c>
      <c r="L6" s="1895">
        <f>C6</f>
        <v/>
      </c>
      <c r="M6" s="1240">
        <f>D6</f>
        <v/>
      </c>
      <c r="N6" s="1240" t="inlineStr">
        <is>
          <t>式</t>
        </is>
      </c>
      <c r="O6" s="1244" t="n">
        <v>168000</v>
      </c>
      <c r="P6" s="1245" t="inlineStr">
        <is>
          <t>台電、能源局、建管。</t>
        </is>
      </c>
    </row>
    <row r="7" ht="16.5" customHeight="1" s="1643">
      <c r="B7" s="1240" t="n">
        <v>4</v>
      </c>
      <c r="C7" s="1894" t="inlineStr">
        <is>
          <t>結構技師簽證</t>
        </is>
      </c>
      <c r="D7" s="1240" t="n">
        <v>1</v>
      </c>
      <c r="E7" s="1240" t="inlineStr">
        <is>
          <t>式</t>
        </is>
      </c>
      <c r="F7" s="1244">
        <f>成本!M14</f>
        <v/>
      </c>
      <c r="G7" s="1245" t="n"/>
      <c r="I7" s="1262" t="n"/>
      <c r="K7" s="1240" t="n">
        <v>4</v>
      </c>
      <c r="L7" s="1895">
        <f>C7</f>
        <v/>
      </c>
      <c r="M7" s="1240">
        <f>D7</f>
        <v/>
      </c>
      <c r="N7" s="1240" t="inlineStr">
        <is>
          <t>式</t>
        </is>
      </c>
      <c r="O7" s="1244" t="n">
        <v>80000</v>
      </c>
      <c r="P7" s="1245" t="n"/>
    </row>
    <row r="8" ht="16.5" customHeight="1" s="1643">
      <c r="B8" s="1240" t="n">
        <v>5</v>
      </c>
      <c r="C8" s="1247" t="inlineStr">
        <is>
          <t>電機技師簽證費</t>
        </is>
      </c>
      <c r="D8" s="1240" t="n">
        <v>1</v>
      </c>
      <c r="E8" s="1240" t="inlineStr">
        <is>
          <t>式</t>
        </is>
      </c>
      <c r="F8" s="1244">
        <f>成本!M15</f>
        <v/>
      </c>
      <c r="G8" s="1245" t="n"/>
      <c r="I8" s="1262" t="n"/>
      <c r="K8" s="1240" t="n">
        <v>5</v>
      </c>
      <c r="L8" s="1895">
        <f>C8</f>
        <v/>
      </c>
      <c r="M8" s="1240">
        <f>D8</f>
        <v/>
      </c>
      <c r="N8" s="1240" t="inlineStr">
        <is>
          <t>式</t>
        </is>
      </c>
      <c r="O8" s="1244">
        <f>F8</f>
        <v/>
      </c>
      <c r="P8" s="1245" t="inlineStr">
        <is>
          <t>100kW以上，含系統衝擊分析。</t>
        </is>
      </c>
    </row>
    <row r="9" ht="16.5" customHeight="1" s="1643">
      <c r="B9" s="1240" t="n">
        <v>6</v>
      </c>
      <c r="C9" s="1247" t="inlineStr">
        <is>
          <t>太陽光電乙級技術士簽證</t>
        </is>
      </c>
      <c r="D9" s="1240" t="n">
        <v>1</v>
      </c>
      <c r="E9" s="1240" t="inlineStr">
        <is>
          <t>式</t>
        </is>
      </c>
      <c r="F9" s="1248">
        <f>成本!M17</f>
        <v/>
      </c>
      <c r="G9" s="1249" t="n"/>
      <c r="I9" s="1262" t="n"/>
      <c r="K9" s="1240" t="n">
        <v>6</v>
      </c>
      <c r="L9" s="1895">
        <f>C9</f>
        <v/>
      </c>
      <c r="M9" s="1240">
        <f>D9</f>
        <v/>
      </c>
      <c r="N9" s="1240" t="inlineStr">
        <is>
          <t>式</t>
        </is>
      </c>
      <c r="O9" s="1244" t="n">
        <v>8000</v>
      </c>
      <c r="P9" s="1263" t="inlineStr">
        <is>
          <t>100kW以下。</t>
        </is>
      </c>
    </row>
    <row r="10" ht="16.5" customHeight="1" s="1643">
      <c r="B10" s="1240" t="n">
        <v>7</v>
      </c>
      <c r="C10" s="1894" t="inlineStr">
        <is>
          <t>太陽能系統監造及設計費用</t>
        </is>
      </c>
      <c r="D10" s="1240" t="n">
        <v>1</v>
      </c>
      <c r="E10" s="1240" t="inlineStr">
        <is>
          <t>式</t>
        </is>
      </c>
      <c r="F10" s="1244">
        <f>成本!M23</f>
        <v/>
      </c>
      <c r="G10" s="1245" t="n"/>
      <c r="I10" s="1262" t="n"/>
      <c r="K10" s="1240" t="n">
        <v>7</v>
      </c>
      <c r="L10" s="1895">
        <f>C10</f>
        <v/>
      </c>
      <c r="M10" s="1240">
        <f>D10</f>
        <v/>
      </c>
      <c r="N10" s="1240" t="inlineStr">
        <is>
          <t>式</t>
        </is>
      </c>
      <c r="O10" s="1244">
        <f>F10</f>
        <v/>
      </c>
      <c r="P10" s="1245" t="n"/>
    </row>
    <row r="11" ht="16.5" customHeight="1" s="1643">
      <c r="B11" s="1240" t="n">
        <v>8</v>
      </c>
      <c r="C11" s="1894" t="inlineStr">
        <is>
          <t>鋼料結構工程</t>
        </is>
      </c>
      <c r="D11" s="1240" t="n">
        <v>1</v>
      </c>
      <c r="E11" s="1240" t="inlineStr">
        <is>
          <t>式</t>
        </is>
      </c>
      <c r="F11" s="1244">
        <f>成本!M43+成本!M47</f>
        <v/>
      </c>
      <c r="G11" s="1245" t="n"/>
      <c r="I11" s="1262" t="n"/>
      <c r="K11" s="1240" t="n">
        <v>8</v>
      </c>
      <c r="L11" s="1895">
        <f>C11</f>
        <v/>
      </c>
      <c r="M11" s="1240">
        <f>D11</f>
        <v/>
      </c>
      <c r="N11" s="1240" t="inlineStr">
        <is>
          <t>式</t>
        </is>
      </c>
      <c r="O11" s="1244">
        <f>F11</f>
        <v/>
      </c>
      <c r="P11" s="1245" t="n"/>
    </row>
    <row r="12" ht="16.5" customHeight="1" s="1643">
      <c r="B12" s="1240" t="n">
        <v>9</v>
      </c>
      <c r="C12" s="1894" t="inlineStr">
        <is>
          <t>鋁合金結構工程</t>
        </is>
      </c>
      <c r="D12" s="1240" t="n">
        <v>1</v>
      </c>
      <c r="E12" s="1240" t="inlineStr">
        <is>
          <t>式</t>
        </is>
      </c>
      <c r="F12" s="1244">
        <f>成本!M65+成本!M70</f>
        <v/>
      </c>
      <c r="G12" s="1245" t="n"/>
      <c r="I12" s="1262" t="n"/>
      <c r="K12" s="1240" t="n">
        <v>9</v>
      </c>
      <c r="L12" s="1895">
        <f>C12</f>
        <v/>
      </c>
      <c r="M12" s="1240">
        <f>D12</f>
        <v/>
      </c>
      <c r="N12" s="1240" t="inlineStr">
        <is>
          <t>式</t>
        </is>
      </c>
      <c r="O12" s="1244" t="n">
        <v>8816000</v>
      </c>
      <c r="P12" s="1245" t="inlineStr">
        <is>
          <t>含支架以及維修步道。</t>
        </is>
      </c>
    </row>
    <row r="13" ht="16.5" customHeight="1" s="1643">
      <c r="B13" s="1240" t="n">
        <v>10</v>
      </c>
      <c r="C13" s="1894" t="inlineStr">
        <is>
          <t>水泥基座工程</t>
        </is>
      </c>
      <c r="D13" s="1240" t="n">
        <v>1</v>
      </c>
      <c r="E13" s="1240" t="inlineStr">
        <is>
          <t>式</t>
        </is>
      </c>
      <c r="F13" s="1244">
        <f>成本!M76+成本!M79</f>
        <v/>
      </c>
      <c r="G13" s="1245" t="n"/>
      <c r="I13" s="1262" t="n"/>
      <c r="K13" s="1240" t="n">
        <v>10</v>
      </c>
      <c r="L13" s="1895">
        <f>C13</f>
        <v/>
      </c>
      <c r="M13" s="1240">
        <f>D13</f>
        <v/>
      </c>
      <c r="N13" s="1240" t="inlineStr">
        <is>
          <t>式</t>
        </is>
      </c>
      <c r="O13" s="1244" t="n">
        <v>1152000</v>
      </c>
      <c r="P13" s="1245" t="n"/>
    </row>
    <row r="14" ht="16.5" customHeight="1" s="1643">
      <c r="B14" s="1240" t="n">
        <v>11</v>
      </c>
      <c r="C14" s="1894" t="inlineStr">
        <is>
          <t>防水工程</t>
        </is>
      </c>
      <c r="D14" s="1240" t="n">
        <v>1</v>
      </c>
      <c r="E14" s="1240" t="inlineStr">
        <is>
          <t>式</t>
        </is>
      </c>
      <c r="F14" s="1244">
        <f>成本!M94+成本!M98</f>
        <v/>
      </c>
      <c r="G14" s="1249" t="n"/>
      <c r="I14" s="1262" t="n"/>
      <c r="K14" s="1240" t="n">
        <v>11</v>
      </c>
      <c r="L14" s="1895">
        <f>C14</f>
        <v/>
      </c>
      <c r="M14" s="1240">
        <f>D14</f>
        <v/>
      </c>
      <c r="N14" s="1240" t="inlineStr">
        <is>
          <t>式</t>
        </is>
      </c>
      <c r="O14" s="1244">
        <f>F14</f>
        <v/>
      </c>
      <c r="P14" s="1249" t="n"/>
    </row>
    <row r="15" ht="33" customHeight="1" s="1643">
      <c r="B15" s="1240" t="n">
        <v>12</v>
      </c>
      <c r="C15" s="1894" t="inlineStr">
        <is>
          <t>系統監控工程</t>
        </is>
      </c>
      <c r="D15" s="1240" t="n">
        <v>1</v>
      </c>
      <c r="E15" s="1240" t="inlineStr">
        <is>
          <t>式</t>
        </is>
      </c>
      <c r="F15" s="1244">
        <f>成本!M115+成本!M118</f>
        <v/>
      </c>
      <c r="G15" s="1245" t="n"/>
      <c r="I15" s="1262" t="n"/>
      <c r="K15" s="1240" t="n">
        <v>12</v>
      </c>
      <c r="L15" s="1895">
        <f>C15</f>
        <v/>
      </c>
      <c r="M15" s="1240">
        <f>D15</f>
        <v/>
      </c>
      <c r="N15" s="1240" t="inlineStr">
        <is>
          <t>式</t>
        </is>
      </c>
      <c r="O15" s="1244" t="n">
        <v>450000</v>
      </c>
      <c r="P15" s="1158" t="inlineStr">
        <is>
          <t>含監控箱體、錶頭、⽇照計、模組溫度計。</t>
        </is>
      </c>
    </row>
    <row r="16" ht="123.75" customHeight="1" s="1643">
      <c r="B16" s="1240" t="n">
        <v>13</v>
      </c>
      <c r="C16" s="1894" t="inlineStr">
        <is>
          <t>太陽能系統配線工程</t>
        </is>
      </c>
      <c r="D16" s="1240" t="n">
        <v>1</v>
      </c>
      <c r="E16" s="1240" t="inlineStr">
        <is>
          <t>式</t>
        </is>
      </c>
      <c r="F16" s="1244">
        <f>成本!M137+成本!M147+成本!M152</f>
        <v/>
      </c>
      <c r="G16" s="1245" t="n"/>
      <c r="I16" s="1262" t="n"/>
      <c r="K16" s="1240" t="n">
        <v>13</v>
      </c>
      <c r="L16" s="1895">
        <f>C16</f>
        <v/>
      </c>
      <c r="M16" s="1240">
        <f>D16</f>
        <v/>
      </c>
      <c r="N16" s="1240" t="inlineStr">
        <is>
          <t>式</t>
        </is>
      </c>
      <c r="O16" s="1244" t="n">
        <v>13380000</v>
      </c>
      <c r="P16" s="1158" t="inlineStr">
        <is>
          <t>含工帶料。
交流電纜線(太平洋/華新麗華)、太陽能專用直流線、金屬軟管、RSG管、PVC管、網路線、太陽能鋁線槽。
管線配置工程、動力管配線工程、配電盤設備安裝工程、監控安裝工程、太陽能系統測試工程。</t>
        </is>
      </c>
    </row>
    <row r="17" ht="16.5" customHeight="1" s="1643">
      <c r="B17" s="1240" t="n">
        <v>14</v>
      </c>
      <c r="C17" s="1894" t="inlineStr">
        <is>
          <t>運輸及吊掛工程</t>
        </is>
      </c>
      <c r="D17" s="1240" t="n">
        <v>1</v>
      </c>
      <c r="E17" s="1240" t="inlineStr">
        <is>
          <t>式</t>
        </is>
      </c>
      <c r="F17" s="1244">
        <f>成本!M167</f>
        <v/>
      </c>
      <c r="G17" s="1245" t="n"/>
      <c r="I17" s="1262" t="n"/>
      <c r="K17" s="1240" t="n">
        <v>14</v>
      </c>
      <c r="L17" s="1895">
        <f>C17</f>
        <v/>
      </c>
      <c r="M17" s="1240">
        <f>D17</f>
        <v/>
      </c>
      <c r="N17" s="1240" t="inlineStr">
        <is>
          <t>式</t>
        </is>
      </c>
      <c r="O17" s="1244" t="n">
        <v>80000</v>
      </c>
      <c r="P17" s="1245" t="n"/>
    </row>
    <row r="18" ht="16.5" customHeight="1" s="1643">
      <c r="B18" s="1240" t="n">
        <v>15</v>
      </c>
      <c r="C18" s="1894" t="inlineStr">
        <is>
          <t>台電審查作業費、線補費</t>
        </is>
      </c>
      <c r="D18" s="1240" t="n">
        <v>1</v>
      </c>
      <c r="E18" s="1240" t="inlineStr">
        <is>
          <t>式</t>
        </is>
      </c>
      <c r="F18" s="1244">
        <f>成本!M172</f>
        <v/>
      </c>
      <c r="G18" s="1245" t="n"/>
      <c r="I18" s="1262" t="n"/>
      <c r="K18" s="1240" t="n">
        <v>15</v>
      </c>
      <c r="L18" s="1895">
        <f>C18</f>
        <v/>
      </c>
      <c r="M18" s="1240">
        <f>D18</f>
        <v/>
      </c>
      <c r="N18" s="1240" t="inlineStr">
        <is>
          <t>式</t>
        </is>
      </c>
      <c r="O18" s="1244">
        <f>F18</f>
        <v/>
      </c>
      <c r="P18" s="1226" t="inlineStr">
        <is>
          <t>實質審查後，實支實付。</t>
        </is>
      </c>
    </row>
    <row r="19" ht="16.5" customHeight="1" s="1643" thickBot="1">
      <c r="B19" s="1240" t="n"/>
      <c r="C19" s="1894" t="n"/>
      <c r="D19" s="1240" t="n"/>
      <c r="E19" s="1240" t="n"/>
      <c r="F19" s="1244" t="n"/>
      <c r="G19" s="1245" t="n"/>
      <c r="I19" s="1262" t="n"/>
      <c r="K19" s="1240" t="n"/>
      <c r="L19" s="1894" t="n"/>
      <c r="M19" s="1240" t="n"/>
      <c r="N19" s="1240" t="n"/>
      <c r="O19" s="1244" t="n"/>
      <c r="P19" s="1245" t="n"/>
    </row>
    <row r="20" ht="17.25" customHeight="1" s="1643" thickBot="1">
      <c r="B20" s="1261" t="inlineStr">
        <is>
          <t>小計</t>
        </is>
      </c>
      <c r="C20" s="1688" t="n"/>
      <c r="D20" s="1245" t="n"/>
      <c r="E20" s="1245" t="n"/>
      <c r="F20" s="1244">
        <f>SUM(F4:F19)</f>
        <v/>
      </c>
      <c r="G20" s="1245" t="n"/>
      <c r="I20" s="1262" t="n"/>
      <c r="K20" s="1261" t="inlineStr">
        <is>
          <t>小計</t>
        </is>
      </c>
      <c r="L20" s="1688" t="n"/>
      <c r="M20" s="1245" t="n"/>
      <c r="N20" s="1245" t="n"/>
      <c r="O20" s="1244">
        <f>SUM(O4:O19)</f>
        <v/>
      </c>
      <c r="P20" s="1264" t="n"/>
      <c r="Q20" s="1252">
        <f>IF(O20&lt;F20,"錯誤","OK")</f>
        <v/>
      </c>
      <c r="R20" s="1250" t="inlineStr">
        <is>
          <t>調整後利潤</t>
        </is>
      </c>
      <c r="S20" s="1251">
        <f>(O20-成本!O175)/O20</f>
        <v/>
      </c>
    </row>
    <row r="21" ht="16.5" customHeight="1" s="1643">
      <c r="B21" s="1261" t="inlineStr">
        <is>
          <t>稅金5％</t>
        </is>
      </c>
      <c r="C21" s="1688" t="n"/>
      <c r="D21" s="1245" t="n"/>
      <c r="E21" s="1245" t="n"/>
      <c r="F21" s="1244">
        <f>F20*0.05</f>
        <v/>
      </c>
      <c r="G21" s="1245" t="n"/>
      <c r="I21" s="1262" t="n"/>
      <c r="K21" s="1261" t="inlineStr">
        <is>
          <t>稅金5％</t>
        </is>
      </c>
      <c r="L21" s="1688" t="n"/>
      <c r="M21" s="1245" t="n"/>
      <c r="N21" s="1245" t="n"/>
      <c r="O21" s="1244">
        <f>O20*0.05</f>
        <v/>
      </c>
      <c r="P21" s="1245" t="n"/>
    </row>
    <row r="22" ht="16.5" customHeight="1" s="1643">
      <c r="B22" s="1896" t="inlineStr">
        <is>
          <t>總計</t>
        </is>
      </c>
      <c r="C22" s="1688" t="n"/>
      <c r="D22" s="1257" t="n"/>
      <c r="E22" s="1257" t="n"/>
      <c r="F22" s="1258">
        <f>F21+F20</f>
        <v/>
      </c>
      <c r="G22" s="1257" t="n"/>
      <c r="I22" s="1262" t="n"/>
      <c r="K22" s="1896" t="inlineStr">
        <is>
          <t>總計</t>
        </is>
      </c>
      <c r="L22" s="1688" t="n"/>
      <c r="M22" s="1257" t="n"/>
      <c r="N22" s="1257" t="n"/>
      <c r="O22" s="1258">
        <f>SUM(O20:O21)</f>
        <v/>
      </c>
      <c r="P22" s="1257" t="n"/>
    </row>
    <row r="23" ht="16.5" customHeight="1" s="1643">
      <c r="B23" s="1261" t="inlineStr">
        <is>
          <t>平均1kw（未稅）</t>
        </is>
      </c>
      <c r="C23" s="1688" t="n"/>
      <c r="D23" s="1245" t="n"/>
      <c r="E23" s="1245" t="n"/>
      <c r="F23" s="1244">
        <f>F20/#REF!</f>
        <v/>
      </c>
      <c r="G23" s="1245" t="n"/>
      <c r="I23" s="1262" t="n"/>
      <c r="K23" s="1261" t="inlineStr">
        <is>
          <t>平均1kW（未稅）</t>
        </is>
      </c>
      <c r="L23" s="1688" t="n"/>
      <c r="M23" s="1245" t="n"/>
      <c r="N23" s="1245" t="n"/>
      <c r="O23" s="1244">
        <f>O20/#REF!</f>
        <v/>
      </c>
      <c r="P23" s="1245" t="n"/>
    </row>
    <row r="24" ht="16.5" customHeight="1" s="1643">
      <c r="B24" s="1896" t="inlineStr">
        <is>
          <t>平均1kw（含稅）</t>
        </is>
      </c>
      <c r="C24" s="1688" t="n"/>
      <c r="D24" s="1255" t="n"/>
      <c r="E24" s="1255" t="n"/>
      <c r="F24" s="1256">
        <f>F22/#REF!</f>
        <v/>
      </c>
      <c r="G24" s="1255" t="n"/>
      <c r="I24" s="1262" t="n"/>
      <c r="K24" s="1896" t="inlineStr">
        <is>
          <t>平均1kW（含稅）</t>
        </is>
      </c>
      <c r="L24" s="1688" t="n"/>
      <c r="M24" s="1255" t="n"/>
      <c r="N24" s="1255" t="n"/>
      <c r="O24" s="1256">
        <f>O22/#REF!</f>
        <v/>
      </c>
      <c r="P24" s="1255" t="n"/>
    </row>
    <row r="25">
      <c r="B25" s="1897" t="inlineStr">
        <is>
          <t>運維</t>
        </is>
      </c>
      <c r="C25" s="1687" t="n"/>
      <c r="D25" s="1687" t="n"/>
      <c r="E25" s="1687" t="n"/>
      <c r="F25" s="1687" t="n"/>
      <c r="G25" s="1688" t="n"/>
      <c r="I25" s="1262" t="n"/>
      <c r="K25" s="1897" t="inlineStr">
        <is>
          <t>運維</t>
        </is>
      </c>
      <c r="L25" s="1687" t="n"/>
      <c r="M25" s="1687" t="n"/>
      <c r="N25" s="1687" t="n"/>
      <c r="O25" s="1687" t="n"/>
      <c r="P25" s="1688" t="n"/>
    </row>
    <row r="26" ht="33" customHeight="1" s="1643">
      <c r="B26" s="1240" t="n">
        <v>1</v>
      </c>
      <c r="C26" s="1247" t="inlineStr">
        <is>
          <t>系統維運</t>
        </is>
      </c>
      <c r="D26" s="1240">
        <f>C2</f>
        <v/>
      </c>
      <c r="E26" s="1240" t="inlineStr">
        <is>
          <t>kW</t>
        </is>
      </c>
      <c r="F26" s="1244">
        <f>D26*400*20</f>
        <v/>
      </c>
      <c r="G26" s="1245" t="n"/>
      <c r="I26" s="1262" t="n"/>
      <c r="K26" s="1240" t="n">
        <v>1</v>
      </c>
      <c r="L26" s="1245" t="inlineStr">
        <is>
          <t>系統維運</t>
        </is>
      </c>
      <c r="M26" s="1240">
        <f>D26</f>
        <v/>
      </c>
      <c r="N26" s="1240" t="inlineStr">
        <is>
          <t>kW</t>
        </is>
      </c>
      <c r="O26" s="1244">
        <f>F26</f>
        <v/>
      </c>
      <c r="P26" s="1267" t="inlineStr">
        <is>
          <t>400kW/年，共計20年。
含清洗巡檢線上監控等運維服務。</t>
        </is>
      </c>
    </row>
    <row r="27">
      <c r="B27" s="1897" t="inlineStr">
        <is>
          <t>其他</t>
        </is>
      </c>
      <c r="C27" s="1687" t="n"/>
      <c r="D27" s="1687" t="n"/>
      <c r="E27" s="1687" t="n"/>
      <c r="F27" s="1687" t="n"/>
      <c r="G27" s="1688" t="n"/>
      <c r="I27" s="1262" t="n"/>
      <c r="K27" s="1897" t="inlineStr">
        <is>
          <t>其他</t>
        </is>
      </c>
      <c r="L27" s="1687" t="n"/>
      <c r="M27" s="1687" t="n"/>
      <c r="N27" s="1687" t="n"/>
      <c r="O27" s="1687" t="n"/>
      <c r="P27" s="1688" t="n"/>
    </row>
    <row r="28" ht="16.5" customHeight="1" s="1643">
      <c r="B28" s="1261" t="n">
        <v>1</v>
      </c>
      <c r="C28" s="1247" t="inlineStr">
        <is>
          <t>保險費</t>
        </is>
      </c>
      <c r="D28" s="1898" t="inlineStr">
        <is>
          <t>參考: 造價0.3% 由業主自行投保。</t>
        </is>
      </c>
      <c r="E28" s="1687" t="n"/>
      <c r="F28" s="1688" t="n"/>
      <c r="G28" s="1249" t="n"/>
      <c r="I28" s="1262" t="n"/>
      <c r="K28" s="1261" t="n">
        <v>1</v>
      </c>
      <c r="L28" s="1249" t="inlineStr">
        <is>
          <t>保險費</t>
        </is>
      </c>
      <c r="M28" s="1898">
        <f>D28</f>
        <v/>
      </c>
      <c r="N28" s="1687" t="n"/>
      <c r="O28" s="1688" t="n"/>
      <c r="P28" s="1249" t="n"/>
    </row>
    <row r="29" ht="16.5" customHeight="1" s="1643">
      <c r="B29" s="1240" t="n">
        <v>2</v>
      </c>
      <c r="C29" s="1247" t="inlineStr">
        <is>
          <t>模組回收費</t>
        </is>
      </c>
      <c r="D29" s="1240">
        <f>C2</f>
        <v/>
      </c>
      <c r="E29" s="1240" t="inlineStr">
        <is>
          <t>kW</t>
        </is>
      </c>
      <c r="F29" s="1244">
        <f>D29*1000</f>
        <v/>
      </c>
      <c r="G29" s="1245" t="n"/>
      <c r="I29" s="1262" t="n"/>
      <c r="K29" s="1240" t="n">
        <v>2</v>
      </c>
      <c r="L29" s="1245" t="inlineStr">
        <is>
          <t>模組回收費</t>
        </is>
      </c>
      <c r="M29" s="1240">
        <f>D29</f>
        <v/>
      </c>
      <c r="N29" s="1240" t="inlineStr">
        <is>
          <t>kW</t>
        </is>
      </c>
      <c r="O29" s="1244">
        <f>F29</f>
        <v/>
      </c>
      <c r="P29" s="1245" t="inlineStr">
        <is>
          <t>1000kW/元，由環保署分10年徵收。</t>
        </is>
      </c>
    </row>
    <row r="30" ht="9" customHeight="1" s="1643">
      <c r="B30" s="1265" t="n"/>
      <c r="C30" s="1265" t="n"/>
      <c r="D30" s="1265" t="n"/>
      <c r="E30" s="1265" t="n"/>
      <c r="F30" s="1266" t="n"/>
      <c r="G30" s="1265" t="n"/>
      <c r="I30" s="1262" t="n"/>
      <c r="K30" s="1265" t="n"/>
      <c r="L30" s="1265" t="n"/>
      <c r="M30" s="1265" t="n"/>
      <c r="N30" s="1265" t="n"/>
      <c r="O30" s="1266" t="n"/>
      <c r="P30" s="1265" t="n"/>
    </row>
    <row r="31">
      <c r="K31" s="1253" t="n"/>
      <c r="L31" s="1253" t="n"/>
      <c r="M31" s="1253" t="n"/>
      <c r="N31" s="1254" t="n"/>
      <c r="O31" s="1253" t="n"/>
    </row>
  </sheetData>
  <mergeCells count="18">
    <mergeCell ref="M28:O28"/>
    <mergeCell ref="B21:C21"/>
    <mergeCell ref="B24:C24"/>
    <mergeCell ref="D28:F28"/>
    <mergeCell ref="K20:L20"/>
    <mergeCell ref="K27:P27"/>
    <mergeCell ref="K24:L24"/>
    <mergeCell ref="B20:C20"/>
    <mergeCell ref="B27:G27"/>
    <mergeCell ref="B23:C23"/>
    <mergeCell ref="B22:C22"/>
    <mergeCell ref="M2:P2"/>
    <mergeCell ref="K23:L23"/>
    <mergeCell ref="D2:G2"/>
    <mergeCell ref="K25:P25"/>
    <mergeCell ref="K22:L22"/>
    <mergeCell ref="B25:G25"/>
    <mergeCell ref="K21:L21"/>
  </mergeCells>
  <conditionalFormatting sqref="O20">
    <cfRule type="cellIs" priority="5" operator="lessThan" dxfId="5">
      <formula>$F$20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rgb="FF99CCFF"/>
    <outlinePr summaryBelow="1" summaryRight="1"/>
    <pageSetUpPr/>
  </sheetPr>
  <dimension ref="B2:AM182"/>
  <sheetViews>
    <sheetView showGridLines="0" zoomScale="70" zoomScaleNormal="70" workbookViewId="0">
      <pane xSplit="2" ySplit="4" topLeftCell="C106" activePane="bottomRight" state="frozen"/>
      <selection pane="topRight" activeCell="C1" sqref="C1"/>
      <selection pane="bottomLeft" activeCell="A5" sqref="A5"/>
      <selection pane="bottomRight" activeCell="E171" sqref="E17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6.5" customWidth="1" style="1643" min="4" max="23"/>
    <col width="14.75" customWidth="1" style="1643" min="24" max="25"/>
    <col width="15" bestFit="1" customWidth="1" style="1643" min="26" max="26"/>
    <col width="8.375" bestFit="1" customWidth="1" style="1643" min="27" max="27"/>
    <col width="30" customWidth="1" style="1643" min="28" max="28"/>
    <col width="19.625" bestFit="1" customWidth="1" style="1643" min="33" max="33"/>
    <col width="20.5" bestFit="1" customWidth="1" style="1643" min="34" max="34"/>
    <col width="20.25" bestFit="1" customWidth="1" style="1643" min="35" max="35"/>
    <col width="20.875" bestFit="1" customWidth="1" style="1643" min="36" max="36"/>
    <col width="15.5" bestFit="1" customWidth="1" style="1643" min="37" max="37"/>
    <col width="36.875" bestFit="1" customWidth="1" style="1643" min="38" max="38"/>
    <col width="32.625" bestFit="1" customWidth="1" style="1643" min="39" max="39"/>
  </cols>
  <sheetData>
    <row r="2">
      <c r="B2" s="419" t="inlineStr">
        <is>
          <t>重資打包賣價</t>
        </is>
      </c>
      <c r="C2" s="1899">
        <f>Z28</f>
        <v/>
      </c>
      <c r="D2" s="416" t="n"/>
      <c r="E2" s="416" t="n"/>
      <c r="F2" s="416" t="n"/>
      <c r="G2" s="416" t="n"/>
      <c r="H2" s="416" t="n"/>
      <c r="I2" s="416" t="n"/>
      <c r="J2" s="416" t="n"/>
      <c r="K2" s="416" t="n"/>
      <c r="L2" s="416" t="n"/>
      <c r="M2" s="416" t="n"/>
      <c r="N2" s="416" t="n"/>
      <c r="O2" s="416" t="n"/>
      <c r="P2" s="416" t="n"/>
      <c r="Q2" s="416" t="n"/>
      <c r="R2" s="416" t="n"/>
      <c r="S2" s="416" t="n"/>
      <c r="T2" s="416" t="n"/>
      <c r="U2" s="416" t="n"/>
      <c r="V2" s="416" t="n"/>
      <c r="W2" s="416" t="n"/>
      <c r="X2" s="416" t="n"/>
      <c r="Y2" s="416" t="n"/>
      <c r="Z2" s="416" t="n"/>
      <c r="AA2" s="416" t="n"/>
      <c r="AB2" s="416" t="n"/>
      <c r="AC2" s="416" t="n"/>
      <c r="AD2" s="416" t="n"/>
      <c r="AE2" s="416" t="n"/>
    </row>
    <row r="4">
      <c r="B4" s="445" t="n"/>
      <c r="C4" s="446" t="inlineStr">
        <is>
          <t>年份</t>
        </is>
      </c>
      <c r="D4" s="446" t="n">
        <v>2020</v>
      </c>
      <c r="E4" s="446" t="n">
        <v>2021</v>
      </c>
      <c r="F4" s="446" t="n">
        <v>2022</v>
      </c>
      <c r="G4" s="446" t="n">
        <v>2023</v>
      </c>
      <c r="H4" s="446" t="n">
        <v>2024</v>
      </c>
      <c r="I4" s="446" t="n">
        <v>2025</v>
      </c>
      <c r="J4" s="446" t="n">
        <v>2026</v>
      </c>
      <c r="K4" s="446" t="n">
        <v>2027</v>
      </c>
      <c r="L4" s="446" t="n">
        <v>2028</v>
      </c>
      <c r="M4" s="446" t="n">
        <v>2029</v>
      </c>
      <c r="N4" s="446" t="n">
        <v>2030</v>
      </c>
      <c r="O4" s="446" t="n">
        <v>2031</v>
      </c>
      <c r="P4" s="446" t="n">
        <v>2032</v>
      </c>
      <c r="Q4" s="446" t="n">
        <v>2033</v>
      </c>
      <c r="R4" s="446" t="n">
        <v>2034</v>
      </c>
      <c r="S4" s="446" t="n">
        <v>2035</v>
      </c>
      <c r="T4" s="446" t="n">
        <v>2036</v>
      </c>
      <c r="U4" s="446" t="n">
        <v>2037</v>
      </c>
      <c r="V4" s="446" t="n">
        <v>2038</v>
      </c>
      <c r="W4" s="446" t="n">
        <v>2039</v>
      </c>
      <c r="X4" s="448" t="n"/>
      <c r="Y4" s="448" t="n"/>
      <c r="Z4" s="447" t="n"/>
      <c r="AA4" s="447" t="n"/>
      <c r="AB4" s="445" t="n"/>
      <c r="AC4" s="445" t="n"/>
      <c r="AD4" s="445" t="n"/>
      <c r="AE4" s="445" t="n"/>
    </row>
    <row r="5">
      <c r="B5" s="421" t="inlineStr">
        <is>
          <t>案場名</t>
        </is>
      </c>
      <c r="C5" s="416" t="inlineStr">
        <is>
          <t>預估發電度數</t>
        </is>
      </c>
      <c r="D5" s="416" t="n"/>
      <c r="E5" s="416" t="n"/>
      <c r="F5" s="416" t="n"/>
      <c r="G5" s="416" t="n"/>
      <c r="H5" s="416" t="n"/>
      <c r="I5" s="416" t="n"/>
      <c r="J5" s="416" t="n"/>
      <c r="K5" s="416" t="n"/>
      <c r="L5" s="416" t="n"/>
      <c r="M5" s="416" t="n"/>
      <c r="N5" s="416" t="n"/>
      <c r="O5" s="416" t="n"/>
      <c r="P5" s="416" t="n"/>
      <c r="Q5" s="416" t="n"/>
      <c r="R5" s="416" t="n"/>
      <c r="S5" s="416" t="n"/>
      <c r="T5" s="416" t="n"/>
      <c r="U5" s="416" t="n"/>
      <c r="V5" s="416" t="n"/>
      <c r="W5" s="416" t="n"/>
      <c r="X5" s="416" t="n"/>
      <c r="Y5" s="416" t="n"/>
      <c r="Z5" s="416" t="n"/>
      <c r="AA5" s="416" t="n"/>
      <c r="AB5" s="416" t="n"/>
      <c r="AC5" s="416" t="n"/>
      <c r="AD5" s="436" t="inlineStr">
        <is>
          <t>發電度數</t>
        </is>
      </c>
      <c r="AE5" s="417" t="n"/>
    </row>
    <row r="6">
      <c r="B6" s="421">
        <f>#REF!</f>
        <v/>
      </c>
      <c r="C6" s="416" t="n"/>
      <c r="D6" s="756">
        <f>#REF!</f>
        <v/>
      </c>
      <c r="E6" s="756">
        <f>#REF!</f>
        <v/>
      </c>
      <c r="F6" s="756">
        <f>#REF!</f>
        <v/>
      </c>
      <c r="G6" s="756">
        <f>#REF!</f>
        <v/>
      </c>
      <c r="H6" s="756">
        <f>#REF!</f>
        <v/>
      </c>
      <c r="I6" s="756">
        <f>#REF!</f>
        <v/>
      </c>
      <c r="J6" s="756">
        <f>#REF!</f>
        <v/>
      </c>
      <c r="K6" s="756">
        <f>#REF!</f>
        <v/>
      </c>
      <c r="L6" s="756">
        <f>#REF!</f>
        <v/>
      </c>
      <c r="M6" s="756">
        <f>#REF!</f>
        <v/>
      </c>
      <c r="N6" s="756">
        <f>#REF!</f>
        <v/>
      </c>
      <c r="O6" s="756">
        <f>#REF!</f>
        <v/>
      </c>
      <c r="P6" s="756">
        <f>#REF!</f>
        <v/>
      </c>
      <c r="Q6" s="756">
        <f>#REF!</f>
        <v/>
      </c>
      <c r="R6" s="756">
        <f>#REF!</f>
        <v/>
      </c>
      <c r="S6" s="756">
        <f>#REF!</f>
        <v/>
      </c>
      <c r="T6" s="756">
        <f>#REF!</f>
        <v/>
      </c>
      <c r="U6" s="756">
        <f>#REF!</f>
        <v/>
      </c>
      <c r="V6" s="756">
        <f>#REF!</f>
        <v/>
      </c>
      <c r="W6" s="756">
        <f>#REF!</f>
        <v/>
      </c>
      <c r="X6" s="416" t="n"/>
      <c r="Y6" s="416" t="n"/>
      <c r="Z6" s="438">
        <f>SUM(D6:Y6)</f>
        <v/>
      </c>
      <c r="AA6" s="416" t="n"/>
      <c r="AB6" s="416" t="n"/>
      <c r="AC6" s="416" t="n"/>
      <c r="AD6" s="436" t="inlineStr">
        <is>
          <t>賣價</t>
        </is>
      </c>
      <c r="AE6" s="417" t="n"/>
    </row>
    <row r="7">
      <c r="B7" s="416" t="n"/>
      <c r="C7" s="449" t="inlineStr">
        <is>
          <t>發電度數 總計</t>
        </is>
      </c>
      <c r="D7" s="1900">
        <f>SUM(D6:D6)</f>
        <v/>
      </c>
      <c r="E7" s="1900">
        <f>SUM(E6:E6)</f>
        <v/>
      </c>
      <c r="F7" s="1900">
        <f>SUM(F6:F6)</f>
        <v/>
      </c>
      <c r="G7" s="1900">
        <f>SUM(G6:G6)</f>
        <v/>
      </c>
      <c r="H7" s="1900">
        <f>SUM(H6:H6)</f>
        <v/>
      </c>
      <c r="I7" s="1900">
        <f>SUM(I6:I6)</f>
        <v/>
      </c>
      <c r="J7" s="1900">
        <f>SUM(J6:J6)</f>
        <v/>
      </c>
      <c r="K7" s="1900">
        <f>SUM(K6:K6)</f>
        <v/>
      </c>
      <c r="L7" s="1900">
        <f>SUM(L6:L6)</f>
        <v/>
      </c>
      <c r="M7" s="1900">
        <f>SUM(M6:M6)</f>
        <v/>
      </c>
      <c r="N7" s="1900">
        <f>SUM(N6:N6)</f>
        <v/>
      </c>
      <c r="O7" s="1900">
        <f>SUM(O6:O6)</f>
        <v/>
      </c>
      <c r="P7" s="1900">
        <f>SUM(P6:P6)</f>
        <v/>
      </c>
      <c r="Q7" s="1900">
        <f>SUM(Q6:Q6)</f>
        <v/>
      </c>
      <c r="R7" s="1900">
        <f>SUM(R6:R6)</f>
        <v/>
      </c>
      <c r="S7" s="1900">
        <f>SUM(S6:S6)</f>
        <v/>
      </c>
      <c r="T7" s="1900">
        <f>SUM(T6:T6)</f>
        <v/>
      </c>
      <c r="U7" s="1900">
        <f>SUM(U6:U6)</f>
        <v/>
      </c>
      <c r="V7" s="1900">
        <f>SUM(V6:V6)</f>
        <v/>
      </c>
      <c r="W7" s="1900">
        <f>SUM(W6:W6)</f>
        <v/>
      </c>
      <c r="X7" s="1900">
        <f>SUM(X6:X6)</f>
        <v/>
      </c>
      <c r="Y7" s="449" t="n"/>
      <c r="Z7" s="1901">
        <f>SUM(D7:Y7)</f>
        <v/>
      </c>
      <c r="AA7" s="437">
        <f>IF(ROUND((#REF!-'IRR (樂觀2%)'!Z7),0)=0,"correct", "error")</f>
        <v/>
      </c>
      <c r="AB7" s="416" t="n"/>
      <c r="AC7" s="416" t="n"/>
      <c r="AD7" s="416" t="n"/>
      <c r="AE7" s="416" t="n"/>
    </row>
    <row r="8">
      <c r="B8" s="421" t="inlineStr">
        <is>
          <t>案場名</t>
        </is>
      </c>
      <c r="C8" s="416" t="inlineStr">
        <is>
          <t>預估收入</t>
        </is>
      </c>
      <c r="D8" s="429" t="n">
        <v>2020</v>
      </c>
      <c r="E8" s="429" t="n">
        <v>2021</v>
      </c>
      <c r="F8" s="429" t="n">
        <v>2022</v>
      </c>
      <c r="G8" s="429" t="n">
        <v>2023</v>
      </c>
      <c r="H8" s="429" t="n">
        <v>2024</v>
      </c>
      <c r="I8" s="429" t="n">
        <v>2025</v>
      </c>
      <c r="J8" s="429" t="n">
        <v>2026</v>
      </c>
      <c r="K8" s="429" t="n">
        <v>2027</v>
      </c>
      <c r="L8" s="429" t="n">
        <v>2028</v>
      </c>
      <c r="M8" s="429" t="n">
        <v>2029</v>
      </c>
      <c r="N8" s="429" t="n">
        <v>2030</v>
      </c>
      <c r="O8" s="429" t="n">
        <v>2031</v>
      </c>
      <c r="P8" s="429" t="n">
        <v>2032</v>
      </c>
      <c r="Q8" s="429" t="n">
        <v>2033</v>
      </c>
      <c r="R8" s="429" t="n">
        <v>2034</v>
      </c>
      <c r="S8" s="429" t="n">
        <v>2035</v>
      </c>
      <c r="T8" s="429" t="n">
        <v>2036</v>
      </c>
      <c r="U8" s="429" t="n">
        <v>2037</v>
      </c>
      <c r="V8" s="429" t="n">
        <v>2038</v>
      </c>
      <c r="W8" s="429" t="n">
        <v>2039</v>
      </c>
      <c r="X8" s="429" t="n">
        <v>2040</v>
      </c>
      <c r="Y8" s="429" t="n"/>
      <c r="Z8" s="438" t="n"/>
      <c r="AA8" s="416" t="n"/>
      <c r="AB8" s="416" t="n"/>
      <c r="AC8" s="416" t="n"/>
      <c r="AD8" s="416" t="n"/>
      <c r="AE8" s="416" t="n"/>
    </row>
    <row r="9">
      <c r="B9" s="421">
        <f>#REF!</f>
        <v/>
      </c>
      <c r="C9" s="416" t="n"/>
      <c r="D9" s="756">
        <f>#REF!</f>
        <v/>
      </c>
      <c r="E9" s="756">
        <f>#REF!</f>
        <v/>
      </c>
      <c r="F9" s="756">
        <f>#REF!</f>
        <v/>
      </c>
      <c r="G9" s="756">
        <f>#REF!</f>
        <v/>
      </c>
      <c r="H9" s="756">
        <f>#REF!</f>
        <v/>
      </c>
      <c r="I9" s="756">
        <f>#REF!</f>
        <v/>
      </c>
      <c r="J9" s="756">
        <f>#REF!</f>
        <v/>
      </c>
      <c r="K9" s="756">
        <f>#REF!</f>
        <v/>
      </c>
      <c r="L9" s="756">
        <f>#REF!</f>
        <v/>
      </c>
      <c r="M9" s="756">
        <f>#REF!</f>
        <v/>
      </c>
      <c r="N9" s="756">
        <f>#REF!</f>
        <v/>
      </c>
      <c r="O9" s="756">
        <f>#REF!</f>
        <v/>
      </c>
      <c r="P9" s="756">
        <f>#REF!</f>
        <v/>
      </c>
      <c r="Q9" s="756">
        <f>#REF!</f>
        <v/>
      </c>
      <c r="R9" s="756">
        <f>#REF!</f>
        <v/>
      </c>
      <c r="S9" s="756">
        <f>#REF!</f>
        <v/>
      </c>
      <c r="T9" s="756">
        <f>#REF!</f>
        <v/>
      </c>
      <c r="U9" s="756">
        <f>#REF!</f>
        <v/>
      </c>
      <c r="V9" s="756">
        <f>#REF!</f>
        <v/>
      </c>
      <c r="W9" s="756">
        <f>#REF!</f>
        <v/>
      </c>
      <c r="X9" s="416" t="n"/>
      <c r="Y9" s="416" t="n"/>
      <c r="Z9" s="438">
        <f>SUM(D9:Y9)</f>
        <v/>
      </c>
      <c r="AA9" s="416" t="n"/>
      <c r="AB9" s="416" t="n"/>
      <c r="AC9" s="416" t="n"/>
      <c r="AD9" s="416" t="n"/>
      <c r="AE9" s="416" t="n"/>
    </row>
    <row r="10">
      <c r="B10" s="421" t="n"/>
      <c r="C10" s="422" t="inlineStr">
        <is>
          <t>預估收入 總計</t>
        </is>
      </c>
      <c r="D10" s="1902">
        <f>SUM(D9:D9)</f>
        <v/>
      </c>
      <c r="E10" s="1902">
        <f>SUM(E9:E9)</f>
        <v/>
      </c>
      <c r="F10" s="1902">
        <f>SUM(F9:F9)</f>
        <v/>
      </c>
      <c r="G10" s="1902">
        <f>SUM(G9:G9)</f>
        <v/>
      </c>
      <c r="H10" s="1902">
        <f>SUM(H9:H9)</f>
        <v/>
      </c>
      <c r="I10" s="1902">
        <f>SUM(I9:I9)</f>
        <v/>
      </c>
      <c r="J10" s="1902">
        <f>SUM(J9:J9)</f>
        <v/>
      </c>
      <c r="K10" s="1902">
        <f>SUM(K9:K9)</f>
        <v/>
      </c>
      <c r="L10" s="1902">
        <f>SUM(L9:L9)</f>
        <v/>
      </c>
      <c r="M10" s="1902">
        <f>SUM(M9:M9)</f>
        <v/>
      </c>
      <c r="N10" s="1902">
        <f>SUM(N9:N9)</f>
        <v/>
      </c>
      <c r="O10" s="1902">
        <f>SUM(O9:O9)</f>
        <v/>
      </c>
      <c r="P10" s="1902">
        <f>SUM(P9:P9)</f>
        <v/>
      </c>
      <c r="Q10" s="1902">
        <f>SUM(Q9:Q9)</f>
        <v/>
      </c>
      <c r="R10" s="1902">
        <f>SUM(R9:R9)</f>
        <v/>
      </c>
      <c r="S10" s="1902">
        <f>SUM(S9:S9)</f>
        <v/>
      </c>
      <c r="T10" s="1902">
        <f>SUM(T9:T9)</f>
        <v/>
      </c>
      <c r="U10" s="1902">
        <f>SUM(U9:U9)</f>
        <v/>
      </c>
      <c r="V10" s="1902">
        <f>SUM(V9:V9)</f>
        <v/>
      </c>
      <c r="W10" s="1902">
        <f>SUM(W9:W9)</f>
        <v/>
      </c>
      <c r="X10" s="1902">
        <f>SUM(X9:X9)</f>
        <v/>
      </c>
      <c r="Y10" s="1902" t="n"/>
      <c r="Z10" s="1901">
        <f>SUM(D10:Y10)</f>
        <v/>
      </c>
      <c r="AA10" s="437">
        <f>IF(ROUND((#REF!-'IRR (樂觀2%)'!Z10),0)=0,"correct", "error")</f>
        <v/>
      </c>
      <c r="AB10" s="416" t="n"/>
      <c r="AC10" s="416" t="n"/>
      <c r="AD10" s="416" t="n"/>
      <c r="AE10" s="416" t="n"/>
    </row>
    <row r="11">
      <c r="B11" s="421" t="inlineStr">
        <is>
          <t>案場名</t>
        </is>
      </c>
      <c r="C11" s="416" t="inlineStr">
        <is>
          <t>租金/年</t>
        </is>
      </c>
      <c r="D11" s="429" t="n">
        <v>2020</v>
      </c>
      <c r="E11" s="429" t="n">
        <v>2021</v>
      </c>
      <c r="F11" s="429" t="n">
        <v>2022</v>
      </c>
      <c r="G11" s="429" t="n">
        <v>2023</v>
      </c>
      <c r="H11" s="429" t="n">
        <v>2024</v>
      </c>
      <c r="I11" s="429" t="n">
        <v>2025</v>
      </c>
      <c r="J11" s="429" t="n">
        <v>2026</v>
      </c>
      <c r="K11" s="429" t="n">
        <v>2027</v>
      </c>
      <c r="L11" s="429" t="n">
        <v>2028</v>
      </c>
      <c r="M11" s="429" t="n">
        <v>2029</v>
      </c>
      <c r="N11" s="429" t="n">
        <v>2030</v>
      </c>
      <c r="O11" s="429" t="n">
        <v>2031</v>
      </c>
      <c r="P11" s="429" t="n">
        <v>2032</v>
      </c>
      <c r="Q11" s="429" t="n">
        <v>2033</v>
      </c>
      <c r="R11" s="429" t="n">
        <v>2034</v>
      </c>
      <c r="S11" s="429" t="n">
        <v>2035</v>
      </c>
      <c r="T11" s="429" t="n">
        <v>2036</v>
      </c>
      <c r="U11" s="429" t="n">
        <v>2037</v>
      </c>
      <c r="V11" s="429" t="n">
        <v>2038</v>
      </c>
      <c r="W11" s="429" t="n">
        <v>2039</v>
      </c>
      <c r="X11" s="429" t="n">
        <v>2040</v>
      </c>
      <c r="Y11" s="429" t="n"/>
      <c r="Z11" s="438" t="n"/>
      <c r="AA11" s="416" t="n"/>
      <c r="AB11" s="416" t="n"/>
      <c r="AC11" s="416" t="n"/>
      <c r="AD11" s="416" t="n"/>
      <c r="AE11" s="416" t="n"/>
    </row>
    <row r="12">
      <c r="B12" s="421">
        <f>#REF!</f>
        <v/>
      </c>
      <c r="C12" s="416" t="n"/>
      <c r="D12" s="756">
        <f>#REF!</f>
        <v/>
      </c>
      <c r="E12" s="756">
        <f>#REF!</f>
        <v/>
      </c>
      <c r="F12" s="756">
        <f>#REF!</f>
        <v/>
      </c>
      <c r="G12" s="756">
        <f>#REF!</f>
        <v/>
      </c>
      <c r="H12" s="756">
        <f>#REF!</f>
        <v/>
      </c>
      <c r="I12" s="756">
        <f>#REF!</f>
        <v/>
      </c>
      <c r="J12" s="756">
        <f>#REF!</f>
        <v/>
      </c>
      <c r="K12" s="756">
        <f>#REF!</f>
        <v/>
      </c>
      <c r="L12" s="756">
        <f>#REF!</f>
        <v/>
      </c>
      <c r="M12" s="756">
        <f>#REF!</f>
        <v/>
      </c>
      <c r="N12" s="756">
        <f>#REF!</f>
        <v/>
      </c>
      <c r="O12" s="756">
        <f>#REF!</f>
        <v/>
      </c>
      <c r="P12" s="756">
        <f>#REF!</f>
        <v/>
      </c>
      <c r="Q12" s="756">
        <f>#REF!</f>
        <v/>
      </c>
      <c r="R12" s="756">
        <f>#REF!</f>
        <v/>
      </c>
      <c r="S12" s="756">
        <f>#REF!</f>
        <v/>
      </c>
      <c r="T12" s="756">
        <f>#REF!</f>
        <v/>
      </c>
      <c r="U12" s="756">
        <f>#REF!</f>
        <v/>
      </c>
      <c r="V12" s="756">
        <f>#REF!</f>
        <v/>
      </c>
      <c r="W12" s="756">
        <f>#REF!</f>
        <v/>
      </c>
      <c r="X12" s="416" t="n"/>
      <c r="Y12" s="416" t="n"/>
      <c r="Z12" s="438">
        <f>SUM(D12:Y12)</f>
        <v/>
      </c>
      <c r="AA12" s="416" t="n"/>
      <c r="AB12" s="416" t="n"/>
      <c r="AC12" s="416" t="n"/>
      <c r="AD12" s="416" t="n"/>
      <c r="AE12" s="416" t="n"/>
    </row>
    <row r="13">
      <c r="B13" s="421" t="n"/>
      <c r="C13" s="423" t="inlineStr">
        <is>
          <t>租金/年 總計</t>
        </is>
      </c>
      <c r="D13" s="1903">
        <f>SUM(D12:D12)</f>
        <v/>
      </c>
      <c r="E13" s="1903">
        <f>SUM(E12:E12)</f>
        <v/>
      </c>
      <c r="F13" s="1903">
        <f>SUM(F12:F12)</f>
        <v/>
      </c>
      <c r="G13" s="1903">
        <f>SUM(G12:G12)</f>
        <v/>
      </c>
      <c r="H13" s="1903">
        <f>SUM(H12:H12)</f>
        <v/>
      </c>
      <c r="I13" s="1903">
        <f>SUM(I12:I12)</f>
        <v/>
      </c>
      <c r="J13" s="1903">
        <f>SUM(J12:J12)</f>
        <v/>
      </c>
      <c r="K13" s="1903">
        <f>SUM(K12:K12)</f>
        <v/>
      </c>
      <c r="L13" s="1903">
        <f>SUM(L12:L12)</f>
        <v/>
      </c>
      <c r="M13" s="1903">
        <f>SUM(M12:M12)</f>
        <v/>
      </c>
      <c r="N13" s="1903">
        <f>SUM(N12:N12)</f>
        <v/>
      </c>
      <c r="O13" s="1903">
        <f>SUM(O12:O12)</f>
        <v/>
      </c>
      <c r="P13" s="1903">
        <f>SUM(P12:P12)</f>
        <v/>
      </c>
      <c r="Q13" s="1903">
        <f>SUM(Q12:Q12)</f>
        <v/>
      </c>
      <c r="R13" s="1903">
        <f>SUM(R12:R12)</f>
        <v/>
      </c>
      <c r="S13" s="1903">
        <f>SUM(S12:S12)</f>
        <v/>
      </c>
      <c r="T13" s="1903">
        <f>SUM(T12:T12)</f>
        <v/>
      </c>
      <c r="U13" s="1903">
        <f>SUM(U12:U12)</f>
        <v/>
      </c>
      <c r="V13" s="1903">
        <f>SUM(V12:V12)</f>
        <v/>
      </c>
      <c r="W13" s="1903">
        <f>SUM(W12:W12)</f>
        <v/>
      </c>
      <c r="X13" s="1903">
        <f>SUM(X12:X12)</f>
        <v/>
      </c>
      <c r="Y13" s="1903" t="n"/>
      <c r="Z13" s="1901">
        <f>SUM(D13:Y13)</f>
        <v/>
      </c>
      <c r="AA13" s="437">
        <f>IF(ROUND((#REF!-'IRR (樂觀2%)'!Z13),0)=0,"correct", "error")</f>
        <v/>
      </c>
      <c r="AB13" s="416" t="n"/>
      <c r="AC13" s="416" t="n"/>
      <c r="AD13" s="416" t="n"/>
      <c r="AE13" s="416" t="n"/>
    </row>
    <row r="14">
      <c r="B14" s="421" t="inlineStr">
        <is>
          <t>案場名</t>
        </is>
      </c>
      <c r="C14" s="416" t="inlineStr">
        <is>
          <t>運維/年</t>
        </is>
      </c>
      <c r="D14" s="429" t="n">
        <v>2020</v>
      </c>
      <c r="E14" s="429" t="n">
        <v>2021</v>
      </c>
      <c r="F14" s="429" t="n">
        <v>2022</v>
      </c>
      <c r="G14" s="429" t="n">
        <v>2023</v>
      </c>
      <c r="H14" s="429" t="n">
        <v>2024</v>
      </c>
      <c r="I14" s="429" t="n">
        <v>2025</v>
      </c>
      <c r="J14" s="429" t="n">
        <v>2026</v>
      </c>
      <c r="K14" s="429" t="n">
        <v>2027</v>
      </c>
      <c r="L14" s="429" t="n">
        <v>2028</v>
      </c>
      <c r="M14" s="429" t="n">
        <v>2029</v>
      </c>
      <c r="N14" s="429" t="n">
        <v>2030</v>
      </c>
      <c r="O14" s="429" t="n">
        <v>2031</v>
      </c>
      <c r="P14" s="429" t="n">
        <v>2032</v>
      </c>
      <c r="Q14" s="429" t="n">
        <v>2033</v>
      </c>
      <c r="R14" s="429" t="n">
        <v>2034</v>
      </c>
      <c r="S14" s="429" t="n">
        <v>2035</v>
      </c>
      <c r="T14" s="429" t="n">
        <v>2036</v>
      </c>
      <c r="U14" s="429" t="n">
        <v>2037</v>
      </c>
      <c r="V14" s="429" t="n">
        <v>2038</v>
      </c>
      <c r="W14" s="429" t="n">
        <v>2039</v>
      </c>
      <c r="X14" s="429" t="n">
        <v>2040</v>
      </c>
      <c r="Y14" s="429" t="n"/>
      <c r="Z14" s="438" t="n"/>
      <c r="AA14" s="416" t="n"/>
      <c r="AB14" s="416" t="n"/>
      <c r="AC14" s="416" t="n"/>
      <c r="AD14" s="416" t="n"/>
      <c r="AE14" s="416" t="n"/>
    </row>
    <row r="15">
      <c r="B15" s="421">
        <f>#REF!</f>
        <v/>
      </c>
      <c r="C15" s="416" t="n"/>
      <c r="D15" s="756">
        <f>#REF!</f>
        <v/>
      </c>
      <c r="E15" s="756">
        <f>#REF!</f>
        <v/>
      </c>
      <c r="F15" s="756">
        <f>#REF!</f>
        <v/>
      </c>
      <c r="G15" s="756">
        <f>#REF!</f>
        <v/>
      </c>
      <c r="H15" s="756">
        <f>#REF!</f>
        <v/>
      </c>
      <c r="I15" s="756">
        <f>#REF!</f>
        <v/>
      </c>
      <c r="J15" s="756">
        <f>#REF!</f>
        <v/>
      </c>
      <c r="K15" s="756">
        <f>#REF!</f>
        <v/>
      </c>
      <c r="L15" s="756">
        <f>#REF!</f>
        <v/>
      </c>
      <c r="M15" s="756">
        <f>#REF!</f>
        <v/>
      </c>
      <c r="N15" s="756">
        <f>#REF!</f>
        <v/>
      </c>
      <c r="O15" s="756">
        <f>#REF!</f>
        <v/>
      </c>
      <c r="P15" s="756">
        <f>#REF!</f>
        <v/>
      </c>
      <c r="Q15" s="756">
        <f>#REF!</f>
        <v/>
      </c>
      <c r="R15" s="756">
        <f>#REF!</f>
        <v/>
      </c>
      <c r="S15" s="756">
        <f>#REF!</f>
        <v/>
      </c>
      <c r="T15" s="756">
        <f>#REF!</f>
        <v/>
      </c>
      <c r="U15" s="756">
        <f>#REF!</f>
        <v/>
      </c>
      <c r="V15" s="756">
        <f>#REF!</f>
        <v/>
      </c>
      <c r="W15" s="756">
        <f>#REF!</f>
        <v/>
      </c>
      <c r="X15" s="416" t="n"/>
      <c r="Y15" s="416" t="n"/>
      <c r="Z15" s="438">
        <f>SUM(D15:Y15)</f>
        <v/>
      </c>
      <c r="AA15" s="416" t="n"/>
      <c r="AB15" s="416" t="n"/>
      <c r="AC15" s="416" t="n"/>
      <c r="AD15" s="416" t="n"/>
      <c r="AE15" s="416" t="n"/>
    </row>
    <row r="16">
      <c r="B16" s="416" t="n"/>
      <c r="C16" s="425" t="inlineStr">
        <is>
          <t>運維/年 總計</t>
        </is>
      </c>
      <c r="D16" s="1904">
        <f>SUM(D15:D15)</f>
        <v/>
      </c>
      <c r="E16" s="1904">
        <f>SUM(E15:E15)</f>
        <v/>
      </c>
      <c r="F16" s="1904">
        <f>SUM(F15:F15)</f>
        <v/>
      </c>
      <c r="G16" s="1904">
        <f>SUM(G15:G15)</f>
        <v/>
      </c>
      <c r="H16" s="1904">
        <f>SUM(H15:H15)</f>
        <v/>
      </c>
      <c r="I16" s="1904">
        <f>SUM(I15:I15)</f>
        <v/>
      </c>
      <c r="J16" s="1904">
        <f>SUM(J15:J15)</f>
        <v/>
      </c>
      <c r="K16" s="1904">
        <f>SUM(K15:K15)</f>
        <v/>
      </c>
      <c r="L16" s="1904">
        <f>SUM(L15:L15)</f>
        <v/>
      </c>
      <c r="M16" s="1904">
        <f>SUM(M15:M15)</f>
        <v/>
      </c>
      <c r="N16" s="1904">
        <f>SUM(N15:N15)</f>
        <v/>
      </c>
      <c r="O16" s="1904">
        <f>SUM(O15:O15)</f>
        <v/>
      </c>
      <c r="P16" s="1904">
        <f>SUM(P15:P15)</f>
        <v/>
      </c>
      <c r="Q16" s="1904">
        <f>SUM(Q15:Q15)</f>
        <v/>
      </c>
      <c r="R16" s="1904">
        <f>SUM(R15:R15)</f>
        <v/>
      </c>
      <c r="S16" s="1904">
        <f>SUM(S15:S15)</f>
        <v/>
      </c>
      <c r="T16" s="1904">
        <f>SUM(T15:T15)</f>
        <v/>
      </c>
      <c r="U16" s="1904">
        <f>SUM(U15:U15)</f>
        <v/>
      </c>
      <c r="V16" s="1904">
        <f>SUM(V15:V15)</f>
        <v/>
      </c>
      <c r="W16" s="1904">
        <f>SUM(W15:W15)</f>
        <v/>
      </c>
      <c r="X16" s="1904">
        <f>SUM(X15:X15)</f>
        <v/>
      </c>
      <c r="Y16" s="1904" t="n"/>
      <c r="Z16" s="1901">
        <f>SUM(D16:Y16)</f>
        <v/>
      </c>
      <c r="AA16" s="437">
        <f>IF(ROUND((#REF!-'IRR (樂觀2%)'!Z16),0)=0,"correct", "error")</f>
        <v/>
      </c>
      <c r="AB16" s="416" t="n"/>
      <c r="AC16" s="416" t="n"/>
      <c r="AD16" s="416" t="n"/>
      <c r="AE16" s="416" t="n"/>
    </row>
    <row r="17">
      <c r="B17" s="421" t="inlineStr">
        <is>
          <t>案場名</t>
        </is>
      </c>
      <c r="C17" s="416" t="inlineStr">
        <is>
          <t>保險/年</t>
        </is>
      </c>
      <c r="D17" s="429" t="n">
        <v>2020</v>
      </c>
      <c r="E17" s="429" t="n">
        <v>2021</v>
      </c>
      <c r="F17" s="429" t="n">
        <v>2022</v>
      </c>
      <c r="G17" s="429" t="n">
        <v>2023</v>
      </c>
      <c r="H17" s="429" t="n">
        <v>2024</v>
      </c>
      <c r="I17" s="429" t="n">
        <v>2025</v>
      </c>
      <c r="J17" s="429" t="n">
        <v>2026</v>
      </c>
      <c r="K17" s="429" t="n">
        <v>2027</v>
      </c>
      <c r="L17" s="429" t="n">
        <v>2028</v>
      </c>
      <c r="M17" s="429" t="n">
        <v>2029</v>
      </c>
      <c r="N17" s="429" t="n">
        <v>2030</v>
      </c>
      <c r="O17" s="429" t="n">
        <v>2031</v>
      </c>
      <c r="P17" s="429" t="n">
        <v>2032</v>
      </c>
      <c r="Q17" s="429" t="n">
        <v>2033</v>
      </c>
      <c r="R17" s="429" t="n">
        <v>2034</v>
      </c>
      <c r="S17" s="429" t="n">
        <v>2035</v>
      </c>
      <c r="T17" s="429" t="n">
        <v>2036</v>
      </c>
      <c r="U17" s="429" t="n">
        <v>2037</v>
      </c>
      <c r="V17" s="429" t="n">
        <v>2038</v>
      </c>
      <c r="W17" s="429" t="n">
        <v>2039</v>
      </c>
      <c r="X17" s="429" t="n">
        <v>2040</v>
      </c>
      <c r="Y17" s="429" t="n"/>
      <c r="Z17" s="438" t="n"/>
      <c r="AA17" s="416" t="n"/>
    </row>
    <row r="18">
      <c r="B18" s="421">
        <f>#REF!</f>
        <v/>
      </c>
      <c r="C18" s="416" t="n"/>
      <c r="D18" s="756">
        <f>#REF!</f>
        <v/>
      </c>
      <c r="E18" s="756">
        <f>#REF!</f>
        <v/>
      </c>
      <c r="F18" s="756">
        <f>#REF!</f>
        <v/>
      </c>
      <c r="G18" s="756">
        <f>#REF!</f>
        <v/>
      </c>
      <c r="H18" s="756">
        <f>#REF!</f>
        <v/>
      </c>
      <c r="I18" s="756">
        <f>#REF!</f>
        <v/>
      </c>
      <c r="J18" s="756">
        <f>#REF!</f>
        <v/>
      </c>
      <c r="K18" s="756">
        <f>#REF!</f>
        <v/>
      </c>
      <c r="L18" s="756">
        <f>#REF!</f>
        <v/>
      </c>
      <c r="M18" s="756">
        <f>#REF!</f>
        <v/>
      </c>
      <c r="N18" s="756">
        <f>#REF!</f>
        <v/>
      </c>
      <c r="O18" s="756">
        <f>#REF!</f>
        <v/>
      </c>
      <c r="P18" s="756">
        <f>#REF!</f>
        <v/>
      </c>
      <c r="Q18" s="756">
        <f>#REF!</f>
        <v/>
      </c>
      <c r="R18" s="756">
        <f>#REF!</f>
        <v/>
      </c>
      <c r="S18" s="756">
        <f>#REF!</f>
        <v/>
      </c>
      <c r="T18" s="756">
        <f>#REF!</f>
        <v/>
      </c>
      <c r="U18" s="756">
        <f>#REF!</f>
        <v/>
      </c>
      <c r="V18" s="756">
        <f>#REF!</f>
        <v/>
      </c>
      <c r="W18" s="756">
        <f>#REF!</f>
        <v/>
      </c>
      <c r="X18" s="416" t="n"/>
      <c r="Y18" s="416" t="n"/>
      <c r="Z18" s="438">
        <f>SUM(D18:Y18)</f>
        <v/>
      </c>
      <c r="AA18" s="416" t="n"/>
    </row>
    <row r="19">
      <c r="B19" s="416" t="n"/>
      <c r="C19" s="427" t="inlineStr">
        <is>
          <t>保險/年 總計</t>
        </is>
      </c>
      <c r="D19" s="1905">
        <f>SUM(D18:D18)</f>
        <v/>
      </c>
      <c r="E19" s="1905">
        <f>SUM(E18:E18)</f>
        <v/>
      </c>
      <c r="F19" s="1905">
        <f>SUM(F18:F18)</f>
        <v/>
      </c>
      <c r="G19" s="1905">
        <f>SUM(G18:G18)</f>
        <v/>
      </c>
      <c r="H19" s="1905">
        <f>SUM(H18:H18)</f>
        <v/>
      </c>
      <c r="I19" s="1905">
        <f>SUM(I18:I18)</f>
        <v/>
      </c>
      <c r="J19" s="1905">
        <f>SUM(J18:J18)</f>
        <v/>
      </c>
      <c r="K19" s="1905">
        <f>SUM(K18:K18)</f>
        <v/>
      </c>
      <c r="L19" s="1905">
        <f>SUM(L18:L18)</f>
        <v/>
      </c>
      <c r="M19" s="1905">
        <f>SUM(M18:M18)</f>
        <v/>
      </c>
      <c r="N19" s="1905">
        <f>SUM(N18:N18)</f>
        <v/>
      </c>
      <c r="O19" s="1905">
        <f>SUM(O18:O18)</f>
        <v/>
      </c>
      <c r="P19" s="1905">
        <f>SUM(P18:P18)</f>
        <v/>
      </c>
      <c r="Q19" s="1905">
        <f>SUM(Q18:Q18)</f>
        <v/>
      </c>
      <c r="R19" s="1905">
        <f>SUM(R18:R18)</f>
        <v/>
      </c>
      <c r="S19" s="1905">
        <f>SUM(S18:S18)</f>
        <v/>
      </c>
      <c r="T19" s="1905">
        <f>SUM(T18:T18)</f>
        <v/>
      </c>
      <c r="U19" s="1905">
        <f>SUM(U18:U18)</f>
        <v/>
      </c>
      <c r="V19" s="1905">
        <f>SUM(V18:V18)</f>
        <v/>
      </c>
      <c r="W19" s="1905">
        <f>SUM(W18:W18)</f>
        <v/>
      </c>
      <c r="X19" s="1905">
        <f>SUM(X18:X18)</f>
        <v/>
      </c>
      <c r="Y19" s="1905" t="n"/>
      <c r="Z19" s="1901">
        <f>SUM(D19:Y19)</f>
        <v/>
      </c>
      <c r="AA19" s="437">
        <f>IF(ROUND((#REF!-'IRR (樂觀2%)'!Z19),0)=0,"correct", "error")</f>
        <v/>
      </c>
    </row>
    <row r="20">
      <c r="B20" s="440" t="inlineStr">
        <is>
          <t>案場名</t>
        </is>
      </c>
      <c r="C20" s="745" t="inlineStr">
        <is>
          <t>模組回收費/年</t>
        </is>
      </c>
      <c r="D20" s="429" t="n">
        <v>2020</v>
      </c>
      <c r="E20" s="429" t="n">
        <v>2021</v>
      </c>
      <c r="F20" s="429" t="n">
        <v>2022</v>
      </c>
      <c r="G20" s="429" t="n">
        <v>2023</v>
      </c>
      <c r="H20" s="429" t="n">
        <v>2024</v>
      </c>
      <c r="I20" s="429" t="n">
        <v>2025</v>
      </c>
      <c r="J20" s="429" t="n">
        <v>2026</v>
      </c>
      <c r="K20" s="429" t="n">
        <v>2027</v>
      </c>
      <c r="L20" s="429" t="n">
        <v>2028</v>
      </c>
      <c r="M20" s="429" t="n">
        <v>2029</v>
      </c>
      <c r="N20" s="429" t="n">
        <v>2030</v>
      </c>
      <c r="O20" s="429" t="n">
        <v>2031</v>
      </c>
      <c r="P20" s="429" t="n">
        <v>2032</v>
      </c>
      <c r="Q20" s="429" t="n">
        <v>2033</v>
      </c>
      <c r="R20" s="429" t="n">
        <v>2034</v>
      </c>
      <c r="S20" s="429" t="n">
        <v>2035</v>
      </c>
      <c r="T20" s="429" t="n">
        <v>2036</v>
      </c>
      <c r="U20" s="429" t="n">
        <v>2037</v>
      </c>
      <c r="V20" s="429" t="n">
        <v>2038</v>
      </c>
      <c r="W20" s="429" t="n">
        <v>2039</v>
      </c>
      <c r="X20" s="429" t="n">
        <v>2040</v>
      </c>
      <c r="Y20" s="429" t="n"/>
      <c r="Z20" s="438" t="n"/>
      <c r="AA20" s="442" t="n"/>
    </row>
    <row r="21">
      <c r="B21" s="421">
        <f>#REF!</f>
        <v/>
      </c>
      <c r="C21" s="440" t="n"/>
      <c r="D21" s="756">
        <f>#REF!</f>
        <v/>
      </c>
      <c r="E21" s="756">
        <f>#REF!</f>
        <v/>
      </c>
      <c r="F21" s="756">
        <f>#REF!</f>
        <v/>
      </c>
      <c r="G21" s="756">
        <f>#REF!</f>
        <v/>
      </c>
      <c r="H21" s="756">
        <f>#REF!</f>
        <v/>
      </c>
      <c r="I21" s="756">
        <f>#REF!</f>
        <v/>
      </c>
      <c r="J21" s="756">
        <f>#REF!</f>
        <v/>
      </c>
      <c r="K21" s="756">
        <f>#REF!</f>
        <v/>
      </c>
      <c r="L21" s="756">
        <f>#REF!</f>
        <v/>
      </c>
      <c r="M21" s="756">
        <f>#REF!</f>
        <v/>
      </c>
      <c r="N21" s="1906">
        <f>#REF!</f>
        <v/>
      </c>
      <c r="O21" s="1906">
        <f>#REF!</f>
        <v/>
      </c>
      <c r="P21" s="1906">
        <f>#REF!</f>
        <v/>
      </c>
      <c r="Q21" s="1906">
        <f>#REF!</f>
        <v/>
      </c>
      <c r="R21" s="1906">
        <f>#REF!</f>
        <v/>
      </c>
      <c r="S21" s="1906">
        <f>#REF!</f>
        <v/>
      </c>
      <c r="T21" s="1906">
        <f>#REF!</f>
        <v/>
      </c>
      <c r="U21" s="1906">
        <f>#REF!</f>
        <v/>
      </c>
      <c r="V21" s="1906">
        <f>#REF!</f>
        <v/>
      </c>
      <c r="W21" s="1906">
        <f>#REF!</f>
        <v/>
      </c>
      <c r="X21" s="1907" t="n"/>
      <c r="Y21" s="1907" t="n"/>
      <c r="Z21" s="438">
        <f>SUM(D21:Y21)</f>
        <v/>
      </c>
      <c r="AA21" s="442" t="n"/>
    </row>
    <row r="22">
      <c r="B22" s="439" t="n"/>
      <c r="C22" s="443" t="inlineStr">
        <is>
          <t>模組回收費/年 總計</t>
        </is>
      </c>
      <c r="D22" s="1908">
        <f>SUM(D21:D21)</f>
        <v/>
      </c>
      <c r="E22" s="1908">
        <f>SUM(E21:E21)</f>
        <v/>
      </c>
      <c r="F22" s="1908">
        <f>SUM(F21:F21)</f>
        <v/>
      </c>
      <c r="G22" s="1908">
        <f>SUM(G21:G21)</f>
        <v/>
      </c>
      <c r="H22" s="1908">
        <f>SUM(H21:H21)</f>
        <v/>
      </c>
      <c r="I22" s="1908">
        <f>SUM(I21:I21)</f>
        <v/>
      </c>
      <c r="J22" s="1908">
        <f>SUM(J21:J21)</f>
        <v/>
      </c>
      <c r="K22" s="1908">
        <f>SUM(K21:K21)</f>
        <v/>
      </c>
      <c r="L22" s="1908">
        <f>SUM(L21:L21)</f>
        <v/>
      </c>
      <c r="M22" s="1908">
        <f>SUM(M21:M21)</f>
        <v/>
      </c>
      <c r="N22" s="1908">
        <f>SUM(N21:N21)</f>
        <v/>
      </c>
      <c r="O22" s="1908">
        <f>SUM(O21:O21)</f>
        <v/>
      </c>
      <c r="P22" s="1908">
        <f>SUM(P21:P21)</f>
        <v/>
      </c>
      <c r="Q22" s="1908">
        <f>SUM(Q21:Q21)</f>
        <v/>
      </c>
      <c r="R22" s="1908">
        <f>SUM(R21:R21)</f>
        <v/>
      </c>
      <c r="S22" s="1908">
        <f>SUM(S21:S21)</f>
        <v/>
      </c>
      <c r="T22" s="1908">
        <f>SUM(T21:T21)</f>
        <v/>
      </c>
      <c r="U22" s="1908">
        <f>SUM(U21:U21)</f>
        <v/>
      </c>
      <c r="V22" s="1908">
        <f>SUM(V21:V21)</f>
        <v/>
      </c>
      <c r="W22" s="1908">
        <f>SUM(W21:W21)</f>
        <v/>
      </c>
      <c r="X22" s="1908">
        <f>SUM(X21:X21)</f>
        <v/>
      </c>
      <c r="Y22" s="1908" t="n"/>
      <c r="Z22" s="1901">
        <f>SUM(D22:Y22)</f>
        <v/>
      </c>
      <c r="AA22" s="437">
        <f>IF(ROUND((#REF!-'IRR (樂觀2%)'!Z22),0)=0,"correct", "error")</f>
        <v/>
      </c>
    </row>
    <row r="23">
      <c r="B23" s="421" t="inlineStr">
        <is>
          <t>案場名</t>
        </is>
      </c>
      <c r="C23" s="416" t="inlineStr">
        <is>
          <t>所得稅/年</t>
        </is>
      </c>
      <c r="D23" s="429" t="n">
        <v>2020</v>
      </c>
      <c r="E23" s="429" t="n">
        <v>2021</v>
      </c>
      <c r="F23" s="429" t="n">
        <v>2022</v>
      </c>
      <c r="G23" s="429" t="n">
        <v>2023</v>
      </c>
      <c r="H23" s="429" t="n">
        <v>2024</v>
      </c>
      <c r="I23" s="429" t="n">
        <v>2025</v>
      </c>
      <c r="J23" s="429" t="n">
        <v>2026</v>
      </c>
      <c r="K23" s="429" t="n">
        <v>2027</v>
      </c>
      <c r="L23" s="429" t="n">
        <v>2028</v>
      </c>
      <c r="M23" s="429" t="n">
        <v>2029</v>
      </c>
      <c r="N23" s="429" t="n">
        <v>2030</v>
      </c>
      <c r="O23" s="429" t="n">
        <v>2031</v>
      </c>
      <c r="P23" s="429" t="n">
        <v>2032</v>
      </c>
      <c r="Q23" s="429" t="n">
        <v>2033</v>
      </c>
      <c r="R23" s="429" t="n">
        <v>2034</v>
      </c>
      <c r="S23" s="429" t="n">
        <v>2035</v>
      </c>
      <c r="T23" s="429" t="n">
        <v>2036</v>
      </c>
      <c r="U23" s="429" t="n">
        <v>2037</v>
      </c>
      <c r="V23" s="429" t="n">
        <v>2038</v>
      </c>
      <c r="W23" s="429" t="n">
        <v>2039</v>
      </c>
      <c r="X23" s="429" t="n">
        <v>2040</v>
      </c>
      <c r="Y23" s="429" t="n"/>
      <c r="Z23" s="438" t="n"/>
      <c r="AA23" s="416" t="n"/>
    </row>
    <row r="24">
      <c r="B24" s="421">
        <f>#REF!</f>
        <v/>
      </c>
      <c r="C24" s="416" t="n"/>
      <c r="D24" s="756">
        <f>#REF!</f>
        <v/>
      </c>
      <c r="E24" s="756">
        <f>#REF!</f>
        <v/>
      </c>
      <c r="F24" s="756">
        <f>#REF!</f>
        <v/>
      </c>
      <c r="G24" s="756">
        <f>#REF!</f>
        <v/>
      </c>
      <c r="H24" s="756">
        <f>#REF!</f>
        <v/>
      </c>
      <c r="I24" s="756">
        <f>#REF!</f>
        <v/>
      </c>
      <c r="J24" s="756">
        <f>#REF!</f>
        <v/>
      </c>
      <c r="K24" s="756">
        <f>#REF!</f>
        <v/>
      </c>
      <c r="L24" s="756">
        <f>#REF!</f>
        <v/>
      </c>
      <c r="M24" s="756">
        <f>#REF!</f>
        <v/>
      </c>
      <c r="N24" s="756">
        <f>#REF!</f>
        <v/>
      </c>
      <c r="O24" s="756">
        <f>#REF!</f>
        <v/>
      </c>
      <c r="P24" s="756">
        <f>#REF!</f>
        <v/>
      </c>
      <c r="Q24" s="756">
        <f>#REF!</f>
        <v/>
      </c>
      <c r="R24" s="756">
        <f>#REF!</f>
        <v/>
      </c>
      <c r="S24" s="756">
        <f>#REF!</f>
        <v/>
      </c>
      <c r="T24" s="756">
        <f>#REF!</f>
        <v/>
      </c>
      <c r="U24" s="756">
        <f>#REF!</f>
        <v/>
      </c>
      <c r="V24" s="756">
        <f>#REF!</f>
        <v/>
      </c>
      <c r="W24" s="756">
        <f>#REF!</f>
        <v/>
      </c>
      <c r="X24" s="416" t="n"/>
      <c r="Y24" s="416" t="n"/>
      <c r="Z24" s="438">
        <f>SUM(D24:Y24)</f>
        <v/>
      </c>
      <c r="AA24" s="416" t="n"/>
    </row>
    <row r="25">
      <c r="B25" s="416" t="n"/>
      <c r="C25" s="430" t="inlineStr">
        <is>
          <t>所得稅/年 總計</t>
        </is>
      </c>
      <c r="D25" s="1909">
        <f>SUM(D24:D24)</f>
        <v/>
      </c>
      <c r="E25" s="1909">
        <f>SUM(E24:E24)</f>
        <v/>
      </c>
      <c r="F25" s="1909">
        <f>SUM(F24:F24)</f>
        <v/>
      </c>
      <c r="G25" s="1909">
        <f>SUM(G24:G24)</f>
        <v/>
      </c>
      <c r="H25" s="1909">
        <f>SUM(H24:H24)</f>
        <v/>
      </c>
      <c r="I25" s="1909">
        <f>SUM(I24:I24)</f>
        <v/>
      </c>
      <c r="J25" s="1909">
        <f>SUM(J24:J24)</f>
        <v/>
      </c>
      <c r="K25" s="1909">
        <f>SUM(K24:K24)</f>
        <v/>
      </c>
      <c r="L25" s="1909">
        <f>SUM(L24:L24)</f>
        <v/>
      </c>
      <c r="M25" s="1909">
        <f>SUM(M24:M24)</f>
        <v/>
      </c>
      <c r="N25" s="1909">
        <f>SUM(N24:N24)</f>
        <v/>
      </c>
      <c r="O25" s="1909">
        <f>SUM(O24:O24)</f>
        <v/>
      </c>
      <c r="P25" s="1909">
        <f>SUM(P24:P24)</f>
        <v/>
      </c>
      <c r="Q25" s="1909">
        <f>SUM(Q24:Q24)</f>
        <v/>
      </c>
      <c r="R25" s="1909">
        <f>SUM(R24:R24)</f>
        <v/>
      </c>
      <c r="S25" s="1909">
        <f>SUM(S24:S24)</f>
        <v/>
      </c>
      <c r="T25" s="1909">
        <f>SUM(T24:T24)</f>
        <v/>
      </c>
      <c r="U25" s="1909">
        <f>SUM(U24:U24)</f>
        <v/>
      </c>
      <c r="V25" s="1909">
        <f>SUM(V24:V24)</f>
        <v/>
      </c>
      <c r="W25" s="1909">
        <f>SUM(W24:W24)</f>
        <v/>
      </c>
      <c r="X25" s="1909">
        <f>SUM(X24:X24)</f>
        <v/>
      </c>
      <c r="Y25" s="1909" t="n"/>
      <c r="Z25" s="1901">
        <f>SUM(D25:Y25)</f>
        <v/>
      </c>
      <c r="AA25" s="437">
        <f>IF(ROUND((#REF!-'IRR (樂觀2%)'!Z25),0)=0,"correct", "error")</f>
        <v/>
      </c>
    </row>
    <row r="26">
      <c r="B26" s="421" t="inlineStr">
        <is>
          <t>案場名</t>
        </is>
      </c>
      <c r="C26" s="433" t="inlineStr">
        <is>
          <t>設備折舊/年</t>
        </is>
      </c>
      <c r="D26" s="429" t="n">
        <v>2020</v>
      </c>
      <c r="E26" s="429" t="n">
        <v>2021</v>
      </c>
      <c r="F26" s="429" t="n">
        <v>2022</v>
      </c>
      <c r="G26" s="429" t="n">
        <v>2023</v>
      </c>
      <c r="H26" s="429" t="n">
        <v>2024</v>
      </c>
      <c r="I26" s="429" t="n">
        <v>2025</v>
      </c>
      <c r="J26" s="429" t="n">
        <v>2026</v>
      </c>
      <c r="K26" s="429" t="n">
        <v>2027</v>
      </c>
      <c r="L26" s="429" t="n">
        <v>2028</v>
      </c>
      <c r="M26" s="429" t="n">
        <v>2029</v>
      </c>
      <c r="N26" s="429" t="n">
        <v>2030</v>
      </c>
      <c r="O26" s="429" t="n">
        <v>2031</v>
      </c>
      <c r="P26" s="429" t="n">
        <v>2032</v>
      </c>
      <c r="Q26" s="429" t="n">
        <v>2033</v>
      </c>
      <c r="R26" s="429" t="n">
        <v>2034</v>
      </c>
      <c r="S26" s="429" t="n">
        <v>2035</v>
      </c>
      <c r="T26" s="429" t="n">
        <v>2036</v>
      </c>
      <c r="U26" s="429" t="n">
        <v>2037</v>
      </c>
      <c r="V26" s="429" t="n">
        <v>2038</v>
      </c>
      <c r="W26" s="429" t="n">
        <v>2039</v>
      </c>
      <c r="X26" s="429" t="n">
        <v>2040</v>
      </c>
      <c r="Y26" s="429" t="n"/>
      <c r="Z26" s="438" t="n"/>
      <c r="AA26" s="437" t="n"/>
    </row>
    <row r="27">
      <c r="B27" s="421">
        <f>#REF!</f>
        <v/>
      </c>
      <c r="C27" s="421" t="n"/>
      <c r="D27" s="756">
        <f>#REF!</f>
        <v/>
      </c>
      <c r="E27" s="756">
        <f>#REF!</f>
        <v/>
      </c>
      <c r="F27" s="756">
        <f>#REF!</f>
        <v/>
      </c>
      <c r="G27" s="756">
        <f>#REF!</f>
        <v/>
      </c>
      <c r="H27" s="756">
        <f>#REF!</f>
        <v/>
      </c>
      <c r="I27" s="756">
        <f>#REF!</f>
        <v/>
      </c>
      <c r="J27" s="756">
        <f>#REF!</f>
        <v/>
      </c>
      <c r="K27" s="756">
        <f>#REF!</f>
        <v/>
      </c>
      <c r="L27" s="756">
        <f>#REF!</f>
        <v/>
      </c>
      <c r="M27" s="756">
        <f>#REF!</f>
        <v/>
      </c>
      <c r="N27" s="756">
        <f>#REF!</f>
        <v/>
      </c>
      <c r="O27" s="756">
        <f>#REF!</f>
        <v/>
      </c>
      <c r="P27" s="756">
        <f>#REF!</f>
        <v/>
      </c>
      <c r="Q27" s="756">
        <f>#REF!</f>
        <v/>
      </c>
      <c r="R27" s="756">
        <f>#REF!</f>
        <v/>
      </c>
      <c r="S27" s="756">
        <f>#REF!</f>
        <v/>
      </c>
      <c r="T27" s="756">
        <f>#REF!</f>
        <v/>
      </c>
      <c r="U27" s="756">
        <f>#REF!</f>
        <v/>
      </c>
      <c r="V27" s="756">
        <f>#REF!</f>
        <v/>
      </c>
      <c r="W27" s="756">
        <f>#REF!</f>
        <v/>
      </c>
      <c r="X27" s="1910" t="n"/>
      <c r="Y27" s="1910" t="n"/>
      <c r="Z27" s="438">
        <f>SUM(D27:Y27)</f>
        <v/>
      </c>
      <c r="AA27" s="437">
        <f>IF(ROUND((Z27-#REF!),0)=0,"correct", "error")</f>
        <v/>
      </c>
    </row>
    <row r="28">
      <c r="B28" s="416" t="n"/>
      <c r="C28" s="434" t="inlineStr">
        <is>
          <t>設備折舊/年 總計</t>
        </is>
      </c>
      <c r="D28" s="1911">
        <f>SUM(D27:D27)</f>
        <v/>
      </c>
      <c r="E28" s="1911">
        <f>SUM(E27:E27)</f>
        <v/>
      </c>
      <c r="F28" s="1911">
        <f>SUM(F27:F27)</f>
        <v/>
      </c>
      <c r="G28" s="1911">
        <f>SUM(G27:G27)</f>
        <v/>
      </c>
      <c r="H28" s="1911">
        <f>SUM(H27:H27)</f>
        <v/>
      </c>
      <c r="I28" s="1911">
        <f>SUM(I27:I27)</f>
        <v/>
      </c>
      <c r="J28" s="1911">
        <f>SUM(J27:J27)</f>
        <v/>
      </c>
      <c r="K28" s="1911">
        <f>SUM(K27:K27)</f>
        <v/>
      </c>
      <c r="L28" s="1911">
        <f>SUM(L27:L27)</f>
        <v/>
      </c>
      <c r="M28" s="1911">
        <f>SUM(M27:M27)</f>
        <v/>
      </c>
      <c r="N28" s="1911">
        <f>SUM(N27:N27)</f>
        <v/>
      </c>
      <c r="O28" s="1911">
        <f>SUM(O27:O27)</f>
        <v/>
      </c>
      <c r="P28" s="1911">
        <f>SUM(P27:P27)</f>
        <v/>
      </c>
      <c r="Q28" s="1911">
        <f>SUM(Q27:Q27)</f>
        <v/>
      </c>
      <c r="R28" s="1911">
        <f>SUM(R27:R27)</f>
        <v/>
      </c>
      <c r="S28" s="1911">
        <f>SUM(S27:S27)</f>
        <v/>
      </c>
      <c r="T28" s="1911">
        <f>SUM(T27:T27)</f>
        <v/>
      </c>
      <c r="U28" s="1911">
        <f>SUM(U27:U27)</f>
        <v/>
      </c>
      <c r="V28" s="1911">
        <f>SUM(V27:V27)</f>
        <v/>
      </c>
      <c r="W28" s="1911">
        <f>SUM(W27:W27)</f>
        <v/>
      </c>
      <c r="X28" s="1911">
        <f>SUM(X27:X27)</f>
        <v/>
      </c>
      <c r="Y28" s="1911" t="n"/>
      <c r="Z28" s="1901">
        <f>SUM(D28:Y28)</f>
        <v/>
      </c>
      <c r="AA28" s="437">
        <f>IF(ROUND((#REF!-'IRR (樂觀2%)'!Z28),0)=0,"correct", "error")</f>
        <v/>
      </c>
    </row>
    <row r="30" ht="17.25" customHeight="1" s="1643" thickBot="1">
      <c r="B30" s="475" t="n"/>
      <c r="C30" s="615" t="inlineStr">
        <is>
          <t>年份</t>
        </is>
      </c>
      <c r="D30" s="615" t="n">
        <v>2020</v>
      </c>
      <c r="E30" s="615" t="n">
        <v>2021</v>
      </c>
      <c r="F30" s="615" t="n">
        <v>2022</v>
      </c>
      <c r="G30" s="615" t="n">
        <v>2023</v>
      </c>
      <c r="H30" s="615" t="n">
        <v>2024</v>
      </c>
      <c r="I30" s="615" t="n">
        <v>2025</v>
      </c>
      <c r="J30" s="615" t="n">
        <v>2026</v>
      </c>
      <c r="K30" s="615" t="n">
        <v>2027</v>
      </c>
      <c r="L30" s="615" t="n">
        <v>2028</v>
      </c>
      <c r="M30" s="615" t="n">
        <v>2029</v>
      </c>
      <c r="N30" s="615" t="n">
        <v>2030</v>
      </c>
      <c r="O30" s="615" t="n">
        <v>2031</v>
      </c>
      <c r="P30" s="615" t="n">
        <v>2032</v>
      </c>
      <c r="Q30" s="615" t="n">
        <v>2033</v>
      </c>
      <c r="R30" s="615" t="n">
        <v>2034</v>
      </c>
      <c r="S30" s="615" t="n">
        <v>2035</v>
      </c>
      <c r="T30" s="615" t="n">
        <v>2036</v>
      </c>
      <c r="U30" s="615" t="n">
        <v>2037</v>
      </c>
      <c r="V30" s="615" t="n">
        <v>2038</v>
      </c>
      <c r="W30" s="615" t="n">
        <v>2039</v>
      </c>
      <c r="X30" s="615" t="n"/>
      <c r="Y30" s="615" t="n"/>
      <c r="Z30" s="621" t="n"/>
      <c r="AA30" s="416" t="n"/>
    </row>
    <row r="31" ht="18.75" customHeight="1" s="1643">
      <c r="B31" s="1912" t="n">
        <v>0</v>
      </c>
      <c r="C31" s="372" t="n"/>
      <c r="D31" s="568" t="n"/>
      <c r="E31" s="568" t="n"/>
      <c r="F31" s="477" t="inlineStr">
        <is>
          <t>手動計算值</t>
        </is>
      </c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9" t="inlineStr">
        <is>
          <t>償還年限</t>
        </is>
      </c>
      <c r="U31" s="478" t="n"/>
      <c r="V31" s="478" t="n"/>
      <c r="W31" s="478" t="n"/>
      <c r="X31" s="478" t="n"/>
      <c r="Y31" s="480" t="n"/>
      <c r="Z31" s="621" t="n"/>
      <c r="AA31" s="416" t="n"/>
    </row>
    <row r="32">
      <c r="B32" s="481" t="inlineStr">
        <is>
          <t>(Unit : Currency)</t>
        </is>
      </c>
      <c r="C32" s="482" t="n">
        <v>0</v>
      </c>
      <c r="D32" s="483" t="n">
        <v>1</v>
      </c>
      <c r="E32" s="483" t="n">
        <v>2</v>
      </c>
      <c r="F32" s="483" t="n">
        <v>3</v>
      </c>
      <c r="G32" s="483" t="n">
        <v>4</v>
      </c>
      <c r="H32" s="483" t="n">
        <v>5</v>
      </c>
      <c r="I32" s="483" t="n">
        <v>6</v>
      </c>
      <c r="J32" s="483" t="n">
        <v>7</v>
      </c>
      <c r="K32" s="483" t="n">
        <v>8</v>
      </c>
      <c r="L32" s="483" t="n">
        <v>9</v>
      </c>
      <c r="M32" s="483" t="n">
        <v>10</v>
      </c>
      <c r="N32" s="483" t="n">
        <v>11</v>
      </c>
      <c r="O32" s="483" t="n">
        <v>12</v>
      </c>
      <c r="P32" s="483" t="n">
        <v>13</v>
      </c>
      <c r="Q32" s="483" t="n">
        <v>14</v>
      </c>
      <c r="R32" s="483" t="n">
        <v>15</v>
      </c>
      <c r="S32" s="483" t="n">
        <v>16</v>
      </c>
      <c r="T32" s="484" t="n">
        <v>17</v>
      </c>
      <c r="U32" s="483" t="n">
        <v>18</v>
      </c>
      <c r="V32" s="483" t="n">
        <v>19</v>
      </c>
      <c r="W32" s="483" t="n">
        <v>20</v>
      </c>
      <c r="X32" s="483" t="n"/>
      <c r="Y32" s="485" t="n"/>
      <c r="Z32" s="483" t="n"/>
      <c r="AA32" s="416" t="n"/>
    </row>
    <row r="33" ht="17.25" customHeight="1" s="1643" thickBot="1">
      <c r="B33" s="1913" t="inlineStr">
        <is>
          <t>發電度數(KWH)</t>
        </is>
      </c>
      <c r="C33" s="482" t="n">
        <v>0</v>
      </c>
      <c r="D33" s="1914">
        <f>D7</f>
        <v/>
      </c>
      <c r="E33" s="1914">
        <f>E7</f>
        <v/>
      </c>
      <c r="F33" s="1914">
        <f>F7</f>
        <v/>
      </c>
      <c r="G33" s="1914">
        <f>G7</f>
        <v/>
      </c>
      <c r="H33" s="1914">
        <f>H7</f>
        <v/>
      </c>
      <c r="I33" s="1914">
        <f>I7</f>
        <v/>
      </c>
      <c r="J33" s="1914">
        <f>J7</f>
        <v/>
      </c>
      <c r="K33" s="1914">
        <f>K7</f>
        <v/>
      </c>
      <c r="L33" s="1914">
        <f>L7</f>
        <v/>
      </c>
      <c r="M33" s="1914">
        <f>M7</f>
        <v/>
      </c>
      <c r="N33" s="1914">
        <f>N7</f>
        <v/>
      </c>
      <c r="O33" s="1914">
        <f>O7</f>
        <v/>
      </c>
      <c r="P33" s="1914">
        <f>P7</f>
        <v/>
      </c>
      <c r="Q33" s="1914">
        <f>Q7</f>
        <v/>
      </c>
      <c r="R33" s="1914">
        <f>R7</f>
        <v/>
      </c>
      <c r="S33" s="1914">
        <f>S7</f>
        <v/>
      </c>
      <c r="T33" s="1914">
        <f>T7</f>
        <v/>
      </c>
      <c r="U33" s="1914">
        <f>U7</f>
        <v/>
      </c>
      <c r="V33" s="1914">
        <f>V7</f>
        <v/>
      </c>
      <c r="W33" s="1914">
        <f>W7</f>
        <v/>
      </c>
      <c r="X33" s="1914">
        <f>X7</f>
        <v/>
      </c>
      <c r="Y33" s="1915" t="n"/>
      <c r="Z33" s="1916">
        <f>SUM(D33:Y33)</f>
        <v/>
      </c>
      <c r="AA33" s="437">
        <f>IF(ROUND((Z33-Z7),0)=0,"correct", "error")</f>
        <v/>
      </c>
    </row>
    <row r="34">
      <c r="B34" s="1917" t="inlineStr">
        <is>
          <t>Inflow : 電費收入</t>
        </is>
      </c>
      <c r="C34" s="1918" t="inlineStr">
        <is>
          <t>-</t>
        </is>
      </c>
      <c r="D34" s="1919">
        <f>D10</f>
        <v/>
      </c>
      <c r="E34" s="1919">
        <f>E10</f>
        <v/>
      </c>
      <c r="F34" s="1919">
        <f>F10</f>
        <v/>
      </c>
      <c r="G34" s="1919">
        <f>G10</f>
        <v/>
      </c>
      <c r="H34" s="1919">
        <f>H10</f>
        <v/>
      </c>
      <c r="I34" s="1919">
        <f>I10</f>
        <v/>
      </c>
      <c r="J34" s="1919">
        <f>J10</f>
        <v/>
      </c>
      <c r="K34" s="1919">
        <f>K10</f>
        <v/>
      </c>
      <c r="L34" s="1919">
        <f>L10</f>
        <v/>
      </c>
      <c r="M34" s="1919">
        <f>M10</f>
        <v/>
      </c>
      <c r="N34" s="1919">
        <f>N10</f>
        <v/>
      </c>
      <c r="O34" s="1919">
        <f>O10</f>
        <v/>
      </c>
      <c r="P34" s="1919">
        <f>P10</f>
        <v/>
      </c>
      <c r="Q34" s="1919">
        <f>Q10</f>
        <v/>
      </c>
      <c r="R34" s="1919">
        <f>R10</f>
        <v/>
      </c>
      <c r="S34" s="1919">
        <f>S10</f>
        <v/>
      </c>
      <c r="T34" s="1919">
        <f>T10</f>
        <v/>
      </c>
      <c r="U34" s="1919">
        <f>U10</f>
        <v/>
      </c>
      <c r="V34" s="1919">
        <f>V10</f>
        <v/>
      </c>
      <c r="W34" s="1919">
        <f>W10</f>
        <v/>
      </c>
      <c r="X34" s="1919">
        <f>X10</f>
        <v/>
      </c>
      <c r="Y34" s="1920" t="n"/>
      <c r="Z34" s="1916">
        <f>SUM(D34:Y34)</f>
        <v/>
      </c>
      <c r="AA34" s="437">
        <f>IF(ROUND((Z34-Z10),0)=0,"correct", "error")</f>
        <v/>
      </c>
    </row>
    <row r="35">
      <c r="B35" s="1921" t="inlineStr">
        <is>
          <t>Inflow : 政府補助</t>
        </is>
      </c>
      <c r="C35" s="1922" t="inlineStr">
        <is>
          <t>-</t>
        </is>
      </c>
      <c r="D35" s="1923" t="n"/>
      <c r="E35" s="1923" t="n"/>
      <c r="F35" s="1923" t="n">
        <v>0</v>
      </c>
      <c r="G35" s="1923" t="inlineStr">
        <is>
          <t>-</t>
        </is>
      </c>
      <c r="H35" s="1923" t="inlineStr">
        <is>
          <t>-</t>
        </is>
      </c>
      <c r="I35" s="1923" t="inlineStr">
        <is>
          <t>-</t>
        </is>
      </c>
      <c r="J35" s="1923" t="inlineStr">
        <is>
          <t>-</t>
        </is>
      </c>
      <c r="K35" s="1923" t="inlineStr">
        <is>
          <t>-</t>
        </is>
      </c>
      <c r="L35" s="1923" t="inlineStr">
        <is>
          <t>-</t>
        </is>
      </c>
      <c r="M35" s="1923" t="inlineStr">
        <is>
          <t>-</t>
        </is>
      </c>
      <c r="N35" s="1923" t="inlineStr">
        <is>
          <t>-</t>
        </is>
      </c>
      <c r="O35" s="1923" t="inlineStr">
        <is>
          <t>-</t>
        </is>
      </c>
      <c r="P35" s="1923" t="inlineStr">
        <is>
          <t>-</t>
        </is>
      </c>
      <c r="Q35" s="1923" t="inlineStr">
        <is>
          <t>-</t>
        </is>
      </c>
      <c r="R35" s="1923" t="inlineStr">
        <is>
          <t>-</t>
        </is>
      </c>
      <c r="S35" s="1923" t="inlineStr">
        <is>
          <t>-</t>
        </is>
      </c>
      <c r="T35" s="1923" t="inlineStr">
        <is>
          <t>-</t>
        </is>
      </c>
      <c r="U35" s="1923" t="inlineStr">
        <is>
          <t>-</t>
        </is>
      </c>
      <c r="V35" s="1923" t="inlineStr">
        <is>
          <t>-</t>
        </is>
      </c>
      <c r="W35" s="1923" t="inlineStr">
        <is>
          <t>-</t>
        </is>
      </c>
      <c r="X35" s="1923" t="n"/>
      <c r="Y35" s="1924" t="n"/>
      <c r="Z35" s="1916" t="n"/>
      <c r="AA35" s="416" t="n"/>
    </row>
    <row r="36" ht="17.25" customHeight="1" s="1643" thickBot="1">
      <c r="B36" s="1925" t="inlineStr">
        <is>
          <t>Inflow : 銀行借款</t>
        </is>
      </c>
      <c r="C36" s="1926" t="n"/>
      <c r="D36" s="1927" t="n"/>
      <c r="E36" s="1927" t="n"/>
      <c r="F36" s="1927" t="n"/>
      <c r="G36" s="1927" t="n"/>
      <c r="H36" s="1927" t="n"/>
      <c r="I36" s="1927" t="n"/>
      <c r="J36" s="1927" t="n"/>
      <c r="K36" s="1927" t="n"/>
      <c r="L36" s="1927" t="n"/>
      <c r="M36" s="1927" t="n"/>
      <c r="N36" s="1927" t="n"/>
      <c r="O36" s="1927" t="n"/>
      <c r="P36" s="1927" t="n"/>
      <c r="Q36" s="1927" t="n"/>
      <c r="R36" s="1927" t="n"/>
      <c r="S36" s="1927" t="n"/>
      <c r="T36" s="1927" t="n"/>
      <c r="U36" s="1927" t="n"/>
      <c r="V36" s="1927" t="n"/>
      <c r="W36" s="1927" t="n"/>
      <c r="X36" s="1927" t="n"/>
      <c r="Y36" s="1928" t="n"/>
      <c r="Z36" s="1916" t="n"/>
      <c r="AA36" s="416" t="n"/>
    </row>
    <row r="37">
      <c r="B37" s="1929" t="inlineStr">
        <is>
          <t>Outflow : 設備費用</t>
        </is>
      </c>
      <c r="C37" s="1922">
        <f>-C2</f>
        <v/>
      </c>
      <c r="D37" s="1930" t="n"/>
      <c r="E37" s="1923" t="n"/>
      <c r="F37" s="1923" t="inlineStr">
        <is>
          <t>-</t>
        </is>
      </c>
      <c r="G37" s="1923" t="inlineStr">
        <is>
          <t>-</t>
        </is>
      </c>
      <c r="H37" s="1923" t="inlineStr">
        <is>
          <t>-</t>
        </is>
      </c>
      <c r="I37" s="1923" t="inlineStr">
        <is>
          <t>-</t>
        </is>
      </c>
      <c r="J37" s="1923" t="inlineStr">
        <is>
          <t>-</t>
        </is>
      </c>
      <c r="K37" s="1923" t="inlineStr">
        <is>
          <t>-</t>
        </is>
      </c>
      <c r="L37" s="1923" t="inlineStr">
        <is>
          <t>-</t>
        </is>
      </c>
      <c r="M37" s="1923" t="inlineStr">
        <is>
          <t>-</t>
        </is>
      </c>
      <c r="N37" s="1923" t="inlineStr">
        <is>
          <t>-</t>
        </is>
      </c>
      <c r="O37" s="1923" t="inlineStr">
        <is>
          <t>-</t>
        </is>
      </c>
      <c r="P37" s="1923" t="inlineStr">
        <is>
          <t>-</t>
        </is>
      </c>
      <c r="Q37" s="1923" t="inlineStr">
        <is>
          <t>-</t>
        </is>
      </c>
      <c r="R37" s="1923" t="inlineStr">
        <is>
          <t>-</t>
        </is>
      </c>
      <c r="S37" s="1923" t="inlineStr">
        <is>
          <t>-</t>
        </is>
      </c>
      <c r="T37" s="1923" t="inlineStr">
        <is>
          <t>-</t>
        </is>
      </c>
      <c r="U37" s="1923" t="inlineStr">
        <is>
          <t>-</t>
        </is>
      </c>
      <c r="V37" s="1923" t="inlineStr">
        <is>
          <t>-</t>
        </is>
      </c>
      <c r="W37" s="1923" t="inlineStr">
        <is>
          <t>-</t>
        </is>
      </c>
      <c r="X37" s="1923" t="n"/>
      <c r="Y37" s="1924" t="n"/>
      <c r="Z37" s="1916" t="n"/>
      <c r="AA37" s="416" t="n"/>
    </row>
    <row r="38">
      <c r="B38" s="1929" t="inlineStr">
        <is>
          <t>Outflow : 設備放置區域租金</t>
        </is>
      </c>
      <c r="C38" s="1922" t="inlineStr">
        <is>
          <t>-</t>
        </is>
      </c>
      <c r="D38" s="1923">
        <f>-D13</f>
        <v/>
      </c>
      <c r="E38" s="1923">
        <f>-E13</f>
        <v/>
      </c>
      <c r="F38" s="1923">
        <f>-F13</f>
        <v/>
      </c>
      <c r="G38" s="1923">
        <f>-G13</f>
        <v/>
      </c>
      <c r="H38" s="1923">
        <f>-H13</f>
        <v/>
      </c>
      <c r="I38" s="1923">
        <f>-I13</f>
        <v/>
      </c>
      <c r="J38" s="1923">
        <f>-J13</f>
        <v/>
      </c>
      <c r="K38" s="1923">
        <f>-K13</f>
        <v/>
      </c>
      <c r="L38" s="1923">
        <f>-L13</f>
        <v/>
      </c>
      <c r="M38" s="1923">
        <f>-M13</f>
        <v/>
      </c>
      <c r="N38" s="1923">
        <f>-N13</f>
        <v/>
      </c>
      <c r="O38" s="1923">
        <f>-O13</f>
        <v/>
      </c>
      <c r="P38" s="1923">
        <f>-P13</f>
        <v/>
      </c>
      <c r="Q38" s="1923">
        <f>-Q13</f>
        <v/>
      </c>
      <c r="R38" s="1923">
        <f>-R13</f>
        <v/>
      </c>
      <c r="S38" s="1923">
        <f>-S13</f>
        <v/>
      </c>
      <c r="T38" s="1923">
        <f>-T13</f>
        <v/>
      </c>
      <c r="U38" s="1923">
        <f>-U13</f>
        <v/>
      </c>
      <c r="V38" s="1923">
        <f>-V13</f>
        <v/>
      </c>
      <c r="W38" s="1923">
        <f>-W13</f>
        <v/>
      </c>
      <c r="X38" s="1923">
        <f>-X13</f>
        <v/>
      </c>
      <c r="Y38" s="1924" t="n"/>
      <c r="Z38" s="1916">
        <f>SUM(D38:Y38)</f>
        <v/>
      </c>
      <c r="AA38" s="437">
        <f>IF(ROUND((Z38+Z13),0)=0,"correct", "error")</f>
        <v/>
      </c>
    </row>
    <row r="39">
      <c r="B39" s="1929" t="inlineStr">
        <is>
          <t>Outflow : 返還借款</t>
        </is>
      </c>
      <c r="C39" s="1931" t="n">
        <v>0</v>
      </c>
      <c r="D39" s="1932" t="n"/>
      <c r="E39" s="1933" t="n"/>
      <c r="F39" s="1933" t="n"/>
      <c r="G39" s="1933" t="n"/>
      <c r="H39" s="1933" t="n"/>
      <c r="I39" s="1933" t="n"/>
      <c r="J39" s="1933" t="n"/>
      <c r="K39" s="1933" t="n"/>
      <c r="L39" s="1933" t="n"/>
      <c r="M39" s="1933" t="n"/>
      <c r="N39" s="1933" t="n"/>
      <c r="O39" s="1933" t="n"/>
      <c r="P39" s="1933" t="n"/>
      <c r="Q39" s="1933" t="n"/>
      <c r="R39" s="1933" t="n"/>
      <c r="S39" s="1933" t="n"/>
      <c r="T39" s="1933" t="n"/>
      <c r="U39" s="1933" t="n"/>
      <c r="V39" s="1923" t="n">
        <v>0</v>
      </c>
      <c r="W39" s="1923" t="n">
        <v>0</v>
      </c>
      <c r="X39" s="1923" t="n"/>
      <c r="Y39" s="1924" t="n"/>
      <c r="Z39" s="1916">
        <f>SUM(D39:Y39)</f>
        <v/>
      </c>
      <c r="AA39" s="416" t="n"/>
    </row>
    <row r="40">
      <c r="B40" s="1929" t="inlineStr">
        <is>
          <t>Outflow : 利息費用</t>
        </is>
      </c>
      <c r="C40" s="1922" t="inlineStr">
        <is>
          <t>-</t>
        </is>
      </c>
      <c r="D40" s="1923" t="n"/>
      <c r="E40" s="1923" t="n"/>
      <c r="F40" s="1923" t="n"/>
      <c r="G40" s="1923" t="n"/>
      <c r="H40" s="1923" t="n"/>
      <c r="I40" s="1923" t="n"/>
      <c r="J40" s="1923" t="n"/>
      <c r="K40" s="1923" t="n"/>
      <c r="L40" s="1923" t="n"/>
      <c r="M40" s="1923" t="n"/>
      <c r="N40" s="1923" t="n"/>
      <c r="O40" s="1923" t="n"/>
      <c r="P40" s="1923" t="n"/>
      <c r="Q40" s="1923" t="n"/>
      <c r="R40" s="1923" t="n"/>
      <c r="S40" s="1923" t="n"/>
      <c r="T40" s="1923" t="n"/>
      <c r="U40" s="1923" t="n"/>
      <c r="V40" s="1923" t="n"/>
      <c r="W40" s="1923" t="n"/>
      <c r="X40" s="1923" t="n"/>
      <c r="Y40" s="1924" t="n"/>
      <c r="Z40" s="1916">
        <f>SUM(D40:Y40)</f>
        <v/>
      </c>
      <c r="AA40" s="416" t="n"/>
    </row>
    <row r="41">
      <c r="B41" s="1929" t="inlineStr">
        <is>
          <t>Outflow : 維運費</t>
        </is>
      </c>
      <c r="C41" s="1922" t="inlineStr">
        <is>
          <t>-</t>
        </is>
      </c>
      <c r="D41" s="1923">
        <f>-D16</f>
        <v/>
      </c>
      <c r="E41" s="1923">
        <f>-E16</f>
        <v/>
      </c>
      <c r="F41" s="1923">
        <f>-F16</f>
        <v/>
      </c>
      <c r="G41" s="1923">
        <f>-G16</f>
        <v/>
      </c>
      <c r="H41" s="1923">
        <f>-H16</f>
        <v/>
      </c>
      <c r="I41" s="1923">
        <f>-I16</f>
        <v/>
      </c>
      <c r="J41" s="1923">
        <f>-J16</f>
        <v/>
      </c>
      <c r="K41" s="1923">
        <f>-K16</f>
        <v/>
      </c>
      <c r="L41" s="1923">
        <f>-L16</f>
        <v/>
      </c>
      <c r="M41" s="1923">
        <f>-M16</f>
        <v/>
      </c>
      <c r="N41" s="1923">
        <f>-N16</f>
        <v/>
      </c>
      <c r="O41" s="1923">
        <f>-O16</f>
        <v/>
      </c>
      <c r="P41" s="1923">
        <f>-P16</f>
        <v/>
      </c>
      <c r="Q41" s="1923">
        <f>-Q16</f>
        <v/>
      </c>
      <c r="R41" s="1923">
        <f>-R16</f>
        <v/>
      </c>
      <c r="S41" s="1923">
        <f>-S16</f>
        <v/>
      </c>
      <c r="T41" s="1923">
        <f>-T16</f>
        <v/>
      </c>
      <c r="U41" s="1923">
        <f>-U16</f>
        <v/>
      </c>
      <c r="V41" s="1923">
        <f>-V16</f>
        <v/>
      </c>
      <c r="W41" s="1923">
        <f>-W16</f>
        <v/>
      </c>
      <c r="X41" s="1923">
        <f>-X16</f>
        <v/>
      </c>
      <c r="Y41" s="1924" t="n"/>
      <c r="Z41" s="1916">
        <f>SUM(D41:Y41)</f>
        <v/>
      </c>
      <c r="AA41" s="437">
        <f>IF(ROUND((Z41+Z16),0)=0,"correct", "error")</f>
        <v/>
      </c>
    </row>
    <row r="42">
      <c r="B42" s="1929" t="inlineStr">
        <is>
          <t>Outflow : 保險費</t>
        </is>
      </c>
      <c r="C42" s="1922" t="inlineStr">
        <is>
          <t>-</t>
        </is>
      </c>
      <c r="D42" s="1923">
        <f>-D19</f>
        <v/>
      </c>
      <c r="E42" s="1923">
        <f>-E19</f>
        <v/>
      </c>
      <c r="F42" s="1923">
        <f>-F19</f>
        <v/>
      </c>
      <c r="G42" s="1923">
        <f>-G19</f>
        <v/>
      </c>
      <c r="H42" s="1923">
        <f>-H19</f>
        <v/>
      </c>
      <c r="I42" s="1923">
        <f>-I19</f>
        <v/>
      </c>
      <c r="J42" s="1923">
        <f>-J19</f>
        <v/>
      </c>
      <c r="K42" s="1923">
        <f>-K19</f>
        <v/>
      </c>
      <c r="L42" s="1923">
        <f>-L19</f>
        <v/>
      </c>
      <c r="M42" s="1923">
        <f>-M19</f>
        <v/>
      </c>
      <c r="N42" s="1923">
        <f>-N19</f>
        <v/>
      </c>
      <c r="O42" s="1923">
        <f>-O19</f>
        <v/>
      </c>
      <c r="P42" s="1923">
        <f>-P19</f>
        <v/>
      </c>
      <c r="Q42" s="1923">
        <f>-Q19</f>
        <v/>
      </c>
      <c r="R42" s="1923">
        <f>-R19</f>
        <v/>
      </c>
      <c r="S42" s="1923">
        <f>-S19</f>
        <v/>
      </c>
      <c r="T42" s="1923">
        <f>-T19</f>
        <v/>
      </c>
      <c r="U42" s="1923">
        <f>-U19</f>
        <v/>
      </c>
      <c r="V42" s="1923">
        <f>-V19</f>
        <v/>
      </c>
      <c r="W42" s="1923">
        <f>-W19</f>
        <v/>
      </c>
      <c r="X42" s="1923">
        <f>-X19</f>
        <v/>
      </c>
      <c r="Y42" s="1924" t="n"/>
      <c r="Z42" s="1916">
        <f>SUM(D42:Y42)</f>
        <v/>
      </c>
      <c r="AA42" s="437">
        <f>IF(ROUND((Z42+Z19),0)=0,"correct", "error")</f>
        <v/>
      </c>
    </row>
    <row r="43">
      <c r="B43" s="1929" t="inlineStr">
        <is>
          <t>Outflow : 模組回收費</t>
        </is>
      </c>
      <c r="C43" s="1922" t="n"/>
      <c r="D43" s="1923">
        <f>-D22</f>
        <v/>
      </c>
      <c r="E43" s="1923">
        <f>-E22</f>
        <v/>
      </c>
      <c r="F43" s="1923">
        <f>-F22</f>
        <v/>
      </c>
      <c r="G43" s="1923">
        <f>-G22</f>
        <v/>
      </c>
      <c r="H43" s="1923">
        <f>-H22</f>
        <v/>
      </c>
      <c r="I43" s="1923">
        <f>-I22</f>
        <v/>
      </c>
      <c r="J43" s="1923">
        <f>-J22</f>
        <v/>
      </c>
      <c r="K43" s="1923">
        <f>-K22</f>
        <v/>
      </c>
      <c r="L43" s="1923">
        <f>-L22</f>
        <v/>
      </c>
      <c r="M43" s="1923">
        <f>-M22</f>
        <v/>
      </c>
      <c r="N43" s="1923">
        <f>-N22</f>
        <v/>
      </c>
      <c r="O43" s="1923">
        <f>-O22</f>
        <v/>
      </c>
      <c r="P43" s="1923">
        <f>-P22</f>
        <v/>
      </c>
      <c r="Q43" s="1923">
        <f>-Q22</f>
        <v/>
      </c>
      <c r="R43" s="1923">
        <f>-R22</f>
        <v/>
      </c>
      <c r="S43" s="1923">
        <f>-S22</f>
        <v/>
      </c>
      <c r="T43" s="1923">
        <f>-T22</f>
        <v/>
      </c>
      <c r="U43" s="1923">
        <f>-U22</f>
        <v/>
      </c>
      <c r="V43" s="1923">
        <f>-V22</f>
        <v/>
      </c>
      <c r="W43" s="1923">
        <f>-W22</f>
        <v/>
      </c>
      <c r="X43" s="1923">
        <f>-X22</f>
        <v/>
      </c>
      <c r="Y43" s="1924" t="n"/>
      <c r="Z43" s="1916">
        <f>SUM(D43:Y43)</f>
        <v/>
      </c>
      <c r="AA43" s="437">
        <f>IF(ROUND((Z22+Z43),0)=0,"correct", "error")</f>
        <v/>
      </c>
    </row>
    <row r="44">
      <c r="B44" s="1929" t="inlineStr">
        <is>
          <t>Outflow : 其它費用(人事薪資…等)</t>
        </is>
      </c>
      <c r="C44" s="497" t="n"/>
      <c r="D44" s="571" t="n"/>
      <c r="E44" s="572" t="n"/>
      <c r="F44" s="1923">
        <f>-(F34*$D$131)</f>
        <v/>
      </c>
      <c r="G44" s="1923">
        <f>-(G34*$D$131)</f>
        <v/>
      </c>
      <c r="H44" s="1923">
        <f>-(H34*$D$131)</f>
        <v/>
      </c>
      <c r="I44" s="1923">
        <f>-(I34*$D$131)</f>
        <v/>
      </c>
      <c r="J44" s="1923">
        <f>-(J34*$D$131)</f>
        <v/>
      </c>
      <c r="K44" s="1923">
        <f>-(K34*$D$131)</f>
        <v/>
      </c>
      <c r="L44" s="1923">
        <f>-(L34*$D$131)</f>
        <v/>
      </c>
      <c r="M44" s="1923">
        <f>-(M34*$D$131)</f>
        <v/>
      </c>
      <c r="N44" s="1923">
        <f>-(N34*$D$131)</f>
        <v/>
      </c>
      <c r="O44" s="1923">
        <f>-(O34*$D$131)</f>
        <v/>
      </c>
      <c r="P44" s="1923">
        <f>-(P34*$D$131)</f>
        <v/>
      </c>
      <c r="Q44" s="1923">
        <f>-(Q34*$D$131)</f>
        <v/>
      </c>
      <c r="R44" s="1923">
        <f>-(R34*$D$131)</f>
        <v/>
      </c>
      <c r="S44" s="1923">
        <f>-(S34*$D$131)</f>
        <v/>
      </c>
      <c r="T44" s="1923">
        <f>-(T34*$D$131)</f>
        <v/>
      </c>
      <c r="U44" s="1923">
        <f>-(U34*$D$131)</f>
        <v/>
      </c>
      <c r="V44" s="1923">
        <f>-(V34*$D$131)</f>
        <v/>
      </c>
      <c r="W44" s="1923">
        <f>-(W34*$D$131)</f>
        <v/>
      </c>
      <c r="X44" s="1923">
        <f>-(X34*$D$131)</f>
        <v/>
      </c>
      <c r="Y44" s="1924" t="n"/>
      <c r="Z44" s="1916">
        <f>SUM(D44:Y44)</f>
        <v/>
      </c>
      <c r="AA44" s="416" t="n"/>
    </row>
    <row r="45">
      <c r="B45" s="1929" t="inlineStr">
        <is>
          <t>1%管理費</t>
        </is>
      </c>
      <c r="C45" s="497" t="n"/>
      <c r="D45" s="1923" t="n"/>
      <c r="E45" s="1923" t="n"/>
      <c r="F45" s="1923" t="n"/>
      <c r="G45" s="1923" t="n"/>
      <c r="H45" s="1923" t="n"/>
      <c r="I45" s="1923" t="n"/>
      <c r="J45" s="1923" t="n"/>
      <c r="K45" s="1923" t="n"/>
      <c r="L45" s="1923" t="n"/>
      <c r="M45" s="1923" t="n"/>
      <c r="N45" s="1923" t="n"/>
      <c r="O45" s="1923" t="n"/>
      <c r="P45" s="1923" t="n"/>
      <c r="Q45" s="1923" t="n"/>
      <c r="R45" s="1923" t="n"/>
      <c r="S45" s="1923" t="n"/>
      <c r="T45" s="1923" t="n"/>
      <c r="U45" s="1923" t="n"/>
      <c r="V45" s="1923" t="n"/>
      <c r="W45" s="1923" t="n"/>
      <c r="X45" s="1923" t="n"/>
      <c r="Y45" s="1924" t="n"/>
      <c r="Z45" s="1916">
        <f>SUM(D45:Y45)</f>
        <v/>
      </c>
      <c r="AA45" s="416" t="n"/>
    </row>
    <row r="46">
      <c r="B46" s="1934" t="inlineStr">
        <is>
          <t>績效獎金</t>
        </is>
      </c>
      <c r="C46" s="497" t="n"/>
      <c r="D46" s="1935" t="n"/>
      <c r="E46" s="1935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33" t="n"/>
      <c r="W46" s="1933" t="n"/>
      <c r="X46" s="1933" t="n"/>
      <c r="Y46" s="1936" t="n"/>
      <c r="Z46" s="1916">
        <f>SUM(D46:Y46)</f>
        <v/>
      </c>
      <c r="AA46" s="416" t="n"/>
    </row>
    <row r="47">
      <c r="B47" s="1934" t="inlineStr">
        <is>
          <t>所得稅20%</t>
        </is>
      </c>
      <c r="C47" s="497" t="n"/>
      <c r="D47" s="1923">
        <f>IF((D88+SUM(D90+D91+D94+D95+D96+D97))&gt;0,-(D88+SUM(D90+D91+D94+D95+D96+D97))*0.2,0)</f>
        <v/>
      </c>
      <c r="E47" s="1923">
        <f>IF((E88+SUM(E90+E91+E94+E95+E96+E97))&gt;0,-(E88+SUM(E90+E91+E94+E95+E96+E97))*0.2,0)</f>
        <v/>
      </c>
      <c r="F47" s="1923">
        <f>IF((F88+SUM(F90+F91+F94+F95+F96+F97))&gt;0,-(F88+SUM(F90+F91+F94+F95+F96+F97))*0.2,0)</f>
        <v/>
      </c>
      <c r="G47" s="1923">
        <f>IF((G88+SUM(G90+G91+G94+G95+G96+G97))&gt;0,-(G88+SUM(G90+G91+G94+G95+G96+G97))*0.2,0)</f>
        <v/>
      </c>
      <c r="H47" s="1923">
        <f>IF((H88+SUM(H90+H91+H94+H95+H96+H97))&gt;0,-(H88+SUM(H90+H91+H94+H95+H96+H97))*0.2,0)</f>
        <v/>
      </c>
      <c r="I47" s="1923">
        <f>IF((I88+SUM(I90+I91+I94+I95+I96+I97))&gt;0,-(I88+SUM(I90+I91+I94+I95+I96+I97))*0.2,0)</f>
        <v/>
      </c>
      <c r="J47" s="1923">
        <f>IF((J88+SUM(J90+J91+J94+J95+J96+J97))&gt;0,-(J88+SUM(J90+J91+J94+J95+J96+J97))*0.2,0)</f>
        <v/>
      </c>
      <c r="K47" s="1923">
        <f>IF((K88+SUM(K90+K91+K94+K95+K96+K97))&gt;0,-(K88+SUM(K90+K91+K94+K95+K96+K97))*0.2,0)</f>
        <v/>
      </c>
      <c r="L47" s="1923">
        <f>IF((L88+SUM(L90+L91+L94+L95+L96+L97))&gt;0,-(L88+SUM(L90+L91+L94+L95+L96+L97))*0.2,0)</f>
        <v/>
      </c>
      <c r="M47" s="1923">
        <f>IF((M88+SUM(M90+M91+M94+M95+M96+M97))&gt;0,-(M88+SUM(M90+M91+M94+M95+M96+M97))*0.2,0)</f>
        <v/>
      </c>
      <c r="N47" s="1923">
        <f>IF((N88+SUM(N90+N91+N94+N95+N96+N97))&gt;0,-(N88+SUM(N90+N91+N94+N95+N96+N97))*0.2,0)</f>
        <v/>
      </c>
      <c r="O47" s="1923">
        <f>IF((O88+SUM(O90+O91+O94+O95+O96+O97))&gt;0,-(O88+SUM(O90+O91+O94+O95+O96+O97))*0.2,0)</f>
        <v/>
      </c>
      <c r="P47" s="1923">
        <f>IF((P88+SUM(P90+P91+P94+P95+P96+P97))&gt;0,-(P88+SUM(P90+P91+P94+P95+P96+P97))*0.2,0)</f>
        <v/>
      </c>
      <c r="Q47" s="1923">
        <f>IF((Q88+SUM(Q90+Q91+Q94+Q95+Q96+Q97))&gt;0,-(Q88+SUM(Q90+Q91+Q94+Q95+Q96+Q97))*0.2,0)</f>
        <v/>
      </c>
      <c r="R47" s="1923">
        <f>IF((R88+SUM(R90+R91+R94+R95+R96+R97))&gt;0,-(R88+SUM(R90+R91+R94+R95+R96+R97))*0.2,0)</f>
        <v/>
      </c>
      <c r="S47" s="1923">
        <f>IF((S88+SUM(S90+S91+S94+S95+S96+S97))&gt;0,-(S88+SUM(S90+S91+S94+S95+S96+S97))*0.2,0)</f>
        <v/>
      </c>
      <c r="T47" s="1923">
        <f>IF((T88+SUM(T90+T91+T94+T95+T96+T97))&gt;0,-(T88+SUM(T90+T91+T94+T95+T96+T97))*0.2,0)</f>
        <v/>
      </c>
      <c r="U47" s="1923">
        <f>IF((U88+SUM(U90+U91+U94+U95+U96+U97))&gt;0,-(U88+SUM(U90+U91+U94+U95+U96+U97))*0.2,0)</f>
        <v/>
      </c>
      <c r="V47" s="1923">
        <f>IF((V88+SUM(V90+V91+V94+V95+V96+V97))&gt;0,-(V88+SUM(V90+V91+V94+V95+V96+V97))*0.2,0)</f>
        <v/>
      </c>
      <c r="W47" s="1923">
        <f>IF((W88+SUM(W90+W91+W94+W95+W96+W97))&gt;0,-(W88+SUM(W90+W91+W94+W95+W96+W97))*0.2,0)</f>
        <v/>
      </c>
      <c r="X47" s="1923">
        <f>IF((X88+SUM(X90+X91+X94+X95+X96+X97))&gt;0,-(X88+SUM(X90+X91+X94+X95+X96+X97))*0.2,0)</f>
        <v/>
      </c>
      <c r="Y47" s="1924" t="n"/>
      <c r="Z47" s="1916">
        <f>SUM(D47:Y47)</f>
        <v/>
      </c>
      <c r="AA47" s="437">
        <f>IF(ROUND((Z47+Z25),0)=0,"correct", "error")</f>
        <v/>
      </c>
    </row>
    <row r="48" ht="17.25" customHeight="1" s="1643" thickBot="1">
      <c r="B48" s="1929" t="n"/>
      <c r="C48" s="497" t="n"/>
      <c r="D48" s="572" t="n"/>
      <c r="E48" s="572" t="n"/>
      <c r="F48" s="498" t="n"/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8" t="n"/>
      <c r="Y48" s="559" t="n"/>
      <c r="Z48" s="1916">
        <f>SUM(D48:Y48)</f>
        <v/>
      </c>
      <c r="AA48" s="416" t="n"/>
    </row>
    <row r="49">
      <c r="B49" s="1937" t="inlineStr">
        <is>
          <t>現金流</t>
        </is>
      </c>
      <c r="C49" s="1938">
        <f>C37</f>
        <v/>
      </c>
      <c r="D49" s="1939">
        <f>SUM(D34:D47)</f>
        <v/>
      </c>
      <c r="E49" s="1938">
        <f>SUM(E34:E47)</f>
        <v/>
      </c>
      <c r="F49" s="1938">
        <f>SUM(F34:F47)</f>
        <v/>
      </c>
      <c r="G49" s="1938">
        <f>SUM(G34:G47)</f>
        <v/>
      </c>
      <c r="H49" s="1938">
        <f>SUM(H34:H47)</f>
        <v/>
      </c>
      <c r="I49" s="1938">
        <f>SUM(I34:I47)</f>
        <v/>
      </c>
      <c r="J49" s="1938">
        <f>SUM(J34:J47)</f>
        <v/>
      </c>
      <c r="K49" s="1938">
        <f>SUM(K34:K47)</f>
        <v/>
      </c>
      <c r="L49" s="1938">
        <f>SUM(L34:L47)</f>
        <v/>
      </c>
      <c r="M49" s="1938">
        <f>SUM(M34:M47)</f>
        <v/>
      </c>
      <c r="N49" s="1938">
        <f>SUM(N34:N47)</f>
        <v/>
      </c>
      <c r="O49" s="1938">
        <f>SUM(O34:O47)</f>
        <v/>
      </c>
      <c r="P49" s="1938">
        <f>SUM(P34:P47)</f>
        <v/>
      </c>
      <c r="Q49" s="1938">
        <f>SUM(Q34:Q47)</f>
        <v/>
      </c>
      <c r="R49" s="1938">
        <f>SUM(R34:R47)</f>
        <v/>
      </c>
      <c r="S49" s="1938">
        <f>SUM(S34:S47)</f>
        <v/>
      </c>
      <c r="T49" s="1938">
        <f>SUM(T34:T47)</f>
        <v/>
      </c>
      <c r="U49" s="1938">
        <f>SUM(U34:U47)</f>
        <v/>
      </c>
      <c r="V49" s="1938">
        <f>SUM(V34:V47)</f>
        <v/>
      </c>
      <c r="W49" s="1938">
        <f>SUM(W34:W47)</f>
        <v/>
      </c>
      <c r="X49" s="1938">
        <f>SUM(X34:X47)</f>
        <v/>
      </c>
      <c r="Y49" s="1940" t="n"/>
      <c r="Z49" s="1916">
        <f>SUM(C49:Y49)</f>
        <v/>
      </c>
      <c r="AA49" s="416" t="n"/>
      <c r="AB49" s="416" t="n"/>
      <c r="AC49" s="1941" t="n"/>
      <c r="AD49" s="416" t="n"/>
      <c r="AE49" s="416" t="n"/>
      <c r="AF49" s="416" t="n"/>
      <c r="AG49" s="416" t="n"/>
      <c r="AH49" s="416" t="n"/>
      <c r="AI49" s="416" t="n"/>
      <c r="AJ49" s="416" t="n"/>
      <c r="AK49" s="416" t="n"/>
      <c r="AL49" s="416" t="n"/>
      <c r="AM49" s="416" t="n"/>
    </row>
    <row r="50" ht="17.25" customHeight="1" s="1643" thickBot="1">
      <c r="B50" s="1942" t="inlineStr">
        <is>
          <t>累計現金流</t>
        </is>
      </c>
      <c r="C50" s="1943" t="n"/>
      <c r="D50" s="1944">
        <f>D49+C49</f>
        <v/>
      </c>
      <c r="E50" s="1944">
        <f>E49+D50</f>
        <v/>
      </c>
      <c r="F50" s="1944">
        <f>F49+E50</f>
        <v/>
      </c>
      <c r="G50" s="1944">
        <f>G49+F50</f>
        <v/>
      </c>
      <c r="H50" s="1944">
        <f>H49+G50</f>
        <v/>
      </c>
      <c r="I50" s="1944">
        <f>I49+H50</f>
        <v/>
      </c>
      <c r="J50" s="1944">
        <f>J49+I50</f>
        <v/>
      </c>
      <c r="K50" s="1944">
        <f>K49+J50</f>
        <v/>
      </c>
      <c r="L50" s="1944">
        <f>L49+K50</f>
        <v/>
      </c>
      <c r="M50" s="1944">
        <f>M49+L50</f>
        <v/>
      </c>
      <c r="N50" s="1944">
        <f>N49+M50</f>
        <v/>
      </c>
      <c r="O50" s="1944">
        <f>O49+N50</f>
        <v/>
      </c>
      <c r="P50" s="1944">
        <f>P49+O50</f>
        <v/>
      </c>
      <c r="Q50" s="1944">
        <f>Q49+P50</f>
        <v/>
      </c>
      <c r="R50" s="1944">
        <f>R49+Q50</f>
        <v/>
      </c>
      <c r="S50" s="1944">
        <f>S49+R50</f>
        <v/>
      </c>
      <c r="T50" s="1944">
        <f>T49+S50</f>
        <v/>
      </c>
      <c r="U50" s="1944">
        <f>U49+T50</f>
        <v/>
      </c>
      <c r="V50" s="1944">
        <f>V49+U50</f>
        <v/>
      </c>
      <c r="W50" s="1944">
        <f>W49+V50</f>
        <v/>
      </c>
      <c r="X50" s="1944" t="n"/>
      <c r="Y50" s="1945" t="n"/>
      <c r="Z50" s="620">
        <f>IF(ROUND((Z49-W50),0)=0,"correct", "error")</f>
        <v/>
      </c>
      <c r="AA50" s="416" t="n"/>
      <c r="AB50" s="416" t="n"/>
      <c r="AC50" s="416" t="n"/>
      <c r="AD50" s="416" t="n"/>
      <c r="AE50" s="416" t="n"/>
      <c r="AF50" s="416" t="n"/>
      <c r="AG50" s="416" t="n"/>
      <c r="AH50" s="416" t="n"/>
      <c r="AI50" s="416" t="n"/>
      <c r="AJ50" s="416" t="n"/>
      <c r="AK50" s="416" t="n"/>
      <c r="AL50" s="416" t="n"/>
      <c r="AM50" s="416" t="n"/>
    </row>
    <row r="51" hidden="1" ht="17.25" customHeight="1" s="1643" thickBot="1">
      <c r="B51" s="506" t="inlineStr">
        <is>
          <t>Discounted cash flow</t>
        </is>
      </c>
      <c r="C51" s="1946" t="n">
        <v>-37721416.4</v>
      </c>
      <c r="D51" s="1947" t="n"/>
      <c r="E51" s="1947" t="n"/>
      <c r="F51" s="1948" t="n">
        <v>4765724.101934625</v>
      </c>
      <c r="G51" s="1948" t="n">
        <v>4715578.687122989</v>
      </c>
      <c r="H51" s="1948" t="n">
        <v>4665433.272311353</v>
      </c>
      <c r="I51" s="1948" t="n">
        <v>4615287.857499719</v>
      </c>
      <c r="J51" s="1948" t="n">
        <v>4565142.442688081</v>
      </c>
      <c r="K51" s="1948" t="n">
        <v>4517504.29861703</v>
      </c>
      <c r="L51" s="1948" t="n">
        <v>4469866.154545976</v>
      </c>
      <c r="M51" s="1948" t="n">
        <v>4422228.010474921</v>
      </c>
      <c r="N51" s="1948" t="n">
        <v>4374589.866403867</v>
      </c>
      <c r="O51" s="1948" t="n">
        <v>4326951.722332815</v>
      </c>
      <c r="P51" s="1948" t="n">
        <v>4284954.937428069</v>
      </c>
      <c r="Q51" s="1948" t="n">
        <v>4242958.152523325</v>
      </c>
      <c r="R51" s="1948" t="n">
        <v>4200961.36761858</v>
      </c>
      <c r="S51" s="1948" t="n">
        <v>4158964.582713835</v>
      </c>
      <c r="T51" s="1948" t="n">
        <v>4116967.797809093</v>
      </c>
      <c r="U51" s="1948" t="n">
        <v>4074971.012904346</v>
      </c>
      <c r="V51" s="1948" t="n">
        <v>4032974.227999602</v>
      </c>
      <c r="W51" s="1948" t="n">
        <v>3990977.443094858</v>
      </c>
      <c r="X51" s="1948" t="n"/>
      <c r="Y51" s="1949" t="n"/>
      <c r="Z51" s="621" t="n"/>
      <c r="AA51" s="416" t="n"/>
      <c r="AB51" s="416" t="n"/>
      <c r="AC51" s="416" t="n"/>
      <c r="AD51" s="416" t="n"/>
      <c r="AE51" s="416" t="n"/>
      <c r="AF51" s="416" t="n"/>
      <c r="AG51" s="416" t="n"/>
      <c r="AH51" s="416" t="n"/>
      <c r="AI51" s="416" t="n"/>
      <c r="AJ51" s="416" t="n"/>
      <c r="AK51" s="416" t="n"/>
      <c r="AL51" s="416" t="n"/>
      <c r="AM51" s="416" t="n"/>
    </row>
    <row r="52" hidden="1" ht="17.25" customHeight="1" s="1643" thickBot="1">
      <c r="B52" s="1950" t="inlineStr">
        <is>
          <t>Minus : Depreciation</t>
        </is>
      </c>
      <c r="C52" s="1951" t="n"/>
      <c r="D52" s="1952" t="n"/>
      <c r="E52" s="1952" t="n"/>
      <c r="F52" s="1952" t="n">
        <v>1886070.82</v>
      </c>
      <c r="G52" s="1952" t="n">
        <v>1886070.82</v>
      </c>
      <c r="H52" s="1952" t="n">
        <v>1886070.82</v>
      </c>
      <c r="I52" s="1952" t="n">
        <v>1886070.82</v>
      </c>
      <c r="J52" s="1952" t="n">
        <v>1886070.82</v>
      </c>
      <c r="K52" s="1952" t="n">
        <v>1886070.82</v>
      </c>
      <c r="L52" s="1952" t="n">
        <v>1886070.82</v>
      </c>
      <c r="M52" s="1952" t="n">
        <v>1886070.82</v>
      </c>
      <c r="N52" s="1952" t="n">
        <v>1886070.82</v>
      </c>
      <c r="O52" s="1952" t="n">
        <v>1886070.82</v>
      </c>
      <c r="P52" s="1952" t="n">
        <v>1886070.82</v>
      </c>
      <c r="Q52" s="1952" t="n">
        <v>1886070.82</v>
      </c>
      <c r="R52" s="1952" t="n">
        <v>1886070.82</v>
      </c>
      <c r="S52" s="1952" t="n">
        <v>1886070.82</v>
      </c>
      <c r="T52" s="1952" t="n">
        <v>1886070.82</v>
      </c>
      <c r="U52" s="1952" t="n">
        <v>1886070.82</v>
      </c>
      <c r="V52" s="1952" t="n">
        <v>1886070.82</v>
      </c>
      <c r="W52" s="1952" t="n">
        <v>1886070.82</v>
      </c>
      <c r="X52" s="1952" t="n"/>
      <c r="Y52" s="1953" t="n"/>
      <c r="Z52" s="416" t="n"/>
      <c r="AA52" s="416" t="n"/>
      <c r="AB52" s="416" t="n"/>
      <c r="AC52" s="416" t="n"/>
      <c r="AD52" s="416" t="n"/>
      <c r="AE52" s="416" t="n"/>
      <c r="AF52" s="416" t="n"/>
      <c r="AG52" s="416" t="n"/>
      <c r="AH52" s="416" t="n"/>
      <c r="AI52" s="416" t="n"/>
      <c r="AJ52" s="416" t="n"/>
      <c r="AK52" s="416" t="n"/>
      <c r="AL52" s="416" t="n"/>
      <c r="AM52" s="416" t="n"/>
    </row>
    <row r="53" hidden="1" ht="17.25" customHeight="1" s="1643" thickBot="1">
      <c r="B53" s="1950" t="inlineStr">
        <is>
          <t>Plus : Principle payment</t>
        </is>
      </c>
      <c r="C53" s="1951" t="n"/>
      <c r="D53" s="1952" t="n"/>
      <c r="E53" s="1952" t="n"/>
      <c r="F53" s="1952" t="n">
        <v>0</v>
      </c>
      <c r="G53" s="1952" t="n">
        <v>0</v>
      </c>
      <c r="H53" s="1952" t="n">
        <v>0</v>
      </c>
      <c r="I53" s="1952" t="n">
        <v>0</v>
      </c>
      <c r="J53" s="1952" t="n">
        <v>0</v>
      </c>
      <c r="K53" s="1952" t="n">
        <v>0</v>
      </c>
      <c r="L53" s="1952" t="n">
        <v>0</v>
      </c>
      <c r="M53" s="1952" t="n">
        <v>0</v>
      </c>
      <c r="N53" s="1952" t="n">
        <v>0</v>
      </c>
      <c r="O53" s="1952" t="n">
        <v>0</v>
      </c>
      <c r="P53" s="1952" t="n">
        <v>0</v>
      </c>
      <c r="Q53" s="1952" t="n">
        <v>0</v>
      </c>
      <c r="R53" s="1952" t="n">
        <v>0</v>
      </c>
      <c r="S53" s="1952" t="n">
        <v>0</v>
      </c>
      <c r="T53" s="1952" t="n">
        <v>0</v>
      </c>
      <c r="U53" s="1952" t="n">
        <v>0</v>
      </c>
      <c r="V53" s="1952" t="n">
        <v>0</v>
      </c>
      <c r="W53" s="1952" t="n">
        <v>0</v>
      </c>
      <c r="X53" s="1952" t="n"/>
      <c r="Y53" s="1953" t="n"/>
      <c r="Z53" s="416" t="n"/>
      <c r="AA53" s="416" t="n"/>
      <c r="AB53" s="416" t="n"/>
      <c r="AC53" s="416" t="n"/>
      <c r="AD53" s="416" t="n"/>
      <c r="AE53" s="416" t="n"/>
      <c r="AF53" s="416" t="n"/>
      <c r="AG53" s="416" t="n"/>
      <c r="AH53" s="416" t="n"/>
      <c r="AI53" s="416" t="n"/>
      <c r="AJ53" s="416" t="n"/>
      <c r="AK53" s="416" t="n"/>
      <c r="AL53" s="416" t="n"/>
      <c r="AM53" s="416" t="n"/>
    </row>
    <row r="54" hidden="1" ht="17.25" customHeight="1" s="1643" thickBot="1">
      <c r="B54" s="514" t="inlineStr">
        <is>
          <t>Profit</t>
        </is>
      </c>
      <c r="C54" s="1954" t="n"/>
      <c r="D54" s="1955" t="n"/>
      <c r="E54" s="1955" t="n"/>
      <c r="F54" s="1955" t="n">
        <v>2879653.281934625</v>
      </c>
      <c r="G54" s="1955" t="n">
        <v>2829507.867122989</v>
      </c>
      <c r="H54" s="1955" t="n">
        <v>2779362.452311353</v>
      </c>
      <c r="I54" s="1955" t="n">
        <v>2729217.037499719</v>
      </c>
      <c r="J54" s="1955" t="n">
        <v>2679071.622688082</v>
      </c>
      <c r="K54" s="1955" t="n">
        <v>2631433.47861703</v>
      </c>
      <c r="L54" s="1955" t="n">
        <v>2583795.334545976</v>
      </c>
      <c r="M54" s="1955" t="n">
        <v>2536157.190474921</v>
      </c>
      <c r="N54" s="1955" t="n">
        <v>2488519.046403868</v>
      </c>
      <c r="O54" s="1955" t="n">
        <v>2440880.902332815</v>
      </c>
      <c r="P54" s="1955" t="n">
        <v>2398884.117428069</v>
      </c>
      <c r="Q54" s="1955" t="n">
        <v>2356887.332523325</v>
      </c>
      <c r="R54" s="1955" t="n">
        <v>2314890.547618581</v>
      </c>
      <c r="S54" s="1955" t="n">
        <v>2272893.762713836</v>
      </c>
      <c r="T54" s="1955" t="n">
        <v>2230896.977809093</v>
      </c>
      <c r="U54" s="1955" t="n">
        <v>2188900.192904347</v>
      </c>
      <c r="V54" s="1955" t="n">
        <v>2146903.407999602</v>
      </c>
      <c r="W54" s="1955" t="n">
        <v>2104906.623094858</v>
      </c>
      <c r="X54" s="1955" t="n"/>
      <c r="Y54" s="1956" t="n"/>
      <c r="Z54" s="416" t="n"/>
      <c r="AA54" s="416" t="n"/>
      <c r="AB54" s="416" t="n"/>
      <c r="AC54" s="416" t="n"/>
      <c r="AD54" s="416" t="n"/>
      <c r="AE54" s="416" t="n"/>
      <c r="AF54" s="416" t="n"/>
      <c r="AG54" s="416" t="n"/>
      <c r="AH54" s="416" t="n"/>
      <c r="AI54" s="416" t="n"/>
      <c r="AJ54" s="416" t="n"/>
      <c r="AK54" s="416" t="n"/>
      <c r="AL54" s="416" t="n"/>
      <c r="AM54" s="416" t="n"/>
    </row>
    <row r="55" hidden="1" ht="17.25" customHeight="1" s="1643" thickBot="1">
      <c r="B55" s="518" t="inlineStr">
        <is>
          <t>EPS</t>
        </is>
      </c>
      <c r="C55" s="1957" t="n"/>
      <c r="D55" s="1958" t="n"/>
      <c r="E55" s="1958" t="n"/>
      <c r="F55" s="1959" t="n">
        <v>0.7634000938349244</v>
      </c>
      <c r="G55" s="1959" t="n">
        <v>0.7501064745604274</v>
      </c>
      <c r="H55" s="1959" t="n">
        <v>0.7368128552859308</v>
      </c>
      <c r="I55" s="1959" t="n">
        <v>0.7235192360114343</v>
      </c>
      <c r="J55" s="1959" t="n">
        <v>0.7102256167369372</v>
      </c>
      <c r="K55" s="1959" t="n">
        <v>0.6975966784261659</v>
      </c>
      <c r="L55" s="1959" t="n">
        <v>0.6849677401153941</v>
      </c>
      <c r="M55" s="1959" t="n">
        <v>0.6723388018046219</v>
      </c>
      <c r="N55" s="1959" t="n">
        <v>0.6597098634938501</v>
      </c>
      <c r="O55" s="1959" t="n">
        <v>0.6470809251830785</v>
      </c>
      <c r="P55" s="1959" t="n">
        <v>0.6359475190406874</v>
      </c>
      <c r="Q55" s="1959" t="n">
        <v>0.6248141128982965</v>
      </c>
      <c r="R55" s="1959" t="n">
        <v>0.6136807067559056</v>
      </c>
      <c r="S55" s="1959" t="n">
        <v>0.6025473006135146</v>
      </c>
      <c r="T55" s="1959" t="n">
        <v>0.5914138944711241</v>
      </c>
      <c r="U55" s="1959" t="n">
        <v>0.5802804883287328</v>
      </c>
      <c r="V55" s="1959" t="n">
        <v>0.5691470821863418</v>
      </c>
      <c r="W55" s="1959" t="n">
        <v>0.5580136760439509</v>
      </c>
      <c r="X55" s="1959" t="n"/>
      <c r="Y55" s="1960" t="n"/>
      <c r="Z55" s="416" t="n"/>
      <c r="AA55" s="416" t="n"/>
      <c r="AB55" s="416" t="n"/>
      <c r="AC55" s="416" t="n"/>
      <c r="AD55" s="416" t="n"/>
      <c r="AE55" s="416" t="n"/>
      <c r="AF55" s="416" t="n"/>
      <c r="AG55" s="416" t="n"/>
      <c r="AH55" s="416" t="n"/>
      <c r="AI55" s="416" t="n"/>
      <c r="AJ55" s="416" t="n"/>
      <c r="AK55" s="416" t="n"/>
      <c r="AL55" s="416" t="n"/>
      <c r="AM55" s="416" t="n"/>
    </row>
    <row r="56" ht="17.25" customHeight="1" s="1643" thickBot="1">
      <c r="B56" s="522" t="inlineStr">
        <is>
          <t>回收年限評估</t>
        </is>
      </c>
      <c r="C56" s="1961" t="n"/>
      <c r="D56" s="1962">
        <f>IF((D50)&gt;0,"回收","未回收")</f>
        <v/>
      </c>
      <c r="E56" s="1962">
        <f>IF((E50)&gt;0,"回收","未回收")</f>
        <v/>
      </c>
      <c r="F56" s="1962">
        <f>IF((F50)&gt;0,"回收","未回收")</f>
        <v/>
      </c>
      <c r="G56" s="1962">
        <f>IF((G50)&gt;0,"回收","未回收")</f>
        <v/>
      </c>
      <c r="H56" s="1962">
        <f>IF((H50)&gt;0,"回收","未回收")</f>
        <v/>
      </c>
      <c r="I56" s="1962">
        <f>IF((I50)&gt;0,"回收","未回收")</f>
        <v/>
      </c>
      <c r="J56" s="1962">
        <f>IF((J50)&gt;0,"回收","未回收")</f>
        <v/>
      </c>
      <c r="K56" s="1962">
        <f>IF((K50)&gt;0,"回收","未回收")</f>
        <v/>
      </c>
      <c r="L56" s="1962">
        <f>IF((L50)&gt;0,"回收","未回收")</f>
        <v/>
      </c>
      <c r="M56" s="1962">
        <f>IF((M50)&gt;0,"回收","未回收")</f>
        <v/>
      </c>
      <c r="N56" s="1962">
        <f>IF((N50)&gt;0,"回收","未回收")</f>
        <v/>
      </c>
      <c r="O56" s="1962">
        <f>IF((O50)&gt;0,"回收","未回收")</f>
        <v/>
      </c>
      <c r="P56" s="1962">
        <f>IF((P50)&gt;0,"回收","未回收")</f>
        <v/>
      </c>
      <c r="Q56" s="1962">
        <f>IF((Q50)&gt;0,"回收","未回收")</f>
        <v/>
      </c>
      <c r="R56" s="1962">
        <f>IF((R50)&gt;0,"回收","未回收")</f>
        <v/>
      </c>
      <c r="S56" s="1962">
        <f>IF((S50)&gt;0,"回收","未回收")</f>
        <v/>
      </c>
      <c r="T56" s="1962">
        <f>IF((T50)&gt;0,"回收","未回收")</f>
        <v/>
      </c>
      <c r="U56" s="1962">
        <f>IF((U50)&gt;0,"回收","未回收")</f>
        <v/>
      </c>
      <c r="V56" s="1962">
        <f>IF((V50)&gt;0,"回收","未回收")</f>
        <v/>
      </c>
      <c r="W56" s="1962">
        <f>IF((W50)&gt;0,"回收","未回收")</f>
        <v/>
      </c>
      <c r="X56" s="1962" t="n"/>
      <c r="Y56" s="1963" t="n"/>
      <c r="Z56" s="416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  <c r="AK56" s="416" t="n"/>
      <c r="AL56" s="416" t="n"/>
      <c r="AM56" s="416" t="n"/>
    </row>
    <row r="57">
      <c r="B57" s="475" t="n"/>
      <c r="C57" s="1964" t="n"/>
      <c r="D57" s="1964" t="n"/>
      <c r="E57" s="1964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  <c r="AK57" s="416" t="n"/>
      <c r="AL57" s="416" t="n"/>
      <c r="AM57" s="416" t="n"/>
    </row>
    <row r="58">
      <c r="B58" s="475" t="n"/>
      <c r="C58" s="1964" t="n"/>
      <c r="D58" s="1964" t="n"/>
      <c r="E58" s="1964" t="n"/>
      <c r="F58" s="475" t="n"/>
      <c r="G58" s="475" t="n"/>
      <c r="H58" s="475" t="n"/>
      <c r="I58" s="475" t="n"/>
      <c r="J58" s="475" t="n"/>
      <c r="K58" s="475" t="n"/>
      <c r="L58" s="475" t="inlineStr">
        <is>
          <t>預估可建置量</t>
        </is>
      </c>
      <c r="M58" s="475" t="n">
        <v>0</v>
      </c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  <c r="AK58" s="416" t="n"/>
      <c r="AL58" s="416" t="n"/>
      <c r="AM58" s="416" t="n"/>
    </row>
    <row r="59">
      <c r="B59" s="475" t="n"/>
      <c r="C59" s="1964" t="n"/>
      <c r="D59" s="1964" t="n"/>
      <c r="E59" s="1964" t="n"/>
      <c r="F59" s="475" t="n"/>
      <c r="G59" s="475" t="n"/>
      <c r="H59" s="475" t="n"/>
      <c r="I59" s="475" t="n"/>
      <c r="J59" s="475" t="n"/>
      <c r="K59" s="475" t="n"/>
      <c r="L59" s="475" t="inlineStr">
        <is>
          <t>預估可建置量</t>
        </is>
      </c>
      <c r="M59" s="475" t="n">
        <v>0</v>
      </c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  <c r="AK59" s="416" t="n"/>
      <c r="AL59" s="416" t="n"/>
      <c r="AM59" s="416" t="n"/>
    </row>
    <row r="60">
      <c r="B60" s="475" t="n"/>
      <c r="C60" s="475" t="n"/>
      <c r="D60" s="475" t="n"/>
      <c r="E60" s="475" t="n"/>
      <c r="F60" s="475" t="n"/>
      <c r="G60" s="1923" t="n"/>
      <c r="H60" s="1923" t="n"/>
      <c r="I60" s="475" t="n"/>
      <c r="J60" s="475" t="n"/>
      <c r="K60" s="475" t="n"/>
      <c r="L60" s="475" t="inlineStr">
        <is>
          <t>總計</t>
        </is>
      </c>
      <c r="M60" s="475">
        <f>M58+M59</f>
        <v/>
      </c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  <c r="AK60" s="416" t="n"/>
      <c r="AL60" s="416" t="n"/>
      <c r="AM60" s="416" t="n"/>
    </row>
    <row r="61"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  <c r="AK61" s="416" t="n"/>
      <c r="AL61" s="416" t="n"/>
      <c r="AM61" s="416" t="n"/>
    </row>
    <row r="62">
      <c r="B62" s="1965" t="inlineStr">
        <is>
          <t>Assumption</t>
        </is>
      </c>
      <c r="C62" s="1688" t="n"/>
      <c r="D62" s="1966" t="inlineStr">
        <is>
          <t>NOTE</t>
        </is>
      </c>
      <c r="E62" s="1687" t="n"/>
      <c r="F62" s="1687" t="n"/>
      <c r="G62" s="1688" t="n"/>
      <c r="H62" s="475" t="n"/>
      <c r="I62" s="475" t="n"/>
      <c r="J62" s="1967" t="inlineStr">
        <is>
          <t>管理費，1%of 股本</t>
        </is>
      </c>
      <c r="K62" s="475" t="n"/>
      <c r="L62" s="475" t="inlineStr">
        <is>
          <t>假設自有資本(億)</t>
        </is>
      </c>
      <c r="M62" s="475" t="n"/>
      <c r="N62" s="475">
        <f>D159/100000000</f>
        <v/>
      </c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16" t="n"/>
      <c r="Y62" s="416" t="n"/>
      <c r="Z62" s="416" t="n"/>
      <c r="AA62" s="416" t="n"/>
      <c r="AB62" s="580" t="n"/>
      <c r="AC62" s="1968" t="inlineStr">
        <is>
          <t xml:space="preserve">申辦期間一甲地租金 </t>
        </is>
      </c>
      <c r="AD62" s="1687" t="n"/>
      <c r="AE62" s="1687" t="n"/>
      <c r="AF62" s="1688" t="n"/>
      <c r="AG62" s="1969" t="n">
        <v>100000</v>
      </c>
      <c r="AH62" s="580" t="n"/>
      <c r="AI62" s="580" t="n"/>
      <c r="AJ62" s="580" t="n"/>
      <c r="AK62" s="580" t="n"/>
      <c r="AL62" s="580" t="n"/>
      <c r="AM62" s="580" t="n"/>
    </row>
    <row r="63">
      <c r="B63" s="371" t="inlineStr">
        <is>
          <t>預計系統完工年限</t>
        </is>
      </c>
      <c r="C63" s="1970" t="inlineStr">
        <is>
          <t>109年</t>
        </is>
      </c>
      <c r="D63" s="1445" t="e">
        <v>#REF!</v>
      </c>
      <c r="E63" s="525" t="n"/>
      <c r="F63" s="525" t="n"/>
      <c r="G63" s="526" t="n"/>
      <c r="H63" s="475" t="n"/>
      <c r="I63" s="1971" t="n"/>
      <c r="J63" s="1967" t="inlineStr">
        <is>
          <t>績效獎金</t>
        </is>
      </c>
      <c r="K63" s="475" t="n"/>
      <c r="L63" s="475" t="inlineStr">
        <is>
          <t>貸款(億)</t>
        </is>
      </c>
      <c r="M63" s="475" t="n"/>
      <c r="N63" s="475">
        <f>D157/100000000</f>
        <v/>
      </c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16" t="n"/>
      <c r="Y63" s="416" t="n"/>
      <c r="Z63" s="416" t="n"/>
      <c r="AA63" s="416" t="n"/>
      <c r="AB63" s="580" t="n"/>
      <c r="AC63" s="580" t="n"/>
      <c r="AD63" s="580" t="n"/>
      <c r="AE63" s="580" t="n"/>
      <c r="AF63" s="580" t="n"/>
      <c r="AG63" s="580" t="n"/>
      <c r="AH63" s="582" t="inlineStr">
        <is>
          <t>申辦期預抓2年土租</t>
        </is>
      </c>
      <c r="AI63" s="580" t="n"/>
      <c r="AJ63" s="580" t="n"/>
      <c r="AK63" s="583" t="n">
        <v>20</v>
      </c>
      <c r="AL63" s="580" t="n"/>
      <c r="AM63" s="580" t="n"/>
    </row>
    <row r="64">
      <c r="B64" s="371" t="inlineStr">
        <is>
          <t>政府每度收購價格</t>
        </is>
      </c>
      <c r="C64" s="1972" t="n">
        <v>4.1733</v>
      </c>
      <c r="D64" s="622" t="inlineStr">
        <is>
          <t>109下半年 地面型併高壓費率(高效模組)</t>
        </is>
      </c>
      <c r="E64" s="529" t="n"/>
      <c r="F64" s="529" t="n"/>
      <c r="G64" s="530" t="n"/>
      <c r="H64" s="531" t="n"/>
      <c r="I64" s="531" t="n"/>
      <c r="J64" s="556" t="inlineStr">
        <is>
          <t>權益法下IRR</t>
        </is>
      </c>
      <c r="K64" s="531" t="n"/>
      <c r="L64" s="531" t="inlineStr">
        <is>
          <t>XX年攤還 (有錢就還)</t>
        </is>
      </c>
      <c r="M64" s="531" t="n"/>
      <c r="N64" s="531" t="n"/>
      <c r="O64" s="531" t="n"/>
      <c r="P64" s="531" t="n"/>
      <c r="Q64" s="531" t="n"/>
      <c r="R64" s="531" t="n"/>
      <c r="S64" s="531" t="n"/>
      <c r="T64" s="531" t="n"/>
      <c r="U64" s="531" t="n"/>
      <c r="V64" s="531" t="n"/>
      <c r="W64" s="531" t="n"/>
      <c r="X64" s="416" t="n"/>
      <c r="Y64" s="416" t="n"/>
      <c r="Z64" s="416" t="n"/>
      <c r="AA64" s="416" t="n"/>
      <c r="AB64" s="580" t="n"/>
      <c r="AC64" s="580" t="inlineStr">
        <is>
          <t>平方公尺</t>
        </is>
      </c>
      <c r="AD64" s="580" t="inlineStr">
        <is>
          <t>甲</t>
        </is>
      </c>
      <c r="AE64" s="580" t="inlineStr">
        <is>
          <t>公頃</t>
        </is>
      </c>
      <c r="AF64" s="580" t="inlineStr">
        <is>
          <t>分</t>
        </is>
      </c>
      <c r="AG64" s="584" t="inlineStr">
        <is>
          <t>申辦期 租金/甲/年</t>
        </is>
      </c>
      <c r="AH64" s="583" t="n">
        <v>2</v>
      </c>
      <c r="AI64" s="580" t="inlineStr">
        <is>
          <t>每年租金/分 (單價)</t>
        </is>
      </c>
      <c r="AJ64" s="585" t="inlineStr">
        <is>
          <t>掛錶後 每年租金/分</t>
        </is>
      </c>
      <c r="AK64" s="586" t="inlineStr">
        <is>
          <t>20年土地租金</t>
        </is>
      </c>
      <c r="AL64" s="1973" t="inlineStr">
        <is>
          <t>饋線 途經 國有財產地20年租金預抓</t>
        </is>
      </c>
      <c r="AM64" s="580" t="n"/>
    </row>
    <row r="65">
      <c r="B65" s="371" t="inlineStr">
        <is>
          <t>安裝容量(KW)</t>
        </is>
      </c>
      <c r="C65" s="1974">
        <f>#REF!</f>
        <v/>
      </c>
      <c r="D65" s="533" t="n"/>
      <c r="E65" s="1975" t="n"/>
      <c r="F65" s="534" t="n"/>
      <c r="G65" s="530" t="n"/>
      <c r="H65" s="531" t="n"/>
      <c r="I65" s="531" t="n"/>
      <c r="J65" s="556" t="inlineStr">
        <is>
          <t>現金流IRR</t>
        </is>
      </c>
      <c r="K65" s="531" t="n"/>
      <c r="L65" s="531" t="n"/>
      <c r="M65" s="531" t="n"/>
      <c r="N65" s="531" t="n"/>
      <c r="O65" s="531" t="n"/>
      <c r="P65" s="531" t="n"/>
      <c r="Q65" s="531" t="n"/>
      <c r="R65" s="531" t="n"/>
      <c r="S65" s="531" t="n"/>
      <c r="T65" s="531" t="n"/>
      <c r="U65" s="531" t="n"/>
      <c r="V65" s="531" t="n"/>
      <c r="W65" s="531" t="n"/>
      <c r="X65" s="416" t="n"/>
      <c r="Y65" s="416" t="n"/>
      <c r="Z65" s="416" t="n"/>
      <c r="AA65" s="416" t="n"/>
      <c r="AB65" s="580" t="inlineStr">
        <is>
          <t>地號學甲寮 283,82-83-84 三筆</t>
        </is>
      </c>
      <c r="AC65" s="587" t="n">
        <v>10259</v>
      </c>
      <c r="AD65" s="580" t="n">
        <v>1.05668</v>
      </c>
      <c r="AE65" s="580" t="n">
        <v>1.0259</v>
      </c>
      <c r="AF65" s="580" t="n">
        <v>10.56677</v>
      </c>
      <c r="AG65" s="1976" t="n">
        <v>105668</v>
      </c>
      <c r="AH65" s="1976" t="n">
        <v>211336</v>
      </c>
      <c r="AI65" s="1976" t="n">
        <v>35000</v>
      </c>
      <c r="AJ65" s="1976" t="n">
        <v>369836.95</v>
      </c>
      <c r="AK65" s="1976" t="n">
        <v>7396739</v>
      </c>
      <c r="AL65" s="1977" t="n"/>
      <c r="AM65" s="580" t="n"/>
    </row>
    <row r="66">
      <c r="B66" s="371" t="inlineStr">
        <is>
          <t>每KW系統價格(NTD/KW) -未稅</t>
        </is>
      </c>
      <c r="C66" s="1978" t="n">
        <v>0</v>
      </c>
      <c r="D66" s="533" t="inlineStr">
        <is>
          <t>調整前價格 (恆映 開發費用4000/kW 測算)</t>
        </is>
      </c>
      <c r="E66" s="529" t="n"/>
      <c r="F66" s="529" t="n"/>
      <c r="G66" s="530" t="n"/>
      <c r="H66" s="531" t="n"/>
      <c r="I66" s="531" t="n"/>
      <c r="J66" s="531" t="n"/>
      <c r="K66" s="531" t="n"/>
      <c r="L66" s="531" t="n"/>
      <c r="M66" s="531" t="n"/>
      <c r="N66" s="531" t="n"/>
      <c r="O66" s="531" t="n"/>
      <c r="P66" s="531" t="n"/>
      <c r="Q66" s="531" t="n"/>
      <c r="R66" s="531" t="n"/>
      <c r="S66" s="531" t="n"/>
      <c r="T66" s="531" t="n"/>
      <c r="U66" s="531" t="n"/>
      <c r="V66" s="531" t="n"/>
      <c r="W66" s="531" t="n"/>
      <c r="X66" s="416" t="n"/>
      <c r="Y66" s="416" t="n"/>
      <c r="Z66" s="416" t="n"/>
      <c r="AA66" s="416" t="n"/>
      <c r="AB66" s="580" t="inlineStr">
        <is>
          <t>地號學甲寮 283,40-55-58 三筆</t>
        </is>
      </c>
      <c r="AC66" s="587" t="n">
        <v>11113</v>
      </c>
      <c r="AD66" s="580" t="n">
        <v>1.14464</v>
      </c>
      <c r="AE66" s="580" t="n">
        <v>1.1113</v>
      </c>
      <c r="AF66" s="580" t="n">
        <v>11.44639</v>
      </c>
      <c r="AG66" s="1976" t="n">
        <v>114464</v>
      </c>
      <c r="AH66" s="1976" t="n">
        <v>228928</v>
      </c>
      <c r="AI66" s="1976" t="n">
        <v>30000</v>
      </c>
      <c r="AJ66" s="1976" t="n">
        <v>343391.7</v>
      </c>
      <c r="AK66" s="1976" t="n">
        <v>6867833.999999999</v>
      </c>
      <c r="AL66" s="1977" t="n"/>
      <c r="AM66" s="580" t="n"/>
    </row>
    <row r="67">
      <c r="B67" s="371" t="inlineStr">
        <is>
          <t>總建構成本(NTD)</t>
        </is>
      </c>
      <c r="C67" s="1978" t="n">
        <v>0</v>
      </c>
      <c r="D67" s="533" t="n"/>
      <c r="E67" s="529" t="n"/>
      <c r="F67" s="529" t="n"/>
      <c r="G67" s="530" t="n"/>
      <c r="H67" s="531" t="n"/>
      <c r="I67" s="531" t="n"/>
      <c r="J67" s="531" t="n"/>
      <c r="K67" s="531" t="n"/>
      <c r="L67" s="531" t="n"/>
      <c r="M67" s="531" t="n"/>
      <c r="N67" s="531" t="n"/>
      <c r="O67" s="531" t="n"/>
      <c r="P67" s="531" t="n"/>
      <c r="Q67" s="531" t="n"/>
      <c r="R67" s="531" t="n"/>
      <c r="S67" s="531" t="n"/>
      <c r="T67" s="531" t="n"/>
      <c r="U67" s="531" t="n"/>
      <c r="V67" s="531" t="n"/>
      <c r="W67" s="531" t="n"/>
      <c r="X67" s="416" t="n"/>
      <c r="Y67" s="416" t="n"/>
      <c r="Z67" s="416" t="n"/>
      <c r="AA67" s="416" t="n"/>
      <c r="AB67" s="580" t="inlineStr">
        <is>
          <t>其餘地號都屬 翁秀正, 李雅婷</t>
        </is>
      </c>
      <c r="AC67" s="587" t="n">
        <v>154742</v>
      </c>
      <c r="AD67" s="580" t="n">
        <v>15.93843</v>
      </c>
      <c r="AE67" s="580" t="n">
        <v>15.4742</v>
      </c>
      <c r="AF67" s="580" t="n">
        <v>159.38426</v>
      </c>
      <c r="AG67" s="1976" t="n">
        <v>1593843</v>
      </c>
      <c r="AH67" s="1976" t="n">
        <v>3187686</v>
      </c>
      <c r="AI67" s="1976" t="n">
        <v>40000</v>
      </c>
      <c r="AJ67" s="1976" t="n">
        <v>6375370.4</v>
      </c>
      <c r="AK67" s="1976" t="n">
        <v>127507408</v>
      </c>
      <c r="AL67" s="1979" t="n"/>
      <c r="AM67" s="589" t="inlineStr">
        <is>
          <t>20年土地總租金(含國有財產地)</t>
        </is>
      </c>
    </row>
    <row r="68">
      <c r="B68" s="371" t="inlineStr">
        <is>
          <t>政府補助(NTD/案)</t>
        </is>
      </c>
      <c r="C68" s="1978" t="n">
        <v>0</v>
      </c>
      <c r="D68" s="533" t="n"/>
      <c r="E68" s="529" t="n"/>
      <c r="F68" s="529" t="n"/>
      <c r="G68" s="530" t="n"/>
      <c r="H68" s="531" t="n"/>
      <c r="I68" s="531" t="n"/>
      <c r="J68" s="531" t="n"/>
      <c r="K68" s="531" t="n"/>
      <c r="L68" s="531" t="n"/>
      <c r="M68" s="531" t="n"/>
      <c r="N68" s="531" t="n"/>
      <c r="O68" s="531" t="n"/>
      <c r="P68" s="531" t="n"/>
      <c r="Q68" s="531" t="n"/>
      <c r="R68" s="531" t="n"/>
      <c r="S68" s="531" t="n"/>
      <c r="T68" s="531" t="n"/>
      <c r="U68" s="531" t="n"/>
      <c r="V68" s="531" t="n"/>
      <c r="W68" s="531" t="n"/>
      <c r="X68" s="416" t="n"/>
      <c r="Y68" s="416" t="n"/>
      <c r="Z68" s="416" t="n"/>
      <c r="AA68" s="416" t="n"/>
      <c r="AB68" s="590" t="inlineStr">
        <is>
          <t>總計</t>
        </is>
      </c>
      <c r="AC68" s="591" t="n">
        <v>176114</v>
      </c>
      <c r="AD68" s="584" t="n">
        <v>18.13975</v>
      </c>
      <c r="AE68" s="584" t="n">
        <v>17.6114</v>
      </c>
      <c r="AF68" s="584" t="n"/>
      <c r="AG68" s="1980" t="n">
        <v>1813975</v>
      </c>
      <c r="AH68" s="1981" t="n">
        <v>3627950</v>
      </c>
      <c r="AI68" s="580" t="n"/>
      <c r="AJ68" s="1982" t="n">
        <v>7088599.050000001</v>
      </c>
      <c r="AK68" s="1983" t="n">
        <v>141771981</v>
      </c>
      <c r="AL68" s="1983" t="n">
        <v>2000000</v>
      </c>
      <c r="AM68" s="1984" t="n"/>
    </row>
    <row r="69">
      <c r="B69" s="371" t="inlineStr">
        <is>
          <t>貸款金額(NTD)</t>
        </is>
      </c>
      <c r="C69" s="1978" t="n">
        <v>0</v>
      </c>
      <c r="D69" s="536" t="n">
        <v>0</v>
      </c>
      <c r="E69" s="537" t="inlineStr">
        <is>
          <t>貸款成數</t>
        </is>
      </c>
      <c r="F69" s="529" t="n"/>
      <c r="G69" s="530" t="n"/>
      <c r="H69" s="531" t="n"/>
      <c r="I69" s="577" t="n"/>
      <c r="J69" s="606" t="n"/>
      <c r="K69" s="604" t="inlineStr">
        <is>
          <t>20年</t>
        </is>
      </c>
      <c r="L69" s="531" t="inlineStr">
        <is>
          <t>前2年 開發期 每年租金</t>
        </is>
      </c>
      <c r="M69" s="531" t="n"/>
      <c r="N69" s="531" t="n"/>
      <c r="O69" s="531" t="n"/>
      <c r="P69" s="531" t="n"/>
      <c r="Q69" s="531" t="n"/>
      <c r="R69" s="531" t="n"/>
      <c r="S69" s="531" t="n"/>
      <c r="T69" s="531" t="n"/>
      <c r="U69" s="531" t="n"/>
      <c r="V69" s="531" t="n"/>
      <c r="W69" s="531" t="n"/>
      <c r="X69" s="416" t="n"/>
      <c r="Y69" s="416" t="n"/>
      <c r="Z69" s="416" t="n"/>
      <c r="AA69" s="416" t="n"/>
      <c r="AB69" s="580" t="n"/>
      <c r="AC69" s="580" t="n"/>
      <c r="AD69" s="580" t="n"/>
      <c r="AE69" s="580" t="n"/>
      <c r="AF69" s="580" t="n"/>
      <c r="AG69" s="580" t="n"/>
      <c r="AH69" s="597" t="inlineStr">
        <is>
          <t>土地界址鑑定合計</t>
        </is>
      </c>
      <c r="AI69" s="580" t="n"/>
      <c r="AJ69" s="580" t="n"/>
      <c r="AK69" s="580" t="n"/>
      <c r="AL69" s="580" t="n"/>
      <c r="AM69" s="580" t="n"/>
    </row>
    <row r="70">
      <c r="B70" s="575" t="inlineStr">
        <is>
          <t>償還年限</t>
        </is>
      </c>
      <c r="C70" s="1985" t="n">
        <v>15</v>
      </c>
      <c r="D70" s="576" t="inlineStr">
        <is>
          <t>(本息平均)償還法</t>
        </is>
      </c>
      <c r="E70" s="529" t="n"/>
      <c r="F70" s="529" t="n"/>
      <c r="G70" s="530" t="n"/>
      <c r="H70" s="556" t="inlineStr">
        <is>
          <t>有錢就還</t>
        </is>
      </c>
      <c r="I70" s="556" t="n"/>
      <c r="J70" s="607" t="inlineStr">
        <is>
          <t>租金(依各地主條件)</t>
        </is>
      </c>
      <c r="K70" s="1986" t="inlineStr">
        <is>
          <t>-</t>
        </is>
      </c>
      <c r="L70" s="1987" t="n"/>
      <c r="M70" s="531" t="n"/>
      <c r="N70" s="531" t="n"/>
      <c r="O70" s="531" t="n"/>
      <c r="P70" s="531" t="n"/>
      <c r="Q70" s="531" t="n"/>
      <c r="R70" s="531" t="n"/>
      <c r="S70" s="531" t="n"/>
      <c r="T70" s="531" t="n"/>
      <c r="U70" s="531" t="n"/>
      <c r="V70" s="531" t="n"/>
      <c r="W70" s="531" t="n"/>
      <c r="X70" s="416" t="n"/>
      <c r="Y70" s="416" t="n"/>
      <c r="Z70" s="416" t="n"/>
      <c r="AA70" s="416" t="n"/>
      <c r="AB70" s="598" t="inlineStr">
        <is>
          <t>a.土地界址鑑定規費   :  17公頃 *$ 4,000 + 0.6114公頃 - 以 $2,000計 , 合計: $70,000元</t>
        </is>
      </c>
      <c r="AC70" s="580" t="n"/>
      <c r="AD70" s="580" t="n"/>
      <c r="AE70" s="580" t="n"/>
      <c r="AF70" s="580" t="n"/>
      <c r="AG70" s="580" t="n"/>
      <c r="AH70" s="1988" t="n">
        <v>75000</v>
      </c>
      <c r="AI70" s="558" t="n"/>
      <c r="AJ70" s="558" t="n"/>
      <c r="AK70" s="558" t="n"/>
      <c r="AL70" s="558" t="n"/>
      <c r="AM70" s="558" t="n"/>
    </row>
    <row r="71">
      <c r="B71" s="371" t="inlineStr">
        <is>
          <t>銀行利率(%)</t>
        </is>
      </c>
      <c r="C71" s="1989" t="n">
        <v>0.02</v>
      </c>
      <c r="D71" s="1990" t="n"/>
      <c r="E71" s="529" t="n"/>
      <c r="F71" s="529" t="n"/>
      <c r="G71" s="530" t="n"/>
      <c r="H71" s="531" t="n"/>
      <c r="I71" s="578" t="n"/>
      <c r="J71" s="1991" t="inlineStr">
        <is>
          <t>保險</t>
        </is>
      </c>
      <c r="K71" s="1986" t="n">
        <v>0</v>
      </c>
      <c r="L71" s="531" t="n"/>
      <c r="M71" s="531" t="n"/>
      <c r="N71" s="531" t="n"/>
      <c r="O71" s="531" t="n"/>
      <c r="P71" s="531" t="n"/>
      <c r="Q71" s="531" t="n"/>
      <c r="R71" s="531" t="n"/>
      <c r="S71" s="531" t="n"/>
      <c r="T71" s="531" t="n"/>
      <c r="U71" s="531" t="n"/>
      <c r="V71" s="531" t="n"/>
      <c r="W71" s="531" t="n"/>
      <c r="X71" s="416" t="n"/>
      <c r="Y71" s="416" t="n"/>
      <c r="Z71" s="416" t="n"/>
      <c r="AA71" s="416" t="n"/>
      <c r="AB71" s="598" t="inlineStr">
        <is>
          <t>b.地政事務所陪同鑑界費用    :  因土地面積龐大 , 每筆土地收費$5,000元(初估)</t>
        </is>
      </c>
      <c r="AC71" s="580" t="n"/>
      <c r="AD71" s="580" t="n"/>
      <c r="AE71" s="580" t="n"/>
      <c r="AF71" s="580" t="n"/>
      <c r="AG71" s="580" t="n"/>
      <c r="AH71" s="580" t="n"/>
      <c r="AI71" s="558" t="n"/>
      <c r="AJ71" s="558" t="n"/>
      <c r="AK71" s="558" t="n"/>
      <c r="AL71" s="558" t="n"/>
      <c r="AM71" s="558" t="n"/>
    </row>
    <row r="72">
      <c r="B72" s="371" t="inlineStr">
        <is>
          <t>設備放置區域年租金(NTD)</t>
        </is>
      </c>
      <c r="C72" s="1992" t="n">
        <v>0</v>
      </c>
      <c r="D72" s="600" t="inlineStr">
        <is>
          <t>各地主租金總合+饋線途經國有財產地6公里租金</t>
        </is>
      </c>
      <c r="E72" s="542" t="inlineStr">
        <is>
          <t xml:space="preserve"> ; 租</t>
        </is>
      </c>
      <c r="F72" s="543" t="n">
        <v>20</v>
      </c>
      <c r="G72" s="544" t="inlineStr">
        <is>
          <t>年</t>
        </is>
      </c>
      <c r="H72" s="531" t="n"/>
      <c r="I72" s="531" t="n"/>
      <c r="J72" s="531" t="n"/>
      <c r="K72" s="531" t="n"/>
      <c r="L72" s="531" t="n"/>
      <c r="M72" s="531" t="n"/>
      <c r="N72" s="531" t="n"/>
      <c r="O72" s="416" t="n"/>
      <c r="P72" s="416" t="n"/>
      <c r="Q72" s="416" t="n"/>
      <c r="R72" s="416" t="n"/>
      <c r="S72" s="416" t="n"/>
      <c r="T72" s="416" t="n"/>
      <c r="U72" s="416" t="n"/>
      <c r="V72" s="416" t="n"/>
      <c r="W72" s="416" t="n"/>
      <c r="X72" s="416" t="n"/>
      <c r="Y72" s="416" t="n"/>
      <c r="Z72" s="416" t="n"/>
      <c r="AA72" s="416" t="n"/>
      <c r="AB72" s="416" t="n"/>
      <c r="AC72" s="416" t="n"/>
      <c r="AD72" s="416" t="n"/>
      <c r="AE72" s="416" t="n"/>
      <c r="AF72" s="416" t="n"/>
      <c r="AG72" s="416" t="n"/>
      <c r="AH72" s="416" t="n"/>
      <c r="AI72" s="416" t="n"/>
      <c r="AJ72" s="416" t="n"/>
      <c r="AK72" s="416" t="n"/>
      <c r="AL72" s="416" t="n"/>
      <c r="AM72" s="416" t="n"/>
    </row>
    <row r="73">
      <c r="B73" s="371" t="inlineStr">
        <is>
          <t>維運費(NTD)</t>
        </is>
      </c>
      <c r="C73" s="1992" t="n">
        <v>0</v>
      </c>
      <c r="D73" s="610" t="inlineStr">
        <is>
          <t>400/kw</t>
        </is>
      </c>
      <c r="E73" s="545" t="inlineStr">
        <is>
          <t>; 保固共</t>
        </is>
      </c>
      <c r="F73" s="543" t="n">
        <v>20</v>
      </c>
      <c r="G73" s="544" t="inlineStr">
        <is>
          <t>年</t>
        </is>
      </c>
      <c r="H73" s="531" t="n"/>
      <c r="I73" s="577" t="inlineStr">
        <is>
          <t>1KW</t>
        </is>
      </c>
      <c r="J73" s="602" t="inlineStr">
        <is>
          <t>運維20年</t>
        </is>
      </c>
      <c r="K73" s="531" t="n"/>
      <c r="L73" s="531" t="n"/>
      <c r="M73" s="373" t="n"/>
      <c r="N73" s="374" t="inlineStr">
        <is>
          <t>金額</t>
        </is>
      </c>
      <c r="O73" s="373" t="inlineStr">
        <is>
          <t>備註</t>
        </is>
      </c>
      <c r="P73" s="416" t="n"/>
      <c r="Q73" s="416" t="n"/>
      <c r="R73" s="416" t="n"/>
      <c r="S73" s="416" t="n"/>
      <c r="T73" s="416" t="n"/>
      <c r="U73" s="416" t="n"/>
      <c r="V73" s="416" t="n"/>
      <c r="W73" s="416" t="n"/>
      <c r="X73" s="416" t="n"/>
      <c r="Y73" s="416" t="n"/>
      <c r="Z73" s="416" t="n"/>
      <c r="AA73" s="416" t="n"/>
      <c r="AB73" s="416" t="n"/>
      <c r="AC73" s="416" t="n"/>
      <c r="AD73" s="416" t="n"/>
      <c r="AE73" s="416" t="n"/>
      <c r="AF73" s="416" t="n"/>
      <c r="AG73" s="416" t="n"/>
      <c r="AH73" s="416" t="n"/>
      <c r="AI73" s="416" t="n"/>
      <c r="AJ73" s="416" t="n"/>
      <c r="AK73" s="416" t="n"/>
      <c r="AL73" s="416" t="n"/>
      <c r="AM73" s="416" t="n"/>
    </row>
    <row r="74">
      <c r="B74" s="371" t="inlineStr">
        <is>
          <t>保險費(NTD)</t>
        </is>
      </c>
      <c r="C74" s="1992" t="n">
        <v>0</v>
      </c>
      <c r="D74" s="541" t="n">
        <v>0.003</v>
      </c>
      <c r="E74" s="545" t="inlineStr">
        <is>
          <t>; 保險共</t>
        </is>
      </c>
      <c r="F74" s="543" t="n">
        <v>20</v>
      </c>
      <c r="G74" s="544" t="inlineStr">
        <is>
          <t>年</t>
        </is>
      </c>
      <c r="H74" s="531" t="n"/>
      <c r="I74" s="612" t="n">
        <v>400</v>
      </c>
      <c r="J74" s="1993" t="n">
        <v>0</v>
      </c>
      <c r="K74" s="531" t="n"/>
      <c r="L74" s="531" t="n"/>
      <c r="M74" s="373" t="inlineStr">
        <is>
          <t>模組回收(kw)</t>
        </is>
      </c>
      <c r="N74" s="374" t="n">
        <v>1000</v>
      </c>
      <c r="O74" s="373" t="inlineStr">
        <is>
          <t>分10年攤提</t>
        </is>
      </c>
      <c r="P74" s="416" t="n"/>
      <c r="Q74" s="416" t="n"/>
      <c r="R74" s="416" t="n"/>
      <c r="S74" s="416" t="n"/>
      <c r="T74" s="416" t="n"/>
      <c r="U74" s="416" t="n"/>
      <c r="V74" s="416" t="n"/>
      <c r="W74" s="416" t="n"/>
      <c r="X74" s="416" t="n"/>
      <c r="Y74" s="416" t="n"/>
      <c r="Z74" s="416" t="n"/>
      <c r="AA74" s="416" t="n"/>
      <c r="AB74" s="416" t="n"/>
      <c r="AC74" s="416" t="n"/>
      <c r="AD74" s="416" t="n"/>
      <c r="AE74" s="416" t="n"/>
      <c r="AF74" s="416" t="n"/>
      <c r="AG74" s="416" t="n"/>
      <c r="AH74" s="416" t="n"/>
      <c r="AI74" s="416" t="n"/>
      <c r="AJ74" s="416" t="n"/>
      <c r="AK74" s="416" t="n"/>
      <c r="AL74" s="416" t="n"/>
      <c r="AM74" s="416" t="n"/>
    </row>
    <row r="75">
      <c r="B75" s="371" t="inlineStr">
        <is>
          <t>模組回收費(NTD)</t>
        </is>
      </c>
      <c r="C75" s="1992" t="n">
        <v>0</v>
      </c>
      <c r="D75" s="541" t="inlineStr">
        <is>
          <t>分10年攤提</t>
        </is>
      </c>
      <c r="E75" s="545" t="inlineStr">
        <is>
          <t>; 攤提共</t>
        </is>
      </c>
      <c r="F75" s="543" t="n">
        <v>10</v>
      </c>
      <c r="G75" s="544" t="inlineStr">
        <is>
          <t>年</t>
        </is>
      </c>
      <c r="H75" s="531" t="n"/>
      <c r="I75" s="613" t="n">
        <v>300</v>
      </c>
      <c r="J75" s="1994" t="n">
        <v>0</v>
      </c>
      <c r="K75" s="531" t="n"/>
      <c r="L75" s="531" t="n"/>
      <c r="M75" s="531" t="n">
        <v>0</v>
      </c>
      <c r="N75" s="475" t="n"/>
      <c r="O75" s="416" t="n"/>
      <c r="P75" s="416" t="n"/>
      <c r="Q75" s="416" t="n"/>
      <c r="R75" s="416" t="n"/>
      <c r="S75" s="416" t="n"/>
      <c r="T75" s="416" t="n"/>
      <c r="U75" s="416" t="n"/>
      <c r="V75" s="416" t="n"/>
      <c r="W75" s="416" t="n"/>
      <c r="X75" s="416" t="n"/>
      <c r="Y75" s="416" t="n"/>
      <c r="Z75" s="416" t="n"/>
      <c r="AA75" s="416" t="n"/>
      <c r="AB75" s="416" t="n"/>
      <c r="AC75" s="416" t="n"/>
      <c r="AD75" s="416" t="n"/>
      <c r="AE75" s="416" t="n"/>
      <c r="AF75" s="416" t="n"/>
      <c r="AG75" s="416" t="n"/>
      <c r="AH75" s="416" t="n"/>
      <c r="AI75" s="416" t="n"/>
      <c r="AJ75" s="416" t="n"/>
      <c r="AK75" s="416" t="n"/>
      <c r="AL75" s="416" t="n"/>
      <c r="AM75" s="416" t="n"/>
    </row>
    <row r="76">
      <c r="B76" s="371" t="inlineStr">
        <is>
          <t>初始資金需求</t>
        </is>
      </c>
      <c r="C76" s="1978" t="n">
        <v>0</v>
      </c>
      <c r="D76" s="1995" t="inlineStr">
        <is>
          <t>原始資金需求</t>
        </is>
      </c>
      <c r="E76" s="1687" t="n"/>
      <c r="F76" s="1687" t="n"/>
      <c r="G76" s="1688" t="n"/>
      <c r="H76" s="531" t="n"/>
      <c r="I76" s="613" t="n">
        <v>200</v>
      </c>
      <c r="J76" s="1994" t="n">
        <v>0</v>
      </c>
      <c r="K76" s="531" t="n"/>
      <c r="L76" s="531" t="n"/>
      <c r="M76" s="531" t="n"/>
      <c r="N76" s="531" t="n"/>
      <c r="O76" s="416" t="n"/>
      <c r="P76" s="416" t="n"/>
      <c r="Q76" s="416" t="n"/>
      <c r="R76" s="416" t="n"/>
      <c r="S76" s="416" t="n"/>
      <c r="T76" s="416" t="n"/>
      <c r="U76" s="416" t="n"/>
      <c r="V76" s="416" t="n"/>
      <c r="W76" s="416" t="n"/>
      <c r="X76" s="416" t="n"/>
      <c r="Y76" s="416" t="n"/>
      <c r="Z76" s="416" t="n"/>
      <c r="AA76" s="416" t="n"/>
      <c r="AB76" s="416" t="n"/>
      <c r="AC76" s="416" t="n"/>
      <c r="AD76" s="416" t="n"/>
      <c r="AE76" s="416" t="n"/>
      <c r="AF76" s="416" t="n"/>
      <c r="AG76" s="416" t="n"/>
      <c r="AH76" s="416" t="n"/>
      <c r="AI76" s="416" t="n"/>
      <c r="AJ76" s="416" t="n"/>
      <c r="AK76" s="416" t="n"/>
      <c r="AL76" s="416" t="n"/>
      <c r="AM76" s="416" t="n"/>
    </row>
    <row r="77">
      <c r="B77" s="371" t="inlineStr">
        <is>
          <t>折扣率(%)</t>
        </is>
      </c>
      <c r="C77" s="746" t="n">
        <v>0</v>
      </c>
      <c r="D77" s="1445" t="inlineStr">
        <is>
          <t>競標型</t>
        </is>
      </c>
      <c r="E77" s="529" t="n"/>
      <c r="F77" s="529" t="n"/>
      <c r="G77" s="530" t="n"/>
      <c r="H77" s="531" t="n"/>
      <c r="I77" s="611" t="n">
        <v>100</v>
      </c>
      <c r="J77" s="531" t="n">
        <v>0</v>
      </c>
      <c r="K77" s="531" t="n"/>
      <c r="L77" s="531" t="n"/>
      <c r="M77" s="531" t="n"/>
      <c r="N77" s="531" t="n"/>
      <c r="O77" s="416" t="n"/>
      <c r="P77" s="416" t="n"/>
      <c r="Q77" s="416" t="n"/>
      <c r="R77" s="416" t="n"/>
      <c r="S77" s="416" t="n"/>
      <c r="T77" s="416" t="n"/>
      <c r="U77" s="416" t="n"/>
      <c r="V77" s="416" t="n"/>
      <c r="W77" s="416" t="n"/>
      <c r="X77" s="416" t="n"/>
      <c r="Y77" s="416" t="n"/>
      <c r="Z77" s="416" t="n"/>
      <c r="AA77" s="416" t="n"/>
      <c r="AB77" s="416" t="n"/>
      <c r="AC77" s="416" t="n"/>
      <c r="AD77" s="416" t="n"/>
      <c r="AE77" s="416" t="n"/>
      <c r="AF77" s="416" t="n"/>
      <c r="AG77" s="416" t="n"/>
      <c r="AH77" s="416" t="n"/>
      <c r="AI77" s="416" t="n"/>
      <c r="AJ77" s="416" t="n"/>
      <c r="AK77" s="416" t="n"/>
      <c r="AL77" s="416" t="n"/>
      <c r="AM77" s="416" t="n"/>
    </row>
    <row r="78">
      <c r="B78" s="371" t="inlineStr">
        <is>
          <t>高效加成%</t>
        </is>
      </c>
      <c r="C78" s="746" t="n"/>
      <c r="D78" s="533" t="n"/>
      <c r="E78" s="529" t="n"/>
      <c r="F78" s="529" t="n"/>
      <c r="G78" s="530" t="n"/>
      <c r="H78" s="531" t="n"/>
      <c r="I78" s="416" t="n"/>
      <c r="J78" s="416" t="n"/>
      <c r="K78" s="531" t="n"/>
      <c r="L78" s="531" t="n"/>
      <c r="M78" s="531" t="n"/>
      <c r="N78" s="531" t="n"/>
      <c r="O78" s="416" t="n"/>
      <c r="P78" s="416" t="n"/>
      <c r="Q78" s="416" t="n"/>
      <c r="R78" s="416" t="n"/>
      <c r="S78" s="416" t="n"/>
      <c r="T78" s="416" t="n"/>
      <c r="U78" s="416" t="n"/>
      <c r="V78" s="416" t="n"/>
      <c r="W78" s="416" t="n"/>
      <c r="X78" s="416" t="n"/>
      <c r="Y78" s="416" t="n"/>
      <c r="Z78" s="416" t="n"/>
      <c r="AA78" s="416" t="n"/>
      <c r="AB78" s="416" t="n"/>
      <c r="AC78" s="416" t="n"/>
      <c r="AD78" s="416" t="n"/>
      <c r="AE78" s="416" t="n"/>
      <c r="AF78" s="416" t="n"/>
      <c r="AG78" s="416" t="n"/>
      <c r="AH78" s="416" t="n"/>
      <c r="AI78" s="416" t="n"/>
      <c r="AJ78" s="416" t="n"/>
      <c r="AK78" s="416" t="n"/>
      <c r="AL78" s="416" t="n"/>
      <c r="AM78" s="416" t="n"/>
    </row>
    <row r="79">
      <c r="B79" s="748" t="inlineStr">
        <is>
          <t>最終躉售費率</t>
        </is>
      </c>
      <c r="C79" s="1996" t="n"/>
      <c r="D79" s="533" t="n"/>
      <c r="E79" s="529" t="n"/>
      <c r="F79" s="529" t="n"/>
      <c r="G79" s="530" t="n"/>
      <c r="H79" s="531" t="n"/>
      <c r="I79" s="547" t="n"/>
      <c r="J79" s="531" t="n"/>
      <c r="K79" s="531" t="n"/>
      <c r="L79" s="531" t="n"/>
      <c r="M79" s="531" t="n"/>
      <c r="N79" s="531" t="n"/>
      <c r="O79" s="416" t="n"/>
      <c r="P79" s="416" t="n"/>
      <c r="Q79" s="416" t="n"/>
      <c r="R79" s="416" t="n"/>
      <c r="S79" s="416" t="n"/>
      <c r="T79" s="416" t="n"/>
      <c r="U79" s="416" t="n"/>
      <c r="V79" s="416" t="n"/>
      <c r="W79" s="416" t="n"/>
      <c r="X79" s="416" t="n"/>
      <c r="Y79" s="416" t="n"/>
      <c r="Z79" s="416" t="n"/>
      <c r="AA79" s="416" t="n"/>
      <c r="AB79" s="416" t="n"/>
      <c r="AC79" s="416" t="n"/>
      <c r="AD79" s="416" t="n"/>
      <c r="AE79" s="416" t="n"/>
      <c r="AF79" s="416" t="n"/>
      <c r="AG79" s="416" t="n"/>
      <c r="AH79" s="416" t="n"/>
      <c r="AI79" s="416" t="n"/>
      <c r="AJ79" s="416" t="n"/>
      <c r="AK79" s="416" t="n"/>
      <c r="AL79" s="416" t="n"/>
      <c r="AM79" s="416" t="n"/>
    </row>
    <row r="80">
      <c r="B80" s="548" t="inlineStr">
        <is>
          <t>Internal Rate of Return; IRR (%)</t>
        </is>
      </c>
      <c r="C80" s="750">
        <f>IRR(C49:X49)</f>
        <v/>
      </c>
      <c r="D80" s="549" t="n"/>
      <c r="E80" s="529" t="n"/>
      <c r="F80" s="529" t="n"/>
      <c r="G80" s="550" t="n"/>
      <c r="H80" s="475" t="n"/>
      <c r="I80" s="551" t="n"/>
      <c r="J80" s="531" t="n"/>
      <c r="K80" s="531" t="n"/>
      <c r="L80" s="531" t="n"/>
      <c r="M80" s="531" t="n"/>
      <c r="N80" s="531" t="n"/>
      <c r="O80" s="416" t="n"/>
      <c r="P80" s="416" t="n"/>
      <c r="Q80" s="416" t="n"/>
      <c r="R80" s="416" t="n"/>
      <c r="S80" s="416" t="n"/>
      <c r="T80" s="416" t="n"/>
      <c r="U80" s="416" t="n"/>
      <c r="V80" s="416" t="n"/>
      <c r="W80" s="416" t="n"/>
      <c r="X80" s="416" t="n"/>
      <c r="Y80" s="416" t="n"/>
      <c r="Z80" s="416" t="n"/>
      <c r="AA80" s="416" t="n"/>
      <c r="AB80" s="416" t="n"/>
      <c r="AC80" s="416" t="n"/>
      <c r="AD80" s="416" t="n"/>
      <c r="AE80" s="416" t="n"/>
      <c r="AF80" s="416" t="n"/>
      <c r="AG80" s="416" t="n"/>
      <c r="AH80" s="416" t="n"/>
      <c r="AI80" s="416" t="n"/>
      <c r="AJ80" s="416" t="n"/>
      <c r="AK80" s="416" t="n"/>
      <c r="AL80" s="416" t="n"/>
      <c r="AM80" s="416" t="n"/>
    </row>
    <row r="81">
      <c r="B81" s="552" t="n"/>
      <c r="C81" s="553" t="n"/>
      <c r="D81" s="553" t="n"/>
      <c r="E81" s="553" t="n"/>
      <c r="F81" s="554" t="n"/>
      <c r="G81" s="531" t="n"/>
      <c r="H81" s="531" t="n"/>
      <c r="I81" s="555" t="n"/>
      <c r="J81" s="475" t="n"/>
      <c r="K81" s="551" t="n"/>
      <c r="L81" s="531" t="n"/>
      <c r="M81" s="531" t="n"/>
      <c r="N81" s="531" t="n"/>
      <c r="O81" s="531" t="n"/>
      <c r="P81" s="531" t="n"/>
      <c r="Q81" s="416" t="n"/>
      <c r="R81" s="416" t="n"/>
      <c r="S81" s="416" t="n"/>
      <c r="T81" s="416" t="n"/>
      <c r="U81" s="416" t="n"/>
      <c r="V81" s="416" t="n"/>
      <c r="W81" s="416" t="n"/>
      <c r="X81" s="416" t="n"/>
      <c r="Y81" s="416" t="n"/>
      <c r="Z81" s="416" t="n"/>
      <c r="AA81" s="416" t="n"/>
    </row>
    <row r="82">
      <c r="B82" s="552" t="n"/>
      <c r="C82" s="553" t="n"/>
      <c r="D82" s="553" t="n"/>
      <c r="E82" s="553" t="n"/>
      <c r="F82" s="554" t="n"/>
      <c r="G82" s="531" t="n"/>
      <c r="H82" s="531" t="n"/>
      <c r="I82" s="555" t="n"/>
      <c r="J82" s="475" t="n"/>
      <c r="K82" s="551" t="n"/>
      <c r="L82" s="531" t="n"/>
      <c r="M82" s="531" t="n"/>
      <c r="N82" s="531" t="n"/>
      <c r="O82" s="531" t="n"/>
      <c r="P82" s="531" t="n"/>
      <c r="Q82" s="416" t="n"/>
      <c r="R82" s="416" t="n"/>
      <c r="S82" s="416" t="n"/>
      <c r="T82" s="416" t="n"/>
      <c r="U82" s="416" t="n"/>
      <c r="V82" s="416" t="n"/>
      <c r="W82" s="416" t="n"/>
      <c r="X82" s="416" t="n"/>
      <c r="Y82" s="416" t="n"/>
      <c r="Z82" s="416" t="n"/>
      <c r="AA82" s="416" t="n"/>
    </row>
    <row r="83">
      <c r="B83" s="552" t="n"/>
      <c r="C83" s="553" t="n"/>
      <c r="D83" s="553" t="n"/>
      <c r="E83" s="553" t="n"/>
      <c r="F83" s="554" t="n"/>
      <c r="G83" s="531" t="n"/>
      <c r="H83" s="531" t="n"/>
      <c r="I83" s="555" t="n"/>
      <c r="J83" s="475" t="n"/>
      <c r="K83" s="551" t="n"/>
      <c r="L83" s="531" t="n"/>
      <c r="M83" s="531" t="n"/>
      <c r="N83" s="531" t="n"/>
      <c r="O83" s="531" t="n"/>
      <c r="P83" s="531" t="n"/>
      <c r="Q83" s="416" t="n"/>
      <c r="R83" s="416" t="n"/>
      <c r="S83" s="416" t="n"/>
      <c r="T83" s="416" t="n"/>
      <c r="U83" s="416" t="n"/>
      <c r="V83" s="416" t="n"/>
      <c r="W83" s="416" t="n"/>
      <c r="X83" s="416" t="n"/>
      <c r="Y83" s="416" t="n"/>
      <c r="Z83" s="416" t="n"/>
      <c r="AA83" s="416" t="n"/>
    </row>
    <row r="84" ht="17.25" customFormat="1" customHeight="1" s="4" thickBot="1">
      <c r="B84" s="0" t="n"/>
      <c r="C84" s="470" t="inlineStr">
        <is>
          <t>年份</t>
        </is>
      </c>
      <c r="D84" s="470" t="n">
        <v>2020</v>
      </c>
      <c r="E84" s="470" t="n">
        <v>2021</v>
      </c>
      <c r="F84" s="470" t="n">
        <v>2022</v>
      </c>
      <c r="G84" s="470" t="n">
        <v>2023</v>
      </c>
      <c r="H84" s="470" t="n">
        <v>2024</v>
      </c>
      <c r="I84" s="470" t="n">
        <v>2025</v>
      </c>
      <c r="J84" s="470" t="n">
        <v>2026</v>
      </c>
      <c r="K84" s="470" t="n">
        <v>2027</v>
      </c>
      <c r="L84" s="470" t="n">
        <v>2028</v>
      </c>
      <c r="M84" s="470" t="n">
        <v>2029</v>
      </c>
      <c r="N84" s="470" t="n">
        <v>2030</v>
      </c>
      <c r="O84" s="470" t="n">
        <v>2031</v>
      </c>
      <c r="P84" s="470" t="n">
        <v>2032</v>
      </c>
      <c r="Q84" s="470" t="n">
        <v>2033</v>
      </c>
      <c r="R84" s="470" t="n">
        <v>2034</v>
      </c>
      <c r="S84" s="470" t="n">
        <v>2035</v>
      </c>
      <c r="T84" s="470" t="n">
        <v>2036</v>
      </c>
      <c r="U84" s="470" t="n">
        <v>2037</v>
      </c>
      <c r="V84" s="470" t="n">
        <v>2038</v>
      </c>
      <c r="W84" s="470" t="n">
        <v>2039</v>
      </c>
      <c r="X84" s="470" t="n"/>
      <c r="Y84" s="470" t="n"/>
      <c r="Z84" s="9" t="n"/>
      <c r="AA84" s="458" t="n"/>
    </row>
    <row r="85" ht="18.75" customFormat="1" customHeight="1" s="4">
      <c r="B85" s="1997">
        <f>C120</f>
        <v/>
      </c>
      <c r="C85" s="654" t="n"/>
      <c r="D85" s="655" t="n"/>
      <c r="E85" s="655" t="n"/>
      <c r="F85" s="656" t="inlineStr">
        <is>
          <t>手動計算值</t>
        </is>
      </c>
      <c r="G85" s="657" t="n"/>
      <c r="H85" s="657" t="n"/>
      <c r="I85" s="657" t="n"/>
      <c r="J85" s="657" t="n"/>
      <c r="K85" s="657" t="n"/>
      <c r="L85" s="657" t="n"/>
      <c r="M85" s="657" t="n"/>
      <c r="N85" s="657" t="n"/>
      <c r="O85" s="657" t="n"/>
      <c r="P85" s="657" t="n"/>
      <c r="Q85" s="657" t="n"/>
      <c r="R85" s="657" t="n"/>
      <c r="S85" s="657" t="n"/>
      <c r="T85" s="658" t="inlineStr">
        <is>
          <t>償還年限</t>
        </is>
      </c>
      <c r="U85" s="657" t="n"/>
      <c r="V85" s="657" t="n"/>
      <c r="W85" s="657" t="n"/>
      <c r="X85" s="657" t="n"/>
      <c r="Y85" s="659" t="n"/>
      <c r="Z85" s="458" t="n"/>
      <c r="AA85" s="458" t="n"/>
    </row>
    <row r="86" customFormat="1" s="4">
      <c r="B86" s="660" t="inlineStr">
        <is>
          <t>(Unit : Currency)</t>
        </is>
      </c>
      <c r="C86" s="661" t="n">
        <v>0</v>
      </c>
      <c r="D86" s="34" t="n">
        <v>1</v>
      </c>
      <c r="E86" s="34" t="n">
        <v>2</v>
      </c>
      <c r="F86" s="34" t="n">
        <v>3</v>
      </c>
      <c r="G86" s="34" t="n">
        <v>4</v>
      </c>
      <c r="H86" s="34" t="n">
        <v>5</v>
      </c>
      <c r="I86" s="34" t="n">
        <v>6</v>
      </c>
      <c r="J86" s="34" t="n">
        <v>7</v>
      </c>
      <c r="K86" s="34" t="n">
        <v>8</v>
      </c>
      <c r="L86" s="34" t="n">
        <v>9</v>
      </c>
      <c r="M86" s="34" t="n">
        <v>10</v>
      </c>
      <c r="N86" s="34" t="n">
        <v>11</v>
      </c>
      <c r="O86" s="34" t="n">
        <v>12</v>
      </c>
      <c r="P86" s="34" t="n">
        <v>13</v>
      </c>
      <c r="Q86" s="34" t="n">
        <v>14</v>
      </c>
      <c r="R86" s="34" t="n">
        <v>15</v>
      </c>
      <c r="S86" s="34" t="n">
        <v>16</v>
      </c>
      <c r="T86" s="662" t="n">
        <v>17</v>
      </c>
      <c r="U86" s="34" t="n">
        <v>18</v>
      </c>
      <c r="V86" s="34" t="n">
        <v>19</v>
      </c>
      <c r="W86" s="34" t="n">
        <v>20</v>
      </c>
      <c r="X86" s="34" t="n"/>
      <c r="Y86" s="663" t="n"/>
      <c r="Z86" s="34" t="n"/>
      <c r="AA86" s="458" t="n"/>
    </row>
    <row r="87" ht="17.25" customFormat="1" customHeight="1" s="4" thickBot="1">
      <c r="B87" s="1998" t="inlineStr">
        <is>
          <t>發電度數(KWH)</t>
        </is>
      </c>
      <c r="C87" s="661" t="n">
        <v>0</v>
      </c>
      <c r="D87" s="1999">
        <f>D33</f>
        <v/>
      </c>
      <c r="E87" s="1999">
        <f>E33</f>
        <v/>
      </c>
      <c r="F87" s="1999">
        <f>F33</f>
        <v/>
      </c>
      <c r="G87" s="1999">
        <f>G33</f>
        <v/>
      </c>
      <c r="H87" s="1999">
        <f>H33</f>
        <v/>
      </c>
      <c r="I87" s="1999">
        <f>I33</f>
        <v/>
      </c>
      <c r="J87" s="1999">
        <f>J33</f>
        <v/>
      </c>
      <c r="K87" s="1999">
        <f>K33</f>
        <v/>
      </c>
      <c r="L87" s="1999">
        <f>L33</f>
        <v/>
      </c>
      <c r="M87" s="1999">
        <f>M33</f>
        <v/>
      </c>
      <c r="N87" s="1999">
        <f>N33</f>
        <v/>
      </c>
      <c r="O87" s="1999">
        <f>O33</f>
        <v/>
      </c>
      <c r="P87" s="1999">
        <f>P33</f>
        <v/>
      </c>
      <c r="Q87" s="1999">
        <f>Q33</f>
        <v/>
      </c>
      <c r="R87" s="1999">
        <f>R33</f>
        <v/>
      </c>
      <c r="S87" s="1999">
        <f>S33</f>
        <v/>
      </c>
      <c r="T87" s="1999">
        <f>T33</f>
        <v/>
      </c>
      <c r="U87" s="1999">
        <f>U33</f>
        <v/>
      </c>
      <c r="V87" s="1999">
        <f>V33</f>
        <v/>
      </c>
      <c r="W87" s="1999">
        <f>W33</f>
        <v/>
      </c>
      <c r="X87" s="1999">
        <f>X33</f>
        <v/>
      </c>
      <c r="Y87" s="2000" t="n"/>
      <c r="Z87" s="2001">
        <f>SUM(D87:Y87)</f>
        <v/>
      </c>
      <c r="AA87" s="458" t="n"/>
    </row>
    <row r="88" customFormat="1" s="4">
      <c r="B88" s="2002" t="inlineStr">
        <is>
          <t>電費收入</t>
        </is>
      </c>
      <c r="C88" s="2003" t="inlineStr">
        <is>
          <t>-</t>
        </is>
      </c>
      <c r="D88" s="2004">
        <f>D10</f>
        <v/>
      </c>
      <c r="E88" s="2004">
        <f>E10</f>
        <v/>
      </c>
      <c r="F88" s="2004">
        <f>F10</f>
        <v/>
      </c>
      <c r="G88" s="2004">
        <f>G10</f>
        <v/>
      </c>
      <c r="H88" s="2004">
        <f>H10</f>
        <v/>
      </c>
      <c r="I88" s="2004">
        <f>I10</f>
        <v/>
      </c>
      <c r="J88" s="2004">
        <f>J10</f>
        <v/>
      </c>
      <c r="K88" s="2004">
        <f>K10</f>
        <v/>
      </c>
      <c r="L88" s="2004">
        <f>L10</f>
        <v/>
      </c>
      <c r="M88" s="2004">
        <f>M10</f>
        <v/>
      </c>
      <c r="N88" s="2004">
        <f>N10</f>
        <v/>
      </c>
      <c r="O88" s="2004">
        <f>O10</f>
        <v/>
      </c>
      <c r="P88" s="2004">
        <f>P10</f>
        <v/>
      </c>
      <c r="Q88" s="2004">
        <f>Q10</f>
        <v/>
      </c>
      <c r="R88" s="2004">
        <f>R10</f>
        <v/>
      </c>
      <c r="S88" s="2004">
        <f>S10</f>
        <v/>
      </c>
      <c r="T88" s="2004">
        <f>T10</f>
        <v/>
      </c>
      <c r="U88" s="2004">
        <f>U10</f>
        <v/>
      </c>
      <c r="V88" s="2004">
        <f>V10</f>
        <v/>
      </c>
      <c r="W88" s="2004">
        <f>W10</f>
        <v/>
      </c>
      <c r="X88" s="2004">
        <f>X10</f>
        <v/>
      </c>
      <c r="Y88" s="2005" t="n"/>
      <c r="Z88" s="2006">
        <f>SUM(D88:Y88)</f>
        <v/>
      </c>
      <c r="AA88" s="458" t="n"/>
    </row>
    <row r="89" ht="17.25" customFormat="1" customHeight="1" s="4" thickBot="1">
      <c r="B89" s="2007" t="inlineStr">
        <is>
          <t>政府補助</t>
        </is>
      </c>
      <c r="C89" s="2008" t="inlineStr">
        <is>
          <t>-</t>
        </is>
      </c>
      <c r="D89" s="1999" t="n"/>
      <c r="E89" s="1999" t="n"/>
      <c r="F89" s="1999" t="n"/>
      <c r="G89" s="1999" t="n"/>
      <c r="H89" s="1999" t="n"/>
      <c r="I89" s="1999" t="n"/>
      <c r="J89" s="1999" t="n"/>
      <c r="K89" s="1999" t="n"/>
      <c r="L89" s="1999" t="n"/>
      <c r="M89" s="1999" t="n"/>
      <c r="N89" s="1999" t="n"/>
      <c r="O89" s="1999" t="n"/>
      <c r="P89" s="1999" t="n"/>
      <c r="Q89" s="1999" t="n"/>
      <c r="R89" s="1999" t="n"/>
      <c r="S89" s="1999" t="n"/>
      <c r="T89" s="1999" t="n"/>
      <c r="U89" s="1999" t="n"/>
      <c r="V89" s="1999" t="n"/>
      <c r="W89" s="1999" t="n"/>
      <c r="X89" s="1999" t="n"/>
      <c r="Y89" s="2009" t="n"/>
      <c r="Z89" s="2006">
        <f>SUM(D89:Y89)</f>
        <v/>
      </c>
      <c r="AA89" s="458" t="n"/>
    </row>
    <row r="90" customFormat="1" s="4">
      <c r="B90" s="2010" t="inlineStr">
        <is>
          <t xml:space="preserve"> : 設備折舊</t>
        </is>
      </c>
      <c r="C90" s="2003" t="inlineStr">
        <is>
          <t>-</t>
        </is>
      </c>
      <c r="D90" s="2004">
        <f>-D28</f>
        <v/>
      </c>
      <c r="E90" s="2004">
        <f>-E28</f>
        <v/>
      </c>
      <c r="F90" s="2004">
        <f>-F28</f>
        <v/>
      </c>
      <c r="G90" s="2004">
        <f>-G28</f>
        <v/>
      </c>
      <c r="H90" s="2004">
        <f>-H28</f>
        <v/>
      </c>
      <c r="I90" s="2004">
        <f>-I28</f>
        <v/>
      </c>
      <c r="J90" s="2004">
        <f>-J28</f>
        <v/>
      </c>
      <c r="K90" s="2004">
        <f>-K28</f>
        <v/>
      </c>
      <c r="L90" s="2004">
        <f>-L28</f>
        <v/>
      </c>
      <c r="M90" s="2004">
        <f>-M28</f>
        <v/>
      </c>
      <c r="N90" s="2004">
        <f>-N28</f>
        <v/>
      </c>
      <c r="O90" s="2004">
        <f>-O28</f>
        <v/>
      </c>
      <c r="P90" s="2004">
        <f>-P28</f>
        <v/>
      </c>
      <c r="Q90" s="2004">
        <f>-Q28</f>
        <v/>
      </c>
      <c r="R90" s="2004">
        <f>-R28</f>
        <v/>
      </c>
      <c r="S90" s="2004">
        <f>-S28</f>
        <v/>
      </c>
      <c r="T90" s="2004">
        <f>-T28</f>
        <v/>
      </c>
      <c r="U90" s="2004">
        <f>-U28</f>
        <v/>
      </c>
      <c r="V90" s="2004">
        <f>-V28</f>
        <v/>
      </c>
      <c r="W90" s="2004">
        <f>-W28</f>
        <v/>
      </c>
      <c r="X90" s="2004">
        <f>-X28</f>
        <v/>
      </c>
      <c r="Y90" s="2011" t="n"/>
      <c r="Z90" s="2006">
        <f>SUM(D90:Y90)</f>
        <v/>
      </c>
      <c r="AA90" s="458" t="n"/>
    </row>
    <row r="91" customFormat="1" s="4">
      <c r="B91" s="2012" t="inlineStr">
        <is>
          <t xml:space="preserve"> : 設備放置區域租金</t>
        </is>
      </c>
      <c r="C91" s="2013" t="inlineStr">
        <is>
          <t>-</t>
        </is>
      </c>
      <c r="D91" s="2014">
        <f>D38</f>
        <v/>
      </c>
      <c r="E91" s="2014">
        <f>E38</f>
        <v/>
      </c>
      <c r="F91" s="2014">
        <f>F38</f>
        <v/>
      </c>
      <c r="G91" s="2014">
        <f>G38</f>
        <v/>
      </c>
      <c r="H91" s="2014">
        <f>H38</f>
        <v/>
      </c>
      <c r="I91" s="2014">
        <f>I38</f>
        <v/>
      </c>
      <c r="J91" s="2014">
        <f>J38</f>
        <v/>
      </c>
      <c r="K91" s="2014">
        <f>K38</f>
        <v/>
      </c>
      <c r="L91" s="2014">
        <f>L38</f>
        <v/>
      </c>
      <c r="M91" s="2014">
        <f>M38</f>
        <v/>
      </c>
      <c r="N91" s="2014">
        <f>N38</f>
        <v/>
      </c>
      <c r="O91" s="2014">
        <f>O38</f>
        <v/>
      </c>
      <c r="P91" s="2014">
        <f>P38</f>
        <v/>
      </c>
      <c r="Q91" s="2014">
        <f>Q38</f>
        <v/>
      </c>
      <c r="R91" s="2014">
        <f>R38</f>
        <v/>
      </c>
      <c r="S91" s="2014">
        <f>S38</f>
        <v/>
      </c>
      <c r="T91" s="2014">
        <f>T38</f>
        <v/>
      </c>
      <c r="U91" s="2014">
        <f>U38</f>
        <v/>
      </c>
      <c r="V91" s="2014">
        <f>V38</f>
        <v/>
      </c>
      <c r="W91" s="2014">
        <f>W38</f>
        <v/>
      </c>
      <c r="X91" s="2014">
        <f>X38</f>
        <v/>
      </c>
      <c r="Y91" s="2015" t="n"/>
      <c r="Z91" s="2006">
        <f>SUM(D91:Y91)</f>
        <v/>
      </c>
      <c r="AA91" s="458" t="n"/>
    </row>
    <row r="92" customFormat="1" s="4">
      <c r="B92" s="2012" t="n"/>
      <c r="C92" s="661" t="inlineStr">
        <is>
          <t>-</t>
        </is>
      </c>
      <c r="D92" s="34" t="n"/>
      <c r="E92" s="34" t="n"/>
      <c r="F92" s="2014" t="inlineStr">
        <is>
          <t>-</t>
        </is>
      </c>
      <c r="G92" s="2014" t="inlineStr">
        <is>
          <t>-</t>
        </is>
      </c>
      <c r="H92" s="2014" t="inlineStr">
        <is>
          <t>-</t>
        </is>
      </c>
      <c r="I92" s="2014" t="inlineStr">
        <is>
          <t>-</t>
        </is>
      </c>
      <c r="J92" s="2014" t="inlineStr">
        <is>
          <t>-</t>
        </is>
      </c>
      <c r="K92" s="2014" t="inlineStr">
        <is>
          <t>-</t>
        </is>
      </c>
      <c r="L92" s="2014" t="inlineStr">
        <is>
          <t>-</t>
        </is>
      </c>
      <c r="M92" s="2014" t="inlineStr">
        <is>
          <t>-</t>
        </is>
      </c>
      <c r="N92" s="2014" t="inlineStr">
        <is>
          <t>-</t>
        </is>
      </c>
      <c r="O92" s="2014" t="inlineStr">
        <is>
          <t>-</t>
        </is>
      </c>
      <c r="P92" s="2014" t="inlineStr">
        <is>
          <t>-</t>
        </is>
      </c>
      <c r="Q92" s="2014" t="inlineStr">
        <is>
          <t>-</t>
        </is>
      </c>
      <c r="R92" s="2014" t="inlineStr">
        <is>
          <t>-</t>
        </is>
      </c>
      <c r="S92" s="2014" t="inlineStr">
        <is>
          <t>-</t>
        </is>
      </c>
      <c r="T92" s="2014" t="inlineStr">
        <is>
          <t>-</t>
        </is>
      </c>
      <c r="U92" s="2014" t="inlineStr">
        <is>
          <t>-</t>
        </is>
      </c>
      <c r="V92" s="2014" t="inlineStr">
        <is>
          <t>-</t>
        </is>
      </c>
      <c r="W92" s="2014" t="inlineStr">
        <is>
          <t>-</t>
        </is>
      </c>
      <c r="X92" s="2014" t="n"/>
      <c r="Y92" s="2015" t="n"/>
      <c r="Z92" s="2006">
        <f>SUM(D92:Y92)</f>
        <v/>
      </c>
      <c r="AA92" s="458" t="n"/>
    </row>
    <row r="93" customFormat="1" s="4">
      <c r="B93" s="2012" t="inlineStr">
        <is>
          <t xml:space="preserve"> : 利息費用</t>
        </is>
      </c>
      <c r="C93" s="2013" t="inlineStr">
        <is>
          <t>-</t>
        </is>
      </c>
      <c r="D93" s="2014">
        <f>-D174*$C$126</f>
        <v/>
      </c>
      <c r="E93" s="2014">
        <f>-E174*$C$126</f>
        <v/>
      </c>
      <c r="F93" s="2014">
        <f>-F174*$C$126</f>
        <v/>
      </c>
      <c r="G93" s="2014">
        <f>-G174*$C$126</f>
        <v/>
      </c>
      <c r="H93" s="2014">
        <f>-H174*$C$126</f>
        <v/>
      </c>
      <c r="I93" s="2014">
        <f>-I174*$C$126</f>
        <v/>
      </c>
      <c r="J93" s="2014">
        <f>-J174*$C$126</f>
        <v/>
      </c>
      <c r="K93" s="2014">
        <f>-K174*$C$126</f>
        <v/>
      </c>
      <c r="L93" s="2014">
        <f>-L174*$C$126</f>
        <v/>
      </c>
      <c r="M93" s="2014">
        <f>-M174*$C$126</f>
        <v/>
      </c>
      <c r="N93" s="2014">
        <f>-N174*$C$126</f>
        <v/>
      </c>
      <c r="O93" s="2014">
        <f>-O174*$C$126</f>
        <v/>
      </c>
      <c r="P93" s="2014">
        <f>-P174*$C$126</f>
        <v/>
      </c>
      <c r="Q93" s="2014">
        <f>-Q174*$C$126</f>
        <v/>
      </c>
      <c r="R93" s="2014">
        <f>-R174*$C$126</f>
        <v/>
      </c>
      <c r="S93" s="2014">
        <f>-S174*$C$126</f>
        <v/>
      </c>
      <c r="T93" s="2014">
        <f>-T174*$C$126</f>
        <v/>
      </c>
      <c r="U93" s="2014">
        <f>-U174*$C$126</f>
        <v/>
      </c>
      <c r="V93" s="2014">
        <f>-V174*$C$126</f>
        <v/>
      </c>
      <c r="W93" s="2014">
        <f>-W174*$C$126</f>
        <v/>
      </c>
      <c r="X93" s="2014">
        <f>-X174*$C$126</f>
        <v/>
      </c>
      <c r="Y93" s="2015" t="n"/>
      <c r="Z93" s="2006">
        <f>SUM(D93:Y93)</f>
        <v/>
      </c>
      <c r="AA93" s="458" t="n"/>
    </row>
    <row r="94" customFormat="1" s="4">
      <c r="B94" s="2012" t="inlineStr">
        <is>
          <t xml:space="preserve"> : 維運費</t>
        </is>
      </c>
      <c r="C94" s="2013" t="inlineStr">
        <is>
          <t>-</t>
        </is>
      </c>
      <c r="D94" s="2014">
        <f>D41</f>
        <v/>
      </c>
      <c r="E94" s="2014">
        <f>E41</f>
        <v/>
      </c>
      <c r="F94" s="2014">
        <f>F41</f>
        <v/>
      </c>
      <c r="G94" s="2014">
        <f>G41</f>
        <v/>
      </c>
      <c r="H94" s="2014">
        <f>H41</f>
        <v/>
      </c>
      <c r="I94" s="2014">
        <f>I41</f>
        <v/>
      </c>
      <c r="J94" s="2014">
        <f>J41</f>
        <v/>
      </c>
      <c r="K94" s="2014">
        <f>K41</f>
        <v/>
      </c>
      <c r="L94" s="2014">
        <f>L41</f>
        <v/>
      </c>
      <c r="M94" s="2014">
        <f>M41</f>
        <v/>
      </c>
      <c r="N94" s="2014">
        <f>N41</f>
        <v/>
      </c>
      <c r="O94" s="2014">
        <f>O41</f>
        <v/>
      </c>
      <c r="P94" s="2014">
        <f>P41</f>
        <v/>
      </c>
      <c r="Q94" s="2014">
        <f>Q41</f>
        <v/>
      </c>
      <c r="R94" s="2014">
        <f>R41</f>
        <v/>
      </c>
      <c r="S94" s="2014">
        <f>S41</f>
        <v/>
      </c>
      <c r="T94" s="2014">
        <f>T41</f>
        <v/>
      </c>
      <c r="U94" s="2014">
        <f>U41</f>
        <v/>
      </c>
      <c r="V94" s="2014">
        <f>V41</f>
        <v/>
      </c>
      <c r="W94" s="2014">
        <f>W41</f>
        <v/>
      </c>
      <c r="X94" s="2014">
        <f>X41</f>
        <v/>
      </c>
      <c r="Y94" s="2015" t="n"/>
      <c r="Z94" s="2006">
        <f>SUM(D94:Y94)</f>
        <v/>
      </c>
      <c r="AA94" s="9" t="n"/>
    </row>
    <row r="95" customFormat="1" s="4">
      <c r="B95" s="2012" t="inlineStr">
        <is>
          <t xml:space="preserve"> : 保險費</t>
        </is>
      </c>
      <c r="C95" s="2013" t="inlineStr">
        <is>
          <t>-</t>
        </is>
      </c>
      <c r="D95" s="2014">
        <f>D42</f>
        <v/>
      </c>
      <c r="E95" s="2014">
        <f>E42</f>
        <v/>
      </c>
      <c r="F95" s="2014">
        <f>F42</f>
        <v/>
      </c>
      <c r="G95" s="2014">
        <f>G42</f>
        <v/>
      </c>
      <c r="H95" s="2014">
        <f>H42</f>
        <v/>
      </c>
      <c r="I95" s="2014">
        <f>I42</f>
        <v/>
      </c>
      <c r="J95" s="2014">
        <f>J42</f>
        <v/>
      </c>
      <c r="K95" s="2014">
        <f>K42</f>
        <v/>
      </c>
      <c r="L95" s="2014">
        <f>L42</f>
        <v/>
      </c>
      <c r="M95" s="2014">
        <f>M42</f>
        <v/>
      </c>
      <c r="N95" s="2014">
        <f>N42</f>
        <v/>
      </c>
      <c r="O95" s="2014">
        <f>O42</f>
        <v/>
      </c>
      <c r="P95" s="2014">
        <f>P42</f>
        <v/>
      </c>
      <c r="Q95" s="2014">
        <f>Q42</f>
        <v/>
      </c>
      <c r="R95" s="2014">
        <f>R42</f>
        <v/>
      </c>
      <c r="S95" s="2014">
        <f>S42</f>
        <v/>
      </c>
      <c r="T95" s="2014">
        <f>T42</f>
        <v/>
      </c>
      <c r="U95" s="2014">
        <f>U42</f>
        <v/>
      </c>
      <c r="V95" s="2014">
        <f>V42</f>
        <v/>
      </c>
      <c r="W95" s="2014">
        <f>W42</f>
        <v/>
      </c>
      <c r="X95" s="2014">
        <f>X42</f>
        <v/>
      </c>
      <c r="Y95" s="2015" t="n"/>
      <c r="Z95" s="2006">
        <f>SUM(D95:Y95)</f>
        <v/>
      </c>
      <c r="AA95" s="9" t="n"/>
    </row>
    <row r="96" customFormat="1" s="4">
      <c r="B96" s="2012" t="inlineStr">
        <is>
          <t>: 模組回收費</t>
        </is>
      </c>
      <c r="C96" s="2013" t="n"/>
      <c r="D96" s="2014">
        <f>D43</f>
        <v/>
      </c>
      <c r="E96" s="2014">
        <f>E43</f>
        <v/>
      </c>
      <c r="F96" s="2014">
        <f>F43</f>
        <v/>
      </c>
      <c r="G96" s="2014">
        <f>G43</f>
        <v/>
      </c>
      <c r="H96" s="2014">
        <f>H43</f>
        <v/>
      </c>
      <c r="I96" s="2014">
        <f>I43</f>
        <v/>
      </c>
      <c r="J96" s="2014">
        <f>J43</f>
        <v/>
      </c>
      <c r="K96" s="2014">
        <f>K43</f>
        <v/>
      </c>
      <c r="L96" s="2014">
        <f>L43</f>
        <v/>
      </c>
      <c r="M96" s="2014">
        <f>M43</f>
        <v/>
      </c>
      <c r="N96" s="2014">
        <f>N43</f>
        <v/>
      </c>
      <c r="O96" s="2014">
        <f>O43</f>
        <v/>
      </c>
      <c r="P96" s="2014">
        <f>P43</f>
        <v/>
      </c>
      <c r="Q96" s="2014">
        <f>Q43</f>
        <v/>
      </c>
      <c r="R96" s="2014">
        <f>R43</f>
        <v/>
      </c>
      <c r="S96" s="2014">
        <f>S43</f>
        <v/>
      </c>
      <c r="T96" s="2014">
        <f>T43</f>
        <v/>
      </c>
      <c r="U96" s="2014">
        <f>U43</f>
        <v/>
      </c>
      <c r="V96" s="2014">
        <f>V43</f>
        <v/>
      </c>
      <c r="W96" s="2014">
        <f>W43</f>
        <v/>
      </c>
      <c r="X96" s="2014">
        <f>X43</f>
        <v/>
      </c>
      <c r="Y96" s="2015" t="n"/>
      <c r="Z96" s="2006">
        <f>SUM(D96:Y96)</f>
        <v/>
      </c>
      <c r="AA96" s="9" t="n"/>
    </row>
    <row r="97" customFormat="1" s="4">
      <c r="B97" s="2012" t="inlineStr">
        <is>
          <t xml:space="preserve"> : 其它費用(人事薪資…等)</t>
        </is>
      </c>
      <c r="C97" s="2013" t="inlineStr">
        <is>
          <t>-</t>
        </is>
      </c>
      <c r="D97" s="2014" t="n"/>
      <c r="E97" s="2014" t="n"/>
      <c r="F97" s="2014">
        <f>-(F88*$D$131)</f>
        <v/>
      </c>
      <c r="G97" s="2014">
        <f>-(G88*$D$131)</f>
        <v/>
      </c>
      <c r="H97" s="2014">
        <f>-(H88*$D$131)</f>
        <v/>
      </c>
      <c r="I97" s="2014">
        <f>-(I88*$D$131)</f>
        <v/>
      </c>
      <c r="J97" s="2014">
        <f>-(J88*$D$131)</f>
        <v/>
      </c>
      <c r="K97" s="2014">
        <f>-(K88*$D$131)</f>
        <v/>
      </c>
      <c r="L97" s="2014">
        <f>-(L88*$D$131)</f>
        <v/>
      </c>
      <c r="M97" s="2014">
        <f>-(M88*$D$131)</f>
        <v/>
      </c>
      <c r="N97" s="2014">
        <f>-(N88*$D$131)</f>
        <v/>
      </c>
      <c r="O97" s="2014">
        <f>-(O88*$D$131)</f>
        <v/>
      </c>
      <c r="P97" s="2014">
        <f>-(P88*$D$131)</f>
        <v/>
      </c>
      <c r="Q97" s="2014">
        <f>-(Q88*$D$131)</f>
        <v/>
      </c>
      <c r="R97" s="2014">
        <f>-(R88*$D$131)</f>
        <v/>
      </c>
      <c r="S97" s="2014">
        <f>-(S88*$D$131)</f>
        <v/>
      </c>
      <c r="T97" s="2014">
        <f>-(T88*$D$131)</f>
        <v/>
      </c>
      <c r="U97" s="2014">
        <f>-(U88*$D$131)</f>
        <v/>
      </c>
      <c r="V97" s="2014">
        <f>-(V88*$D$131)</f>
        <v/>
      </c>
      <c r="W97" s="2014">
        <f>-(W88*$D$131)</f>
        <v/>
      </c>
      <c r="X97" s="2014" t="n"/>
      <c r="Y97" s="2015" t="n"/>
      <c r="Z97" s="2006">
        <f>SUM(D97:Y97)</f>
        <v/>
      </c>
      <c r="AA97" s="9" t="n"/>
    </row>
    <row r="98" customFormat="1" s="4">
      <c r="B98" s="2012" t="inlineStr">
        <is>
          <t>1%管理費</t>
        </is>
      </c>
      <c r="C98" s="676" t="n"/>
      <c r="D98" s="2014">
        <f>-D159*0.01</f>
        <v/>
      </c>
      <c r="E98" s="2014">
        <f>(D98/0.01-D161)*0.01</f>
        <v/>
      </c>
      <c r="F98" s="2014">
        <f>(E98/0.01-E161)*0.01</f>
        <v/>
      </c>
      <c r="G98" s="2014">
        <f>(F98/0.01-F161)*0.01</f>
        <v/>
      </c>
      <c r="H98" s="2014">
        <f>(G98/0.01-G161)*0.01</f>
        <v/>
      </c>
      <c r="I98" s="2014">
        <f>(H98/0.01-H161)*0.01</f>
        <v/>
      </c>
      <c r="J98" s="2014">
        <f>(I98/0.01-I161)*0.01</f>
        <v/>
      </c>
      <c r="K98" s="2014">
        <f>(J98/0.01-J161)*0.01</f>
        <v/>
      </c>
      <c r="L98" s="2014">
        <f>(K98/0.01-K161)*0.01</f>
        <v/>
      </c>
      <c r="M98" s="2014">
        <f>(L98/0.01-L161)*0.01</f>
        <v/>
      </c>
      <c r="N98" s="2014">
        <f>(M98/0.01-M161)*0.01</f>
        <v/>
      </c>
      <c r="O98" s="2014">
        <f>(N98/0.01-N161)*0.01</f>
        <v/>
      </c>
      <c r="P98" s="2014">
        <f>(O98/0.01-O161)*0.01</f>
        <v/>
      </c>
      <c r="Q98" s="2014">
        <f>(P98/0.01-P161)*0.01</f>
        <v/>
      </c>
      <c r="R98" s="2014">
        <f>(Q98/0.01-Q161)*0.01</f>
        <v/>
      </c>
      <c r="S98" s="2014">
        <f>(R98/0.01-R161)*0.01</f>
        <v/>
      </c>
      <c r="T98" s="2014">
        <f>(S98/0.01-S161)*0.01</f>
        <v/>
      </c>
      <c r="U98" s="2014">
        <f>(T98/0.01-T161)*0.01</f>
        <v/>
      </c>
      <c r="V98" s="2014">
        <f>(U98/0.01-U161)*0.01</f>
        <v/>
      </c>
      <c r="W98" s="2014">
        <f>(V98/0.01-V161)*0.01</f>
        <v/>
      </c>
      <c r="X98" s="2014" t="n"/>
      <c r="Y98" s="2015" t="n"/>
      <c r="Z98" s="2006">
        <f>SUM(D98:Y98)</f>
        <v/>
      </c>
      <c r="AA98" s="458" t="n"/>
    </row>
    <row r="99" ht="17.25" customFormat="1" customHeight="1" s="4" thickBot="1">
      <c r="B99" s="2016" t="inlineStr">
        <is>
          <t>績效獎金</t>
        </is>
      </c>
      <c r="C99" s="676" t="n"/>
      <c r="D99" s="678" t="n"/>
      <c r="E99" s="2014">
        <f>-IF((SUM(E88:E98)/(-D98/0.1))&gt;0.5,(SUM(E88:E98)*0.8+((D98/0.01-D161)*0.05))*0.2, 0)</f>
        <v/>
      </c>
      <c r="F99" s="2014">
        <f>-IF((SUM(F88:F98)/(-E98/0.1))&gt;0.5,(SUM(F88:F98)*0.8+((E98/0.01-E161)*0.05))*0.2, 0)</f>
        <v/>
      </c>
      <c r="G99" s="2014">
        <f>-IF((SUM(G88:G98)/(-F98/0.1))&gt;0.5,(SUM(G88:G98)*0.8+((F98/0.01-F161)*0.05))*0.2, 0)</f>
        <v/>
      </c>
      <c r="H99" s="2014">
        <f>-IF((SUM(H88:H98)/(-G98/0.1))&gt;0.5,(SUM(H88:H98)*0.8+((G98/0.01-G161)*0.05))*0.2, 0)</f>
        <v/>
      </c>
      <c r="I99" s="2014">
        <f>-IF((SUM(I88:I98)/(-H98/0.1))&gt;0.5,(SUM(I88:I98)*0.8+((H98/0.01-H161)*0.05))*0.2, 0)</f>
        <v/>
      </c>
      <c r="J99" s="2014">
        <f>-IF((SUM(J88:J98)/(-I98/0.1))&gt;0.5,(SUM(J88:J98)*0.8+((I98/0.01-I161)*0.05))*0.2, 0)</f>
        <v/>
      </c>
      <c r="K99" s="2014">
        <f>-IF((SUM(K88:K98)/(-J98/0.1))&gt;0.5,(SUM(K88:K98)*0.8+((J98/0.01-J161)*0.05))*0.2, 0)</f>
        <v/>
      </c>
      <c r="L99" s="2014">
        <f>-IF((SUM(L88:L98)/(-K98/0.1))&gt;0.5,(SUM(L88:L98)*0.8+((K98/0.01-K161)*0.05))*0.2, 0)</f>
        <v/>
      </c>
      <c r="M99" s="2014">
        <f>-IF((SUM(M88:M98)/(-L98/0.1))&gt;0.5,(SUM(M88:M98)*0.8+((L98/0.01-L161)*0.05))*0.2, 0)</f>
        <v/>
      </c>
      <c r="N99" s="2014">
        <f>-IF((SUM(N88:N98)/(-M98/0.1))&gt;0.5,(SUM(N88:N98)*0.8+((M98/0.01-M161)*0.05))*0.2, 0)</f>
        <v/>
      </c>
      <c r="O99" s="2014">
        <f>-IF((SUM(O88:O98)/(-N98/0.1))&gt;0.5,(SUM(O88:O98)*0.8+((N98/0.01-N161)*0.05))*0.2, 0)</f>
        <v/>
      </c>
      <c r="P99" s="2014">
        <f>-IF((SUM(P88:P98)/(-O98/0.1))&gt;0.5,(SUM(P88:P98)*0.8+((O98/0.01-O161)*0.05))*0.2, 0)</f>
        <v/>
      </c>
      <c r="Q99" s="2014">
        <f>-IF((SUM(Q88:Q98)/(-P98/0.1))&gt;0.5,(SUM(Q88:Q98)*0.8+((P98/0.01-P161)*0.05))*0.2, 0)</f>
        <v/>
      </c>
      <c r="R99" s="2014">
        <f>-IF((SUM(R88:R98)/(-Q98/0.1))&gt;0.5,(SUM(R88:R98)*0.8+((Q98/0.01-Q161)*0.05))*0.2, 0)</f>
        <v/>
      </c>
      <c r="S99" s="2014">
        <f>-IF((SUM(S88:S98)/(-R98/0.1))&gt;0.5,(SUM(S88:S98)*0.8+((R98/0.01-R161)*0.05))*0.2, 0)</f>
        <v/>
      </c>
      <c r="T99" s="2014">
        <f>-IF((SUM(T88:T98)/(-S98/0.1))&gt;0.5,(SUM(T88:T98)*0.8+((S98/0.01-S161)*0.05))*0.2, 0)</f>
        <v/>
      </c>
      <c r="U99" s="2014">
        <f>-IF((SUM(U88:U98)/(-T98/0.1))&gt;0.5,(SUM(U88:U98)*0.8+((T98/0.01-T161)*0.05))*0.2, 0)</f>
        <v/>
      </c>
      <c r="V99" s="2014">
        <f>-IF((SUM(V88:V98)/(-U98/0.1))&gt;0.5,(SUM(V88:V98)*0.8+((U98/0.01-U161)*0.05))*0.2, 0)</f>
        <v/>
      </c>
      <c r="W99" s="2014">
        <f>-IF((SUM(W88:W98)/(-V98/0.1))&gt;0.5,(SUM(W88:W98)*0.8+((V98/0.01-V161)*0.05))*0.2, 0)</f>
        <v/>
      </c>
      <c r="X99" s="2014">
        <f>-IF((SUM(X88:X98)/(-W98/0.1))&gt;0.5,(SUM(X88:X98)*0.8+((W98/0.01-W161)*0.05))*0.2, 0)</f>
        <v/>
      </c>
      <c r="Y99" s="2015" t="n"/>
      <c r="Z99" s="2006">
        <f>SUM(D99:Y99)</f>
        <v/>
      </c>
      <c r="AA99" s="458" t="n"/>
    </row>
    <row r="100" customFormat="1" s="4">
      <c r="B100" s="2017" t="inlineStr">
        <is>
          <t>稅前淨利</t>
        </is>
      </c>
      <c r="C100" s="2018" t="n">
        <v>0</v>
      </c>
      <c r="D100" s="2019">
        <f>SUM(D88:D99)</f>
        <v/>
      </c>
      <c r="E100" s="2019">
        <f>SUM(E88:E99)</f>
        <v/>
      </c>
      <c r="F100" s="2019">
        <f>SUM(F88:F99)</f>
        <v/>
      </c>
      <c r="G100" s="2019">
        <f>SUM(G88:G99)</f>
        <v/>
      </c>
      <c r="H100" s="2019">
        <f>SUM(H88:H99)</f>
        <v/>
      </c>
      <c r="I100" s="2019">
        <f>SUM(I88:I99)</f>
        <v/>
      </c>
      <c r="J100" s="2019">
        <f>SUM(J88:J99)</f>
        <v/>
      </c>
      <c r="K100" s="2019">
        <f>SUM(K88:K99)</f>
        <v/>
      </c>
      <c r="L100" s="2019">
        <f>SUM(L88:L99)</f>
        <v/>
      </c>
      <c r="M100" s="2019">
        <f>SUM(M88:M99)</f>
        <v/>
      </c>
      <c r="N100" s="2019">
        <f>SUM(N88:N99)</f>
        <v/>
      </c>
      <c r="O100" s="2019">
        <f>SUM(O88:O99)</f>
        <v/>
      </c>
      <c r="P100" s="2019">
        <f>SUM(P88:P99)</f>
        <v/>
      </c>
      <c r="Q100" s="2019">
        <f>SUM(Q88:Q99)</f>
        <v/>
      </c>
      <c r="R100" s="2019">
        <f>SUM(R88:R99)</f>
        <v/>
      </c>
      <c r="S100" s="2019">
        <f>SUM(S88:S99)</f>
        <v/>
      </c>
      <c r="T100" s="2019">
        <f>SUM(T88:T99)</f>
        <v/>
      </c>
      <c r="U100" s="2019">
        <f>SUM(U88:U99)</f>
        <v/>
      </c>
      <c r="V100" s="2019">
        <f>SUM(V88:V99)</f>
        <v/>
      </c>
      <c r="W100" s="2019">
        <f>SUM(W88:W99)</f>
        <v/>
      </c>
      <c r="X100" s="2019">
        <f>SUM(X88:X99)</f>
        <v/>
      </c>
      <c r="Y100" s="2020" t="n"/>
      <c r="Z100" s="2006">
        <f>SUM(D100:Y100)</f>
        <v/>
      </c>
      <c r="AA100" s="458" t="n"/>
    </row>
    <row r="101" customFormat="1" s="4">
      <c r="B101" s="2012" t="inlineStr">
        <is>
          <t>Outflow : 所得稅(20%)</t>
        </is>
      </c>
      <c r="C101" s="2013" t="inlineStr">
        <is>
          <t>-</t>
        </is>
      </c>
      <c r="D101" s="2021">
        <f>-D100*0.2</f>
        <v/>
      </c>
      <c r="E101" s="2021">
        <f>-E100*0.2</f>
        <v/>
      </c>
      <c r="F101" s="2022">
        <f>-F100*0.2</f>
        <v/>
      </c>
      <c r="G101" s="2021">
        <f>-(G100*$D$132)</f>
        <v/>
      </c>
      <c r="H101" s="2021">
        <f>-(H100*$D$132)</f>
        <v/>
      </c>
      <c r="I101" s="2021">
        <f>-(I100*$D$132)</f>
        <v/>
      </c>
      <c r="J101" s="2021">
        <f>-(J100*$D$132)</f>
        <v/>
      </c>
      <c r="K101" s="2021">
        <f>-(K100*$D$132)</f>
        <v/>
      </c>
      <c r="L101" s="2021">
        <f>-(L100*$D$132)</f>
        <v/>
      </c>
      <c r="M101" s="2021">
        <f>-(M100*$D$132)</f>
        <v/>
      </c>
      <c r="N101" s="2021">
        <f>-(N100*$D$132)</f>
        <v/>
      </c>
      <c r="O101" s="2021">
        <f>-(O100*$D$132)</f>
        <v/>
      </c>
      <c r="P101" s="2021">
        <f>-(P100*$D$132)</f>
        <v/>
      </c>
      <c r="Q101" s="2021">
        <f>-(Q100*$D$132)</f>
        <v/>
      </c>
      <c r="R101" s="2021">
        <f>-(R100*$D$132)</f>
        <v/>
      </c>
      <c r="S101" s="2021">
        <f>-(S100*$D$132)</f>
        <v/>
      </c>
      <c r="T101" s="2021">
        <f>-(T100*$D$132)</f>
        <v/>
      </c>
      <c r="U101" s="2021">
        <f>-(U100*$D$132)</f>
        <v/>
      </c>
      <c r="V101" s="2021">
        <f>-(V100*$D$132)</f>
        <v/>
      </c>
      <c r="W101" s="2021">
        <f>-(W100*$D$132)</f>
        <v/>
      </c>
      <c r="X101" s="2021">
        <f>-(X100*$D$132)</f>
        <v/>
      </c>
      <c r="Y101" s="2023" t="n"/>
      <c r="Z101" s="2006">
        <f>SUM(F101:Y101)</f>
        <v/>
      </c>
      <c r="AA101" s="458" t="n"/>
    </row>
    <row r="102" ht="17.25" customFormat="1" customHeight="1" s="4" thickBot="1">
      <c r="B102" s="2024" t="inlineStr">
        <is>
          <t>稅後淨利</t>
        </is>
      </c>
      <c r="C102" s="2025" t="n"/>
      <c r="D102" s="2026">
        <f>SUM(D100:D101)</f>
        <v/>
      </c>
      <c r="E102" s="2026">
        <f>SUM(E100:E101)</f>
        <v/>
      </c>
      <c r="F102" s="2026">
        <f>SUM(F100:F101)</f>
        <v/>
      </c>
      <c r="G102" s="2026">
        <f>SUM(G100:G101)</f>
        <v/>
      </c>
      <c r="H102" s="2026">
        <f>SUM(H100:H101)</f>
        <v/>
      </c>
      <c r="I102" s="2026">
        <f>SUM(I100:I101)</f>
        <v/>
      </c>
      <c r="J102" s="2026">
        <f>SUM(J100:J101)</f>
        <v/>
      </c>
      <c r="K102" s="2026">
        <f>SUM(K100:K101)</f>
        <v/>
      </c>
      <c r="L102" s="2026">
        <f>SUM(L100:L101)</f>
        <v/>
      </c>
      <c r="M102" s="2026">
        <f>SUM(M100:M101)</f>
        <v/>
      </c>
      <c r="N102" s="2026">
        <f>SUM(N100:N101)</f>
        <v/>
      </c>
      <c r="O102" s="2026">
        <f>SUM(O100:O101)</f>
        <v/>
      </c>
      <c r="P102" s="2026">
        <f>SUM(P100:P101)</f>
        <v/>
      </c>
      <c r="Q102" s="2026">
        <f>SUM(Q100:Q101)</f>
        <v/>
      </c>
      <c r="R102" s="2026">
        <f>SUM(R100:R101)</f>
        <v/>
      </c>
      <c r="S102" s="2026">
        <f>SUM(S100:S101)</f>
        <v/>
      </c>
      <c r="T102" s="2026">
        <f>SUM(T100:T101)</f>
        <v/>
      </c>
      <c r="U102" s="2026">
        <f>SUM(U100:U101)</f>
        <v/>
      </c>
      <c r="V102" s="2026">
        <f>SUM(V100:V101)</f>
        <v/>
      </c>
      <c r="W102" s="2026">
        <f>SUM(W100:W101)</f>
        <v/>
      </c>
      <c r="X102" s="2026">
        <f>SUM(X100:X101)</f>
        <v/>
      </c>
      <c r="Y102" s="2027" t="n"/>
      <c r="Z102" s="2028">
        <f>SUM(D102:Y102)</f>
        <v/>
      </c>
      <c r="AA102" s="458">
        <f>IF(ROUND((Z102-Y169),0)=0,"correct", "error")</f>
        <v/>
      </c>
    </row>
    <row r="103" ht="17.25" customFormat="1" customHeight="1" s="4" thickTop="1">
      <c r="B103" s="2024" t="inlineStr">
        <is>
          <t>每股盈餘</t>
        </is>
      </c>
      <c r="C103" s="2025" t="n"/>
      <c r="D103" s="2029">
        <f>D102/($N$62*10000000)</f>
        <v/>
      </c>
      <c r="E103" s="2029">
        <f>E102/($N$62*10000000)</f>
        <v/>
      </c>
      <c r="F103" s="2030">
        <f>F102/-(E98/0.01-E161)*10</f>
        <v/>
      </c>
      <c r="G103" s="2029">
        <f>G102/-(F98/0.01-F161)*10</f>
        <v/>
      </c>
      <c r="H103" s="2029">
        <f>H102/-(G98/0.01-G161)*10</f>
        <v/>
      </c>
      <c r="I103" s="2029">
        <f>I102/-(H98/0.01-H161)*10</f>
        <v/>
      </c>
      <c r="J103" s="2029">
        <f>J102/-(I98/0.01-I161)*10</f>
        <v/>
      </c>
      <c r="K103" s="2029">
        <f>K102/-(J98/0.01-J161)*10</f>
        <v/>
      </c>
      <c r="L103" s="2029">
        <f>L102/-(K98/0.01-K161)*10</f>
        <v/>
      </c>
      <c r="M103" s="2029">
        <f>M102/-(L98/0.01-L161)*10</f>
        <v/>
      </c>
      <c r="N103" s="2029">
        <f>N102/-(M98/0.01-M161)*10</f>
        <v/>
      </c>
      <c r="O103" s="2029">
        <f>O102/-(N98/0.01-N161)*10</f>
        <v/>
      </c>
      <c r="P103" s="2029">
        <f>P102/-(O98/0.01-O161)*10</f>
        <v/>
      </c>
      <c r="Q103" s="2029">
        <f>Q102/-(P98/0.01-P161)*10</f>
        <v/>
      </c>
      <c r="R103" s="2029">
        <f>R102/-(Q98/0.01-Q161)*10</f>
        <v/>
      </c>
      <c r="S103" s="2029">
        <f>S102/-(R98/0.01-R161)*10</f>
        <v/>
      </c>
      <c r="T103" s="2029">
        <f>T102/-(S98/0.01-S161)*10</f>
        <v/>
      </c>
      <c r="U103" s="2029">
        <f>U102/-(T98/0.01-T161)*10</f>
        <v/>
      </c>
      <c r="V103" s="2029">
        <f>V102/-(U98/0.01-U161)*10</f>
        <v/>
      </c>
      <c r="W103" s="2029">
        <f>W102/-(V98/0.01-V161)*10</f>
        <v/>
      </c>
      <c r="X103" s="2029" t="n"/>
      <c r="Y103" s="2029" t="n"/>
      <c r="Z103" s="2006" t="n"/>
      <c r="AA103" s="458" t="n"/>
    </row>
    <row r="104" customFormat="1" s="4">
      <c r="B104" s="2024" t="n"/>
      <c r="C104" s="2025" t="n"/>
      <c r="D104" s="2031" t="n"/>
      <c r="E104" s="2031" t="n"/>
      <c r="F104" s="2031" t="n"/>
      <c r="G104" s="2031" t="n"/>
      <c r="H104" s="2031" t="n"/>
      <c r="I104" s="2031" t="n"/>
      <c r="J104" s="2031" t="n"/>
      <c r="K104" s="2031" t="n"/>
      <c r="L104" s="2031" t="n"/>
      <c r="M104" s="2031" t="n"/>
      <c r="N104" s="2031" t="n"/>
      <c r="O104" s="2031" t="n"/>
      <c r="P104" s="2031" t="n"/>
      <c r="Q104" s="2031" t="n"/>
      <c r="R104" s="2031" t="n"/>
      <c r="S104" s="2031" t="n"/>
      <c r="T104" s="2031" t="n"/>
      <c r="U104" s="2031" t="n"/>
      <c r="V104" s="2031" t="n"/>
      <c r="W104" s="2031" t="n"/>
      <c r="X104" s="2031" t="n"/>
      <c r="Y104" s="2031" t="n"/>
      <c r="Z104" s="2006" t="n"/>
      <c r="AA104" s="458" t="n"/>
    </row>
    <row r="105" customFormat="1" s="4">
      <c r="B105" s="2024" t="n"/>
      <c r="C105" s="2025" t="n"/>
      <c r="D105" s="2031" t="n"/>
      <c r="E105" s="2031" t="n"/>
      <c r="F105" s="2031" t="n"/>
      <c r="G105" s="2031" t="n"/>
      <c r="H105" s="2031" t="n"/>
      <c r="I105" s="2031" t="n"/>
      <c r="J105" s="2031" t="n"/>
      <c r="K105" s="2031" t="n"/>
      <c r="L105" s="2031" t="n"/>
      <c r="M105" s="2031" t="n"/>
      <c r="N105" s="2031" t="n"/>
      <c r="O105" s="2031" t="n"/>
      <c r="P105" s="2031" t="n"/>
      <c r="Q105" s="2031" t="n"/>
      <c r="R105" s="2031" t="n"/>
      <c r="S105" s="2031" t="n"/>
      <c r="T105" s="2031" t="n"/>
      <c r="U105" s="2031" t="n"/>
      <c r="V105" s="2031" t="n"/>
      <c r="W105" s="2031" t="n"/>
      <c r="X105" s="2031" t="n"/>
      <c r="Y105" s="2031" t="n"/>
      <c r="Z105" s="2006" t="n"/>
      <c r="AA105" s="458" t="n"/>
    </row>
    <row r="106" customFormat="1" s="4">
      <c r="B106" s="2024" t="inlineStr">
        <is>
          <t>設備折舊</t>
        </is>
      </c>
      <c r="C106" s="2013" t="n"/>
      <c r="D106" s="2014">
        <f>-D90</f>
        <v/>
      </c>
      <c r="E106" s="2014">
        <f>-E90</f>
        <v/>
      </c>
      <c r="F106" s="2014">
        <f>-F90</f>
        <v/>
      </c>
      <c r="G106" s="2014">
        <f>-G90</f>
        <v/>
      </c>
      <c r="H106" s="2014">
        <f>-H90</f>
        <v/>
      </c>
      <c r="I106" s="2014">
        <f>-I90</f>
        <v/>
      </c>
      <c r="J106" s="2014">
        <f>-J90</f>
        <v/>
      </c>
      <c r="K106" s="2014">
        <f>-K90</f>
        <v/>
      </c>
      <c r="L106" s="2014">
        <f>-L90</f>
        <v/>
      </c>
      <c r="M106" s="2014">
        <f>-M90</f>
        <v/>
      </c>
      <c r="N106" s="2014">
        <f>-N90</f>
        <v/>
      </c>
      <c r="O106" s="2014">
        <f>-O90</f>
        <v/>
      </c>
      <c r="P106" s="2014">
        <f>-P90</f>
        <v/>
      </c>
      <c r="Q106" s="2014">
        <f>-Q90</f>
        <v/>
      </c>
      <c r="R106" s="2014">
        <f>-R90</f>
        <v/>
      </c>
      <c r="S106" s="2014">
        <f>-S90</f>
        <v/>
      </c>
      <c r="T106" s="2014">
        <f>-T90</f>
        <v/>
      </c>
      <c r="U106" s="2014">
        <f>-U90</f>
        <v/>
      </c>
      <c r="V106" s="2014">
        <f>-V90</f>
        <v/>
      </c>
      <c r="W106" s="2014">
        <f>-W90</f>
        <v/>
      </c>
      <c r="X106" s="2014">
        <f>-X90</f>
        <v/>
      </c>
      <c r="Y106" s="2014" t="n"/>
      <c r="Z106" s="2028">
        <f>SUM(D106:Y106)</f>
        <v/>
      </c>
      <c r="AA106" s="458">
        <f>IF(ROUND((Z106-C122-C2),0)=0,"correct", "error")</f>
        <v/>
      </c>
    </row>
    <row r="107" ht="17.25" customFormat="1" customHeight="1" s="4" thickBot="1">
      <c r="B107" s="2032" t="inlineStr">
        <is>
          <t>累計現金流</t>
        </is>
      </c>
      <c r="C107" s="2033" t="n">
        <v>0</v>
      </c>
      <c r="D107" s="2034">
        <f>C37+D102+D106</f>
        <v/>
      </c>
      <c r="E107" s="2034">
        <f>E102+E106+D107</f>
        <v/>
      </c>
      <c r="F107" s="2034">
        <f>F102+F106+E107</f>
        <v/>
      </c>
      <c r="G107" s="2034">
        <f>G102+G106+F107</f>
        <v/>
      </c>
      <c r="H107" s="2034">
        <f>H102+H106+G107</f>
        <v/>
      </c>
      <c r="I107" s="2034">
        <f>I102+I106+H107</f>
        <v/>
      </c>
      <c r="J107" s="2034">
        <f>J102+J106+I107</f>
        <v/>
      </c>
      <c r="K107" s="2034">
        <f>K102+K106+J107</f>
        <v/>
      </c>
      <c r="L107" s="2034">
        <f>L102+L106+K107</f>
        <v/>
      </c>
      <c r="M107" s="2034">
        <f>M102+M106+L107</f>
        <v/>
      </c>
      <c r="N107" s="2034">
        <f>N102+N106+M107</f>
        <v/>
      </c>
      <c r="O107" s="2034">
        <f>O102+O106+N107</f>
        <v/>
      </c>
      <c r="P107" s="2034">
        <f>P102+P106+O107</f>
        <v/>
      </c>
      <c r="Q107" s="2034">
        <f>Q102+Q106+P107</f>
        <v/>
      </c>
      <c r="R107" s="2034">
        <f>R102+R106+Q107</f>
        <v/>
      </c>
      <c r="S107" s="2034">
        <f>S102+S106+R107</f>
        <v/>
      </c>
      <c r="T107" s="2034">
        <f>T102+T106+S107</f>
        <v/>
      </c>
      <c r="U107" s="2034">
        <f>U102+U106+T107</f>
        <v/>
      </c>
      <c r="V107" s="2034">
        <f>V102+V106+U107</f>
        <v/>
      </c>
      <c r="W107" s="2034">
        <f>W102+W106+V107</f>
        <v/>
      </c>
      <c r="X107" s="2034" t="n"/>
      <c r="Y107" s="2034" t="n"/>
      <c r="Z107" s="2006">
        <f>IF(ROUND((W107-Z102),0)=0,"correct", "error")</f>
        <v/>
      </c>
      <c r="AA107" s="458" t="n"/>
    </row>
    <row r="108" hidden="1" customFormat="1" s="4">
      <c r="B108" s="723" t="inlineStr">
        <is>
          <t>Discounted cash flow</t>
        </is>
      </c>
      <c r="C108" s="2035" t="n">
        <v>0</v>
      </c>
      <c r="D108" s="2036" t="n"/>
      <c r="E108" s="2036" t="n"/>
      <c r="F108" s="2037" t="n">
        <v>1983135.562543545</v>
      </c>
      <c r="G108" s="2037" t="n">
        <v>1938004.689213072</v>
      </c>
      <c r="H108" s="2037" t="n">
        <v>1892873.8158826</v>
      </c>
      <c r="I108" s="2037" t="n">
        <v>1847742.942552129</v>
      </c>
      <c r="J108" s="2037" t="n">
        <v>1802612.069221656</v>
      </c>
      <c r="K108" s="2037" t="n">
        <v>1759737.739557709</v>
      </c>
      <c r="L108" s="2037" t="n">
        <v>1716863.409893761</v>
      </c>
      <c r="M108" s="2037" t="n">
        <v>1673989.080229812</v>
      </c>
      <c r="N108" s="2037" t="n">
        <v>1631114.750565863</v>
      </c>
      <c r="O108" s="2037" t="n">
        <v>1588240.420901916</v>
      </c>
      <c r="P108" s="2037" t="n">
        <v>1550443.314487645</v>
      </c>
      <c r="Q108" s="2037" t="n">
        <v>1512646.208073375</v>
      </c>
      <c r="R108" s="2037" t="n">
        <v>1474849.101659105</v>
      </c>
      <c r="S108" s="2037" t="n">
        <v>1437051.995244834</v>
      </c>
      <c r="T108" s="2037" t="n">
        <v>1399254.888830566</v>
      </c>
      <c r="U108" s="2037" t="n">
        <v>1361457.782416294</v>
      </c>
      <c r="V108" s="2037" t="n">
        <v>1323660.676002024</v>
      </c>
      <c r="W108" s="2037" t="n">
        <v>1285863.569587754</v>
      </c>
      <c r="X108" s="2037" t="n"/>
      <c r="Y108" s="2038" t="n"/>
      <c r="Z108" s="458" t="n"/>
      <c r="AA108" s="458" t="n"/>
    </row>
    <row r="109" hidden="1" customFormat="1" s="4">
      <c r="B109" s="2039" t="inlineStr">
        <is>
          <t>Minus : Depreciation</t>
        </is>
      </c>
      <c r="C109" s="2040" t="n"/>
      <c r="D109" s="2041" t="n"/>
      <c r="E109" s="2041" t="n"/>
      <c r="F109" s="2041" t="n">
        <v>0</v>
      </c>
      <c r="G109" s="2041" t="n">
        <v>0</v>
      </c>
      <c r="H109" s="2041" t="n">
        <v>0</v>
      </c>
      <c r="I109" s="2041" t="n">
        <v>0</v>
      </c>
      <c r="J109" s="2041" t="n">
        <v>0</v>
      </c>
      <c r="K109" s="2041" t="n">
        <v>0</v>
      </c>
      <c r="L109" s="2041" t="n">
        <v>0</v>
      </c>
      <c r="M109" s="2041" t="n">
        <v>0</v>
      </c>
      <c r="N109" s="2041" t="n">
        <v>0</v>
      </c>
      <c r="O109" s="2041" t="n">
        <v>0</v>
      </c>
      <c r="P109" s="2041" t="n">
        <v>0</v>
      </c>
      <c r="Q109" s="2041" t="n">
        <v>0</v>
      </c>
      <c r="R109" s="2041" t="n">
        <v>0</v>
      </c>
      <c r="S109" s="2041" t="n">
        <v>0</v>
      </c>
      <c r="T109" s="2041" t="n">
        <v>0</v>
      </c>
      <c r="U109" s="2041" t="n">
        <v>0</v>
      </c>
      <c r="V109" s="2041" t="n">
        <v>0</v>
      </c>
      <c r="W109" s="2041" t="n">
        <v>0</v>
      </c>
      <c r="X109" s="2041" t="n"/>
      <c r="Y109" s="2042" t="n"/>
      <c r="Z109" s="458" t="n"/>
      <c r="AA109" s="458" t="n"/>
    </row>
    <row r="110" hidden="1" customFormat="1" s="4">
      <c r="B110" s="2039" t="inlineStr">
        <is>
          <t>Plus : Principle payment</t>
        </is>
      </c>
      <c r="C110" s="2040" t="n"/>
      <c r="D110" s="2041" t="n"/>
      <c r="E110" s="2041" t="n"/>
      <c r="F110" s="2041" t="n">
        <v>0</v>
      </c>
      <c r="G110" s="2041" t="n">
        <v>0</v>
      </c>
      <c r="H110" s="2041" t="n">
        <v>0</v>
      </c>
      <c r="I110" s="2041" t="n">
        <v>0</v>
      </c>
      <c r="J110" s="2041" t="n">
        <v>0</v>
      </c>
      <c r="K110" s="2041" t="n">
        <v>0</v>
      </c>
      <c r="L110" s="2041" t="n">
        <v>0</v>
      </c>
      <c r="M110" s="2041" t="n">
        <v>0</v>
      </c>
      <c r="N110" s="2041" t="n">
        <v>0</v>
      </c>
      <c r="O110" s="2041" t="n">
        <v>0</v>
      </c>
      <c r="P110" s="2041" t="n">
        <v>0</v>
      </c>
      <c r="Q110" s="2041" t="n">
        <v>0</v>
      </c>
      <c r="R110" s="2041" t="n">
        <v>0</v>
      </c>
      <c r="S110" s="2041" t="n">
        <v>0</v>
      </c>
      <c r="T110" s="2041" t="n">
        <v>0</v>
      </c>
      <c r="U110" s="2041" t="n">
        <v>0</v>
      </c>
      <c r="V110" s="2041" t="n">
        <v>0</v>
      </c>
      <c r="W110" s="2041" t="n">
        <v>0</v>
      </c>
      <c r="X110" s="2041" t="n"/>
      <c r="Y110" s="2042" t="n"/>
      <c r="Z110" s="458" t="n"/>
      <c r="AA110" s="458" t="n"/>
    </row>
    <row r="111" hidden="1" customFormat="1" s="4">
      <c r="B111" s="731" t="inlineStr">
        <is>
          <t>Profit</t>
        </is>
      </c>
      <c r="C111" s="2043" t="n"/>
      <c r="D111" s="2044" t="n"/>
      <c r="E111" s="2044" t="n"/>
      <c r="F111" s="2044" t="n">
        <v>1983135.562543545</v>
      </c>
      <c r="G111" s="2044" t="n">
        <v>1938004.689213072</v>
      </c>
      <c r="H111" s="2044" t="n">
        <v>1892873.8158826</v>
      </c>
      <c r="I111" s="2044" t="n">
        <v>1847742.942552129</v>
      </c>
      <c r="J111" s="2044" t="n">
        <v>1802612.069221656</v>
      </c>
      <c r="K111" s="2044" t="n">
        <v>1759737.739557709</v>
      </c>
      <c r="L111" s="2044" t="n">
        <v>1716863.409893761</v>
      </c>
      <c r="M111" s="2044" t="n">
        <v>1673989.080229812</v>
      </c>
      <c r="N111" s="2044" t="n">
        <v>1631114.750565863</v>
      </c>
      <c r="O111" s="2044" t="n">
        <v>1588240.420901916</v>
      </c>
      <c r="P111" s="2044" t="n">
        <v>1550443.314487645</v>
      </c>
      <c r="Q111" s="2044" t="n">
        <v>1512646.208073375</v>
      </c>
      <c r="R111" s="2044" t="n">
        <v>1474849.101659105</v>
      </c>
      <c r="S111" s="2044" t="n">
        <v>1437051.995244834</v>
      </c>
      <c r="T111" s="2044" t="n">
        <v>1399254.888830566</v>
      </c>
      <c r="U111" s="2044" t="n">
        <v>1361457.782416294</v>
      </c>
      <c r="V111" s="2044" t="n">
        <v>1323660.676002024</v>
      </c>
      <c r="W111" s="2044" t="n">
        <v>1285863.569587754</v>
      </c>
      <c r="X111" s="2044" t="n"/>
      <c r="Y111" s="2045" t="n"/>
      <c r="Z111" s="458" t="n"/>
      <c r="AA111" s="458" t="n"/>
    </row>
    <row r="112" hidden="1" ht="17.25" customFormat="1" customHeight="1" s="4" thickBot="1">
      <c r="B112" s="735" t="inlineStr">
        <is>
          <t>EPS</t>
        </is>
      </c>
      <c r="C112" s="2046" t="n"/>
      <c r="D112" s="2047" t="n"/>
      <c r="E112" s="2047" t="n"/>
      <c r="F112" s="2048" t="n">
        <v>0.4779429068801936</v>
      </c>
      <c r="G112" s="2048" t="n">
        <v>0.4670662017285083</v>
      </c>
      <c r="H112" s="2048" t="n">
        <v>0.456189496576823</v>
      </c>
      <c r="I112" s="2048" t="n">
        <v>0.445312791425138</v>
      </c>
      <c r="J112" s="2048" t="n">
        <v>0.4344360862734524</v>
      </c>
      <c r="K112" s="2048" t="n">
        <v>0.4241032163793518</v>
      </c>
      <c r="L112" s="2048" t="n">
        <v>0.4137703464852509</v>
      </c>
      <c r="M112" s="2048" t="n">
        <v>0.4034374765911497</v>
      </c>
      <c r="N112" s="2048" t="n">
        <v>0.3931046066970487</v>
      </c>
      <c r="O112" s="2048" t="n">
        <v>0.382771736802948</v>
      </c>
      <c r="P112" s="2048" t="n">
        <v>0.3736624962384114</v>
      </c>
      <c r="Q112" s="2048" t="n">
        <v>0.364553255673875</v>
      </c>
      <c r="R112" s="2048" t="n">
        <v>0.3554440151093388</v>
      </c>
      <c r="S112" s="2048" t="n">
        <v>0.3463347745448022</v>
      </c>
      <c r="T112" s="2048" t="n">
        <v>0.3372255339802663</v>
      </c>
      <c r="U112" s="2048" t="n">
        <v>0.3281162934157295</v>
      </c>
      <c r="V112" s="2048" t="n">
        <v>0.3190070528511932</v>
      </c>
      <c r="W112" s="2048" t="n">
        <v>0.309897812286657</v>
      </c>
      <c r="X112" s="2048" t="n"/>
      <c r="Y112" s="2049" t="n"/>
      <c r="Z112" s="458" t="n"/>
      <c r="AA112" s="458" t="n"/>
    </row>
    <row r="113" ht="17.25" customFormat="1" customHeight="1" s="4" thickBot="1">
      <c r="B113" s="694" t="inlineStr">
        <is>
          <t>回收年限評估</t>
        </is>
      </c>
      <c r="C113" s="2050" t="n"/>
      <c r="D113" s="2051">
        <f>IF((D107)&gt;0,"回收","未回收")</f>
        <v/>
      </c>
      <c r="E113" s="2051">
        <f>IF((E107)&gt;0,"回收","未回收")</f>
        <v/>
      </c>
      <c r="F113" s="2051">
        <f>IF((F107)&gt;0,"回收","未回收")</f>
        <v/>
      </c>
      <c r="G113" s="2051">
        <f>IF((G107)&gt;0,"回收","未回收")</f>
        <v/>
      </c>
      <c r="H113" s="2052">
        <f>IF((H107)&gt;0,"回收","未回收")</f>
        <v/>
      </c>
      <c r="I113" s="2052">
        <f>IF((I107)&gt;0,"回收","未回收")</f>
        <v/>
      </c>
      <c r="J113" s="2052">
        <f>IF((J107)&gt;0,"回收","未回收")</f>
        <v/>
      </c>
      <c r="K113" s="2052">
        <f>IF((K107)&gt;0,"回收","未回收")</f>
        <v/>
      </c>
      <c r="L113" s="2052">
        <f>IF((L107)&gt;0,"回收","未回收")</f>
        <v/>
      </c>
      <c r="M113" s="2052">
        <f>IF((M107)&gt;0,"回收","未回收")</f>
        <v/>
      </c>
      <c r="N113" s="2052">
        <f>IF((N107)&gt;0,"回收","未回收")</f>
        <v/>
      </c>
      <c r="O113" s="2052">
        <f>IF((O107)&gt;0,"回收","未回收")</f>
        <v/>
      </c>
      <c r="P113" s="2053">
        <f>IF((P107)&gt;0,"回收","未回收")</f>
        <v/>
      </c>
      <c r="Q113" s="2053">
        <f>IF((Q107)&gt;0,"回收","未回收")</f>
        <v/>
      </c>
      <c r="R113" s="2053">
        <f>IF((R107)&gt;0,"回收","未回收")</f>
        <v/>
      </c>
      <c r="S113" s="2053">
        <f>IF((S107)&gt;0,"回收","未回收")</f>
        <v/>
      </c>
      <c r="T113" s="2053">
        <f>IF((T107)&gt;0,"回收","未回收")</f>
        <v/>
      </c>
      <c r="U113" s="2053">
        <f>IF((U107)&gt;0,"回收","未回收")</f>
        <v/>
      </c>
      <c r="V113" s="2053">
        <f>IF((V107)&gt;0,"回收","未回收")</f>
        <v/>
      </c>
      <c r="W113" s="2053">
        <f>IF((W107)&gt;0,"回收","未回收")</f>
        <v/>
      </c>
      <c r="X113" s="2053" t="n"/>
      <c r="Y113" s="2054" t="n"/>
      <c r="Z113" s="458" t="n"/>
      <c r="AA113" s="458" t="n"/>
    </row>
    <row r="114" customFormat="1" s="4">
      <c r="Z114" s="458" t="n"/>
      <c r="AA114" s="458" t="n"/>
    </row>
    <row r="115" customFormat="1" s="4">
      <c r="F115" s="2055" t="n"/>
      <c r="G115" s="2055" t="n"/>
      <c r="H115" s="2055" t="n"/>
      <c r="I115" s="2055" t="n"/>
      <c r="J115" s="2055" t="n"/>
      <c r="K115" s="2055" t="n"/>
      <c r="L115" s="2055" t="n"/>
      <c r="M115" s="2055" t="n"/>
      <c r="N115" s="2055" t="n"/>
      <c r="O115" s="2055" t="n"/>
      <c r="P115" s="2055" t="n"/>
      <c r="Z115" s="458" t="n"/>
      <c r="AA115" s="458" t="n"/>
    </row>
    <row r="116" customFormat="1" s="4">
      <c r="F116" s="1694" t="n"/>
      <c r="Z116" s="458" t="n"/>
      <c r="AA116" s="458" t="n"/>
    </row>
    <row r="117" customFormat="1" s="4">
      <c r="B117" s="2056" t="inlineStr">
        <is>
          <t>Assumption</t>
        </is>
      </c>
      <c r="C117" s="1648" t="n"/>
      <c r="D117" s="2057" t="inlineStr">
        <is>
          <t>NOTE</t>
        </is>
      </c>
      <c r="E117" s="1647" t="n"/>
      <c r="F117" s="1647" t="n"/>
      <c r="G117" s="1648" t="n"/>
      <c r="J117" s="2058" t="n"/>
      <c r="Z117" s="458" t="n"/>
      <c r="AA117" s="458" t="n"/>
    </row>
    <row r="118" customFormat="1" s="4">
      <c r="B118" s="626" t="inlineStr">
        <is>
          <t>預計系統完工年限</t>
        </is>
      </c>
      <c r="C118" s="2059" t="inlineStr">
        <is>
          <t>109年</t>
        </is>
      </c>
      <c r="D118" s="701" t="inlineStr">
        <is>
          <t>下</t>
        </is>
      </c>
      <c r="E118" s="628" t="n"/>
      <c r="F118" s="628" t="n"/>
      <c r="G118" s="629" t="n"/>
      <c r="I118" s="2060" t="n"/>
      <c r="J118" s="2058" t="n"/>
      <c r="Z118" s="458" t="n"/>
      <c r="AA118" s="458" t="n"/>
    </row>
    <row r="119" customFormat="1" s="4">
      <c r="B119" s="626" t="inlineStr">
        <is>
          <t>政府每度收購價格</t>
        </is>
      </c>
      <c r="C119" s="2061" t="n">
        <v>4.1733</v>
      </c>
      <c r="D119" s="1431" t="n"/>
      <c r="E119" s="631" t="n"/>
      <c r="F119" s="631" t="n"/>
      <c r="G119" s="632" t="n"/>
      <c r="H119" s="6" t="n"/>
      <c r="I119" s="6" t="n"/>
      <c r="J119" s="6" t="n"/>
      <c r="K119" s="702" t="inlineStr">
        <is>
          <t>若將設備作折舊攤提後，就沒有成本支出 (收入=毛利)，只能計算 淨利 &amp; 稅後淨利率</t>
        </is>
      </c>
      <c r="L119" s="702" t="n"/>
      <c r="M119" s="702" t="n"/>
      <c r="N119" s="702" t="n"/>
      <c r="O119" s="702" t="n"/>
      <c r="P119" s="702" t="n"/>
      <c r="Q119" s="0" t="n"/>
      <c r="R119" s="0" t="n"/>
      <c r="S119" s="0" t="n"/>
      <c r="T119" s="0" t="n"/>
      <c r="U119" s="0" t="n"/>
      <c r="V119" s="0" t="n"/>
      <c r="W119" s="6" t="n"/>
      <c r="X119" s="6" t="n"/>
      <c r="Z119" s="458" t="n"/>
      <c r="AA119" s="458" t="n"/>
    </row>
    <row r="120" customFormat="1" s="4">
      <c r="B120" s="626" t="inlineStr">
        <is>
          <t>安裝容量(KW)</t>
        </is>
      </c>
      <c r="C120" s="2062" t="n">
        <v>0</v>
      </c>
      <c r="D120" s="634" t="n"/>
      <c r="E120" s="2063" t="n"/>
      <c r="F120" s="636" t="n"/>
      <c r="G120" s="632" t="n"/>
      <c r="H120" s="6" t="n"/>
      <c r="I120" s="6" t="n"/>
      <c r="J120" s="6" t="n"/>
      <c r="K120" s="2064" t="inlineStr">
        <is>
          <t>營業淨利率=[（毛利-費用）/ 營業收入]*100% : (總收入- (設備折舊+運維費用+租金+利息+保險+人事費用+管理費) / 總電費收入</t>
        </is>
      </c>
      <c r="L120" s="1647" t="n"/>
      <c r="M120" s="1647" t="n"/>
      <c r="N120" s="1647" t="n"/>
      <c r="O120" s="1647" t="n"/>
      <c r="P120" s="1647" t="n"/>
      <c r="Q120" s="1647" t="n"/>
      <c r="R120" s="1647" t="n"/>
      <c r="S120" s="1647" t="n"/>
      <c r="T120" s="1647" t="n"/>
      <c r="U120" s="1647" t="n"/>
      <c r="V120" s="1648" t="n"/>
      <c r="W120" s="6" t="n"/>
      <c r="X120" s="10" t="inlineStr">
        <is>
          <t>股本</t>
        </is>
      </c>
      <c r="Y120" s="2065">
        <f>D159</f>
        <v/>
      </c>
      <c r="Z120" s="458" t="n"/>
      <c r="AA120" s="458" t="n"/>
    </row>
    <row r="121" customFormat="1" s="4">
      <c r="B121" s="626" t="inlineStr">
        <is>
          <t>每KW系統價格(NTD/KW) -未稅</t>
        </is>
      </c>
      <c r="C121" s="2066" t="n">
        <v>0</v>
      </c>
      <c r="D121" s="704" t="inlineStr">
        <is>
          <t>調整後價格</t>
        </is>
      </c>
      <c r="E121" s="705" t="n">
        <v>1</v>
      </c>
      <c r="F121" s="631" t="n"/>
      <c r="G121" s="632" t="n"/>
      <c r="H121" s="6" t="n"/>
      <c r="I121" s="6" t="n"/>
      <c r="J121" s="6" t="n"/>
      <c r="K121" s="706" t="inlineStr">
        <is>
          <t>稅前淨利率</t>
        </is>
      </c>
      <c r="L121" s="2067">
        <f>Z100/Z88</f>
        <v/>
      </c>
      <c r="M121" s="1647" t="n"/>
      <c r="N121" s="1647" t="n"/>
      <c r="O121" s="1647" t="n"/>
      <c r="P121" s="1647" t="n"/>
      <c r="Q121" s="1647" t="n"/>
      <c r="R121" s="1647" t="n"/>
      <c r="S121" s="1647" t="n"/>
      <c r="T121" s="1647" t="n"/>
      <c r="U121" s="1647" t="n"/>
      <c r="V121" s="1648" t="n"/>
      <c r="W121" s="6" t="n"/>
      <c r="X121" s="10" t="inlineStr">
        <is>
          <t>每股金額</t>
        </is>
      </c>
      <c r="Y121" s="2065" t="n">
        <v>10</v>
      </c>
      <c r="Z121" s="458" t="n"/>
      <c r="AA121" s="458" t="n"/>
    </row>
    <row r="122" customFormat="1" s="4">
      <c r="B122" s="626" t="inlineStr">
        <is>
          <t>總建構成本(NTD)</t>
        </is>
      </c>
      <c r="C122" s="2066">
        <f>C120*C121</f>
        <v/>
      </c>
      <c r="D122" s="634" t="n"/>
      <c r="E122" s="631" t="n"/>
      <c r="F122" s="631" t="n"/>
      <c r="G122" s="632" t="n"/>
      <c r="H122" s="6" t="n"/>
      <c r="I122" s="6" t="n"/>
      <c r="J122" s="6" t="n"/>
      <c r="K122" s="2068" t="inlineStr">
        <is>
          <t>稅後淨利率=(稅前淨利潤-所得稅20%)/ 營業收入*100% : 20年稅後總淨利潤 / 總電費收入</t>
        </is>
      </c>
      <c r="L122" s="1647" t="n"/>
      <c r="M122" s="1647" t="n"/>
      <c r="N122" s="1647" t="n"/>
      <c r="O122" s="1647" t="n"/>
      <c r="P122" s="1647" t="n"/>
      <c r="Q122" s="1647" t="n"/>
      <c r="R122" s="1647" t="n"/>
      <c r="S122" s="1647" t="n"/>
      <c r="T122" s="1647" t="n"/>
      <c r="U122" s="1647" t="n"/>
      <c r="V122" s="1648" t="n"/>
      <c r="X122" s="0" t="inlineStr">
        <is>
          <t>股數</t>
        </is>
      </c>
      <c r="Y122" s="2065">
        <f>Y120/Y121</f>
        <v/>
      </c>
      <c r="Z122" s="458" t="n"/>
      <c r="AA122" s="458" t="n"/>
    </row>
    <row r="123" customFormat="1" s="4">
      <c r="B123" s="626" t="inlineStr">
        <is>
          <t>政府補助(NTD/案)</t>
        </is>
      </c>
      <c r="C123" s="2066" t="n">
        <v>0</v>
      </c>
      <c r="D123" s="634" t="n"/>
      <c r="E123" s="631" t="n"/>
      <c r="F123" s="631" t="n"/>
      <c r="G123" s="632" t="n"/>
      <c r="H123" s="6" t="n"/>
      <c r="I123" s="6" t="n"/>
      <c r="J123" s="6" t="n"/>
      <c r="K123" s="707" t="inlineStr">
        <is>
          <t>稅後淨利率</t>
        </is>
      </c>
      <c r="L123" s="2069">
        <f>Z102/Z88</f>
        <v/>
      </c>
      <c r="M123" s="1647" t="n"/>
      <c r="N123" s="1647" t="n"/>
      <c r="O123" s="1647" t="n"/>
      <c r="P123" s="1647" t="n"/>
      <c r="Q123" s="1647" t="n"/>
      <c r="R123" s="1647" t="n"/>
      <c r="S123" s="1647" t="n"/>
      <c r="T123" s="1647" t="n"/>
      <c r="U123" s="1647" t="n"/>
      <c r="V123" s="1648" t="n"/>
      <c r="Z123" s="458" t="n"/>
      <c r="AA123" s="458" t="n"/>
    </row>
    <row r="124" customFormat="1" s="4">
      <c r="B124" s="626" t="inlineStr">
        <is>
          <t>貸款金額(NTD)</t>
        </is>
      </c>
      <c r="C124" s="2066" t="n">
        <v>0</v>
      </c>
      <c r="D124" s="638" t="n">
        <v>0</v>
      </c>
      <c r="E124" s="639" t="inlineStr">
        <is>
          <t>貸款成數</t>
        </is>
      </c>
      <c r="F124" s="631" t="n"/>
      <c r="G124" s="632" t="n"/>
      <c r="H124" s="6" t="n"/>
      <c r="I124" s="6" t="n"/>
      <c r="J124" s="6" t="n"/>
      <c r="K124" s="1465" t="n"/>
      <c r="L124" s="2070" t="n"/>
      <c r="M124" s="2070" t="n"/>
      <c r="N124" s="2070" t="n"/>
      <c r="O124" s="2070" t="n"/>
      <c r="P124" s="2070" t="n"/>
      <c r="Q124" s="2070" t="n"/>
      <c r="R124" s="2070" t="n"/>
      <c r="S124" s="2070" t="n"/>
      <c r="T124" s="2070" t="n"/>
      <c r="U124" s="2070" t="n"/>
      <c r="V124" s="2070" t="n"/>
      <c r="Z124" s="458" t="n"/>
      <c r="AA124" s="458" t="n"/>
    </row>
    <row r="125" customFormat="1" s="4">
      <c r="B125" s="708" t="inlineStr">
        <is>
          <t>償還年限</t>
        </is>
      </c>
      <c r="C125" s="2071" t="n">
        <v>15</v>
      </c>
      <c r="D125" s="709" t="inlineStr">
        <is>
          <t>(本息平均)償還法</t>
        </is>
      </c>
      <c r="E125" s="710" t="n"/>
      <c r="F125" s="710" t="n"/>
      <c r="G125" s="711" t="n"/>
      <c r="H125" s="7" t="inlineStr">
        <is>
          <t>有錢就還</t>
        </is>
      </c>
      <c r="I125" s="6" t="n"/>
      <c r="J125" s="6" t="n"/>
      <c r="K125" s="712" t="n"/>
      <c r="L125" s="713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Z125" s="458" t="n"/>
      <c r="AA125" s="458" t="n"/>
    </row>
    <row r="126" customFormat="1" s="4">
      <c r="B126" s="626" t="inlineStr">
        <is>
          <t>銀行利率(%)</t>
        </is>
      </c>
      <c r="C126" s="2072">
        <f>C71</f>
        <v/>
      </c>
      <c r="D126" s="2073" t="n">
        <v>0.025</v>
      </c>
      <c r="E126" s="631" t="n"/>
      <c r="F126" s="631" t="n"/>
      <c r="G126" s="632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Z126" s="458" t="n"/>
      <c r="AA126" s="458" t="n"/>
    </row>
    <row r="127" customFormat="1" s="4">
      <c r="B127" s="626" t="inlineStr">
        <is>
          <t>設備放置區域年租金(NTD)</t>
        </is>
      </c>
      <c r="C127" s="2066" t="n">
        <v>0</v>
      </c>
      <c r="D127" s="648" t="inlineStr">
        <is>
          <t>各地主租金總合+饋線途經國有財產地6公里租金</t>
        </is>
      </c>
      <c r="E127" s="643" t="inlineStr">
        <is>
          <t xml:space="preserve"> ; 租</t>
        </is>
      </c>
      <c r="F127" s="644" t="n">
        <v>20</v>
      </c>
      <c r="G127" s="645" t="inlineStr">
        <is>
          <t>年</t>
        </is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Z127" s="458" t="n"/>
      <c r="AA127" s="458" t="n"/>
    </row>
    <row r="128" customFormat="1" s="4">
      <c r="B128" s="626" t="inlineStr">
        <is>
          <t>維運費(NTD)</t>
        </is>
      </c>
      <c r="C128" s="2066" t="n">
        <v>0</v>
      </c>
      <c r="D128" s="648" t="inlineStr">
        <is>
          <t>400/kw</t>
        </is>
      </c>
      <c r="E128" s="647" t="inlineStr">
        <is>
          <t>; 保固共</t>
        </is>
      </c>
      <c r="F128" s="644" t="n">
        <v>20</v>
      </c>
      <c r="G128" s="645" t="inlineStr">
        <is>
          <t>年</t>
        </is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Z128" s="458" t="n"/>
      <c r="AA128" s="458" t="n"/>
    </row>
    <row r="129" customFormat="1" s="4">
      <c r="B129" s="626" t="inlineStr">
        <is>
          <t>保險費(NTD)</t>
        </is>
      </c>
      <c r="C129" s="2066" t="n">
        <v>0</v>
      </c>
      <c r="D129" s="648" t="n">
        <v>0.003</v>
      </c>
      <c r="E129" s="647" t="inlineStr">
        <is>
          <t>; 保險共</t>
        </is>
      </c>
      <c r="F129" s="644" t="n">
        <v>20</v>
      </c>
      <c r="G129" s="645" t="inlineStr">
        <is>
          <t>年</t>
        </is>
      </c>
      <c r="H129" s="6" t="n"/>
      <c r="I129" s="6" t="n"/>
      <c r="J129" s="6" t="n"/>
      <c r="K129" s="6" t="n"/>
      <c r="L129" s="6" t="n"/>
      <c r="M129" s="6" t="n"/>
      <c r="N129" s="0" t="n"/>
      <c r="O129" s="6" t="n"/>
      <c r="P129" s="6" t="n"/>
      <c r="Q129" s="6" t="n"/>
      <c r="R129" s="6" t="n"/>
      <c r="S129" s="6" t="n"/>
      <c r="T129" s="6" t="n"/>
      <c r="U129" s="6" t="n"/>
      <c r="V129" s="6" t="n"/>
      <c r="Z129" s="458" t="n"/>
      <c r="AA129" s="458" t="n"/>
    </row>
    <row r="130" customFormat="1" s="4">
      <c r="B130" s="626" t="inlineStr">
        <is>
          <t>模組回收費(NTD)</t>
        </is>
      </c>
      <c r="C130" s="2066" t="n">
        <v>0</v>
      </c>
      <c r="D130" s="648" t="inlineStr">
        <is>
          <t>分10年攤提</t>
        </is>
      </c>
      <c r="E130" s="647" t="inlineStr">
        <is>
          <t>; 攤提共</t>
        </is>
      </c>
      <c r="F130" s="644" t="n">
        <v>10</v>
      </c>
      <c r="G130" s="645" t="inlineStr">
        <is>
          <t>年</t>
        </is>
      </c>
      <c r="H130" s="6" t="n"/>
      <c r="I130" s="6" t="n"/>
      <c r="J130" s="6" t="n"/>
      <c r="K130" s="6" t="n"/>
      <c r="L130" s="6" t="n"/>
      <c r="M130" s="6" t="n"/>
      <c r="N130" s="0" t="n"/>
      <c r="O130" s="6" t="n"/>
      <c r="P130" s="6" t="n"/>
      <c r="Q130" s="6" t="n"/>
      <c r="R130" s="6" t="n"/>
      <c r="S130" s="6" t="n"/>
      <c r="T130" s="6" t="n"/>
      <c r="U130" s="6" t="n"/>
      <c r="V130" s="6" t="n"/>
      <c r="Z130" s="458" t="n"/>
      <c r="AA130" s="458" t="n"/>
    </row>
    <row r="131" customFormat="1" s="4">
      <c r="B131" s="626" t="inlineStr">
        <is>
          <t>其它費用(人事薪資…等)</t>
        </is>
      </c>
      <c r="C131" s="2066">
        <f>-Z97</f>
        <v/>
      </c>
      <c r="D131" s="646" t="n">
        <v>0</v>
      </c>
      <c r="E131" s="647" t="n"/>
      <c r="F131" s="644" t="n"/>
      <c r="G131" s="645" t="n"/>
      <c r="H131" s="6" t="n"/>
      <c r="I131" s="6" t="n"/>
      <c r="J131" s="6" t="n"/>
      <c r="K131" s="6" t="n"/>
      <c r="L131" s="6" t="n"/>
      <c r="M131" s="6" t="n"/>
      <c r="N131" s="0" t="n"/>
      <c r="O131" s="6" t="n"/>
      <c r="P131" s="6" t="n"/>
      <c r="Q131" s="6" t="n"/>
      <c r="R131" s="6" t="n"/>
      <c r="S131" s="6" t="n"/>
      <c r="T131" s="6" t="n"/>
      <c r="U131" s="6" t="n"/>
      <c r="V131" s="6" t="n"/>
      <c r="Z131" s="458" t="n"/>
      <c r="AA131" s="458" t="n"/>
    </row>
    <row r="132" hidden="1" customFormat="1" s="4">
      <c r="B132" s="626" t="inlineStr">
        <is>
          <t>所得稅金(收入20%)</t>
        </is>
      </c>
      <c r="C132" s="2066" t="n"/>
      <c r="D132" s="714" t="n">
        <v>0.2</v>
      </c>
      <c r="E132" s="647" t="n"/>
      <c r="F132" s="644" t="n"/>
      <c r="G132" s="645" t="n"/>
      <c r="H132" s="6" t="n"/>
      <c r="I132" s="6" t="n"/>
      <c r="J132" s="6" t="n"/>
      <c r="K132" s="6" t="n"/>
      <c r="L132" s="6" t="n"/>
      <c r="M132" s="6" t="n"/>
      <c r="N132" s="0" t="n"/>
      <c r="O132" s="6" t="n"/>
      <c r="P132" s="6" t="n"/>
      <c r="Q132" s="6" t="n"/>
      <c r="R132" s="6" t="n"/>
      <c r="S132" s="6" t="n"/>
      <c r="T132" s="6" t="n"/>
      <c r="U132" s="6" t="n"/>
      <c r="V132" s="6" t="n"/>
      <c r="Z132" s="458" t="n"/>
      <c r="AA132" s="458" t="n"/>
    </row>
    <row r="133" hidden="1" customFormat="1" s="4">
      <c r="B133" s="626" t="inlineStr">
        <is>
          <t>法定盈餘公基金(10%)</t>
        </is>
      </c>
      <c r="C133" s="2066">
        <f>-#REF!</f>
        <v/>
      </c>
      <c r="D133" s="714" t="n">
        <v>0.1</v>
      </c>
      <c r="E133" s="647" t="n"/>
      <c r="F133" s="644" t="n"/>
      <c r="G133" s="645" t="n"/>
      <c r="H133" s="6" t="n"/>
      <c r="I133" s="6" t="n"/>
      <c r="J133" s="6" t="n"/>
      <c r="K133" s="6" t="n"/>
      <c r="L133" s="6" t="n"/>
      <c r="M133" s="6" t="n"/>
      <c r="N133" s="0" t="n"/>
      <c r="O133" s="6" t="n"/>
      <c r="P133" s="6" t="n"/>
      <c r="Q133" s="6" t="n"/>
      <c r="R133" s="6" t="n"/>
      <c r="S133" s="6" t="n"/>
      <c r="T133" s="6" t="n"/>
      <c r="U133" s="6" t="n"/>
      <c r="V133" s="6" t="n"/>
      <c r="Z133" s="458" t="n"/>
      <c r="AA133" s="458" t="n"/>
    </row>
    <row r="134" hidden="1" customFormat="1" s="4">
      <c r="B134" s="626" t="inlineStr">
        <is>
          <t>營運週轉金</t>
        </is>
      </c>
      <c r="C134" s="2066">
        <f>-#REF!</f>
        <v/>
      </c>
      <c r="D134" s="714" t="n">
        <v>0.4</v>
      </c>
      <c r="E134" s="647" t="n"/>
      <c r="F134" s="644" t="n"/>
      <c r="G134" s="645" t="n"/>
      <c r="H134" s="6" t="n"/>
      <c r="I134" s="6" t="n"/>
      <c r="J134" s="6" t="n"/>
      <c r="K134" s="6" t="n"/>
      <c r="L134" s="6" t="n"/>
      <c r="M134" s="6" t="n"/>
      <c r="N134" s="0" t="n"/>
      <c r="O134" s="6" t="n"/>
      <c r="P134" s="6" t="n"/>
      <c r="Q134" s="6" t="n"/>
      <c r="R134" s="6" t="n"/>
      <c r="S134" s="6" t="n"/>
      <c r="T134" s="6" t="n"/>
      <c r="U134" s="6" t="n"/>
      <c r="V134" s="6" t="n"/>
      <c r="Z134" s="458" t="n"/>
      <c r="AA134" s="458" t="n"/>
    </row>
    <row r="135" hidden="1" customFormat="1" s="4">
      <c r="B135" s="626" t="inlineStr">
        <is>
          <t>初始資金需求</t>
        </is>
      </c>
      <c r="C135" s="2066">
        <f>C122</f>
        <v/>
      </c>
      <c r="D135" s="2074" t="inlineStr">
        <is>
          <t>原始資金需求</t>
        </is>
      </c>
      <c r="E135" s="1647" t="n"/>
      <c r="F135" s="1647" t="n"/>
      <c r="G135" s="1648" t="n"/>
      <c r="H135" s="6" t="n"/>
      <c r="I135" s="2075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Z135" s="458" t="n"/>
      <c r="AA135" s="458" t="n"/>
    </row>
    <row r="136" customFormat="1" s="4">
      <c r="B136" s="626" t="inlineStr">
        <is>
          <t>折扣率(%)</t>
        </is>
      </c>
      <c r="C136" s="752" t="n">
        <v>0</v>
      </c>
      <c r="D136" s="1431" t="inlineStr">
        <is>
          <t>競標型</t>
        </is>
      </c>
      <c r="E136" s="631" t="n"/>
      <c r="F136" s="631" t="n"/>
      <c r="G136" s="632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Z136" s="458" t="n"/>
      <c r="AA136" s="458" t="n"/>
    </row>
    <row r="137" customFormat="1" s="4">
      <c r="B137" s="626" t="inlineStr">
        <is>
          <t>高效加成%</t>
        </is>
      </c>
      <c r="C137" s="752" t="n"/>
      <c r="D137" s="634" t="n"/>
      <c r="E137" s="631" t="n"/>
      <c r="F137" s="631" t="n"/>
      <c r="G137" s="632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Z137" s="458" t="n"/>
      <c r="AA137" s="458" t="n"/>
    </row>
    <row r="138" customFormat="1" s="4">
      <c r="B138" s="754" t="inlineStr">
        <is>
          <t>最終躉售費率</t>
        </is>
      </c>
      <c r="C138" s="2076" t="n"/>
      <c r="D138" s="634" t="n"/>
      <c r="E138" s="631" t="n"/>
      <c r="F138" s="631" t="n"/>
      <c r="G138" s="632" t="n"/>
      <c r="H138" s="6" t="n"/>
      <c r="I138" s="649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Z138" s="458" t="n"/>
      <c r="AA138" s="458" t="n"/>
    </row>
    <row r="139" customFormat="1" s="4">
      <c r="B139" s="650" t="inlineStr">
        <is>
          <t>Internal Rate of Return; IRR (%)</t>
        </is>
      </c>
      <c r="C139" s="759">
        <f>C80</f>
        <v/>
      </c>
      <c r="D139" s="651" t="n"/>
      <c r="E139" s="631" t="n"/>
      <c r="F139" s="631" t="n"/>
      <c r="G139" s="652" t="n"/>
      <c r="H139" s="0" t="n"/>
      <c r="I139" s="340" t="n"/>
      <c r="Z139" s="458" t="n"/>
      <c r="AA139" s="458" t="n"/>
    </row>
    <row r="140" customFormat="1" s="4">
      <c r="B140" s="6" t="n"/>
      <c r="C140" s="2077" t="n"/>
      <c r="D140" s="7" t="n"/>
      <c r="E140" s="6" t="n"/>
      <c r="F140" s="6" t="n"/>
      <c r="G140" s="5" t="n"/>
      <c r="H140" s="0" t="n"/>
      <c r="I140" s="6" t="n"/>
      <c r="Z140" s="458" t="n"/>
      <c r="AA140" s="458" t="n"/>
    </row>
    <row r="141" customFormat="1" s="4">
      <c r="Z141" s="458" t="n"/>
      <c r="AA141" s="458" t="n"/>
    </row>
    <row r="142" customFormat="1" s="4">
      <c r="Z142" s="458" t="n"/>
      <c r="AA142" s="458" t="n"/>
    </row>
    <row r="143" ht="30" customFormat="1" customHeight="1" s="4">
      <c r="C143" s="715" t="inlineStr">
        <is>
          <t>進度</t>
        </is>
      </c>
      <c r="D143" s="715" t="inlineStr">
        <is>
          <t>年度</t>
        </is>
      </c>
      <c r="E143" s="715" t="inlineStr">
        <is>
          <t>Site</t>
        </is>
      </c>
      <c r="F143" s="715" t="inlineStr">
        <is>
          <t>地 點</t>
        </is>
      </c>
      <c r="G143" s="715" t="inlineStr">
        <is>
          <t>案件名</t>
        </is>
      </c>
      <c r="H143" s="715" t="inlineStr">
        <is>
          <t>類型</t>
        </is>
      </c>
      <c r="I143" s="715" t="inlineStr">
        <is>
          <t>轉售</t>
        </is>
      </c>
      <c r="J143" s="716" t="inlineStr">
        <is>
          <t>容 量
(Kw)</t>
        </is>
      </c>
      <c r="K143" s="715" t="inlineStr">
        <is>
          <t>IRR</t>
        </is>
      </c>
      <c r="L143" s="717" t="inlineStr">
        <is>
          <t>毛利率</t>
        </is>
      </c>
      <c r="M143" s="715" t="inlineStr">
        <is>
          <t>稅前淨利率</t>
        </is>
      </c>
      <c r="N143" s="717" t="inlineStr">
        <is>
          <t>稅後淨利率</t>
        </is>
      </c>
      <c r="O143" s="716" t="inlineStr">
        <is>
          <t>總建置成本
(NTD仟元)</t>
        </is>
      </c>
      <c r="P143" s="716" t="inlineStr">
        <is>
          <t>總發電收入
(NTD仟元)</t>
        </is>
      </c>
      <c r="Q143" s="716" t="inlineStr">
        <is>
          <t>累計費用
(NTD仟元)</t>
        </is>
      </c>
      <c r="R143" s="716" t="inlineStr">
        <is>
          <t>累積稅金
(NTD仟元)</t>
        </is>
      </c>
      <c r="S143" s="716" t="inlineStr">
        <is>
          <t>專案淨利
(NTD仟元)</t>
        </is>
      </c>
      <c r="T143" s="716" t="inlineStr">
        <is>
          <t>專案稅後淨利
(NTD仟元)</t>
        </is>
      </c>
      <c r="U143" s="718" t="inlineStr">
        <is>
          <t>備 註</t>
        </is>
      </c>
      <c r="Z143" s="458" t="n"/>
      <c r="AA143" s="458" t="n"/>
    </row>
    <row r="144" customFormat="1" s="4">
      <c r="C144" s="640" t="n"/>
      <c r="D144" s="640" t="n"/>
      <c r="E144" s="640" t="n"/>
      <c r="F144" s="640" t="n"/>
      <c r="G144" s="640" t="n"/>
      <c r="H144" s="640" t="n"/>
      <c r="I144" s="640" t="n"/>
      <c r="J144" s="2078">
        <f>C65</f>
        <v/>
      </c>
      <c r="K144" s="720">
        <f>C80</f>
        <v/>
      </c>
      <c r="L144" s="720">
        <f>(P144-O144)/P144</f>
        <v/>
      </c>
      <c r="M144" s="720">
        <f>S144/P144</f>
        <v/>
      </c>
      <c r="N144" s="720">
        <f>T144/P144</f>
        <v/>
      </c>
      <c r="O144" s="2079">
        <f>C122/1000</f>
        <v/>
      </c>
      <c r="P144" s="2080">
        <f>Z88/1000</f>
        <v/>
      </c>
      <c r="Q144" s="2080">
        <f>AA97/1000</f>
        <v/>
      </c>
      <c r="R144" s="2080">
        <f>Z101/1000</f>
        <v/>
      </c>
      <c r="S144" s="2080">
        <f>P144+Q144</f>
        <v/>
      </c>
      <c r="T144" s="2080">
        <f>P144+Q144+R144</f>
        <v/>
      </c>
      <c r="U144" s="640" t="n"/>
      <c r="Z144" s="458" t="n"/>
      <c r="AA144" s="458" t="n"/>
    </row>
    <row r="145" customFormat="1" s="4">
      <c r="Z145" s="458" t="n"/>
      <c r="AA145" s="458" t="n"/>
    </row>
    <row r="146" customFormat="1" s="4">
      <c r="Z146" s="458" t="n"/>
      <c r="AA146" s="458" t="n"/>
    </row>
    <row r="147" customFormat="1" s="4">
      <c r="C147" s="457" t="inlineStr">
        <is>
          <t>年份</t>
        </is>
      </c>
      <c r="D147" s="470" t="n">
        <v>2020</v>
      </c>
      <c r="E147" s="470" t="n">
        <v>2021</v>
      </c>
      <c r="F147" s="470" t="n">
        <v>2022</v>
      </c>
      <c r="G147" s="470" t="n">
        <v>2023</v>
      </c>
      <c r="H147" s="470" t="n">
        <v>2024</v>
      </c>
      <c r="I147" s="470" t="n">
        <v>2025</v>
      </c>
      <c r="J147" s="470" t="n">
        <v>2026</v>
      </c>
      <c r="K147" s="470" t="n">
        <v>2027</v>
      </c>
      <c r="L147" s="470" t="n">
        <v>2028</v>
      </c>
      <c r="M147" s="470" t="n">
        <v>2029</v>
      </c>
      <c r="N147" s="470" t="n">
        <v>2030</v>
      </c>
      <c r="O147" s="470" t="n">
        <v>2031</v>
      </c>
      <c r="P147" s="470" t="n">
        <v>2032</v>
      </c>
      <c r="Q147" s="470" t="n">
        <v>2033</v>
      </c>
      <c r="R147" s="470" t="n">
        <v>2034</v>
      </c>
      <c r="S147" s="470" t="n">
        <v>2035</v>
      </c>
      <c r="T147" s="470" t="n">
        <v>2036</v>
      </c>
      <c r="U147" s="470" t="n">
        <v>2037</v>
      </c>
      <c r="V147" s="470" t="n">
        <v>2038</v>
      </c>
      <c r="W147" s="470" t="n">
        <v>2039</v>
      </c>
      <c r="X147" s="458" t="n"/>
      <c r="Y147" s="458" t="n"/>
    </row>
    <row r="148" customFormat="1" s="4">
      <c r="X148" s="458" t="n"/>
      <c r="Y148" s="458" t="n"/>
    </row>
    <row r="149" ht="15.75" customFormat="1" customHeight="1" s="464">
      <c r="B149" s="456" t="inlineStr">
        <is>
          <t>(Unit : Currency)</t>
        </is>
      </c>
      <c r="C149" s="456" t="n">
        <v>0</v>
      </c>
      <c r="D149" s="456" t="n">
        <v>1</v>
      </c>
      <c r="E149" s="456" t="n">
        <v>2</v>
      </c>
      <c r="F149" s="456" t="n">
        <v>3</v>
      </c>
      <c r="G149" s="456" t="n">
        <v>4</v>
      </c>
      <c r="H149" s="456" t="n">
        <v>5</v>
      </c>
      <c r="I149" s="456" t="n">
        <v>6</v>
      </c>
      <c r="J149" s="456" t="n">
        <v>7</v>
      </c>
      <c r="K149" s="456" t="n">
        <v>8</v>
      </c>
      <c r="L149" s="456" t="n">
        <v>9</v>
      </c>
      <c r="M149" s="456" t="n">
        <v>10</v>
      </c>
      <c r="N149" s="456" t="n">
        <v>11</v>
      </c>
      <c r="O149" s="456" t="n">
        <v>12</v>
      </c>
      <c r="P149" s="456" t="n">
        <v>13</v>
      </c>
      <c r="Q149" s="456" t="n">
        <v>14</v>
      </c>
      <c r="R149" s="456" t="n">
        <v>15</v>
      </c>
      <c r="S149" s="456" t="n">
        <v>16</v>
      </c>
      <c r="T149" s="456" t="n">
        <v>17</v>
      </c>
      <c r="U149" s="456" t="n">
        <v>18</v>
      </c>
      <c r="V149" s="456" t="n">
        <v>19</v>
      </c>
      <c r="W149" s="456" t="n">
        <v>20</v>
      </c>
      <c r="X149" s="455" t="n"/>
      <c r="Y149" s="455" t="n"/>
    </row>
    <row r="150" ht="15.75" customFormat="1" customHeight="1" s="459">
      <c r="B150" s="469" t="inlineStr">
        <is>
          <t>稅後淨利</t>
        </is>
      </c>
      <c r="C150" s="469" t="n"/>
      <c r="D150" s="2081">
        <f>D102</f>
        <v/>
      </c>
      <c r="E150" s="2081">
        <f>E102</f>
        <v/>
      </c>
      <c r="F150" s="2081">
        <f>F102</f>
        <v/>
      </c>
      <c r="G150" s="2081">
        <f>G102</f>
        <v/>
      </c>
      <c r="H150" s="2081">
        <f>H102</f>
        <v/>
      </c>
      <c r="I150" s="2081">
        <f>I102</f>
        <v/>
      </c>
      <c r="J150" s="2081">
        <f>J102</f>
        <v/>
      </c>
      <c r="K150" s="2081">
        <f>K102</f>
        <v/>
      </c>
      <c r="L150" s="2081">
        <f>L102</f>
        <v/>
      </c>
      <c r="M150" s="2081">
        <f>M102</f>
        <v/>
      </c>
      <c r="N150" s="2081">
        <f>N102</f>
        <v/>
      </c>
      <c r="O150" s="2081">
        <f>O102</f>
        <v/>
      </c>
      <c r="P150" s="2081">
        <f>P102</f>
        <v/>
      </c>
      <c r="Q150" s="2081">
        <f>Q102</f>
        <v/>
      </c>
      <c r="R150" s="2081">
        <f>R102</f>
        <v/>
      </c>
      <c r="S150" s="2081">
        <f>S102</f>
        <v/>
      </c>
      <c r="T150" s="2081">
        <f>T102</f>
        <v/>
      </c>
      <c r="U150" s="2081">
        <f>U102</f>
        <v/>
      </c>
      <c r="V150" s="2081">
        <f>V102</f>
        <v/>
      </c>
      <c r="W150" s="2081">
        <f>W102</f>
        <v/>
      </c>
      <c r="X150" s="2082">
        <f>SUM(D150:W150)</f>
        <v/>
      </c>
      <c r="Y150" s="2001">
        <f>IF(ROUND((Z102-X150),0)=0,"correct", "error")</f>
        <v/>
      </c>
    </row>
    <row r="151" ht="15.75" customFormat="1" customHeight="1" s="459">
      <c r="B151" s="469" t="inlineStr">
        <is>
          <t>設備折舊</t>
        </is>
      </c>
      <c r="C151" s="469" t="n"/>
      <c r="D151" s="2083">
        <f>-D90</f>
        <v/>
      </c>
      <c r="E151" s="2083">
        <f>-E90</f>
        <v/>
      </c>
      <c r="F151" s="2083">
        <f>-F90</f>
        <v/>
      </c>
      <c r="G151" s="2083">
        <f>-G90</f>
        <v/>
      </c>
      <c r="H151" s="2083">
        <f>-H90</f>
        <v/>
      </c>
      <c r="I151" s="2083">
        <f>-I90</f>
        <v/>
      </c>
      <c r="J151" s="2083">
        <f>-J90</f>
        <v/>
      </c>
      <c r="K151" s="2083">
        <f>-K90</f>
        <v/>
      </c>
      <c r="L151" s="2083">
        <f>-L90</f>
        <v/>
      </c>
      <c r="M151" s="2083">
        <f>-M90</f>
        <v/>
      </c>
      <c r="N151" s="2083">
        <f>-N90</f>
        <v/>
      </c>
      <c r="O151" s="2083">
        <f>-O90</f>
        <v/>
      </c>
      <c r="P151" s="2083">
        <f>-P90</f>
        <v/>
      </c>
      <c r="Q151" s="2083">
        <f>-Q90</f>
        <v/>
      </c>
      <c r="R151" s="2083">
        <f>-R90</f>
        <v/>
      </c>
      <c r="S151" s="2083">
        <f>-S90</f>
        <v/>
      </c>
      <c r="T151" s="2083">
        <f>-T90</f>
        <v/>
      </c>
      <c r="U151" s="2083">
        <f>-U90</f>
        <v/>
      </c>
      <c r="V151" s="2083">
        <f>-V90</f>
        <v/>
      </c>
      <c r="W151" s="2083">
        <f>-W90</f>
        <v/>
      </c>
      <c r="X151" s="2082">
        <f>SUM(D151:W151)</f>
        <v/>
      </c>
      <c r="Y151" s="2001">
        <f>IF(ROUND((X151-Z106),0)=0,"correct", "error")</f>
        <v/>
      </c>
    </row>
    <row r="152" ht="15.75" customFormat="1" customHeight="1" s="459">
      <c r="B152" s="469" t="inlineStr">
        <is>
          <t>營運活動現金流量</t>
        </is>
      </c>
      <c r="C152" s="469" t="n"/>
      <c r="D152" s="2084">
        <f>SUM(D150:D151)</f>
        <v/>
      </c>
      <c r="E152" s="2084">
        <f>SUM(E150:E151)</f>
        <v/>
      </c>
      <c r="F152" s="2084">
        <f>SUM(F150:F151)</f>
        <v/>
      </c>
      <c r="G152" s="2084">
        <f>SUM(G150:G151)</f>
        <v/>
      </c>
      <c r="H152" s="2084">
        <f>SUM(H150:H151)</f>
        <v/>
      </c>
      <c r="I152" s="2084">
        <f>SUM(I150:I151)</f>
        <v/>
      </c>
      <c r="J152" s="2084">
        <f>SUM(J150:J151)</f>
        <v/>
      </c>
      <c r="K152" s="2084">
        <f>SUM(K150:K151)</f>
        <v/>
      </c>
      <c r="L152" s="2084">
        <f>SUM(L150:L151)</f>
        <v/>
      </c>
      <c r="M152" s="2084">
        <f>SUM(M150:M151)</f>
        <v/>
      </c>
      <c r="N152" s="2084">
        <f>SUM(N150:N151)</f>
        <v/>
      </c>
      <c r="O152" s="2084">
        <f>SUM(O150:O151)</f>
        <v/>
      </c>
      <c r="P152" s="2084">
        <f>SUM(P150:P151)</f>
        <v/>
      </c>
      <c r="Q152" s="2084">
        <f>SUM(Q150:Q151)</f>
        <v/>
      </c>
      <c r="R152" s="2084">
        <f>SUM(R150:R151)</f>
        <v/>
      </c>
      <c r="S152" s="2084">
        <f>SUM(S150:S151)</f>
        <v/>
      </c>
      <c r="T152" s="2084">
        <f>SUM(T150:T151)</f>
        <v/>
      </c>
      <c r="U152" s="2084">
        <f>SUM(U150:U151)</f>
        <v/>
      </c>
      <c r="V152" s="2084">
        <f>SUM(V150:V151)</f>
        <v/>
      </c>
      <c r="W152" s="2084">
        <f>SUM(W150:W151)</f>
        <v/>
      </c>
      <c r="X152" s="2082" t="n"/>
      <c r="Y152" s="2082" t="n"/>
    </row>
    <row r="153" ht="15.75" customFormat="1" customHeight="1" s="459">
      <c r="B153" s="469" t="n"/>
      <c r="C153" s="469" t="n"/>
      <c r="D153" s="469" t="n"/>
      <c r="E153" s="469" t="n"/>
      <c r="F153" s="2081" t="n"/>
      <c r="G153" s="2081" t="n"/>
      <c r="H153" s="2081" t="n"/>
      <c r="I153" s="2081" t="n"/>
      <c r="J153" s="2081" t="n"/>
      <c r="K153" s="2081" t="n"/>
      <c r="L153" s="2081" t="n"/>
      <c r="M153" s="2081" t="n"/>
      <c r="N153" s="2081" t="n"/>
      <c r="O153" s="2081" t="n"/>
      <c r="P153" s="2081" t="n"/>
      <c r="Q153" s="2081" t="n"/>
      <c r="R153" s="2081" t="n"/>
      <c r="S153" s="2081" t="n"/>
      <c r="T153" s="2081" t="n"/>
      <c r="U153" s="2081" t="n"/>
      <c r="V153" s="2081" t="n"/>
      <c r="W153" s="2081" t="n"/>
      <c r="X153" s="2082" t="n"/>
      <c r="Y153" s="458" t="n"/>
    </row>
    <row r="154" ht="15.75" customFormat="1" customHeight="1" s="459">
      <c r="B154" s="471" t="inlineStr">
        <is>
          <t>投資活動-設備支出</t>
        </is>
      </c>
      <c r="C154" s="2085" t="n"/>
      <c r="D154" s="2085">
        <f>C37</f>
        <v/>
      </c>
      <c r="E154" s="2085" t="n">
        <v>0</v>
      </c>
      <c r="F154" s="2085" t="n"/>
      <c r="G154" s="2085" t="n">
        <v>0</v>
      </c>
      <c r="H154" s="2085" t="n">
        <v>0</v>
      </c>
      <c r="I154" s="2085" t="n">
        <v>0</v>
      </c>
      <c r="J154" s="2085" t="n">
        <v>0</v>
      </c>
      <c r="K154" s="2085" t="n">
        <v>0</v>
      </c>
      <c r="L154" s="2085" t="n">
        <v>0</v>
      </c>
      <c r="M154" s="2085" t="n">
        <v>0</v>
      </c>
      <c r="N154" s="2085" t="n">
        <v>0</v>
      </c>
      <c r="O154" s="2085" t="n">
        <v>0</v>
      </c>
      <c r="P154" s="2085" t="n">
        <v>0</v>
      </c>
      <c r="Q154" s="2085" t="n">
        <v>0</v>
      </c>
      <c r="R154" s="2085" t="n">
        <v>0</v>
      </c>
      <c r="S154" s="2085" t="n">
        <v>0</v>
      </c>
      <c r="T154" s="2085" t="n">
        <v>0</v>
      </c>
      <c r="U154" s="2085" t="n">
        <v>0</v>
      </c>
      <c r="V154" s="2085" t="n">
        <v>0</v>
      </c>
      <c r="W154" s="2085" t="n">
        <v>0</v>
      </c>
      <c r="X154" s="2082">
        <f>SUM(D154:W154)</f>
        <v/>
      </c>
      <c r="Y154" s="2001">
        <f>IF(ROUND((X151+X154),0)=0,"correct", "error")</f>
        <v/>
      </c>
    </row>
    <row r="155" ht="15.75" customFormat="1" customHeight="1" s="459">
      <c r="B155" s="469" t="n"/>
      <c r="C155" s="469" t="n"/>
      <c r="D155" s="469" t="n"/>
      <c r="E155" s="469" t="n"/>
      <c r="F155" s="2081" t="n"/>
      <c r="G155" s="2081" t="n"/>
      <c r="H155" s="2081" t="n"/>
      <c r="I155" s="2081" t="n"/>
      <c r="J155" s="2081" t="n"/>
      <c r="K155" s="2081" t="n"/>
      <c r="L155" s="2081" t="n"/>
      <c r="M155" s="2081" t="n"/>
      <c r="N155" s="2081" t="n"/>
      <c r="O155" s="2081" t="n"/>
      <c r="P155" s="2081" t="n"/>
      <c r="Q155" s="2081" t="n"/>
      <c r="R155" s="2081" t="n"/>
      <c r="S155" s="2081" t="n"/>
      <c r="T155" s="2081" t="n"/>
      <c r="U155" s="2081" t="n"/>
      <c r="V155" s="2081" t="n"/>
      <c r="W155" s="2081" t="n"/>
      <c r="X155" s="458" t="n"/>
      <c r="Y155" s="458" t="n"/>
    </row>
    <row r="156" ht="15.75" customFormat="1" customHeight="1" s="459">
      <c r="B156" s="469" t="n"/>
      <c r="C156" s="469" t="n"/>
      <c r="D156" s="469" t="n"/>
      <c r="E156" s="469" t="n"/>
      <c r="F156" s="2081" t="n"/>
      <c r="G156" s="2081" t="n"/>
      <c r="H156" s="2081" t="n"/>
      <c r="I156" s="2081" t="n"/>
      <c r="J156" s="2081" t="n"/>
      <c r="K156" s="2081" t="n"/>
      <c r="L156" s="2081" t="n"/>
      <c r="M156" s="2081" t="n"/>
      <c r="N156" s="2081" t="n"/>
      <c r="O156" s="2081" t="n"/>
      <c r="P156" s="2081" t="n"/>
      <c r="Q156" s="2081" t="n"/>
      <c r="R156" s="2081" t="n"/>
      <c r="S156" s="2081" t="n"/>
      <c r="T156" s="2081" t="n"/>
      <c r="U156" s="2081" t="n"/>
      <c r="V156" s="2081" t="n"/>
      <c r="W156" s="2081" t="n"/>
      <c r="X156" s="458" t="n"/>
      <c r="Y156" s="458" t="n"/>
    </row>
    <row r="157" ht="15.75" customFormat="1" customHeight="1" s="459">
      <c r="B157" s="471" t="inlineStr">
        <is>
          <t>理財活動-借款</t>
        </is>
      </c>
      <c r="C157" s="2085" t="n"/>
      <c r="D157" s="2085">
        <f>Z28*0.75</f>
        <v/>
      </c>
      <c r="E157" s="2085" t="n"/>
      <c r="F157" s="2085" t="n"/>
      <c r="G157" s="2085" t="n">
        <v>0</v>
      </c>
      <c r="H157" s="2085" t="n">
        <v>0</v>
      </c>
      <c r="I157" s="2085" t="n">
        <v>0</v>
      </c>
      <c r="J157" s="2085" t="n">
        <v>0</v>
      </c>
      <c r="K157" s="2085" t="n">
        <v>0</v>
      </c>
      <c r="L157" s="2085" t="n">
        <v>0</v>
      </c>
      <c r="M157" s="2085" t="n">
        <v>0</v>
      </c>
      <c r="N157" s="2085" t="n">
        <v>0</v>
      </c>
      <c r="O157" s="2085" t="n">
        <v>0</v>
      </c>
      <c r="P157" s="2085" t="n">
        <v>0</v>
      </c>
      <c r="Q157" s="2085" t="n">
        <v>0</v>
      </c>
      <c r="R157" s="2085" t="n">
        <v>0</v>
      </c>
      <c r="S157" s="2085" t="n">
        <v>0</v>
      </c>
      <c r="T157" s="2085" t="n">
        <v>0</v>
      </c>
      <c r="U157" s="2085" t="n">
        <v>0</v>
      </c>
      <c r="V157" s="2085" t="n">
        <v>0</v>
      </c>
      <c r="W157" s="2085" t="n">
        <v>0</v>
      </c>
      <c r="X157" s="2082">
        <f>SUM(D157:W157)</f>
        <v/>
      </c>
      <c r="Y157" s="458" t="n"/>
    </row>
    <row r="158" ht="15.75" customFormat="1" customHeight="1" s="459">
      <c r="B158" s="469" t="inlineStr">
        <is>
          <t>理財活動-還款</t>
        </is>
      </c>
      <c r="C158" s="469" t="n"/>
      <c r="D158" s="469" t="n"/>
      <c r="E158" s="2081">
        <f>-$D$182</f>
        <v/>
      </c>
      <c r="F158" s="2081">
        <f>-$D$182</f>
        <v/>
      </c>
      <c r="G158" s="2081">
        <f>-$D$182</f>
        <v/>
      </c>
      <c r="H158" s="2081">
        <f>-$D$182</f>
        <v/>
      </c>
      <c r="I158" s="2081">
        <f>-$D$182</f>
        <v/>
      </c>
      <c r="J158" s="2081">
        <f>-$D$182</f>
        <v/>
      </c>
      <c r="K158" s="2081">
        <f>-$D$182</f>
        <v/>
      </c>
      <c r="L158" s="2081">
        <f>-$D$182</f>
        <v/>
      </c>
      <c r="M158" s="2081">
        <f>-$D$182</f>
        <v/>
      </c>
      <c r="N158" s="2081">
        <f>-$D$182</f>
        <v/>
      </c>
      <c r="O158" s="2081">
        <f>-$D$182</f>
        <v/>
      </c>
      <c r="P158" s="2081">
        <f>-$D$182</f>
        <v/>
      </c>
      <c r="Q158" s="2081">
        <f>-$D$182</f>
        <v/>
      </c>
      <c r="R158" s="2081">
        <f>-$D$182</f>
        <v/>
      </c>
      <c r="S158" s="2081">
        <f>-$D$182</f>
        <v/>
      </c>
      <c r="T158" s="2081" t="n"/>
      <c r="U158" s="2081" t="n"/>
      <c r="V158" s="2081" t="n"/>
      <c r="W158" s="2081" t="n"/>
      <c r="X158" s="2082">
        <f>SUM(D158:W158)</f>
        <v/>
      </c>
      <c r="Y158" s="2001">
        <f>IF(ROUND((X157+X158),0)=0,"correct", "error")</f>
        <v/>
      </c>
      <c r="Z158" s="2086" t="n"/>
    </row>
    <row r="159" ht="15.75" customFormat="1" customHeight="1" s="459">
      <c r="B159" s="2081" t="inlineStr">
        <is>
          <t>理財活動-現金增資</t>
        </is>
      </c>
      <c r="C159" s="2081" t="n"/>
      <c r="D159" s="2081">
        <f>Z28*0.25</f>
        <v/>
      </c>
      <c r="E159" s="2081" t="n"/>
      <c r="F159" s="2081" t="n"/>
      <c r="G159" s="2081" t="n"/>
      <c r="H159" s="2081" t="n"/>
      <c r="I159" s="2081" t="n"/>
      <c r="J159" s="2081" t="n"/>
      <c r="K159" s="2081" t="n"/>
      <c r="L159" s="2081" t="n"/>
      <c r="M159" s="2081" t="n"/>
      <c r="N159" s="2081" t="n"/>
      <c r="O159" s="2081" t="n"/>
      <c r="P159" s="2081" t="n"/>
      <c r="Q159" s="2081" t="n"/>
      <c r="R159" s="2081" t="n"/>
      <c r="S159" s="2081" t="n"/>
      <c r="T159" s="2081" t="n"/>
      <c r="U159" s="2081" t="n"/>
      <c r="V159" s="2081" t="n"/>
      <c r="W159" s="2081" t="n"/>
      <c r="X159" s="2082" t="n"/>
      <c r="Y159" s="2082" t="n"/>
      <c r="Z159" s="2086" t="n"/>
    </row>
    <row r="160" ht="15.75" customFormat="1" customHeight="1" s="459">
      <c r="B160" s="2081" t="inlineStr">
        <is>
          <t>現金股利</t>
        </is>
      </c>
      <c r="C160" s="2081" t="n"/>
      <c r="D160" s="2081" t="n"/>
      <c r="E160" s="2087">
        <f>-D150*0.9</f>
        <v/>
      </c>
      <c r="F160" s="2081">
        <f>-E150*0.9</f>
        <v/>
      </c>
      <c r="G160" s="2081">
        <f>-F150*0.9</f>
        <v/>
      </c>
      <c r="H160" s="2081">
        <f>-G150*0.9</f>
        <v/>
      </c>
      <c r="I160" s="2081">
        <f>-H150*0.9</f>
        <v/>
      </c>
      <c r="J160" s="2081">
        <f>-I150*0.9</f>
        <v/>
      </c>
      <c r="K160" s="2081">
        <f>-J150*0.9</f>
        <v/>
      </c>
      <c r="L160" s="2081">
        <f>-K150*0.9</f>
        <v/>
      </c>
      <c r="M160" s="2081">
        <f>-L150*0.9</f>
        <v/>
      </c>
      <c r="N160" s="2081">
        <f>-M150*0.9</f>
        <v/>
      </c>
      <c r="O160" s="2081">
        <f>-N150*0.9</f>
        <v/>
      </c>
      <c r="P160" s="2081">
        <f>-O150*0.9</f>
        <v/>
      </c>
      <c r="Q160" s="2081">
        <f>-P150*0.9</f>
        <v/>
      </c>
      <c r="R160" s="2081">
        <f>-Q150*0.9</f>
        <v/>
      </c>
      <c r="S160" s="2081">
        <f>-R150*0.9</f>
        <v/>
      </c>
      <c r="T160" s="2081">
        <f>-S150*0.9</f>
        <v/>
      </c>
      <c r="U160" s="2081">
        <f>-T150*0.9</f>
        <v/>
      </c>
      <c r="V160" s="2081">
        <f>-U150*0.9</f>
        <v/>
      </c>
      <c r="W160" s="2081">
        <f>-V150*0.9</f>
        <v/>
      </c>
      <c r="X160" s="2081">
        <f>-W150</f>
        <v/>
      </c>
      <c r="Y160" s="2082" t="n"/>
      <c r="Z160" s="2082" t="n"/>
    </row>
    <row r="161" ht="15.75" customFormat="1" customHeight="1" s="459">
      <c r="B161" s="2088" t="inlineStr">
        <is>
          <t>年底減資</t>
        </is>
      </c>
      <c r="C161" s="2088" t="n"/>
      <c r="D161" s="2088" t="n"/>
      <c r="E161" s="2088" t="n"/>
      <c r="F161" s="2088" t="n"/>
      <c r="G161" s="2088" t="n"/>
      <c r="H161" s="2088" t="n"/>
      <c r="I161" s="2088" t="n"/>
      <c r="J161" s="2088" t="n"/>
      <c r="K161" s="2088" t="n"/>
      <c r="L161" s="2088" t="n"/>
      <c r="M161" s="2088" t="n"/>
      <c r="N161" s="2088" t="n"/>
      <c r="O161" s="2088" t="n"/>
      <c r="P161" s="2088" t="n"/>
      <c r="Q161" s="2088" t="n"/>
      <c r="R161" s="2088" t="n"/>
      <c r="S161" s="2088" t="n"/>
      <c r="T161" s="2088">
        <f>-$D$159/4</f>
        <v/>
      </c>
      <c r="U161" s="2088">
        <f>-$D$159/4</f>
        <v/>
      </c>
      <c r="V161" s="2088">
        <f>-$D$159/4</f>
        <v/>
      </c>
      <c r="W161" s="2088">
        <f>-$D$159/4</f>
        <v/>
      </c>
      <c r="X161" s="2081">
        <f>-W166-X160</f>
        <v/>
      </c>
      <c r="Y161" s="2082">
        <f>SUM(T161:W161)</f>
        <v/>
      </c>
      <c r="Z161" s="2082">
        <f>IF(ROUND((D159+Y161),0)=0,"correct", "error")</f>
        <v/>
      </c>
    </row>
    <row r="162" ht="15.75" customFormat="1" customHeight="1" s="459">
      <c r="B162" s="2081" t="n"/>
      <c r="C162" s="2081" t="n"/>
      <c r="D162" s="2081" t="n"/>
      <c r="E162" s="2081" t="n"/>
      <c r="F162" s="2081" t="n"/>
      <c r="G162" s="2081" t="n"/>
      <c r="H162" s="2081" t="n"/>
      <c r="I162" s="2081" t="n"/>
      <c r="J162" s="2081" t="n"/>
      <c r="K162" s="2081" t="n"/>
      <c r="L162" s="2081" t="n"/>
      <c r="M162" s="2081" t="n"/>
      <c r="N162" s="2081" t="n"/>
      <c r="O162" s="2081" t="n"/>
      <c r="P162" s="2081" t="n"/>
      <c r="Q162" s="2081" t="n"/>
      <c r="R162" s="2081" t="n"/>
      <c r="S162" s="2081" t="n"/>
      <c r="T162" s="2081" t="n"/>
      <c r="U162" s="2081" t="n"/>
      <c r="V162" s="2081" t="n"/>
      <c r="W162" s="2081" t="n"/>
      <c r="X162" s="2081" t="n"/>
      <c r="Y162" s="2082" t="n"/>
      <c r="Z162" s="458" t="n"/>
    </row>
    <row r="163" ht="15.75" customFormat="1" customHeight="1" s="459">
      <c r="B163" s="2081" t="n"/>
      <c r="C163" s="2081" t="n"/>
      <c r="D163" s="2081" t="n"/>
      <c r="E163" s="2081" t="n"/>
      <c r="F163" s="2081" t="n"/>
      <c r="G163" s="2081" t="n"/>
      <c r="H163" s="2081" t="n"/>
      <c r="I163" s="2081" t="n"/>
      <c r="J163" s="2081" t="n"/>
      <c r="K163" s="2081" t="n"/>
      <c r="L163" s="2081" t="n"/>
      <c r="M163" s="2081" t="n"/>
      <c r="N163" s="2081" t="n"/>
      <c r="O163" s="2081" t="n"/>
      <c r="P163" s="2081" t="n"/>
      <c r="Q163" s="2081" t="n"/>
      <c r="R163" s="2081" t="n"/>
      <c r="S163" s="2081" t="n"/>
      <c r="T163" s="2081" t="n"/>
      <c r="U163" s="2081" t="n"/>
      <c r="V163" s="2081" t="n"/>
      <c r="W163" s="2081" t="n"/>
      <c r="X163" s="2081" t="n"/>
      <c r="Y163" s="2082" t="n"/>
      <c r="Z163" s="458" t="n"/>
    </row>
    <row r="164" ht="15.75" customFormat="1" customHeight="1" s="459">
      <c r="B164" s="469" t="inlineStr">
        <is>
          <t>現金淨流入(出 )</t>
        </is>
      </c>
      <c r="C164" s="2081">
        <f>SUM(C154:C163)</f>
        <v/>
      </c>
      <c r="D164" s="2084">
        <f>SUM(D152:D163)</f>
        <v/>
      </c>
      <c r="E164" s="2084">
        <f>SUM(E152:E163)</f>
        <v/>
      </c>
      <c r="F164" s="2084">
        <f>SUM(F152:F163)</f>
        <v/>
      </c>
      <c r="G164" s="2084">
        <f>SUM(G152:G163)</f>
        <v/>
      </c>
      <c r="H164" s="2084">
        <f>SUM(H152:H163)</f>
        <v/>
      </c>
      <c r="I164" s="2084">
        <f>SUM(I152:I163)</f>
        <v/>
      </c>
      <c r="J164" s="2084">
        <f>SUM(J152:J163)</f>
        <v/>
      </c>
      <c r="K164" s="2084">
        <f>SUM(K152:K163)</f>
        <v/>
      </c>
      <c r="L164" s="2084">
        <f>SUM(L152:L163)</f>
        <v/>
      </c>
      <c r="M164" s="2084">
        <f>SUM(M152:M163)</f>
        <v/>
      </c>
      <c r="N164" s="2084">
        <f>SUM(N152:N163)</f>
        <v/>
      </c>
      <c r="O164" s="2084">
        <f>SUM(O152:O163)</f>
        <v/>
      </c>
      <c r="P164" s="2084">
        <f>SUM(P152:P163)</f>
        <v/>
      </c>
      <c r="Q164" s="2084">
        <f>SUM(Q152:Q163)</f>
        <v/>
      </c>
      <c r="R164" s="2084">
        <f>SUM(R152:R163)</f>
        <v/>
      </c>
      <c r="S164" s="2084">
        <f>SUM(S152:S163)</f>
        <v/>
      </c>
      <c r="T164" s="2084">
        <f>SUM(T152:T163)</f>
        <v/>
      </c>
      <c r="U164" s="2084">
        <f>SUM(U152:U163)</f>
        <v/>
      </c>
      <c r="V164" s="2084">
        <f>SUM(V152:V163)</f>
        <v/>
      </c>
      <c r="W164" s="2084">
        <f>SUM(W152:W163)</f>
        <v/>
      </c>
      <c r="X164" s="2081" t="n"/>
      <c r="Y164" s="2082" t="n"/>
      <c r="Z164" s="458" t="n"/>
    </row>
    <row r="165" ht="15.75" customFormat="1" customHeight="1" s="459">
      <c r="B165" s="469" t="inlineStr">
        <is>
          <t>期初淨現金</t>
        </is>
      </c>
      <c r="C165" s="2081" t="n">
        <v>0</v>
      </c>
      <c r="D165" s="2081">
        <f>C166</f>
        <v/>
      </c>
      <c r="E165" s="2081">
        <f>D166</f>
        <v/>
      </c>
      <c r="F165" s="2081">
        <f>E166</f>
        <v/>
      </c>
      <c r="G165" s="2081">
        <f>F166</f>
        <v/>
      </c>
      <c r="H165" s="2081">
        <f>G166</f>
        <v/>
      </c>
      <c r="I165" s="2081">
        <f>H166</f>
        <v/>
      </c>
      <c r="J165" s="2081">
        <f>I166</f>
        <v/>
      </c>
      <c r="K165" s="2081">
        <f>J166</f>
        <v/>
      </c>
      <c r="L165" s="2081">
        <f>K166</f>
        <v/>
      </c>
      <c r="M165" s="2081">
        <f>L166</f>
        <v/>
      </c>
      <c r="N165" s="2081">
        <f>M166</f>
        <v/>
      </c>
      <c r="O165" s="2081">
        <f>N166</f>
        <v/>
      </c>
      <c r="P165" s="2081">
        <f>O166</f>
        <v/>
      </c>
      <c r="Q165" s="2081">
        <f>P166</f>
        <v/>
      </c>
      <c r="R165" s="2081">
        <f>Q166</f>
        <v/>
      </c>
      <c r="S165" s="2081">
        <f>R166</f>
        <v/>
      </c>
      <c r="T165" s="2081">
        <f>S166</f>
        <v/>
      </c>
      <c r="U165" s="2081">
        <f>T166</f>
        <v/>
      </c>
      <c r="V165" s="2081">
        <f>U166</f>
        <v/>
      </c>
      <c r="W165" s="2081">
        <f>V166</f>
        <v/>
      </c>
      <c r="X165" s="2081" t="n"/>
      <c r="Y165" s="458" t="n"/>
      <c r="Z165" s="458" t="n"/>
    </row>
    <row r="166" ht="15.75" customFormat="1" customHeight="1" s="459">
      <c r="B166" s="469" t="inlineStr">
        <is>
          <t>期未淨現金</t>
        </is>
      </c>
      <c r="C166" s="2081">
        <f>C164</f>
        <v/>
      </c>
      <c r="D166" s="2081">
        <f>D164+D165</f>
        <v/>
      </c>
      <c r="E166" s="2081">
        <f>E164+E165</f>
        <v/>
      </c>
      <c r="F166" s="2081">
        <f>F164+F165</f>
        <v/>
      </c>
      <c r="G166" s="2081">
        <f>G164+G165</f>
        <v/>
      </c>
      <c r="H166" s="2081">
        <f>H164+H165</f>
        <v/>
      </c>
      <c r="I166" s="2081">
        <f>I164+I165</f>
        <v/>
      </c>
      <c r="J166" s="2081">
        <f>J164+J165</f>
        <v/>
      </c>
      <c r="K166" s="2081">
        <f>K164+K165</f>
        <v/>
      </c>
      <c r="L166" s="2081">
        <f>L164+L165</f>
        <v/>
      </c>
      <c r="M166" s="2081">
        <f>M164+M165</f>
        <v/>
      </c>
      <c r="N166" s="2081">
        <f>N164+N165</f>
        <v/>
      </c>
      <c r="O166" s="2081">
        <f>O164+O165</f>
        <v/>
      </c>
      <c r="P166" s="2081">
        <f>P164+P165</f>
        <v/>
      </c>
      <c r="Q166" s="2081">
        <f>Q164+Q165</f>
        <v/>
      </c>
      <c r="R166" s="2081">
        <f>R164+R165</f>
        <v/>
      </c>
      <c r="S166" s="2081">
        <f>S164+S165</f>
        <v/>
      </c>
      <c r="T166" s="2081">
        <f>T164+T165</f>
        <v/>
      </c>
      <c r="U166" s="2081">
        <f>U164+U165</f>
        <v/>
      </c>
      <c r="V166" s="2081">
        <f>V164+V165</f>
        <v/>
      </c>
      <c r="W166" s="2081">
        <f>W164+W165</f>
        <v/>
      </c>
      <c r="X166" s="2081" t="n"/>
      <c r="Y166" s="458" t="n"/>
      <c r="Z166" s="458" t="n"/>
    </row>
    <row r="167" ht="15.75" customFormat="1" customHeight="1" s="459">
      <c r="B167" s="469" t="n"/>
      <c r="C167" s="469" t="n"/>
      <c r="D167" s="469" t="n"/>
      <c r="E167" s="469" t="n"/>
      <c r="F167" s="469" t="n"/>
      <c r="G167" s="469" t="n"/>
      <c r="H167" s="469" t="n"/>
      <c r="I167" s="469" t="n"/>
      <c r="J167" s="469" t="n"/>
      <c r="K167" s="469" t="n"/>
      <c r="L167" s="469" t="n"/>
      <c r="M167" s="469" t="n"/>
      <c r="N167" s="469" t="n"/>
      <c r="O167" s="469" t="n"/>
      <c r="P167" s="469" t="n"/>
      <c r="Q167" s="469" t="n"/>
      <c r="R167" s="469" t="n"/>
      <c r="S167" s="469" t="n"/>
      <c r="T167" s="469" t="n"/>
      <c r="U167" s="469" t="n"/>
      <c r="V167" s="469" t="n"/>
      <c r="W167" s="469" t="n"/>
      <c r="X167" s="469" t="n"/>
      <c r="Y167" s="469" t="n"/>
      <c r="Z167" s="458" t="n"/>
      <c r="AA167" s="458" t="n"/>
    </row>
    <row r="168" ht="15.75" customFormat="1" customHeight="1" s="459">
      <c r="B168" s="469" t="n"/>
      <c r="C168" s="469" t="n"/>
      <c r="D168" s="469" t="n"/>
      <c r="E168" s="469" t="n"/>
      <c r="F168" s="2081" t="n"/>
      <c r="G168" s="469" t="n"/>
      <c r="H168" s="469" t="n"/>
      <c r="I168" s="469" t="n"/>
      <c r="J168" s="469" t="n"/>
      <c r="K168" s="469" t="n"/>
      <c r="L168" s="469" t="n"/>
      <c r="M168" s="469" t="n"/>
      <c r="N168" s="469" t="n"/>
      <c r="O168" s="469" t="n"/>
      <c r="P168" s="469" t="n"/>
      <c r="Q168" s="469" t="n"/>
      <c r="R168" s="469" t="n"/>
      <c r="S168" s="469" t="n"/>
      <c r="T168" s="469" t="n"/>
      <c r="U168" s="469" t="n"/>
      <c r="V168" s="469" t="n"/>
      <c r="W168" s="469" t="n"/>
      <c r="X168" s="469" t="n"/>
      <c r="Y168" s="469" t="n"/>
      <c r="Z168" s="458" t="n"/>
      <c r="AA168" s="458" t="n"/>
    </row>
    <row r="169" ht="15.75" customFormat="1" customHeight="1" s="459">
      <c r="B169" s="461" t="inlineStr">
        <is>
          <t>成本法實際現金流</t>
        </is>
      </c>
      <c r="C169" s="2084" t="n"/>
      <c r="D169" s="2089">
        <f>-D159</f>
        <v/>
      </c>
      <c r="E169" s="2084">
        <f>-E160-E161</f>
        <v/>
      </c>
      <c r="F169" s="2084">
        <f>-F160-F161</f>
        <v/>
      </c>
      <c r="G169" s="2084">
        <f>-G160-G161</f>
        <v/>
      </c>
      <c r="H169" s="2084">
        <f>-H160-H161</f>
        <v/>
      </c>
      <c r="I169" s="2084">
        <f>-I160-I161</f>
        <v/>
      </c>
      <c r="J169" s="2084">
        <f>-J160-J161</f>
        <v/>
      </c>
      <c r="K169" s="2084">
        <f>-K160-K161</f>
        <v/>
      </c>
      <c r="L169" s="2084">
        <f>-L160-L161</f>
        <v/>
      </c>
      <c r="M169" s="2084">
        <f>-M160-M161</f>
        <v/>
      </c>
      <c r="N169" s="2084">
        <f>-N160-N161</f>
        <v/>
      </c>
      <c r="O169" s="2084">
        <f>-O160-O161</f>
        <v/>
      </c>
      <c r="P169" s="2084">
        <f>-P160-P161</f>
        <v/>
      </c>
      <c r="Q169" s="2084">
        <f>-Q160-Q161</f>
        <v/>
      </c>
      <c r="R169" s="2084">
        <f>-R160-R161</f>
        <v/>
      </c>
      <c r="S169" s="2084">
        <f>-S160-S161</f>
        <v/>
      </c>
      <c r="T169" s="2084">
        <f>-T160-T161</f>
        <v/>
      </c>
      <c r="U169" s="2084">
        <f>-U160-U161</f>
        <v/>
      </c>
      <c r="V169" s="2084">
        <f>-V160-V161</f>
        <v/>
      </c>
      <c r="W169" s="2084">
        <f>-W160-W161</f>
        <v/>
      </c>
      <c r="X169" s="2084">
        <f>-X160-X161</f>
        <v/>
      </c>
      <c r="Y169" s="2082">
        <f>SUM(D169:X169)</f>
        <v/>
      </c>
      <c r="Z169" s="2082" t="n"/>
    </row>
    <row r="170" ht="15.75" customFormat="1" customHeight="1" s="459">
      <c r="B170" s="469" t="inlineStr">
        <is>
          <t>成本法IRR</t>
        </is>
      </c>
      <c r="C170" s="755">
        <f>IRR(D169:X169)</f>
        <v/>
      </c>
      <c r="D170" s="454" t="n"/>
      <c r="E170" s="454" t="n"/>
      <c r="F170" s="469" t="n"/>
      <c r="G170" s="469" t="n"/>
      <c r="H170" s="469" t="n"/>
      <c r="I170" s="469" t="n"/>
      <c r="J170" s="469" t="n"/>
      <c r="K170" s="469" t="n"/>
      <c r="L170" s="469" t="n"/>
      <c r="M170" s="469" t="n"/>
      <c r="N170" s="469" t="n"/>
      <c r="O170" s="469" t="n"/>
      <c r="P170" s="469" t="n"/>
      <c r="Q170" s="469" t="n"/>
      <c r="R170" s="469" t="n"/>
      <c r="S170" s="469" t="n"/>
      <c r="T170" s="469" t="n"/>
      <c r="U170" s="469" t="n"/>
      <c r="V170" s="469" t="n"/>
      <c r="W170" s="469" t="n"/>
      <c r="X170" s="469" t="n"/>
      <c r="Y170" s="469" t="n"/>
      <c r="Z170" s="458" t="n"/>
      <c r="AA170" s="2082" t="n"/>
    </row>
    <row r="171" ht="15.75" customFormat="1" customHeight="1" s="459">
      <c r="B171" s="461" t="inlineStr">
        <is>
          <t>權益法實際現金流</t>
        </is>
      </c>
      <c r="C171" s="2084" t="n"/>
      <c r="D171" s="2089">
        <f>D102-D159</f>
        <v/>
      </c>
      <c r="E171" s="2084">
        <f>E102</f>
        <v/>
      </c>
      <c r="F171" s="2084">
        <f>F102-F161</f>
        <v/>
      </c>
      <c r="G171" s="2084">
        <f>G102-G161</f>
        <v/>
      </c>
      <c r="H171" s="2084">
        <f>H102-H161</f>
        <v/>
      </c>
      <c r="I171" s="2084">
        <f>I102-I161</f>
        <v/>
      </c>
      <c r="J171" s="2084">
        <f>J102-J161</f>
        <v/>
      </c>
      <c r="K171" s="2084">
        <f>K102-K161</f>
        <v/>
      </c>
      <c r="L171" s="2084">
        <f>L102-L161</f>
        <v/>
      </c>
      <c r="M171" s="2084">
        <f>M102-M161</f>
        <v/>
      </c>
      <c r="N171" s="2084">
        <f>N102-N161</f>
        <v/>
      </c>
      <c r="O171" s="2084">
        <f>O102-O161</f>
        <v/>
      </c>
      <c r="P171" s="2084">
        <f>P102-P161</f>
        <v/>
      </c>
      <c r="Q171" s="2084">
        <f>Q102-Q161</f>
        <v/>
      </c>
      <c r="R171" s="2084">
        <f>R102-R161</f>
        <v/>
      </c>
      <c r="S171" s="2084">
        <f>S102-S161</f>
        <v/>
      </c>
      <c r="T171" s="2084">
        <f>T102-T161</f>
        <v/>
      </c>
      <c r="U171" s="2084">
        <f>U102-U161</f>
        <v/>
      </c>
      <c r="V171" s="2084">
        <f>V102-V161</f>
        <v/>
      </c>
      <c r="W171" s="2084">
        <f>W102-W161</f>
        <v/>
      </c>
      <c r="X171" s="2090">
        <f>SUM(D171:W171)</f>
        <v/>
      </c>
      <c r="Y171" s="2001">
        <f>IF(ROUND((X171-Y169),0)=0,"correct", "error")</f>
        <v/>
      </c>
    </row>
    <row r="172" ht="15.75" customFormat="1" customHeight="1" s="459">
      <c r="B172" s="461" t="inlineStr">
        <is>
          <t>權益法IRR</t>
        </is>
      </c>
      <c r="C172" s="755">
        <f>IRR(D171:W171)</f>
        <v/>
      </c>
      <c r="D172" s="454" t="n"/>
      <c r="E172" s="454" t="n"/>
      <c r="F172" s="469" t="n"/>
      <c r="G172" s="469" t="n"/>
      <c r="H172" s="469" t="n"/>
      <c r="I172" s="469" t="n"/>
      <c r="J172" s="469" t="n"/>
      <c r="K172" s="469" t="n"/>
      <c r="L172" s="469" t="n"/>
      <c r="M172" s="469" t="n"/>
      <c r="N172" s="469" t="n"/>
      <c r="O172" s="469" t="n"/>
      <c r="P172" s="469" t="n"/>
      <c r="Q172" s="469" t="n"/>
      <c r="R172" s="469" t="n"/>
      <c r="S172" s="469" t="n"/>
      <c r="T172" s="469" t="n"/>
      <c r="U172" s="469" t="n"/>
      <c r="V172" s="469" t="n"/>
      <c r="W172" s="469" t="n"/>
      <c r="X172" s="469" t="n"/>
      <c r="Y172" s="469" t="n"/>
      <c r="Z172" s="458" t="n"/>
      <c r="AA172" s="2082" t="n"/>
    </row>
    <row r="173" ht="15.75" customFormat="1" customHeight="1" s="459">
      <c r="B173" s="469" t="n"/>
      <c r="C173" s="469" t="n"/>
      <c r="D173" s="469" t="n"/>
      <c r="E173" s="469" t="n"/>
      <c r="F173" s="469" t="n"/>
      <c r="G173" s="469" t="n"/>
      <c r="H173" s="469" t="n"/>
      <c r="I173" s="469" t="n"/>
      <c r="J173" s="469" t="n"/>
      <c r="K173" s="469" t="n"/>
      <c r="L173" s="469" t="n"/>
      <c r="M173" s="469" t="n"/>
      <c r="N173" s="469" t="n"/>
      <c r="O173" s="469" t="n"/>
      <c r="P173" s="469" t="n"/>
      <c r="Q173" s="469" t="n"/>
      <c r="R173" s="469" t="n"/>
      <c r="S173" s="469" t="n"/>
      <c r="T173" s="469" t="n"/>
      <c r="U173" s="469" t="n"/>
      <c r="V173" s="469" t="n"/>
      <c r="W173" s="469" t="n"/>
      <c r="X173" s="469" t="n"/>
      <c r="Y173" s="469" t="n"/>
      <c r="Z173" s="458" t="n"/>
      <c r="AA173" s="2082" t="n"/>
    </row>
    <row r="174" ht="15.75" customFormat="1" customHeight="1" s="459">
      <c r="B174" s="469" t="inlineStr">
        <is>
          <t>借款餘額</t>
        </is>
      </c>
      <c r="C174" s="469" t="n">
        <v>0</v>
      </c>
      <c r="D174" s="2091">
        <f>D157</f>
        <v/>
      </c>
      <c r="E174" s="2091">
        <f>D174+E157+E158</f>
        <v/>
      </c>
      <c r="F174" s="2091">
        <f>E174+F157+F158</f>
        <v/>
      </c>
      <c r="G174" s="2091">
        <f>F174+G157+G158</f>
        <v/>
      </c>
      <c r="H174" s="2091">
        <f>G174+H157+H158</f>
        <v/>
      </c>
      <c r="I174" s="2091">
        <f>H174+I157+I158</f>
        <v/>
      </c>
      <c r="J174" s="2091">
        <f>I174+J157+J158</f>
        <v/>
      </c>
      <c r="K174" s="2091">
        <f>J174+K157+K158</f>
        <v/>
      </c>
      <c r="L174" s="2091">
        <f>K174+L157+L158</f>
        <v/>
      </c>
      <c r="M174" s="2091">
        <f>L174+M157+M158</f>
        <v/>
      </c>
      <c r="N174" s="2091">
        <f>M174+N157+N158</f>
        <v/>
      </c>
      <c r="O174" s="2091">
        <f>N174+O157+O158</f>
        <v/>
      </c>
      <c r="P174" s="2091">
        <f>O174+P157+P158</f>
        <v/>
      </c>
      <c r="Q174" s="2091">
        <f>P174+Q157+Q158</f>
        <v/>
      </c>
      <c r="R174" s="2091">
        <f>Q174+R157+R158</f>
        <v/>
      </c>
      <c r="S174" s="2091">
        <f>R174+S157+S158</f>
        <v/>
      </c>
      <c r="T174" s="2091" t="n"/>
      <c r="U174" s="2091" t="n"/>
      <c r="V174" s="2081" t="n"/>
      <c r="W174" s="2081" t="n"/>
      <c r="X174" s="2081" t="n"/>
      <c r="Y174" s="2081" t="n"/>
      <c r="Z174" s="458" t="n"/>
      <c r="AA174" s="458" t="n"/>
    </row>
    <row r="175" ht="15" customFormat="1" customHeight="1" s="459">
      <c r="Z175" s="625" t="n"/>
      <c r="AA175" s="458" t="n"/>
    </row>
    <row r="176" customFormat="1" s="4">
      <c r="Z176" s="458" t="n"/>
      <c r="AA176" s="458" t="n"/>
    </row>
    <row r="177" customFormat="1" s="4">
      <c r="G177" s="1694" t="n"/>
      <c r="Z177" s="458" t="n"/>
      <c r="AA177" s="458" t="n"/>
    </row>
    <row r="178" customFormat="1" s="4">
      <c r="Z178" s="458" t="n"/>
      <c r="AA178" s="458" t="n"/>
    </row>
    <row r="179" customFormat="1" s="4">
      <c r="I179" s="1694" t="n"/>
      <c r="S179" s="1694" t="n"/>
      <c r="Z179" s="458" t="n"/>
      <c r="AA179" s="458" t="n"/>
    </row>
    <row r="180" customFormat="1" s="4">
      <c r="J180" s="4" t="inlineStr">
        <is>
          <t>ㄌ</t>
        </is>
      </c>
      <c r="Z180" s="458" t="n"/>
      <c r="AA180" s="458" t="n"/>
    </row>
    <row r="181" customFormat="1" s="4">
      <c r="D181" s="4" t="inlineStr">
        <is>
          <t>分15年攤還本金</t>
        </is>
      </c>
      <c r="Z181" s="458" t="n"/>
      <c r="AA181" s="458" t="n"/>
    </row>
    <row r="182" customFormat="1" s="4">
      <c r="D182" s="2092">
        <f>D157/15</f>
        <v/>
      </c>
      <c r="Z182" s="458" t="n"/>
      <c r="AA182" s="458" t="n"/>
    </row>
  </sheetData>
  <mergeCells count="13">
    <mergeCell ref="B62:C62"/>
    <mergeCell ref="K122:V122"/>
    <mergeCell ref="AC62:AF62"/>
    <mergeCell ref="D135:G135"/>
    <mergeCell ref="B117:C117"/>
    <mergeCell ref="L121:V121"/>
    <mergeCell ref="K120:V120"/>
    <mergeCell ref="L123:V123"/>
    <mergeCell ref="D117:G117"/>
    <mergeCell ref="K124:V124"/>
    <mergeCell ref="AL64:AL67"/>
    <mergeCell ref="D76:G76"/>
    <mergeCell ref="D62:G62"/>
  </mergeCells>
  <conditionalFormatting sqref="D56:W56">
    <cfRule type="containsText" priority="2" operator="containsText" dxfId="1" text="未回收">
      <formula>NOT(ISERROR(SEARCH("未回收",D56)))</formula>
    </cfRule>
  </conditionalFormatting>
  <conditionalFormatting sqref="D113:W113">
    <cfRule type="containsText" priority="1" operator="containsText" dxfId="0" text="未回收">
      <formula>NOT(ISERROR(SEARCH("未回收",D113)))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F13" sqref="F13"/>
    </sheetView>
  </sheetViews>
  <sheetFormatPr baseColWidth="8" defaultRowHeight="16.5"/>
  <cols>
    <col width="10.5" bestFit="1" customWidth="1" style="1643" min="1" max="1"/>
    <col width="10.25" bestFit="1" customWidth="1" style="1643" min="2" max="3"/>
    <col width="19.375" customWidth="1" style="1643" min="4" max="4"/>
    <col width="9.75" bestFit="1" customWidth="1" style="1643" min="5" max="5"/>
    <col width="25.5" bestFit="1" customWidth="1" style="1643" min="6" max="6"/>
    <col width="7.5" bestFit="1" customWidth="1" style="1643" min="7" max="7"/>
    <col width="40.375" customWidth="1" style="1643" min="8" max="8"/>
    <col width="5.5" bestFit="1" customWidth="1" style="1643" min="9" max="9"/>
  </cols>
  <sheetData>
    <row r="1">
      <c r="A1" s="1295" t="inlineStr">
        <is>
          <t>價金每KW</t>
        </is>
      </c>
      <c r="B1" s="1295" t="inlineStr">
        <is>
          <t>專案法IRR</t>
        </is>
      </c>
      <c r="C1" s="1295" t="inlineStr">
        <is>
          <t>權益法IRR</t>
        </is>
      </c>
      <c r="D1" s="1295" t="inlineStr">
        <is>
          <t>信邦利潤率</t>
        </is>
      </c>
      <c r="E1" s="1295" t="inlineStr">
        <is>
          <t>信邦利潤</t>
        </is>
      </c>
      <c r="F1" s="1296" t="inlineStr">
        <is>
          <t>每kw信邦利潤</t>
        </is>
      </c>
      <c r="G1" s="1295" t="inlineStr">
        <is>
          <t>開發費</t>
        </is>
      </c>
      <c r="H1" s="1295" t="inlineStr">
        <is>
          <t>備註</t>
        </is>
      </c>
    </row>
    <row r="2">
      <c r="A2" s="1119" t="n">
        <v>30000</v>
      </c>
      <c r="B2" s="1119" t="n">
        <v>4.29</v>
      </c>
      <c r="C2" s="1119" t="n">
        <v>10.43</v>
      </c>
      <c r="D2" s="2093" t="n">
        <v>0.2</v>
      </c>
      <c r="E2" s="1119" t="n">
        <v>2398550</v>
      </c>
      <c r="F2" s="1119" t="n">
        <v>5500</v>
      </c>
      <c r="G2" s="1119" t="n">
        <v>2000</v>
      </c>
      <c r="H2" s="1119" t="inlineStr">
        <is>
          <t>初始價金 - 現金模式，每次減少 500 元，邊界值 25000 元</t>
        </is>
      </c>
    </row>
    <row r="3">
      <c r="A3" s="1119" t="n">
        <v>29500</v>
      </c>
      <c r="B3" s="1119" t="n">
        <v>4.46</v>
      </c>
      <c r="C3" s="1119" t="n">
        <v>11.07</v>
      </c>
      <c r="D3" s="2093" t="n">
        <v>0.2</v>
      </c>
      <c r="E3" s="1119" t="n">
        <v>2344037.5</v>
      </c>
      <c r="F3" s="1119" t="n">
        <v>5375</v>
      </c>
      <c r="G3" s="1119" t="n">
        <v>2000</v>
      </c>
      <c r="H3" s="1119" t="inlineStr">
        <is>
          <t>第1次滾算，減少 500 元 - 現金模式，每次減少 500 元</t>
        </is>
      </c>
    </row>
    <row r="4">
      <c r="A4" s="1119" t="n">
        <v>29000</v>
      </c>
      <c r="B4" s="1119" t="n">
        <v>4.63</v>
      </c>
      <c r="C4" s="1119" t="n">
        <v>11.74</v>
      </c>
      <c r="D4" s="2093" t="n">
        <v>0.2</v>
      </c>
      <c r="E4" s="1119" t="n">
        <v>2289525</v>
      </c>
      <c r="F4" s="1119" t="n">
        <v>5250</v>
      </c>
      <c r="G4" s="1119" t="n">
        <v>2000</v>
      </c>
      <c r="H4" s="1119" t="inlineStr">
        <is>
          <t>第2次滾算，減少 500 元 - 現金模式，每次減少 500 元</t>
        </is>
      </c>
    </row>
    <row r="5">
      <c r="A5" s="1119" t="n">
        <v>28500</v>
      </c>
      <c r="B5" s="1119" t="n">
        <v>4.8</v>
      </c>
      <c r="C5" s="1119" t="n">
        <v>12.44</v>
      </c>
      <c r="D5" s="2093" t="n">
        <v>0.2</v>
      </c>
      <c r="E5" s="1119" t="n">
        <v>2235012.5</v>
      </c>
      <c r="F5" s="1119" t="n">
        <v>5125</v>
      </c>
      <c r="G5" s="1119" t="n">
        <v>2000</v>
      </c>
      <c r="H5" s="1119" t="inlineStr">
        <is>
          <t>第3次滾算，減少 500 元 - 現金模式，每次減少 500 元</t>
        </is>
      </c>
    </row>
    <row r="6">
      <c r="A6" s="1119" t="n">
        <v>28000</v>
      </c>
      <c r="B6" s="1119" t="n">
        <v>4.98</v>
      </c>
      <c r="C6" s="1119" t="n">
        <v>13.18</v>
      </c>
      <c r="D6" s="2093" t="n">
        <v>0.2</v>
      </c>
      <c r="E6" s="1119" t="n">
        <v>2180500</v>
      </c>
      <c r="F6" s="1119" t="n">
        <v>5000</v>
      </c>
      <c r="G6" s="1119" t="n">
        <v>2000</v>
      </c>
      <c r="H6" s="1119" t="inlineStr">
        <is>
          <t>第4次滾算，減少 500 元 - 現金模式，每次減少 500 元</t>
        </is>
      </c>
    </row>
    <row r="7">
      <c r="A7" s="1119" t="n">
        <v>27500</v>
      </c>
      <c r="B7" s="1119" t="n">
        <v>5.16</v>
      </c>
      <c r="C7" s="1119" t="n">
        <v>13.95</v>
      </c>
      <c r="D7" s="2093" t="n">
        <v>0.2</v>
      </c>
      <c r="E7" s="1119" t="n">
        <v>2125987.5</v>
      </c>
      <c r="F7" s="1119" t="n">
        <v>4875</v>
      </c>
      <c r="G7" s="1119" t="n">
        <v>2000</v>
      </c>
      <c r="H7" s="1119" t="inlineStr">
        <is>
          <t>第5次滾算，減少 500 元 - 現金模式，每次減少 500 元</t>
        </is>
      </c>
    </row>
    <row r="8">
      <c r="A8" s="1119" t="n">
        <v>27000</v>
      </c>
      <c r="B8" s="1119" t="n">
        <v>5.35</v>
      </c>
      <c r="C8" s="1119" t="n">
        <v>14.77</v>
      </c>
      <c r="D8" s="2093" t="n">
        <v>0.2</v>
      </c>
      <c r="E8" s="1119" t="n">
        <v>2071475</v>
      </c>
      <c r="F8" s="1119" t="n">
        <v>4750</v>
      </c>
      <c r="G8" s="1119" t="n">
        <v>2000</v>
      </c>
      <c r="H8" s="1119" t="inlineStr">
        <is>
          <t>第6次滾算，減少 500 元 - 現金模式，每次減少 500 元</t>
        </is>
      </c>
    </row>
    <row r="9">
      <c r="A9" s="1119" t="n">
        <v>26500</v>
      </c>
      <c r="B9" s="1119" t="n">
        <v>5.54</v>
      </c>
      <c r="C9" s="1119" t="n">
        <v>15.63</v>
      </c>
      <c r="D9" s="2093" t="n">
        <v>0.2</v>
      </c>
      <c r="E9" s="1119" t="n">
        <v>2016962.5</v>
      </c>
      <c r="F9" s="1119" t="n">
        <v>4625</v>
      </c>
      <c r="G9" s="1119" t="n">
        <v>2000</v>
      </c>
      <c r="H9" s="1119" t="inlineStr">
        <is>
          <t>第7次滾算，減少 500 元 - 現金模式，每次減少 500 元</t>
        </is>
      </c>
    </row>
    <row r="10">
      <c r="A10" s="1119" t="n">
        <v>26000</v>
      </c>
      <c r="B10" s="1119" t="n">
        <v>5.74</v>
      </c>
      <c r="C10" s="1119" t="n">
        <v>16.54</v>
      </c>
      <c r="D10" s="2093" t="n">
        <v>0.2</v>
      </c>
      <c r="E10" s="1119" t="n">
        <v>1962450</v>
      </c>
      <c r="F10" s="1119" t="n">
        <v>4500</v>
      </c>
      <c r="G10" s="1119" t="n">
        <v>2000</v>
      </c>
      <c r="H10" s="1119" t="inlineStr">
        <is>
          <t>第8次滾算，減少 500 元 - 現金模式，每次減少 500 元</t>
        </is>
      </c>
    </row>
    <row r="11">
      <c r="A11" s="1119" t="n">
        <v>25500</v>
      </c>
      <c r="B11" s="1119" t="n">
        <v>5.94</v>
      </c>
      <c r="C11" s="1119" t="n">
        <v>17.51</v>
      </c>
      <c r="D11" s="2093" t="n">
        <v>0.2</v>
      </c>
      <c r="E11" s="1119" t="n">
        <v>1907937.5</v>
      </c>
      <c r="F11" s="1119" t="n">
        <v>4375</v>
      </c>
      <c r="G11" s="1119" t="n">
        <v>2000</v>
      </c>
      <c r="H11" s="1119" t="inlineStr">
        <is>
          <t>第9次滾算，減少 500 元 - 現金模式，每次減少 500 元</t>
        </is>
      </c>
    </row>
    <row r="12">
      <c r="A12" s="1119" t="n">
        <v>25000</v>
      </c>
      <c r="B12" s="1119" t="n">
        <v>6.15</v>
      </c>
      <c r="C12" s="1119" t="n">
        <v>18.54</v>
      </c>
      <c r="D12" s="2093" t="n">
        <v>0.2</v>
      </c>
      <c r="E12" s="1119" t="n">
        <v>1853425</v>
      </c>
      <c r="F12" s="1119" t="n">
        <v>4250</v>
      </c>
      <c r="G12" s="1119" t="n">
        <v>2000</v>
      </c>
      <c r="H12" s="1119" t="inlineStr">
        <is>
          <t>第10次滾算，減少 500 元 - 現金模式，每次減少 500 元</t>
        </is>
      </c>
    </row>
    <row r="13">
      <c r="A13" s="1119" t="n"/>
      <c r="B13" s="1119" t="n"/>
      <c r="C13" s="1119" t="n"/>
      <c r="D13" s="1119" t="n"/>
      <c r="E13" s="1119" t="n"/>
      <c r="F13" s="1119" t="n"/>
      <c r="G13" s="1119" t="n"/>
      <c r="H13" s="1119" t="n"/>
    </row>
    <row r="14">
      <c r="A14" s="1119" t="n"/>
      <c r="B14" s="1119" t="n"/>
      <c r="C14" s="1119" t="n"/>
      <c r="D14" s="1119" t="n"/>
      <c r="E14" s="1119" t="n"/>
      <c r="F14" s="1119" t="n"/>
      <c r="G14" s="1119" t="n"/>
      <c r="H14" s="1119" t="n"/>
    </row>
    <row r="15">
      <c r="A15" s="1119" t="n"/>
      <c r="B15" s="1119" t="n"/>
      <c r="C15" s="1119" t="n"/>
      <c r="D15" s="1119" t="n"/>
      <c r="E15" s="1119" t="n"/>
      <c r="F15" s="1119" t="n"/>
      <c r="G15" s="1119" t="n"/>
      <c r="H15" s="1119" t="n"/>
    </row>
    <row r="16">
      <c r="A16" s="1119" t="n"/>
      <c r="B16" s="1119" t="n"/>
      <c r="C16" s="1119" t="n"/>
      <c r="D16" s="1119" t="n"/>
      <c r="E16" s="1119" t="n"/>
      <c r="F16" s="1119" t="n"/>
      <c r="G16" s="1119" t="n"/>
      <c r="H16" s="1119" t="n"/>
    </row>
    <row r="17">
      <c r="A17" s="1119" t="n"/>
      <c r="B17" s="1119" t="n"/>
      <c r="C17" s="1119" t="n"/>
      <c r="D17" s="1119" t="n"/>
      <c r="E17" s="1119" t="n"/>
      <c r="F17" s="1119" t="n"/>
      <c r="G17" s="1119" t="n"/>
      <c r="H17" s="1119" t="n"/>
    </row>
    <row r="18">
      <c r="A18" s="1119" t="n"/>
      <c r="B18" s="1119" t="n"/>
      <c r="C18" s="1119" t="n"/>
      <c r="D18" s="1119" t="n"/>
      <c r="E18" s="1119" t="n"/>
      <c r="F18" s="1119" t="n"/>
      <c r="G18" s="1119" t="n"/>
      <c r="H18" s="1119" t="n"/>
    </row>
    <row r="19">
      <c r="A19" s="1119" t="n"/>
      <c r="B19" s="1119" t="n"/>
      <c r="C19" s="1119" t="n"/>
      <c r="D19" s="1119" t="n"/>
      <c r="E19" s="1119" t="n"/>
      <c r="F19" s="1119" t="n"/>
      <c r="G19" s="1119" t="n"/>
      <c r="H19" s="1119" t="n"/>
    </row>
    <row r="20">
      <c r="A20" s="1119" t="n"/>
      <c r="B20" s="1119" t="n"/>
      <c r="C20" s="1119" t="n"/>
      <c r="D20" s="1119" t="n"/>
      <c r="E20" s="1119" t="n"/>
      <c r="F20" s="1119" t="n"/>
      <c r="G20" s="1119" t="n"/>
      <c r="H20" s="1119" t="n"/>
    </row>
    <row r="21">
      <c r="A21" s="1119" t="n"/>
      <c r="B21" s="1119" t="n"/>
      <c r="C21" s="1119" t="n"/>
      <c r="D21" s="1119" t="n"/>
      <c r="E21" s="1119" t="n"/>
      <c r="F21" s="1119" t="n"/>
      <c r="G21" s="1119" t="n"/>
      <c r="H21" s="1119" t="n"/>
    </row>
    <row r="22">
      <c r="A22" s="1119" t="n"/>
      <c r="B22" s="1119" t="n"/>
      <c r="C22" s="1119" t="n"/>
      <c r="D22" s="1119" t="n"/>
      <c r="E22" s="1119" t="n"/>
      <c r="F22" s="1119" t="n"/>
      <c r="G22" s="1119" t="n"/>
      <c r="H22" s="1119" t="n"/>
    </row>
    <row r="23">
      <c r="A23" s="1119" t="n"/>
      <c r="B23" s="1119" t="n"/>
      <c r="C23" s="1119" t="n"/>
      <c r="D23" s="1119" t="n"/>
      <c r="E23" s="1119" t="n"/>
      <c r="F23" s="1119" t="n"/>
      <c r="G23" s="1119" t="n"/>
      <c r="H23" s="1119" t="n"/>
    </row>
    <row r="24">
      <c r="A24" s="1119" t="n"/>
      <c r="B24" s="1119" t="n"/>
      <c r="C24" s="1119" t="n"/>
      <c r="D24" s="1119" t="n"/>
      <c r="E24" s="1119" t="n"/>
      <c r="F24" s="1119" t="n"/>
      <c r="G24" s="1119" t="n"/>
      <c r="H24" s="1119" t="n"/>
    </row>
    <row r="25">
      <c r="A25" s="1119" t="n"/>
      <c r="B25" s="1119" t="n"/>
      <c r="C25" s="1119" t="n"/>
      <c r="D25" s="1119" t="n"/>
      <c r="E25" s="1119" t="n"/>
      <c r="F25" s="1119" t="n"/>
      <c r="G25" s="1119" t="n"/>
      <c r="H25" s="1119" t="n"/>
    </row>
    <row r="26">
      <c r="A26" s="1119" t="n"/>
      <c r="B26" s="1119" t="n"/>
      <c r="C26" s="1119" t="n"/>
      <c r="D26" s="1119" t="n"/>
      <c r="E26" s="1119" t="n"/>
      <c r="F26" s="1119" t="n"/>
      <c r="G26" s="1119" t="n"/>
      <c r="H26" s="1119" t="n"/>
    </row>
    <row r="27">
      <c r="A27" s="1119" t="n"/>
      <c r="B27" s="1119" t="n"/>
      <c r="C27" s="1119" t="n"/>
      <c r="D27" s="1119" t="n"/>
      <c r="E27" s="1119" t="n"/>
      <c r="F27" s="1119" t="n"/>
      <c r="G27" s="1119" t="n"/>
      <c r="H27" s="1119" t="n"/>
    </row>
    <row r="28">
      <c r="A28" s="1119" t="n"/>
      <c r="B28" s="1119" t="n"/>
      <c r="C28" s="1119" t="n"/>
      <c r="D28" s="1119" t="n"/>
      <c r="E28" s="1119" t="n"/>
      <c r="F28" s="1119" t="n"/>
      <c r="G28" s="1119" t="n"/>
      <c r="H28" s="1119" t="n"/>
    </row>
    <row r="29">
      <c r="A29" s="1119" t="n"/>
      <c r="B29" s="1119" t="n"/>
      <c r="C29" s="1119" t="n"/>
      <c r="D29" s="1119" t="n"/>
      <c r="E29" s="1119" t="n"/>
      <c r="F29" s="1119" t="n"/>
      <c r="G29" s="1119" t="n"/>
      <c r="H29" s="1119" t="n"/>
    </row>
    <row r="30">
      <c r="A30" s="1119" t="n"/>
      <c r="B30" s="1119" t="n"/>
      <c r="C30" s="1119" t="n"/>
      <c r="D30" s="1119" t="n"/>
      <c r="E30" s="1119" t="n"/>
      <c r="F30" s="1119" t="n"/>
      <c r="G30" s="1119" t="n"/>
      <c r="H30" s="111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E16" sqref="E16"/>
    </sheetView>
  </sheetViews>
  <sheetFormatPr baseColWidth="8" defaultRowHeight="16.5"/>
  <cols>
    <col width="10.5" bestFit="1" customWidth="1" style="1643" min="1" max="1"/>
    <col width="10.25" bestFit="1" customWidth="1" style="1643" min="2" max="3"/>
    <col width="19.375" customWidth="1" style="1643" min="4" max="4"/>
    <col width="9.75" bestFit="1" customWidth="1" style="1643" min="5" max="5"/>
    <col width="25.5" bestFit="1" customWidth="1" style="1643" min="6" max="6"/>
    <col width="7.5" bestFit="1" customWidth="1" style="1643" min="7" max="7"/>
    <col width="40.375" customWidth="1" style="1643" min="8" max="8"/>
  </cols>
  <sheetData>
    <row r="1" customFormat="1" s="393">
      <c r="A1" s="1295" t="inlineStr">
        <is>
          <t>價金每KW</t>
        </is>
      </c>
      <c r="B1" s="1295" t="inlineStr">
        <is>
          <t>專案法IRR</t>
        </is>
      </c>
      <c r="C1" s="1295" t="inlineStr">
        <is>
          <t>權益法IRR</t>
        </is>
      </c>
      <c r="D1" s="1295" t="inlineStr">
        <is>
          <t>信邦利潤率</t>
        </is>
      </c>
      <c r="E1" s="1295" t="inlineStr">
        <is>
          <t>信邦利潤</t>
        </is>
      </c>
      <c r="F1" s="1296" t="inlineStr">
        <is>
          <t>每kw信邦利潤</t>
        </is>
      </c>
      <c r="G1" s="1295" t="inlineStr">
        <is>
          <t>開發費</t>
        </is>
      </c>
      <c r="H1" s="1295" t="inlineStr">
        <is>
          <t>備註</t>
        </is>
      </c>
    </row>
    <row r="2">
      <c r="A2" s="1119" t="n"/>
      <c r="B2" s="1119" t="n"/>
      <c r="C2" s="1119" t="n"/>
      <c r="D2" s="1119" t="n"/>
      <c r="E2" s="1119" t="n"/>
      <c r="F2" s="1119" t="n"/>
      <c r="G2" s="1119" t="n"/>
      <c r="H2" s="1119" t="n"/>
    </row>
    <row r="3">
      <c r="A3" s="1119" t="n"/>
      <c r="B3" s="1119" t="n"/>
      <c r="C3" s="1119" t="n"/>
      <c r="D3" s="1119" t="n"/>
      <c r="E3" s="1119" t="n"/>
      <c r="F3" s="1119" t="n"/>
      <c r="G3" s="1119" t="n"/>
      <c r="H3" s="1119" t="n"/>
    </row>
    <row r="4">
      <c r="A4" s="1119" t="n"/>
      <c r="B4" s="1119" t="n"/>
      <c r="C4" s="1119" t="n"/>
      <c r="D4" s="1119" t="n"/>
      <c r="E4" s="1119" t="n"/>
      <c r="F4" s="1119" t="n"/>
      <c r="G4" s="1119" t="n"/>
      <c r="H4" s="1119" t="n"/>
    </row>
    <row r="5">
      <c r="A5" s="1119" t="n"/>
      <c r="B5" s="1119" t="n"/>
      <c r="C5" s="1119" t="n"/>
      <c r="D5" s="1119" t="n"/>
      <c r="E5" s="1119" t="n"/>
      <c r="F5" s="1119" t="n"/>
      <c r="G5" s="1119" t="n"/>
      <c r="H5" s="1119" t="n"/>
    </row>
    <row r="6">
      <c r="A6" s="1119" t="n"/>
      <c r="B6" s="1119" t="n"/>
      <c r="C6" s="1119" t="n"/>
      <c r="D6" s="1119" t="n"/>
      <c r="E6" s="1119" t="n"/>
      <c r="F6" s="1119" t="n"/>
      <c r="G6" s="1119" t="n"/>
      <c r="H6" s="1119" t="n"/>
    </row>
    <row r="7">
      <c r="A7" s="1119" t="n"/>
      <c r="B7" s="1119" t="n"/>
      <c r="C7" s="1119" t="n"/>
      <c r="D7" s="1119" t="n"/>
      <c r="E7" s="1119" t="n"/>
      <c r="F7" s="1119" t="n"/>
      <c r="G7" s="1119" t="n"/>
      <c r="H7" s="1119" t="n"/>
    </row>
    <row r="8">
      <c r="A8" s="1119" t="n"/>
      <c r="B8" s="1119" t="n"/>
      <c r="C8" s="1119" t="n"/>
      <c r="D8" s="1119" t="n"/>
      <c r="E8" s="1119" t="n"/>
      <c r="F8" s="1119" t="n"/>
      <c r="G8" s="1119" t="n"/>
      <c r="H8" s="1119" t="n"/>
    </row>
    <row r="9">
      <c r="A9" s="1119" t="n"/>
      <c r="B9" s="1119" t="n"/>
      <c r="C9" s="1119" t="n"/>
      <c r="D9" s="1119" t="n"/>
      <c r="E9" s="1119" t="n"/>
      <c r="F9" s="1119" t="n"/>
      <c r="G9" s="1119" t="n"/>
      <c r="H9" s="1119" t="n"/>
    </row>
    <row r="10">
      <c r="A10" s="1119" t="n"/>
      <c r="B10" s="1119" t="n"/>
      <c r="C10" s="1119" t="n"/>
      <c r="D10" s="1119" t="n"/>
      <c r="E10" s="1119" t="n"/>
      <c r="F10" s="1119" t="n"/>
      <c r="G10" s="1119" t="n"/>
      <c r="H10" s="1119" t="n"/>
    </row>
    <row r="11">
      <c r="A11" s="1119" t="n"/>
      <c r="B11" s="1119" t="n"/>
      <c r="C11" s="1119" t="n"/>
      <c r="D11" s="1119" t="n"/>
      <c r="E11" s="1119" t="n"/>
      <c r="F11" s="1119" t="n"/>
      <c r="G11" s="1119" t="n"/>
      <c r="H11" s="1119" t="n"/>
    </row>
    <row r="12">
      <c r="A12" s="1119" t="n"/>
      <c r="B12" s="1119" t="n"/>
      <c r="C12" s="1119" t="n"/>
      <c r="D12" s="1119" t="n"/>
      <c r="E12" s="1119" t="n"/>
      <c r="F12" s="1119" t="n"/>
      <c r="G12" s="1119" t="n"/>
      <c r="H12" s="1119" t="n"/>
    </row>
    <row r="13">
      <c r="A13" s="1119" t="n"/>
      <c r="B13" s="1119" t="n"/>
      <c r="C13" s="1119" t="n"/>
      <c r="D13" s="1119" t="n"/>
      <c r="E13" s="1119" t="n"/>
      <c r="F13" s="1119" t="n"/>
      <c r="G13" s="1119" t="n"/>
      <c r="H13" s="1119" t="n"/>
    </row>
    <row r="14">
      <c r="A14" s="1119" t="n"/>
      <c r="B14" s="1119" t="n"/>
      <c r="C14" s="1119" t="n"/>
      <c r="D14" s="1119" t="n"/>
      <c r="E14" s="1119" t="n"/>
      <c r="F14" s="1119" t="n"/>
      <c r="G14" s="1119" t="n"/>
      <c r="H14" s="1119" t="n"/>
    </row>
    <row r="15">
      <c r="A15" s="1119" t="n"/>
      <c r="B15" s="1119" t="n"/>
      <c r="C15" s="1119" t="n"/>
      <c r="D15" s="1119" t="n"/>
      <c r="E15" s="1119" t="n"/>
      <c r="F15" s="1119" t="n"/>
      <c r="G15" s="1119" t="n"/>
      <c r="H15" s="1119" t="n"/>
    </row>
    <row r="16">
      <c r="A16" s="1119" t="n"/>
      <c r="B16" s="1119" t="n"/>
      <c r="C16" s="1119" t="n"/>
      <c r="D16" s="1119" t="n"/>
      <c r="E16" s="1119" t="n"/>
      <c r="F16" s="1119" t="n"/>
      <c r="G16" s="1119" t="n"/>
      <c r="H16" s="1119" t="n"/>
    </row>
    <row r="17">
      <c r="A17" s="1119" t="n"/>
      <c r="B17" s="1119" t="n"/>
      <c r="C17" s="1119" t="n"/>
      <c r="D17" s="1119" t="n"/>
      <c r="E17" s="1119" t="n"/>
      <c r="F17" s="1119" t="n"/>
      <c r="G17" s="1119" t="n"/>
      <c r="H17" s="1119" t="n"/>
    </row>
    <row r="18">
      <c r="A18" s="1119" t="n"/>
      <c r="B18" s="1119" t="n"/>
      <c r="C18" s="1119" t="n"/>
      <c r="D18" s="1119" t="n"/>
      <c r="E18" s="1119" t="n"/>
      <c r="F18" s="1119" t="n"/>
      <c r="G18" s="1119" t="n"/>
      <c r="H18" s="1119" t="n"/>
    </row>
    <row r="19">
      <c r="A19" s="1119" t="n"/>
      <c r="B19" s="1119" t="n"/>
      <c r="C19" s="1119" t="n"/>
      <c r="D19" s="1119" t="n"/>
      <c r="E19" s="1119" t="n"/>
      <c r="F19" s="1119" t="n"/>
      <c r="G19" s="1119" t="n"/>
      <c r="H19" s="1119" t="n"/>
    </row>
    <row r="20">
      <c r="A20" s="1119" t="n"/>
      <c r="B20" s="1119" t="n"/>
      <c r="C20" s="1119" t="n"/>
      <c r="D20" s="1119" t="n"/>
      <c r="E20" s="1119" t="n"/>
      <c r="F20" s="1119" t="n"/>
      <c r="G20" s="1119" t="n"/>
      <c r="H20" s="1119" t="n"/>
    </row>
    <row r="21">
      <c r="A21" s="1119" t="n"/>
      <c r="B21" s="1119" t="n"/>
      <c r="C21" s="1119" t="n"/>
      <c r="D21" s="1119" t="n"/>
      <c r="E21" s="1119" t="n"/>
      <c r="F21" s="1119" t="n"/>
      <c r="G21" s="1119" t="n"/>
      <c r="H21" s="1119" t="n"/>
    </row>
    <row r="22">
      <c r="A22" s="1119" t="n"/>
      <c r="B22" s="1119" t="n"/>
      <c r="C22" s="1119" t="n"/>
      <c r="D22" s="1119" t="n"/>
      <c r="E22" s="1119" t="n"/>
      <c r="F22" s="1119" t="n"/>
      <c r="G22" s="1119" t="n"/>
      <c r="H22" s="1119" t="n"/>
    </row>
    <row r="23">
      <c r="A23" s="1119" t="n"/>
      <c r="B23" s="1119" t="n"/>
      <c r="C23" s="1119" t="n"/>
      <c r="D23" s="1119" t="n"/>
      <c r="E23" s="1119" t="n"/>
      <c r="F23" s="1119" t="n"/>
      <c r="G23" s="1119" t="n"/>
      <c r="H23" s="1119" t="n"/>
    </row>
    <row r="24">
      <c r="A24" s="1119" t="n"/>
      <c r="B24" s="1119" t="n"/>
      <c r="C24" s="1119" t="n"/>
      <c r="D24" s="1119" t="n"/>
      <c r="E24" s="1119" t="n"/>
      <c r="F24" s="1119" t="n"/>
      <c r="G24" s="1119" t="n"/>
      <c r="H24" s="1119" t="n"/>
    </row>
    <row r="25">
      <c r="A25" s="1119" t="n"/>
      <c r="B25" s="1119" t="n"/>
      <c r="C25" s="1119" t="n"/>
      <c r="D25" s="1119" t="n"/>
      <c r="E25" s="1119" t="n"/>
      <c r="F25" s="1119" t="n"/>
      <c r="G25" s="1119" t="n"/>
      <c r="H25" s="1119" t="n"/>
    </row>
    <row r="26">
      <c r="A26" s="1119" t="n"/>
      <c r="B26" s="1119" t="n"/>
      <c r="C26" s="1119" t="n"/>
      <c r="D26" s="1119" t="n"/>
      <c r="E26" s="1119" t="n"/>
      <c r="F26" s="1119" t="n"/>
      <c r="G26" s="1119" t="n"/>
      <c r="H26" s="1119" t="n"/>
    </row>
    <row r="27">
      <c r="A27" s="1119" t="n"/>
      <c r="B27" s="1119" t="n"/>
      <c r="C27" s="1119" t="n"/>
      <c r="D27" s="1119" t="n"/>
      <c r="E27" s="1119" t="n"/>
      <c r="F27" s="1119" t="n"/>
      <c r="G27" s="1119" t="n"/>
      <c r="H27" s="1119" t="n"/>
    </row>
    <row r="28">
      <c r="A28" s="1119" t="n"/>
      <c r="B28" s="1119" t="n"/>
      <c r="C28" s="1119" t="n"/>
      <c r="D28" s="1119" t="n"/>
      <c r="E28" s="1119" t="n"/>
      <c r="F28" s="1119" t="n"/>
      <c r="G28" s="1119" t="n"/>
      <c r="H28" s="1119" t="n"/>
    </row>
    <row r="29">
      <c r="A29" s="1119" t="n"/>
      <c r="B29" s="1119" t="n"/>
      <c r="C29" s="1119" t="n"/>
      <c r="D29" s="1119" t="n"/>
      <c r="E29" s="1119" t="n"/>
      <c r="F29" s="1119" t="n"/>
      <c r="G29" s="1119" t="n"/>
      <c r="H29" s="1119" t="n"/>
    </row>
    <row r="30">
      <c r="A30" s="1119" t="n"/>
      <c r="B30" s="1119" t="n"/>
      <c r="C30" s="1119" t="n"/>
      <c r="D30" s="1119" t="n"/>
      <c r="E30" s="1119" t="n"/>
      <c r="F30" s="1119" t="n"/>
      <c r="G30" s="1119" t="n"/>
      <c r="H30" s="111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showGridLines="0" tabSelected="1" zoomScale="70" zoomScaleNormal="70" workbookViewId="0">
      <selection activeCell="D34" sqref="D34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初始價金摘要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初始價金: 30000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4.29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10.43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基準價金 - 滾算起始點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30000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7:E7"/>
    <mergeCell ref="B19:B21"/>
    <mergeCell ref="B29:D29"/>
    <mergeCell ref="B10:B13"/>
    <mergeCell ref="B16:B18"/>
    <mergeCell ref="B14:E14"/>
    <mergeCell ref="E10:E13"/>
  </mergeCells>
  <conditionalFormatting sqref="D63:W63">
    <cfRule type="containsText" priority="2" operator="containsText" dxfId="1" text="未回收">
      <formula>NOT(ISERROR(SEARCH("未回收",D63)))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9CCFF"/>
    <outlinePr summaryBelow="1" summaryRight="1"/>
    <pageSetUpPr/>
  </sheetPr>
  <dimension ref="B2:AM182"/>
  <sheetViews>
    <sheetView showGridLines="0" zoomScale="70" zoomScaleNormal="70" workbookViewId="0">
      <pane xSplit="2" ySplit="4" topLeftCell="C31" activePane="bottomRight" state="frozen"/>
      <selection pane="topRight" activeCell="C1" sqref="C1"/>
      <selection pane="bottomLeft" activeCell="A5" sqref="A5"/>
      <selection pane="bottomRight" activeCell="C137" sqref="C137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2.625" customWidth="1" style="1643" min="4" max="25"/>
    <col width="15" bestFit="1" customWidth="1" style="1643" min="26" max="26"/>
    <col width="8.375" bestFit="1" customWidth="1" style="1643" min="27" max="27"/>
    <col width="30" customWidth="1" style="1643" min="28" max="28"/>
    <col width="19.625" bestFit="1" customWidth="1" style="1643" min="33" max="33"/>
    <col width="20.5" bestFit="1" customWidth="1" style="1643" min="34" max="34"/>
    <col width="20.25" bestFit="1" customWidth="1" style="1643" min="35" max="35"/>
    <col width="20.875" bestFit="1" customWidth="1" style="1643" min="36" max="36"/>
    <col width="15.5" bestFit="1" customWidth="1" style="1643" min="37" max="37"/>
    <col width="36.875" bestFit="1" customWidth="1" style="1643" min="38" max="38"/>
    <col width="32.625" bestFit="1" customWidth="1" style="1643" min="39" max="39"/>
  </cols>
  <sheetData>
    <row r="2">
      <c r="B2" s="419" t="inlineStr">
        <is>
          <t>重資打包賣價</t>
        </is>
      </c>
      <c r="C2" s="1899">
        <f>Z28</f>
        <v/>
      </c>
      <c r="D2" s="416" t="n"/>
      <c r="E2" s="416" t="n"/>
      <c r="F2" s="416" t="n"/>
      <c r="G2" s="416" t="n"/>
      <c r="H2" s="416" t="n"/>
      <c r="I2" s="416" t="n"/>
      <c r="J2" s="416" t="n"/>
      <c r="K2" s="416" t="n"/>
      <c r="L2" s="416" t="n"/>
      <c r="M2" s="416" t="n"/>
      <c r="N2" s="416" t="n"/>
      <c r="O2" s="416" t="n"/>
      <c r="P2" s="416" t="n"/>
      <c r="Q2" s="416" t="n"/>
      <c r="R2" s="416" t="n"/>
      <c r="S2" s="416" t="n"/>
      <c r="T2" s="416" t="n"/>
      <c r="U2" s="416" t="n"/>
      <c r="V2" s="416" t="n"/>
      <c r="W2" s="416" t="n"/>
      <c r="X2" s="416" t="n"/>
      <c r="Y2" s="416" t="n"/>
      <c r="Z2" s="416" t="n"/>
      <c r="AA2" s="416" t="n"/>
      <c r="AB2" s="416" t="n"/>
      <c r="AC2" s="416" t="n"/>
      <c r="AD2" s="416" t="n"/>
      <c r="AE2" s="416" t="n"/>
    </row>
    <row r="4">
      <c r="B4" s="445" t="n"/>
      <c r="C4" s="446" t="inlineStr">
        <is>
          <t>年份</t>
        </is>
      </c>
      <c r="D4" s="446" t="n">
        <v>2020</v>
      </c>
      <c r="E4" s="446" t="n">
        <v>2021</v>
      </c>
      <c r="F4" s="446" t="n">
        <v>2022</v>
      </c>
      <c r="G4" s="446" t="n">
        <v>2023</v>
      </c>
      <c r="H4" s="446" t="n">
        <v>2024</v>
      </c>
      <c r="I4" s="446" t="n">
        <v>2025</v>
      </c>
      <c r="J4" s="446" t="n">
        <v>2026</v>
      </c>
      <c r="K4" s="446" t="n">
        <v>2027</v>
      </c>
      <c r="L4" s="446" t="n">
        <v>2028</v>
      </c>
      <c r="M4" s="446" t="n">
        <v>2029</v>
      </c>
      <c r="N4" s="446" t="n">
        <v>2030</v>
      </c>
      <c r="O4" s="446" t="n">
        <v>2031</v>
      </c>
      <c r="P4" s="446" t="n">
        <v>2032</v>
      </c>
      <c r="Q4" s="446" t="n">
        <v>2033</v>
      </c>
      <c r="R4" s="446" t="n">
        <v>2034</v>
      </c>
      <c r="S4" s="446" t="n">
        <v>2035</v>
      </c>
      <c r="T4" s="446" t="n">
        <v>2036</v>
      </c>
      <c r="U4" s="446" t="n">
        <v>2037</v>
      </c>
      <c r="V4" s="446" t="n">
        <v>2038</v>
      </c>
      <c r="W4" s="446" t="n">
        <v>2039</v>
      </c>
      <c r="X4" s="448" t="n"/>
      <c r="Y4" s="448" t="n"/>
      <c r="Z4" s="447" t="n"/>
      <c r="AA4" s="447" t="n"/>
      <c r="AB4" s="445" t="n"/>
      <c r="AC4" s="445" t="n"/>
      <c r="AD4" s="445" t="n"/>
      <c r="AE4" s="445" t="n"/>
    </row>
    <row r="5">
      <c r="B5" s="421" t="inlineStr">
        <is>
          <t>案場名</t>
        </is>
      </c>
      <c r="C5" s="416" t="inlineStr">
        <is>
          <t>預估發電度數</t>
        </is>
      </c>
      <c r="D5" s="416" t="n"/>
      <c r="E5" s="416" t="n"/>
      <c r="F5" s="416" t="n"/>
      <c r="G5" s="416" t="n"/>
      <c r="H5" s="416" t="n"/>
      <c r="I5" s="416" t="n"/>
      <c r="J5" s="416" t="n"/>
      <c r="K5" s="416" t="n"/>
      <c r="L5" s="416" t="n"/>
      <c r="M5" s="416" t="n"/>
      <c r="N5" s="416" t="n"/>
      <c r="O5" s="416" t="n"/>
      <c r="P5" s="416" t="n"/>
      <c r="Q5" s="416" t="n"/>
      <c r="R5" s="416" t="n"/>
      <c r="S5" s="416" t="n"/>
      <c r="T5" s="416" t="n"/>
      <c r="U5" s="416" t="n"/>
      <c r="V5" s="416" t="n"/>
      <c r="W5" s="416" t="n"/>
      <c r="X5" s="416" t="n"/>
      <c r="Y5" s="416" t="n"/>
      <c r="Z5" s="416" t="n"/>
      <c r="AA5" s="416" t="n"/>
      <c r="AB5" s="416" t="n"/>
      <c r="AC5" s="416" t="n"/>
      <c r="AD5" s="436" t="inlineStr">
        <is>
          <t>發電度數</t>
        </is>
      </c>
      <c r="AE5" s="417" t="n"/>
    </row>
    <row r="6">
      <c r="B6" s="421">
        <f>#REF!</f>
        <v/>
      </c>
      <c r="C6" s="416" t="n"/>
      <c r="D6" s="756">
        <f>#REF!</f>
        <v/>
      </c>
      <c r="E6" s="756">
        <f>#REF!</f>
        <v/>
      </c>
      <c r="F6" s="756">
        <f>#REF!</f>
        <v/>
      </c>
      <c r="G6" s="756">
        <f>#REF!</f>
        <v/>
      </c>
      <c r="H6" s="756">
        <f>#REF!</f>
        <v/>
      </c>
      <c r="I6" s="756">
        <f>#REF!</f>
        <v/>
      </c>
      <c r="J6" s="756">
        <f>#REF!</f>
        <v/>
      </c>
      <c r="K6" s="756">
        <f>#REF!</f>
        <v/>
      </c>
      <c r="L6" s="756">
        <f>#REF!</f>
        <v/>
      </c>
      <c r="M6" s="756">
        <f>#REF!</f>
        <v/>
      </c>
      <c r="N6" s="756">
        <f>#REF!</f>
        <v/>
      </c>
      <c r="O6" s="756">
        <f>#REF!</f>
        <v/>
      </c>
      <c r="P6" s="756">
        <f>#REF!</f>
        <v/>
      </c>
      <c r="Q6" s="756">
        <f>#REF!</f>
        <v/>
      </c>
      <c r="R6" s="756">
        <f>#REF!</f>
        <v/>
      </c>
      <c r="S6" s="756">
        <f>#REF!</f>
        <v/>
      </c>
      <c r="T6" s="756">
        <f>#REF!</f>
        <v/>
      </c>
      <c r="U6" s="756">
        <f>#REF!</f>
        <v/>
      </c>
      <c r="V6" s="756">
        <f>#REF!</f>
        <v/>
      </c>
      <c r="W6" s="756">
        <f>#REF!</f>
        <v/>
      </c>
      <c r="X6" s="416" t="n"/>
      <c r="Y6" s="416" t="n"/>
      <c r="Z6" s="438">
        <f>SUM(D6:Y6)</f>
        <v/>
      </c>
      <c r="AA6" s="416" t="n"/>
      <c r="AB6" s="416" t="n"/>
      <c r="AC6" s="416" t="n"/>
      <c r="AD6" s="436" t="inlineStr">
        <is>
          <t>賣價</t>
        </is>
      </c>
      <c r="AE6" s="417" t="n"/>
    </row>
    <row r="7">
      <c r="B7" s="416" t="n"/>
      <c r="C7" s="449" t="inlineStr">
        <is>
          <t>發電度數 總計</t>
        </is>
      </c>
      <c r="D7" s="1900">
        <f>SUM(D6:D6)</f>
        <v/>
      </c>
      <c r="E7" s="1900">
        <f>SUM(E6:E6)</f>
        <v/>
      </c>
      <c r="F7" s="1900">
        <f>SUM(F6:F6)</f>
        <v/>
      </c>
      <c r="G7" s="1900">
        <f>SUM(G6:G6)</f>
        <v/>
      </c>
      <c r="H7" s="1900">
        <f>SUM(H6:H6)</f>
        <v/>
      </c>
      <c r="I7" s="1900">
        <f>SUM(I6:I6)</f>
        <v/>
      </c>
      <c r="J7" s="1900">
        <f>SUM(J6:J6)</f>
        <v/>
      </c>
      <c r="K7" s="1900">
        <f>SUM(K6:K6)</f>
        <v/>
      </c>
      <c r="L7" s="1900">
        <f>SUM(L6:L6)</f>
        <v/>
      </c>
      <c r="M7" s="1900">
        <f>SUM(M6:M6)</f>
        <v/>
      </c>
      <c r="N7" s="1900">
        <f>SUM(N6:N6)</f>
        <v/>
      </c>
      <c r="O7" s="1900">
        <f>SUM(O6:O6)</f>
        <v/>
      </c>
      <c r="P7" s="1900">
        <f>SUM(P6:P6)</f>
        <v/>
      </c>
      <c r="Q7" s="1900">
        <f>SUM(Q6:Q6)</f>
        <v/>
      </c>
      <c r="R7" s="1900">
        <f>SUM(R6:R6)</f>
        <v/>
      </c>
      <c r="S7" s="1900">
        <f>SUM(S6:S6)</f>
        <v/>
      </c>
      <c r="T7" s="1900">
        <f>SUM(T6:T6)</f>
        <v/>
      </c>
      <c r="U7" s="1900">
        <f>SUM(U6:U6)</f>
        <v/>
      </c>
      <c r="V7" s="1900">
        <f>SUM(V6:V6)</f>
        <v/>
      </c>
      <c r="W7" s="1900">
        <f>SUM(W6:W6)</f>
        <v/>
      </c>
      <c r="X7" s="1900">
        <f>SUM(X6:X6)</f>
        <v/>
      </c>
      <c r="Y7" s="449" t="n"/>
      <c r="Z7" s="1901">
        <f>SUM(D7:Y7)</f>
        <v/>
      </c>
      <c r="AA7" s="437">
        <f>IF(ROUND((#REF!-'IRR (保守3%)'!Z7),0)=0,"correct", "error")</f>
        <v/>
      </c>
      <c r="AB7" s="416" t="n"/>
      <c r="AC7" s="416" t="n"/>
      <c r="AD7" s="416" t="n"/>
      <c r="AE7" s="416" t="n"/>
    </row>
    <row r="8">
      <c r="B8" s="421" t="inlineStr">
        <is>
          <t>案場名</t>
        </is>
      </c>
      <c r="C8" s="416" t="inlineStr">
        <is>
          <t>預估收入</t>
        </is>
      </c>
      <c r="D8" s="429" t="n">
        <v>2020</v>
      </c>
      <c r="E8" s="429" t="n">
        <v>2021</v>
      </c>
      <c r="F8" s="429" t="n">
        <v>2022</v>
      </c>
      <c r="G8" s="429" t="n">
        <v>2023</v>
      </c>
      <c r="H8" s="429" t="n">
        <v>2024</v>
      </c>
      <c r="I8" s="429" t="n">
        <v>2025</v>
      </c>
      <c r="J8" s="429" t="n">
        <v>2026</v>
      </c>
      <c r="K8" s="429" t="n">
        <v>2027</v>
      </c>
      <c r="L8" s="429" t="n">
        <v>2028</v>
      </c>
      <c r="M8" s="429" t="n">
        <v>2029</v>
      </c>
      <c r="N8" s="429" t="n">
        <v>2030</v>
      </c>
      <c r="O8" s="429" t="n">
        <v>2031</v>
      </c>
      <c r="P8" s="429" t="n">
        <v>2032</v>
      </c>
      <c r="Q8" s="429" t="n">
        <v>2033</v>
      </c>
      <c r="R8" s="429" t="n">
        <v>2034</v>
      </c>
      <c r="S8" s="429" t="n">
        <v>2035</v>
      </c>
      <c r="T8" s="429" t="n">
        <v>2036</v>
      </c>
      <c r="U8" s="429" t="n">
        <v>2037</v>
      </c>
      <c r="V8" s="429" t="n">
        <v>2038</v>
      </c>
      <c r="W8" s="429" t="n">
        <v>2039</v>
      </c>
      <c r="X8" s="429" t="n">
        <v>2040</v>
      </c>
      <c r="Y8" s="429" t="n"/>
      <c r="Z8" s="438" t="n"/>
      <c r="AA8" s="416" t="n"/>
      <c r="AB8" s="416" t="n"/>
      <c r="AC8" s="416" t="n"/>
      <c r="AD8" s="416" t="n"/>
      <c r="AE8" s="416" t="n"/>
    </row>
    <row r="9">
      <c r="B9" s="421">
        <f>#REF!</f>
        <v/>
      </c>
      <c r="C9" s="416" t="n"/>
      <c r="D9" s="756">
        <f>#REF!</f>
        <v/>
      </c>
      <c r="E9" s="756">
        <f>#REF!</f>
        <v/>
      </c>
      <c r="F9" s="756">
        <f>#REF!</f>
        <v/>
      </c>
      <c r="G9" s="756">
        <f>#REF!</f>
        <v/>
      </c>
      <c r="H9" s="756">
        <f>#REF!</f>
        <v/>
      </c>
      <c r="I9" s="756">
        <f>#REF!</f>
        <v/>
      </c>
      <c r="J9" s="756">
        <f>#REF!</f>
        <v/>
      </c>
      <c r="K9" s="756">
        <f>#REF!</f>
        <v/>
      </c>
      <c r="L9" s="756">
        <f>#REF!</f>
        <v/>
      </c>
      <c r="M9" s="756">
        <f>#REF!</f>
        <v/>
      </c>
      <c r="N9" s="756">
        <f>#REF!</f>
        <v/>
      </c>
      <c r="O9" s="756">
        <f>#REF!</f>
        <v/>
      </c>
      <c r="P9" s="756">
        <f>#REF!</f>
        <v/>
      </c>
      <c r="Q9" s="756">
        <f>#REF!</f>
        <v/>
      </c>
      <c r="R9" s="756">
        <f>#REF!</f>
        <v/>
      </c>
      <c r="S9" s="756">
        <f>#REF!</f>
        <v/>
      </c>
      <c r="T9" s="756">
        <f>#REF!</f>
        <v/>
      </c>
      <c r="U9" s="756">
        <f>#REF!</f>
        <v/>
      </c>
      <c r="V9" s="756">
        <f>#REF!</f>
        <v/>
      </c>
      <c r="W9" s="756">
        <f>#REF!</f>
        <v/>
      </c>
      <c r="X9" s="416" t="n"/>
      <c r="Y9" s="416" t="n"/>
      <c r="Z9" s="438">
        <f>SUM(D9:Y9)</f>
        <v/>
      </c>
      <c r="AA9" s="416" t="n"/>
      <c r="AB9" s="416" t="n"/>
      <c r="AC9" s="416" t="n"/>
      <c r="AD9" s="416" t="n"/>
      <c r="AE9" s="416" t="n"/>
    </row>
    <row r="10">
      <c r="B10" s="421" t="n"/>
      <c r="C10" s="422" t="inlineStr">
        <is>
          <t>預估收入 總計</t>
        </is>
      </c>
      <c r="D10" s="1902">
        <f>SUM(D9:D9)</f>
        <v/>
      </c>
      <c r="E10" s="1902">
        <f>SUM(E9:E9)</f>
        <v/>
      </c>
      <c r="F10" s="1902">
        <f>SUM(F9:F9)</f>
        <v/>
      </c>
      <c r="G10" s="1902">
        <f>SUM(G9:G9)</f>
        <v/>
      </c>
      <c r="H10" s="1902">
        <f>SUM(H9:H9)</f>
        <v/>
      </c>
      <c r="I10" s="1902">
        <f>SUM(I9:I9)</f>
        <v/>
      </c>
      <c r="J10" s="1902">
        <f>SUM(J9:J9)</f>
        <v/>
      </c>
      <c r="K10" s="1902">
        <f>SUM(K9:K9)</f>
        <v/>
      </c>
      <c r="L10" s="1902">
        <f>SUM(L9:L9)</f>
        <v/>
      </c>
      <c r="M10" s="1902">
        <f>SUM(M9:M9)</f>
        <v/>
      </c>
      <c r="N10" s="1902">
        <f>SUM(N9:N9)</f>
        <v/>
      </c>
      <c r="O10" s="1902">
        <f>SUM(O9:O9)</f>
        <v/>
      </c>
      <c r="P10" s="1902">
        <f>SUM(P9:P9)</f>
        <v/>
      </c>
      <c r="Q10" s="1902">
        <f>SUM(Q9:Q9)</f>
        <v/>
      </c>
      <c r="R10" s="1902">
        <f>SUM(R9:R9)</f>
        <v/>
      </c>
      <c r="S10" s="1902">
        <f>SUM(S9:S9)</f>
        <v/>
      </c>
      <c r="T10" s="1902">
        <f>SUM(T9:T9)</f>
        <v/>
      </c>
      <c r="U10" s="1902">
        <f>SUM(U9:U9)</f>
        <v/>
      </c>
      <c r="V10" s="1902">
        <f>SUM(V9:V9)</f>
        <v/>
      </c>
      <c r="W10" s="1902">
        <f>SUM(W9:W9)</f>
        <v/>
      </c>
      <c r="X10" s="1902">
        <f>SUM(X9:X9)</f>
        <v/>
      </c>
      <c r="Y10" s="1902" t="n"/>
      <c r="Z10" s="1901">
        <f>SUM(D10:Y10)</f>
        <v/>
      </c>
      <c r="AA10" s="437">
        <f>IF(ROUND((#REF!-'IRR (保守3%)'!Z10),0)=0,"correct", "error")</f>
        <v/>
      </c>
      <c r="AB10" s="416" t="n"/>
      <c r="AC10" s="416" t="n"/>
      <c r="AD10" s="416" t="n"/>
      <c r="AE10" s="416" t="n"/>
    </row>
    <row r="11">
      <c r="B11" s="421" t="inlineStr">
        <is>
          <t>案場名</t>
        </is>
      </c>
      <c r="C11" s="416" t="inlineStr">
        <is>
          <t>租金/年</t>
        </is>
      </c>
      <c r="D11" s="429" t="n">
        <v>2020</v>
      </c>
      <c r="E11" s="429" t="n">
        <v>2021</v>
      </c>
      <c r="F11" s="429" t="n">
        <v>2022</v>
      </c>
      <c r="G11" s="429" t="n">
        <v>2023</v>
      </c>
      <c r="H11" s="429" t="n">
        <v>2024</v>
      </c>
      <c r="I11" s="429" t="n">
        <v>2025</v>
      </c>
      <c r="J11" s="429" t="n">
        <v>2026</v>
      </c>
      <c r="K11" s="429" t="n">
        <v>2027</v>
      </c>
      <c r="L11" s="429" t="n">
        <v>2028</v>
      </c>
      <c r="M11" s="429" t="n">
        <v>2029</v>
      </c>
      <c r="N11" s="429" t="n">
        <v>2030</v>
      </c>
      <c r="O11" s="429" t="n">
        <v>2031</v>
      </c>
      <c r="P11" s="429" t="n">
        <v>2032</v>
      </c>
      <c r="Q11" s="429" t="n">
        <v>2033</v>
      </c>
      <c r="R11" s="429" t="n">
        <v>2034</v>
      </c>
      <c r="S11" s="429" t="n">
        <v>2035</v>
      </c>
      <c r="T11" s="429" t="n">
        <v>2036</v>
      </c>
      <c r="U11" s="429" t="n">
        <v>2037</v>
      </c>
      <c r="V11" s="429" t="n">
        <v>2038</v>
      </c>
      <c r="W11" s="429" t="n">
        <v>2039</v>
      </c>
      <c r="X11" s="429" t="n">
        <v>2040</v>
      </c>
      <c r="Y11" s="429" t="n"/>
      <c r="Z11" s="438" t="n"/>
      <c r="AA11" s="416" t="n"/>
      <c r="AB11" s="416" t="n"/>
      <c r="AC11" s="416" t="n"/>
      <c r="AD11" s="416" t="n"/>
      <c r="AE11" s="416" t="n"/>
    </row>
    <row r="12">
      <c r="B12" s="421">
        <f>#REF!</f>
        <v/>
      </c>
      <c r="C12" s="416" t="n"/>
      <c r="D12" s="756">
        <f>#REF!</f>
        <v/>
      </c>
      <c r="E12" s="756">
        <f>#REF!</f>
        <v/>
      </c>
      <c r="F12" s="756">
        <f>#REF!</f>
        <v/>
      </c>
      <c r="G12" s="756">
        <f>#REF!</f>
        <v/>
      </c>
      <c r="H12" s="756">
        <f>#REF!</f>
        <v/>
      </c>
      <c r="I12" s="756">
        <f>#REF!</f>
        <v/>
      </c>
      <c r="J12" s="756">
        <f>#REF!</f>
        <v/>
      </c>
      <c r="K12" s="756">
        <f>#REF!</f>
        <v/>
      </c>
      <c r="L12" s="756">
        <f>#REF!</f>
        <v/>
      </c>
      <c r="M12" s="756">
        <f>#REF!</f>
        <v/>
      </c>
      <c r="N12" s="756">
        <f>#REF!</f>
        <v/>
      </c>
      <c r="O12" s="756">
        <f>#REF!</f>
        <v/>
      </c>
      <c r="P12" s="756">
        <f>#REF!</f>
        <v/>
      </c>
      <c r="Q12" s="756">
        <f>#REF!</f>
        <v/>
      </c>
      <c r="R12" s="756">
        <f>#REF!</f>
        <v/>
      </c>
      <c r="S12" s="756">
        <f>#REF!</f>
        <v/>
      </c>
      <c r="T12" s="756">
        <f>#REF!</f>
        <v/>
      </c>
      <c r="U12" s="756">
        <f>#REF!</f>
        <v/>
      </c>
      <c r="V12" s="756">
        <f>#REF!</f>
        <v/>
      </c>
      <c r="W12" s="756">
        <f>#REF!</f>
        <v/>
      </c>
      <c r="X12" s="416" t="n"/>
      <c r="Y12" s="416" t="n"/>
      <c r="Z12" s="438">
        <f>SUM(D12:Y12)</f>
        <v/>
      </c>
      <c r="AA12" s="416" t="n"/>
      <c r="AB12" s="416" t="n"/>
      <c r="AC12" s="416" t="n"/>
      <c r="AD12" s="416" t="n"/>
      <c r="AE12" s="416" t="n"/>
    </row>
    <row r="13">
      <c r="B13" s="421" t="n"/>
      <c r="C13" s="423" t="inlineStr">
        <is>
          <t>租金/年 總計</t>
        </is>
      </c>
      <c r="D13" s="1903">
        <f>SUM(D12:D12)</f>
        <v/>
      </c>
      <c r="E13" s="1903">
        <f>SUM(E12:E12)</f>
        <v/>
      </c>
      <c r="F13" s="1903">
        <f>SUM(F12:F12)</f>
        <v/>
      </c>
      <c r="G13" s="1903">
        <f>SUM(G12:G12)</f>
        <v/>
      </c>
      <c r="H13" s="1903">
        <f>SUM(H12:H12)</f>
        <v/>
      </c>
      <c r="I13" s="1903">
        <f>SUM(I12:I12)</f>
        <v/>
      </c>
      <c r="J13" s="1903">
        <f>SUM(J12:J12)</f>
        <v/>
      </c>
      <c r="K13" s="1903">
        <f>SUM(K12:K12)</f>
        <v/>
      </c>
      <c r="L13" s="1903">
        <f>SUM(L12:L12)</f>
        <v/>
      </c>
      <c r="M13" s="1903">
        <f>SUM(M12:M12)</f>
        <v/>
      </c>
      <c r="N13" s="1903">
        <f>SUM(N12:N12)</f>
        <v/>
      </c>
      <c r="O13" s="1903">
        <f>SUM(O12:O12)</f>
        <v/>
      </c>
      <c r="P13" s="1903">
        <f>SUM(P12:P12)</f>
        <v/>
      </c>
      <c r="Q13" s="1903">
        <f>SUM(Q12:Q12)</f>
        <v/>
      </c>
      <c r="R13" s="1903">
        <f>SUM(R12:R12)</f>
        <v/>
      </c>
      <c r="S13" s="1903">
        <f>SUM(S12:S12)</f>
        <v/>
      </c>
      <c r="T13" s="1903">
        <f>SUM(T12:T12)</f>
        <v/>
      </c>
      <c r="U13" s="1903">
        <f>SUM(U12:U12)</f>
        <v/>
      </c>
      <c r="V13" s="1903">
        <f>SUM(V12:V12)</f>
        <v/>
      </c>
      <c r="W13" s="1903">
        <f>SUM(W12:W12)</f>
        <v/>
      </c>
      <c r="X13" s="1903">
        <f>SUM(X12:X12)</f>
        <v/>
      </c>
      <c r="Y13" s="1903" t="n"/>
      <c r="Z13" s="1901">
        <f>SUM(D13:Y13)</f>
        <v/>
      </c>
      <c r="AA13" s="437">
        <f>IF(ROUND((#REF!-'IRR (保守3%)'!Z13),0)=0,"correct", "error")</f>
        <v/>
      </c>
      <c r="AB13" s="416" t="n"/>
      <c r="AC13" s="416" t="n"/>
      <c r="AD13" s="416" t="n"/>
      <c r="AE13" s="416" t="n"/>
    </row>
    <row r="14">
      <c r="B14" s="421" t="inlineStr">
        <is>
          <t>案場名</t>
        </is>
      </c>
      <c r="C14" s="416" t="inlineStr">
        <is>
          <t>運維/年</t>
        </is>
      </c>
      <c r="D14" s="429" t="n">
        <v>2020</v>
      </c>
      <c r="E14" s="429" t="n">
        <v>2021</v>
      </c>
      <c r="F14" s="429" t="n">
        <v>2022</v>
      </c>
      <c r="G14" s="429" t="n">
        <v>2023</v>
      </c>
      <c r="H14" s="429" t="n">
        <v>2024</v>
      </c>
      <c r="I14" s="429" t="n">
        <v>2025</v>
      </c>
      <c r="J14" s="429" t="n">
        <v>2026</v>
      </c>
      <c r="K14" s="429" t="n">
        <v>2027</v>
      </c>
      <c r="L14" s="429" t="n">
        <v>2028</v>
      </c>
      <c r="M14" s="429" t="n">
        <v>2029</v>
      </c>
      <c r="N14" s="429" t="n">
        <v>2030</v>
      </c>
      <c r="O14" s="429" t="n">
        <v>2031</v>
      </c>
      <c r="P14" s="429" t="n">
        <v>2032</v>
      </c>
      <c r="Q14" s="429" t="n">
        <v>2033</v>
      </c>
      <c r="R14" s="429" t="n">
        <v>2034</v>
      </c>
      <c r="S14" s="429" t="n">
        <v>2035</v>
      </c>
      <c r="T14" s="429" t="n">
        <v>2036</v>
      </c>
      <c r="U14" s="429" t="n">
        <v>2037</v>
      </c>
      <c r="V14" s="429" t="n">
        <v>2038</v>
      </c>
      <c r="W14" s="429" t="n">
        <v>2039</v>
      </c>
      <c r="X14" s="429" t="n">
        <v>2040</v>
      </c>
      <c r="Y14" s="429" t="n"/>
      <c r="Z14" s="438" t="n"/>
      <c r="AA14" s="416" t="n"/>
      <c r="AB14" s="416" t="n"/>
      <c r="AC14" s="416" t="n"/>
      <c r="AD14" s="416" t="n"/>
      <c r="AE14" s="416" t="n"/>
    </row>
    <row r="15">
      <c r="B15" s="421">
        <f>#REF!</f>
        <v/>
      </c>
      <c r="C15" s="416" t="n"/>
      <c r="D15" s="756">
        <f>#REF!</f>
        <v/>
      </c>
      <c r="E15" s="756">
        <f>#REF!</f>
        <v/>
      </c>
      <c r="F15" s="756">
        <f>#REF!</f>
        <v/>
      </c>
      <c r="G15" s="756">
        <f>#REF!</f>
        <v/>
      </c>
      <c r="H15" s="756">
        <f>#REF!</f>
        <v/>
      </c>
      <c r="I15" s="756">
        <f>#REF!</f>
        <v/>
      </c>
      <c r="J15" s="756">
        <f>#REF!</f>
        <v/>
      </c>
      <c r="K15" s="756">
        <f>#REF!</f>
        <v/>
      </c>
      <c r="L15" s="756">
        <f>#REF!</f>
        <v/>
      </c>
      <c r="M15" s="756">
        <f>#REF!</f>
        <v/>
      </c>
      <c r="N15" s="756">
        <f>#REF!</f>
        <v/>
      </c>
      <c r="O15" s="756">
        <f>#REF!</f>
        <v/>
      </c>
      <c r="P15" s="756">
        <f>#REF!</f>
        <v/>
      </c>
      <c r="Q15" s="756">
        <f>#REF!</f>
        <v/>
      </c>
      <c r="R15" s="756">
        <f>#REF!</f>
        <v/>
      </c>
      <c r="S15" s="756">
        <f>#REF!</f>
        <v/>
      </c>
      <c r="T15" s="756">
        <f>#REF!</f>
        <v/>
      </c>
      <c r="U15" s="756">
        <f>#REF!</f>
        <v/>
      </c>
      <c r="V15" s="756">
        <f>#REF!</f>
        <v/>
      </c>
      <c r="W15" s="756">
        <f>#REF!</f>
        <v/>
      </c>
      <c r="X15" s="416" t="n"/>
      <c r="Y15" s="416" t="n"/>
      <c r="Z15" s="438">
        <f>SUM(D15:Y15)</f>
        <v/>
      </c>
      <c r="AA15" s="416" t="n"/>
      <c r="AB15" s="416" t="n"/>
      <c r="AC15" s="416" t="n"/>
      <c r="AD15" s="416" t="n"/>
      <c r="AE15" s="416" t="n"/>
    </row>
    <row r="16">
      <c r="B16" s="416" t="n"/>
      <c r="C16" s="425" t="inlineStr">
        <is>
          <t>運維/年 總計</t>
        </is>
      </c>
      <c r="D16" s="1904">
        <f>SUM(D15:D15)</f>
        <v/>
      </c>
      <c r="E16" s="1904">
        <f>SUM(E15:E15)</f>
        <v/>
      </c>
      <c r="F16" s="1904">
        <f>SUM(F15:F15)</f>
        <v/>
      </c>
      <c r="G16" s="1904">
        <f>SUM(G15:G15)</f>
        <v/>
      </c>
      <c r="H16" s="1904">
        <f>SUM(H15:H15)</f>
        <v/>
      </c>
      <c r="I16" s="1904">
        <f>SUM(I15:I15)</f>
        <v/>
      </c>
      <c r="J16" s="1904">
        <f>SUM(J15:J15)</f>
        <v/>
      </c>
      <c r="K16" s="1904">
        <f>SUM(K15:K15)</f>
        <v/>
      </c>
      <c r="L16" s="1904">
        <f>SUM(L15:L15)</f>
        <v/>
      </c>
      <c r="M16" s="1904">
        <f>SUM(M15:M15)</f>
        <v/>
      </c>
      <c r="N16" s="1904">
        <f>SUM(N15:N15)</f>
        <v/>
      </c>
      <c r="O16" s="1904">
        <f>SUM(O15:O15)</f>
        <v/>
      </c>
      <c r="P16" s="1904">
        <f>SUM(P15:P15)</f>
        <v/>
      </c>
      <c r="Q16" s="1904">
        <f>SUM(Q15:Q15)</f>
        <v/>
      </c>
      <c r="R16" s="1904">
        <f>SUM(R15:R15)</f>
        <v/>
      </c>
      <c r="S16" s="1904">
        <f>SUM(S15:S15)</f>
        <v/>
      </c>
      <c r="T16" s="1904">
        <f>SUM(T15:T15)</f>
        <v/>
      </c>
      <c r="U16" s="1904">
        <f>SUM(U15:U15)</f>
        <v/>
      </c>
      <c r="V16" s="1904">
        <f>SUM(V15:V15)</f>
        <v/>
      </c>
      <c r="W16" s="1904">
        <f>SUM(W15:W15)</f>
        <v/>
      </c>
      <c r="X16" s="1904">
        <f>SUM(X15:X15)</f>
        <v/>
      </c>
      <c r="Y16" s="1904" t="n"/>
      <c r="Z16" s="1901">
        <f>SUM(D16:Y16)</f>
        <v/>
      </c>
      <c r="AA16" s="437">
        <f>IF(ROUND((#REF!-'IRR (保守3%)'!Z16),0)=0,"correct", "error")</f>
        <v/>
      </c>
      <c r="AB16" s="416" t="n"/>
      <c r="AC16" s="416" t="n"/>
      <c r="AD16" s="416" t="n"/>
      <c r="AE16" s="416" t="n"/>
    </row>
    <row r="17">
      <c r="B17" s="421" t="inlineStr">
        <is>
          <t>案場名</t>
        </is>
      </c>
      <c r="C17" s="416" t="inlineStr">
        <is>
          <t>保險/年</t>
        </is>
      </c>
      <c r="D17" s="429" t="n">
        <v>2020</v>
      </c>
      <c r="E17" s="429" t="n">
        <v>2021</v>
      </c>
      <c r="F17" s="429" t="n">
        <v>2022</v>
      </c>
      <c r="G17" s="429" t="n">
        <v>2023</v>
      </c>
      <c r="H17" s="429" t="n">
        <v>2024</v>
      </c>
      <c r="I17" s="429" t="n">
        <v>2025</v>
      </c>
      <c r="J17" s="429" t="n">
        <v>2026</v>
      </c>
      <c r="K17" s="429" t="n">
        <v>2027</v>
      </c>
      <c r="L17" s="429" t="n">
        <v>2028</v>
      </c>
      <c r="M17" s="429" t="n">
        <v>2029</v>
      </c>
      <c r="N17" s="429" t="n">
        <v>2030</v>
      </c>
      <c r="O17" s="429" t="n">
        <v>2031</v>
      </c>
      <c r="P17" s="429" t="n">
        <v>2032</v>
      </c>
      <c r="Q17" s="429" t="n">
        <v>2033</v>
      </c>
      <c r="R17" s="429" t="n">
        <v>2034</v>
      </c>
      <c r="S17" s="429" t="n">
        <v>2035</v>
      </c>
      <c r="T17" s="429" t="n">
        <v>2036</v>
      </c>
      <c r="U17" s="429" t="n">
        <v>2037</v>
      </c>
      <c r="V17" s="429" t="n">
        <v>2038</v>
      </c>
      <c r="W17" s="429" t="n">
        <v>2039</v>
      </c>
      <c r="X17" s="429" t="n">
        <v>2040</v>
      </c>
      <c r="Y17" s="429" t="n"/>
      <c r="Z17" s="438" t="n"/>
      <c r="AA17" s="416" t="n"/>
    </row>
    <row r="18">
      <c r="B18" s="421">
        <f>#REF!</f>
        <v/>
      </c>
      <c r="C18" s="416" t="n"/>
      <c r="D18" s="756">
        <f>#REF!</f>
        <v/>
      </c>
      <c r="E18" s="756">
        <f>#REF!</f>
        <v/>
      </c>
      <c r="F18" s="756">
        <f>#REF!</f>
        <v/>
      </c>
      <c r="G18" s="756">
        <f>#REF!</f>
        <v/>
      </c>
      <c r="H18" s="756">
        <f>#REF!</f>
        <v/>
      </c>
      <c r="I18" s="756">
        <f>#REF!</f>
        <v/>
      </c>
      <c r="J18" s="756">
        <f>#REF!</f>
        <v/>
      </c>
      <c r="K18" s="756">
        <f>#REF!</f>
        <v/>
      </c>
      <c r="L18" s="756">
        <f>#REF!</f>
        <v/>
      </c>
      <c r="M18" s="756">
        <f>#REF!</f>
        <v/>
      </c>
      <c r="N18" s="756">
        <f>#REF!</f>
        <v/>
      </c>
      <c r="O18" s="756">
        <f>#REF!</f>
        <v/>
      </c>
      <c r="P18" s="756">
        <f>#REF!</f>
        <v/>
      </c>
      <c r="Q18" s="756">
        <f>#REF!</f>
        <v/>
      </c>
      <c r="R18" s="756">
        <f>#REF!</f>
        <v/>
      </c>
      <c r="S18" s="756">
        <f>#REF!</f>
        <v/>
      </c>
      <c r="T18" s="756">
        <f>#REF!</f>
        <v/>
      </c>
      <c r="U18" s="756">
        <f>#REF!</f>
        <v/>
      </c>
      <c r="V18" s="756">
        <f>#REF!</f>
        <v/>
      </c>
      <c r="W18" s="756">
        <f>#REF!</f>
        <v/>
      </c>
      <c r="X18" s="416" t="n"/>
      <c r="Y18" s="416" t="n"/>
      <c r="Z18" s="438">
        <f>SUM(D18:Y18)</f>
        <v/>
      </c>
      <c r="AA18" s="416" t="n"/>
    </row>
    <row r="19">
      <c r="B19" s="416" t="n"/>
      <c r="C19" s="427" t="inlineStr">
        <is>
          <t>保險/年 總計</t>
        </is>
      </c>
      <c r="D19" s="1905">
        <f>SUM(D18:D18)</f>
        <v/>
      </c>
      <c r="E19" s="1905">
        <f>SUM(E18:E18)</f>
        <v/>
      </c>
      <c r="F19" s="1905">
        <f>SUM(F18:F18)</f>
        <v/>
      </c>
      <c r="G19" s="1905">
        <f>SUM(G18:G18)</f>
        <v/>
      </c>
      <c r="H19" s="1905">
        <f>SUM(H18:H18)</f>
        <v/>
      </c>
      <c r="I19" s="1905">
        <f>SUM(I18:I18)</f>
        <v/>
      </c>
      <c r="J19" s="1905">
        <f>SUM(J18:J18)</f>
        <v/>
      </c>
      <c r="K19" s="1905">
        <f>SUM(K18:K18)</f>
        <v/>
      </c>
      <c r="L19" s="1905">
        <f>SUM(L18:L18)</f>
        <v/>
      </c>
      <c r="M19" s="1905">
        <f>SUM(M18:M18)</f>
        <v/>
      </c>
      <c r="N19" s="1905">
        <f>SUM(N18:N18)</f>
        <v/>
      </c>
      <c r="O19" s="1905">
        <f>SUM(O18:O18)</f>
        <v/>
      </c>
      <c r="P19" s="1905">
        <f>SUM(P18:P18)</f>
        <v/>
      </c>
      <c r="Q19" s="1905">
        <f>SUM(Q18:Q18)</f>
        <v/>
      </c>
      <c r="R19" s="1905">
        <f>SUM(R18:R18)</f>
        <v/>
      </c>
      <c r="S19" s="1905">
        <f>SUM(S18:S18)</f>
        <v/>
      </c>
      <c r="T19" s="1905">
        <f>SUM(T18:T18)</f>
        <v/>
      </c>
      <c r="U19" s="1905">
        <f>SUM(U18:U18)</f>
        <v/>
      </c>
      <c r="V19" s="1905">
        <f>SUM(V18:V18)</f>
        <v/>
      </c>
      <c r="W19" s="1905">
        <f>SUM(W18:W18)</f>
        <v/>
      </c>
      <c r="X19" s="1905">
        <f>SUM(X18:X18)</f>
        <v/>
      </c>
      <c r="Y19" s="1905" t="n"/>
      <c r="Z19" s="1901">
        <f>SUM(D19:Y19)</f>
        <v/>
      </c>
      <c r="AA19" s="437">
        <f>IF(ROUND((#REF!-'IRR (保守3%)'!Z19),0)=0,"correct", "error")</f>
        <v/>
      </c>
    </row>
    <row r="20">
      <c r="B20" s="440" t="inlineStr">
        <is>
          <t>案場名</t>
        </is>
      </c>
      <c r="C20" s="745" t="inlineStr">
        <is>
          <t>模組回收費/年</t>
        </is>
      </c>
      <c r="D20" s="429" t="n">
        <v>2020</v>
      </c>
      <c r="E20" s="429" t="n">
        <v>2021</v>
      </c>
      <c r="F20" s="429" t="n">
        <v>2022</v>
      </c>
      <c r="G20" s="429" t="n">
        <v>2023</v>
      </c>
      <c r="H20" s="429" t="n">
        <v>2024</v>
      </c>
      <c r="I20" s="429" t="n">
        <v>2025</v>
      </c>
      <c r="J20" s="429" t="n">
        <v>2026</v>
      </c>
      <c r="K20" s="429" t="n">
        <v>2027</v>
      </c>
      <c r="L20" s="429" t="n">
        <v>2028</v>
      </c>
      <c r="M20" s="429" t="n">
        <v>2029</v>
      </c>
      <c r="N20" s="429" t="n">
        <v>2030</v>
      </c>
      <c r="O20" s="429" t="n">
        <v>2031</v>
      </c>
      <c r="P20" s="429" t="n">
        <v>2032</v>
      </c>
      <c r="Q20" s="429" t="n">
        <v>2033</v>
      </c>
      <c r="R20" s="429" t="n">
        <v>2034</v>
      </c>
      <c r="S20" s="429" t="n">
        <v>2035</v>
      </c>
      <c r="T20" s="429" t="n">
        <v>2036</v>
      </c>
      <c r="U20" s="429" t="n">
        <v>2037</v>
      </c>
      <c r="V20" s="429" t="n">
        <v>2038</v>
      </c>
      <c r="W20" s="429" t="n">
        <v>2039</v>
      </c>
      <c r="X20" s="429" t="n">
        <v>2040</v>
      </c>
      <c r="Y20" s="429" t="n"/>
      <c r="Z20" s="438" t="n"/>
      <c r="AA20" s="442" t="n"/>
    </row>
    <row r="21">
      <c r="B21" s="421">
        <f>#REF!</f>
        <v/>
      </c>
      <c r="C21" s="440" t="n"/>
      <c r="D21" s="756">
        <f>#REF!</f>
        <v/>
      </c>
      <c r="E21" s="756">
        <f>#REF!</f>
        <v/>
      </c>
      <c r="F21" s="756">
        <f>#REF!</f>
        <v/>
      </c>
      <c r="G21" s="756">
        <f>#REF!</f>
        <v/>
      </c>
      <c r="H21" s="756">
        <f>#REF!</f>
        <v/>
      </c>
      <c r="I21" s="756">
        <f>#REF!</f>
        <v/>
      </c>
      <c r="J21" s="756">
        <f>#REF!</f>
        <v/>
      </c>
      <c r="K21" s="756">
        <f>#REF!</f>
        <v/>
      </c>
      <c r="L21" s="756">
        <f>#REF!</f>
        <v/>
      </c>
      <c r="M21" s="756">
        <f>#REF!</f>
        <v/>
      </c>
      <c r="N21" s="1906">
        <f>#REF!</f>
        <v/>
      </c>
      <c r="O21" s="1906">
        <f>#REF!</f>
        <v/>
      </c>
      <c r="P21" s="1906">
        <f>#REF!</f>
        <v/>
      </c>
      <c r="Q21" s="1906">
        <f>#REF!</f>
        <v/>
      </c>
      <c r="R21" s="1906">
        <f>#REF!</f>
        <v/>
      </c>
      <c r="S21" s="1906">
        <f>#REF!</f>
        <v/>
      </c>
      <c r="T21" s="1906">
        <f>#REF!</f>
        <v/>
      </c>
      <c r="U21" s="1906">
        <f>#REF!</f>
        <v/>
      </c>
      <c r="V21" s="1906">
        <f>#REF!</f>
        <v/>
      </c>
      <c r="W21" s="1906">
        <f>#REF!</f>
        <v/>
      </c>
      <c r="X21" s="1907" t="n"/>
      <c r="Y21" s="1907" t="n"/>
      <c r="Z21" s="438">
        <f>SUM(D21:Y21)</f>
        <v/>
      </c>
      <c r="AA21" s="442" t="n"/>
    </row>
    <row r="22">
      <c r="B22" s="439" t="n"/>
      <c r="C22" s="443" t="inlineStr">
        <is>
          <t>模組回收費/年 總計</t>
        </is>
      </c>
      <c r="D22" s="1908">
        <f>SUM(D21:D21)</f>
        <v/>
      </c>
      <c r="E22" s="1908">
        <f>SUM(E21:E21)</f>
        <v/>
      </c>
      <c r="F22" s="1908">
        <f>SUM(F21:F21)</f>
        <v/>
      </c>
      <c r="G22" s="1908">
        <f>SUM(G21:G21)</f>
        <v/>
      </c>
      <c r="H22" s="1908">
        <f>SUM(H21:H21)</f>
        <v/>
      </c>
      <c r="I22" s="1908">
        <f>SUM(I21:I21)</f>
        <v/>
      </c>
      <c r="J22" s="1908">
        <f>SUM(J21:J21)</f>
        <v/>
      </c>
      <c r="K22" s="1908">
        <f>SUM(K21:K21)</f>
        <v/>
      </c>
      <c r="L22" s="1908">
        <f>SUM(L21:L21)</f>
        <v/>
      </c>
      <c r="M22" s="1908">
        <f>SUM(M21:M21)</f>
        <v/>
      </c>
      <c r="N22" s="1908">
        <f>SUM(N21:N21)</f>
        <v/>
      </c>
      <c r="O22" s="1908">
        <f>SUM(O21:O21)</f>
        <v/>
      </c>
      <c r="P22" s="1908">
        <f>SUM(P21:P21)</f>
        <v/>
      </c>
      <c r="Q22" s="1908">
        <f>SUM(Q21:Q21)</f>
        <v/>
      </c>
      <c r="R22" s="1908">
        <f>SUM(R21:R21)</f>
        <v/>
      </c>
      <c r="S22" s="1908">
        <f>SUM(S21:S21)</f>
        <v/>
      </c>
      <c r="T22" s="1908">
        <f>SUM(T21:T21)</f>
        <v/>
      </c>
      <c r="U22" s="1908">
        <f>SUM(U21:U21)</f>
        <v/>
      </c>
      <c r="V22" s="1908">
        <f>SUM(V21:V21)</f>
        <v/>
      </c>
      <c r="W22" s="1908">
        <f>SUM(W21:W21)</f>
        <v/>
      </c>
      <c r="X22" s="1908">
        <f>SUM(X21:X21)</f>
        <v/>
      </c>
      <c r="Y22" s="1908" t="n"/>
      <c r="Z22" s="1901">
        <f>SUM(D22:Y22)</f>
        <v/>
      </c>
      <c r="AA22" s="437">
        <f>IF(ROUND((#REF!-'IRR (保守3%)'!Z22),0)=0,"correct", "error")</f>
        <v/>
      </c>
    </row>
    <row r="23">
      <c r="B23" s="421" t="inlineStr">
        <is>
          <t>案場名</t>
        </is>
      </c>
      <c r="C23" s="416" t="inlineStr">
        <is>
          <t>所得稅/年</t>
        </is>
      </c>
      <c r="D23" s="429" t="n">
        <v>2020</v>
      </c>
      <c r="E23" s="429" t="n">
        <v>2021</v>
      </c>
      <c r="F23" s="429" t="n">
        <v>2022</v>
      </c>
      <c r="G23" s="429" t="n">
        <v>2023</v>
      </c>
      <c r="H23" s="429" t="n">
        <v>2024</v>
      </c>
      <c r="I23" s="429" t="n">
        <v>2025</v>
      </c>
      <c r="J23" s="429" t="n">
        <v>2026</v>
      </c>
      <c r="K23" s="429" t="n">
        <v>2027</v>
      </c>
      <c r="L23" s="429" t="n">
        <v>2028</v>
      </c>
      <c r="M23" s="429" t="n">
        <v>2029</v>
      </c>
      <c r="N23" s="429" t="n">
        <v>2030</v>
      </c>
      <c r="O23" s="429" t="n">
        <v>2031</v>
      </c>
      <c r="P23" s="429" t="n">
        <v>2032</v>
      </c>
      <c r="Q23" s="429" t="n">
        <v>2033</v>
      </c>
      <c r="R23" s="429" t="n">
        <v>2034</v>
      </c>
      <c r="S23" s="429" t="n">
        <v>2035</v>
      </c>
      <c r="T23" s="429" t="n">
        <v>2036</v>
      </c>
      <c r="U23" s="429" t="n">
        <v>2037</v>
      </c>
      <c r="V23" s="429" t="n">
        <v>2038</v>
      </c>
      <c r="W23" s="429" t="n">
        <v>2039</v>
      </c>
      <c r="X23" s="429" t="n">
        <v>2040</v>
      </c>
      <c r="Y23" s="429" t="n"/>
      <c r="Z23" s="438" t="n"/>
      <c r="AA23" s="416" t="n"/>
    </row>
    <row r="24">
      <c r="B24" s="421">
        <f>#REF!</f>
        <v/>
      </c>
      <c r="C24" s="416" t="n"/>
      <c r="D24" s="756">
        <f>#REF!</f>
        <v/>
      </c>
      <c r="E24" s="756">
        <f>#REF!</f>
        <v/>
      </c>
      <c r="F24" s="756">
        <f>#REF!</f>
        <v/>
      </c>
      <c r="G24" s="756">
        <f>#REF!</f>
        <v/>
      </c>
      <c r="H24" s="756">
        <f>#REF!</f>
        <v/>
      </c>
      <c r="I24" s="756">
        <f>#REF!</f>
        <v/>
      </c>
      <c r="J24" s="756">
        <f>#REF!</f>
        <v/>
      </c>
      <c r="K24" s="756">
        <f>#REF!</f>
        <v/>
      </c>
      <c r="L24" s="756">
        <f>#REF!</f>
        <v/>
      </c>
      <c r="M24" s="756">
        <f>#REF!</f>
        <v/>
      </c>
      <c r="N24" s="756">
        <f>#REF!</f>
        <v/>
      </c>
      <c r="O24" s="756">
        <f>#REF!</f>
        <v/>
      </c>
      <c r="P24" s="756">
        <f>#REF!</f>
        <v/>
      </c>
      <c r="Q24" s="756">
        <f>#REF!</f>
        <v/>
      </c>
      <c r="R24" s="756">
        <f>#REF!</f>
        <v/>
      </c>
      <c r="S24" s="756">
        <f>#REF!</f>
        <v/>
      </c>
      <c r="T24" s="756">
        <f>#REF!</f>
        <v/>
      </c>
      <c r="U24" s="756">
        <f>#REF!</f>
        <v/>
      </c>
      <c r="V24" s="756">
        <f>#REF!</f>
        <v/>
      </c>
      <c r="W24" s="756">
        <f>#REF!</f>
        <v/>
      </c>
      <c r="X24" s="416" t="n"/>
      <c r="Y24" s="416" t="n"/>
      <c r="Z24" s="438">
        <f>SUM(D24:Y24)</f>
        <v/>
      </c>
      <c r="AA24" s="416" t="n"/>
    </row>
    <row r="25">
      <c r="B25" s="416" t="n"/>
      <c r="C25" s="430" t="inlineStr">
        <is>
          <t>所得稅/年 總計</t>
        </is>
      </c>
      <c r="D25" s="1909">
        <f>SUM(D24:D24)</f>
        <v/>
      </c>
      <c r="E25" s="1909">
        <f>SUM(E24:E24)</f>
        <v/>
      </c>
      <c r="F25" s="1909">
        <f>SUM(F24:F24)</f>
        <v/>
      </c>
      <c r="G25" s="1909">
        <f>SUM(G24:G24)</f>
        <v/>
      </c>
      <c r="H25" s="1909">
        <f>SUM(H24:H24)</f>
        <v/>
      </c>
      <c r="I25" s="1909">
        <f>SUM(I24:I24)</f>
        <v/>
      </c>
      <c r="J25" s="1909">
        <f>SUM(J24:J24)</f>
        <v/>
      </c>
      <c r="K25" s="1909">
        <f>SUM(K24:K24)</f>
        <v/>
      </c>
      <c r="L25" s="1909">
        <f>SUM(L24:L24)</f>
        <v/>
      </c>
      <c r="M25" s="1909">
        <f>SUM(M24:M24)</f>
        <v/>
      </c>
      <c r="N25" s="1909">
        <f>SUM(N24:N24)</f>
        <v/>
      </c>
      <c r="O25" s="1909">
        <f>SUM(O24:O24)</f>
        <v/>
      </c>
      <c r="P25" s="1909">
        <f>SUM(P24:P24)</f>
        <v/>
      </c>
      <c r="Q25" s="1909">
        <f>SUM(Q24:Q24)</f>
        <v/>
      </c>
      <c r="R25" s="1909">
        <f>SUM(R24:R24)</f>
        <v/>
      </c>
      <c r="S25" s="1909">
        <f>SUM(S24:S24)</f>
        <v/>
      </c>
      <c r="T25" s="1909">
        <f>SUM(T24:T24)</f>
        <v/>
      </c>
      <c r="U25" s="1909">
        <f>SUM(U24:U24)</f>
        <v/>
      </c>
      <c r="V25" s="1909">
        <f>SUM(V24:V24)</f>
        <v/>
      </c>
      <c r="W25" s="1909">
        <f>SUM(W24:W24)</f>
        <v/>
      </c>
      <c r="X25" s="1909">
        <f>SUM(X24:X24)</f>
        <v/>
      </c>
      <c r="Y25" s="1909" t="n"/>
      <c r="Z25" s="1901">
        <f>SUM(D25:Y25)</f>
        <v/>
      </c>
      <c r="AA25" s="437">
        <f>IF(ROUND((#REF!-'IRR (保守3%)'!Z25),0)=0,"correct", "error")</f>
        <v/>
      </c>
    </row>
    <row r="26">
      <c r="B26" s="421" t="inlineStr">
        <is>
          <t>案場名</t>
        </is>
      </c>
      <c r="C26" s="433" t="inlineStr">
        <is>
          <t>設備折舊/年</t>
        </is>
      </c>
      <c r="D26" s="429" t="n">
        <v>2020</v>
      </c>
      <c r="E26" s="429" t="n">
        <v>2021</v>
      </c>
      <c r="F26" s="429" t="n">
        <v>2022</v>
      </c>
      <c r="G26" s="429" t="n">
        <v>2023</v>
      </c>
      <c r="H26" s="429" t="n">
        <v>2024</v>
      </c>
      <c r="I26" s="429" t="n">
        <v>2025</v>
      </c>
      <c r="J26" s="429" t="n">
        <v>2026</v>
      </c>
      <c r="K26" s="429" t="n">
        <v>2027</v>
      </c>
      <c r="L26" s="429" t="n">
        <v>2028</v>
      </c>
      <c r="M26" s="429" t="n">
        <v>2029</v>
      </c>
      <c r="N26" s="429" t="n">
        <v>2030</v>
      </c>
      <c r="O26" s="429" t="n">
        <v>2031</v>
      </c>
      <c r="P26" s="429" t="n">
        <v>2032</v>
      </c>
      <c r="Q26" s="429" t="n">
        <v>2033</v>
      </c>
      <c r="R26" s="429" t="n">
        <v>2034</v>
      </c>
      <c r="S26" s="429" t="n">
        <v>2035</v>
      </c>
      <c r="T26" s="429" t="n">
        <v>2036</v>
      </c>
      <c r="U26" s="429" t="n">
        <v>2037</v>
      </c>
      <c r="V26" s="429" t="n">
        <v>2038</v>
      </c>
      <c r="W26" s="429" t="n">
        <v>2039</v>
      </c>
      <c r="X26" s="429" t="n">
        <v>2040</v>
      </c>
      <c r="Y26" s="429" t="n"/>
      <c r="Z26" s="438" t="n"/>
      <c r="AA26" s="437" t="n"/>
    </row>
    <row r="27">
      <c r="B27" s="421">
        <f>#REF!</f>
        <v/>
      </c>
      <c r="C27" s="421" t="n"/>
      <c r="D27" s="756">
        <f>#REF!</f>
        <v/>
      </c>
      <c r="E27" s="756">
        <f>#REF!</f>
        <v/>
      </c>
      <c r="F27" s="756">
        <f>#REF!</f>
        <v/>
      </c>
      <c r="G27" s="756">
        <f>#REF!</f>
        <v/>
      </c>
      <c r="H27" s="756">
        <f>#REF!</f>
        <v/>
      </c>
      <c r="I27" s="756">
        <f>#REF!</f>
        <v/>
      </c>
      <c r="J27" s="756">
        <f>#REF!</f>
        <v/>
      </c>
      <c r="K27" s="756">
        <f>#REF!</f>
        <v/>
      </c>
      <c r="L27" s="756">
        <f>#REF!</f>
        <v/>
      </c>
      <c r="M27" s="756">
        <f>#REF!</f>
        <v/>
      </c>
      <c r="N27" s="756">
        <f>#REF!</f>
        <v/>
      </c>
      <c r="O27" s="756">
        <f>#REF!</f>
        <v/>
      </c>
      <c r="P27" s="756">
        <f>#REF!</f>
        <v/>
      </c>
      <c r="Q27" s="756">
        <f>#REF!</f>
        <v/>
      </c>
      <c r="R27" s="756">
        <f>#REF!</f>
        <v/>
      </c>
      <c r="S27" s="756">
        <f>#REF!</f>
        <v/>
      </c>
      <c r="T27" s="756">
        <f>#REF!</f>
        <v/>
      </c>
      <c r="U27" s="756">
        <f>#REF!</f>
        <v/>
      </c>
      <c r="V27" s="756">
        <f>#REF!</f>
        <v/>
      </c>
      <c r="W27" s="756">
        <f>#REF!</f>
        <v/>
      </c>
      <c r="X27" s="1910" t="n"/>
      <c r="Y27" s="1910" t="n"/>
      <c r="Z27" s="438">
        <f>SUM(D27:Y27)</f>
        <v/>
      </c>
      <c r="AA27" s="437">
        <f>IF(ROUND((Z27-#REF!),0)=0,"correct", "error")</f>
        <v/>
      </c>
    </row>
    <row r="28">
      <c r="B28" s="416" t="n"/>
      <c r="C28" s="434" t="inlineStr">
        <is>
          <t>設備折舊/年 總計</t>
        </is>
      </c>
      <c r="D28" s="1911">
        <f>SUM(D27:D27)</f>
        <v/>
      </c>
      <c r="E28" s="1911">
        <f>SUM(E27:E27)</f>
        <v/>
      </c>
      <c r="F28" s="1911">
        <f>SUM(F27:F27)</f>
        <v/>
      </c>
      <c r="G28" s="1911">
        <f>SUM(G27:G27)</f>
        <v/>
      </c>
      <c r="H28" s="1911">
        <f>SUM(H27:H27)</f>
        <v/>
      </c>
      <c r="I28" s="1911">
        <f>SUM(I27:I27)</f>
        <v/>
      </c>
      <c r="J28" s="1911">
        <f>SUM(J27:J27)</f>
        <v/>
      </c>
      <c r="K28" s="1911">
        <f>SUM(K27:K27)</f>
        <v/>
      </c>
      <c r="L28" s="1911">
        <f>SUM(L27:L27)</f>
        <v/>
      </c>
      <c r="M28" s="1911">
        <f>SUM(M27:M27)</f>
        <v/>
      </c>
      <c r="N28" s="1911">
        <f>SUM(N27:N27)</f>
        <v/>
      </c>
      <c r="O28" s="1911">
        <f>SUM(O27:O27)</f>
        <v/>
      </c>
      <c r="P28" s="1911">
        <f>SUM(P27:P27)</f>
        <v/>
      </c>
      <c r="Q28" s="1911">
        <f>SUM(Q27:Q27)</f>
        <v/>
      </c>
      <c r="R28" s="1911">
        <f>SUM(R27:R27)</f>
        <v/>
      </c>
      <c r="S28" s="1911">
        <f>SUM(S27:S27)</f>
        <v/>
      </c>
      <c r="T28" s="1911">
        <f>SUM(T27:T27)</f>
        <v/>
      </c>
      <c r="U28" s="1911">
        <f>SUM(U27:U27)</f>
        <v/>
      </c>
      <c r="V28" s="1911">
        <f>SUM(V27:V27)</f>
        <v/>
      </c>
      <c r="W28" s="1911">
        <f>SUM(W27:W27)</f>
        <v/>
      </c>
      <c r="X28" s="1911">
        <f>SUM(X27:X27)</f>
        <v/>
      </c>
      <c r="Y28" s="1911" t="n"/>
      <c r="Z28" s="1901">
        <f>SUM(D28:Y28)</f>
        <v/>
      </c>
      <c r="AA28" s="437">
        <f>IF(ROUND((#REF!-'IRR (保守3%)'!Z28),0)=0,"correct", "error")</f>
        <v/>
      </c>
    </row>
    <row r="30" ht="17.25" customHeight="1" s="1643" thickBot="1">
      <c r="B30" s="475" t="n"/>
      <c r="C30" s="615" t="inlineStr">
        <is>
          <t>年份</t>
        </is>
      </c>
      <c r="D30" s="615" t="n">
        <v>2020</v>
      </c>
      <c r="E30" s="615" t="n">
        <v>2021</v>
      </c>
      <c r="F30" s="615" t="n">
        <v>2022</v>
      </c>
      <c r="G30" s="615" t="n">
        <v>2023</v>
      </c>
      <c r="H30" s="615" t="n">
        <v>2024</v>
      </c>
      <c r="I30" s="615" t="n">
        <v>2025</v>
      </c>
      <c r="J30" s="615" t="n">
        <v>2026</v>
      </c>
      <c r="K30" s="615" t="n">
        <v>2027</v>
      </c>
      <c r="L30" s="615" t="n">
        <v>2028</v>
      </c>
      <c r="M30" s="615" t="n">
        <v>2029</v>
      </c>
      <c r="N30" s="615" t="n">
        <v>2030</v>
      </c>
      <c r="O30" s="615" t="n">
        <v>2031</v>
      </c>
      <c r="P30" s="615" t="n">
        <v>2032</v>
      </c>
      <c r="Q30" s="615" t="n">
        <v>2033</v>
      </c>
      <c r="R30" s="615" t="n">
        <v>2034</v>
      </c>
      <c r="S30" s="615" t="n">
        <v>2035</v>
      </c>
      <c r="T30" s="615" t="n">
        <v>2036</v>
      </c>
      <c r="U30" s="615" t="n">
        <v>2037</v>
      </c>
      <c r="V30" s="615" t="n">
        <v>2038</v>
      </c>
      <c r="W30" s="615" t="n">
        <v>2039</v>
      </c>
      <c r="X30" s="615" t="n"/>
      <c r="Y30" s="615" t="n"/>
      <c r="Z30" s="621" t="n"/>
      <c r="AA30" s="416" t="n"/>
    </row>
    <row r="31" ht="18.75" customHeight="1" s="1643">
      <c r="B31" s="1912" t="n">
        <v>0</v>
      </c>
      <c r="C31" s="372" t="n"/>
      <c r="D31" s="568" t="n"/>
      <c r="E31" s="568" t="n"/>
      <c r="F31" s="477" t="inlineStr">
        <is>
          <t>手動計算值</t>
        </is>
      </c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9" t="inlineStr">
        <is>
          <t>償還年限</t>
        </is>
      </c>
      <c r="U31" s="478" t="n"/>
      <c r="V31" s="478" t="n"/>
      <c r="W31" s="478" t="n"/>
      <c r="X31" s="478" t="n"/>
      <c r="Y31" s="480" t="n"/>
      <c r="Z31" s="621" t="n"/>
      <c r="AA31" s="416" t="n"/>
    </row>
    <row r="32">
      <c r="B32" s="481" t="inlineStr">
        <is>
          <t>(Unit : Currency)</t>
        </is>
      </c>
      <c r="C32" s="482" t="n">
        <v>0</v>
      </c>
      <c r="D32" s="483" t="n">
        <v>1</v>
      </c>
      <c r="E32" s="483" t="n">
        <v>2</v>
      </c>
      <c r="F32" s="483" t="n">
        <v>3</v>
      </c>
      <c r="G32" s="483" t="n">
        <v>4</v>
      </c>
      <c r="H32" s="483" t="n">
        <v>5</v>
      </c>
      <c r="I32" s="483" t="n">
        <v>6</v>
      </c>
      <c r="J32" s="483" t="n">
        <v>7</v>
      </c>
      <c r="K32" s="483" t="n">
        <v>8</v>
      </c>
      <c r="L32" s="483" t="n">
        <v>9</v>
      </c>
      <c r="M32" s="483" t="n">
        <v>10</v>
      </c>
      <c r="N32" s="483" t="n">
        <v>11</v>
      </c>
      <c r="O32" s="483" t="n">
        <v>12</v>
      </c>
      <c r="P32" s="483" t="n">
        <v>13</v>
      </c>
      <c r="Q32" s="483" t="n">
        <v>14</v>
      </c>
      <c r="R32" s="483" t="n">
        <v>15</v>
      </c>
      <c r="S32" s="483" t="n">
        <v>16</v>
      </c>
      <c r="T32" s="484" t="n">
        <v>17</v>
      </c>
      <c r="U32" s="483" t="n">
        <v>18</v>
      </c>
      <c r="V32" s="483" t="n">
        <v>19</v>
      </c>
      <c r="W32" s="483" t="n">
        <v>20</v>
      </c>
      <c r="X32" s="483" t="n"/>
      <c r="Y32" s="485" t="n"/>
      <c r="Z32" s="483" t="n"/>
      <c r="AA32" s="416" t="n"/>
    </row>
    <row r="33" ht="17.25" customHeight="1" s="1643" thickBot="1">
      <c r="B33" s="1913" t="inlineStr">
        <is>
          <t>發電度數(KWH)</t>
        </is>
      </c>
      <c r="C33" s="482" t="n">
        <v>0</v>
      </c>
      <c r="D33" s="1914">
        <f>D7</f>
        <v/>
      </c>
      <c r="E33" s="1914">
        <f>E7</f>
        <v/>
      </c>
      <c r="F33" s="1914">
        <f>F7</f>
        <v/>
      </c>
      <c r="G33" s="1914">
        <f>G7</f>
        <v/>
      </c>
      <c r="H33" s="1914">
        <f>H7</f>
        <v/>
      </c>
      <c r="I33" s="1914">
        <f>I7</f>
        <v/>
      </c>
      <c r="J33" s="1914">
        <f>J7</f>
        <v/>
      </c>
      <c r="K33" s="1914">
        <f>K7</f>
        <v/>
      </c>
      <c r="L33" s="1914">
        <f>L7</f>
        <v/>
      </c>
      <c r="M33" s="1914">
        <f>M7</f>
        <v/>
      </c>
      <c r="N33" s="1914">
        <f>N7</f>
        <v/>
      </c>
      <c r="O33" s="1914">
        <f>O7</f>
        <v/>
      </c>
      <c r="P33" s="1914">
        <f>P7</f>
        <v/>
      </c>
      <c r="Q33" s="1914">
        <f>Q7</f>
        <v/>
      </c>
      <c r="R33" s="1914">
        <f>R7</f>
        <v/>
      </c>
      <c r="S33" s="1914">
        <f>S7</f>
        <v/>
      </c>
      <c r="T33" s="1914">
        <f>T7</f>
        <v/>
      </c>
      <c r="U33" s="1914">
        <f>U7</f>
        <v/>
      </c>
      <c r="V33" s="1914">
        <f>V7</f>
        <v/>
      </c>
      <c r="W33" s="1914">
        <f>W7</f>
        <v/>
      </c>
      <c r="X33" s="1914">
        <f>X7</f>
        <v/>
      </c>
      <c r="Y33" s="1915" t="n"/>
      <c r="Z33" s="1916">
        <f>SUM(D33:Y33)</f>
        <v/>
      </c>
      <c r="AA33" s="437">
        <f>IF(ROUND((Z33-Z7),0)=0,"correct", "error")</f>
        <v/>
      </c>
    </row>
    <row r="34">
      <c r="B34" s="1917" t="inlineStr">
        <is>
          <t>Inflow : 電費收入</t>
        </is>
      </c>
      <c r="C34" s="1918" t="inlineStr">
        <is>
          <t>-</t>
        </is>
      </c>
      <c r="D34" s="1919">
        <f>D10</f>
        <v/>
      </c>
      <c r="E34" s="1919">
        <f>E10</f>
        <v/>
      </c>
      <c r="F34" s="1919">
        <f>F10</f>
        <v/>
      </c>
      <c r="G34" s="1919">
        <f>G10</f>
        <v/>
      </c>
      <c r="H34" s="1919">
        <f>H10</f>
        <v/>
      </c>
      <c r="I34" s="1919">
        <f>I10</f>
        <v/>
      </c>
      <c r="J34" s="1919">
        <f>J10</f>
        <v/>
      </c>
      <c r="K34" s="1919">
        <f>K10</f>
        <v/>
      </c>
      <c r="L34" s="1919">
        <f>L10</f>
        <v/>
      </c>
      <c r="M34" s="1919">
        <f>M10</f>
        <v/>
      </c>
      <c r="N34" s="1919">
        <f>N10</f>
        <v/>
      </c>
      <c r="O34" s="1919">
        <f>O10</f>
        <v/>
      </c>
      <c r="P34" s="1919">
        <f>P10</f>
        <v/>
      </c>
      <c r="Q34" s="1919">
        <f>Q10</f>
        <v/>
      </c>
      <c r="R34" s="1919">
        <f>R10</f>
        <v/>
      </c>
      <c r="S34" s="1919">
        <f>S10</f>
        <v/>
      </c>
      <c r="T34" s="1919">
        <f>T10</f>
        <v/>
      </c>
      <c r="U34" s="1919">
        <f>U10</f>
        <v/>
      </c>
      <c r="V34" s="1919">
        <f>V10</f>
        <v/>
      </c>
      <c r="W34" s="1919">
        <f>W10</f>
        <v/>
      </c>
      <c r="X34" s="1919">
        <f>X10</f>
        <v/>
      </c>
      <c r="Y34" s="1920" t="n"/>
      <c r="Z34" s="1916">
        <f>SUM(D34:Y34)</f>
        <v/>
      </c>
      <c r="AA34" s="437">
        <f>IF(ROUND((Z34-Z10),0)=0,"correct", "error")</f>
        <v/>
      </c>
    </row>
    <row r="35">
      <c r="B35" s="1921" t="inlineStr">
        <is>
          <t>Inflow : 政府補助</t>
        </is>
      </c>
      <c r="C35" s="1922" t="inlineStr">
        <is>
          <t>-</t>
        </is>
      </c>
      <c r="D35" s="1923" t="n"/>
      <c r="E35" s="1923" t="n"/>
      <c r="F35" s="1923" t="n">
        <v>0</v>
      </c>
      <c r="G35" s="1923" t="inlineStr">
        <is>
          <t>-</t>
        </is>
      </c>
      <c r="H35" s="1923" t="inlineStr">
        <is>
          <t>-</t>
        </is>
      </c>
      <c r="I35" s="1923" t="inlineStr">
        <is>
          <t>-</t>
        </is>
      </c>
      <c r="J35" s="1923" t="inlineStr">
        <is>
          <t>-</t>
        </is>
      </c>
      <c r="K35" s="1923" t="inlineStr">
        <is>
          <t>-</t>
        </is>
      </c>
      <c r="L35" s="1923" t="inlineStr">
        <is>
          <t>-</t>
        </is>
      </c>
      <c r="M35" s="1923" t="inlineStr">
        <is>
          <t>-</t>
        </is>
      </c>
      <c r="N35" s="1923" t="inlineStr">
        <is>
          <t>-</t>
        </is>
      </c>
      <c r="O35" s="1923" t="inlineStr">
        <is>
          <t>-</t>
        </is>
      </c>
      <c r="P35" s="1923" t="inlineStr">
        <is>
          <t>-</t>
        </is>
      </c>
      <c r="Q35" s="1923" t="inlineStr">
        <is>
          <t>-</t>
        </is>
      </c>
      <c r="R35" s="1923" t="inlineStr">
        <is>
          <t>-</t>
        </is>
      </c>
      <c r="S35" s="1923" t="inlineStr">
        <is>
          <t>-</t>
        </is>
      </c>
      <c r="T35" s="1923" t="inlineStr">
        <is>
          <t>-</t>
        </is>
      </c>
      <c r="U35" s="1923" t="inlineStr">
        <is>
          <t>-</t>
        </is>
      </c>
      <c r="V35" s="1923" t="inlineStr">
        <is>
          <t>-</t>
        </is>
      </c>
      <c r="W35" s="1923" t="inlineStr">
        <is>
          <t>-</t>
        </is>
      </c>
      <c r="X35" s="1923" t="n"/>
      <c r="Y35" s="1924" t="n"/>
      <c r="Z35" s="1916" t="n"/>
      <c r="AA35" s="416" t="n"/>
    </row>
    <row r="36" ht="17.25" customHeight="1" s="1643" thickBot="1">
      <c r="B36" s="1925" t="inlineStr">
        <is>
          <t>Inflow : 銀行借款</t>
        </is>
      </c>
      <c r="C36" s="1926" t="n"/>
      <c r="D36" s="1927" t="n"/>
      <c r="E36" s="1927" t="n"/>
      <c r="F36" s="1927" t="n"/>
      <c r="G36" s="1927" t="n"/>
      <c r="H36" s="1927" t="n"/>
      <c r="I36" s="1927" t="n"/>
      <c r="J36" s="1927" t="n"/>
      <c r="K36" s="1927" t="n"/>
      <c r="L36" s="1927" t="n"/>
      <c r="M36" s="1927" t="n"/>
      <c r="N36" s="1927" t="n"/>
      <c r="O36" s="1927" t="n"/>
      <c r="P36" s="1927" t="n"/>
      <c r="Q36" s="1927" t="n"/>
      <c r="R36" s="1927" t="n"/>
      <c r="S36" s="1927" t="n"/>
      <c r="T36" s="1927" t="n"/>
      <c r="U36" s="1927" t="n"/>
      <c r="V36" s="1927" t="n"/>
      <c r="W36" s="1927" t="n"/>
      <c r="X36" s="1927" t="n"/>
      <c r="Y36" s="1928" t="n"/>
      <c r="Z36" s="1916" t="n"/>
      <c r="AA36" s="416" t="n"/>
    </row>
    <row r="37">
      <c r="B37" s="1929" t="inlineStr">
        <is>
          <t>Outflow : 設備費用</t>
        </is>
      </c>
      <c r="C37" s="1922">
        <f>-C2</f>
        <v/>
      </c>
      <c r="D37" s="1930" t="n"/>
      <c r="E37" s="1923" t="n"/>
      <c r="F37" s="1923" t="inlineStr">
        <is>
          <t>-</t>
        </is>
      </c>
      <c r="G37" s="1923" t="inlineStr">
        <is>
          <t>-</t>
        </is>
      </c>
      <c r="H37" s="1923" t="inlineStr">
        <is>
          <t>-</t>
        </is>
      </c>
      <c r="I37" s="1923" t="inlineStr">
        <is>
          <t>-</t>
        </is>
      </c>
      <c r="J37" s="1923" t="inlineStr">
        <is>
          <t>-</t>
        </is>
      </c>
      <c r="K37" s="1923" t="inlineStr">
        <is>
          <t>-</t>
        </is>
      </c>
      <c r="L37" s="1923" t="inlineStr">
        <is>
          <t>-</t>
        </is>
      </c>
      <c r="M37" s="1923" t="inlineStr">
        <is>
          <t>-</t>
        </is>
      </c>
      <c r="N37" s="1923" t="inlineStr">
        <is>
          <t>-</t>
        </is>
      </c>
      <c r="O37" s="1923" t="inlineStr">
        <is>
          <t>-</t>
        </is>
      </c>
      <c r="P37" s="1923" t="inlineStr">
        <is>
          <t>-</t>
        </is>
      </c>
      <c r="Q37" s="1923" t="inlineStr">
        <is>
          <t>-</t>
        </is>
      </c>
      <c r="R37" s="1923" t="inlineStr">
        <is>
          <t>-</t>
        </is>
      </c>
      <c r="S37" s="1923" t="inlineStr">
        <is>
          <t>-</t>
        </is>
      </c>
      <c r="T37" s="1923" t="inlineStr">
        <is>
          <t>-</t>
        </is>
      </c>
      <c r="U37" s="1923" t="inlineStr">
        <is>
          <t>-</t>
        </is>
      </c>
      <c r="V37" s="1923" t="inlineStr">
        <is>
          <t>-</t>
        </is>
      </c>
      <c r="W37" s="1923" t="inlineStr">
        <is>
          <t>-</t>
        </is>
      </c>
      <c r="X37" s="1923" t="n"/>
      <c r="Y37" s="1924" t="n"/>
      <c r="Z37" s="1916" t="n"/>
      <c r="AA37" s="416" t="n"/>
    </row>
    <row r="38">
      <c r="B38" s="1929" t="inlineStr">
        <is>
          <t>Outflow : 設備放置區域租金</t>
        </is>
      </c>
      <c r="C38" s="1922" t="inlineStr">
        <is>
          <t>-</t>
        </is>
      </c>
      <c r="D38" s="1923">
        <f>-D13</f>
        <v/>
      </c>
      <c r="E38" s="1923">
        <f>-E13</f>
        <v/>
      </c>
      <c r="F38" s="1923">
        <f>-F13</f>
        <v/>
      </c>
      <c r="G38" s="1923">
        <f>-G13</f>
        <v/>
      </c>
      <c r="H38" s="1923">
        <f>-H13</f>
        <v/>
      </c>
      <c r="I38" s="1923">
        <f>-I13</f>
        <v/>
      </c>
      <c r="J38" s="1923">
        <f>-J13</f>
        <v/>
      </c>
      <c r="K38" s="1923">
        <f>-K13</f>
        <v/>
      </c>
      <c r="L38" s="1923">
        <f>-L13</f>
        <v/>
      </c>
      <c r="M38" s="1923">
        <f>-M13</f>
        <v/>
      </c>
      <c r="N38" s="1923">
        <f>-N13</f>
        <v/>
      </c>
      <c r="O38" s="1923">
        <f>-O13</f>
        <v/>
      </c>
      <c r="P38" s="1923">
        <f>-P13</f>
        <v/>
      </c>
      <c r="Q38" s="1923">
        <f>-Q13</f>
        <v/>
      </c>
      <c r="R38" s="1923">
        <f>-R13</f>
        <v/>
      </c>
      <c r="S38" s="1923">
        <f>-S13</f>
        <v/>
      </c>
      <c r="T38" s="1923">
        <f>-T13</f>
        <v/>
      </c>
      <c r="U38" s="1923">
        <f>-U13</f>
        <v/>
      </c>
      <c r="V38" s="1923">
        <f>-V13</f>
        <v/>
      </c>
      <c r="W38" s="1923">
        <f>-W13</f>
        <v/>
      </c>
      <c r="X38" s="1923">
        <f>-X13</f>
        <v/>
      </c>
      <c r="Y38" s="1924" t="n"/>
      <c r="Z38" s="1916">
        <f>SUM(D38:Y38)</f>
        <v/>
      </c>
      <c r="AA38" s="437">
        <f>IF(ROUND((Z38+Z13),0)=0,"correct", "error")</f>
        <v/>
      </c>
    </row>
    <row r="39">
      <c r="B39" s="1929" t="inlineStr">
        <is>
          <t>Outflow : 返還借款</t>
        </is>
      </c>
      <c r="C39" s="1931" t="n">
        <v>0</v>
      </c>
      <c r="D39" s="1932" t="n"/>
      <c r="E39" s="1933" t="n"/>
      <c r="F39" s="1933" t="n"/>
      <c r="G39" s="1933" t="n"/>
      <c r="H39" s="1933" t="n"/>
      <c r="I39" s="1933" t="n"/>
      <c r="J39" s="1933" t="n"/>
      <c r="K39" s="1933" t="n"/>
      <c r="L39" s="1933" t="n"/>
      <c r="M39" s="1933" t="n"/>
      <c r="N39" s="1933" t="n"/>
      <c r="O39" s="1933" t="n"/>
      <c r="P39" s="1933" t="n"/>
      <c r="Q39" s="1933" t="n"/>
      <c r="R39" s="1933" t="n"/>
      <c r="S39" s="1933" t="n"/>
      <c r="T39" s="1933" t="n"/>
      <c r="U39" s="1933" t="n"/>
      <c r="V39" s="1923" t="n">
        <v>0</v>
      </c>
      <c r="W39" s="1923" t="n">
        <v>0</v>
      </c>
      <c r="X39" s="1923" t="n"/>
      <c r="Y39" s="1924" t="n"/>
      <c r="Z39" s="1916">
        <f>SUM(D39:Y39)</f>
        <v/>
      </c>
      <c r="AA39" s="416" t="n"/>
    </row>
    <row r="40">
      <c r="B40" s="1929" t="inlineStr">
        <is>
          <t>Outflow : 利息費用</t>
        </is>
      </c>
      <c r="C40" s="1922" t="inlineStr">
        <is>
          <t>-</t>
        </is>
      </c>
      <c r="D40" s="1923" t="n"/>
      <c r="E40" s="1923" t="n"/>
      <c r="F40" s="1923" t="n"/>
      <c r="G40" s="1923" t="n"/>
      <c r="H40" s="1923" t="n"/>
      <c r="I40" s="1923" t="n"/>
      <c r="J40" s="1923" t="n"/>
      <c r="K40" s="1923" t="n"/>
      <c r="L40" s="1923" t="n"/>
      <c r="M40" s="1923" t="n"/>
      <c r="N40" s="1923" t="n"/>
      <c r="O40" s="1923" t="n"/>
      <c r="P40" s="1923" t="n"/>
      <c r="Q40" s="1923" t="n"/>
      <c r="R40" s="1923" t="n"/>
      <c r="S40" s="1923" t="n"/>
      <c r="T40" s="1923" t="n"/>
      <c r="U40" s="1923" t="n"/>
      <c r="V40" s="1923" t="n"/>
      <c r="W40" s="1923" t="n"/>
      <c r="X40" s="1923" t="n"/>
      <c r="Y40" s="1924" t="n"/>
      <c r="Z40" s="1916">
        <f>SUM(D40:Y40)</f>
        <v/>
      </c>
      <c r="AA40" s="416" t="n"/>
    </row>
    <row r="41">
      <c r="B41" s="1929" t="inlineStr">
        <is>
          <t>Outflow : 維運費</t>
        </is>
      </c>
      <c r="C41" s="1922" t="inlineStr">
        <is>
          <t>-</t>
        </is>
      </c>
      <c r="D41" s="1923">
        <f>-D16</f>
        <v/>
      </c>
      <c r="E41" s="1923">
        <f>-E16</f>
        <v/>
      </c>
      <c r="F41" s="1923">
        <f>-F16</f>
        <v/>
      </c>
      <c r="G41" s="1923">
        <f>-G16</f>
        <v/>
      </c>
      <c r="H41" s="1923">
        <f>-H16</f>
        <v/>
      </c>
      <c r="I41" s="1923">
        <f>-I16</f>
        <v/>
      </c>
      <c r="J41" s="1923">
        <f>-J16</f>
        <v/>
      </c>
      <c r="K41" s="1923">
        <f>-K16</f>
        <v/>
      </c>
      <c r="L41" s="1923">
        <f>-L16</f>
        <v/>
      </c>
      <c r="M41" s="1923">
        <f>-M16</f>
        <v/>
      </c>
      <c r="N41" s="1923">
        <f>-N16</f>
        <v/>
      </c>
      <c r="O41" s="1923">
        <f>-O16</f>
        <v/>
      </c>
      <c r="P41" s="1923">
        <f>-P16</f>
        <v/>
      </c>
      <c r="Q41" s="1923">
        <f>-Q16</f>
        <v/>
      </c>
      <c r="R41" s="1923">
        <f>-R16</f>
        <v/>
      </c>
      <c r="S41" s="1923">
        <f>-S16</f>
        <v/>
      </c>
      <c r="T41" s="1923">
        <f>-T16</f>
        <v/>
      </c>
      <c r="U41" s="1923">
        <f>-U16</f>
        <v/>
      </c>
      <c r="V41" s="1923">
        <f>-V16</f>
        <v/>
      </c>
      <c r="W41" s="1923">
        <f>-W16</f>
        <v/>
      </c>
      <c r="X41" s="1923">
        <f>-X16</f>
        <v/>
      </c>
      <c r="Y41" s="1924" t="n"/>
      <c r="Z41" s="1916">
        <f>SUM(D41:Y41)</f>
        <v/>
      </c>
      <c r="AA41" s="437">
        <f>IF(ROUND((Z41+Z16),0)=0,"correct", "error")</f>
        <v/>
      </c>
    </row>
    <row r="42">
      <c r="B42" s="1929" t="inlineStr">
        <is>
          <t>Outflow : 保險費</t>
        </is>
      </c>
      <c r="C42" s="1922" t="inlineStr">
        <is>
          <t>-</t>
        </is>
      </c>
      <c r="D42" s="1923">
        <f>-D19</f>
        <v/>
      </c>
      <c r="E42" s="1923">
        <f>-E19</f>
        <v/>
      </c>
      <c r="F42" s="1923">
        <f>-F19</f>
        <v/>
      </c>
      <c r="G42" s="1923">
        <f>-G19</f>
        <v/>
      </c>
      <c r="H42" s="1923">
        <f>-H19</f>
        <v/>
      </c>
      <c r="I42" s="1923">
        <f>-I19</f>
        <v/>
      </c>
      <c r="J42" s="1923">
        <f>-J19</f>
        <v/>
      </c>
      <c r="K42" s="1923">
        <f>-K19</f>
        <v/>
      </c>
      <c r="L42" s="1923">
        <f>-L19</f>
        <v/>
      </c>
      <c r="M42" s="1923">
        <f>-M19</f>
        <v/>
      </c>
      <c r="N42" s="1923">
        <f>-N19</f>
        <v/>
      </c>
      <c r="O42" s="1923">
        <f>-O19</f>
        <v/>
      </c>
      <c r="P42" s="1923">
        <f>-P19</f>
        <v/>
      </c>
      <c r="Q42" s="1923">
        <f>-Q19</f>
        <v/>
      </c>
      <c r="R42" s="1923">
        <f>-R19</f>
        <v/>
      </c>
      <c r="S42" s="1923">
        <f>-S19</f>
        <v/>
      </c>
      <c r="T42" s="1923">
        <f>-T19</f>
        <v/>
      </c>
      <c r="U42" s="1923">
        <f>-U19</f>
        <v/>
      </c>
      <c r="V42" s="1923">
        <f>-V19</f>
        <v/>
      </c>
      <c r="W42" s="1923">
        <f>-W19</f>
        <v/>
      </c>
      <c r="X42" s="1923">
        <f>-X19</f>
        <v/>
      </c>
      <c r="Y42" s="1924" t="n"/>
      <c r="Z42" s="1916">
        <f>SUM(D42:Y42)</f>
        <v/>
      </c>
      <c r="AA42" s="437">
        <f>IF(ROUND((Z42+Z19),0)=0,"correct", "error")</f>
        <v/>
      </c>
    </row>
    <row r="43">
      <c r="B43" s="1929" t="inlineStr">
        <is>
          <t>Outflow : 模組回收費</t>
        </is>
      </c>
      <c r="C43" s="1922" t="n"/>
      <c r="D43" s="1923">
        <f>-D22</f>
        <v/>
      </c>
      <c r="E43" s="1923">
        <f>-E22</f>
        <v/>
      </c>
      <c r="F43" s="1923">
        <f>-F22</f>
        <v/>
      </c>
      <c r="G43" s="1923">
        <f>-G22</f>
        <v/>
      </c>
      <c r="H43" s="1923">
        <f>-H22</f>
        <v/>
      </c>
      <c r="I43" s="1923">
        <f>-I22</f>
        <v/>
      </c>
      <c r="J43" s="1923">
        <f>-J22</f>
        <v/>
      </c>
      <c r="K43" s="1923">
        <f>-K22</f>
        <v/>
      </c>
      <c r="L43" s="1923">
        <f>-L22</f>
        <v/>
      </c>
      <c r="M43" s="1923">
        <f>-M22</f>
        <v/>
      </c>
      <c r="N43" s="1923">
        <f>-N22</f>
        <v/>
      </c>
      <c r="O43" s="1923">
        <f>-O22</f>
        <v/>
      </c>
      <c r="P43" s="1923">
        <f>-P22</f>
        <v/>
      </c>
      <c r="Q43" s="1923">
        <f>-Q22</f>
        <v/>
      </c>
      <c r="R43" s="1923">
        <f>-R22</f>
        <v/>
      </c>
      <c r="S43" s="1923">
        <f>-S22</f>
        <v/>
      </c>
      <c r="T43" s="1923">
        <f>-T22</f>
        <v/>
      </c>
      <c r="U43" s="1923">
        <f>-U22</f>
        <v/>
      </c>
      <c r="V43" s="1923">
        <f>-V22</f>
        <v/>
      </c>
      <c r="W43" s="1923">
        <f>-W22</f>
        <v/>
      </c>
      <c r="X43" s="1923">
        <f>-X22</f>
        <v/>
      </c>
      <c r="Y43" s="1924" t="n"/>
      <c r="Z43" s="1916">
        <f>SUM(D43:Y43)</f>
        <v/>
      </c>
      <c r="AA43" s="437">
        <f>IF(ROUND((Z22+Z43),0)=0,"correct", "error")</f>
        <v/>
      </c>
    </row>
    <row r="44">
      <c r="B44" s="1929" t="inlineStr">
        <is>
          <t>Outflow : 其它費用(人事薪資…等)</t>
        </is>
      </c>
      <c r="C44" s="497" t="n"/>
      <c r="D44" s="571" t="n"/>
      <c r="E44" s="572" t="n"/>
      <c r="F44" s="1923">
        <f>-(F34*$D$131)</f>
        <v/>
      </c>
      <c r="G44" s="1923">
        <f>-(G34*$D$131)</f>
        <v/>
      </c>
      <c r="H44" s="1923">
        <f>-(H34*$D$131)</f>
        <v/>
      </c>
      <c r="I44" s="1923">
        <f>-(I34*$D$131)</f>
        <v/>
      </c>
      <c r="J44" s="1923">
        <f>-(J34*$D$131)</f>
        <v/>
      </c>
      <c r="K44" s="1923">
        <f>-(K34*$D$131)</f>
        <v/>
      </c>
      <c r="L44" s="1923">
        <f>-(L34*$D$131)</f>
        <v/>
      </c>
      <c r="M44" s="1923">
        <f>-(M34*$D$131)</f>
        <v/>
      </c>
      <c r="N44" s="1923">
        <f>-(N34*$D$131)</f>
        <v/>
      </c>
      <c r="O44" s="1923">
        <f>-(O34*$D$131)</f>
        <v/>
      </c>
      <c r="P44" s="1923">
        <f>-(P34*$D$131)</f>
        <v/>
      </c>
      <c r="Q44" s="1923">
        <f>-(Q34*$D$131)</f>
        <v/>
      </c>
      <c r="R44" s="1923">
        <f>-(R34*$D$131)</f>
        <v/>
      </c>
      <c r="S44" s="1923">
        <f>-(S34*$D$131)</f>
        <v/>
      </c>
      <c r="T44" s="1923">
        <f>-(T34*$D$131)</f>
        <v/>
      </c>
      <c r="U44" s="1923">
        <f>-(U34*$D$131)</f>
        <v/>
      </c>
      <c r="V44" s="1923">
        <f>-(V34*$D$131)</f>
        <v/>
      </c>
      <c r="W44" s="1923">
        <f>-(W34*$D$131)</f>
        <v/>
      </c>
      <c r="X44" s="1923">
        <f>-(X34*$D$131)</f>
        <v/>
      </c>
      <c r="Y44" s="1924" t="n"/>
      <c r="Z44" s="1916">
        <f>SUM(D44:Y44)</f>
        <v/>
      </c>
      <c r="AA44" s="416" t="n"/>
    </row>
    <row r="45">
      <c r="B45" s="1929" t="inlineStr">
        <is>
          <t>1%管理費</t>
        </is>
      </c>
      <c r="C45" s="497" t="n"/>
      <c r="D45" s="1923" t="n"/>
      <c r="E45" s="1923" t="n"/>
      <c r="F45" s="1923" t="n"/>
      <c r="G45" s="1923" t="n"/>
      <c r="H45" s="1923" t="n"/>
      <c r="I45" s="1923" t="n"/>
      <c r="J45" s="1923" t="n"/>
      <c r="K45" s="1923" t="n"/>
      <c r="L45" s="1923" t="n"/>
      <c r="M45" s="1923" t="n"/>
      <c r="N45" s="1923" t="n"/>
      <c r="O45" s="1923" t="n"/>
      <c r="P45" s="1923" t="n"/>
      <c r="Q45" s="1923" t="n"/>
      <c r="R45" s="1923" t="n"/>
      <c r="S45" s="1923" t="n"/>
      <c r="T45" s="1923" t="n"/>
      <c r="U45" s="1923" t="n"/>
      <c r="V45" s="1923" t="n"/>
      <c r="W45" s="1923" t="n"/>
      <c r="X45" s="1923" t="n"/>
      <c r="Y45" s="1924" t="n"/>
      <c r="Z45" s="1916">
        <f>SUM(D45:Y45)</f>
        <v/>
      </c>
      <c r="AA45" s="416" t="n"/>
    </row>
    <row r="46">
      <c r="B46" s="1934" t="inlineStr">
        <is>
          <t>績效獎金</t>
        </is>
      </c>
      <c r="C46" s="497" t="n"/>
      <c r="D46" s="1935" t="n"/>
      <c r="E46" s="1935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33" t="n"/>
      <c r="W46" s="1933" t="n"/>
      <c r="X46" s="1933" t="n"/>
      <c r="Y46" s="1936" t="n"/>
      <c r="Z46" s="1916">
        <f>SUM(D46:Y46)</f>
        <v/>
      </c>
      <c r="AA46" s="416" t="n"/>
    </row>
    <row r="47">
      <c r="B47" s="1934" t="inlineStr">
        <is>
          <t>所得稅20%</t>
        </is>
      </c>
      <c r="C47" s="497" t="n"/>
      <c r="D47" s="1923">
        <f>IF((D88+SUM(D90+D91+D94+D95+D96+D97))&gt;0,-(D88+SUM(D90+D91+D94+D95+D96+D97))*0.2,0)</f>
        <v/>
      </c>
      <c r="E47" s="1923">
        <f>IF((E88+SUM(E90+E91+E94+E95+E96+E97))&gt;0,-(E88+SUM(E90+E91+E94+E95+E96+E97))*0.2,0)</f>
        <v/>
      </c>
      <c r="F47" s="1923">
        <f>IF((F88+SUM(F90+F91+F94+F95+F96+F97))&gt;0,-(F88+SUM(F90+F91+F94+F95+F96+F97))*0.2,0)</f>
        <v/>
      </c>
      <c r="G47" s="1923">
        <f>IF((G88+SUM(G90+G91+G94+G95+G96+G97))&gt;0,-(G88+SUM(G90+G91+G94+G95+G96+G97))*0.2,0)</f>
        <v/>
      </c>
      <c r="H47" s="1923">
        <f>IF((H88+SUM(H90+H91+H94+H95+H96+H97))&gt;0,-(H88+SUM(H90+H91+H94+H95+H96+H97))*0.2,0)</f>
        <v/>
      </c>
      <c r="I47" s="1923">
        <f>IF((I88+SUM(I90+I91+I94+I95+I96+I97))&gt;0,-(I88+SUM(I90+I91+I94+I95+I96+I97))*0.2,0)</f>
        <v/>
      </c>
      <c r="J47" s="1923">
        <f>IF((J88+SUM(J90+J91+J94+J95+J96+J97))&gt;0,-(J88+SUM(J90+J91+J94+J95+J96+J97))*0.2,0)</f>
        <v/>
      </c>
      <c r="K47" s="1923">
        <f>IF((K88+SUM(K90+K91+K94+K95+K96+K97))&gt;0,-(K88+SUM(K90+K91+K94+K95+K96+K97))*0.2,0)</f>
        <v/>
      </c>
      <c r="L47" s="1923">
        <f>IF((L88+SUM(L90+L91+L94+L95+L96+L97))&gt;0,-(L88+SUM(L90+L91+L94+L95+L96+L97))*0.2,0)</f>
        <v/>
      </c>
      <c r="M47" s="1923">
        <f>IF((M88+SUM(M90+M91+M94+M95+M96+M97))&gt;0,-(M88+SUM(M90+M91+M94+M95+M96+M97))*0.2,0)</f>
        <v/>
      </c>
      <c r="N47" s="1923">
        <f>IF((N88+SUM(N90+N91+N94+N95+N96+N97))&gt;0,-(N88+SUM(N90+N91+N94+N95+N96+N97))*0.2,0)</f>
        <v/>
      </c>
      <c r="O47" s="1923">
        <f>IF((O88+SUM(O90+O91+O94+O95+O96+O97))&gt;0,-(O88+SUM(O90+O91+O94+O95+O96+O97))*0.2,0)</f>
        <v/>
      </c>
      <c r="P47" s="1923">
        <f>IF((P88+SUM(P90+P91+P94+P95+P96+P97))&gt;0,-(P88+SUM(P90+P91+P94+P95+P96+P97))*0.2,0)</f>
        <v/>
      </c>
      <c r="Q47" s="1923">
        <f>IF((Q88+SUM(Q90+Q91+Q94+Q95+Q96+Q97))&gt;0,-(Q88+SUM(Q90+Q91+Q94+Q95+Q96+Q97))*0.2,0)</f>
        <v/>
      </c>
      <c r="R47" s="1923">
        <f>IF((R88+SUM(R90+R91+R94+R95+R96+R97))&gt;0,-(R88+SUM(R90+R91+R94+R95+R96+R97))*0.2,0)</f>
        <v/>
      </c>
      <c r="S47" s="1923">
        <f>IF((S88+SUM(S90+S91+S94+S95+S96+S97))&gt;0,-(S88+SUM(S90+S91+S94+S95+S96+S97))*0.2,0)</f>
        <v/>
      </c>
      <c r="T47" s="1923">
        <f>IF((T88+SUM(T90+T91+T94+T95+T96+T97))&gt;0,-(T88+SUM(T90+T91+T94+T95+T96+T97))*0.2,0)</f>
        <v/>
      </c>
      <c r="U47" s="1923">
        <f>IF((U88+SUM(U90+U91+U94+U95+U96+U97))&gt;0,-(U88+SUM(U90+U91+U94+U95+U96+U97))*0.2,0)</f>
        <v/>
      </c>
      <c r="V47" s="1923">
        <f>IF((V88+SUM(V90+V91+V94+V95+V96+V97))&gt;0,-(V88+SUM(V90+V91+V94+V95+V96+V97))*0.2,0)</f>
        <v/>
      </c>
      <c r="W47" s="1923">
        <f>IF((W88+SUM(W90+W91+W94+W95+W96+W97))&gt;0,-(W88+SUM(W90+W91+W94+W95+W96+W97))*0.2,0)</f>
        <v/>
      </c>
      <c r="X47" s="1923">
        <f>IF((X88+SUM(X90+X91+X94+X95+X96+X97))&gt;0,-(X88+SUM(X90+X91+X94+X95+X96+X97))*0.2,0)</f>
        <v/>
      </c>
      <c r="Y47" s="1924" t="n"/>
      <c r="Z47" s="1916">
        <f>SUM(D47:Y47)</f>
        <v/>
      </c>
      <c r="AA47" s="437">
        <f>IF(ROUND((Z47+Z25),0)=0,"correct", "error")</f>
        <v/>
      </c>
    </row>
    <row r="48" ht="17.25" customHeight="1" s="1643" thickBot="1">
      <c r="B48" s="1929" t="n"/>
      <c r="C48" s="497" t="n"/>
      <c r="D48" s="572" t="n"/>
      <c r="E48" s="572" t="n"/>
      <c r="F48" s="498" t="n"/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8" t="n"/>
      <c r="Y48" s="559" t="n"/>
      <c r="Z48" s="1916">
        <f>SUM(D48:Y48)</f>
        <v/>
      </c>
      <c r="AA48" s="416" t="n"/>
    </row>
    <row r="49">
      <c r="B49" s="1937" t="inlineStr">
        <is>
          <t>現金流</t>
        </is>
      </c>
      <c r="C49" s="1938">
        <f>C37</f>
        <v/>
      </c>
      <c r="D49" s="1939">
        <f>SUM(D34:D47)</f>
        <v/>
      </c>
      <c r="E49" s="1938">
        <f>SUM(E34:E47)</f>
        <v/>
      </c>
      <c r="F49" s="1938">
        <f>SUM(F34:F47)</f>
        <v/>
      </c>
      <c r="G49" s="1938">
        <f>SUM(G34:G47)</f>
        <v/>
      </c>
      <c r="H49" s="1938">
        <f>SUM(H34:H47)</f>
        <v/>
      </c>
      <c r="I49" s="1938">
        <f>SUM(I34:I47)</f>
        <v/>
      </c>
      <c r="J49" s="1938">
        <f>SUM(J34:J47)</f>
        <v/>
      </c>
      <c r="K49" s="1938">
        <f>SUM(K34:K47)</f>
        <v/>
      </c>
      <c r="L49" s="1938">
        <f>SUM(L34:L47)</f>
        <v/>
      </c>
      <c r="M49" s="1938">
        <f>SUM(M34:M47)</f>
        <v/>
      </c>
      <c r="N49" s="1938">
        <f>SUM(N34:N47)</f>
        <v/>
      </c>
      <c r="O49" s="1938">
        <f>SUM(O34:O47)</f>
        <v/>
      </c>
      <c r="P49" s="1938">
        <f>SUM(P34:P47)</f>
        <v/>
      </c>
      <c r="Q49" s="1938">
        <f>SUM(Q34:Q47)</f>
        <v/>
      </c>
      <c r="R49" s="1938">
        <f>SUM(R34:R47)</f>
        <v/>
      </c>
      <c r="S49" s="1938">
        <f>SUM(S34:S47)</f>
        <v/>
      </c>
      <c r="T49" s="1938">
        <f>SUM(T34:T47)</f>
        <v/>
      </c>
      <c r="U49" s="1938">
        <f>SUM(U34:U47)</f>
        <v/>
      </c>
      <c r="V49" s="1938">
        <f>SUM(V34:V47)</f>
        <v/>
      </c>
      <c r="W49" s="1938">
        <f>SUM(W34:W47)</f>
        <v/>
      </c>
      <c r="X49" s="1938">
        <f>SUM(X34:X47)</f>
        <v/>
      </c>
      <c r="Y49" s="1940" t="n"/>
      <c r="Z49" s="1916">
        <f>SUM(C49:Y49)</f>
        <v/>
      </c>
      <c r="AA49" s="416" t="n"/>
      <c r="AB49" s="416" t="n"/>
      <c r="AC49" s="1941" t="n"/>
      <c r="AD49" s="416" t="n"/>
      <c r="AE49" s="416" t="n"/>
      <c r="AF49" s="416" t="n"/>
      <c r="AG49" s="416" t="n"/>
      <c r="AH49" s="416" t="n"/>
      <c r="AI49" s="416" t="n"/>
      <c r="AJ49" s="416" t="n"/>
      <c r="AK49" s="416" t="n"/>
      <c r="AL49" s="416" t="n"/>
      <c r="AM49" s="416" t="n"/>
    </row>
    <row r="50" ht="17.25" customHeight="1" s="1643" thickBot="1">
      <c r="B50" s="1942" t="inlineStr">
        <is>
          <t>累計現金流</t>
        </is>
      </c>
      <c r="C50" s="1943" t="n"/>
      <c r="D50" s="1944">
        <f>D49+C49</f>
        <v/>
      </c>
      <c r="E50" s="1944">
        <f>E49+D50</f>
        <v/>
      </c>
      <c r="F50" s="1944">
        <f>F49+E50</f>
        <v/>
      </c>
      <c r="G50" s="1944">
        <f>G49+F50</f>
        <v/>
      </c>
      <c r="H50" s="1944">
        <f>H49+G50</f>
        <v/>
      </c>
      <c r="I50" s="1944">
        <f>I49+H50</f>
        <v/>
      </c>
      <c r="J50" s="1944">
        <f>J49+I50</f>
        <v/>
      </c>
      <c r="K50" s="1944">
        <f>K49+J50</f>
        <v/>
      </c>
      <c r="L50" s="1944">
        <f>L49+K50</f>
        <v/>
      </c>
      <c r="M50" s="1944">
        <f>M49+L50</f>
        <v/>
      </c>
      <c r="N50" s="1944">
        <f>N49+M50</f>
        <v/>
      </c>
      <c r="O50" s="1944">
        <f>O49+N50</f>
        <v/>
      </c>
      <c r="P50" s="1944">
        <f>P49+O50</f>
        <v/>
      </c>
      <c r="Q50" s="1944">
        <f>Q49+P50</f>
        <v/>
      </c>
      <c r="R50" s="1944">
        <f>R49+Q50</f>
        <v/>
      </c>
      <c r="S50" s="1944">
        <f>S49+R50</f>
        <v/>
      </c>
      <c r="T50" s="1944">
        <f>T49+S50</f>
        <v/>
      </c>
      <c r="U50" s="1944">
        <f>U49+T50</f>
        <v/>
      </c>
      <c r="V50" s="1944">
        <f>V49+U50</f>
        <v/>
      </c>
      <c r="W50" s="1944">
        <f>W49+V50</f>
        <v/>
      </c>
      <c r="X50" s="1944" t="n"/>
      <c r="Y50" s="1945" t="n"/>
      <c r="Z50" s="620">
        <f>IF(ROUND((Z49-W50),0)=0,"correct", "error")</f>
        <v/>
      </c>
      <c r="AA50" s="416" t="n"/>
      <c r="AB50" s="416" t="n"/>
      <c r="AC50" s="416" t="n"/>
      <c r="AD50" s="416" t="n"/>
      <c r="AE50" s="416" t="n"/>
      <c r="AF50" s="416" t="n"/>
      <c r="AG50" s="416" t="n"/>
      <c r="AH50" s="416" t="n"/>
      <c r="AI50" s="416" t="n"/>
      <c r="AJ50" s="416" t="n"/>
      <c r="AK50" s="416" t="n"/>
      <c r="AL50" s="416" t="n"/>
      <c r="AM50" s="416" t="n"/>
    </row>
    <row r="51" hidden="1" ht="17.25" customHeight="1" s="1643" thickBot="1">
      <c r="B51" s="506" t="inlineStr">
        <is>
          <t>Discounted cash flow</t>
        </is>
      </c>
      <c r="C51" s="1946" t="n">
        <v>-37721416.4</v>
      </c>
      <c r="D51" s="1947" t="n"/>
      <c r="E51" s="1947" t="n"/>
      <c r="F51" s="1948" t="n">
        <v>4765724.101934625</v>
      </c>
      <c r="G51" s="1948" t="n">
        <v>4715578.687122989</v>
      </c>
      <c r="H51" s="1948" t="n">
        <v>4665433.272311353</v>
      </c>
      <c r="I51" s="1948" t="n">
        <v>4615287.857499719</v>
      </c>
      <c r="J51" s="1948" t="n">
        <v>4565142.442688081</v>
      </c>
      <c r="K51" s="1948" t="n">
        <v>4517504.29861703</v>
      </c>
      <c r="L51" s="1948" t="n">
        <v>4469866.154545976</v>
      </c>
      <c r="M51" s="1948" t="n">
        <v>4422228.010474921</v>
      </c>
      <c r="N51" s="1948" t="n">
        <v>4374589.866403867</v>
      </c>
      <c r="O51" s="1948" t="n">
        <v>4326951.722332815</v>
      </c>
      <c r="P51" s="1948" t="n">
        <v>4284954.937428069</v>
      </c>
      <c r="Q51" s="1948" t="n">
        <v>4242958.152523325</v>
      </c>
      <c r="R51" s="1948" t="n">
        <v>4200961.36761858</v>
      </c>
      <c r="S51" s="1948" t="n">
        <v>4158964.582713835</v>
      </c>
      <c r="T51" s="1948" t="n">
        <v>4116967.797809093</v>
      </c>
      <c r="U51" s="1948" t="n">
        <v>4074971.012904346</v>
      </c>
      <c r="V51" s="1948" t="n">
        <v>4032974.227999602</v>
      </c>
      <c r="W51" s="1948" t="n">
        <v>3990977.443094858</v>
      </c>
      <c r="X51" s="1948" t="n"/>
      <c r="Y51" s="1949" t="n"/>
      <c r="Z51" s="621" t="n"/>
      <c r="AA51" s="416" t="n"/>
      <c r="AB51" s="416" t="n"/>
      <c r="AC51" s="416" t="n"/>
      <c r="AD51" s="416" t="n"/>
      <c r="AE51" s="416" t="n"/>
      <c r="AF51" s="416" t="n"/>
      <c r="AG51" s="416" t="n"/>
      <c r="AH51" s="416" t="n"/>
      <c r="AI51" s="416" t="n"/>
      <c r="AJ51" s="416" t="n"/>
      <c r="AK51" s="416" t="n"/>
      <c r="AL51" s="416" t="n"/>
      <c r="AM51" s="416" t="n"/>
    </row>
    <row r="52" hidden="1" ht="17.25" customHeight="1" s="1643" thickBot="1">
      <c r="B52" s="1950" t="inlineStr">
        <is>
          <t>Minus : Depreciation</t>
        </is>
      </c>
      <c r="C52" s="1951" t="n"/>
      <c r="D52" s="1952" t="n"/>
      <c r="E52" s="1952" t="n"/>
      <c r="F52" s="1952" t="n">
        <v>1886070.82</v>
      </c>
      <c r="G52" s="1952" t="n">
        <v>1886070.82</v>
      </c>
      <c r="H52" s="1952" t="n">
        <v>1886070.82</v>
      </c>
      <c r="I52" s="1952" t="n">
        <v>1886070.82</v>
      </c>
      <c r="J52" s="1952" t="n">
        <v>1886070.82</v>
      </c>
      <c r="K52" s="1952" t="n">
        <v>1886070.82</v>
      </c>
      <c r="L52" s="1952" t="n">
        <v>1886070.82</v>
      </c>
      <c r="M52" s="1952" t="n">
        <v>1886070.82</v>
      </c>
      <c r="N52" s="1952" t="n">
        <v>1886070.82</v>
      </c>
      <c r="O52" s="1952" t="n">
        <v>1886070.82</v>
      </c>
      <c r="P52" s="1952" t="n">
        <v>1886070.82</v>
      </c>
      <c r="Q52" s="1952" t="n">
        <v>1886070.82</v>
      </c>
      <c r="R52" s="1952" t="n">
        <v>1886070.82</v>
      </c>
      <c r="S52" s="1952" t="n">
        <v>1886070.82</v>
      </c>
      <c r="T52" s="1952" t="n">
        <v>1886070.82</v>
      </c>
      <c r="U52" s="1952" t="n">
        <v>1886070.82</v>
      </c>
      <c r="V52" s="1952" t="n">
        <v>1886070.82</v>
      </c>
      <c r="W52" s="1952" t="n">
        <v>1886070.82</v>
      </c>
      <c r="X52" s="1952" t="n"/>
      <c r="Y52" s="1953" t="n"/>
      <c r="Z52" s="416" t="n"/>
      <c r="AA52" s="416" t="n"/>
      <c r="AB52" s="416" t="n"/>
      <c r="AC52" s="416" t="n"/>
      <c r="AD52" s="416" t="n"/>
      <c r="AE52" s="416" t="n"/>
      <c r="AF52" s="416" t="n"/>
      <c r="AG52" s="416" t="n"/>
      <c r="AH52" s="416" t="n"/>
      <c r="AI52" s="416" t="n"/>
      <c r="AJ52" s="416" t="n"/>
      <c r="AK52" s="416" t="n"/>
      <c r="AL52" s="416" t="n"/>
      <c r="AM52" s="416" t="n"/>
    </row>
    <row r="53" hidden="1" ht="17.25" customHeight="1" s="1643" thickBot="1">
      <c r="B53" s="1950" t="inlineStr">
        <is>
          <t>Plus : Principle payment</t>
        </is>
      </c>
      <c r="C53" s="1951" t="n"/>
      <c r="D53" s="1952" t="n"/>
      <c r="E53" s="1952" t="n"/>
      <c r="F53" s="1952" t="n">
        <v>0</v>
      </c>
      <c r="G53" s="1952" t="n">
        <v>0</v>
      </c>
      <c r="H53" s="1952" t="n">
        <v>0</v>
      </c>
      <c r="I53" s="1952" t="n">
        <v>0</v>
      </c>
      <c r="J53" s="1952" t="n">
        <v>0</v>
      </c>
      <c r="K53" s="1952" t="n">
        <v>0</v>
      </c>
      <c r="L53" s="1952" t="n">
        <v>0</v>
      </c>
      <c r="M53" s="1952" t="n">
        <v>0</v>
      </c>
      <c r="N53" s="1952" t="n">
        <v>0</v>
      </c>
      <c r="O53" s="1952" t="n">
        <v>0</v>
      </c>
      <c r="P53" s="1952" t="n">
        <v>0</v>
      </c>
      <c r="Q53" s="1952" t="n">
        <v>0</v>
      </c>
      <c r="R53" s="1952" t="n">
        <v>0</v>
      </c>
      <c r="S53" s="1952" t="n">
        <v>0</v>
      </c>
      <c r="T53" s="1952" t="n">
        <v>0</v>
      </c>
      <c r="U53" s="1952" t="n">
        <v>0</v>
      </c>
      <c r="V53" s="1952" t="n">
        <v>0</v>
      </c>
      <c r="W53" s="1952" t="n">
        <v>0</v>
      </c>
      <c r="X53" s="1952" t="n"/>
      <c r="Y53" s="1953" t="n"/>
      <c r="Z53" s="416" t="n"/>
      <c r="AA53" s="416" t="n"/>
      <c r="AB53" s="416" t="n"/>
      <c r="AC53" s="416" t="n"/>
      <c r="AD53" s="416" t="n"/>
      <c r="AE53" s="416" t="n"/>
      <c r="AF53" s="416" t="n"/>
      <c r="AG53" s="416" t="n"/>
      <c r="AH53" s="416" t="n"/>
      <c r="AI53" s="416" t="n"/>
      <c r="AJ53" s="416" t="n"/>
      <c r="AK53" s="416" t="n"/>
      <c r="AL53" s="416" t="n"/>
      <c r="AM53" s="416" t="n"/>
    </row>
    <row r="54" hidden="1" ht="17.25" customHeight="1" s="1643" thickBot="1">
      <c r="B54" s="514" t="inlineStr">
        <is>
          <t>Profit</t>
        </is>
      </c>
      <c r="C54" s="1954" t="n"/>
      <c r="D54" s="1955" t="n"/>
      <c r="E54" s="1955" t="n"/>
      <c r="F54" s="1955" t="n">
        <v>2879653.281934625</v>
      </c>
      <c r="G54" s="1955" t="n">
        <v>2829507.867122989</v>
      </c>
      <c r="H54" s="1955" t="n">
        <v>2779362.452311353</v>
      </c>
      <c r="I54" s="1955" t="n">
        <v>2729217.037499719</v>
      </c>
      <c r="J54" s="1955" t="n">
        <v>2679071.622688082</v>
      </c>
      <c r="K54" s="1955" t="n">
        <v>2631433.47861703</v>
      </c>
      <c r="L54" s="1955" t="n">
        <v>2583795.334545976</v>
      </c>
      <c r="M54" s="1955" t="n">
        <v>2536157.190474921</v>
      </c>
      <c r="N54" s="1955" t="n">
        <v>2488519.046403868</v>
      </c>
      <c r="O54" s="1955" t="n">
        <v>2440880.902332815</v>
      </c>
      <c r="P54" s="1955" t="n">
        <v>2398884.117428069</v>
      </c>
      <c r="Q54" s="1955" t="n">
        <v>2356887.332523325</v>
      </c>
      <c r="R54" s="1955" t="n">
        <v>2314890.547618581</v>
      </c>
      <c r="S54" s="1955" t="n">
        <v>2272893.762713836</v>
      </c>
      <c r="T54" s="1955" t="n">
        <v>2230896.977809093</v>
      </c>
      <c r="U54" s="1955" t="n">
        <v>2188900.192904347</v>
      </c>
      <c r="V54" s="1955" t="n">
        <v>2146903.407999602</v>
      </c>
      <c r="W54" s="1955" t="n">
        <v>2104906.623094858</v>
      </c>
      <c r="X54" s="1955" t="n"/>
      <c r="Y54" s="1956" t="n"/>
      <c r="Z54" s="416" t="n"/>
      <c r="AA54" s="416" t="n"/>
      <c r="AB54" s="416" t="n"/>
      <c r="AC54" s="416" t="n"/>
      <c r="AD54" s="416" t="n"/>
      <c r="AE54" s="416" t="n"/>
      <c r="AF54" s="416" t="n"/>
      <c r="AG54" s="416" t="n"/>
      <c r="AH54" s="416" t="n"/>
      <c r="AI54" s="416" t="n"/>
      <c r="AJ54" s="416" t="n"/>
      <c r="AK54" s="416" t="n"/>
      <c r="AL54" s="416" t="n"/>
      <c r="AM54" s="416" t="n"/>
    </row>
    <row r="55" hidden="1" ht="17.25" customHeight="1" s="1643" thickBot="1">
      <c r="B55" s="518" t="inlineStr">
        <is>
          <t>EPS</t>
        </is>
      </c>
      <c r="C55" s="1957" t="n"/>
      <c r="D55" s="1958" t="n"/>
      <c r="E55" s="1958" t="n"/>
      <c r="F55" s="1959" t="n">
        <v>0.7634000938349244</v>
      </c>
      <c r="G55" s="1959" t="n">
        <v>0.7501064745604274</v>
      </c>
      <c r="H55" s="1959" t="n">
        <v>0.7368128552859308</v>
      </c>
      <c r="I55" s="1959" t="n">
        <v>0.7235192360114343</v>
      </c>
      <c r="J55" s="1959" t="n">
        <v>0.7102256167369372</v>
      </c>
      <c r="K55" s="1959" t="n">
        <v>0.6975966784261659</v>
      </c>
      <c r="L55" s="1959" t="n">
        <v>0.6849677401153941</v>
      </c>
      <c r="M55" s="1959" t="n">
        <v>0.6723388018046219</v>
      </c>
      <c r="N55" s="1959" t="n">
        <v>0.6597098634938501</v>
      </c>
      <c r="O55" s="1959" t="n">
        <v>0.6470809251830785</v>
      </c>
      <c r="P55" s="1959" t="n">
        <v>0.6359475190406874</v>
      </c>
      <c r="Q55" s="1959" t="n">
        <v>0.6248141128982965</v>
      </c>
      <c r="R55" s="1959" t="n">
        <v>0.6136807067559056</v>
      </c>
      <c r="S55" s="1959" t="n">
        <v>0.6025473006135146</v>
      </c>
      <c r="T55" s="1959" t="n">
        <v>0.5914138944711241</v>
      </c>
      <c r="U55" s="1959" t="n">
        <v>0.5802804883287328</v>
      </c>
      <c r="V55" s="1959" t="n">
        <v>0.5691470821863418</v>
      </c>
      <c r="W55" s="1959" t="n">
        <v>0.5580136760439509</v>
      </c>
      <c r="X55" s="1959" t="n"/>
      <c r="Y55" s="1960" t="n"/>
      <c r="Z55" s="416" t="n"/>
      <c r="AA55" s="416" t="n"/>
      <c r="AB55" s="416" t="n"/>
      <c r="AC55" s="416" t="n"/>
      <c r="AD55" s="416" t="n"/>
      <c r="AE55" s="416" t="n"/>
      <c r="AF55" s="416" t="n"/>
      <c r="AG55" s="416" t="n"/>
      <c r="AH55" s="416" t="n"/>
      <c r="AI55" s="416" t="n"/>
      <c r="AJ55" s="416" t="n"/>
      <c r="AK55" s="416" t="n"/>
      <c r="AL55" s="416" t="n"/>
      <c r="AM55" s="416" t="n"/>
    </row>
    <row r="56" ht="17.25" customHeight="1" s="1643" thickBot="1">
      <c r="B56" s="522" t="inlineStr">
        <is>
          <t>回收年限評估</t>
        </is>
      </c>
      <c r="C56" s="1961" t="n"/>
      <c r="D56" s="1962">
        <f>IF((D50)&gt;0,"回收","未回收")</f>
        <v/>
      </c>
      <c r="E56" s="1962">
        <f>IF((E50)&gt;0,"回收","未回收")</f>
        <v/>
      </c>
      <c r="F56" s="1962">
        <f>IF((F50)&gt;0,"回收","未回收")</f>
        <v/>
      </c>
      <c r="G56" s="1962">
        <f>IF((G50)&gt;0,"回收","未回收")</f>
        <v/>
      </c>
      <c r="H56" s="1962">
        <f>IF((H50)&gt;0,"回收","未回收")</f>
        <v/>
      </c>
      <c r="I56" s="1962">
        <f>IF((I50)&gt;0,"回收","未回收")</f>
        <v/>
      </c>
      <c r="J56" s="1962">
        <f>IF((J50)&gt;0,"回收","未回收")</f>
        <v/>
      </c>
      <c r="K56" s="1962">
        <f>IF((K50)&gt;0,"回收","未回收")</f>
        <v/>
      </c>
      <c r="L56" s="1962">
        <f>IF((L50)&gt;0,"回收","未回收")</f>
        <v/>
      </c>
      <c r="M56" s="1962">
        <f>IF((M50)&gt;0,"回收","未回收")</f>
        <v/>
      </c>
      <c r="N56" s="1962">
        <f>IF((N50)&gt;0,"回收","未回收")</f>
        <v/>
      </c>
      <c r="O56" s="1962">
        <f>IF((O50)&gt;0,"回收","未回收")</f>
        <v/>
      </c>
      <c r="P56" s="1962">
        <f>IF((P50)&gt;0,"回收","未回收")</f>
        <v/>
      </c>
      <c r="Q56" s="1962">
        <f>IF((Q50)&gt;0,"回收","未回收")</f>
        <v/>
      </c>
      <c r="R56" s="1962">
        <f>IF((R50)&gt;0,"回收","未回收")</f>
        <v/>
      </c>
      <c r="S56" s="1962">
        <f>IF((S50)&gt;0,"回收","未回收")</f>
        <v/>
      </c>
      <c r="T56" s="1962">
        <f>IF((T50)&gt;0,"回收","未回收")</f>
        <v/>
      </c>
      <c r="U56" s="1962">
        <f>IF((U50)&gt;0,"回收","未回收")</f>
        <v/>
      </c>
      <c r="V56" s="1962">
        <f>IF((V50)&gt;0,"回收","未回收")</f>
        <v/>
      </c>
      <c r="W56" s="1962">
        <f>IF((W50)&gt;0,"回收","未回收")</f>
        <v/>
      </c>
      <c r="X56" s="1962" t="n"/>
      <c r="Y56" s="1963" t="n"/>
      <c r="Z56" s="416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  <c r="AK56" s="416" t="n"/>
      <c r="AL56" s="416" t="n"/>
      <c r="AM56" s="416" t="n"/>
    </row>
    <row r="57">
      <c r="B57" s="475" t="n"/>
      <c r="C57" s="1964" t="n"/>
      <c r="D57" s="1964" t="n"/>
      <c r="E57" s="1964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  <c r="AK57" s="416" t="n"/>
      <c r="AL57" s="416" t="n"/>
      <c r="AM57" s="416" t="n"/>
    </row>
    <row r="58">
      <c r="B58" s="475" t="n"/>
      <c r="C58" s="1964" t="n"/>
      <c r="D58" s="1964" t="n"/>
      <c r="E58" s="1964" t="n"/>
      <c r="F58" s="475" t="n"/>
      <c r="G58" s="475" t="n"/>
      <c r="H58" s="475" t="n"/>
      <c r="I58" s="475" t="n"/>
      <c r="J58" s="475" t="n"/>
      <c r="K58" s="475" t="n"/>
      <c r="L58" s="475" t="inlineStr">
        <is>
          <t>預估可建置量</t>
        </is>
      </c>
      <c r="M58" s="475" t="n">
        <v>0</v>
      </c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  <c r="AK58" s="416" t="n"/>
      <c r="AL58" s="416" t="n"/>
      <c r="AM58" s="416" t="n"/>
    </row>
    <row r="59">
      <c r="B59" s="475" t="n"/>
      <c r="C59" s="1964" t="n"/>
      <c r="D59" s="1964" t="n"/>
      <c r="E59" s="1964" t="n"/>
      <c r="F59" s="475" t="n"/>
      <c r="G59" s="475" t="n"/>
      <c r="H59" s="475" t="n"/>
      <c r="I59" s="475" t="n"/>
      <c r="J59" s="475" t="n"/>
      <c r="K59" s="475" t="n"/>
      <c r="L59" s="475" t="inlineStr">
        <is>
          <t>預估可建置量</t>
        </is>
      </c>
      <c r="M59" s="475" t="n">
        <v>0</v>
      </c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  <c r="AK59" s="416" t="n"/>
      <c r="AL59" s="416" t="n"/>
      <c r="AM59" s="416" t="n"/>
    </row>
    <row r="60">
      <c r="B60" s="475" t="n"/>
      <c r="C60" s="475" t="n"/>
      <c r="D60" s="475" t="n"/>
      <c r="E60" s="475" t="n"/>
      <c r="F60" s="475" t="n"/>
      <c r="G60" s="1923" t="n"/>
      <c r="H60" s="1923" t="n"/>
      <c r="I60" s="475" t="n"/>
      <c r="J60" s="475" t="n"/>
      <c r="K60" s="475" t="n"/>
      <c r="L60" s="475" t="inlineStr">
        <is>
          <t>總計</t>
        </is>
      </c>
      <c r="M60" s="475">
        <f>M58+M59</f>
        <v/>
      </c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  <c r="AK60" s="416" t="n"/>
      <c r="AL60" s="416" t="n"/>
      <c r="AM60" s="416" t="n"/>
    </row>
    <row r="61"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  <c r="AK61" s="416" t="n"/>
      <c r="AL61" s="416" t="n"/>
      <c r="AM61" s="416" t="n"/>
    </row>
    <row r="62">
      <c r="B62" s="1965" t="inlineStr">
        <is>
          <t>Assumption</t>
        </is>
      </c>
      <c r="C62" s="1688" t="n"/>
      <c r="D62" s="1966" t="inlineStr">
        <is>
          <t>NOTE</t>
        </is>
      </c>
      <c r="E62" s="1687" t="n"/>
      <c r="F62" s="1687" t="n"/>
      <c r="G62" s="1688" t="n"/>
      <c r="H62" s="475" t="n"/>
      <c r="I62" s="475" t="n"/>
      <c r="J62" s="1967" t="inlineStr">
        <is>
          <t>管理費，1%of 股本</t>
        </is>
      </c>
      <c r="K62" s="475" t="n"/>
      <c r="L62" s="475" t="inlineStr">
        <is>
          <t>假設自有資本(億)</t>
        </is>
      </c>
      <c r="M62" s="475" t="n"/>
      <c r="N62" s="475">
        <f>D159/100000000</f>
        <v/>
      </c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16" t="n"/>
      <c r="Y62" s="416" t="n"/>
      <c r="Z62" s="416" t="n"/>
      <c r="AA62" s="416" t="n"/>
      <c r="AB62" s="580" t="n"/>
      <c r="AC62" s="1968" t="inlineStr">
        <is>
          <t xml:space="preserve">申辦期間一甲地租金 </t>
        </is>
      </c>
      <c r="AD62" s="1687" t="n"/>
      <c r="AE62" s="1687" t="n"/>
      <c r="AF62" s="1688" t="n"/>
      <c r="AG62" s="1969" t="n">
        <v>100000</v>
      </c>
      <c r="AH62" s="580" t="n"/>
      <c r="AI62" s="580" t="n"/>
      <c r="AJ62" s="580" t="n"/>
      <c r="AK62" s="580" t="n"/>
      <c r="AL62" s="580" t="n"/>
      <c r="AM62" s="580" t="n"/>
    </row>
    <row r="63">
      <c r="B63" s="371" t="inlineStr">
        <is>
          <t>預計系統完工年限</t>
        </is>
      </c>
      <c r="C63" s="1970" t="inlineStr">
        <is>
          <t>109年</t>
        </is>
      </c>
      <c r="D63" s="1445" t="e">
        <v>#REF!</v>
      </c>
      <c r="E63" s="525" t="n"/>
      <c r="F63" s="525" t="n"/>
      <c r="G63" s="526" t="n"/>
      <c r="H63" s="475" t="n"/>
      <c r="I63" s="1971" t="n"/>
      <c r="J63" s="1967" t="inlineStr">
        <is>
          <t>績效獎金</t>
        </is>
      </c>
      <c r="K63" s="475" t="n"/>
      <c r="L63" s="475" t="inlineStr">
        <is>
          <t>貸款(億)</t>
        </is>
      </c>
      <c r="M63" s="475" t="n"/>
      <c r="N63" s="475">
        <f>D157/100000000</f>
        <v/>
      </c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16" t="n"/>
      <c r="Y63" s="416" t="n"/>
      <c r="Z63" s="416" t="n"/>
      <c r="AA63" s="416" t="n"/>
      <c r="AB63" s="580" t="n"/>
      <c r="AC63" s="580" t="n"/>
      <c r="AD63" s="580" t="n"/>
      <c r="AE63" s="580" t="n"/>
      <c r="AF63" s="580" t="n"/>
      <c r="AG63" s="580" t="n"/>
      <c r="AH63" s="582" t="inlineStr">
        <is>
          <t>申辦期預抓2年土租</t>
        </is>
      </c>
      <c r="AI63" s="580" t="n"/>
      <c r="AJ63" s="580" t="n"/>
      <c r="AK63" s="583" t="n">
        <v>20</v>
      </c>
      <c r="AL63" s="580" t="n"/>
      <c r="AM63" s="580" t="n"/>
    </row>
    <row r="64">
      <c r="B64" s="371" t="inlineStr">
        <is>
          <t>政府每度收購價格</t>
        </is>
      </c>
      <c r="C64" s="1972" t="n">
        <v>4.1733</v>
      </c>
      <c r="D64" s="622" t="inlineStr">
        <is>
          <t>109下半年 地面型併高壓費率(高效模組)</t>
        </is>
      </c>
      <c r="E64" s="529" t="n"/>
      <c r="F64" s="529" t="n"/>
      <c r="G64" s="530" t="n"/>
      <c r="H64" s="531" t="n"/>
      <c r="I64" s="531" t="n"/>
      <c r="J64" s="556" t="inlineStr">
        <is>
          <t>權益法下IRR</t>
        </is>
      </c>
      <c r="K64" s="531" t="n"/>
      <c r="L64" s="531" t="inlineStr">
        <is>
          <t>XX年攤還 (有錢就還)</t>
        </is>
      </c>
      <c r="M64" s="531" t="n"/>
      <c r="N64" s="531" t="n"/>
      <c r="O64" s="531" t="n"/>
      <c r="P64" s="531" t="n"/>
      <c r="Q64" s="531" t="n"/>
      <c r="R64" s="531" t="n"/>
      <c r="S64" s="531" t="n"/>
      <c r="T64" s="531" t="n"/>
      <c r="U64" s="531" t="n"/>
      <c r="V64" s="531" t="n"/>
      <c r="W64" s="531" t="n"/>
      <c r="X64" s="416" t="n"/>
      <c r="Y64" s="416" t="n"/>
      <c r="Z64" s="416" t="n"/>
      <c r="AA64" s="416" t="n"/>
      <c r="AB64" s="580" t="n"/>
      <c r="AC64" s="580" t="inlineStr">
        <is>
          <t>平方公尺</t>
        </is>
      </c>
      <c r="AD64" s="580" t="inlineStr">
        <is>
          <t>甲</t>
        </is>
      </c>
      <c r="AE64" s="580" t="inlineStr">
        <is>
          <t>公頃</t>
        </is>
      </c>
      <c r="AF64" s="580" t="inlineStr">
        <is>
          <t>分</t>
        </is>
      </c>
      <c r="AG64" s="584" t="inlineStr">
        <is>
          <t>申辦期 租金/甲/年</t>
        </is>
      </c>
      <c r="AH64" s="583" t="n">
        <v>2</v>
      </c>
      <c r="AI64" s="580" t="inlineStr">
        <is>
          <t>每年租金/分 (單價)</t>
        </is>
      </c>
      <c r="AJ64" s="585" t="inlineStr">
        <is>
          <t>掛錶後 每年租金/分</t>
        </is>
      </c>
      <c r="AK64" s="586" t="inlineStr">
        <is>
          <t>20年土地租金</t>
        </is>
      </c>
      <c r="AL64" s="1973" t="inlineStr">
        <is>
          <t>饋線 途經 國有財產地20年租金預抓</t>
        </is>
      </c>
      <c r="AM64" s="580" t="n"/>
    </row>
    <row r="65">
      <c r="B65" s="371" t="inlineStr">
        <is>
          <t>安裝容量(KW)</t>
        </is>
      </c>
      <c r="C65" s="1974">
        <f>#REF!</f>
        <v/>
      </c>
      <c r="D65" s="533" t="n"/>
      <c r="E65" s="1975" t="n"/>
      <c r="F65" s="534" t="n"/>
      <c r="G65" s="530" t="n"/>
      <c r="H65" s="531" t="n"/>
      <c r="I65" s="531" t="n"/>
      <c r="J65" s="556" t="inlineStr">
        <is>
          <t>現金流IRR</t>
        </is>
      </c>
      <c r="K65" s="531" t="n"/>
      <c r="L65" s="531" t="n"/>
      <c r="M65" s="531" t="n"/>
      <c r="N65" s="531" t="n"/>
      <c r="O65" s="531" t="n"/>
      <c r="P65" s="531" t="n"/>
      <c r="Q65" s="531" t="n"/>
      <c r="R65" s="531" t="n"/>
      <c r="S65" s="531" t="n"/>
      <c r="T65" s="531" t="n"/>
      <c r="U65" s="531" t="n"/>
      <c r="V65" s="531" t="n"/>
      <c r="W65" s="531" t="n"/>
      <c r="X65" s="416" t="n"/>
      <c r="Y65" s="416" t="n"/>
      <c r="Z65" s="416" t="n"/>
      <c r="AA65" s="416" t="n"/>
      <c r="AB65" s="580" t="inlineStr">
        <is>
          <t>地號學甲寮 283,82-83-84 三筆</t>
        </is>
      </c>
      <c r="AC65" s="587" t="n">
        <v>10259</v>
      </c>
      <c r="AD65" s="580" t="n">
        <v>1.05668</v>
      </c>
      <c r="AE65" s="580" t="n">
        <v>1.0259</v>
      </c>
      <c r="AF65" s="580" t="n">
        <v>10.56677</v>
      </c>
      <c r="AG65" s="1976" t="n">
        <v>105668</v>
      </c>
      <c r="AH65" s="1976" t="n">
        <v>211336</v>
      </c>
      <c r="AI65" s="1976" t="n">
        <v>35000</v>
      </c>
      <c r="AJ65" s="1976" t="n">
        <v>369836.95</v>
      </c>
      <c r="AK65" s="1976" t="n">
        <v>7396739</v>
      </c>
      <c r="AL65" s="1977" t="n"/>
      <c r="AM65" s="580" t="n"/>
    </row>
    <row r="66">
      <c r="B66" s="371" t="inlineStr">
        <is>
          <t>每KW系統價格(NTD/KW) -未稅</t>
        </is>
      </c>
      <c r="C66" s="1978" t="n">
        <v>0</v>
      </c>
      <c r="D66" s="533" t="inlineStr">
        <is>
          <t>調整前價格 (恆映 開發費用4000/kW 測算)</t>
        </is>
      </c>
      <c r="E66" s="529" t="n"/>
      <c r="F66" s="529" t="n"/>
      <c r="G66" s="530" t="n"/>
      <c r="H66" s="531" t="n"/>
      <c r="I66" s="531" t="n"/>
      <c r="J66" s="531" t="n"/>
      <c r="K66" s="531" t="n"/>
      <c r="L66" s="531" t="n"/>
      <c r="M66" s="531" t="n"/>
      <c r="N66" s="531" t="n"/>
      <c r="O66" s="531" t="n"/>
      <c r="P66" s="531" t="n"/>
      <c r="Q66" s="531" t="n"/>
      <c r="R66" s="531" t="n"/>
      <c r="S66" s="531" t="n"/>
      <c r="T66" s="531" t="n"/>
      <c r="U66" s="531" t="n"/>
      <c r="V66" s="531" t="n"/>
      <c r="W66" s="531" t="n"/>
      <c r="X66" s="416" t="n"/>
      <c r="Y66" s="416" t="n"/>
      <c r="Z66" s="416" t="n"/>
      <c r="AA66" s="416" t="n"/>
      <c r="AB66" s="580" t="inlineStr">
        <is>
          <t>地號學甲寮 283,40-55-58 三筆</t>
        </is>
      </c>
      <c r="AC66" s="587" t="n">
        <v>11113</v>
      </c>
      <c r="AD66" s="580" t="n">
        <v>1.14464</v>
      </c>
      <c r="AE66" s="580" t="n">
        <v>1.1113</v>
      </c>
      <c r="AF66" s="580" t="n">
        <v>11.44639</v>
      </c>
      <c r="AG66" s="1976" t="n">
        <v>114464</v>
      </c>
      <c r="AH66" s="1976" t="n">
        <v>228928</v>
      </c>
      <c r="AI66" s="1976" t="n">
        <v>30000</v>
      </c>
      <c r="AJ66" s="1976" t="n">
        <v>343391.7</v>
      </c>
      <c r="AK66" s="1976" t="n">
        <v>6867833.999999999</v>
      </c>
      <c r="AL66" s="1977" t="n"/>
      <c r="AM66" s="580" t="n"/>
    </row>
    <row r="67">
      <c r="B67" s="371" t="inlineStr">
        <is>
          <t>總建構成本(NTD)</t>
        </is>
      </c>
      <c r="C67" s="1978" t="n">
        <v>0</v>
      </c>
      <c r="D67" s="533" t="n"/>
      <c r="E67" s="529" t="n"/>
      <c r="F67" s="529" t="n"/>
      <c r="G67" s="530" t="n"/>
      <c r="H67" s="531" t="n"/>
      <c r="I67" s="531" t="n"/>
      <c r="J67" s="531" t="n"/>
      <c r="K67" s="531" t="n"/>
      <c r="L67" s="531" t="n"/>
      <c r="M67" s="531" t="n"/>
      <c r="N67" s="531" t="n"/>
      <c r="O67" s="531" t="n"/>
      <c r="P67" s="531" t="n"/>
      <c r="Q67" s="531" t="n"/>
      <c r="R67" s="531" t="n"/>
      <c r="S67" s="531" t="n"/>
      <c r="T67" s="531" t="n"/>
      <c r="U67" s="531" t="n"/>
      <c r="V67" s="531" t="n"/>
      <c r="W67" s="531" t="n"/>
      <c r="X67" s="416" t="n"/>
      <c r="Y67" s="416" t="n"/>
      <c r="Z67" s="416" t="n"/>
      <c r="AA67" s="416" t="n"/>
      <c r="AB67" s="580" t="inlineStr">
        <is>
          <t>其餘地號都屬 翁秀正, 李雅婷</t>
        </is>
      </c>
      <c r="AC67" s="587" t="n">
        <v>154742</v>
      </c>
      <c r="AD67" s="580" t="n">
        <v>15.93843</v>
      </c>
      <c r="AE67" s="580" t="n">
        <v>15.4742</v>
      </c>
      <c r="AF67" s="580" t="n">
        <v>159.38426</v>
      </c>
      <c r="AG67" s="1976" t="n">
        <v>1593843</v>
      </c>
      <c r="AH67" s="1976" t="n">
        <v>3187686</v>
      </c>
      <c r="AI67" s="1976" t="n">
        <v>40000</v>
      </c>
      <c r="AJ67" s="1976" t="n">
        <v>6375370.4</v>
      </c>
      <c r="AK67" s="1976" t="n">
        <v>127507408</v>
      </c>
      <c r="AL67" s="1979" t="n"/>
      <c r="AM67" s="589" t="inlineStr">
        <is>
          <t>20年土地總租金(含國有財產地)</t>
        </is>
      </c>
    </row>
    <row r="68">
      <c r="B68" s="371" t="inlineStr">
        <is>
          <t>政府補助(NTD/案)</t>
        </is>
      </c>
      <c r="C68" s="1978" t="n">
        <v>0</v>
      </c>
      <c r="D68" s="533" t="n"/>
      <c r="E68" s="529" t="n"/>
      <c r="F68" s="529" t="n"/>
      <c r="G68" s="530" t="n"/>
      <c r="H68" s="531" t="n"/>
      <c r="I68" s="531" t="n"/>
      <c r="J68" s="531" t="n"/>
      <c r="K68" s="531" t="n"/>
      <c r="L68" s="531" t="n"/>
      <c r="M68" s="531" t="n"/>
      <c r="N68" s="531" t="n"/>
      <c r="O68" s="531" t="n"/>
      <c r="P68" s="531" t="n"/>
      <c r="Q68" s="531" t="n"/>
      <c r="R68" s="531" t="n"/>
      <c r="S68" s="531" t="n"/>
      <c r="T68" s="531" t="n"/>
      <c r="U68" s="531" t="n"/>
      <c r="V68" s="531" t="n"/>
      <c r="W68" s="531" t="n"/>
      <c r="X68" s="416" t="n"/>
      <c r="Y68" s="416" t="n"/>
      <c r="Z68" s="416" t="n"/>
      <c r="AA68" s="416" t="n"/>
      <c r="AB68" s="590" t="inlineStr">
        <is>
          <t>總計</t>
        </is>
      </c>
      <c r="AC68" s="591" t="n">
        <v>176114</v>
      </c>
      <c r="AD68" s="584" t="n">
        <v>18.13975</v>
      </c>
      <c r="AE68" s="584" t="n">
        <v>17.6114</v>
      </c>
      <c r="AF68" s="584" t="n"/>
      <c r="AG68" s="1980" t="n">
        <v>1813975</v>
      </c>
      <c r="AH68" s="1981" t="n">
        <v>3627950</v>
      </c>
      <c r="AI68" s="580" t="n"/>
      <c r="AJ68" s="1982" t="n">
        <v>7088599.050000001</v>
      </c>
      <c r="AK68" s="1983" t="n">
        <v>141771981</v>
      </c>
      <c r="AL68" s="1983" t="n">
        <v>2000000</v>
      </c>
      <c r="AM68" s="1984" t="n"/>
    </row>
    <row r="69">
      <c r="B69" s="371" t="inlineStr">
        <is>
          <t>貸款金額(NTD)</t>
        </is>
      </c>
      <c r="C69" s="1978" t="n">
        <v>0</v>
      </c>
      <c r="D69" s="536" t="n">
        <v>0</v>
      </c>
      <c r="E69" s="537" t="inlineStr">
        <is>
          <t>貸款成數</t>
        </is>
      </c>
      <c r="F69" s="529" t="n"/>
      <c r="G69" s="530" t="n"/>
      <c r="H69" s="531" t="n"/>
      <c r="I69" s="577" t="n"/>
      <c r="J69" s="606" t="n"/>
      <c r="K69" s="604" t="inlineStr">
        <is>
          <t>20年</t>
        </is>
      </c>
      <c r="L69" s="531" t="inlineStr">
        <is>
          <t>前2年 開發期 每年租金</t>
        </is>
      </c>
      <c r="M69" s="531" t="n"/>
      <c r="N69" s="531" t="n"/>
      <c r="O69" s="531" t="n"/>
      <c r="P69" s="531" t="n"/>
      <c r="Q69" s="531" t="n"/>
      <c r="R69" s="531" t="n"/>
      <c r="S69" s="531" t="n"/>
      <c r="T69" s="531" t="n"/>
      <c r="U69" s="531" t="n"/>
      <c r="V69" s="531" t="n"/>
      <c r="W69" s="531" t="n"/>
      <c r="X69" s="416" t="n"/>
      <c r="Y69" s="416" t="n"/>
      <c r="Z69" s="416" t="n"/>
      <c r="AA69" s="416" t="n"/>
      <c r="AB69" s="580" t="n"/>
      <c r="AC69" s="580" t="n"/>
      <c r="AD69" s="580" t="n"/>
      <c r="AE69" s="580" t="n"/>
      <c r="AF69" s="580" t="n"/>
      <c r="AG69" s="580" t="n"/>
      <c r="AH69" s="597" t="inlineStr">
        <is>
          <t>土地界址鑑定合計</t>
        </is>
      </c>
      <c r="AI69" s="580" t="n"/>
      <c r="AJ69" s="580" t="n"/>
      <c r="AK69" s="580" t="n"/>
      <c r="AL69" s="580" t="n"/>
      <c r="AM69" s="580" t="n"/>
    </row>
    <row r="70">
      <c r="B70" s="575" t="inlineStr">
        <is>
          <t>償還年限</t>
        </is>
      </c>
      <c r="C70" s="1985" t="n">
        <v>15</v>
      </c>
      <c r="D70" s="576" t="inlineStr">
        <is>
          <t>(本息平均)償還法</t>
        </is>
      </c>
      <c r="E70" s="529" t="n"/>
      <c r="F70" s="529" t="n"/>
      <c r="G70" s="530" t="n"/>
      <c r="H70" s="556" t="inlineStr">
        <is>
          <t>有錢就還</t>
        </is>
      </c>
      <c r="I70" s="556" t="n"/>
      <c r="J70" s="607" t="inlineStr">
        <is>
          <t>租金(依各地主條件)</t>
        </is>
      </c>
      <c r="K70" s="1986" t="inlineStr">
        <is>
          <t>-</t>
        </is>
      </c>
      <c r="L70" s="1987" t="n"/>
      <c r="M70" s="531" t="n"/>
      <c r="N70" s="531" t="n"/>
      <c r="O70" s="531" t="n"/>
      <c r="P70" s="531" t="n"/>
      <c r="Q70" s="531" t="n"/>
      <c r="R70" s="531" t="n"/>
      <c r="S70" s="531" t="n"/>
      <c r="T70" s="531" t="n"/>
      <c r="U70" s="531" t="n"/>
      <c r="V70" s="531" t="n"/>
      <c r="W70" s="531" t="n"/>
      <c r="X70" s="416" t="n"/>
      <c r="Y70" s="416" t="n"/>
      <c r="Z70" s="416" t="n"/>
      <c r="AA70" s="416" t="n"/>
      <c r="AB70" s="598" t="inlineStr">
        <is>
          <t>a.土地界址鑑定規費   :  17公頃 *$ 4,000 + 0.6114公頃 - 以 $2,000計 , 合計: $70,000元</t>
        </is>
      </c>
      <c r="AC70" s="580" t="n"/>
      <c r="AD70" s="580" t="n"/>
      <c r="AE70" s="580" t="n"/>
      <c r="AF70" s="580" t="n"/>
      <c r="AG70" s="580" t="n"/>
      <c r="AH70" s="1988" t="n">
        <v>75000</v>
      </c>
      <c r="AI70" s="558" t="n"/>
      <c r="AJ70" s="558" t="n"/>
      <c r="AK70" s="558" t="n"/>
      <c r="AL70" s="558" t="n"/>
      <c r="AM70" s="558" t="n"/>
    </row>
    <row r="71">
      <c r="B71" s="371" t="inlineStr">
        <is>
          <t>銀行利率(%)</t>
        </is>
      </c>
      <c r="C71" s="1989" t="n">
        <v>0.03</v>
      </c>
      <c r="D71" s="1990" t="n"/>
      <c r="E71" s="529" t="n"/>
      <c r="F71" s="529" t="n"/>
      <c r="G71" s="530" t="n"/>
      <c r="H71" s="531" t="n"/>
      <c r="I71" s="578" t="n"/>
      <c r="J71" s="1991" t="inlineStr">
        <is>
          <t>保險</t>
        </is>
      </c>
      <c r="K71" s="1986" t="n">
        <v>0</v>
      </c>
      <c r="L71" s="531" t="n"/>
      <c r="M71" s="531" t="n"/>
      <c r="N71" s="531" t="n"/>
      <c r="O71" s="531" t="n"/>
      <c r="P71" s="531" t="n"/>
      <c r="Q71" s="531" t="n"/>
      <c r="R71" s="531" t="n"/>
      <c r="S71" s="531" t="n"/>
      <c r="T71" s="531" t="n"/>
      <c r="U71" s="531" t="n"/>
      <c r="V71" s="531" t="n"/>
      <c r="W71" s="531" t="n"/>
      <c r="X71" s="416" t="n"/>
      <c r="Y71" s="416" t="n"/>
      <c r="Z71" s="416" t="n"/>
      <c r="AA71" s="416" t="n"/>
      <c r="AB71" s="598" t="inlineStr">
        <is>
          <t>b.地政事務所陪同鑑界費用    :  因土地面積龐大 , 每筆土地收費$5,000元(初估)</t>
        </is>
      </c>
      <c r="AC71" s="580" t="n"/>
      <c r="AD71" s="580" t="n"/>
      <c r="AE71" s="580" t="n"/>
      <c r="AF71" s="580" t="n"/>
      <c r="AG71" s="580" t="n"/>
      <c r="AH71" s="580" t="n"/>
      <c r="AI71" s="558" t="n"/>
      <c r="AJ71" s="558" t="n"/>
      <c r="AK71" s="558" t="n"/>
      <c r="AL71" s="558" t="n"/>
      <c r="AM71" s="558" t="n"/>
    </row>
    <row r="72">
      <c r="B72" s="371" t="inlineStr">
        <is>
          <t>設備放置區域年租金(NTD)</t>
        </is>
      </c>
      <c r="C72" s="1992" t="n">
        <v>0</v>
      </c>
      <c r="D72" s="600" t="inlineStr">
        <is>
          <t>各地主租金總合+饋線途經國有財產地6公里租金</t>
        </is>
      </c>
      <c r="E72" s="542" t="inlineStr">
        <is>
          <t xml:space="preserve"> ; 租</t>
        </is>
      </c>
      <c r="F72" s="543" t="n">
        <v>20</v>
      </c>
      <c r="G72" s="544" t="inlineStr">
        <is>
          <t>年</t>
        </is>
      </c>
      <c r="H72" s="531" t="n"/>
      <c r="I72" s="531" t="n"/>
      <c r="J72" s="531" t="n"/>
      <c r="K72" s="531" t="n"/>
      <c r="L72" s="531" t="n"/>
      <c r="M72" s="531" t="n"/>
      <c r="N72" s="531" t="n"/>
      <c r="O72" s="416" t="n"/>
      <c r="P72" s="416" t="n"/>
      <c r="Q72" s="416" t="n"/>
      <c r="R72" s="416" t="n"/>
      <c r="S72" s="416" t="n"/>
      <c r="T72" s="416" t="n"/>
      <c r="U72" s="416" t="n"/>
      <c r="V72" s="416" t="n"/>
      <c r="W72" s="416" t="n"/>
      <c r="X72" s="416" t="n"/>
      <c r="Y72" s="416" t="n"/>
      <c r="Z72" s="416" t="n"/>
      <c r="AA72" s="416" t="n"/>
      <c r="AB72" s="416" t="n"/>
      <c r="AC72" s="416" t="n"/>
      <c r="AD72" s="416" t="n"/>
      <c r="AE72" s="416" t="n"/>
      <c r="AF72" s="416" t="n"/>
      <c r="AG72" s="416" t="n"/>
      <c r="AH72" s="416" t="n"/>
      <c r="AI72" s="416" t="n"/>
      <c r="AJ72" s="416" t="n"/>
      <c r="AK72" s="416" t="n"/>
      <c r="AL72" s="416" t="n"/>
      <c r="AM72" s="416" t="n"/>
    </row>
    <row r="73">
      <c r="B73" s="371" t="inlineStr">
        <is>
          <t>維運費(NTD)</t>
        </is>
      </c>
      <c r="C73" s="1992" t="n">
        <v>0</v>
      </c>
      <c r="D73" s="610" t="inlineStr">
        <is>
          <t>400/kw</t>
        </is>
      </c>
      <c r="E73" s="545" t="inlineStr">
        <is>
          <t>; 保固共</t>
        </is>
      </c>
      <c r="F73" s="543" t="n">
        <v>20</v>
      </c>
      <c r="G73" s="544" t="inlineStr">
        <is>
          <t>年</t>
        </is>
      </c>
      <c r="H73" s="531" t="n"/>
      <c r="I73" s="577" t="inlineStr">
        <is>
          <t>1KW</t>
        </is>
      </c>
      <c r="J73" s="602" t="inlineStr">
        <is>
          <t>運維20年</t>
        </is>
      </c>
      <c r="K73" s="531" t="n"/>
      <c r="L73" s="531" t="n"/>
      <c r="M73" s="373" t="n"/>
      <c r="N73" s="374" t="inlineStr">
        <is>
          <t>金額</t>
        </is>
      </c>
      <c r="O73" s="373" t="inlineStr">
        <is>
          <t>備註</t>
        </is>
      </c>
      <c r="P73" s="416" t="n"/>
      <c r="Q73" s="416" t="n"/>
      <c r="R73" s="416" t="n"/>
      <c r="S73" s="416" t="n"/>
      <c r="T73" s="416" t="n"/>
      <c r="U73" s="416" t="n"/>
      <c r="V73" s="416" t="n"/>
      <c r="W73" s="416" t="n"/>
      <c r="X73" s="416" t="n"/>
      <c r="Y73" s="416" t="n"/>
      <c r="Z73" s="416" t="n"/>
      <c r="AA73" s="416" t="n"/>
      <c r="AB73" s="416" t="n"/>
      <c r="AC73" s="416" t="n"/>
      <c r="AD73" s="416" t="n"/>
      <c r="AE73" s="416" t="n"/>
      <c r="AF73" s="416" t="n"/>
      <c r="AG73" s="416" t="n"/>
      <c r="AH73" s="416" t="n"/>
      <c r="AI73" s="416" t="n"/>
      <c r="AJ73" s="416" t="n"/>
      <c r="AK73" s="416" t="n"/>
      <c r="AL73" s="416" t="n"/>
      <c r="AM73" s="416" t="n"/>
    </row>
    <row r="74">
      <c r="B74" s="371" t="inlineStr">
        <is>
          <t>保險費(NTD)</t>
        </is>
      </c>
      <c r="C74" s="1992" t="n">
        <v>0</v>
      </c>
      <c r="D74" s="541" t="n">
        <v>0.003</v>
      </c>
      <c r="E74" s="545" t="inlineStr">
        <is>
          <t>; 保險共</t>
        </is>
      </c>
      <c r="F74" s="543" t="n">
        <v>20</v>
      </c>
      <c r="G74" s="544" t="inlineStr">
        <is>
          <t>年</t>
        </is>
      </c>
      <c r="H74" s="531" t="n"/>
      <c r="I74" s="612" t="n">
        <v>400</v>
      </c>
      <c r="J74" s="1993" t="n">
        <v>0</v>
      </c>
      <c r="K74" s="531" t="n"/>
      <c r="L74" s="531" t="n"/>
      <c r="M74" s="373" t="inlineStr">
        <is>
          <t>模組回收(kw)</t>
        </is>
      </c>
      <c r="N74" s="374" t="n">
        <v>1000</v>
      </c>
      <c r="O74" s="373" t="inlineStr">
        <is>
          <t>分10年攤提</t>
        </is>
      </c>
      <c r="P74" s="416" t="n"/>
      <c r="Q74" s="416" t="n"/>
      <c r="R74" s="416" t="n"/>
      <c r="S74" s="416" t="n"/>
      <c r="T74" s="416" t="n"/>
      <c r="U74" s="416" t="n"/>
      <c r="V74" s="416" t="n"/>
      <c r="W74" s="416" t="n"/>
      <c r="X74" s="416" t="n"/>
      <c r="Y74" s="416" t="n"/>
      <c r="Z74" s="416" t="n"/>
      <c r="AA74" s="416" t="n"/>
      <c r="AB74" s="416" t="n"/>
      <c r="AC74" s="416" t="n"/>
      <c r="AD74" s="416" t="n"/>
      <c r="AE74" s="416" t="n"/>
      <c r="AF74" s="416" t="n"/>
      <c r="AG74" s="416" t="n"/>
      <c r="AH74" s="416" t="n"/>
      <c r="AI74" s="416" t="n"/>
      <c r="AJ74" s="416" t="n"/>
      <c r="AK74" s="416" t="n"/>
      <c r="AL74" s="416" t="n"/>
      <c r="AM74" s="416" t="n"/>
    </row>
    <row r="75">
      <c r="B75" s="371" t="inlineStr">
        <is>
          <t>模組回收費(NTD)</t>
        </is>
      </c>
      <c r="C75" s="1992" t="n">
        <v>0</v>
      </c>
      <c r="D75" s="541" t="inlineStr">
        <is>
          <t>分10年攤提</t>
        </is>
      </c>
      <c r="E75" s="545" t="inlineStr">
        <is>
          <t>; 攤提共</t>
        </is>
      </c>
      <c r="F75" s="543" t="n">
        <v>10</v>
      </c>
      <c r="G75" s="544" t="inlineStr">
        <is>
          <t>年</t>
        </is>
      </c>
      <c r="H75" s="531" t="n"/>
      <c r="I75" s="613" t="n">
        <v>300</v>
      </c>
      <c r="J75" s="1994" t="n">
        <v>0</v>
      </c>
      <c r="K75" s="531" t="n"/>
      <c r="L75" s="531" t="n"/>
      <c r="M75" s="531" t="n">
        <v>0</v>
      </c>
      <c r="N75" s="475" t="n"/>
      <c r="O75" s="416" t="n"/>
      <c r="P75" s="416" t="n"/>
      <c r="Q75" s="416" t="n"/>
      <c r="R75" s="416" t="n"/>
      <c r="S75" s="416" t="n"/>
      <c r="T75" s="416" t="n"/>
      <c r="U75" s="416" t="n"/>
      <c r="V75" s="416" t="n"/>
      <c r="W75" s="416" t="n"/>
      <c r="X75" s="416" t="n"/>
      <c r="Y75" s="416" t="n"/>
      <c r="Z75" s="416" t="n"/>
      <c r="AA75" s="416" t="n"/>
      <c r="AB75" s="416" t="n"/>
      <c r="AC75" s="416" t="n"/>
      <c r="AD75" s="416" t="n"/>
      <c r="AE75" s="416" t="n"/>
      <c r="AF75" s="416" t="n"/>
      <c r="AG75" s="416" t="n"/>
      <c r="AH75" s="416" t="n"/>
      <c r="AI75" s="416" t="n"/>
      <c r="AJ75" s="416" t="n"/>
      <c r="AK75" s="416" t="n"/>
      <c r="AL75" s="416" t="n"/>
      <c r="AM75" s="416" t="n"/>
    </row>
    <row r="76">
      <c r="B76" s="371" t="inlineStr">
        <is>
          <t>初始資金需求</t>
        </is>
      </c>
      <c r="C76" s="1978" t="n">
        <v>0</v>
      </c>
      <c r="D76" s="1995" t="inlineStr">
        <is>
          <t>原始資金需求</t>
        </is>
      </c>
      <c r="E76" s="1687" t="n"/>
      <c r="F76" s="1687" t="n"/>
      <c r="G76" s="1688" t="n"/>
      <c r="H76" s="531" t="n"/>
      <c r="I76" s="613" t="n">
        <v>200</v>
      </c>
      <c r="J76" s="1994" t="n">
        <v>0</v>
      </c>
      <c r="K76" s="531" t="n"/>
      <c r="L76" s="531" t="n"/>
      <c r="M76" s="531" t="n"/>
      <c r="N76" s="531" t="n"/>
      <c r="O76" s="416" t="n"/>
      <c r="P76" s="416" t="n"/>
      <c r="Q76" s="416" t="n"/>
      <c r="R76" s="416" t="n"/>
      <c r="S76" s="416" t="n"/>
      <c r="T76" s="416" t="n"/>
      <c r="U76" s="416" t="n"/>
      <c r="V76" s="416" t="n"/>
      <c r="W76" s="416" t="n"/>
      <c r="X76" s="416" t="n"/>
      <c r="Y76" s="416" t="n"/>
      <c r="Z76" s="416" t="n"/>
      <c r="AA76" s="416" t="n"/>
      <c r="AB76" s="416" t="n"/>
      <c r="AC76" s="416" t="n"/>
      <c r="AD76" s="416" t="n"/>
      <c r="AE76" s="416" t="n"/>
      <c r="AF76" s="416" t="n"/>
      <c r="AG76" s="416" t="n"/>
      <c r="AH76" s="416" t="n"/>
      <c r="AI76" s="416" t="n"/>
      <c r="AJ76" s="416" t="n"/>
      <c r="AK76" s="416" t="n"/>
      <c r="AL76" s="416" t="n"/>
      <c r="AM76" s="416" t="n"/>
    </row>
    <row r="77">
      <c r="B77" s="371" t="inlineStr">
        <is>
          <t>折扣率(%)</t>
        </is>
      </c>
      <c r="C77" s="746" t="n">
        <v>0</v>
      </c>
      <c r="D77" s="1445" t="inlineStr">
        <is>
          <t>競標型</t>
        </is>
      </c>
      <c r="E77" s="529" t="n"/>
      <c r="F77" s="529" t="n"/>
      <c r="G77" s="530" t="n"/>
      <c r="H77" s="531" t="n"/>
      <c r="I77" s="611" t="n">
        <v>100</v>
      </c>
      <c r="J77" s="531" t="n">
        <v>0</v>
      </c>
      <c r="K77" s="531" t="n"/>
      <c r="L77" s="531" t="n"/>
      <c r="M77" s="531" t="n"/>
      <c r="N77" s="531" t="n"/>
      <c r="O77" s="416" t="n"/>
      <c r="P77" s="416" t="n"/>
      <c r="Q77" s="416" t="n"/>
      <c r="R77" s="416" t="n"/>
      <c r="S77" s="416" t="n"/>
      <c r="T77" s="416" t="n"/>
      <c r="U77" s="416" t="n"/>
      <c r="V77" s="416" t="n"/>
      <c r="W77" s="416" t="n"/>
      <c r="X77" s="416" t="n"/>
      <c r="Y77" s="416" t="n"/>
      <c r="Z77" s="416" t="n"/>
      <c r="AA77" s="416" t="n"/>
      <c r="AB77" s="416" t="n"/>
      <c r="AC77" s="416" t="n"/>
      <c r="AD77" s="416" t="n"/>
      <c r="AE77" s="416" t="n"/>
      <c r="AF77" s="416" t="n"/>
      <c r="AG77" s="416" t="n"/>
      <c r="AH77" s="416" t="n"/>
      <c r="AI77" s="416" t="n"/>
      <c r="AJ77" s="416" t="n"/>
      <c r="AK77" s="416" t="n"/>
      <c r="AL77" s="416" t="n"/>
      <c r="AM77" s="416" t="n"/>
    </row>
    <row r="78">
      <c r="B78" s="371" t="inlineStr">
        <is>
          <t>高效加成%</t>
        </is>
      </c>
      <c r="C78" s="746" t="n"/>
      <c r="D78" s="533" t="n"/>
      <c r="E78" s="529" t="n"/>
      <c r="F78" s="529" t="n"/>
      <c r="G78" s="530" t="n"/>
      <c r="H78" s="531" t="n"/>
      <c r="I78" s="416" t="n"/>
      <c r="J78" s="416" t="n"/>
      <c r="K78" s="531" t="n"/>
      <c r="L78" s="531" t="n"/>
      <c r="M78" s="531" t="n"/>
      <c r="N78" s="531" t="n"/>
      <c r="O78" s="416" t="n"/>
      <c r="P78" s="416" t="n"/>
      <c r="Q78" s="416" t="n"/>
      <c r="R78" s="416" t="n"/>
      <c r="S78" s="416" t="n"/>
      <c r="T78" s="416" t="n"/>
      <c r="U78" s="416" t="n"/>
      <c r="V78" s="416" t="n"/>
      <c r="W78" s="416" t="n"/>
      <c r="X78" s="416" t="n"/>
      <c r="Y78" s="416" t="n"/>
      <c r="Z78" s="416" t="n"/>
      <c r="AA78" s="416" t="n"/>
      <c r="AB78" s="416" t="n"/>
      <c r="AC78" s="416" t="n"/>
      <c r="AD78" s="416" t="n"/>
      <c r="AE78" s="416" t="n"/>
      <c r="AF78" s="416" t="n"/>
      <c r="AG78" s="416" t="n"/>
      <c r="AH78" s="416" t="n"/>
      <c r="AI78" s="416" t="n"/>
      <c r="AJ78" s="416" t="n"/>
      <c r="AK78" s="416" t="n"/>
      <c r="AL78" s="416" t="n"/>
      <c r="AM78" s="416" t="n"/>
    </row>
    <row r="79">
      <c r="B79" s="748" t="inlineStr">
        <is>
          <t>最終躉售費率</t>
        </is>
      </c>
      <c r="C79" s="1996" t="n"/>
      <c r="D79" s="533" t="n"/>
      <c r="E79" s="529" t="n"/>
      <c r="F79" s="529" t="n"/>
      <c r="G79" s="530" t="n"/>
      <c r="H79" s="531" t="n"/>
      <c r="I79" s="547" t="n"/>
      <c r="J79" s="531" t="n"/>
      <c r="K79" s="531" t="n"/>
      <c r="L79" s="531" t="n"/>
      <c r="M79" s="531" t="n"/>
      <c r="N79" s="531" t="n"/>
      <c r="O79" s="416" t="n"/>
      <c r="P79" s="416" t="n"/>
      <c r="Q79" s="416" t="n"/>
      <c r="R79" s="416" t="n"/>
      <c r="S79" s="416" t="n"/>
      <c r="T79" s="416" t="n"/>
      <c r="U79" s="416" t="n"/>
      <c r="V79" s="416" t="n"/>
      <c r="W79" s="416" t="n"/>
      <c r="X79" s="416" t="n"/>
      <c r="Y79" s="416" t="n"/>
      <c r="Z79" s="416" t="n"/>
      <c r="AA79" s="416" t="n"/>
      <c r="AB79" s="416" t="n"/>
      <c r="AC79" s="416" t="n"/>
      <c r="AD79" s="416" t="n"/>
      <c r="AE79" s="416" t="n"/>
      <c r="AF79" s="416" t="n"/>
      <c r="AG79" s="416" t="n"/>
      <c r="AH79" s="416" t="n"/>
      <c r="AI79" s="416" t="n"/>
      <c r="AJ79" s="416" t="n"/>
      <c r="AK79" s="416" t="n"/>
      <c r="AL79" s="416" t="n"/>
      <c r="AM79" s="416" t="n"/>
    </row>
    <row r="80">
      <c r="B80" s="548" t="inlineStr">
        <is>
          <t>Internal Rate of Return; IRR (%)</t>
        </is>
      </c>
      <c r="C80" s="750">
        <f>IRR(C49:X49)</f>
        <v/>
      </c>
      <c r="D80" s="549" t="n"/>
      <c r="E80" s="529" t="n"/>
      <c r="F80" s="529" t="n"/>
      <c r="G80" s="550" t="n"/>
      <c r="H80" s="475" t="n"/>
      <c r="I80" s="551" t="n"/>
      <c r="J80" s="531" t="n"/>
      <c r="K80" s="531" t="n"/>
      <c r="L80" s="531" t="n"/>
      <c r="M80" s="531" t="n"/>
      <c r="N80" s="531" t="n"/>
      <c r="O80" s="416" t="n"/>
      <c r="P80" s="416" t="n"/>
      <c r="Q80" s="416" t="n"/>
      <c r="R80" s="416" t="n"/>
      <c r="S80" s="416" t="n"/>
      <c r="T80" s="416" t="n"/>
      <c r="U80" s="416" t="n"/>
      <c r="V80" s="416" t="n"/>
      <c r="W80" s="416" t="n"/>
      <c r="X80" s="416" t="n"/>
      <c r="Y80" s="416" t="n"/>
      <c r="Z80" s="416" t="n"/>
      <c r="AA80" s="416" t="n"/>
      <c r="AB80" s="416" t="n"/>
      <c r="AC80" s="416" t="n"/>
      <c r="AD80" s="416" t="n"/>
      <c r="AE80" s="416" t="n"/>
      <c r="AF80" s="416" t="n"/>
      <c r="AG80" s="416" t="n"/>
      <c r="AH80" s="416" t="n"/>
      <c r="AI80" s="416" t="n"/>
      <c r="AJ80" s="416" t="n"/>
      <c r="AK80" s="416" t="n"/>
      <c r="AL80" s="416" t="n"/>
      <c r="AM80" s="416" t="n"/>
    </row>
    <row r="81">
      <c r="B81" s="552" t="n"/>
      <c r="C81" s="553" t="n"/>
      <c r="D81" s="553" t="n"/>
      <c r="E81" s="553" t="n"/>
      <c r="F81" s="554" t="n"/>
      <c r="G81" s="531" t="n"/>
      <c r="H81" s="531" t="n"/>
      <c r="I81" s="555" t="n"/>
      <c r="J81" s="475" t="n"/>
      <c r="K81" s="551" t="n"/>
      <c r="L81" s="531" t="n"/>
      <c r="M81" s="531" t="n"/>
      <c r="N81" s="531" t="n"/>
      <c r="O81" s="531" t="n"/>
      <c r="P81" s="531" t="n"/>
      <c r="Q81" s="416" t="n"/>
      <c r="R81" s="416" t="n"/>
      <c r="S81" s="416" t="n"/>
      <c r="T81" s="416" t="n"/>
      <c r="U81" s="416" t="n"/>
      <c r="V81" s="416" t="n"/>
      <c r="W81" s="416" t="n"/>
      <c r="X81" s="416" t="n"/>
      <c r="Y81" s="416" t="n"/>
      <c r="Z81" s="416" t="n"/>
      <c r="AA81" s="416" t="n"/>
    </row>
    <row r="82">
      <c r="B82" s="552" t="n"/>
      <c r="C82" s="553" t="n"/>
      <c r="D82" s="553" t="n"/>
      <c r="E82" s="553" t="n"/>
      <c r="F82" s="554" t="n"/>
      <c r="G82" s="531" t="n"/>
      <c r="H82" s="531" t="n"/>
      <c r="I82" s="555" t="n"/>
      <c r="J82" s="475" t="n"/>
      <c r="K82" s="551" t="n"/>
      <c r="L82" s="531" t="n"/>
      <c r="M82" s="531" t="n"/>
      <c r="N82" s="531" t="n"/>
      <c r="O82" s="531" t="n"/>
      <c r="P82" s="531" t="n"/>
      <c r="Q82" s="416" t="n"/>
      <c r="R82" s="416" t="n"/>
      <c r="S82" s="416" t="n"/>
      <c r="T82" s="416" t="n"/>
      <c r="U82" s="416" t="n"/>
      <c r="V82" s="416" t="n"/>
      <c r="W82" s="416" t="n"/>
      <c r="X82" s="416" t="n"/>
      <c r="Y82" s="416" t="n"/>
      <c r="Z82" s="416" t="n"/>
      <c r="AA82" s="416" t="n"/>
    </row>
    <row r="83">
      <c r="B83" s="552" t="n"/>
      <c r="C83" s="553" t="n"/>
      <c r="D83" s="553" t="n"/>
      <c r="E83" s="553" t="n"/>
      <c r="F83" s="554" t="n"/>
      <c r="G83" s="531" t="n"/>
      <c r="H83" s="531" t="n"/>
      <c r="I83" s="555" t="n"/>
      <c r="J83" s="475" t="n"/>
      <c r="K83" s="551" t="n"/>
      <c r="L83" s="531" t="n"/>
      <c r="M83" s="531" t="n"/>
      <c r="N83" s="531" t="n"/>
      <c r="O83" s="531" t="n"/>
      <c r="P83" s="531" t="n"/>
      <c r="Q83" s="416" t="n"/>
      <c r="R83" s="416" t="n"/>
      <c r="S83" s="416" t="n"/>
      <c r="T83" s="416" t="n"/>
      <c r="U83" s="416" t="n"/>
      <c r="V83" s="416" t="n"/>
      <c r="W83" s="416" t="n"/>
      <c r="X83" s="416" t="n"/>
      <c r="Y83" s="416" t="n"/>
      <c r="Z83" s="416" t="n"/>
      <c r="AA83" s="416" t="n"/>
    </row>
    <row r="84" ht="17.25" customFormat="1" customHeight="1" s="4" thickBot="1">
      <c r="B84" s="0" t="n"/>
      <c r="C84" s="470" t="inlineStr">
        <is>
          <t>年份</t>
        </is>
      </c>
      <c r="D84" s="470" t="n">
        <v>2020</v>
      </c>
      <c r="E84" s="470" t="n">
        <v>2021</v>
      </c>
      <c r="F84" s="470" t="n">
        <v>2022</v>
      </c>
      <c r="G84" s="470" t="n">
        <v>2023</v>
      </c>
      <c r="H84" s="470" t="n">
        <v>2024</v>
      </c>
      <c r="I84" s="470" t="n">
        <v>2025</v>
      </c>
      <c r="J84" s="470" t="n">
        <v>2026</v>
      </c>
      <c r="K84" s="470" t="n">
        <v>2027</v>
      </c>
      <c r="L84" s="470" t="n">
        <v>2028</v>
      </c>
      <c r="M84" s="470" t="n">
        <v>2029</v>
      </c>
      <c r="N84" s="470" t="n">
        <v>2030</v>
      </c>
      <c r="O84" s="470" t="n">
        <v>2031</v>
      </c>
      <c r="P84" s="470" t="n">
        <v>2032</v>
      </c>
      <c r="Q84" s="470" t="n">
        <v>2033</v>
      </c>
      <c r="R84" s="470" t="n">
        <v>2034</v>
      </c>
      <c r="S84" s="470" t="n">
        <v>2035</v>
      </c>
      <c r="T84" s="470" t="n">
        <v>2036</v>
      </c>
      <c r="U84" s="470" t="n">
        <v>2037</v>
      </c>
      <c r="V84" s="470" t="n">
        <v>2038</v>
      </c>
      <c r="W84" s="470" t="n">
        <v>2039</v>
      </c>
      <c r="X84" s="470" t="n"/>
      <c r="Y84" s="470" t="n"/>
      <c r="Z84" s="9" t="n"/>
      <c r="AA84" s="458" t="n"/>
    </row>
    <row r="85" ht="18.75" customFormat="1" customHeight="1" s="4">
      <c r="B85" s="1997">
        <f>C120</f>
        <v/>
      </c>
      <c r="C85" s="654" t="n"/>
      <c r="D85" s="655" t="n"/>
      <c r="E85" s="655" t="n"/>
      <c r="F85" s="656" t="inlineStr">
        <is>
          <t>手動計算值</t>
        </is>
      </c>
      <c r="G85" s="657" t="n"/>
      <c r="H85" s="657" t="n"/>
      <c r="I85" s="657" t="n"/>
      <c r="J85" s="657" t="n"/>
      <c r="K85" s="657" t="n"/>
      <c r="L85" s="657" t="n"/>
      <c r="M85" s="657" t="n"/>
      <c r="N85" s="657" t="n"/>
      <c r="O85" s="657" t="n"/>
      <c r="P85" s="657" t="n"/>
      <c r="Q85" s="657" t="n"/>
      <c r="R85" s="657" t="n"/>
      <c r="S85" s="657" t="n"/>
      <c r="T85" s="658" t="inlineStr">
        <is>
          <t>償還年限</t>
        </is>
      </c>
      <c r="U85" s="657" t="n"/>
      <c r="V85" s="657" t="n"/>
      <c r="W85" s="657" t="n"/>
      <c r="X85" s="657" t="n"/>
      <c r="Y85" s="659" t="n"/>
      <c r="Z85" s="458" t="n"/>
      <c r="AA85" s="458" t="n"/>
    </row>
    <row r="86" customFormat="1" s="4">
      <c r="B86" s="660" t="inlineStr">
        <is>
          <t>(Unit : Currency)</t>
        </is>
      </c>
      <c r="C86" s="661" t="n">
        <v>0</v>
      </c>
      <c r="D86" s="34" t="n">
        <v>1</v>
      </c>
      <c r="E86" s="34" t="n">
        <v>2</v>
      </c>
      <c r="F86" s="34" t="n">
        <v>3</v>
      </c>
      <c r="G86" s="34" t="n">
        <v>4</v>
      </c>
      <c r="H86" s="34" t="n">
        <v>5</v>
      </c>
      <c r="I86" s="34" t="n">
        <v>6</v>
      </c>
      <c r="J86" s="34" t="n">
        <v>7</v>
      </c>
      <c r="K86" s="34" t="n">
        <v>8</v>
      </c>
      <c r="L86" s="34" t="n">
        <v>9</v>
      </c>
      <c r="M86" s="34" t="n">
        <v>10</v>
      </c>
      <c r="N86" s="34" t="n">
        <v>11</v>
      </c>
      <c r="O86" s="34" t="n">
        <v>12</v>
      </c>
      <c r="P86" s="34" t="n">
        <v>13</v>
      </c>
      <c r="Q86" s="34" t="n">
        <v>14</v>
      </c>
      <c r="R86" s="34" t="n">
        <v>15</v>
      </c>
      <c r="S86" s="34" t="n">
        <v>16</v>
      </c>
      <c r="T86" s="662" t="n">
        <v>17</v>
      </c>
      <c r="U86" s="34" t="n">
        <v>18</v>
      </c>
      <c r="V86" s="34" t="n">
        <v>19</v>
      </c>
      <c r="W86" s="34" t="n">
        <v>20</v>
      </c>
      <c r="X86" s="34" t="n"/>
      <c r="Y86" s="663" t="n"/>
      <c r="Z86" s="34" t="n"/>
      <c r="AA86" s="458" t="n"/>
    </row>
    <row r="87" ht="17.25" customFormat="1" customHeight="1" s="4" thickBot="1">
      <c r="B87" s="1998" t="inlineStr">
        <is>
          <t>發電度數(KWH)</t>
        </is>
      </c>
      <c r="C87" s="661" t="n">
        <v>0</v>
      </c>
      <c r="D87" s="1999">
        <f>D33</f>
        <v/>
      </c>
      <c r="E87" s="1999">
        <f>E33</f>
        <v/>
      </c>
      <c r="F87" s="1999">
        <f>F33</f>
        <v/>
      </c>
      <c r="G87" s="1999">
        <f>G33</f>
        <v/>
      </c>
      <c r="H87" s="1999">
        <f>H33</f>
        <v/>
      </c>
      <c r="I87" s="1999">
        <f>I33</f>
        <v/>
      </c>
      <c r="J87" s="1999">
        <f>J33</f>
        <v/>
      </c>
      <c r="K87" s="1999">
        <f>K33</f>
        <v/>
      </c>
      <c r="L87" s="1999">
        <f>L33</f>
        <v/>
      </c>
      <c r="M87" s="1999">
        <f>M33</f>
        <v/>
      </c>
      <c r="N87" s="1999">
        <f>N33</f>
        <v/>
      </c>
      <c r="O87" s="1999">
        <f>O33</f>
        <v/>
      </c>
      <c r="P87" s="1999">
        <f>P33</f>
        <v/>
      </c>
      <c r="Q87" s="1999">
        <f>Q33</f>
        <v/>
      </c>
      <c r="R87" s="1999">
        <f>R33</f>
        <v/>
      </c>
      <c r="S87" s="1999">
        <f>S33</f>
        <v/>
      </c>
      <c r="T87" s="1999">
        <f>T33</f>
        <v/>
      </c>
      <c r="U87" s="1999">
        <f>U33</f>
        <v/>
      </c>
      <c r="V87" s="1999">
        <f>V33</f>
        <v/>
      </c>
      <c r="W87" s="1999">
        <f>W33</f>
        <v/>
      </c>
      <c r="X87" s="1999">
        <f>X33</f>
        <v/>
      </c>
      <c r="Y87" s="2000" t="n"/>
      <c r="Z87" s="2001">
        <f>SUM(D87:Y87)</f>
        <v/>
      </c>
      <c r="AA87" s="458" t="n"/>
    </row>
    <row r="88" customFormat="1" s="4">
      <c r="B88" s="2002" t="inlineStr">
        <is>
          <t>電費收入</t>
        </is>
      </c>
      <c r="C88" s="2003" t="inlineStr">
        <is>
          <t>-</t>
        </is>
      </c>
      <c r="D88" s="2004">
        <f>D10</f>
        <v/>
      </c>
      <c r="E88" s="2004">
        <f>E10</f>
        <v/>
      </c>
      <c r="F88" s="2004">
        <f>F10</f>
        <v/>
      </c>
      <c r="G88" s="2004">
        <f>G10</f>
        <v/>
      </c>
      <c r="H88" s="2004">
        <f>H10</f>
        <v/>
      </c>
      <c r="I88" s="2004">
        <f>I10</f>
        <v/>
      </c>
      <c r="J88" s="2004">
        <f>J10</f>
        <v/>
      </c>
      <c r="K88" s="2004">
        <f>K10</f>
        <v/>
      </c>
      <c r="L88" s="2004">
        <f>L10</f>
        <v/>
      </c>
      <c r="M88" s="2004">
        <f>M10</f>
        <v/>
      </c>
      <c r="N88" s="2004">
        <f>N10</f>
        <v/>
      </c>
      <c r="O88" s="2004">
        <f>O10</f>
        <v/>
      </c>
      <c r="P88" s="2004">
        <f>P10</f>
        <v/>
      </c>
      <c r="Q88" s="2004">
        <f>Q10</f>
        <v/>
      </c>
      <c r="R88" s="2004">
        <f>R10</f>
        <v/>
      </c>
      <c r="S88" s="2004">
        <f>S10</f>
        <v/>
      </c>
      <c r="T88" s="2004">
        <f>T10</f>
        <v/>
      </c>
      <c r="U88" s="2004">
        <f>U10</f>
        <v/>
      </c>
      <c r="V88" s="2004">
        <f>V10</f>
        <v/>
      </c>
      <c r="W88" s="2004">
        <f>W10</f>
        <v/>
      </c>
      <c r="X88" s="2004">
        <f>X10</f>
        <v/>
      </c>
      <c r="Y88" s="2005" t="n"/>
      <c r="Z88" s="2006">
        <f>SUM(D88:Y88)</f>
        <v/>
      </c>
      <c r="AA88" s="458" t="n"/>
    </row>
    <row r="89" ht="17.25" customFormat="1" customHeight="1" s="4" thickBot="1">
      <c r="B89" s="2007" t="inlineStr">
        <is>
          <t>政府補助</t>
        </is>
      </c>
      <c r="C89" s="2008" t="inlineStr">
        <is>
          <t>-</t>
        </is>
      </c>
      <c r="D89" s="1999" t="n"/>
      <c r="E89" s="1999" t="n"/>
      <c r="F89" s="1999" t="n"/>
      <c r="G89" s="1999" t="n"/>
      <c r="H89" s="1999" t="n"/>
      <c r="I89" s="1999" t="n"/>
      <c r="J89" s="1999" t="n"/>
      <c r="K89" s="1999" t="n"/>
      <c r="L89" s="1999" t="n"/>
      <c r="M89" s="1999" t="n"/>
      <c r="N89" s="1999" t="n"/>
      <c r="O89" s="1999" t="n"/>
      <c r="P89" s="1999" t="n"/>
      <c r="Q89" s="1999" t="n"/>
      <c r="R89" s="1999" t="n"/>
      <c r="S89" s="1999" t="n"/>
      <c r="T89" s="1999" t="n"/>
      <c r="U89" s="1999" t="n"/>
      <c r="V89" s="1999" t="n"/>
      <c r="W89" s="1999" t="n"/>
      <c r="X89" s="1999" t="n"/>
      <c r="Y89" s="2009" t="n"/>
      <c r="Z89" s="2006">
        <f>SUM(D89:Y89)</f>
        <v/>
      </c>
      <c r="AA89" s="458" t="n"/>
    </row>
    <row r="90" customFormat="1" s="4">
      <c r="B90" s="2010" t="inlineStr">
        <is>
          <t xml:space="preserve"> : 設備折舊</t>
        </is>
      </c>
      <c r="C90" s="2003" t="inlineStr">
        <is>
          <t>-</t>
        </is>
      </c>
      <c r="D90" s="2004">
        <f>-D28</f>
        <v/>
      </c>
      <c r="E90" s="2004">
        <f>-E28</f>
        <v/>
      </c>
      <c r="F90" s="2004">
        <f>-F28</f>
        <v/>
      </c>
      <c r="G90" s="2004">
        <f>-G28</f>
        <v/>
      </c>
      <c r="H90" s="2004">
        <f>-H28</f>
        <v/>
      </c>
      <c r="I90" s="2004">
        <f>-I28</f>
        <v/>
      </c>
      <c r="J90" s="2004">
        <f>-J28</f>
        <v/>
      </c>
      <c r="K90" s="2004">
        <f>-K28</f>
        <v/>
      </c>
      <c r="L90" s="2004">
        <f>-L28</f>
        <v/>
      </c>
      <c r="M90" s="2004">
        <f>-M28</f>
        <v/>
      </c>
      <c r="N90" s="2004">
        <f>-N28</f>
        <v/>
      </c>
      <c r="O90" s="2004">
        <f>-O28</f>
        <v/>
      </c>
      <c r="P90" s="2004">
        <f>-P28</f>
        <v/>
      </c>
      <c r="Q90" s="2004">
        <f>-Q28</f>
        <v/>
      </c>
      <c r="R90" s="2004">
        <f>-R28</f>
        <v/>
      </c>
      <c r="S90" s="2004">
        <f>-S28</f>
        <v/>
      </c>
      <c r="T90" s="2004">
        <f>-T28</f>
        <v/>
      </c>
      <c r="U90" s="2004">
        <f>-U28</f>
        <v/>
      </c>
      <c r="V90" s="2004">
        <f>-V28</f>
        <v/>
      </c>
      <c r="W90" s="2004">
        <f>-W28</f>
        <v/>
      </c>
      <c r="X90" s="2004">
        <f>-X28</f>
        <v/>
      </c>
      <c r="Y90" s="2011" t="n"/>
      <c r="Z90" s="2006">
        <f>SUM(D90:Y90)</f>
        <v/>
      </c>
      <c r="AA90" s="458" t="n"/>
    </row>
    <row r="91" customFormat="1" s="4">
      <c r="B91" s="2012" t="inlineStr">
        <is>
          <t xml:space="preserve"> : 設備放置區域租金</t>
        </is>
      </c>
      <c r="C91" s="2013" t="inlineStr">
        <is>
          <t>-</t>
        </is>
      </c>
      <c r="D91" s="2014">
        <f>D38</f>
        <v/>
      </c>
      <c r="E91" s="2014">
        <f>E38</f>
        <v/>
      </c>
      <c r="F91" s="2014">
        <f>F38</f>
        <v/>
      </c>
      <c r="G91" s="2014">
        <f>G38</f>
        <v/>
      </c>
      <c r="H91" s="2014">
        <f>H38</f>
        <v/>
      </c>
      <c r="I91" s="2014">
        <f>I38</f>
        <v/>
      </c>
      <c r="J91" s="2014">
        <f>J38</f>
        <v/>
      </c>
      <c r="K91" s="2014">
        <f>K38</f>
        <v/>
      </c>
      <c r="L91" s="2014">
        <f>L38</f>
        <v/>
      </c>
      <c r="M91" s="2014">
        <f>M38</f>
        <v/>
      </c>
      <c r="N91" s="2014">
        <f>N38</f>
        <v/>
      </c>
      <c r="O91" s="2014">
        <f>O38</f>
        <v/>
      </c>
      <c r="P91" s="2014">
        <f>P38</f>
        <v/>
      </c>
      <c r="Q91" s="2014">
        <f>Q38</f>
        <v/>
      </c>
      <c r="R91" s="2014">
        <f>R38</f>
        <v/>
      </c>
      <c r="S91" s="2014">
        <f>S38</f>
        <v/>
      </c>
      <c r="T91" s="2014">
        <f>T38</f>
        <v/>
      </c>
      <c r="U91" s="2014">
        <f>U38</f>
        <v/>
      </c>
      <c r="V91" s="2014">
        <f>V38</f>
        <v/>
      </c>
      <c r="W91" s="2014">
        <f>W38</f>
        <v/>
      </c>
      <c r="X91" s="2014">
        <f>X38</f>
        <v/>
      </c>
      <c r="Y91" s="2015" t="n"/>
      <c r="Z91" s="2006">
        <f>SUM(D91:Y91)</f>
        <v/>
      </c>
      <c r="AA91" s="458" t="n"/>
    </row>
    <row r="92" customFormat="1" s="4">
      <c r="B92" s="2012" t="n"/>
      <c r="C92" s="661" t="inlineStr">
        <is>
          <t>-</t>
        </is>
      </c>
      <c r="D92" s="34" t="n"/>
      <c r="E92" s="34" t="n"/>
      <c r="F92" s="2014" t="inlineStr">
        <is>
          <t>-</t>
        </is>
      </c>
      <c r="G92" s="2014" t="inlineStr">
        <is>
          <t>-</t>
        </is>
      </c>
      <c r="H92" s="2014" t="inlineStr">
        <is>
          <t>-</t>
        </is>
      </c>
      <c r="I92" s="2014" t="inlineStr">
        <is>
          <t>-</t>
        </is>
      </c>
      <c r="J92" s="2014" t="inlineStr">
        <is>
          <t>-</t>
        </is>
      </c>
      <c r="K92" s="2014" t="inlineStr">
        <is>
          <t>-</t>
        </is>
      </c>
      <c r="L92" s="2014" t="inlineStr">
        <is>
          <t>-</t>
        </is>
      </c>
      <c r="M92" s="2014" t="inlineStr">
        <is>
          <t>-</t>
        </is>
      </c>
      <c r="N92" s="2014" t="inlineStr">
        <is>
          <t>-</t>
        </is>
      </c>
      <c r="O92" s="2014" t="inlineStr">
        <is>
          <t>-</t>
        </is>
      </c>
      <c r="P92" s="2014" t="inlineStr">
        <is>
          <t>-</t>
        </is>
      </c>
      <c r="Q92" s="2014" t="inlineStr">
        <is>
          <t>-</t>
        </is>
      </c>
      <c r="R92" s="2014" t="inlineStr">
        <is>
          <t>-</t>
        </is>
      </c>
      <c r="S92" s="2014" t="inlineStr">
        <is>
          <t>-</t>
        </is>
      </c>
      <c r="T92" s="2014" t="inlineStr">
        <is>
          <t>-</t>
        </is>
      </c>
      <c r="U92" s="2014" t="inlineStr">
        <is>
          <t>-</t>
        </is>
      </c>
      <c r="V92" s="2014" t="inlineStr">
        <is>
          <t>-</t>
        </is>
      </c>
      <c r="W92" s="2014" t="inlineStr">
        <is>
          <t>-</t>
        </is>
      </c>
      <c r="X92" s="2014" t="n"/>
      <c r="Y92" s="2015" t="n"/>
      <c r="Z92" s="2006">
        <f>SUM(D92:Y92)</f>
        <v/>
      </c>
      <c r="AA92" s="458" t="n"/>
    </row>
    <row r="93" customFormat="1" s="4">
      <c r="B93" s="2012" t="inlineStr">
        <is>
          <t xml:space="preserve"> : 利息費用</t>
        </is>
      </c>
      <c r="C93" s="2013" t="inlineStr">
        <is>
          <t>-</t>
        </is>
      </c>
      <c r="D93" s="2014">
        <f>-D174*$C$126</f>
        <v/>
      </c>
      <c r="E93" s="2014">
        <f>-E174*$C$126</f>
        <v/>
      </c>
      <c r="F93" s="2014">
        <f>-F174*$C$126</f>
        <v/>
      </c>
      <c r="G93" s="2014">
        <f>-G174*$C$126</f>
        <v/>
      </c>
      <c r="H93" s="2014">
        <f>-H174*$C$126</f>
        <v/>
      </c>
      <c r="I93" s="2014">
        <f>-I174*$C$126</f>
        <v/>
      </c>
      <c r="J93" s="2014">
        <f>-J174*$C$126</f>
        <v/>
      </c>
      <c r="K93" s="2014">
        <f>-K174*$C$126</f>
        <v/>
      </c>
      <c r="L93" s="2014">
        <f>-L174*$C$126</f>
        <v/>
      </c>
      <c r="M93" s="2014">
        <f>-M174*$C$126</f>
        <v/>
      </c>
      <c r="N93" s="2014">
        <f>-N174*$C$126</f>
        <v/>
      </c>
      <c r="O93" s="2014">
        <f>-O174*$C$126</f>
        <v/>
      </c>
      <c r="P93" s="2014">
        <f>-P174*$C$126</f>
        <v/>
      </c>
      <c r="Q93" s="2014">
        <f>-Q174*$C$126</f>
        <v/>
      </c>
      <c r="R93" s="2014">
        <f>-R174*$C$126</f>
        <v/>
      </c>
      <c r="S93" s="2014">
        <f>-S174*$C$126</f>
        <v/>
      </c>
      <c r="T93" s="2014">
        <f>-T174*$C$126</f>
        <v/>
      </c>
      <c r="U93" s="2014">
        <f>-U174*$C$126</f>
        <v/>
      </c>
      <c r="V93" s="2014">
        <f>-V174*$C$126</f>
        <v/>
      </c>
      <c r="W93" s="2014">
        <f>-W174*$C$126</f>
        <v/>
      </c>
      <c r="X93" s="2014">
        <f>-X174*$C$126</f>
        <v/>
      </c>
      <c r="Y93" s="2015" t="n"/>
      <c r="Z93" s="2006">
        <f>SUM(D93:Y93)</f>
        <v/>
      </c>
      <c r="AA93" s="458" t="n"/>
    </row>
    <row r="94" customFormat="1" s="4">
      <c r="B94" s="2012" t="inlineStr">
        <is>
          <t xml:space="preserve"> : 維運費</t>
        </is>
      </c>
      <c r="C94" s="2013" t="inlineStr">
        <is>
          <t>-</t>
        </is>
      </c>
      <c r="D94" s="2014">
        <f>D41</f>
        <v/>
      </c>
      <c r="E94" s="2014">
        <f>E41</f>
        <v/>
      </c>
      <c r="F94" s="2014">
        <f>F41</f>
        <v/>
      </c>
      <c r="G94" s="2014">
        <f>G41</f>
        <v/>
      </c>
      <c r="H94" s="2014">
        <f>H41</f>
        <v/>
      </c>
      <c r="I94" s="2014">
        <f>I41</f>
        <v/>
      </c>
      <c r="J94" s="2014">
        <f>J41</f>
        <v/>
      </c>
      <c r="K94" s="2014">
        <f>K41</f>
        <v/>
      </c>
      <c r="L94" s="2014">
        <f>L41</f>
        <v/>
      </c>
      <c r="M94" s="2014">
        <f>M41</f>
        <v/>
      </c>
      <c r="N94" s="2014">
        <f>N41</f>
        <v/>
      </c>
      <c r="O94" s="2014">
        <f>O41</f>
        <v/>
      </c>
      <c r="P94" s="2014">
        <f>P41</f>
        <v/>
      </c>
      <c r="Q94" s="2014">
        <f>Q41</f>
        <v/>
      </c>
      <c r="R94" s="2014">
        <f>R41</f>
        <v/>
      </c>
      <c r="S94" s="2014">
        <f>S41</f>
        <v/>
      </c>
      <c r="T94" s="2014">
        <f>T41</f>
        <v/>
      </c>
      <c r="U94" s="2014">
        <f>U41</f>
        <v/>
      </c>
      <c r="V94" s="2014">
        <f>V41</f>
        <v/>
      </c>
      <c r="W94" s="2014">
        <f>W41</f>
        <v/>
      </c>
      <c r="X94" s="2014">
        <f>X41</f>
        <v/>
      </c>
      <c r="Y94" s="2015" t="n"/>
      <c r="Z94" s="2006">
        <f>SUM(D94:Y94)</f>
        <v/>
      </c>
      <c r="AA94" s="9" t="n"/>
    </row>
    <row r="95" customFormat="1" s="4">
      <c r="B95" s="2012" t="inlineStr">
        <is>
          <t xml:space="preserve"> : 保險費</t>
        </is>
      </c>
      <c r="C95" s="2013" t="inlineStr">
        <is>
          <t>-</t>
        </is>
      </c>
      <c r="D95" s="2014">
        <f>D42</f>
        <v/>
      </c>
      <c r="E95" s="2014">
        <f>E42</f>
        <v/>
      </c>
      <c r="F95" s="2014">
        <f>F42</f>
        <v/>
      </c>
      <c r="G95" s="2014">
        <f>G42</f>
        <v/>
      </c>
      <c r="H95" s="2014">
        <f>H42</f>
        <v/>
      </c>
      <c r="I95" s="2014">
        <f>I42</f>
        <v/>
      </c>
      <c r="J95" s="2014">
        <f>J42</f>
        <v/>
      </c>
      <c r="K95" s="2014">
        <f>K42</f>
        <v/>
      </c>
      <c r="L95" s="2014">
        <f>L42</f>
        <v/>
      </c>
      <c r="M95" s="2014">
        <f>M42</f>
        <v/>
      </c>
      <c r="N95" s="2014">
        <f>N42</f>
        <v/>
      </c>
      <c r="O95" s="2014">
        <f>O42</f>
        <v/>
      </c>
      <c r="P95" s="2014">
        <f>P42</f>
        <v/>
      </c>
      <c r="Q95" s="2014">
        <f>Q42</f>
        <v/>
      </c>
      <c r="R95" s="2014">
        <f>R42</f>
        <v/>
      </c>
      <c r="S95" s="2014">
        <f>S42</f>
        <v/>
      </c>
      <c r="T95" s="2014">
        <f>T42</f>
        <v/>
      </c>
      <c r="U95" s="2014">
        <f>U42</f>
        <v/>
      </c>
      <c r="V95" s="2014">
        <f>V42</f>
        <v/>
      </c>
      <c r="W95" s="2014">
        <f>W42</f>
        <v/>
      </c>
      <c r="X95" s="2014">
        <f>X42</f>
        <v/>
      </c>
      <c r="Y95" s="2015" t="n"/>
      <c r="Z95" s="2006">
        <f>SUM(D95:Y95)</f>
        <v/>
      </c>
      <c r="AA95" s="9" t="n"/>
    </row>
    <row r="96" customFormat="1" s="4">
      <c r="B96" s="2012" t="inlineStr">
        <is>
          <t>: 模組回收費</t>
        </is>
      </c>
      <c r="C96" s="2013" t="n"/>
      <c r="D96" s="2014">
        <f>D43</f>
        <v/>
      </c>
      <c r="E96" s="2014">
        <f>E43</f>
        <v/>
      </c>
      <c r="F96" s="2014">
        <f>F43</f>
        <v/>
      </c>
      <c r="G96" s="2014">
        <f>G43</f>
        <v/>
      </c>
      <c r="H96" s="2014">
        <f>H43</f>
        <v/>
      </c>
      <c r="I96" s="2014">
        <f>I43</f>
        <v/>
      </c>
      <c r="J96" s="2014">
        <f>J43</f>
        <v/>
      </c>
      <c r="K96" s="2014">
        <f>K43</f>
        <v/>
      </c>
      <c r="L96" s="2014">
        <f>L43</f>
        <v/>
      </c>
      <c r="M96" s="2014">
        <f>M43</f>
        <v/>
      </c>
      <c r="N96" s="2014">
        <f>N43</f>
        <v/>
      </c>
      <c r="O96" s="2014">
        <f>O43</f>
        <v/>
      </c>
      <c r="P96" s="2014">
        <f>P43</f>
        <v/>
      </c>
      <c r="Q96" s="2014">
        <f>Q43</f>
        <v/>
      </c>
      <c r="R96" s="2014">
        <f>R43</f>
        <v/>
      </c>
      <c r="S96" s="2014">
        <f>S43</f>
        <v/>
      </c>
      <c r="T96" s="2014">
        <f>T43</f>
        <v/>
      </c>
      <c r="U96" s="2014">
        <f>U43</f>
        <v/>
      </c>
      <c r="V96" s="2014">
        <f>V43</f>
        <v/>
      </c>
      <c r="W96" s="2014">
        <f>W43</f>
        <v/>
      </c>
      <c r="X96" s="2014">
        <f>X43</f>
        <v/>
      </c>
      <c r="Y96" s="2015" t="n"/>
      <c r="Z96" s="2006">
        <f>SUM(D96:Y96)</f>
        <v/>
      </c>
      <c r="AA96" s="9" t="n"/>
    </row>
    <row r="97" customFormat="1" s="4">
      <c r="B97" s="2012" t="inlineStr">
        <is>
          <t xml:space="preserve"> : 其它費用(人事薪資…等)</t>
        </is>
      </c>
      <c r="C97" s="2013" t="inlineStr">
        <is>
          <t>-</t>
        </is>
      </c>
      <c r="D97" s="2014" t="n"/>
      <c r="E97" s="2014" t="n"/>
      <c r="F97" s="2014">
        <f>-(F88*$D$131)</f>
        <v/>
      </c>
      <c r="G97" s="2014">
        <f>-(G88*$D$131)</f>
        <v/>
      </c>
      <c r="H97" s="2014">
        <f>-(H88*$D$131)</f>
        <v/>
      </c>
      <c r="I97" s="2014">
        <f>-(I88*$D$131)</f>
        <v/>
      </c>
      <c r="J97" s="2014">
        <f>-(J88*$D$131)</f>
        <v/>
      </c>
      <c r="K97" s="2014">
        <f>-(K88*$D$131)</f>
        <v/>
      </c>
      <c r="L97" s="2014">
        <f>-(L88*$D$131)</f>
        <v/>
      </c>
      <c r="M97" s="2014">
        <f>-(M88*$D$131)</f>
        <v/>
      </c>
      <c r="N97" s="2014">
        <f>-(N88*$D$131)</f>
        <v/>
      </c>
      <c r="O97" s="2014">
        <f>-(O88*$D$131)</f>
        <v/>
      </c>
      <c r="P97" s="2014">
        <f>-(P88*$D$131)</f>
        <v/>
      </c>
      <c r="Q97" s="2014">
        <f>-(Q88*$D$131)</f>
        <v/>
      </c>
      <c r="R97" s="2014">
        <f>-(R88*$D$131)</f>
        <v/>
      </c>
      <c r="S97" s="2014">
        <f>-(S88*$D$131)</f>
        <v/>
      </c>
      <c r="T97" s="2014">
        <f>-(T88*$D$131)</f>
        <v/>
      </c>
      <c r="U97" s="2014">
        <f>-(U88*$D$131)</f>
        <v/>
      </c>
      <c r="V97" s="2014">
        <f>-(V88*$D$131)</f>
        <v/>
      </c>
      <c r="W97" s="2014">
        <f>-(W88*$D$131)</f>
        <v/>
      </c>
      <c r="X97" s="2014" t="n"/>
      <c r="Y97" s="2015" t="n"/>
      <c r="Z97" s="2006">
        <f>SUM(D97:Y97)</f>
        <v/>
      </c>
      <c r="AA97" s="9" t="n"/>
    </row>
    <row r="98" customFormat="1" s="4">
      <c r="B98" s="2012" t="inlineStr">
        <is>
          <t>1%管理費</t>
        </is>
      </c>
      <c r="C98" s="676" t="n"/>
      <c r="D98" s="2014">
        <f>-D159*0.01</f>
        <v/>
      </c>
      <c r="E98" s="2014">
        <f>(D98/0.01-D161)*0.01</f>
        <v/>
      </c>
      <c r="F98" s="2014">
        <f>(E98/0.01-E161)*0.01</f>
        <v/>
      </c>
      <c r="G98" s="2014">
        <f>(F98/0.01-F161)*0.01</f>
        <v/>
      </c>
      <c r="H98" s="2014">
        <f>(G98/0.01-G161)*0.01</f>
        <v/>
      </c>
      <c r="I98" s="2014">
        <f>(H98/0.01-H161)*0.01</f>
        <v/>
      </c>
      <c r="J98" s="2014">
        <f>(I98/0.01-I161)*0.01</f>
        <v/>
      </c>
      <c r="K98" s="2014">
        <f>(J98/0.01-J161)*0.01</f>
        <v/>
      </c>
      <c r="L98" s="2014">
        <f>(K98/0.01-K161)*0.01</f>
        <v/>
      </c>
      <c r="M98" s="2014">
        <f>(L98/0.01-L161)*0.01</f>
        <v/>
      </c>
      <c r="N98" s="2014">
        <f>(M98/0.01-M161)*0.01</f>
        <v/>
      </c>
      <c r="O98" s="2014">
        <f>(N98/0.01-N161)*0.01</f>
        <v/>
      </c>
      <c r="P98" s="2014">
        <f>(O98/0.01-O161)*0.01</f>
        <v/>
      </c>
      <c r="Q98" s="2014">
        <f>(P98/0.01-P161)*0.01</f>
        <v/>
      </c>
      <c r="R98" s="2014">
        <f>(Q98/0.01-Q161)*0.01</f>
        <v/>
      </c>
      <c r="S98" s="2014">
        <f>(R98/0.01-R161)*0.01</f>
        <v/>
      </c>
      <c r="T98" s="2014">
        <f>(S98/0.01-S161)*0.01</f>
        <v/>
      </c>
      <c r="U98" s="2014">
        <f>(T98/0.01-T161)*0.01</f>
        <v/>
      </c>
      <c r="V98" s="2014">
        <f>(U98/0.01-U161)*0.01</f>
        <v/>
      </c>
      <c r="W98" s="2014">
        <f>(V98/0.01-V161)*0.01</f>
        <v/>
      </c>
      <c r="X98" s="2014" t="n"/>
      <c r="Y98" s="2015" t="n"/>
      <c r="Z98" s="2006">
        <f>SUM(D98:Y98)</f>
        <v/>
      </c>
      <c r="AA98" s="458" t="n"/>
    </row>
    <row r="99" ht="17.25" customFormat="1" customHeight="1" s="4" thickBot="1">
      <c r="B99" s="2016" t="inlineStr">
        <is>
          <t>績效獎金</t>
        </is>
      </c>
      <c r="C99" s="676" t="n"/>
      <c r="D99" s="678" t="n"/>
      <c r="E99" s="2014">
        <f>-IF((SUM(E88:E98)/(-D98/0.1))&gt;0.5,(SUM(E88:E98)*0.8+((D98/0.01-D161)*0.05))*0.2, 0)</f>
        <v/>
      </c>
      <c r="F99" s="2014">
        <f>-IF((SUM(F88:F98)/(-E98/0.1))&gt;0.5,(SUM(F88:F98)*0.8+((E98/0.01-E161)*0.05))*0.2, 0)</f>
        <v/>
      </c>
      <c r="G99" s="2014">
        <f>-IF((SUM(G88:G98)/(-F98/0.1))&gt;0.5,(SUM(G88:G98)*0.8+((F98/0.01-F161)*0.05))*0.2, 0)</f>
        <v/>
      </c>
      <c r="H99" s="2014">
        <f>-IF((SUM(H88:H98)/(-G98/0.1))&gt;0.5,(SUM(H88:H98)*0.8+((G98/0.01-G161)*0.05))*0.2, 0)</f>
        <v/>
      </c>
      <c r="I99" s="2014">
        <f>-IF((SUM(I88:I98)/(-H98/0.1))&gt;0.5,(SUM(I88:I98)*0.8+((H98/0.01-H161)*0.05))*0.2, 0)</f>
        <v/>
      </c>
      <c r="J99" s="2014">
        <f>-IF((SUM(J88:J98)/(-I98/0.1))&gt;0.5,(SUM(J88:J98)*0.8+((I98/0.01-I161)*0.05))*0.2, 0)</f>
        <v/>
      </c>
      <c r="K99" s="2014">
        <f>-IF((SUM(K88:K98)/(-J98/0.1))&gt;0.5,(SUM(K88:K98)*0.8+((J98/0.01-J161)*0.05))*0.2, 0)</f>
        <v/>
      </c>
      <c r="L99" s="2014">
        <f>-IF((SUM(L88:L98)/(-K98/0.1))&gt;0.5,(SUM(L88:L98)*0.8+((K98/0.01-K161)*0.05))*0.2, 0)</f>
        <v/>
      </c>
      <c r="M99" s="2014">
        <f>-IF((SUM(M88:M98)/(-L98/0.1))&gt;0.5,(SUM(M88:M98)*0.8+((L98/0.01-L161)*0.05))*0.2, 0)</f>
        <v/>
      </c>
      <c r="N99" s="2014">
        <f>-IF((SUM(N88:N98)/(-M98/0.1))&gt;0.5,(SUM(N88:N98)*0.8+((M98/0.01-M161)*0.05))*0.2, 0)</f>
        <v/>
      </c>
      <c r="O99" s="2014">
        <f>-IF((SUM(O88:O98)/(-N98/0.1))&gt;0.5,(SUM(O88:O98)*0.8+((N98/0.01-N161)*0.05))*0.2, 0)</f>
        <v/>
      </c>
      <c r="P99" s="2014">
        <f>-IF((SUM(P88:P98)/(-O98/0.1))&gt;0.5,(SUM(P88:P98)*0.8+((O98/0.01-O161)*0.05))*0.2, 0)</f>
        <v/>
      </c>
      <c r="Q99" s="2014">
        <f>-IF((SUM(Q88:Q98)/(-P98/0.1))&gt;0.5,(SUM(Q88:Q98)*0.8+((P98/0.01-P161)*0.05))*0.2, 0)</f>
        <v/>
      </c>
      <c r="R99" s="2014">
        <f>-IF((SUM(R88:R98)/(-Q98/0.1))&gt;0.5,(SUM(R88:R98)*0.8+((Q98/0.01-Q161)*0.05))*0.2, 0)</f>
        <v/>
      </c>
      <c r="S99" s="2014">
        <f>-IF((SUM(S88:S98)/(-R98/0.1))&gt;0.5,(SUM(S88:S98)*0.8+((R98/0.01-R161)*0.05))*0.2, 0)</f>
        <v/>
      </c>
      <c r="T99" s="2014">
        <f>-IF((SUM(T88:T98)/(-S98/0.1))&gt;0.5,(SUM(T88:T98)*0.8+((S98/0.01-S161)*0.05))*0.2, 0)</f>
        <v/>
      </c>
      <c r="U99" s="2014">
        <f>-IF((SUM(U88:U98)/(-T98/0.1))&gt;0.5,(SUM(U88:U98)*0.8+((T98/0.01-T161)*0.05))*0.2, 0)</f>
        <v/>
      </c>
      <c r="V99" s="2014">
        <f>-IF((SUM(V88:V98)/(-U98/0.1))&gt;0.5,(SUM(V88:V98)*0.8+((U98/0.01-U161)*0.05))*0.2, 0)</f>
        <v/>
      </c>
      <c r="W99" s="2014">
        <f>-IF((SUM(W88:W98)/(-V98/0.1))&gt;0.5,(SUM(W88:W98)*0.8+((V98/0.01-V161)*0.05))*0.2, 0)</f>
        <v/>
      </c>
      <c r="X99" s="2014">
        <f>-IF((SUM(X88:X98)/(-W98/0.1))&gt;0.5,(SUM(X88:X98)*0.8+((W98/0.01-W161)*0.05))*0.2, 0)</f>
        <v/>
      </c>
      <c r="Y99" s="2015" t="n"/>
      <c r="Z99" s="2006">
        <f>SUM(D99:Y99)</f>
        <v/>
      </c>
      <c r="AA99" s="458" t="n"/>
    </row>
    <row r="100" customFormat="1" s="4">
      <c r="B100" s="2017" t="inlineStr">
        <is>
          <t>稅前淨利</t>
        </is>
      </c>
      <c r="C100" s="2018" t="n">
        <v>0</v>
      </c>
      <c r="D100" s="2019">
        <f>SUM(D88:D99)</f>
        <v/>
      </c>
      <c r="E100" s="2019">
        <f>SUM(E88:E99)</f>
        <v/>
      </c>
      <c r="F100" s="2019">
        <f>SUM(F88:F99)</f>
        <v/>
      </c>
      <c r="G100" s="2019">
        <f>SUM(G88:G99)</f>
        <v/>
      </c>
      <c r="H100" s="2019">
        <f>SUM(H88:H99)</f>
        <v/>
      </c>
      <c r="I100" s="2019">
        <f>SUM(I88:I99)</f>
        <v/>
      </c>
      <c r="J100" s="2019">
        <f>SUM(J88:J99)</f>
        <v/>
      </c>
      <c r="K100" s="2019">
        <f>SUM(K88:K99)</f>
        <v/>
      </c>
      <c r="L100" s="2019">
        <f>SUM(L88:L99)</f>
        <v/>
      </c>
      <c r="M100" s="2019">
        <f>SUM(M88:M99)</f>
        <v/>
      </c>
      <c r="N100" s="2019">
        <f>SUM(N88:N99)</f>
        <v/>
      </c>
      <c r="O100" s="2019">
        <f>SUM(O88:O99)</f>
        <v/>
      </c>
      <c r="P100" s="2019">
        <f>SUM(P88:P99)</f>
        <v/>
      </c>
      <c r="Q100" s="2019">
        <f>SUM(Q88:Q99)</f>
        <v/>
      </c>
      <c r="R100" s="2019">
        <f>SUM(R88:R99)</f>
        <v/>
      </c>
      <c r="S100" s="2019">
        <f>SUM(S88:S99)</f>
        <v/>
      </c>
      <c r="T100" s="2019">
        <f>SUM(T88:T99)</f>
        <v/>
      </c>
      <c r="U100" s="2019">
        <f>SUM(U88:U99)</f>
        <v/>
      </c>
      <c r="V100" s="2019">
        <f>SUM(V88:V99)</f>
        <v/>
      </c>
      <c r="W100" s="2019">
        <f>SUM(W88:W99)</f>
        <v/>
      </c>
      <c r="X100" s="2019">
        <f>SUM(X88:X99)</f>
        <v/>
      </c>
      <c r="Y100" s="2020" t="n"/>
      <c r="Z100" s="2006">
        <f>SUM(D100:Y100)</f>
        <v/>
      </c>
      <c r="AA100" s="458" t="n"/>
    </row>
    <row r="101" customFormat="1" s="4">
      <c r="B101" s="2012" t="inlineStr">
        <is>
          <t>Outflow : 所得稅(20%)</t>
        </is>
      </c>
      <c r="C101" s="2013" t="inlineStr">
        <is>
          <t>-</t>
        </is>
      </c>
      <c r="D101" s="2021">
        <f>-D100*0.2</f>
        <v/>
      </c>
      <c r="E101" s="2021">
        <f>-E100*0.2</f>
        <v/>
      </c>
      <c r="F101" s="2022">
        <f>-F100*0.2</f>
        <v/>
      </c>
      <c r="G101" s="2021">
        <f>-(G100*$D$132)</f>
        <v/>
      </c>
      <c r="H101" s="2021">
        <f>-(H100*$D$132)</f>
        <v/>
      </c>
      <c r="I101" s="2021">
        <f>-(I100*$D$132)</f>
        <v/>
      </c>
      <c r="J101" s="2021">
        <f>-(J100*$D$132)</f>
        <v/>
      </c>
      <c r="K101" s="2021">
        <f>-(K100*$D$132)</f>
        <v/>
      </c>
      <c r="L101" s="2021">
        <f>-(L100*$D$132)</f>
        <v/>
      </c>
      <c r="M101" s="2021">
        <f>-(M100*$D$132)</f>
        <v/>
      </c>
      <c r="N101" s="2021">
        <f>-(N100*$D$132)</f>
        <v/>
      </c>
      <c r="O101" s="2021">
        <f>-(O100*$D$132)</f>
        <v/>
      </c>
      <c r="P101" s="2021">
        <f>-(P100*$D$132)</f>
        <v/>
      </c>
      <c r="Q101" s="2021">
        <f>-(Q100*$D$132)</f>
        <v/>
      </c>
      <c r="R101" s="2021">
        <f>-(R100*$D$132)</f>
        <v/>
      </c>
      <c r="S101" s="2021">
        <f>-(S100*$D$132)</f>
        <v/>
      </c>
      <c r="T101" s="2021">
        <f>-(T100*$D$132)</f>
        <v/>
      </c>
      <c r="U101" s="2021">
        <f>-(U100*$D$132)</f>
        <v/>
      </c>
      <c r="V101" s="2021">
        <f>-(V100*$D$132)</f>
        <v/>
      </c>
      <c r="W101" s="2021">
        <f>-(W100*$D$132)</f>
        <v/>
      </c>
      <c r="X101" s="2021">
        <f>-(X100*$D$132)</f>
        <v/>
      </c>
      <c r="Y101" s="2023" t="n"/>
      <c r="Z101" s="2006">
        <f>SUM(F101:Y101)</f>
        <v/>
      </c>
      <c r="AA101" s="458" t="n"/>
    </row>
    <row r="102" ht="17.25" customFormat="1" customHeight="1" s="4" thickBot="1">
      <c r="B102" s="2024" t="inlineStr">
        <is>
          <t>稅後淨利</t>
        </is>
      </c>
      <c r="C102" s="2025" t="n"/>
      <c r="D102" s="2026">
        <f>SUM(D100:D101)</f>
        <v/>
      </c>
      <c r="E102" s="2026">
        <f>SUM(E100:E101)</f>
        <v/>
      </c>
      <c r="F102" s="2026">
        <f>SUM(F100:F101)</f>
        <v/>
      </c>
      <c r="G102" s="2026">
        <f>SUM(G100:G101)</f>
        <v/>
      </c>
      <c r="H102" s="2026">
        <f>SUM(H100:H101)</f>
        <v/>
      </c>
      <c r="I102" s="2026">
        <f>SUM(I100:I101)</f>
        <v/>
      </c>
      <c r="J102" s="2026">
        <f>SUM(J100:J101)</f>
        <v/>
      </c>
      <c r="K102" s="2026">
        <f>SUM(K100:K101)</f>
        <v/>
      </c>
      <c r="L102" s="2026">
        <f>SUM(L100:L101)</f>
        <v/>
      </c>
      <c r="M102" s="2026">
        <f>SUM(M100:M101)</f>
        <v/>
      </c>
      <c r="N102" s="2026">
        <f>SUM(N100:N101)</f>
        <v/>
      </c>
      <c r="O102" s="2026">
        <f>SUM(O100:O101)</f>
        <v/>
      </c>
      <c r="P102" s="2026">
        <f>SUM(P100:P101)</f>
        <v/>
      </c>
      <c r="Q102" s="2026">
        <f>SUM(Q100:Q101)</f>
        <v/>
      </c>
      <c r="R102" s="2026">
        <f>SUM(R100:R101)</f>
        <v/>
      </c>
      <c r="S102" s="2026">
        <f>SUM(S100:S101)</f>
        <v/>
      </c>
      <c r="T102" s="2026">
        <f>SUM(T100:T101)</f>
        <v/>
      </c>
      <c r="U102" s="2026">
        <f>SUM(U100:U101)</f>
        <v/>
      </c>
      <c r="V102" s="2026">
        <f>SUM(V100:V101)</f>
        <v/>
      </c>
      <c r="W102" s="2026">
        <f>SUM(W100:W101)</f>
        <v/>
      </c>
      <c r="X102" s="2026">
        <f>SUM(X100:X101)</f>
        <v/>
      </c>
      <c r="Y102" s="2027" t="n"/>
      <c r="Z102" s="2028">
        <f>SUM(D102:Y102)</f>
        <v/>
      </c>
      <c r="AA102" s="458">
        <f>IF(ROUND((Z102-Y169),0)=0,"correct", "error")</f>
        <v/>
      </c>
    </row>
    <row r="103" ht="17.25" customFormat="1" customHeight="1" s="4" thickTop="1">
      <c r="B103" s="2024" t="inlineStr">
        <is>
          <t>每股盈餘</t>
        </is>
      </c>
      <c r="C103" s="2025" t="n"/>
      <c r="D103" s="2029">
        <f>D102/($N$62*10000000)</f>
        <v/>
      </c>
      <c r="E103" s="2029">
        <f>E102/($N$62*10000000)</f>
        <v/>
      </c>
      <c r="F103" s="2030">
        <f>F102/-(E98/0.01-E161)*10</f>
        <v/>
      </c>
      <c r="G103" s="2029">
        <f>G102/-(F98/0.01-F161)*10</f>
        <v/>
      </c>
      <c r="H103" s="2029">
        <f>H102/-(G98/0.01-G161)*10</f>
        <v/>
      </c>
      <c r="I103" s="2029">
        <f>I102/-(H98/0.01-H161)*10</f>
        <v/>
      </c>
      <c r="J103" s="2029">
        <f>J102/-(I98/0.01-I161)*10</f>
        <v/>
      </c>
      <c r="K103" s="2029">
        <f>K102/-(J98/0.01-J161)*10</f>
        <v/>
      </c>
      <c r="L103" s="2029">
        <f>L102/-(K98/0.01-K161)*10</f>
        <v/>
      </c>
      <c r="M103" s="2029">
        <f>M102/-(L98/0.01-L161)*10</f>
        <v/>
      </c>
      <c r="N103" s="2029">
        <f>N102/-(M98/0.01-M161)*10</f>
        <v/>
      </c>
      <c r="O103" s="2029">
        <f>O102/-(N98/0.01-N161)*10</f>
        <v/>
      </c>
      <c r="P103" s="2029">
        <f>P102/-(O98/0.01-O161)*10</f>
        <v/>
      </c>
      <c r="Q103" s="2029">
        <f>Q102/-(P98/0.01-P161)*10</f>
        <v/>
      </c>
      <c r="R103" s="2029">
        <f>R102/-(Q98/0.01-Q161)*10</f>
        <v/>
      </c>
      <c r="S103" s="2029">
        <f>S102/-(R98/0.01-R161)*10</f>
        <v/>
      </c>
      <c r="T103" s="2029">
        <f>T102/-(S98/0.01-S161)*10</f>
        <v/>
      </c>
      <c r="U103" s="2029">
        <f>U102/-(T98/0.01-T161)*10</f>
        <v/>
      </c>
      <c r="V103" s="2029">
        <f>V102/-(U98/0.01-U161)*10</f>
        <v/>
      </c>
      <c r="W103" s="2029">
        <f>W102/-(V98/0.01-V161)*10</f>
        <v/>
      </c>
      <c r="X103" s="2029" t="n"/>
      <c r="Y103" s="2029" t="n"/>
      <c r="Z103" s="2006" t="n"/>
      <c r="AA103" s="458" t="n"/>
    </row>
    <row r="104" customFormat="1" s="4">
      <c r="B104" s="2024" t="n"/>
      <c r="C104" s="2025" t="n"/>
      <c r="D104" s="2031" t="n"/>
      <c r="E104" s="2031" t="n"/>
      <c r="F104" s="2031" t="n"/>
      <c r="G104" s="2031" t="n"/>
      <c r="H104" s="2031" t="n"/>
      <c r="I104" s="2031" t="n"/>
      <c r="J104" s="2031" t="n"/>
      <c r="K104" s="2031" t="n"/>
      <c r="L104" s="2031" t="n"/>
      <c r="M104" s="2031" t="n"/>
      <c r="N104" s="2031" t="n"/>
      <c r="O104" s="2031" t="n"/>
      <c r="P104" s="2031" t="n"/>
      <c r="Q104" s="2031" t="n"/>
      <c r="R104" s="2031" t="n"/>
      <c r="S104" s="2031" t="n"/>
      <c r="T104" s="2031" t="n"/>
      <c r="U104" s="2031" t="n"/>
      <c r="V104" s="2031" t="n"/>
      <c r="W104" s="2031" t="n"/>
      <c r="X104" s="2031" t="n"/>
      <c r="Y104" s="2031" t="n"/>
      <c r="Z104" s="2006" t="n"/>
      <c r="AA104" s="458" t="n"/>
    </row>
    <row r="105" customFormat="1" s="4">
      <c r="B105" s="2024" t="n"/>
      <c r="C105" s="2025" t="n"/>
      <c r="D105" s="2031" t="n"/>
      <c r="E105" s="2031" t="n"/>
      <c r="F105" s="2031" t="n"/>
      <c r="G105" s="2031" t="n"/>
      <c r="H105" s="2031" t="n"/>
      <c r="I105" s="2031" t="n"/>
      <c r="J105" s="2031" t="n"/>
      <c r="K105" s="2031" t="n"/>
      <c r="L105" s="2031" t="n"/>
      <c r="M105" s="2031" t="n"/>
      <c r="N105" s="2031" t="n"/>
      <c r="O105" s="2031" t="n"/>
      <c r="P105" s="2031" t="n"/>
      <c r="Q105" s="2031" t="n"/>
      <c r="R105" s="2031" t="n"/>
      <c r="S105" s="2031" t="n"/>
      <c r="T105" s="2031" t="n"/>
      <c r="U105" s="2031" t="n"/>
      <c r="V105" s="2031" t="n"/>
      <c r="W105" s="2031" t="n"/>
      <c r="X105" s="2031" t="n"/>
      <c r="Y105" s="2031" t="n"/>
      <c r="Z105" s="2006" t="n"/>
      <c r="AA105" s="458" t="n"/>
    </row>
    <row r="106" customFormat="1" s="4">
      <c r="B106" s="2024" t="inlineStr">
        <is>
          <t>設備折舊</t>
        </is>
      </c>
      <c r="C106" s="2013" t="n"/>
      <c r="D106" s="2014">
        <f>-D90</f>
        <v/>
      </c>
      <c r="E106" s="2014">
        <f>-E90</f>
        <v/>
      </c>
      <c r="F106" s="2014">
        <f>-F90</f>
        <v/>
      </c>
      <c r="G106" s="2014">
        <f>-G90</f>
        <v/>
      </c>
      <c r="H106" s="2014">
        <f>-H90</f>
        <v/>
      </c>
      <c r="I106" s="2014">
        <f>-I90</f>
        <v/>
      </c>
      <c r="J106" s="2014">
        <f>-J90</f>
        <v/>
      </c>
      <c r="K106" s="2014">
        <f>-K90</f>
        <v/>
      </c>
      <c r="L106" s="2014">
        <f>-L90</f>
        <v/>
      </c>
      <c r="M106" s="2014">
        <f>-M90</f>
        <v/>
      </c>
      <c r="N106" s="2014">
        <f>-N90</f>
        <v/>
      </c>
      <c r="O106" s="2014">
        <f>-O90</f>
        <v/>
      </c>
      <c r="P106" s="2014">
        <f>-P90</f>
        <v/>
      </c>
      <c r="Q106" s="2014">
        <f>-Q90</f>
        <v/>
      </c>
      <c r="R106" s="2014">
        <f>-R90</f>
        <v/>
      </c>
      <c r="S106" s="2014">
        <f>-S90</f>
        <v/>
      </c>
      <c r="T106" s="2014">
        <f>-T90</f>
        <v/>
      </c>
      <c r="U106" s="2014">
        <f>-U90</f>
        <v/>
      </c>
      <c r="V106" s="2014">
        <f>-V90</f>
        <v/>
      </c>
      <c r="W106" s="2014">
        <f>-W90</f>
        <v/>
      </c>
      <c r="X106" s="2014">
        <f>-X90</f>
        <v/>
      </c>
      <c r="Y106" s="2014" t="n"/>
      <c r="Z106" s="2028">
        <f>SUM(D106:Y106)</f>
        <v/>
      </c>
      <c r="AA106" s="458">
        <f>IF(ROUND((Z106-C122-C2),0)=0,"correct", "error")</f>
        <v/>
      </c>
    </row>
    <row r="107" ht="17.25" customFormat="1" customHeight="1" s="4" thickBot="1">
      <c r="B107" s="2032" t="inlineStr">
        <is>
          <t>累計現金流</t>
        </is>
      </c>
      <c r="C107" s="2033" t="n">
        <v>0</v>
      </c>
      <c r="D107" s="2034">
        <f>C37+D102+D106</f>
        <v/>
      </c>
      <c r="E107" s="2034">
        <f>E102+E106+D107</f>
        <v/>
      </c>
      <c r="F107" s="2034">
        <f>F102+F106+E107</f>
        <v/>
      </c>
      <c r="G107" s="2034">
        <f>G102+G106+F107</f>
        <v/>
      </c>
      <c r="H107" s="2034">
        <f>H102+H106+G107</f>
        <v/>
      </c>
      <c r="I107" s="2034">
        <f>I102+I106+H107</f>
        <v/>
      </c>
      <c r="J107" s="2034">
        <f>J102+J106+I107</f>
        <v/>
      </c>
      <c r="K107" s="2034">
        <f>K102+K106+J107</f>
        <v/>
      </c>
      <c r="L107" s="2034">
        <f>L102+L106+K107</f>
        <v/>
      </c>
      <c r="M107" s="2034">
        <f>M102+M106+L107</f>
        <v/>
      </c>
      <c r="N107" s="2034">
        <f>N102+N106+M107</f>
        <v/>
      </c>
      <c r="O107" s="2034">
        <f>O102+O106+N107</f>
        <v/>
      </c>
      <c r="P107" s="2034">
        <f>P102+P106+O107</f>
        <v/>
      </c>
      <c r="Q107" s="2034">
        <f>Q102+Q106+P107</f>
        <v/>
      </c>
      <c r="R107" s="2034">
        <f>R102+R106+Q107</f>
        <v/>
      </c>
      <c r="S107" s="2034">
        <f>S102+S106+R107</f>
        <v/>
      </c>
      <c r="T107" s="2034">
        <f>T102+T106+S107</f>
        <v/>
      </c>
      <c r="U107" s="2034">
        <f>U102+U106+T107</f>
        <v/>
      </c>
      <c r="V107" s="2034">
        <f>V102+V106+U107</f>
        <v/>
      </c>
      <c r="W107" s="2034">
        <f>W102+W106+V107</f>
        <v/>
      </c>
      <c r="X107" s="2034" t="n"/>
      <c r="Y107" s="2034" t="n"/>
      <c r="Z107" s="2006">
        <f>IF(ROUND((W107-Z102),0)=0,"correct", "error")</f>
        <v/>
      </c>
      <c r="AA107" s="458" t="n"/>
    </row>
    <row r="108" hidden="1" ht="17.25" customFormat="1" customHeight="1" s="4" thickBot="1">
      <c r="B108" s="723" t="inlineStr">
        <is>
          <t>Discounted cash flow</t>
        </is>
      </c>
      <c r="C108" s="2035" t="n">
        <v>0</v>
      </c>
      <c r="D108" s="2036" t="n"/>
      <c r="E108" s="2036" t="n"/>
      <c r="F108" s="2037" t="n">
        <v>1983135.562543545</v>
      </c>
      <c r="G108" s="2037" t="n">
        <v>1938004.689213072</v>
      </c>
      <c r="H108" s="2037" t="n">
        <v>1892873.8158826</v>
      </c>
      <c r="I108" s="2037" t="n">
        <v>1847742.942552129</v>
      </c>
      <c r="J108" s="2037" t="n">
        <v>1802612.069221656</v>
      </c>
      <c r="K108" s="2037" t="n">
        <v>1759737.739557709</v>
      </c>
      <c r="L108" s="2037" t="n">
        <v>1716863.409893761</v>
      </c>
      <c r="M108" s="2037" t="n">
        <v>1673989.080229812</v>
      </c>
      <c r="N108" s="2037" t="n">
        <v>1631114.750565863</v>
      </c>
      <c r="O108" s="2037" t="n">
        <v>1588240.420901916</v>
      </c>
      <c r="P108" s="2037" t="n">
        <v>1550443.314487645</v>
      </c>
      <c r="Q108" s="2037" t="n">
        <v>1512646.208073375</v>
      </c>
      <c r="R108" s="2037" t="n">
        <v>1474849.101659105</v>
      </c>
      <c r="S108" s="2037" t="n">
        <v>1437051.995244834</v>
      </c>
      <c r="T108" s="2037" t="n">
        <v>1399254.888830566</v>
      </c>
      <c r="U108" s="2037" t="n">
        <v>1361457.782416294</v>
      </c>
      <c r="V108" s="2037" t="n">
        <v>1323660.676002024</v>
      </c>
      <c r="W108" s="2037" t="n">
        <v>1285863.569587754</v>
      </c>
      <c r="X108" s="2037" t="n"/>
      <c r="Y108" s="2038" t="n"/>
      <c r="Z108" s="458" t="n"/>
      <c r="AA108" s="458" t="n"/>
    </row>
    <row r="109" hidden="1" ht="17.25" customFormat="1" customHeight="1" s="4" thickBot="1">
      <c r="B109" s="2039" t="inlineStr">
        <is>
          <t>Minus : Depreciation</t>
        </is>
      </c>
      <c r="C109" s="2040" t="n"/>
      <c r="D109" s="2041" t="n"/>
      <c r="E109" s="2041" t="n"/>
      <c r="F109" s="2041" t="n">
        <v>0</v>
      </c>
      <c r="G109" s="2041" t="n">
        <v>0</v>
      </c>
      <c r="H109" s="2041" t="n">
        <v>0</v>
      </c>
      <c r="I109" s="2041" t="n">
        <v>0</v>
      </c>
      <c r="J109" s="2041" t="n">
        <v>0</v>
      </c>
      <c r="K109" s="2041" t="n">
        <v>0</v>
      </c>
      <c r="L109" s="2041" t="n">
        <v>0</v>
      </c>
      <c r="M109" s="2041" t="n">
        <v>0</v>
      </c>
      <c r="N109" s="2041" t="n">
        <v>0</v>
      </c>
      <c r="O109" s="2041" t="n">
        <v>0</v>
      </c>
      <c r="P109" s="2041" t="n">
        <v>0</v>
      </c>
      <c r="Q109" s="2041" t="n">
        <v>0</v>
      </c>
      <c r="R109" s="2041" t="n">
        <v>0</v>
      </c>
      <c r="S109" s="2041" t="n">
        <v>0</v>
      </c>
      <c r="T109" s="2041" t="n">
        <v>0</v>
      </c>
      <c r="U109" s="2041" t="n">
        <v>0</v>
      </c>
      <c r="V109" s="2041" t="n">
        <v>0</v>
      </c>
      <c r="W109" s="2041" t="n">
        <v>0</v>
      </c>
      <c r="X109" s="2041" t="n"/>
      <c r="Y109" s="2042" t="n"/>
      <c r="Z109" s="458" t="n"/>
      <c r="AA109" s="458" t="n"/>
    </row>
    <row r="110" hidden="1" ht="17.25" customFormat="1" customHeight="1" s="4" thickBot="1">
      <c r="B110" s="2039" t="inlineStr">
        <is>
          <t>Plus : Principle payment</t>
        </is>
      </c>
      <c r="C110" s="2040" t="n"/>
      <c r="D110" s="2041" t="n"/>
      <c r="E110" s="2041" t="n"/>
      <c r="F110" s="2041" t="n">
        <v>0</v>
      </c>
      <c r="G110" s="2041" t="n">
        <v>0</v>
      </c>
      <c r="H110" s="2041" t="n">
        <v>0</v>
      </c>
      <c r="I110" s="2041" t="n">
        <v>0</v>
      </c>
      <c r="J110" s="2041" t="n">
        <v>0</v>
      </c>
      <c r="K110" s="2041" t="n">
        <v>0</v>
      </c>
      <c r="L110" s="2041" t="n">
        <v>0</v>
      </c>
      <c r="M110" s="2041" t="n">
        <v>0</v>
      </c>
      <c r="N110" s="2041" t="n">
        <v>0</v>
      </c>
      <c r="O110" s="2041" t="n">
        <v>0</v>
      </c>
      <c r="P110" s="2041" t="n">
        <v>0</v>
      </c>
      <c r="Q110" s="2041" t="n">
        <v>0</v>
      </c>
      <c r="R110" s="2041" t="n">
        <v>0</v>
      </c>
      <c r="S110" s="2041" t="n">
        <v>0</v>
      </c>
      <c r="T110" s="2041" t="n">
        <v>0</v>
      </c>
      <c r="U110" s="2041" t="n">
        <v>0</v>
      </c>
      <c r="V110" s="2041" t="n">
        <v>0</v>
      </c>
      <c r="W110" s="2041" t="n">
        <v>0</v>
      </c>
      <c r="X110" s="2041" t="n"/>
      <c r="Y110" s="2042" t="n"/>
      <c r="Z110" s="458" t="n"/>
      <c r="AA110" s="458" t="n"/>
    </row>
    <row r="111" hidden="1" ht="17.25" customFormat="1" customHeight="1" s="4" thickBot="1">
      <c r="B111" s="731" t="inlineStr">
        <is>
          <t>Profit</t>
        </is>
      </c>
      <c r="C111" s="2043" t="n"/>
      <c r="D111" s="2044" t="n"/>
      <c r="E111" s="2044" t="n"/>
      <c r="F111" s="2044" t="n">
        <v>1983135.562543545</v>
      </c>
      <c r="G111" s="2044" t="n">
        <v>1938004.689213072</v>
      </c>
      <c r="H111" s="2044" t="n">
        <v>1892873.8158826</v>
      </c>
      <c r="I111" s="2044" t="n">
        <v>1847742.942552129</v>
      </c>
      <c r="J111" s="2044" t="n">
        <v>1802612.069221656</v>
      </c>
      <c r="K111" s="2044" t="n">
        <v>1759737.739557709</v>
      </c>
      <c r="L111" s="2044" t="n">
        <v>1716863.409893761</v>
      </c>
      <c r="M111" s="2044" t="n">
        <v>1673989.080229812</v>
      </c>
      <c r="N111" s="2044" t="n">
        <v>1631114.750565863</v>
      </c>
      <c r="O111" s="2044" t="n">
        <v>1588240.420901916</v>
      </c>
      <c r="P111" s="2044" t="n">
        <v>1550443.314487645</v>
      </c>
      <c r="Q111" s="2044" t="n">
        <v>1512646.208073375</v>
      </c>
      <c r="R111" s="2044" t="n">
        <v>1474849.101659105</v>
      </c>
      <c r="S111" s="2044" t="n">
        <v>1437051.995244834</v>
      </c>
      <c r="T111" s="2044" t="n">
        <v>1399254.888830566</v>
      </c>
      <c r="U111" s="2044" t="n">
        <v>1361457.782416294</v>
      </c>
      <c r="V111" s="2044" t="n">
        <v>1323660.676002024</v>
      </c>
      <c r="W111" s="2044" t="n">
        <v>1285863.569587754</v>
      </c>
      <c r="X111" s="2044" t="n"/>
      <c r="Y111" s="2045" t="n"/>
      <c r="Z111" s="458" t="n"/>
      <c r="AA111" s="458" t="n"/>
    </row>
    <row r="112" hidden="1" ht="17.25" customFormat="1" customHeight="1" s="4" thickBot="1">
      <c r="B112" s="735" t="inlineStr">
        <is>
          <t>EPS</t>
        </is>
      </c>
      <c r="C112" s="2046" t="n"/>
      <c r="D112" s="2047" t="n"/>
      <c r="E112" s="2047" t="n"/>
      <c r="F112" s="2048" t="n">
        <v>0.4779429068801936</v>
      </c>
      <c r="G112" s="2048" t="n">
        <v>0.4670662017285083</v>
      </c>
      <c r="H112" s="2048" t="n">
        <v>0.456189496576823</v>
      </c>
      <c r="I112" s="2048" t="n">
        <v>0.445312791425138</v>
      </c>
      <c r="J112" s="2048" t="n">
        <v>0.4344360862734524</v>
      </c>
      <c r="K112" s="2048" t="n">
        <v>0.4241032163793518</v>
      </c>
      <c r="L112" s="2048" t="n">
        <v>0.4137703464852509</v>
      </c>
      <c r="M112" s="2048" t="n">
        <v>0.4034374765911497</v>
      </c>
      <c r="N112" s="2048" t="n">
        <v>0.3931046066970487</v>
      </c>
      <c r="O112" s="2048" t="n">
        <v>0.382771736802948</v>
      </c>
      <c r="P112" s="2048" t="n">
        <v>0.3736624962384114</v>
      </c>
      <c r="Q112" s="2048" t="n">
        <v>0.364553255673875</v>
      </c>
      <c r="R112" s="2048" t="n">
        <v>0.3554440151093388</v>
      </c>
      <c r="S112" s="2048" t="n">
        <v>0.3463347745448022</v>
      </c>
      <c r="T112" s="2048" t="n">
        <v>0.3372255339802663</v>
      </c>
      <c r="U112" s="2048" t="n">
        <v>0.3281162934157295</v>
      </c>
      <c r="V112" s="2048" t="n">
        <v>0.3190070528511932</v>
      </c>
      <c r="W112" s="2048" t="n">
        <v>0.309897812286657</v>
      </c>
      <c r="X112" s="2048" t="n"/>
      <c r="Y112" s="2049" t="n"/>
      <c r="Z112" s="458" t="n"/>
      <c r="AA112" s="458" t="n"/>
    </row>
    <row r="113" ht="17.25" customFormat="1" customHeight="1" s="4" thickBot="1">
      <c r="B113" s="694" t="inlineStr">
        <is>
          <t>回收年限評估</t>
        </is>
      </c>
      <c r="C113" s="2050" t="n"/>
      <c r="D113" s="2051">
        <f>IF((D107)&gt;0,"回收","未回收")</f>
        <v/>
      </c>
      <c r="E113" s="2051">
        <f>IF((E107)&gt;0,"回收","未回收")</f>
        <v/>
      </c>
      <c r="F113" s="2051">
        <f>IF((F107)&gt;0,"回收","未回收")</f>
        <v/>
      </c>
      <c r="G113" s="2051">
        <f>IF((G107)&gt;0,"回收","未回收")</f>
        <v/>
      </c>
      <c r="H113" s="2052">
        <f>IF((H107)&gt;0,"回收","未回收")</f>
        <v/>
      </c>
      <c r="I113" s="2052">
        <f>IF((I107)&gt;0,"回收","未回收")</f>
        <v/>
      </c>
      <c r="J113" s="2052">
        <f>IF((J107)&gt;0,"回收","未回收")</f>
        <v/>
      </c>
      <c r="K113" s="2052">
        <f>IF((K107)&gt;0,"回收","未回收")</f>
        <v/>
      </c>
      <c r="L113" s="2052">
        <f>IF((L107)&gt;0,"回收","未回收")</f>
        <v/>
      </c>
      <c r="M113" s="2052">
        <f>IF((M107)&gt;0,"回收","未回收")</f>
        <v/>
      </c>
      <c r="N113" s="2052">
        <f>IF((N107)&gt;0,"回收","未回收")</f>
        <v/>
      </c>
      <c r="O113" s="2052">
        <f>IF((O107)&gt;0,"回收","未回收")</f>
        <v/>
      </c>
      <c r="P113" s="2053">
        <f>IF((P107)&gt;0,"回收","未回收")</f>
        <v/>
      </c>
      <c r="Q113" s="2053">
        <f>IF((Q107)&gt;0,"回收","未回收")</f>
        <v/>
      </c>
      <c r="R113" s="2053">
        <f>IF((R107)&gt;0,"回收","未回收")</f>
        <v/>
      </c>
      <c r="S113" s="2053">
        <f>IF((S107)&gt;0,"回收","未回收")</f>
        <v/>
      </c>
      <c r="T113" s="2053">
        <f>IF((T107)&gt;0,"回收","未回收")</f>
        <v/>
      </c>
      <c r="U113" s="2053">
        <f>IF((U107)&gt;0,"回收","未回收")</f>
        <v/>
      </c>
      <c r="V113" s="2053">
        <f>IF((V107)&gt;0,"回收","未回收")</f>
        <v/>
      </c>
      <c r="W113" s="2053">
        <f>IF((W107)&gt;0,"回收","未回收")</f>
        <v/>
      </c>
      <c r="X113" s="2053" t="n"/>
      <c r="Y113" s="2054" t="n"/>
      <c r="Z113" s="458" t="n"/>
      <c r="AA113" s="458" t="n"/>
    </row>
    <row r="114" customFormat="1" s="4">
      <c r="Z114" s="458" t="n"/>
      <c r="AA114" s="458" t="n"/>
    </row>
    <row r="115" customFormat="1" s="4">
      <c r="F115" s="2055" t="n"/>
      <c r="G115" s="2055" t="n"/>
      <c r="H115" s="2055" t="n"/>
      <c r="I115" s="2055" t="n"/>
      <c r="J115" s="2055" t="n"/>
      <c r="K115" s="2055" t="n"/>
      <c r="L115" s="2055" t="n"/>
      <c r="M115" s="2055" t="n"/>
      <c r="N115" s="2055" t="n"/>
      <c r="O115" s="2055" t="n"/>
      <c r="P115" s="2055" t="n"/>
      <c r="Z115" s="458" t="n"/>
      <c r="AA115" s="458" t="n"/>
    </row>
    <row r="116" customFormat="1" s="4">
      <c r="F116" s="1694" t="n"/>
      <c r="Z116" s="458" t="n"/>
      <c r="AA116" s="458" t="n"/>
    </row>
    <row r="117" customFormat="1" s="4">
      <c r="B117" s="2056" t="inlineStr">
        <is>
          <t>Assumption</t>
        </is>
      </c>
      <c r="C117" s="1648" t="n"/>
      <c r="D117" s="2057" t="inlineStr">
        <is>
          <t>NOTE</t>
        </is>
      </c>
      <c r="E117" s="1647" t="n"/>
      <c r="F117" s="1647" t="n"/>
      <c r="G117" s="1648" t="n"/>
      <c r="J117" s="2058" t="n"/>
      <c r="Z117" s="458" t="n"/>
      <c r="AA117" s="458" t="n"/>
    </row>
    <row r="118" customFormat="1" s="4">
      <c r="B118" s="626" t="inlineStr">
        <is>
          <t>預計系統完工年限</t>
        </is>
      </c>
      <c r="C118" s="2059" t="inlineStr">
        <is>
          <t>109年</t>
        </is>
      </c>
      <c r="D118" s="701" t="inlineStr">
        <is>
          <t>下</t>
        </is>
      </c>
      <c r="E118" s="628" t="n"/>
      <c r="F118" s="628" t="n"/>
      <c r="G118" s="629" t="n"/>
      <c r="I118" s="2060" t="n"/>
      <c r="J118" s="2058" t="n"/>
      <c r="Z118" s="458" t="n"/>
      <c r="AA118" s="458" t="n"/>
    </row>
    <row r="119" customFormat="1" s="4">
      <c r="B119" s="626" t="inlineStr">
        <is>
          <t>政府每度收購價格</t>
        </is>
      </c>
      <c r="C119" s="2061" t="n">
        <v>4.1733</v>
      </c>
      <c r="D119" s="1431" t="n"/>
      <c r="E119" s="631" t="n"/>
      <c r="F119" s="631" t="n"/>
      <c r="G119" s="632" t="n"/>
      <c r="H119" s="6" t="n"/>
      <c r="I119" s="6" t="n"/>
      <c r="J119" s="6" t="n"/>
      <c r="K119" s="702" t="inlineStr">
        <is>
          <t>若將設備作折舊攤提後，就沒有成本支出 (收入=毛利)，只能計算 淨利 &amp; 稅後淨利率</t>
        </is>
      </c>
      <c r="L119" s="702" t="n"/>
      <c r="M119" s="702" t="n"/>
      <c r="N119" s="702" t="n"/>
      <c r="O119" s="702" t="n"/>
      <c r="P119" s="702" t="n"/>
      <c r="Q119" s="0" t="n"/>
      <c r="R119" s="0" t="n"/>
      <c r="S119" s="0" t="n"/>
      <c r="T119" s="0" t="n"/>
      <c r="U119" s="0" t="n"/>
      <c r="V119" s="0" t="n"/>
      <c r="W119" s="6" t="n"/>
      <c r="X119" s="6" t="n"/>
      <c r="Z119" s="458" t="n"/>
      <c r="AA119" s="458" t="n"/>
    </row>
    <row r="120" customFormat="1" s="4">
      <c r="B120" s="626" t="inlineStr">
        <is>
          <t>安裝容量(KW)</t>
        </is>
      </c>
      <c r="C120" s="2062" t="n">
        <v>0</v>
      </c>
      <c r="D120" s="634" t="n"/>
      <c r="E120" s="2063" t="n"/>
      <c r="F120" s="636" t="n"/>
      <c r="G120" s="632" t="n"/>
      <c r="H120" s="6" t="n"/>
      <c r="I120" s="6" t="n"/>
      <c r="J120" s="6" t="n"/>
      <c r="K120" s="2064" t="inlineStr">
        <is>
          <t>營業淨利率=[（毛利-費用）/ 營業收入]*100% : (總收入- (設備折舊+運維費用+租金+利息+保險+人事費用+管理費) / 總電費收入</t>
        </is>
      </c>
      <c r="L120" s="1647" t="n"/>
      <c r="M120" s="1647" t="n"/>
      <c r="N120" s="1647" t="n"/>
      <c r="O120" s="1647" t="n"/>
      <c r="P120" s="1647" t="n"/>
      <c r="Q120" s="1647" t="n"/>
      <c r="R120" s="1647" t="n"/>
      <c r="S120" s="1647" t="n"/>
      <c r="T120" s="1647" t="n"/>
      <c r="U120" s="1647" t="n"/>
      <c r="V120" s="1648" t="n"/>
      <c r="W120" s="6" t="n"/>
      <c r="X120" s="10" t="inlineStr">
        <is>
          <t>股本</t>
        </is>
      </c>
      <c r="Y120" s="2065">
        <f>D159</f>
        <v/>
      </c>
      <c r="Z120" s="458" t="n"/>
      <c r="AA120" s="458" t="n"/>
    </row>
    <row r="121" customFormat="1" s="4">
      <c r="B121" s="626" t="inlineStr">
        <is>
          <t>每KW系統價格(NTD/KW) -未稅</t>
        </is>
      </c>
      <c r="C121" s="2066" t="n">
        <v>0</v>
      </c>
      <c r="D121" s="704" t="inlineStr">
        <is>
          <t>調整後價格</t>
        </is>
      </c>
      <c r="E121" s="705" t="n">
        <v>1</v>
      </c>
      <c r="F121" s="631" t="n"/>
      <c r="G121" s="632" t="n"/>
      <c r="H121" s="6" t="n"/>
      <c r="I121" s="6" t="n"/>
      <c r="J121" s="6" t="n"/>
      <c r="K121" s="706" t="inlineStr">
        <is>
          <t>稅前淨利率</t>
        </is>
      </c>
      <c r="L121" s="2067">
        <f>Z100/Z88</f>
        <v/>
      </c>
      <c r="M121" s="1647" t="n"/>
      <c r="N121" s="1647" t="n"/>
      <c r="O121" s="1647" t="n"/>
      <c r="P121" s="1647" t="n"/>
      <c r="Q121" s="1647" t="n"/>
      <c r="R121" s="1647" t="n"/>
      <c r="S121" s="1647" t="n"/>
      <c r="T121" s="1647" t="n"/>
      <c r="U121" s="1647" t="n"/>
      <c r="V121" s="1648" t="n"/>
      <c r="W121" s="6" t="n"/>
      <c r="X121" s="10" t="inlineStr">
        <is>
          <t>每股金額</t>
        </is>
      </c>
      <c r="Y121" s="2065" t="n">
        <v>10</v>
      </c>
      <c r="Z121" s="458" t="n"/>
      <c r="AA121" s="458" t="n"/>
    </row>
    <row r="122" customFormat="1" s="4">
      <c r="B122" s="626" t="inlineStr">
        <is>
          <t>總建構成本(NTD)</t>
        </is>
      </c>
      <c r="C122" s="2066">
        <f>C120*C121</f>
        <v/>
      </c>
      <c r="D122" s="634" t="n"/>
      <c r="E122" s="631" t="n"/>
      <c r="F122" s="631" t="n"/>
      <c r="G122" s="632" t="n"/>
      <c r="H122" s="6" t="n"/>
      <c r="I122" s="6" t="n"/>
      <c r="J122" s="6" t="n"/>
      <c r="K122" s="2068" t="inlineStr">
        <is>
          <t>稅後淨利率=(稅前淨利潤-所得稅20%)/ 營業收入*100% : 20年稅後總淨利潤 / 總電費收入</t>
        </is>
      </c>
      <c r="L122" s="1647" t="n"/>
      <c r="M122" s="1647" t="n"/>
      <c r="N122" s="1647" t="n"/>
      <c r="O122" s="1647" t="n"/>
      <c r="P122" s="1647" t="n"/>
      <c r="Q122" s="1647" t="n"/>
      <c r="R122" s="1647" t="n"/>
      <c r="S122" s="1647" t="n"/>
      <c r="T122" s="1647" t="n"/>
      <c r="U122" s="1647" t="n"/>
      <c r="V122" s="1648" t="n"/>
      <c r="X122" s="0" t="inlineStr">
        <is>
          <t>股數</t>
        </is>
      </c>
      <c r="Y122" s="2065">
        <f>Y120/Y121</f>
        <v/>
      </c>
      <c r="Z122" s="458" t="n"/>
      <c r="AA122" s="458" t="n"/>
    </row>
    <row r="123" customFormat="1" s="4">
      <c r="B123" s="626" t="inlineStr">
        <is>
          <t>政府補助(NTD/案)</t>
        </is>
      </c>
      <c r="C123" s="2066" t="n">
        <v>0</v>
      </c>
      <c r="D123" s="634" t="n"/>
      <c r="E123" s="631" t="n"/>
      <c r="F123" s="631" t="n"/>
      <c r="G123" s="632" t="n"/>
      <c r="H123" s="6" t="n"/>
      <c r="I123" s="6" t="n"/>
      <c r="J123" s="6" t="n"/>
      <c r="K123" s="707" t="inlineStr">
        <is>
          <t>稅後淨利率</t>
        </is>
      </c>
      <c r="L123" s="2069">
        <f>Z102/Z88</f>
        <v/>
      </c>
      <c r="M123" s="1647" t="n"/>
      <c r="N123" s="1647" t="n"/>
      <c r="O123" s="1647" t="n"/>
      <c r="P123" s="1647" t="n"/>
      <c r="Q123" s="1647" t="n"/>
      <c r="R123" s="1647" t="n"/>
      <c r="S123" s="1647" t="n"/>
      <c r="T123" s="1647" t="n"/>
      <c r="U123" s="1647" t="n"/>
      <c r="V123" s="1648" t="n"/>
      <c r="Z123" s="458" t="n"/>
      <c r="AA123" s="458" t="n"/>
    </row>
    <row r="124" customFormat="1" s="4">
      <c r="B124" s="626" t="inlineStr">
        <is>
          <t>貸款金額(NTD)</t>
        </is>
      </c>
      <c r="C124" s="2066" t="n">
        <v>0</v>
      </c>
      <c r="D124" s="638" t="n">
        <v>0</v>
      </c>
      <c r="E124" s="639" t="inlineStr">
        <is>
          <t>貸款成數</t>
        </is>
      </c>
      <c r="F124" s="631" t="n"/>
      <c r="G124" s="632" t="n"/>
      <c r="H124" s="6" t="n"/>
      <c r="I124" s="6" t="n"/>
      <c r="J124" s="6" t="n"/>
      <c r="K124" s="1465" t="n"/>
      <c r="L124" s="2070" t="n"/>
      <c r="M124" s="2070" t="n"/>
      <c r="N124" s="2070" t="n"/>
      <c r="O124" s="2070" t="n"/>
      <c r="P124" s="2070" t="n"/>
      <c r="Q124" s="2070" t="n"/>
      <c r="R124" s="2070" t="n"/>
      <c r="S124" s="2070" t="n"/>
      <c r="T124" s="2070" t="n"/>
      <c r="U124" s="2070" t="n"/>
      <c r="V124" s="2070" t="n"/>
      <c r="Z124" s="458" t="n"/>
      <c r="AA124" s="458" t="n"/>
    </row>
    <row r="125" customFormat="1" s="4">
      <c r="B125" s="708" t="inlineStr">
        <is>
          <t>償還年限</t>
        </is>
      </c>
      <c r="C125" s="2071" t="n">
        <v>15</v>
      </c>
      <c r="D125" s="709" t="inlineStr">
        <is>
          <t>(本息平均)償還法</t>
        </is>
      </c>
      <c r="E125" s="710" t="n"/>
      <c r="F125" s="710" t="n"/>
      <c r="G125" s="711" t="n"/>
      <c r="H125" s="7" t="inlineStr">
        <is>
          <t>有錢就還</t>
        </is>
      </c>
      <c r="I125" s="6" t="n"/>
      <c r="J125" s="6" t="n"/>
      <c r="K125" s="712" t="n"/>
      <c r="L125" s="713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Z125" s="458" t="n"/>
      <c r="AA125" s="458" t="n"/>
    </row>
    <row r="126" customFormat="1" s="4">
      <c r="B126" s="626" t="inlineStr">
        <is>
          <t>銀行利率(%)</t>
        </is>
      </c>
      <c r="C126" s="2072">
        <f>C71</f>
        <v/>
      </c>
      <c r="D126" s="2073" t="n">
        <v>0.025</v>
      </c>
      <c r="E126" s="631" t="n"/>
      <c r="F126" s="631" t="n"/>
      <c r="G126" s="632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Z126" s="458" t="n"/>
      <c r="AA126" s="458" t="n"/>
    </row>
    <row r="127" customFormat="1" s="4">
      <c r="B127" s="626" t="inlineStr">
        <is>
          <t>設備放置區域年租金(NTD)</t>
        </is>
      </c>
      <c r="C127" s="2066" t="n">
        <v>0</v>
      </c>
      <c r="D127" s="648" t="inlineStr">
        <is>
          <t>各地主租金總合+饋線途經國有財產地6公里租金</t>
        </is>
      </c>
      <c r="E127" s="643" t="inlineStr">
        <is>
          <t xml:space="preserve"> ; 租</t>
        </is>
      </c>
      <c r="F127" s="644" t="n">
        <v>20</v>
      </c>
      <c r="G127" s="645" t="inlineStr">
        <is>
          <t>年</t>
        </is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Z127" s="458" t="n"/>
      <c r="AA127" s="458" t="n"/>
    </row>
    <row r="128" customFormat="1" s="4">
      <c r="B128" s="626" t="inlineStr">
        <is>
          <t>維運費(NTD)</t>
        </is>
      </c>
      <c r="C128" s="2066" t="n">
        <v>0</v>
      </c>
      <c r="D128" s="648" t="inlineStr">
        <is>
          <t>400/kw</t>
        </is>
      </c>
      <c r="E128" s="647" t="inlineStr">
        <is>
          <t>; 保固共</t>
        </is>
      </c>
      <c r="F128" s="644" t="n">
        <v>20</v>
      </c>
      <c r="G128" s="645" t="inlineStr">
        <is>
          <t>年</t>
        </is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Z128" s="458" t="n"/>
      <c r="AA128" s="458" t="n"/>
    </row>
    <row r="129" customFormat="1" s="4">
      <c r="B129" s="626" t="inlineStr">
        <is>
          <t>保險費(NTD)</t>
        </is>
      </c>
      <c r="C129" s="2066" t="n">
        <v>0</v>
      </c>
      <c r="D129" s="648" t="n">
        <v>0.003</v>
      </c>
      <c r="E129" s="647" t="inlineStr">
        <is>
          <t>; 保險共</t>
        </is>
      </c>
      <c r="F129" s="644" t="n">
        <v>20</v>
      </c>
      <c r="G129" s="645" t="inlineStr">
        <is>
          <t>年</t>
        </is>
      </c>
      <c r="H129" s="6" t="n"/>
      <c r="I129" s="6" t="n"/>
      <c r="J129" s="6" t="n"/>
      <c r="K129" s="6" t="n"/>
      <c r="L129" s="6" t="n"/>
      <c r="M129" s="6" t="n"/>
      <c r="N129" s="0" t="n"/>
      <c r="O129" s="6" t="n"/>
      <c r="P129" s="6" t="n"/>
      <c r="Q129" s="6" t="n"/>
      <c r="R129" s="6" t="n"/>
      <c r="S129" s="6" t="n"/>
      <c r="T129" s="6" t="n"/>
      <c r="U129" s="6" t="n"/>
      <c r="V129" s="6" t="n"/>
      <c r="Z129" s="458" t="n"/>
      <c r="AA129" s="458" t="n"/>
    </row>
    <row r="130" customFormat="1" s="4">
      <c r="B130" s="626" t="inlineStr">
        <is>
          <t>模組回收費(NTD)</t>
        </is>
      </c>
      <c r="C130" s="2066" t="n">
        <v>0</v>
      </c>
      <c r="D130" s="648" t="inlineStr">
        <is>
          <t>分10年攤提</t>
        </is>
      </c>
      <c r="E130" s="647" t="inlineStr">
        <is>
          <t>; 攤提共</t>
        </is>
      </c>
      <c r="F130" s="644" t="n">
        <v>10</v>
      </c>
      <c r="G130" s="645" t="inlineStr">
        <is>
          <t>年</t>
        </is>
      </c>
      <c r="H130" s="6" t="n"/>
      <c r="I130" s="6" t="n"/>
      <c r="J130" s="6" t="n"/>
      <c r="K130" s="6" t="n"/>
      <c r="L130" s="6" t="n"/>
      <c r="M130" s="6" t="n"/>
      <c r="N130" s="0" t="n"/>
      <c r="O130" s="6" t="n"/>
      <c r="P130" s="6" t="n"/>
      <c r="Q130" s="6" t="n"/>
      <c r="R130" s="6" t="n"/>
      <c r="S130" s="6" t="n"/>
      <c r="T130" s="6" t="n"/>
      <c r="U130" s="6" t="n"/>
      <c r="V130" s="6" t="n"/>
      <c r="Z130" s="458" t="n"/>
      <c r="AA130" s="458" t="n"/>
    </row>
    <row r="131" customFormat="1" s="4">
      <c r="B131" s="626" t="inlineStr">
        <is>
          <t>其它費用(人事薪資…等)</t>
        </is>
      </c>
      <c r="C131" s="2066">
        <f>-Z97</f>
        <v/>
      </c>
      <c r="D131" s="646" t="n">
        <v>0</v>
      </c>
      <c r="E131" s="647" t="n"/>
      <c r="F131" s="644" t="n"/>
      <c r="G131" s="645" t="n"/>
      <c r="H131" s="6" t="n"/>
      <c r="I131" s="6" t="n"/>
      <c r="J131" s="6" t="n"/>
      <c r="K131" s="6" t="n"/>
      <c r="L131" s="6" t="n"/>
      <c r="M131" s="6" t="n"/>
      <c r="N131" s="0" t="n"/>
      <c r="O131" s="6" t="n"/>
      <c r="P131" s="6" t="n"/>
      <c r="Q131" s="6" t="n"/>
      <c r="R131" s="6" t="n"/>
      <c r="S131" s="6" t="n"/>
      <c r="T131" s="6" t="n"/>
      <c r="U131" s="6" t="n"/>
      <c r="V131" s="6" t="n"/>
      <c r="Z131" s="458" t="n"/>
      <c r="AA131" s="458" t="n"/>
    </row>
    <row r="132" hidden="1" customFormat="1" s="4">
      <c r="B132" s="626" t="inlineStr">
        <is>
          <t>所得稅金(收入20%)</t>
        </is>
      </c>
      <c r="C132" s="2066" t="n"/>
      <c r="D132" s="714" t="n">
        <v>0.2</v>
      </c>
      <c r="E132" s="647" t="n"/>
      <c r="F132" s="644" t="n"/>
      <c r="G132" s="645" t="n"/>
      <c r="H132" s="6" t="n"/>
      <c r="I132" s="6" t="n"/>
      <c r="J132" s="6" t="n"/>
      <c r="K132" s="6" t="n"/>
      <c r="L132" s="6" t="n"/>
      <c r="M132" s="6" t="n"/>
      <c r="N132" s="0" t="n"/>
      <c r="O132" s="6" t="n"/>
      <c r="P132" s="6" t="n"/>
      <c r="Q132" s="6" t="n"/>
      <c r="R132" s="6" t="n"/>
      <c r="S132" s="6" t="n"/>
      <c r="T132" s="6" t="n"/>
      <c r="U132" s="6" t="n"/>
      <c r="V132" s="6" t="n"/>
      <c r="Z132" s="458" t="n"/>
      <c r="AA132" s="458" t="n"/>
    </row>
    <row r="133" hidden="1" customFormat="1" s="4">
      <c r="B133" s="626" t="inlineStr">
        <is>
          <t>法定盈餘公基金(10%)</t>
        </is>
      </c>
      <c r="C133" s="2066">
        <f>-#REF!</f>
        <v/>
      </c>
      <c r="D133" s="714" t="n">
        <v>0.1</v>
      </c>
      <c r="E133" s="647" t="n"/>
      <c r="F133" s="644" t="n"/>
      <c r="G133" s="645" t="n"/>
      <c r="H133" s="6" t="n"/>
      <c r="I133" s="6" t="n"/>
      <c r="J133" s="6" t="n"/>
      <c r="K133" s="6" t="n"/>
      <c r="L133" s="6" t="n"/>
      <c r="M133" s="6" t="n"/>
      <c r="N133" s="0" t="n"/>
      <c r="O133" s="6" t="n"/>
      <c r="P133" s="6" t="n"/>
      <c r="Q133" s="6" t="n"/>
      <c r="R133" s="6" t="n"/>
      <c r="S133" s="6" t="n"/>
      <c r="T133" s="6" t="n"/>
      <c r="U133" s="6" t="n"/>
      <c r="V133" s="6" t="n"/>
      <c r="Z133" s="458" t="n"/>
      <c r="AA133" s="458" t="n"/>
    </row>
    <row r="134" hidden="1" customFormat="1" s="4">
      <c r="B134" s="626" t="inlineStr">
        <is>
          <t>營運週轉金</t>
        </is>
      </c>
      <c r="C134" s="2066">
        <f>-#REF!</f>
        <v/>
      </c>
      <c r="D134" s="714" t="n">
        <v>0.4</v>
      </c>
      <c r="E134" s="647" t="n"/>
      <c r="F134" s="644" t="n"/>
      <c r="G134" s="645" t="n"/>
      <c r="H134" s="6" t="n"/>
      <c r="I134" s="6" t="n"/>
      <c r="J134" s="6" t="n"/>
      <c r="K134" s="6" t="n"/>
      <c r="L134" s="6" t="n"/>
      <c r="M134" s="6" t="n"/>
      <c r="N134" s="0" t="n"/>
      <c r="O134" s="6" t="n"/>
      <c r="P134" s="6" t="n"/>
      <c r="Q134" s="6" t="n"/>
      <c r="R134" s="6" t="n"/>
      <c r="S134" s="6" t="n"/>
      <c r="T134" s="6" t="n"/>
      <c r="U134" s="6" t="n"/>
      <c r="V134" s="6" t="n"/>
      <c r="Z134" s="458" t="n"/>
      <c r="AA134" s="458" t="n"/>
    </row>
    <row r="135" hidden="1" customFormat="1" s="4">
      <c r="B135" s="626" t="inlineStr">
        <is>
          <t>初始資金需求</t>
        </is>
      </c>
      <c r="C135" s="2066">
        <f>C122</f>
        <v/>
      </c>
      <c r="D135" s="2074" t="inlineStr">
        <is>
          <t>原始資金需求</t>
        </is>
      </c>
      <c r="E135" s="1647" t="n"/>
      <c r="F135" s="1647" t="n"/>
      <c r="G135" s="1648" t="n"/>
      <c r="H135" s="6" t="n"/>
      <c r="I135" s="2075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Z135" s="458" t="n"/>
      <c r="AA135" s="458" t="n"/>
    </row>
    <row r="136" customFormat="1" s="4">
      <c r="B136" s="626" t="inlineStr">
        <is>
          <t>折扣率(%)</t>
        </is>
      </c>
      <c r="C136" s="752" t="n">
        <v>0</v>
      </c>
      <c r="D136" s="1431" t="inlineStr">
        <is>
          <t>競標型</t>
        </is>
      </c>
      <c r="E136" s="631" t="n"/>
      <c r="F136" s="631" t="n"/>
      <c r="G136" s="632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Z136" s="458" t="n"/>
      <c r="AA136" s="458" t="n"/>
    </row>
    <row r="137" customFormat="1" s="4">
      <c r="B137" s="626" t="inlineStr">
        <is>
          <t>高效加成%</t>
        </is>
      </c>
      <c r="C137" s="752" t="n"/>
      <c r="D137" s="634" t="n"/>
      <c r="E137" s="631" t="n"/>
      <c r="F137" s="631" t="n"/>
      <c r="G137" s="632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Z137" s="458" t="n"/>
      <c r="AA137" s="458" t="n"/>
    </row>
    <row r="138" customFormat="1" s="4">
      <c r="B138" s="754" t="inlineStr">
        <is>
          <t>最終躉售費率</t>
        </is>
      </c>
      <c r="C138" s="2076" t="n"/>
      <c r="D138" s="634" t="n"/>
      <c r="E138" s="631" t="n"/>
      <c r="F138" s="631" t="n"/>
      <c r="G138" s="632" t="n"/>
      <c r="H138" s="6" t="n"/>
      <c r="I138" s="649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Z138" s="458" t="n"/>
      <c r="AA138" s="458" t="n"/>
    </row>
    <row r="139" customFormat="1" s="4">
      <c r="B139" s="650" t="inlineStr">
        <is>
          <t>Internal Rate of Return; IRR (%)</t>
        </is>
      </c>
      <c r="C139" s="759">
        <f>C80</f>
        <v/>
      </c>
      <c r="D139" s="651" t="n"/>
      <c r="E139" s="631" t="n"/>
      <c r="F139" s="631" t="n"/>
      <c r="G139" s="652" t="n"/>
      <c r="H139" s="0" t="n"/>
      <c r="I139" s="340" t="n"/>
      <c r="Z139" s="458" t="n"/>
      <c r="AA139" s="458" t="n"/>
    </row>
    <row r="140" customFormat="1" s="4">
      <c r="B140" s="6" t="n"/>
      <c r="C140" s="2077" t="n"/>
      <c r="D140" s="7" t="n"/>
      <c r="E140" s="6" t="n"/>
      <c r="F140" s="6" t="n"/>
      <c r="G140" s="5" t="n"/>
      <c r="H140" s="0" t="n"/>
      <c r="I140" s="6" t="n"/>
      <c r="Z140" s="458" t="n"/>
      <c r="AA140" s="458" t="n"/>
    </row>
    <row r="141" customFormat="1" s="4">
      <c r="Z141" s="458" t="n"/>
      <c r="AA141" s="458" t="n"/>
    </row>
    <row r="142" customFormat="1" s="4">
      <c r="Z142" s="458" t="n"/>
      <c r="AA142" s="458" t="n"/>
    </row>
    <row r="143" ht="30" customFormat="1" customHeight="1" s="4">
      <c r="C143" s="715" t="inlineStr">
        <is>
          <t>進度</t>
        </is>
      </c>
      <c r="D143" s="715" t="inlineStr">
        <is>
          <t>年度</t>
        </is>
      </c>
      <c r="E143" s="715" t="inlineStr">
        <is>
          <t>Site</t>
        </is>
      </c>
      <c r="F143" s="715" t="inlineStr">
        <is>
          <t>地 點</t>
        </is>
      </c>
      <c r="G143" s="715" t="inlineStr">
        <is>
          <t>案件名</t>
        </is>
      </c>
      <c r="H143" s="715" t="inlineStr">
        <is>
          <t>類型</t>
        </is>
      </c>
      <c r="I143" s="715" t="inlineStr">
        <is>
          <t>轉售</t>
        </is>
      </c>
      <c r="J143" s="716" t="inlineStr">
        <is>
          <t>容 量
(Kw)</t>
        </is>
      </c>
      <c r="K143" s="715" t="inlineStr">
        <is>
          <t>IRR</t>
        </is>
      </c>
      <c r="L143" s="717" t="inlineStr">
        <is>
          <t>毛利率</t>
        </is>
      </c>
      <c r="M143" s="715" t="inlineStr">
        <is>
          <t>稅前淨利率</t>
        </is>
      </c>
      <c r="N143" s="717" t="inlineStr">
        <is>
          <t>稅後淨利率</t>
        </is>
      </c>
      <c r="O143" s="716" t="inlineStr">
        <is>
          <t>總建置成本
(NTD仟元)</t>
        </is>
      </c>
      <c r="P143" s="716" t="inlineStr">
        <is>
          <t>總發電收入
(NTD仟元)</t>
        </is>
      </c>
      <c r="Q143" s="716" t="inlineStr">
        <is>
          <t>累計費用
(NTD仟元)</t>
        </is>
      </c>
      <c r="R143" s="716" t="inlineStr">
        <is>
          <t>累積稅金
(NTD仟元)</t>
        </is>
      </c>
      <c r="S143" s="716" t="inlineStr">
        <is>
          <t>專案淨利
(NTD仟元)</t>
        </is>
      </c>
      <c r="T143" s="716" t="inlineStr">
        <is>
          <t>專案稅後淨利
(NTD仟元)</t>
        </is>
      </c>
      <c r="U143" s="718" t="inlineStr">
        <is>
          <t>備 註</t>
        </is>
      </c>
      <c r="Z143" s="458" t="n"/>
      <c r="AA143" s="458" t="n"/>
    </row>
    <row r="144" customFormat="1" s="4">
      <c r="C144" s="640" t="n"/>
      <c r="D144" s="640" t="n"/>
      <c r="E144" s="640" t="n"/>
      <c r="F144" s="640" t="n"/>
      <c r="G144" s="640" t="n"/>
      <c r="H144" s="640" t="n"/>
      <c r="I144" s="640" t="n"/>
      <c r="J144" s="2078">
        <f>C65</f>
        <v/>
      </c>
      <c r="K144" s="720">
        <f>C80</f>
        <v/>
      </c>
      <c r="L144" s="720">
        <f>(P144-O144)/P144</f>
        <v/>
      </c>
      <c r="M144" s="720">
        <f>S144/P144</f>
        <v/>
      </c>
      <c r="N144" s="720">
        <f>T144/P144</f>
        <v/>
      </c>
      <c r="O144" s="2079">
        <f>C122/1000</f>
        <v/>
      </c>
      <c r="P144" s="2080">
        <f>Z88/1000</f>
        <v/>
      </c>
      <c r="Q144" s="2080">
        <f>AA97/1000</f>
        <v/>
      </c>
      <c r="R144" s="2080">
        <f>Z101/1000</f>
        <v/>
      </c>
      <c r="S144" s="2080">
        <f>P144+Q144</f>
        <v/>
      </c>
      <c r="T144" s="2080">
        <f>P144+Q144+R144</f>
        <v/>
      </c>
      <c r="U144" s="640" t="n"/>
      <c r="Z144" s="458" t="n"/>
      <c r="AA144" s="458" t="n"/>
    </row>
    <row r="145" customFormat="1" s="4">
      <c r="Z145" s="458" t="n"/>
      <c r="AA145" s="458" t="n"/>
    </row>
    <row r="146" customFormat="1" s="4">
      <c r="Z146" s="458" t="n"/>
      <c r="AA146" s="458" t="n"/>
    </row>
    <row r="147" customFormat="1" s="4">
      <c r="C147" s="457" t="inlineStr">
        <is>
          <t>年份</t>
        </is>
      </c>
      <c r="D147" s="470" t="n">
        <v>2020</v>
      </c>
      <c r="E147" s="470" t="n">
        <v>2021</v>
      </c>
      <c r="F147" s="470" t="n">
        <v>2022</v>
      </c>
      <c r="G147" s="470" t="n">
        <v>2023</v>
      </c>
      <c r="H147" s="470" t="n">
        <v>2024</v>
      </c>
      <c r="I147" s="470" t="n">
        <v>2025</v>
      </c>
      <c r="J147" s="470" t="n">
        <v>2026</v>
      </c>
      <c r="K147" s="470" t="n">
        <v>2027</v>
      </c>
      <c r="L147" s="470" t="n">
        <v>2028</v>
      </c>
      <c r="M147" s="470" t="n">
        <v>2029</v>
      </c>
      <c r="N147" s="470" t="n">
        <v>2030</v>
      </c>
      <c r="O147" s="470" t="n">
        <v>2031</v>
      </c>
      <c r="P147" s="470" t="n">
        <v>2032</v>
      </c>
      <c r="Q147" s="470" t="n">
        <v>2033</v>
      </c>
      <c r="R147" s="470" t="n">
        <v>2034</v>
      </c>
      <c r="S147" s="470" t="n">
        <v>2035</v>
      </c>
      <c r="T147" s="470" t="n">
        <v>2036</v>
      </c>
      <c r="U147" s="470" t="n">
        <v>2037</v>
      </c>
      <c r="V147" s="470" t="n">
        <v>2038</v>
      </c>
      <c r="W147" s="470" t="n">
        <v>2039</v>
      </c>
      <c r="X147" s="458" t="n"/>
      <c r="Y147" s="458" t="n"/>
    </row>
    <row r="148" customFormat="1" s="4">
      <c r="X148" s="458" t="n"/>
      <c r="Y148" s="458" t="n"/>
    </row>
    <row r="149" ht="15.75" customFormat="1" customHeight="1" s="464">
      <c r="B149" s="456" t="inlineStr">
        <is>
          <t>(Unit : Currency)</t>
        </is>
      </c>
      <c r="C149" s="456" t="n">
        <v>0</v>
      </c>
      <c r="D149" s="456" t="n">
        <v>1</v>
      </c>
      <c r="E149" s="456" t="n">
        <v>2</v>
      </c>
      <c r="F149" s="456" t="n">
        <v>3</v>
      </c>
      <c r="G149" s="456" t="n">
        <v>4</v>
      </c>
      <c r="H149" s="456" t="n">
        <v>5</v>
      </c>
      <c r="I149" s="456" t="n">
        <v>6</v>
      </c>
      <c r="J149" s="456" t="n">
        <v>7</v>
      </c>
      <c r="K149" s="456" t="n">
        <v>8</v>
      </c>
      <c r="L149" s="456" t="n">
        <v>9</v>
      </c>
      <c r="M149" s="456" t="n">
        <v>10</v>
      </c>
      <c r="N149" s="456" t="n">
        <v>11</v>
      </c>
      <c r="O149" s="456" t="n">
        <v>12</v>
      </c>
      <c r="P149" s="456" t="n">
        <v>13</v>
      </c>
      <c r="Q149" s="456" t="n">
        <v>14</v>
      </c>
      <c r="R149" s="456" t="n">
        <v>15</v>
      </c>
      <c r="S149" s="456" t="n">
        <v>16</v>
      </c>
      <c r="T149" s="456" t="n">
        <v>17</v>
      </c>
      <c r="U149" s="456" t="n">
        <v>18</v>
      </c>
      <c r="V149" s="456" t="n">
        <v>19</v>
      </c>
      <c r="W149" s="456" t="n">
        <v>20</v>
      </c>
      <c r="X149" s="455" t="n"/>
      <c r="Y149" s="455" t="n"/>
    </row>
    <row r="150" ht="15.75" customFormat="1" customHeight="1" s="459">
      <c r="B150" s="469" t="inlineStr">
        <is>
          <t>稅後淨利</t>
        </is>
      </c>
      <c r="C150" s="469" t="n"/>
      <c r="D150" s="2081">
        <f>D102</f>
        <v/>
      </c>
      <c r="E150" s="2081">
        <f>E102</f>
        <v/>
      </c>
      <c r="F150" s="2081">
        <f>F102</f>
        <v/>
      </c>
      <c r="G150" s="2081">
        <f>G102</f>
        <v/>
      </c>
      <c r="H150" s="2081">
        <f>H102</f>
        <v/>
      </c>
      <c r="I150" s="2081">
        <f>I102</f>
        <v/>
      </c>
      <c r="J150" s="2081">
        <f>J102</f>
        <v/>
      </c>
      <c r="K150" s="2081">
        <f>K102</f>
        <v/>
      </c>
      <c r="L150" s="2081">
        <f>L102</f>
        <v/>
      </c>
      <c r="M150" s="2081">
        <f>M102</f>
        <v/>
      </c>
      <c r="N150" s="2081">
        <f>N102</f>
        <v/>
      </c>
      <c r="O150" s="2081">
        <f>O102</f>
        <v/>
      </c>
      <c r="P150" s="2081">
        <f>P102</f>
        <v/>
      </c>
      <c r="Q150" s="2081">
        <f>Q102</f>
        <v/>
      </c>
      <c r="R150" s="2081">
        <f>R102</f>
        <v/>
      </c>
      <c r="S150" s="2081">
        <f>S102</f>
        <v/>
      </c>
      <c r="T150" s="2081">
        <f>T102</f>
        <v/>
      </c>
      <c r="U150" s="2081">
        <f>U102</f>
        <v/>
      </c>
      <c r="V150" s="2081">
        <f>V102</f>
        <v/>
      </c>
      <c r="W150" s="2081">
        <f>W102</f>
        <v/>
      </c>
      <c r="X150" s="2082">
        <f>SUM(D150:W150)</f>
        <v/>
      </c>
      <c r="Y150" s="2001">
        <f>IF(ROUND((Z102-X150),0)=0,"correct", "error")</f>
        <v/>
      </c>
    </row>
    <row r="151" ht="15.75" customFormat="1" customHeight="1" s="459">
      <c r="B151" s="469" t="inlineStr">
        <is>
          <t>設備折舊</t>
        </is>
      </c>
      <c r="C151" s="469" t="n"/>
      <c r="D151" s="2083">
        <f>-D90</f>
        <v/>
      </c>
      <c r="E151" s="2083">
        <f>-E90</f>
        <v/>
      </c>
      <c r="F151" s="2083">
        <f>-F90</f>
        <v/>
      </c>
      <c r="G151" s="2083">
        <f>-G90</f>
        <v/>
      </c>
      <c r="H151" s="2083">
        <f>-H90</f>
        <v/>
      </c>
      <c r="I151" s="2083">
        <f>-I90</f>
        <v/>
      </c>
      <c r="J151" s="2083">
        <f>-J90</f>
        <v/>
      </c>
      <c r="K151" s="2083">
        <f>-K90</f>
        <v/>
      </c>
      <c r="L151" s="2083">
        <f>-L90</f>
        <v/>
      </c>
      <c r="M151" s="2083">
        <f>-M90</f>
        <v/>
      </c>
      <c r="N151" s="2083">
        <f>-N90</f>
        <v/>
      </c>
      <c r="O151" s="2083">
        <f>-O90</f>
        <v/>
      </c>
      <c r="P151" s="2083">
        <f>-P90</f>
        <v/>
      </c>
      <c r="Q151" s="2083">
        <f>-Q90</f>
        <v/>
      </c>
      <c r="R151" s="2083">
        <f>-R90</f>
        <v/>
      </c>
      <c r="S151" s="2083">
        <f>-S90</f>
        <v/>
      </c>
      <c r="T151" s="2083">
        <f>-T90</f>
        <v/>
      </c>
      <c r="U151" s="2083">
        <f>-U90</f>
        <v/>
      </c>
      <c r="V151" s="2083">
        <f>-V90</f>
        <v/>
      </c>
      <c r="W151" s="2083">
        <f>-W90</f>
        <v/>
      </c>
      <c r="X151" s="2082">
        <f>SUM(D151:W151)</f>
        <v/>
      </c>
      <c r="Y151" s="2001">
        <f>IF(ROUND((X151-Z106),0)=0,"correct", "error")</f>
        <v/>
      </c>
    </row>
    <row r="152" ht="15.75" customFormat="1" customHeight="1" s="459">
      <c r="B152" s="469" t="inlineStr">
        <is>
          <t>營運活動現金流量</t>
        </is>
      </c>
      <c r="C152" s="469" t="n"/>
      <c r="D152" s="2084">
        <f>SUM(D150:D151)</f>
        <v/>
      </c>
      <c r="E152" s="2084">
        <f>SUM(E150:E151)</f>
        <v/>
      </c>
      <c r="F152" s="2084">
        <f>SUM(F150:F151)</f>
        <v/>
      </c>
      <c r="G152" s="2084">
        <f>SUM(G150:G151)</f>
        <v/>
      </c>
      <c r="H152" s="2084">
        <f>SUM(H150:H151)</f>
        <v/>
      </c>
      <c r="I152" s="2084">
        <f>SUM(I150:I151)</f>
        <v/>
      </c>
      <c r="J152" s="2084">
        <f>SUM(J150:J151)</f>
        <v/>
      </c>
      <c r="K152" s="2084">
        <f>SUM(K150:K151)</f>
        <v/>
      </c>
      <c r="L152" s="2084">
        <f>SUM(L150:L151)</f>
        <v/>
      </c>
      <c r="M152" s="2084">
        <f>SUM(M150:M151)</f>
        <v/>
      </c>
      <c r="N152" s="2084">
        <f>SUM(N150:N151)</f>
        <v/>
      </c>
      <c r="O152" s="2084">
        <f>SUM(O150:O151)</f>
        <v/>
      </c>
      <c r="P152" s="2084">
        <f>SUM(P150:P151)</f>
        <v/>
      </c>
      <c r="Q152" s="2084">
        <f>SUM(Q150:Q151)</f>
        <v/>
      </c>
      <c r="R152" s="2084">
        <f>SUM(R150:R151)</f>
        <v/>
      </c>
      <c r="S152" s="2084">
        <f>SUM(S150:S151)</f>
        <v/>
      </c>
      <c r="T152" s="2084">
        <f>SUM(T150:T151)</f>
        <v/>
      </c>
      <c r="U152" s="2084">
        <f>SUM(U150:U151)</f>
        <v/>
      </c>
      <c r="V152" s="2084">
        <f>SUM(V150:V151)</f>
        <v/>
      </c>
      <c r="W152" s="2084">
        <f>SUM(W150:W151)</f>
        <v/>
      </c>
      <c r="X152" s="2082" t="n"/>
      <c r="Y152" s="2082" t="n"/>
    </row>
    <row r="153" ht="15.75" customFormat="1" customHeight="1" s="459">
      <c r="B153" s="469" t="n"/>
      <c r="C153" s="469" t="n"/>
      <c r="D153" s="469" t="n"/>
      <c r="E153" s="469" t="n"/>
      <c r="F153" s="2081" t="n"/>
      <c r="G153" s="2081" t="n"/>
      <c r="H153" s="2081" t="n"/>
      <c r="I153" s="2081" t="n"/>
      <c r="J153" s="2081" t="n"/>
      <c r="K153" s="2081" t="n"/>
      <c r="L153" s="2081" t="n"/>
      <c r="M153" s="2081" t="n"/>
      <c r="N153" s="2081" t="n"/>
      <c r="O153" s="2081" t="n"/>
      <c r="P153" s="2081" t="n"/>
      <c r="Q153" s="2081" t="n"/>
      <c r="R153" s="2081" t="n"/>
      <c r="S153" s="2081" t="n"/>
      <c r="T153" s="2081" t="n"/>
      <c r="U153" s="2081" t="n"/>
      <c r="V153" s="2081" t="n"/>
      <c r="W153" s="2081" t="n"/>
      <c r="X153" s="2082" t="n"/>
      <c r="Y153" s="458" t="n"/>
    </row>
    <row r="154" ht="15.75" customFormat="1" customHeight="1" s="459">
      <c r="B154" s="471" t="inlineStr">
        <is>
          <t>投資活動-設備支出</t>
        </is>
      </c>
      <c r="C154" s="2085" t="n"/>
      <c r="D154" s="2085">
        <f>C37</f>
        <v/>
      </c>
      <c r="E154" s="2085" t="n">
        <v>0</v>
      </c>
      <c r="F154" s="2085" t="n"/>
      <c r="G154" s="2085" t="n">
        <v>0</v>
      </c>
      <c r="H154" s="2085" t="n">
        <v>0</v>
      </c>
      <c r="I154" s="2085" t="n">
        <v>0</v>
      </c>
      <c r="J154" s="2085" t="n">
        <v>0</v>
      </c>
      <c r="K154" s="2085" t="n">
        <v>0</v>
      </c>
      <c r="L154" s="2085" t="n">
        <v>0</v>
      </c>
      <c r="M154" s="2085" t="n">
        <v>0</v>
      </c>
      <c r="N154" s="2085" t="n">
        <v>0</v>
      </c>
      <c r="O154" s="2085" t="n">
        <v>0</v>
      </c>
      <c r="P154" s="2085" t="n">
        <v>0</v>
      </c>
      <c r="Q154" s="2085" t="n">
        <v>0</v>
      </c>
      <c r="R154" s="2085" t="n">
        <v>0</v>
      </c>
      <c r="S154" s="2085" t="n">
        <v>0</v>
      </c>
      <c r="T154" s="2085" t="n">
        <v>0</v>
      </c>
      <c r="U154" s="2085" t="n">
        <v>0</v>
      </c>
      <c r="V154" s="2085" t="n">
        <v>0</v>
      </c>
      <c r="W154" s="2085" t="n">
        <v>0</v>
      </c>
      <c r="X154" s="2082">
        <f>SUM(D154:W154)</f>
        <v/>
      </c>
      <c r="Y154" s="2001">
        <f>IF(ROUND((X151+X154),0)=0,"correct", "error")</f>
        <v/>
      </c>
    </row>
    <row r="155" ht="15.75" customFormat="1" customHeight="1" s="459">
      <c r="B155" s="469" t="n"/>
      <c r="C155" s="469" t="n"/>
      <c r="D155" s="469" t="n"/>
      <c r="E155" s="469" t="n"/>
      <c r="F155" s="2081" t="n"/>
      <c r="G155" s="2081" t="n"/>
      <c r="H155" s="2081" t="n"/>
      <c r="I155" s="2081" t="n"/>
      <c r="J155" s="2081" t="n"/>
      <c r="K155" s="2081" t="n"/>
      <c r="L155" s="2081" t="n"/>
      <c r="M155" s="2081" t="n"/>
      <c r="N155" s="2081" t="n"/>
      <c r="O155" s="2081" t="n"/>
      <c r="P155" s="2081" t="n"/>
      <c r="Q155" s="2081" t="n"/>
      <c r="R155" s="2081" t="n"/>
      <c r="S155" s="2081" t="n"/>
      <c r="T155" s="2081" t="n"/>
      <c r="U155" s="2081" t="n"/>
      <c r="V155" s="2081" t="n"/>
      <c r="W155" s="2081" t="n"/>
      <c r="X155" s="458" t="n"/>
      <c r="Y155" s="458" t="n"/>
    </row>
    <row r="156" ht="15.75" customFormat="1" customHeight="1" s="459">
      <c r="B156" s="469" t="n"/>
      <c r="C156" s="469" t="n"/>
      <c r="D156" s="469" t="n"/>
      <c r="E156" s="469" t="n"/>
      <c r="F156" s="2081" t="n"/>
      <c r="G156" s="2081" t="n"/>
      <c r="H156" s="2081" t="n"/>
      <c r="I156" s="2081" t="n"/>
      <c r="J156" s="2081" t="n"/>
      <c r="K156" s="2081" t="n"/>
      <c r="L156" s="2081" t="n"/>
      <c r="M156" s="2081" t="n"/>
      <c r="N156" s="2081" t="n"/>
      <c r="O156" s="2081" t="n"/>
      <c r="P156" s="2081" t="n"/>
      <c r="Q156" s="2081" t="n"/>
      <c r="R156" s="2081" t="n"/>
      <c r="S156" s="2081" t="n"/>
      <c r="T156" s="2081" t="n"/>
      <c r="U156" s="2081" t="n"/>
      <c r="V156" s="2081" t="n"/>
      <c r="W156" s="2081" t="n"/>
      <c r="X156" s="458" t="n"/>
      <c r="Y156" s="458" t="n"/>
    </row>
    <row r="157" ht="15.75" customFormat="1" customHeight="1" s="459">
      <c r="B157" s="471" t="inlineStr">
        <is>
          <t>理財活動-借款</t>
        </is>
      </c>
      <c r="C157" s="2085" t="n"/>
      <c r="D157" s="2085">
        <f>Z28*0.75</f>
        <v/>
      </c>
      <c r="E157" s="2085" t="n"/>
      <c r="F157" s="2085" t="n"/>
      <c r="G157" s="2085" t="n">
        <v>0</v>
      </c>
      <c r="H157" s="2085" t="n">
        <v>0</v>
      </c>
      <c r="I157" s="2085" t="n">
        <v>0</v>
      </c>
      <c r="J157" s="2085" t="n">
        <v>0</v>
      </c>
      <c r="K157" s="2085" t="n">
        <v>0</v>
      </c>
      <c r="L157" s="2085" t="n">
        <v>0</v>
      </c>
      <c r="M157" s="2085" t="n">
        <v>0</v>
      </c>
      <c r="N157" s="2085" t="n">
        <v>0</v>
      </c>
      <c r="O157" s="2085" t="n">
        <v>0</v>
      </c>
      <c r="P157" s="2085" t="n">
        <v>0</v>
      </c>
      <c r="Q157" s="2085" t="n">
        <v>0</v>
      </c>
      <c r="R157" s="2085" t="n">
        <v>0</v>
      </c>
      <c r="S157" s="2085" t="n">
        <v>0</v>
      </c>
      <c r="T157" s="2085" t="n">
        <v>0</v>
      </c>
      <c r="U157" s="2085" t="n">
        <v>0</v>
      </c>
      <c r="V157" s="2085" t="n">
        <v>0</v>
      </c>
      <c r="W157" s="2085" t="n">
        <v>0</v>
      </c>
      <c r="X157" s="2082">
        <f>SUM(D157:W157)</f>
        <v/>
      </c>
      <c r="Y157" s="458" t="n"/>
    </row>
    <row r="158" ht="15.75" customFormat="1" customHeight="1" s="459">
      <c r="B158" s="469" t="inlineStr">
        <is>
          <t>理財活動-還款</t>
        </is>
      </c>
      <c r="C158" s="469" t="n"/>
      <c r="D158" s="469" t="n"/>
      <c r="E158" s="2081">
        <f>-$D$182</f>
        <v/>
      </c>
      <c r="F158" s="2081">
        <f>-$D$182</f>
        <v/>
      </c>
      <c r="G158" s="2081">
        <f>-$D$182</f>
        <v/>
      </c>
      <c r="H158" s="2081">
        <f>-$D$182</f>
        <v/>
      </c>
      <c r="I158" s="2081">
        <f>-$D$182</f>
        <v/>
      </c>
      <c r="J158" s="2081">
        <f>-$D$182</f>
        <v/>
      </c>
      <c r="K158" s="2081">
        <f>-$D$182</f>
        <v/>
      </c>
      <c r="L158" s="2081">
        <f>-$D$182</f>
        <v/>
      </c>
      <c r="M158" s="2081">
        <f>-$D$182</f>
        <v/>
      </c>
      <c r="N158" s="2081">
        <f>-$D$182</f>
        <v/>
      </c>
      <c r="O158" s="2081">
        <f>-$D$182</f>
        <v/>
      </c>
      <c r="P158" s="2081">
        <f>-$D$182</f>
        <v/>
      </c>
      <c r="Q158" s="2081">
        <f>-$D$182</f>
        <v/>
      </c>
      <c r="R158" s="2081">
        <f>-$D$182</f>
        <v/>
      </c>
      <c r="S158" s="2081">
        <f>-$D$182</f>
        <v/>
      </c>
      <c r="T158" s="2081" t="n"/>
      <c r="U158" s="2081" t="n"/>
      <c r="V158" s="2081" t="n"/>
      <c r="W158" s="2081" t="n"/>
      <c r="X158" s="2082">
        <f>SUM(D158:W158)</f>
        <v/>
      </c>
      <c r="Y158" s="2001">
        <f>IF(ROUND((X157+X158),0)=0,"correct", "error")</f>
        <v/>
      </c>
      <c r="Z158" s="2086" t="n"/>
    </row>
    <row r="159" ht="15.75" customFormat="1" customHeight="1" s="459">
      <c r="B159" s="2081" t="inlineStr">
        <is>
          <t>理財活動-現金增資</t>
        </is>
      </c>
      <c r="C159" s="2081" t="n"/>
      <c r="D159" s="2081">
        <f>Z28*0.25</f>
        <v/>
      </c>
      <c r="E159" s="2081" t="n"/>
      <c r="F159" s="2081" t="n"/>
      <c r="G159" s="2081" t="n"/>
      <c r="H159" s="2081" t="n"/>
      <c r="I159" s="2081" t="n"/>
      <c r="J159" s="2081" t="n"/>
      <c r="K159" s="2081" t="n"/>
      <c r="L159" s="2081" t="n"/>
      <c r="M159" s="2081" t="n"/>
      <c r="N159" s="2081" t="n"/>
      <c r="O159" s="2081" t="n"/>
      <c r="P159" s="2081" t="n"/>
      <c r="Q159" s="2081" t="n"/>
      <c r="R159" s="2081" t="n"/>
      <c r="S159" s="2081" t="n"/>
      <c r="T159" s="2081" t="n"/>
      <c r="U159" s="2081" t="n"/>
      <c r="V159" s="2081" t="n"/>
      <c r="W159" s="2081" t="n"/>
      <c r="X159" s="2082" t="n"/>
      <c r="Y159" s="2082" t="n"/>
      <c r="Z159" s="2086" t="n"/>
    </row>
    <row r="160" ht="15.75" customFormat="1" customHeight="1" s="459">
      <c r="B160" s="2081" t="inlineStr">
        <is>
          <t>現金股利</t>
        </is>
      </c>
      <c r="C160" s="2081" t="n"/>
      <c r="D160" s="2081" t="n"/>
      <c r="E160" s="2087">
        <f>-D150*0.9</f>
        <v/>
      </c>
      <c r="F160" s="2081">
        <f>-E150*0.9</f>
        <v/>
      </c>
      <c r="G160" s="2081">
        <f>-F150*0.9</f>
        <v/>
      </c>
      <c r="H160" s="2081">
        <f>-G150*0.9</f>
        <v/>
      </c>
      <c r="I160" s="2081">
        <f>-H150*0.9</f>
        <v/>
      </c>
      <c r="J160" s="2081">
        <f>-I150*0.9</f>
        <v/>
      </c>
      <c r="K160" s="2081">
        <f>-J150*0.9</f>
        <v/>
      </c>
      <c r="L160" s="2081">
        <f>-K150*0.9</f>
        <v/>
      </c>
      <c r="M160" s="2081">
        <f>-L150*0.9</f>
        <v/>
      </c>
      <c r="N160" s="2081">
        <f>-M150*0.9</f>
        <v/>
      </c>
      <c r="O160" s="2081">
        <f>-N150*0.9</f>
        <v/>
      </c>
      <c r="P160" s="2081">
        <f>-O150*0.9</f>
        <v/>
      </c>
      <c r="Q160" s="2081">
        <f>-P150*0.9</f>
        <v/>
      </c>
      <c r="R160" s="2081">
        <f>-Q150*0.9</f>
        <v/>
      </c>
      <c r="S160" s="2081">
        <f>-R150*0.9</f>
        <v/>
      </c>
      <c r="T160" s="2081">
        <f>-S150*0.9</f>
        <v/>
      </c>
      <c r="U160" s="2081">
        <f>-T150*0.9</f>
        <v/>
      </c>
      <c r="V160" s="2081">
        <f>-U150*0.9</f>
        <v/>
      </c>
      <c r="W160" s="2081">
        <f>-V150*0.9</f>
        <v/>
      </c>
      <c r="X160" s="2081">
        <f>-W150</f>
        <v/>
      </c>
      <c r="Y160" s="2082" t="n"/>
      <c r="Z160" s="2082" t="n"/>
    </row>
    <row r="161" ht="15.75" customFormat="1" customHeight="1" s="459">
      <c r="B161" s="2088" t="inlineStr">
        <is>
          <t>年底減資</t>
        </is>
      </c>
      <c r="C161" s="2088" t="n"/>
      <c r="D161" s="2088" t="n"/>
      <c r="E161" s="2088" t="n"/>
      <c r="F161" s="2088" t="n"/>
      <c r="G161" s="2088" t="n"/>
      <c r="H161" s="2088" t="n"/>
      <c r="I161" s="2088" t="n"/>
      <c r="J161" s="2088" t="n"/>
      <c r="K161" s="2088" t="n"/>
      <c r="L161" s="2088" t="n"/>
      <c r="M161" s="2088" t="n"/>
      <c r="N161" s="2088" t="n"/>
      <c r="O161" s="2088" t="n"/>
      <c r="P161" s="2088" t="n"/>
      <c r="Q161" s="2088" t="n"/>
      <c r="R161" s="2088" t="n"/>
      <c r="S161" s="2088" t="n"/>
      <c r="T161" s="2088">
        <f>-$D$159/4</f>
        <v/>
      </c>
      <c r="U161" s="2088">
        <f>-$D$159/4</f>
        <v/>
      </c>
      <c r="V161" s="2088">
        <f>-$D$159/4</f>
        <v/>
      </c>
      <c r="W161" s="2088">
        <f>-$D$159/4</f>
        <v/>
      </c>
      <c r="X161" s="2081">
        <f>-W166-X160</f>
        <v/>
      </c>
      <c r="Y161" s="2082">
        <f>SUM(T161:W161)</f>
        <v/>
      </c>
      <c r="Z161" s="2082">
        <f>IF(ROUND((D159+Y161),0)=0,"correct", "error")</f>
        <v/>
      </c>
    </row>
    <row r="162" ht="15.75" customFormat="1" customHeight="1" s="459">
      <c r="B162" s="2081" t="n"/>
      <c r="C162" s="2081" t="n"/>
      <c r="D162" s="2081" t="n"/>
      <c r="E162" s="2081" t="n"/>
      <c r="F162" s="2081" t="n"/>
      <c r="G162" s="2081" t="n"/>
      <c r="H162" s="2081" t="n"/>
      <c r="I162" s="2081" t="n"/>
      <c r="J162" s="2081" t="n"/>
      <c r="K162" s="2081" t="n"/>
      <c r="L162" s="2081" t="n"/>
      <c r="M162" s="2081" t="n"/>
      <c r="N162" s="2081" t="n"/>
      <c r="O162" s="2081" t="n"/>
      <c r="P162" s="2081" t="n"/>
      <c r="Q162" s="2081" t="n"/>
      <c r="R162" s="2081" t="n"/>
      <c r="S162" s="2081" t="n"/>
      <c r="T162" s="2081" t="n"/>
      <c r="U162" s="2081" t="n"/>
      <c r="V162" s="2081" t="n"/>
      <c r="W162" s="2081" t="n"/>
      <c r="X162" s="2081" t="n"/>
      <c r="Y162" s="2082" t="n"/>
      <c r="Z162" s="458" t="n"/>
    </row>
    <row r="163" ht="15.75" customFormat="1" customHeight="1" s="459">
      <c r="B163" s="2081" t="n"/>
      <c r="C163" s="2081" t="n"/>
      <c r="D163" s="2081" t="n"/>
      <c r="E163" s="2081" t="n"/>
      <c r="F163" s="2081" t="n"/>
      <c r="G163" s="2081" t="n"/>
      <c r="H163" s="2081" t="n"/>
      <c r="I163" s="2081" t="n"/>
      <c r="J163" s="2081" t="n"/>
      <c r="K163" s="2081" t="n"/>
      <c r="L163" s="2081" t="n"/>
      <c r="M163" s="2081" t="n"/>
      <c r="N163" s="2081" t="n"/>
      <c r="O163" s="2081" t="n"/>
      <c r="P163" s="2081" t="n"/>
      <c r="Q163" s="2081" t="n"/>
      <c r="R163" s="2081" t="n"/>
      <c r="S163" s="2081" t="n"/>
      <c r="T163" s="2081" t="n"/>
      <c r="U163" s="2081" t="n"/>
      <c r="V163" s="2081" t="n"/>
      <c r="W163" s="2081" t="n"/>
      <c r="X163" s="2081" t="n"/>
      <c r="Y163" s="2082" t="n"/>
      <c r="Z163" s="458" t="n"/>
    </row>
    <row r="164" ht="15.75" customFormat="1" customHeight="1" s="459">
      <c r="B164" s="469" t="inlineStr">
        <is>
          <t>現金淨流入(出 )</t>
        </is>
      </c>
      <c r="C164" s="2081">
        <f>SUM(C154:C163)</f>
        <v/>
      </c>
      <c r="D164" s="2084">
        <f>SUM(D152:D163)</f>
        <v/>
      </c>
      <c r="E164" s="2084">
        <f>SUM(E152:E163)</f>
        <v/>
      </c>
      <c r="F164" s="2084">
        <f>SUM(F152:F163)</f>
        <v/>
      </c>
      <c r="G164" s="2084">
        <f>SUM(G152:G163)</f>
        <v/>
      </c>
      <c r="H164" s="2084">
        <f>SUM(H152:H163)</f>
        <v/>
      </c>
      <c r="I164" s="2084">
        <f>SUM(I152:I163)</f>
        <v/>
      </c>
      <c r="J164" s="2084">
        <f>SUM(J152:J163)</f>
        <v/>
      </c>
      <c r="K164" s="2084">
        <f>SUM(K152:K163)</f>
        <v/>
      </c>
      <c r="L164" s="2084">
        <f>SUM(L152:L163)</f>
        <v/>
      </c>
      <c r="M164" s="2084">
        <f>SUM(M152:M163)</f>
        <v/>
      </c>
      <c r="N164" s="2084">
        <f>SUM(N152:N163)</f>
        <v/>
      </c>
      <c r="O164" s="2084">
        <f>SUM(O152:O163)</f>
        <v/>
      </c>
      <c r="P164" s="2084">
        <f>SUM(P152:P163)</f>
        <v/>
      </c>
      <c r="Q164" s="2084">
        <f>SUM(Q152:Q163)</f>
        <v/>
      </c>
      <c r="R164" s="2084">
        <f>SUM(R152:R163)</f>
        <v/>
      </c>
      <c r="S164" s="2084">
        <f>SUM(S152:S163)</f>
        <v/>
      </c>
      <c r="T164" s="2084">
        <f>SUM(T152:T163)</f>
        <v/>
      </c>
      <c r="U164" s="2084">
        <f>SUM(U152:U163)</f>
        <v/>
      </c>
      <c r="V164" s="2084">
        <f>SUM(V152:V163)</f>
        <v/>
      </c>
      <c r="W164" s="2084">
        <f>SUM(W152:W163)</f>
        <v/>
      </c>
      <c r="X164" s="2081" t="n"/>
      <c r="Y164" s="2082" t="n"/>
      <c r="Z164" s="458" t="n"/>
    </row>
    <row r="165" ht="15.75" customFormat="1" customHeight="1" s="459">
      <c r="B165" s="469" t="inlineStr">
        <is>
          <t>期初淨現金</t>
        </is>
      </c>
      <c r="C165" s="2081" t="n">
        <v>0</v>
      </c>
      <c r="D165" s="2081">
        <f>C166</f>
        <v/>
      </c>
      <c r="E165" s="2081">
        <f>D166</f>
        <v/>
      </c>
      <c r="F165" s="2081">
        <f>E166</f>
        <v/>
      </c>
      <c r="G165" s="2081">
        <f>F166</f>
        <v/>
      </c>
      <c r="H165" s="2081">
        <f>G166</f>
        <v/>
      </c>
      <c r="I165" s="2081">
        <f>H166</f>
        <v/>
      </c>
      <c r="J165" s="2081">
        <f>I166</f>
        <v/>
      </c>
      <c r="K165" s="2081">
        <f>J166</f>
        <v/>
      </c>
      <c r="L165" s="2081">
        <f>K166</f>
        <v/>
      </c>
      <c r="M165" s="2081">
        <f>L166</f>
        <v/>
      </c>
      <c r="N165" s="2081">
        <f>M166</f>
        <v/>
      </c>
      <c r="O165" s="2081">
        <f>N166</f>
        <v/>
      </c>
      <c r="P165" s="2081">
        <f>O166</f>
        <v/>
      </c>
      <c r="Q165" s="2081">
        <f>P166</f>
        <v/>
      </c>
      <c r="R165" s="2081">
        <f>Q166</f>
        <v/>
      </c>
      <c r="S165" s="2081">
        <f>R166</f>
        <v/>
      </c>
      <c r="T165" s="2081">
        <f>S166</f>
        <v/>
      </c>
      <c r="U165" s="2081">
        <f>T166</f>
        <v/>
      </c>
      <c r="V165" s="2081">
        <f>U166</f>
        <v/>
      </c>
      <c r="W165" s="2081">
        <f>V166</f>
        <v/>
      </c>
      <c r="X165" s="2081" t="n"/>
      <c r="Y165" s="458" t="n"/>
      <c r="Z165" s="458" t="n"/>
    </row>
    <row r="166" ht="15.75" customFormat="1" customHeight="1" s="459">
      <c r="B166" s="469" t="inlineStr">
        <is>
          <t>期未淨現金</t>
        </is>
      </c>
      <c r="C166" s="2081">
        <f>C164</f>
        <v/>
      </c>
      <c r="D166" s="2081">
        <f>D164+D165</f>
        <v/>
      </c>
      <c r="E166" s="2081">
        <f>E164+E165</f>
        <v/>
      </c>
      <c r="F166" s="2081">
        <f>F164+F165</f>
        <v/>
      </c>
      <c r="G166" s="2081">
        <f>G164+G165</f>
        <v/>
      </c>
      <c r="H166" s="2081">
        <f>H164+H165</f>
        <v/>
      </c>
      <c r="I166" s="2081">
        <f>I164+I165</f>
        <v/>
      </c>
      <c r="J166" s="2081">
        <f>J164+J165</f>
        <v/>
      </c>
      <c r="K166" s="2081">
        <f>K164+K165</f>
        <v/>
      </c>
      <c r="L166" s="2081">
        <f>L164+L165</f>
        <v/>
      </c>
      <c r="M166" s="2081">
        <f>M164+M165</f>
        <v/>
      </c>
      <c r="N166" s="2081">
        <f>N164+N165</f>
        <v/>
      </c>
      <c r="O166" s="2081">
        <f>O164+O165</f>
        <v/>
      </c>
      <c r="P166" s="2081">
        <f>P164+P165</f>
        <v/>
      </c>
      <c r="Q166" s="2081">
        <f>Q164+Q165</f>
        <v/>
      </c>
      <c r="R166" s="2081">
        <f>R164+R165</f>
        <v/>
      </c>
      <c r="S166" s="2081">
        <f>S164+S165</f>
        <v/>
      </c>
      <c r="T166" s="2081">
        <f>T164+T165</f>
        <v/>
      </c>
      <c r="U166" s="2081">
        <f>U164+U165</f>
        <v/>
      </c>
      <c r="V166" s="2081">
        <f>V164+V165</f>
        <v/>
      </c>
      <c r="W166" s="2081">
        <f>W164+W165</f>
        <v/>
      </c>
      <c r="X166" s="2081" t="n"/>
      <c r="Y166" s="458" t="n"/>
      <c r="Z166" s="458" t="n"/>
    </row>
    <row r="167" ht="15.75" customFormat="1" customHeight="1" s="459">
      <c r="B167" s="469" t="n"/>
      <c r="C167" s="469" t="n"/>
      <c r="D167" s="469" t="n"/>
      <c r="E167" s="469" t="n"/>
      <c r="F167" s="469" t="n"/>
      <c r="G167" s="469" t="n"/>
      <c r="H167" s="469" t="n"/>
      <c r="I167" s="469" t="n"/>
      <c r="J167" s="469" t="n"/>
      <c r="K167" s="469" t="n"/>
      <c r="L167" s="469" t="n"/>
      <c r="M167" s="469" t="n"/>
      <c r="N167" s="469" t="n"/>
      <c r="O167" s="469" t="n"/>
      <c r="P167" s="469" t="n"/>
      <c r="Q167" s="469" t="n"/>
      <c r="R167" s="469" t="n"/>
      <c r="S167" s="469" t="n"/>
      <c r="T167" s="469" t="n"/>
      <c r="U167" s="469" t="n"/>
      <c r="V167" s="469" t="n"/>
      <c r="W167" s="469" t="n"/>
      <c r="X167" s="469" t="n"/>
      <c r="Y167" s="469" t="n"/>
      <c r="Z167" s="458" t="n"/>
      <c r="AA167" s="458" t="n"/>
    </row>
    <row r="168" ht="15.75" customFormat="1" customHeight="1" s="459">
      <c r="B168" s="469" t="n"/>
      <c r="C168" s="469" t="n"/>
      <c r="D168" s="469" t="n"/>
      <c r="E168" s="469" t="n"/>
      <c r="F168" s="2081" t="n"/>
      <c r="G168" s="469" t="n"/>
      <c r="H168" s="469" t="n"/>
      <c r="I168" s="469" t="n"/>
      <c r="J168" s="469" t="n"/>
      <c r="K168" s="469" t="n"/>
      <c r="L168" s="469" t="n"/>
      <c r="M168" s="469" t="n"/>
      <c r="N168" s="469" t="n"/>
      <c r="O168" s="469" t="n"/>
      <c r="P168" s="469" t="n"/>
      <c r="Q168" s="469" t="n"/>
      <c r="R168" s="469" t="n"/>
      <c r="S168" s="469" t="n"/>
      <c r="T168" s="469" t="n"/>
      <c r="U168" s="469" t="n"/>
      <c r="V168" s="469" t="n"/>
      <c r="W168" s="469" t="n"/>
      <c r="X168" s="469" t="n"/>
      <c r="Y168" s="469" t="n"/>
      <c r="Z168" s="458" t="n"/>
      <c r="AA168" s="458" t="n"/>
    </row>
    <row r="169" ht="15.75" customFormat="1" customHeight="1" s="459">
      <c r="B169" s="461" t="inlineStr">
        <is>
          <t>成本法實際現金流</t>
        </is>
      </c>
      <c r="C169" s="2084" t="n"/>
      <c r="D169" s="2089">
        <f>-D159</f>
        <v/>
      </c>
      <c r="E169" s="2084">
        <f>-E160-E161</f>
        <v/>
      </c>
      <c r="F169" s="2084">
        <f>-F160-F161</f>
        <v/>
      </c>
      <c r="G169" s="2084">
        <f>-G160-G161</f>
        <v/>
      </c>
      <c r="H169" s="2084">
        <f>-H160-H161</f>
        <v/>
      </c>
      <c r="I169" s="2084">
        <f>-I160-I161</f>
        <v/>
      </c>
      <c r="J169" s="2084">
        <f>-J160-J161</f>
        <v/>
      </c>
      <c r="K169" s="2084">
        <f>-K160-K161</f>
        <v/>
      </c>
      <c r="L169" s="2084">
        <f>-L160-L161</f>
        <v/>
      </c>
      <c r="M169" s="2084">
        <f>-M160-M161</f>
        <v/>
      </c>
      <c r="N169" s="2084">
        <f>-N160-N161</f>
        <v/>
      </c>
      <c r="O169" s="2084">
        <f>-O160-O161</f>
        <v/>
      </c>
      <c r="P169" s="2084">
        <f>-P160-P161</f>
        <v/>
      </c>
      <c r="Q169" s="2084">
        <f>-Q160-Q161</f>
        <v/>
      </c>
      <c r="R169" s="2084">
        <f>-R160-R161</f>
        <v/>
      </c>
      <c r="S169" s="2084">
        <f>-S160-S161</f>
        <v/>
      </c>
      <c r="T169" s="2084">
        <f>-T160-T161</f>
        <v/>
      </c>
      <c r="U169" s="2084">
        <f>-U160-U161</f>
        <v/>
      </c>
      <c r="V169" s="2084">
        <f>-V160-V161</f>
        <v/>
      </c>
      <c r="W169" s="2084">
        <f>-W160-W161</f>
        <v/>
      </c>
      <c r="X169" s="2084">
        <f>-X160-X161</f>
        <v/>
      </c>
      <c r="Y169" s="2082">
        <f>SUM(D169:X169)</f>
        <v/>
      </c>
      <c r="Z169" s="2082" t="n"/>
    </row>
    <row r="170" ht="15.75" customFormat="1" customHeight="1" s="459">
      <c r="B170" s="469" t="inlineStr">
        <is>
          <t>成本法IRR</t>
        </is>
      </c>
      <c r="C170" s="755">
        <f>IRR(D169:X169)</f>
        <v/>
      </c>
      <c r="D170" s="454" t="n"/>
      <c r="E170" s="454" t="n"/>
      <c r="F170" s="469" t="n"/>
      <c r="G170" s="469" t="n"/>
      <c r="H170" s="469" t="n"/>
      <c r="I170" s="469" t="n"/>
      <c r="J170" s="469" t="n"/>
      <c r="K170" s="469" t="n"/>
      <c r="L170" s="469" t="n"/>
      <c r="M170" s="469" t="n"/>
      <c r="N170" s="469" t="n"/>
      <c r="O170" s="469" t="n"/>
      <c r="P170" s="469" t="n"/>
      <c r="Q170" s="469" t="n"/>
      <c r="R170" s="469" t="n"/>
      <c r="S170" s="469" t="n"/>
      <c r="T170" s="469" t="n"/>
      <c r="U170" s="469" t="n"/>
      <c r="V170" s="469" t="n"/>
      <c r="W170" s="469" t="n"/>
      <c r="X170" s="469" t="n"/>
      <c r="Y170" s="469" t="n"/>
      <c r="Z170" s="458" t="n"/>
      <c r="AA170" s="2082" t="n"/>
    </row>
    <row r="171" ht="15.75" customFormat="1" customHeight="1" s="459">
      <c r="B171" s="461" t="inlineStr">
        <is>
          <t>權益法實際現金流</t>
        </is>
      </c>
      <c r="C171" s="2084" t="n"/>
      <c r="D171" s="2089">
        <f>D102-D159</f>
        <v/>
      </c>
      <c r="E171" s="2084">
        <f>E102</f>
        <v/>
      </c>
      <c r="F171" s="2084">
        <f>F102-F161</f>
        <v/>
      </c>
      <c r="G171" s="2084">
        <f>G102-G161</f>
        <v/>
      </c>
      <c r="H171" s="2084">
        <f>H102-H161</f>
        <v/>
      </c>
      <c r="I171" s="2084">
        <f>I102-I161</f>
        <v/>
      </c>
      <c r="J171" s="2084">
        <f>J102-J161</f>
        <v/>
      </c>
      <c r="K171" s="2084">
        <f>K102-K161</f>
        <v/>
      </c>
      <c r="L171" s="2084">
        <f>L102-L161</f>
        <v/>
      </c>
      <c r="M171" s="2084">
        <f>M102-M161</f>
        <v/>
      </c>
      <c r="N171" s="2084">
        <f>N102-N161</f>
        <v/>
      </c>
      <c r="O171" s="2084">
        <f>O102-O161</f>
        <v/>
      </c>
      <c r="P171" s="2084">
        <f>P102-P161</f>
        <v/>
      </c>
      <c r="Q171" s="2084">
        <f>Q102-Q161</f>
        <v/>
      </c>
      <c r="R171" s="2084">
        <f>R102-R161</f>
        <v/>
      </c>
      <c r="S171" s="2084">
        <f>S102-S161</f>
        <v/>
      </c>
      <c r="T171" s="2084">
        <f>T102-T161</f>
        <v/>
      </c>
      <c r="U171" s="2084">
        <f>U102-U161</f>
        <v/>
      </c>
      <c r="V171" s="2084">
        <f>V102-V161</f>
        <v/>
      </c>
      <c r="W171" s="2084">
        <f>W102-W161</f>
        <v/>
      </c>
      <c r="X171" s="2090">
        <f>SUM(D171:W171)</f>
        <v/>
      </c>
      <c r="Y171" s="2001">
        <f>IF(ROUND((X171-Y169),0)=0,"correct", "error")</f>
        <v/>
      </c>
    </row>
    <row r="172" ht="15.75" customFormat="1" customHeight="1" s="459">
      <c r="B172" s="461" t="inlineStr">
        <is>
          <t>權益法IRR</t>
        </is>
      </c>
      <c r="C172" s="755">
        <f>IRR(D171:W171)</f>
        <v/>
      </c>
      <c r="D172" s="454" t="n"/>
      <c r="E172" s="454" t="n"/>
      <c r="F172" s="469" t="n"/>
      <c r="G172" s="469" t="n"/>
      <c r="H172" s="469" t="n"/>
      <c r="I172" s="469" t="n"/>
      <c r="J172" s="469" t="n"/>
      <c r="K172" s="469" t="n"/>
      <c r="L172" s="469" t="n"/>
      <c r="M172" s="469" t="n"/>
      <c r="N172" s="469" t="n"/>
      <c r="O172" s="469" t="n"/>
      <c r="P172" s="469" t="n"/>
      <c r="Q172" s="469" t="n"/>
      <c r="R172" s="469" t="n"/>
      <c r="S172" s="469" t="n"/>
      <c r="T172" s="469" t="n"/>
      <c r="U172" s="469" t="n"/>
      <c r="V172" s="469" t="n"/>
      <c r="W172" s="469" t="n"/>
      <c r="X172" s="469" t="n"/>
      <c r="Y172" s="469" t="n"/>
      <c r="Z172" s="458" t="n"/>
      <c r="AA172" s="2082" t="n"/>
    </row>
    <row r="173" ht="15.75" customFormat="1" customHeight="1" s="459">
      <c r="B173" s="469" t="n"/>
      <c r="C173" s="469" t="n"/>
      <c r="D173" s="469" t="n"/>
      <c r="E173" s="469" t="n"/>
      <c r="F173" s="469" t="n"/>
      <c r="G173" s="469" t="n"/>
      <c r="H173" s="469" t="n"/>
      <c r="I173" s="469" t="n"/>
      <c r="J173" s="469" t="n"/>
      <c r="K173" s="469" t="n"/>
      <c r="L173" s="469" t="n"/>
      <c r="M173" s="469" t="n"/>
      <c r="N173" s="469" t="n"/>
      <c r="O173" s="469" t="n"/>
      <c r="P173" s="469" t="n"/>
      <c r="Q173" s="469" t="n"/>
      <c r="R173" s="469" t="n"/>
      <c r="S173" s="469" t="n"/>
      <c r="T173" s="469" t="n"/>
      <c r="U173" s="469" t="n"/>
      <c r="V173" s="469" t="n"/>
      <c r="W173" s="469" t="n"/>
      <c r="X173" s="469" t="n"/>
      <c r="Y173" s="469" t="n"/>
      <c r="Z173" s="458" t="n"/>
      <c r="AA173" s="2082" t="n"/>
    </row>
    <row r="174" ht="15.75" customFormat="1" customHeight="1" s="459">
      <c r="B174" s="469" t="inlineStr">
        <is>
          <t>借款餘額</t>
        </is>
      </c>
      <c r="C174" s="469" t="n">
        <v>0</v>
      </c>
      <c r="D174" s="2091">
        <f>D157</f>
        <v/>
      </c>
      <c r="E174" s="2091">
        <f>D174+E157+E158</f>
        <v/>
      </c>
      <c r="F174" s="2091">
        <f>E174+F157+F158</f>
        <v/>
      </c>
      <c r="G174" s="2091">
        <f>F174+G157+G158</f>
        <v/>
      </c>
      <c r="H174" s="2091">
        <f>G174+H157+H158</f>
        <v/>
      </c>
      <c r="I174" s="2091">
        <f>H174+I157+I158</f>
        <v/>
      </c>
      <c r="J174" s="2091">
        <f>I174+J157+J158</f>
        <v/>
      </c>
      <c r="K174" s="2091">
        <f>J174+K157+K158</f>
        <v/>
      </c>
      <c r="L174" s="2091">
        <f>K174+L157+L158</f>
        <v/>
      </c>
      <c r="M174" s="2091">
        <f>L174+M157+M158</f>
        <v/>
      </c>
      <c r="N174" s="2091">
        <f>M174+N157+N158</f>
        <v/>
      </c>
      <c r="O174" s="2091">
        <f>N174+O157+O158</f>
        <v/>
      </c>
      <c r="P174" s="2091">
        <f>O174+P157+P158</f>
        <v/>
      </c>
      <c r="Q174" s="2091">
        <f>P174+Q157+Q158</f>
        <v/>
      </c>
      <c r="R174" s="2091">
        <f>Q174+R157+R158</f>
        <v/>
      </c>
      <c r="S174" s="2091">
        <f>R174+S157+S158</f>
        <v/>
      </c>
      <c r="T174" s="2091" t="n"/>
      <c r="U174" s="2091" t="n"/>
      <c r="V174" s="2081" t="n"/>
      <c r="W174" s="2081" t="n"/>
      <c r="X174" s="2081" t="n"/>
      <c r="Y174" s="2081" t="n"/>
      <c r="Z174" s="458" t="n"/>
      <c r="AA174" s="458" t="n"/>
    </row>
    <row r="175" ht="15" customFormat="1" customHeight="1" s="459">
      <c r="Z175" s="625" t="n"/>
      <c r="AA175" s="458" t="n"/>
    </row>
    <row r="176" customFormat="1" s="4">
      <c r="Z176" s="458" t="n"/>
      <c r="AA176" s="458" t="n"/>
    </row>
    <row r="177" customFormat="1" s="4">
      <c r="G177" s="1694" t="n"/>
      <c r="Z177" s="458" t="n"/>
      <c r="AA177" s="458" t="n"/>
    </row>
    <row r="178" customFormat="1" s="4">
      <c r="Z178" s="458" t="n"/>
      <c r="AA178" s="458" t="n"/>
    </row>
    <row r="179" customFormat="1" s="4">
      <c r="I179" s="1694" t="n"/>
      <c r="S179" s="1694" t="n"/>
      <c r="Z179" s="458" t="n"/>
      <c r="AA179" s="458" t="n"/>
    </row>
    <row r="180" customFormat="1" s="4">
      <c r="Z180" s="458" t="n"/>
      <c r="AA180" s="458" t="n"/>
    </row>
    <row r="181" customFormat="1" s="4">
      <c r="D181" s="4" t="inlineStr">
        <is>
          <t>分15年攤還本金</t>
        </is>
      </c>
      <c r="Z181" s="458" t="n"/>
      <c r="AA181" s="458" t="n"/>
    </row>
    <row r="182" customFormat="1" s="4">
      <c r="D182" s="2092">
        <f>D157/15</f>
        <v/>
      </c>
      <c r="Z182" s="458" t="n"/>
      <c r="AA182" s="458" t="n"/>
    </row>
  </sheetData>
  <mergeCells count="13">
    <mergeCell ref="B62:C62"/>
    <mergeCell ref="K122:V122"/>
    <mergeCell ref="AC62:AF62"/>
    <mergeCell ref="D135:G135"/>
    <mergeCell ref="B117:C117"/>
    <mergeCell ref="L121:V121"/>
    <mergeCell ref="K120:V120"/>
    <mergeCell ref="L123:V123"/>
    <mergeCell ref="D117:G117"/>
    <mergeCell ref="K124:V124"/>
    <mergeCell ref="AL64:AL67"/>
    <mergeCell ref="D76:G76"/>
    <mergeCell ref="D62:G62"/>
  </mergeCells>
  <conditionalFormatting sqref="D56:W56">
    <cfRule type="containsText" priority="2" operator="containsText" dxfId="1" text="未回收">
      <formula>NOT(ISERROR(SEARCH("未回收",D56)))</formula>
    </cfRule>
  </conditionalFormatting>
  <conditionalFormatting sqref="D113:W113">
    <cfRule type="containsText" priority="1" operator="containsText" dxfId="0" text="未回收">
      <formula>NOT(ISERROR(SEARCH("未回收",D113)))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S15"/>
  <sheetViews>
    <sheetView showGridLines="0" zoomScale="80" zoomScaleNormal="80" workbookViewId="0">
      <selection activeCell="J7" sqref="J7"/>
    </sheetView>
  </sheetViews>
  <sheetFormatPr baseColWidth="8" defaultRowHeight="16.5"/>
  <cols>
    <col width="0.875" customWidth="1" style="1643" min="1" max="1"/>
    <col width="22.25" customWidth="1" style="1643" min="2" max="2"/>
    <col width="9.75" customWidth="1" style="1643" min="3" max="3"/>
    <col width="4.625" customWidth="1" style="1643" min="4" max="4"/>
    <col width="8.125" customWidth="1" style="1643" min="5" max="5"/>
    <col width="6.75" customWidth="1" style="1643" min="8" max="8"/>
    <col width="22" customWidth="1" style="1643" min="9" max="9"/>
    <col width="13.5" customWidth="1" style="1643" min="10" max="10"/>
    <col width="3" customWidth="1" style="1643" min="11" max="11"/>
    <col width="6" customWidth="1" style="1643" min="15" max="15"/>
    <col width="22.125" customWidth="1" style="1643" min="16" max="16"/>
    <col width="16" customWidth="1" style="1643" min="17" max="17"/>
    <col width="3" customWidth="1" style="1643" min="18" max="18"/>
  </cols>
  <sheetData>
    <row r="1" ht="9.75" customHeight="1" s="1643" thickBot="1"/>
    <row r="2" ht="12" customHeight="1" s="1643">
      <c r="B2" s="2103" t="inlineStr">
        <is>
          <t>工程項目圓餅圖</t>
        </is>
      </c>
      <c r="C2" s="1698" t="n"/>
      <c r="D2" s="1698" t="n"/>
      <c r="E2" s="2104" t="n"/>
    </row>
    <row r="3" ht="10.5" customHeight="1" s="1643" thickBot="1">
      <c r="B3" s="1706" t="n"/>
      <c r="C3" s="1707" t="n"/>
      <c r="D3" s="1707" t="n"/>
      <c r="E3" s="1708" t="n"/>
    </row>
    <row r="4" ht="17.25" customHeight="1" s="1643" thickBot="1">
      <c r="Q4" s="299">
        <f>SUM(Q6:Q15)</f>
        <v/>
      </c>
    </row>
    <row r="5">
      <c r="B5" s="81" t="inlineStr">
        <is>
          <t>項目</t>
        </is>
      </c>
      <c r="C5" s="76" t="inlineStr">
        <is>
          <t>成本比例</t>
        </is>
      </c>
      <c r="I5" s="75" t="inlineStr">
        <is>
          <t>項目</t>
        </is>
      </c>
      <c r="J5" s="76" t="inlineStr">
        <is>
          <t>業務報價比例</t>
        </is>
      </c>
      <c r="P5" s="75" t="inlineStr">
        <is>
          <t>項目</t>
        </is>
      </c>
      <c r="Q5" s="76" t="inlineStr">
        <is>
          <t>利潤比例</t>
        </is>
      </c>
    </row>
    <row r="6">
      <c r="B6" s="77">
        <f>#REF!</f>
        <v/>
      </c>
      <c r="C6" s="78">
        <f>#REF!/#REF!</f>
        <v/>
      </c>
      <c r="I6" s="77">
        <f>#REF!</f>
        <v/>
      </c>
      <c r="J6" s="78">
        <f>#REF!/#REF!</f>
        <v/>
      </c>
      <c r="M6" s="227" t="n"/>
      <c r="P6" s="77">
        <f>#REF!</f>
        <v/>
      </c>
      <c r="Q6" s="78">
        <f>(#REF!-#REF!)/#REF!</f>
        <v/>
      </c>
    </row>
    <row r="7">
      <c r="B7" s="77">
        <f>#REF!</f>
        <v/>
      </c>
      <c r="C7" s="78">
        <f>#REF!/#REF!</f>
        <v/>
      </c>
      <c r="I7" s="77">
        <f>#REF!</f>
        <v/>
      </c>
      <c r="J7" s="78">
        <f>#REF!/#REF!</f>
        <v/>
      </c>
      <c r="P7" s="77">
        <f>#REF!</f>
        <v/>
      </c>
      <c r="Q7" s="78">
        <f>(#REF!-#REF!)/#REF!</f>
        <v/>
      </c>
    </row>
    <row r="8">
      <c r="B8" s="77">
        <f>#REF!</f>
        <v/>
      </c>
      <c r="C8" s="78">
        <f>(#REF!+#REF!+#REF!+#REF!)/#REF!</f>
        <v/>
      </c>
      <c r="I8" s="77">
        <f>#REF!</f>
        <v/>
      </c>
      <c r="J8" s="78">
        <f>(#REF!+#REF!+#REF!+#REF!)/#REF!</f>
        <v/>
      </c>
      <c r="P8" s="77">
        <f>#REF!</f>
        <v/>
      </c>
      <c r="Q8" s="78">
        <f>((#REF!-#REF!)+(#REF!-#REF!)+(#REF!-#REF!)+(#REF!-#REF!))/#REF!</f>
        <v/>
      </c>
    </row>
    <row r="9">
      <c r="B9" s="77">
        <f>#REF!</f>
        <v/>
      </c>
      <c r="C9" s="78">
        <f>(#REF!+#REF!)/#REF!</f>
        <v/>
      </c>
      <c r="I9" s="77">
        <f>#REF!</f>
        <v/>
      </c>
      <c r="J9" s="78">
        <f>(#REF!+#REF!)/#REF!</f>
        <v/>
      </c>
      <c r="P9" s="77">
        <f>#REF!</f>
        <v/>
      </c>
      <c r="Q9" s="78">
        <f>((#REF!-#REF!)+(#REF!-#REF!))/#REF!</f>
        <v/>
      </c>
    </row>
    <row r="10">
      <c r="B10" s="77">
        <f>#REF!</f>
        <v/>
      </c>
      <c r="C10" s="78">
        <f>(#REF!+#REF!)/#REF!</f>
        <v/>
      </c>
      <c r="I10" s="77">
        <f>#REF!</f>
        <v/>
      </c>
      <c r="J10" s="78">
        <f>(#REF!+#REF!)/#REF!</f>
        <v/>
      </c>
      <c r="P10" s="77">
        <f>#REF!</f>
        <v/>
      </c>
      <c r="Q10" s="78">
        <f>((#REF!-#REF!)+(#REF!-#REF!))/#REF!</f>
        <v/>
      </c>
    </row>
    <row r="11">
      <c r="B11" s="77">
        <f>#REF!</f>
        <v/>
      </c>
      <c r="C11" s="78">
        <f>(#REF!+#REF!+#REF!)/#REF!</f>
        <v/>
      </c>
      <c r="I11" s="77">
        <f>#REF!</f>
        <v/>
      </c>
      <c r="J11" s="78">
        <f>(#REF!+#REF!+#REF!)/#REF!</f>
        <v/>
      </c>
      <c r="P11" s="77">
        <f>#REF!</f>
        <v/>
      </c>
      <c r="Q11" s="78">
        <f>((#REF!-#REF!)+(#REF!-#REF!)+(#REF!-#REF!))/#REF!</f>
        <v/>
      </c>
    </row>
    <row r="12">
      <c r="B12" s="77">
        <f>#REF!</f>
        <v/>
      </c>
      <c r="C12" s="78">
        <f>(#REF!+#REF!)/#REF!</f>
        <v/>
      </c>
      <c r="I12" s="77">
        <f>#REF!</f>
        <v/>
      </c>
      <c r="J12" s="78">
        <f>(#REF!+#REF!)/#REF!</f>
        <v/>
      </c>
      <c r="P12" s="77">
        <f>#REF!</f>
        <v/>
      </c>
      <c r="Q12" s="78">
        <f>((#REF!-#REF!)+(#REF!-#REF!))/#REF!</f>
        <v/>
      </c>
    </row>
    <row r="13">
      <c r="B13" s="224">
        <f>#REF!</f>
        <v/>
      </c>
      <c r="C13" s="78">
        <f>(#REF!)/#REF!</f>
        <v/>
      </c>
      <c r="I13" s="224">
        <f>#REF!</f>
        <v/>
      </c>
      <c r="J13" s="78">
        <f>(#REF!)/#REF!</f>
        <v/>
      </c>
      <c r="P13" s="224">
        <f>#REF!</f>
        <v/>
      </c>
      <c r="Q13" s="225">
        <f>(#REF!-#REF!)/#REF!</f>
        <v/>
      </c>
      <c r="S13" s="226" t="n"/>
    </row>
    <row r="14">
      <c r="B14" s="224">
        <f>#REF!</f>
        <v/>
      </c>
      <c r="C14" s="78">
        <f>(#REF!)/#REF!</f>
        <v/>
      </c>
      <c r="I14" s="224">
        <f>#REF!</f>
        <v/>
      </c>
      <c r="J14" s="78">
        <f>(#REF!)/#REF!</f>
        <v/>
      </c>
      <c r="P14" s="224">
        <f>#REF!</f>
        <v/>
      </c>
      <c r="Q14" s="225">
        <f>(#REF!-#REF!)/#REF!</f>
        <v/>
      </c>
      <c r="S14" s="226" t="n"/>
    </row>
    <row r="15" ht="17.25" customHeight="1" s="1643" thickBot="1">
      <c r="B15" s="79">
        <f>#REF!</f>
        <v/>
      </c>
      <c r="C15" s="80">
        <f>#REF!/#REF!</f>
        <v/>
      </c>
      <c r="I15" s="79">
        <f>#REF!</f>
        <v/>
      </c>
      <c r="J15" s="80">
        <f>#REF!/#REF!</f>
        <v/>
      </c>
      <c r="P15" s="79">
        <f>#REF!</f>
        <v/>
      </c>
      <c r="Q15" s="80">
        <f>(#REF!-#REF!)/#REF!</f>
        <v/>
      </c>
    </row>
  </sheetData>
  <mergeCells count="1">
    <mergeCell ref="B2:E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32"/>
  <sheetViews>
    <sheetView showGridLines="0" workbookViewId="0">
      <pane ySplit="9" topLeftCell="A10" activePane="bottomLeft" state="frozen"/>
      <selection pane="bottomLeft" activeCell="B3" sqref="B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6.25" customWidth="1" style="5" min="3" max="3"/>
    <col width="15.125" bestFit="1" customWidth="1" style="5" min="4" max="4"/>
    <col width="13" customWidth="1" style="5" min="5" max="5"/>
    <col width="44.75" customWidth="1" style="5" min="6" max="6"/>
    <col width="12.5" customWidth="1" style="5" min="7" max="7"/>
    <col width="20.875" customWidth="1" style="5" min="8" max="8"/>
    <col width="29.5" customWidth="1" style="5" min="9" max="9"/>
    <col width="28.625" bestFit="1" customWidth="1" style="5" min="10" max="10"/>
    <col width="21.25" bestFit="1" customWidth="1" style="5" min="11" max="11"/>
    <col width="9" customWidth="1" style="5" min="12" max="16384"/>
  </cols>
  <sheetData>
    <row r="1">
      <c r="B1" s="5">
        <f>B11</f>
        <v/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報價(台幣/KW)</t>
        </is>
      </c>
      <c r="E2" s="207" t="n"/>
    </row>
    <row r="3">
      <c r="B3" s="1523">
        <f>B14</f>
        <v/>
      </c>
      <c r="C3" s="1523">
        <f>C14</f>
        <v/>
      </c>
      <c r="D3" s="1523">
        <f>D14</f>
        <v/>
      </c>
      <c r="E3" s="207" t="n"/>
    </row>
    <row r="4" ht="5.25" customHeight="1" s="1643">
      <c r="B4" s="207" t="n"/>
      <c r="C4" s="207" t="n"/>
      <c r="D4" s="207" t="n"/>
      <c r="E4" s="207" t="n"/>
    </row>
    <row r="5">
      <c r="B5" s="5">
        <f>B19</f>
        <v/>
      </c>
      <c r="E5" s="207" t="n"/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報價(台幣/案)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報價(台幣/KW)</t>
        </is>
      </c>
    </row>
    <row r="7">
      <c r="B7" s="1523">
        <f>B23</f>
        <v/>
      </c>
      <c r="C7" s="1523">
        <f>C23</f>
        <v/>
      </c>
      <c r="D7" s="1523">
        <f>D23</f>
        <v/>
      </c>
      <c r="E7" s="207" t="n"/>
      <c r="F7" s="1523" t="inlineStr">
        <is>
          <t>-</t>
        </is>
      </c>
      <c r="G7" s="1523" t="inlineStr">
        <is>
          <t>內線</t>
        </is>
      </c>
      <c r="H7" s="1523" t="n">
        <v>0</v>
      </c>
    </row>
    <row r="8" ht="5.25" customHeight="1" s="1643">
      <c r="B8" s="207" t="n"/>
      <c r="C8" s="207" t="n"/>
      <c r="D8" s="207" t="n"/>
      <c r="E8" s="207" t="n"/>
      <c r="F8" s="302" t="n"/>
      <c r="G8" s="207" t="n"/>
    </row>
    <row r="9" ht="6.75" customHeight="1" s="1643">
      <c r="B9" s="207" t="n"/>
      <c r="C9" s="207" t="n"/>
      <c r="D9" s="207" t="n"/>
      <c r="E9" s="207" t="n"/>
    </row>
    <row r="10" ht="9.75" customHeight="1" s="1643">
      <c r="B10" s="207" t="n"/>
      <c r="C10" s="207" t="n"/>
      <c r="D10" s="207" t="n"/>
      <c r="E10" s="207" t="n"/>
    </row>
    <row r="11">
      <c r="B11" s="5" t="inlineStr">
        <is>
          <t xml:space="preserve">併網工程費用 </t>
        </is>
      </c>
    </row>
    <row r="12">
      <c r="B12" s="1523" t="inlineStr">
        <is>
          <t>廠商</t>
        </is>
      </c>
      <c r="C12" s="1523" t="inlineStr">
        <is>
          <t>規格</t>
        </is>
      </c>
      <c r="D12" s="1523" t="inlineStr">
        <is>
          <t>報價(台幣/KW)</t>
        </is>
      </c>
      <c r="E12" s="1523" t="inlineStr">
        <is>
          <t>報價時間</t>
        </is>
      </c>
      <c r="F12" s="1523" t="inlineStr">
        <is>
          <t>NOTE</t>
        </is>
      </c>
      <c r="G12" s="1523" t="inlineStr">
        <is>
          <t>聯絡人</t>
        </is>
      </c>
      <c r="H12" s="1523" t="inlineStr">
        <is>
          <t>聯絡方式</t>
        </is>
      </c>
      <c r="I12" s="1523" t="inlineStr">
        <is>
          <t>Email</t>
        </is>
      </c>
    </row>
    <row r="13" ht="16.5" customHeight="1" s="1643">
      <c r="B13" s="1523" t="inlineStr">
        <is>
          <t>台電</t>
        </is>
      </c>
      <c r="C13" s="1523" t="inlineStr">
        <is>
          <t>50-100</t>
        </is>
      </c>
      <c r="D13" s="232" t="n">
        <v>1050</v>
      </c>
      <c r="E13" s="1523" t="n"/>
      <c r="F13" s="205" t="inlineStr">
        <is>
          <t>50KW以下免費(屋頂型)</t>
        </is>
      </c>
      <c r="G13" s="1523" t="n"/>
      <c r="H13" s="205" t="n"/>
      <c r="I13" s="122" t="n"/>
    </row>
    <row r="14" ht="16.5" customHeight="1" s="1643">
      <c r="B14" s="1523" t="inlineStr">
        <is>
          <t>台電</t>
        </is>
      </c>
      <c r="C14" s="1523" t="inlineStr">
        <is>
          <t>100-500</t>
        </is>
      </c>
      <c r="D14" s="232" t="n">
        <v>1470</v>
      </c>
      <c r="E14" s="1523" t="n"/>
      <c r="F14" s="205" t="inlineStr">
        <is>
          <t>50KW以下免費(屋頂型)</t>
        </is>
      </c>
      <c r="G14" s="205" t="n"/>
      <c r="H14" s="205" t="n"/>
      <c r="I14" s="122" t="n"/>
    </row>
    <row r="15" ht="16.5" customHeight="1" s="1643">
      <c r="B15" s="1523" t="inlineStr">
        <is>
          <t>台電</t>
        </is>
      </c>
      <c r="C15" s="1523" t="inlineStr">
        <is>
          <t>50-2000</t>
        </is>
      </c>
      <c r="D15" s="232" t="n">
        <v>630</v>
      </c>
      <c r="E15" s="1523" t="n"/>
      <c r="F15" s="205" t="inlineStr">
        <is>
          <t>50KW以下免費，高壓線補費(屋頂型)；110/03/29內線須確認既有線路是否需加強電力網(該電號併接的台電線路為分界，3年↑X、3年↓O、須實質審查)</t>
        </is>
      </c>
      <c r="G15" s="205" t="n"/>
      <c r="H15" s="205" t="n"/>
      <c r="I15" s="122" t="n"/>
    </row>
    <row r="16">
      <c r="B16" s="1523" t="inlineStr">
        <is>
          <t>台電</t>
        </is>
      </c>
      <c r="C16" s="1110" t="inlineStr">
        <is>
          <t>地面型</t>
        </is>
      </c>
      <c r="D16" s="783" t="n">
        <v>2100</v>
      </c>
      <c r="E16" s="1489" t="n"/>
      <c r="F16" s="785" t="inlineStr">
        <is>
          <t>22.8kV↓配電、110.05.06 草案</t>
        </is>
      </c>
      <c r="G16" s="782" t="n"/>
      <c r="H16" s="782" t="n"/>
      <c r="I16" s="782" t="n"/>
    </row>
    <row r="17">
      <c r="B17" s="1523" t="inlineStr">
        <is>
          <t>台電</t>
        </is>
      </c>
      <c r="C17" s="2105" t="n"/>
      <c r="D17" s="783" t="n">
        <v>1400</v>
      </c>
      <c r="E17" s="1489" t="n"/>
      <c r="F17" s="785" t="inlineStr">
        <is>
          <t>69kV↑配電、110.05.06 草案</t>
        </is>
      </c>
      <c r="G17" s="782" t="n"/>
      <c r="H17" s="782" t="n"/>
      <c r="I17" s="782" t="n"/>
    </row>
    <row r="18">
      <c r="C18" s="207" t="n"/>
      <c r="D18" s="334" t="n"/>
      <c r="E18" s="207" t="n"/>
      <c r="F18" s="780" t="n"/>
    </row>
    <row r="19">
      <c r="B19" s="5" t="inlineStr">
        <is>
          <t>併網審查作業費</t>
        </is>
      </c>
    </row>
    <row r="20">
      <c r="B20" s="1523" t="inlineStr">
        <is>
          <t>廠商</t>
        </is>
      </c>
      <c r="C20" s="1523" t="inlineStr">
        <is>
          <t>規格</t>
        </is>
      </c>
      <c r="D20" s="1523" t="inlineStr">
        <is>
          <t>報價(台幣/案)</t>
        </is>
      </c>
      <c r="E20" s="1523" t="inlineStr">
        <is>
          <t>報價時間</t>
        </is>
      </c>
      <c r="F20" s="1523" t="inlineStr">
        <is>
          <t>NOTE</t>
        </is>
      </c>
      <c r="G20" s="1523" t="inlineStr">
        <is>
          <t>聯絡人</t>
        </is>
      </c>
      <c r="H20" s="1523" t="inlineStr">
        <is>
          <t>聯絡方式</t>
        </is>
      </c>
      <c r="I20" s="1523" t="inlineStr">
        <is>
          <t>Email</t>
        </is>
      </c>
    </row>
    <row r="21" ht="16.5" customHeight="1" s="1643">
      <c r="B21" s="1523" t="inlineStr">
        <is>
          <t>台電</t>
        </is>
      </c>
      <c r="C21" s="1523" t="inlineStr">
        <is>
          <t>併接外線69KV以上</t>
        </is>
      </c>
      <c r="D21" s="232" t="n">
        <v>340000</v>
      </c>
      <c r="E21" s="1523" t="n"/>
      <c r="F21" s="205" t="inlineStr">
        <is>
          <t>中華民國99年1/18日,經授能字09920080510</t>
        </is>
      </c>
      <c r="G21" s="1523" t="n"/>
      <c r="H21" s="209" t="n"/>
      <c r="I21" s="122" t="n"/>
    </row>
    <row r="22" ht="16.5" customHeight="1" s="1643">
      <c r="B22" s="1523" t="inlineStr">
        <is>
          <t>台電</t>
        </is>
      </c>
      <c r="C22" s="1523" t="inlineStr">
        <is>
          <t>併接外線22.8KV</t>
        </is>
      </c>
      <c r="D22" s="232" t="n">
        <v>85000</v>
      </c>
      <c r="E22" s="1523" t="n"/>
      <c r="F22" s="205" t="inlineStr">
        <is>
          <t>中華民國99年1/18日,經授能字09920080510</t>
        </is>
      </c>
      <c r="G22" s="1523" t="n"/>
      <c r="H22" s="209" t="n"/>
      <c r="I22" s="122" t="n"/>
    </row>
    <row r="23" ht="16.5" customHeight="1" s="1643">
      <c r="B23" s="1523" t="inlineStr">
        <is>
          <t>台電</t>
        </is>
      </c>
      <c r="C23" s="1523" t="inlineStr">
        <is>
          <t>併接外線11.4KV</t>
        </is>
      </c>
      <c r="D23" s="232" t="n">
        <v>85000</v>
      </c>
      <c r="E23" s="1523" t="n"/>
      <c r="F23" s="205" t="inlineStr">
        <is>
          <t>中華民國99年1/18日,經授能字09920080510</t>
        </is>
      </c>
      <c r="G23" s="1523" t="n"/>
      <c r="H23" s="209" t="n"/>
      <c r="I23" s="122" t="n"/>
    </row>
    <row r="24" ht="28.5" customHeight="1" s="1643">
      <c r="B24" s="1523" t="inlineStr">
        <is>
          <t>台電</t>
        </is>
      </c>
      <c r="C24" s="1523" t="inlineStr">
        <is>
          <t>併接低壓</t>
        </is>
      </c>
      <c r="D24" s="232" t="n">
        <v>18000</v>
      </c>
      <c r="E24" s="1523" t="n"/>
      <c r="F24" s="229" t="inlineStr">
        <is>
          <t>中華民國109年4/6日,電輸供部規字第10980340751號
惟辦理第一次展延時收取</t>
        </is>
      </c>
      <c r="G24" s="1523" t="n"/>
      <c r="H24" s="209" t="n"/>
      <c r="I24" s="122" t="n"/>
    </row>
    <row r="25" ht="16.5" customHeight="1" s="1643">
      <c r="B25" s="207" t="n"/>
      <c r="D25" s="334" t="n"/>
      <c r="E25" s="207" t="n"/>
      <c r="F25" s="780" t="n"/>
      <c r="G25" s="207" t="n"/>
      <c r="H25" s="1493" t="n"/>
      <c r="I25" s="0" t="n"/>
    </row>
    <row r="26">
      <c r="D26" s="334" t="n"/>
      <c r="E26" s="207" t="n"/>
      <c r="F26" s="780" t="n"/>
    </row>
    <row r="27">
      <c r="E27" s="207" t="n"/>
    </row>
    <row r="28">
      <c r="B28" s="5" t="inlineStr">
        <is>
          <t>代辦升壓設備(1+2或1+3)</t>
        </is>
      </c>
    </row>
    <row r="29">
      <c r="B29" s="1523" t="inlineStr">
        <is>
          <t>廠商</t>
        </is>
      </c>
      <c r="C29" s="1523" t="inlineStr">
        <is>
          <t>規格</t>
        </is>
      </c>
      <c r="D29" s="1523" t="inlineStr">
        <is>
          <t>報價(台幣/kW/km)</t>
        </is>
      </c>
      <c r="E29" s="1523" t="inlineStr">
        <is>
          <t>報價時間</t>
        </is>
      </c>
      <c r="F29" s="1523" t="inlineStr">
        <is>
          <t>NOTE</t>
        </is>
      </c>
      <c r="G29" s="1523" t="inlineStr">
        <is>
          <t>聯絡人</t>
        </is>
      </c>
      <c r="H29" s="1523" t="inlineStr">
        <is>
          <t>聯絡方式</t>
        </is>
      </c>
      <c r="I29" s="1523" t="inlineStr">
        <is>
          <t>Email</t>
        </is>
      </c>
    </row>
    <row r="30" ht="16.5" customHeight="1" s="1643">
      <c r="B30" s="1523" t="inlineStr">
        <is>
          <t>台電</t>
        </is>
      </c>
      <c r="C30" s="1523" t="inlineStr">
        <is>
          <t>升壓設備</t>
        </is>
      </c>
      <c r="D30" s="232" t="inlineStr">
        <is>
          <t>2880元/kw*裝置容量</t>
        </is>
      </c>
      <c r="E30" s="1523" t="n">
        <v>1</v>
      </c>
      <c r="F30" s="205" t="inlineStr">
        <is>
          <t>中華民國107年7月2日電配售部配字第1078066359</t>
        </is>
      </c>
      <c r="G30" s="1523" t="n"/>
      <c r="H30" s="209" t="n"/>
      <c r="I30" s="122" t="n"/>
    </row>
    <row r="31" ht="16.5" customHeight="1" s="1643">
      <c r="B31" s="1523" t="inlineStr">
        <is>
          <t>台電</t>
        </is>
      </c>
      <c r="C31" s="1523" t="inlineStr">
        <is>
          <t>配電線路(架空)</t>
        </is>
      </c>
      <c r="D31" s="232" t="inlineStr">
        <is>
          <t>803元/Kw*km</t>
        </is>
      </c>
      <c r="E31" s="1523" t="n">
        <v>2</v>
      </c>
      <c r="F31" s="205" t="inlineStr">
        <is>
          <t>中華民國107年7月2日電配售部配字第1078066359</t>
        </is>
      </c>
      <c r="G31" s="1523" t="n"/>
      <c r="H31" s="209" t="n"/>
      <c r="I31" s="122" t="n"/>
    </row>
    <row r="32" ht="16.5" customHeight="1" s="1643">
      <c r="B32" s="1523" t="inlineStr">
        <is>
          <t>台電</t>
        </is>
      </c>
      <c r="C32" s="1523" t="inlineStr">
        <is>
          <t>配電線路(地下)</t>
        </is>
      </c>
      <c r="D32" s="232" t="inlineStr">
        <is>
          <t>2484元/kW*km</t>
        </is>
      </c>
      <c r="E32" s="1523" t="n">
        <v>3</v>
      </c>
      <c r="F32" s="205" t="inlineStr">
        <is>
          <t>中華民國107年7月2日電配售部配字第1078066359</t>
        </is>
      </c>
      <c r="G32" s="1523" t="n"/>
      <c r="H32" s="209" t="n"/>
      <c r="I32" s="122" t="n"/>
    </row>
  </sheetData>
  <autoFilter ref="B12:G12"/>
  <mergeCells count="1">
    <mergeCell ref="C16:C17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 filterMode="1">
    <outlinePr summaryBelow="1" summaryRight="1"/>
    <pageSetUpPr/>
  </sheetPr>
  <dimension ref="B1:J75"/>
  <sheetViews>
    <sheetView showGridLines="0" zoomScaleNormal="100" workbookViewId="0">
      <pane ySplit="12" topLeftCell="A13" activePane="bottomLeft" state="frozen"/>
      <selection pane="bottomLeft" activeCell="D3" sqref="D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22.125" customWidth="1" style="5" min="3" max="3"/>
    <col width="15.125" bestFit="1" customWidth="1" style="5" min="4" max="4"/>
    <col width="13" customWidth="1" style="5" min="5" max="5"/>
    <col width="68.75" customWidth="1" style="5" min="6" max="6"/>
    <col width="12.5" customWidth="1" style="5" min="7" max="7"/>
    <col width="20.875" customWidth="1" style="5" min="8" max="8"/>
    <col width="21.25" customWidth="1" style="5" min="9" max="9"/>
    <col width="8.875" customWidth="1" style="5" min="10" max="10"/>
    <col width="21.25" bestFit="1" customWidth="1" style="5" min="11" max="11"/>
    <col width="9" customWidth="1" style="5" min="12" max="16384"/>
  </cols>
  <sheetData>
    <row r="1">
      <c r="B1" s="5" t="inlineStr">
        <is>
          <t>市電躉售併聯申請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報價(台幣/案)</t>
        </is>
      </c>
      <c r="E2" s="207" t="n"/>
    </row>
    <row r="3" ht="28.5" customHeight="1" s="1643">
      <c r="B3" s="1523">
        <f>B42</f>
        <v/>
      </c>
      <c r="C3" s="336" t="inlineStr">
        <is>
          <t>1-99kWp *1案
100-499kWp *2案</t>
        </is>
      </c>
      <c r="D3" s="232">
        <f>D41+D42*2</f>
        <v/>
      </c>
      <c r="E3" s="207" t="n"/>
    </row>
    <row r="4" ht="5.25" customHeight="1" s="1643">
      <c r="B4" s="207" t="n"/>
      <c r="C4" s="207" t="n"/>
      <c r="D4" s="207" t="n"/>
      <c r="E4" s="207" t="n"/>
    </row>
    <row r="5">
      <c r="B5" s="5" t="inlineStr">
        <is>
          <t>結構技師</t>
        </is>
      </c>
      <c r="E5" s="207" t="n"/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報價(台幣/案)</t>
        </is>
      </c>
      <c r="E6" s="207" t="n"/>
    </row>
    <row r="7">
      <c r="B7" s="1523">
        <f>B50</f>
        <v/>
      </c>
      <c r="C7" s="1523">
        <f>C50</f>
        <v/>
      </c>
      <c r="D7" s="1523">
        <f>80*#REF!</f>
        <v/>
      </c>
      <c r="E7" s="207" t="inlineStr">
        <is>
          <t>80/kW</t>
        </is>
      </c>
    </row>
    <row r="8" ht="6" customHeight="1" s="1643">
      <c r="B8" s="207" t="n"/>
      <c r="C8" s="207" t="n"/>
      <c r="D8" s="207" t="n"/>
      <c r="E8" s="207" t="n"/>
      <c r="F8" s="302" t="n"/>
      <c r="G8" s="207" t="n"/>
    </row>
    <row r="9">
      <c r="B9" s="5" t="inlineStr">
        <is>
          <t>電機技師(100KW以上案件需要)</t>
        </is>
      </c>
      <c r="E9" s="207" t="n"/>
      <c r="F9" s="302" t="n"/>
      <c r="G9" s="207" t="n"/>
    </row>
    <row r="10">
      <c r="B10" s="1523" t="inlineStr">
        <is>
          <t>選用廠商</t>
        </is>
      </c>
      <c r="C10" s="1523" t="inlineStr">
        <is>
          <t>規格(KW)</t>
        </is>
      </c>
      <c r="D10" s="1523" t="inlineStr">
        <is>
          <t>報價(台幣/案)</t>
        </is>
      </c>
      <c r="E10" s="207" t="n"/>
      <c r="F10" s="302" t="n"/>
      <c r="G10" s="207" t="n"/>
    </row>
    <row r="11">
      <c r="B11" s="1523">
        <f>B54</f>
        <v/>
      </c>
      <c r="C11" s="1523">
        <f>C54</f>
        <v/>
      </c>
      <c r="D11" s="1523">
        <f>D54</f>
        <v/>
      </c>
      <c r="E11" s="207" t="n"/>
      <c r="F11" s="302" t="n"/>
      <c r="G11" s="207" t="n"/>
    </row>
    <row r="12" ht="6.75" customHeight="1" s="1643">
      <c r="B12" s="207" t="n"/>
      <c r="C12" s="207" t="n"/>
      <c r="D12" s="207" t="n"/>
      <c r="E12" s="207" t="n"/>
    </row>
    <row r="13">
      <c r="B13" s="207" t="n"/>
      <c r="C13" s="207" t="n"/>
      <c r="D13" s="207" t="n"/>
      <c r="E13" s="207" t="n"/>
    </row>
    <row r="14">
      <c r="B14" s="1490" t="inlineStr">
        <is>
          <t>市電躉售併聯申請</t>
        </is>
      </c>
      <c r="C14" s="2106" t="n"/>
    </row>
    <row r="15">
      <c r="B15" s="1523" t="inlineStr">
        <is>
          <t>廠商</t>
        </is>
      </c>
      <c r="C15" s="1523" t="inlineStr">
        <is>
          <t>規格</t>
        </is>
      </c>
      <c r="D15" s="1523" t="inlineStr">
        <is>
          <t>報價(台幣/案)</t>
        </is>
      </c>
      <c r="E15" s="1523" t="inlineStr">
        <is>
          <t>報價時間</t>
        </is>
      </c>
      <c r="F15" s="1523" t="inlineStr">
        <is>
          <t>NOTE</t>
        </is>
      </c>
      <c r="G15" s="1523" t="inlineStr">
        <is>
          <t>聯絡人</t>
        </is>
      </c>
      <c r="H15" s="1523" t="inlineStr">
        <is>
          <t>聯絡方式</t>
        </is>
      </c>
      <c r="I15" s="1523" t="inlineStr">
        <is>
          <t>Email</t>
        </is>
      </c>
      <c r="J15" s="1494" t="inlineStr">
        <is>
          <t>備註</t>
        </is>
      </c>
    </row>
    <row r="16" ht="16.5" customHeight="1" s="1643">
      <c r="B16" s="1523" t="inlineStr">
        <is>
          <t>原生</t>
        </is>
      </c>
      <c r="C16" s="1523" t="inlineStr">
        <is>
          <t>10kW左右</t>
        </is>
      </c>
      <c r="D16" s="232" t="n">
        <v>20000</v>
      </c>
      <c r="E16" s="1523" t="inlineStr">
        <is>
          <t>2020/4月</t>
        </is>
      </c>
      <c r="F16" s="205" t="inlineStr">
        <is>
          <t>所有公家文件申請行政流程  (特別價)</t>
        </is>
      </c>
      <c r="G16" s="1523" t="inlineStr">
        <is>
          <t>湯學薇</t>
        </is>
      </c>
      <c r="H16" s="205" t="n"/>
      <c r="I16" s="122" t="n"/>
      <c r="J16" s="1494" t="inlineStr">
        <is>
          <t>第三型</t>
        </is>
      </c>
    </row>
    <row r="17" ht="16.5" customHeight="1" s="1643">
      <c r="B17" s="1523" t="inlineStr">
        <is>
          <t>原生</t>
        </is>
      </c>
      <c r="C17" s="1523" t="inlineStr">
        <is>
          <t>100kW以下</t>
        </is>
      </c>
      <c r="D17" s="232" t="n">
        <v>30000</v>
      </c>
      <c r="E17" s="1523" t="inlineStr">
        <is>
          <t>2018/5月</t>
        </is>
      </c>
      <c r="F17" s="205" t="inlineStr">
        <is>
          <t>所有公家文件申請行政流程</t>
        </is>
      </c>
      <c r="G17" s="1523" t="n"/>
      <c r="H17" s="205" t="n"/>
      <c r="I17" s="122" t="n"/>
      <c r="J17" s="1977" t="n"/>
    </row>
    <row r="18" ht="16.5" customHeight="1" s="1643">
      <c r="B18" s="1523" t="inlineStr">
        <is>
          <t>原生</t>
        </is>
      </c>
      <c r="C18" s="1523" t="inlineStr">
        <is>
          <t>100kW以上</t>
        </is>
      </c>
      <c r="D18" s="232" t="n">
        <v>33000</v>
      </c>
      <c r="E18" s="1523" t="inlineStr">
        <is>
          <t>2018/5月</t>
        </is>
      </c>
      <c r="F18" s="205" t="inlineStr">
        <is>
          <t>所有公家文件申請行政流程</t>
        </is>
      </c>
      <c r="G18" s="1523" t="n"/>
      <c r="H18" s="205" t="n"/>
      <c r="I18" s="122" t="n"/>
      <c r="J18" s="1977" t="n"/>
    </row>
    <row r="19" ht="16.5" customHeight="1" s="1643">
      <c r="B19" s="1523" t="inlineStr">
        <is>
          <t>原生</t>
        </is>
      </c>
      <c r="C19" s="1523" t="inlineStr">
        <is>
          <t>500-2MW</t>
        </is>
      </c>
      <c r="D19" s="232" t="n">
        <v>86000</v>
      </c>
      <c r="E19" s="1523" t="inlineStr">
        <is>
          <t>2020/8月</t>
        </is>
      </c>
      <c r="F19" s="205" t="inlineStr">
        <is>
          <t>所有公家文件申請行政流程  (特別價)</t>
        </is>
      </c>
      <c r="G19" s="1523" t="n"/>
      <c r="H19" s="205" t="n"/>
      <c r="I19" s="122" t="n"/>
      <c r="J19" s="1977" t="n"/>
    </row>
    <row r="20">
      <c r="B20" s="1523" t="inlineStr">
        <is>
          <t>辰欣豪亦</t>
        </is>
      </c>
      <c r="C20" s="1523" t="inlineStr">
        <is>
          <t>20kW以下</t>
        </is>
      </c>
      <c r="D20" s="1122" t="n">
        <v>40000</v>
      </c>
      <c r="E20" s="1523" t="inlineStr">
        <is>
          <t>2021/8月</t>
        </is>
      </c>
      <c r="F20" s="2107" t="inlineStr">
        <is>
          <t>所有公家文件申請行政流程
*台電審查
*縣市政府
*顧問服務</t>
        </is>
      </c>
      <c r="G20" s="1523" t="inlineStr">
        <is>
          <t>李佳玲</t>
        </is>
      </c>
      <c r="H20" s="205" t="n"/>
      <c r="I20" s="2108" t="inlineStr">
        <is>
          <t>自用不躉售案件
以9折計算</t>
        </is>
      </c>
      <c r="J20" s="1977" t="n"/>
    </row>
    <row r="21">
      <c r="B21" s="1523" t="inlineStr">
        <is>
          <t>辰欣豪亦</t>
        </is>
      </c>
      <c r="C21" s="1523" t="inlineStr">
        <is>
          <t>21-99kW</t>
        </is>
      </c>
      <c r="D21" s="1979" t="n"/>
      <c r="E21" s="1523" t="inlineStr">
        <is>
          <t>2021/8月</t>
        </is>
      </c>
      <c r="F21" s="1977" t="n"/>
      <c r="G21" s="1523" t="inlineStr">
        <is>
          <t>李佳玲</t>
        </is>
      </c>
      <c r="H21" s="205" t="n"/>
      <c r="I21" s="1977" t="n"/>
      <c r="J21" s="1977" t="n"/>
    </row>
    <row r="22">
      <c r="B22" s="1523" t="inlineStr">
        <is>
          <t>辰欣豪亦</t>
        </is>
      </c>
      <c r="C22" s="1523" t="inlineStr">
        <is>
          <t>100-199kW</t>
        </is>
      </c>
      <c r="D22" s="1122" t="n">
        <v>45000</v>
      </c>
      <c r="E22" s="1523" t="inlineStr">
        <is>
          <t>2021/8月</t>
        </is>
      </c>
      <c r="F22" s="1977" t="n"/>
      <c r="G22" s="1523" t="inlineStr">
        <is>
          <t>李佳玲</t>
        </is>
      </c>
      <c r="H22" s="205" t="n"/>
      <c r="I22" s="1977" t="n"/>
      <c r="J22" s="1977" t="n"/>
    </row>
    <row r="23">
      <c r="B23" s="1523" t="inlineStr">
        <is>
          <t>辰欣豪亦</t>
        </is>
      </c>
      <c r="C23" s="1523" t="inlineStr">
        <is>
          <t>200-299kW</t>
        </is>
      </c>
      <c r="D23" s="1977" t="n"/>
      <c r="E23" s="1523" t="inlineStr">
        <is>
          <t>2021/8月</t>
        </is>
      </c>
      <c r="F23" s="1977" t="n"/>
      <c r="G23" s="1523" t="inlineStr">
        <is>
          <t>李佳玲</t>
        </is>
      </c>
      <c r="H23" s="205" t="n"/>
      <c r="I23" s="1977" t="n"/>
      <c r="J23" s="1977" t="n"/>
    </row>
    <row r="24">
      <c r="B24" s="1523" t="inlineStr">
        <is>
          <t>辰欣豪亦</t>
        </is>
      </c>
      <c r="C24" s="1523" t="inlineStr">
        <is>
          <t>300-399kW</t>
        </is>
      </c>
      <c r="D24" s="1977" t="n"/>
      <c r="E24" s="1523" t="inlineStr">
        <is>
          <t>2021/8月</t>
        </is>
      </c>
      <c r="F24" s="1977" t="n"/>
      <c r="G24" s="1523" t="inlineStr">
        <is>
          <t>李佳玲</t>
        </is>
      </c>
      <c r="H24" s="205" t="n"/>
      <c r="I24" s="1977" t="n"/>
      <c r="J24" s="1977" t="n"/>
    </row>
    <row r="25">
      <c r="B25" s="1523" t="inlineStr">
        <is>
          <t>辰欣豪亦</t>
        </is>
      </c>
      <c r="C25" s="1523" t="inlineStr">
        <is>
          <t>400-499kW</t>
        </is>
      </c>
      <c r="D25" s="1979" t="n"/>
      <c r="E25" s="1523" t="inlineStr">
        <is>
          <t>2021/8月</t>
        </is>
      </c>
      <c r="F25" s="1977" t="n"/>
      <c r="G25" s="1523" t="inlineStr">
        <is>
          <t>李佳玲</t>
        </is>
      </c>
      <c r="H25" s="205" t="n"/>
      <c r="I25" s="1977" t="n"/>
      <c r="J25" s="1977" t="n"/>
    </row>
    <row r="26">
      <c r="B26" s="1523" t="inlineStr">
        <is>
          <t>辰欣豪亦</t>
        </is>
      </c>
      <c r="C26" s="1523" t="inlineStr">
        <is>
          <t>500-999kW</t>
        </is>
      </c>
      <c r="D26" s="845" t="n">
        <v>70000</v>
      </c>
      <c r="E26" s="1523" t="inlineStr">
        <is>
          <t>2021/8月</t>
        </is>
      </c>
      <c r="F26" s="1977" t="n"/>
      <c r="G26" s="1523" t="inlineStr">
        <is>
          <t>李佳玲</t>
        </is>
      </c>
      <c r="H26" s="205" t="n"/>
      <c r="I26" s="1977" t="n"/>
      <c r="J26" s="1977" t="n"/>
    </row>
    <row r="27">
      <c r="B27" s="1523" t="inlineStr">
        <is>
          <t>辰欣豪亦</t>
        </is>
      </c>
      <c r="C27" s="1523" t="inlineStr">
        <is>
          <t>1000-1499kW</t>
        </is>
      </c>
      <c r="D27" s="845" t="n">
        <v>95000</v>
      </c>
      <c r="E27" s="1523" t="inlineStr">
        <is>
          <t>2021/8月</t>
        </is>
      </c>
      <c r="F27" s="1977" t="n"/>
      <c r="G27" s="1523" t="inlineStr">
        <is>
          <t>李佳玲</t>
        </is>
      </c>
      <c r="H27" s="205" t="n"/>
      <c r="I27" s="1977" t="n"/>
      <c r="J27" s="1977" t="n"/>
    </row>
    <row r="28">
      <c r="B28" s="1523" t="inlineStr">
        <is>
          <t>辰欣豪亦</t>
        </is>
      </c>
      <c r="C28" s="1523" t="inlineStr">
        <is>
          <t>1500-1999kW</t>
        </is>
      </c>
      <c r="D28" s="845" t="n">
        <v>150000</v>
      </c>
      <c r="E28" s="1523" t="inlineStr">
        <is>
          <t>2021/8月</t>
        </is>
      </c>
      <c r="F28" s="1979" t="n"/>
      <c r="G28" s="1523" t="inlineStr">
        <is>
          <t>李佳玲</t>
        </is>
      </c>
      <c r="H28" s="205" t="n"/>
      <c r="I28" s="1979" t="n"/>
      <c r="J28" s="1979" t="n"/>
    </row>
    <row r="29">
      <c r="B29" s="1523" t="inlineStr">
        <is>
          <t>辰欣豪亦</t>
        </is>
      </c>
      <c r="C29" s="1523" t="inlineStr">
        <is>
          <t>10MW以下</t>
        </is>
      </c>
      <c r="D29" s="845" t="n">
        <v>500000</v>
      </c>
      <c r="E29" s="1523" t="inlineStr">
        <is>
          <t>2021/8月</t>
        </is>
      </c>
      <c r="F29" s="2107" t="inlineStr">
        <is>
          <t>所有公家文件申請行政流程
*籌設前置
*電業籌設
*施工許可
*免雜項執照
*設備認定
*電業執照</t>
        </is>
      </c>
      <c r="G29" s="1523" t="inlineStr">
        <is>
          <t>李佳玲</t>
        </is>
      </c>
      <c r="H29" s="205" t="n"/>
      <c r="I29" s="2108" t="inlineStr">
        <is>
          <t>每案籌設以一期為限，
施工許可申請依據籌設許可函核定內容為準</t>
        </is>
      </c>
      <c r="J29" s="1494" t="inlineStr">
        <is>
          <t>第二型</t>
        </is>
      </c>
    </row>
    <row r="30">
      <c r="B30" s="1523" t="inlineStr">
        <is>
          <t>辰欣豪亦</t>
        </is>
      </c>
      <c r="C30" s="1523" t="inlineStr">
        <is>
          <t>11-30MW</t>
        </is>
      </c>
      <c r="D30" s="845" t="n">
        <v>800000</v>
      </c>
      <c r="E30" s="1523" t="inlineStr">
        <is>
          <t>2021/8月</t>
        </is>
      </c>
      <c r="F30" s="1977" t="n"/>
      <c r="G30" s="1523" t="inlineStr">
        <is>
          <t>李佳玲</t>
        </is>
      </c>
      <c r="H30" s="205" t="n"/>
      <c r="I30" s="1977" t="n"/>
      <c r="J30" s="1977" t="n"/>
    </row>
    <row r="31">
      <c r="B31" s="1523" t="inlineStr">
        <is>
          <t>辰欣豪亦</t>
        </is>
      </c>
      <c r="C31" s="1523" t="inlineStr">
        <is>
          <t>31-50MW</t>
        </is>
      </c>
      <c r="D31" s="845" t="n">
        <v>1000000</v>
      </c>
      <c r="E31" s="1523" t="inlineStr">
        <is>
          <t>2021/8月</t>
        </is>
      </c>
      <c r="F31" s="1977" t="n"/>
      <c r="G31" s="1523" t="inlineStr">
        <is>
          <t>李佳玲</t>
        </is>
      </c>
      <c r="H31" s="205" t="n"/>
      <c r="I31" s="1977" t="n"/>
      <c r="J31" s="1977" t="n"/>
    </row>
    <row r="32">
      <c r="B32" s="1523" t="inlineStr">
        <is>
          <t>辰欣豪亦</t>
        </is>
      </c>
      <c r="C32" s="1523" t="inlineStr">
        <is>
          <t>51MW以上</t>
        </is>
      </c>
      <c r="D32" s="845" t="inlineStr">
        <is>
          <t>另行報價</t>
        </is>
      </c>
      <c r="E32" s="1523" t="inlineStr">
        <is>
          <t>2021/8月</t>
        </is>
      </c>
      <c r="F32" s="1977" t="n"/>
      <c r="G32" s="1523" t="inlineStr">
        <is>
          <t>李佳玲</t>
        </is>
      </c>
      <c r="H32" s="205" t="n"/>
      <c r="I32" s="1977" t="n"/>
      <c r="J32" s="1979" t="n"/>
    </row>
    <row r="33">
      <c r="B33" s="1523" t="inlineStr">
        <is>
          <t>辰欣豪亦</t>
        </is>
      </c>
      <c r="C33" s="1523" t="inlineStr">
        <is>
          <t>10MW以下</t>
        </is>
      </c>
      <c r="D33" s="845" t="n">
        <v>750000</v>
      </c>
      <c r="E33" s="1523" t="inlineStr">
        <is>
          <t>2021/8月</t>
        </is>
      </c>
      <c r="F33" s="1977" t="n"/>
      <c r="G33" s="1523" t="inlineStr">
        <is>
          <t>李佳玲</t>
        </is>
      </c>
      <c r="H33" s="205" t="n"/>
      <c r="I33" s="1977" t="n"/>
      <c r="J33" s="1494" t="inlineStr">
        <is>
          <t>第一型</t>
        </is>
      </c>
    </row>
    <row r="34">
      <c r="B34" s="1523" t="inlineStr">
        <is>
          <t>辰欣豪亦</t>
        </is>
      </c>
      <c r="C34" s="1523" t="inlineStr">
        <is>
          <t>11-20MW</t>
        </is>
      </c>
      <c r="D34" s="845" t="n">
        <v>850000</v>
      </c>
      <c r="E34" s="1523" t="inlineStr">
        <is>
          <t>2021/8月</t>
        </is>
      </c>
      <c r="F34" s="1977" t="n"/>
      <c r="G34" s="1523" t="inlineStr">
        <is>
          <t>李佳玲</t>
        </is>
      </c>
      <c r="H34" s="205" t="n"/>
      <c r="I34" s="1977" t="n"/>
      <c r="J34" s="1977" t="n"/>
    </row>
    <row r="35">
      <c r="B35" s="1523" t="inlineStr">
        <is>
          <t>辰欣豪亦</t>
        </is>
      </c>
      <c r="C35" s="1523" t="inlineStr">
        <is>
          <t>21-40MW</t>
        </is>
      </c>
      <c r="D35" s="845" t="n">
        <v>1050000</v>
      </c>
      <c r="E35" s="1523" t="inlineStr">
        <is>
          <t>2021/8月</t>
        </is>
      </c>
      <c r="F35" s="1977" t="n"/>
      <c r="G35" s="1523" t="inlineStr">
        <is>
          <t>李佳玲</t>
        </is>
      </c>
      <c r="H35" s="205" t="n"/>
      <c r="I35" s="1977" t="n"/>
      <c r="J35" s="1977" t="n"/>
    </row>
    <row r="36">
      <c r="B36" s="1523" t="inlineStr">
        <is>
          <t>辰欣豪亦</t>
        </is>
      </c>
      <c r="C36" s="1523" t="inlineStr">
        <is>
          <t>41-60MW</t>
        </is>
      </c>
      <c r="D36" s="845" t="n">
        <v>1250000</v>
      </c>
      <c r="E36" s="1523" t="inlineStr">
        <is>
          <t>2021/8月</t>
        </is>
      </c>
      <c r="F36" s="1977" t="n"/>
      <c r="G36" s="1523" t="inlineStr">
        <is>
          <t>李佳玲</t>
        </is>
      </c>
      <c r="H36" s="205" t="n"/>
      <c r="I36" s="1977" t="n"/>
      <c r="J36" s="1977" t="n"/>
    </row>
    <row r="37">
      <c r="B37" s="1523" t="inlineStr">
        <is>
          <t>辰欣豪亦</t>
        </is>
      </c>
      <c r="C37" s="1523" t="inlineStr">
        <is>
          <t>61-80MW</t>
        </is>
      </c>
      <c r="D37" s="845" t="n">
        <v>1450000</v>
      </c>
      <c r="E37" s="1523" t="inlineStr">
        <is>
          <t>2021/8月</t>
        </is>
      </c>
      <c r="F37" s="1977" t="n"/>
      <c r="G37" s="1523" t="inlineStr">
        <is>
          <t>李佳玲</t>
        </is>
      </c>
      <c r="H37" s="205" t="n"/>
      <c r="I37" s="1977" t="n"/>
      <c r="J37" s="1977" t="n"/>
    </row>
    <row r="38">
      <c r="B38" s="1523" t="inlineStr">
        <is>
          <t>辰欣豪亦</t>
        </is>
      </c>
      <c r="C38" s="1523" t="inlineStr">
        <is>
          <t>81-100MW</t>
        </is>
      </c>
      <c r="D38" s="845" t="n">
        <v>1650000</v>
      </c>
      <c r="E38" s="1523" t="inlineStr">
        <is>
          <t>2021/8月</t>
        </is>
      </c>
      <c r="F38" s="1977" t="n"/>
      <c r="G38" s="1523" t="inlineStr">
        <is>
          <t>李佳玲</t>
        </is>
      </c>
      <c r="H38" s="205" t="n"/>
      <c r="I38" s="1977" t="n"/>
      <c r="J38" s="1977" t="n"/>
    </row>
    <row r="39">
      <c r="B39" s="1523" t="inlineStr">
        <is>
          <t>辰欣豪亦</t>
        </is>
      </c>
      <c r="C39" s="1523" t="inlineStr">
        <is>
          <t>101MW以上</t>
        </is>
      </c>
      <c r="D39" s="845" t="inlineStr">
        <is>
          <t>另行報價</t>
        </is>
      </c>
      <c r="E39" s="1523" t="inlineStr">
        <is>
          <t>2021/8月</t>
        </is>
      </c>
      <c r="F39" s="1979" t="n"/>
      <c r="G39" s="1523" t="inlineStr">
        <is>
          <t>李佳玲</t>
        </is>
      </c>
      <c r="H39" s="205" t="n"/>
      <c r="I39" s="1979" t="n"/>
      <c r="J39" s="1979" t="n"/>
    </row>
    <row r="40" ht="42.75" customHeight="1" s="1643">
      <c r="B40" s="1523" t="inlineStr">
        <is>
          <t>日鴻</t>
        </is>
      </c>
      <c r="C40" s="1523" t="inlineStr">
        <is>
          <t>20kW以下</t>
        </is>
      </c>
      <c r="D40" s="845" t="n">
        <v>45000</v>
      </c>
      <c r="E40" s="1523" t="inlineStr">
        <is>
          <t>2022/4月</t>
        </is>
      </c>
      <c r="F40" s="964" t="inlineStr">
        <is>
          <t>所有公家文件申請行政流程
*台電審查(含台電送審四大圖說繪製)
*縣市政府</t>
        </is>
      </c>
      <c r="G40" s="1523" t="inlineStr">
        <is>
          <t>黃永政</t>
        </is>
      </c>
      <c r="H40" s="205" t="n"/>
      <c r="I40" s="841" t="n"/>
      <c r="J40" s="1509" t="inlineStr">
        <is>
          <t>第三型</t>
        </is>
      </c>
    </row>
    <row r="41">
      <c r="B41" s="1134" t="inlineStr">
        <is>
          <t>友樂晴</t>
        </is>
      </c>
      <c r="C41" s="1494" t="inlineStr">
        <is>
          <t>1-99kWp</t>
        </is>
      </c>
      <c r="D41" s="1122" t="n">
        <v>35000</v>
      </c>
      <c r="E41" s="1494" t="n">
        <v>20221109</v>
      </c>
      <c r="F41" s="2109" t="inlineStr">
        <is>
          <t>所有公家文件申請行政流程
*同一場址分多期送件，視為多案，依各案容量所屬級距分別報價
*同一場址分兩期以上送件，可折扣
*報價包含電器承裝業及太陽光電乙級技術士簽證
*不含圖說修正及設備修改
*不含任何技師簽證費用及政府規費</t>
        </is>
      </c>
      <c r="G41" s="2110" t="inlineStr">
        <is>
          <t>湯學薇</t>
        </is>
      </c>
      <c r="H41" s="2110" t="inlineStr">
        <is>
          <t>02-23038861</t>
        </is>
      </c>
      <c r="I41" s="2111" t="inlineStr">
        <is>
          <t>neomy@yolothink.com</t>
        </is>
      </c>
      <c r="J41" s="2110" t="inlineStr">
        <is>
          <t>第三型</t>
        </is>
      </c>
    </row>
    <row r="42">
      <c r="B42" s="1135" t="inlineStr">
        <is>
          <t>友樂晴</t>
        </is>
      </c>
      <c r="C42" s="1494" t="inlineStr">
        <is>
          <t>100-499kWp</t>
        </is>
      </c>
      <c r="D42" s="1122" t="n">
        <v>45000</v>
      </c>
      <c r="E42" s="1494" t="n">
        <v>2221109</v>
      </c>
      <c r="F42" s="2098" t="n"/>
      <c r="G42" s="2098" t="n"/>
      <c r="H42" s="2098" t="n"/>
      <c r="I42" s="2098" t="n"/>
      <c r="J42" s="2098" t="n"/>
    </row>
    <row r="43">
      <c r="B43" s="1135" t="n"/>
      <c r="C43" s="1494" t="inlineStr">
        <is>
          <t>500-999kWp</t>
        </is>
      </c>
      <c r="D43" s="1122" t="n">
        <v>55000</v>
      </c>
      <c r="E43" s="1494" t="n">
        <v>20221109</v>
      </c>
      <c r="F43" s="2098" t="n"/>
      <c r="G43" s="2098" t="n"/>
      <c r="H43" s="2098" t="n"/>
      <c r="I43" s="2098" t="n"/>
      <c r="J43" s="2098" t="n"/>
    </row>
    <row r="44">
      <c r="B44" s="902" t="n"/>
      <c r="C44" s="1494" t="inlineStr">
        <is>
          <t>1000-1999kWp</t>
        </is>
      </c>
      <c r="D44" s="1122" t="n">
        <v>75000</v>
      </c>
      <c r="E44" s="1494" t="n">
        <v>20221109</v>
      </c>
      <c r="F44" s="1684" t="n"/>
      <c r="G44" s="1684" t="n"/>
      <c r="H44" s="1684" t="n"/>
      <c r="I44" s="1684" t="n"/>
      <c r="J44" s="1684" t="n"/>
    </row>
    <row r="46">
      <c r="B46" s="5" t="inlineStr">
        <is>
          <t>結構技師</t>
        </is>
      </c>
    </row>
    <row r="47">
      <c r="B47" s="1523" t="inlineStr">
        <is>
          <t>廠商</t>
        </is>
      </c>
      <c r="C47" s="1523" t="inlineStr">
        <is>
          <t>規格</t>
        </is>
      </c>
      <c r="D47" s="1523" t="inlineStr">
        <is>
          <t>報價(台幣/案)</t>
        </is>
      </c>
      <c r="E47" s="1523" t="inlineStr">
        <is>
          <t>報價時間</t>
        </is>
      </c>
      <c r="F47" s="1523" t="inlineStr">
        <is>
          <t>NOTE</t>
        </is>
      </c>
      <c r="G47" s="1523" t="inlineStr">
        <is>
          <t>聯絡人</t>
        </is>
      </c>
      <c r="H47" s="1523" t="inlineStr">
        <is>
          <t>聯絡方式</t>
        </is>
      </c>
      <c r="I47" s="1523" t="inlineStr">
        <is>
          <t>Email</t>
        </is>
      </c>
    </row>
    <row r="48" ht="16.5" customHeight="1" s="1643">
      <c r="B48" s="1523" t="inlineStr">
        <is>
          <t>吳技師</t>
        </is>
      </c>
      <c r="C48" s="1523" t="inlineStr">
        <is>
          <t>無</t>
        </is>
      </c>
      <c r="D48" s="232" t="n">
        <v>13000</v>
      </c>
      <c r="E48" s="1523" t="inlineStr">
        <is>
          <t>2016/3月</t>
        </is>
      </c>
      <c r="F48" s="205" t="inlineStr">
        <is>
          <t>含結構計算(15級風),免雜照簽證表,結構技師簽證,完竣證明</t>
        </is>
      </c>
      <c r="G48" s="1523" t="inlineStr">
        <is>
          <t>吳技師</t>
        </is>
      </c>
      <c r="H48" s="1523" t="n">
        <v>989574616</v>
      </c>
      <c r="I48" s="122" t="n"/>
    </row>
    <row r="49" hidden="1" ht="16.5" customHeight="1" s="1643">
      <c r="B49" s="1523" t="inlineStr">
        <is>
          <t>吳技師</t>
        </is>
      </c>
      <c r="C49" s="1523" t="inlineStr">
        <is>
          <t>10kW</t>
        </is>
      </c>
      <c r="D49" s="232" t="n">
        <v>8000</v>
      </c>
      <c r="E49" s="1523" t="inlineStr">
        <is>
          <t>2020/4月</t>
        </is>
      </c>
      <c r="F49" s="205" t="inlineStr">
        <is>
          <t>含結構計算(15級風),免雜照簽證表,結構技師簽證,完竣證明(特別價)</t>
        </is>
      </c>
      <c r="G49" s="1523" t="inlineStr">
        <is>
          <t>吳技師</t>
        </is>
      </c>
      <c r="H49" s="1523" t="n">
        <v>989574616</v>
      </c>
      <c r="I49" s="122" t="n"/>
    </row>
    <row r="50" ht="16.5" customHeight="1" s="1643">
      <c r="B50" s="1523" t="inlineStr">
        <is>
          <t>吳技師</t>
        </is>
      </c>
      <c r="C50" s="1523" t="inlineStr">
        <is>
          <t>163kW↑</t>
        </is>
      </c>
      <c r="D50" s="232" t="inlineStr">
        <is>
          <t>80/kW</t>
        </is>
      </c>
      <c r="E50" s="1523" t="n"/>
      <c r="F50" s="205" t="n"/>
      <c r="G50" s="1523" t="inlineStr">
        <is>
          <t>吳技師</t>
        </is>
      </c>
      <c r="H50" s="1523" t="n">
        <v>989574616</v>
      </c>
      <c r="I50" s="122" t="n"/>
    </row>
    <row r="52">
      <c r="B52" s="5" t="inlineStr">
        <is>
          <t>電機技師(100KW以上案件需要)</t>
        </is>
      </c>
    </row>
    <row r="53">
      <c r="B53" s="1523" t="inlineStr">
        <is>
          <t>廠商</t>
        </is>
      </c>
      <c r="C53" s="1523" t="inlineStr">
        <is>
          <t>規格(KW)</t>
        </is>
      </c>
      <c r="D53" s="1523" t="inlineStr">
        <is>
          <t>報價(台幣/案)</t>
        </is>
      </c>
      <c r="E53" s="1523" t="inlineStr">
        <is>
          <t>報價時間</t>
        </is>
      </c>
      <c r="F53" s="1523" t="inlineStr">
        <is>
          <t>NOTE</t>
        </is>
      </c>
      <c r="G53" s="1523" t="inlineStr">
        <is>
          <t>聯絡人</t>
        </is>
      </c>
      <c r="H53" s="1523" t="inlineStr">
        <is>
          <t>聯絡方式</t>
        </is>
      </c>
      <c r="I53" s="1523" t="inlineStr">
        <is>
          <t>Email</t>
        </is>
      </c>
    </row>
    <row r="54" ht="16.5" customHeight="1" s="1643">
      <c r="B54" s="1523" t="inlineStr">
        <is>
          <t>莫技師</t>
        </is>
      </c>
      <c r="C54" s="1523" t="inlineStr">
        <is>
          <t>100-500</t>
        </is>
      </c>
      <c r="D54" s="232" t="n">
        <v>150000</v>
      </c>
      <c r="E54" s="1523" t="inlineStr">
        <is>
          <t>2016/3月</t>
        </is>
      </c>
      <c r="F54" s="205" t="inlineStr">
        <is>
          <t>(併接600V以上外線需要系統衝擊分析,價格已含); 含台電協商; 系統廠拿到8萬價格</t>
        </is>
      </c>
      <c r="G54" s="1523" t="inlineStr">
        <is>
          <t>莫技師</t>
        </is>
      </c>
      <c r="H54" s="1523" t="inlineStr">
        <is>
          <t>0936290428 / 0422210296</t>
        </is>
      </c>
      <c r="I54" s="122" t="n"/>
    </row>
    <row r="55" ht="16.5" customHeight="1" s="1643">
      <c r="B55" s="1523" t="inlineStr">
        <is>
          <t>莫技師</t>
        </is>
      </c>
      <c r="C55" s="1523" t="inlineStr">
        <is>
          <t>100以下</t>
        </is>
      </c>
      <c r="D55" s="232" t="n">
        <v>5000</v>
      </c>
      <c r="E55" s="1523" t="inlineStr">
        <is>
          <t>2017/3月</t>
        </is>
      </c>
      <c r="F55" s="209" t="inlineStr">
        <is>
          <t>APS連接器簽證</t>
        </is>
      </c>
      <c r="G55" s="1523" t="inlineStr">
        <is>
          <t>莫技師</t>
        </is>
      </c>
      <c r="H55" s="1523" t="inlineStr">
        <is>
          <t>0936290428 / 0422210296</t>
        </is>
      </c>
      <c r="I55" s="122" t="n"/>
    </row>
    <row r="56" ht="16.5" customHeight="1" s="1643">
      <c r="B56" s="1523" t="inlineStr">
        <is>
          <t>莫技師</t>
        </is>
      </c>
      <c r="C56" s="1523" t="inlineStr">
        <is>
          <t>500-1000</t>
        </is>
      </c>
      <c r="D56" s="232">
        <f>150000+75000</f>
        <v/>
      </c>
      <c r="E56" s="1523" t="inlineStr">
        <is>
          <t>2020/8月</t>
        </is>
      </c>
      <c r="F56" s="205" t="inlineStr">
        <is>
          <t>(併接600V以上外線需要系統衝擊分析,價格已含); 含台電協商; 系統廠拿到8萬價格</t>
        </is>
      </c>
      <c r="G56" s="1523" t="inlineStr">
        <is>
          <t>莫技師</t>
        </is>
      </c>
      <c r="H56" s="1523" t="inlineStr">
        <is>
          <t>0936290428 / 0422210296</t>
        </is>
      </c>
      <c r="I56" s="122" t="n"/>
    </row>
    <row r="57" ht="16.5" customHeight="1" s="1643">
      <c r="B57" s="1523" t="inlineStr">
        <is>
          <t>莫技師</t>
        </is>
      </c>
      <c r="C57" s="1523" t="inlineStr">
        <is>
          <t>1000-1500</t>
        </is>
      </c>
      <c r="D57" s="232">
        <f>150000+75000+75000</f>
        <v/>
      </c>
      <c r="E57" s="1523" t="inlineStr">
        <is>
          <t>2020/8月</t>
        </is>
      </c>
      <c r="F57" s="205" t="inlineStr">
        <is>
          <t>(併接600V以上外線需要系統衝擊分析,價格已含); 含台電協商; 系統廠拿到8萬價格</t>
        </is>
      </c>
      <c r="G57" s="1523" t="inlineStr">
        <is>
          <t>莫技師</t>
        </is>
      </c>
      <c r="H57" s="1523" t="inlineStr">
        <is>
          <t>0936290428 / 0422210296</t>
        </is>
      </c>
      <c r="I57" s="122" t="n"/>
    </row>
    <row r="58" ht="16.5" customHeight="1" s="1643">
      <c r="B58" s="1523" t="inlineStr">
        <is>
          <t>莫技師</t>
        </is>
      </c>
      <c r="C58" s="1523" t="inlineStr">
        <is>
          <t>1500-2000</t>
        </is>
      </c>
      <c r="D58" s="232">
        <f>150000+75000+75000+75000</f>
        <v/>
      </c>
      <c r="E58" s="1523" t="inlineStr">
        <is>
          <t>2020/8月</t>
        </is>
      </c>
      <c r="F58" s="205" t="inlineStr">
        <is>
          <t>(併接600V以上外線需要系統衝擊分析,價格已含); 含台電協商; 系統廠拿到8萬價格</t>
        </is>
      </c>
      <c r="G58" s="1523" t="inlineStr">
        <is>
          <t>莫技師</t>
        </is>
      </c>
      <c r="H58" s="1523" t="inlineStr">
        <is>
          <t>0936290428 / 0422210296</t>
        </is>
      </c>
      <c r="I58" s="122" t="n"/>
    </row>
    <row r="59">
      <c r="C59" s="5" t="inlineStr">
        <is>
          <t>500~1M：15+7.5=22.5w</t>
        </is>
      </c>
      <c r="F59" s="5" t="inlineStr">
        <is>
          <t>系統衝擊報告費用 ($7萬)</t>
        </is>
      </c>
    </row>
    <row r="60">
      <c r="C60" s="5" t="inlineStr">
        <is>
          <t>1M~1.5M：22.5+7.5=30w</t>
        </is>
      </c>
    </row>
    <row r="61">
      <c r="C61" s="5" t="inlineStr">
        <is>
          <t>1.5~2M：30+7.5=37.5w</t>
        </is>
      </c>
    </row>
    <row r="63">
      <c r="B63" s="1490" t="inlineStr">
        <is>
          <t>太陽光電乙級技術士簽證(100KW以下案件需要)</t>
        </is>
      </c>
      <c r="C63" s="2106" t="n"/>
      <c r="D63" s="2106" t="n"/>
    </row>
    <row r="64">
      <c r="B64" s="1523" t="inlineStr">
        <is>
          <t>廠商</t>
        </is>
      </c>
      <c r="C64" s="1523" t="inlineStr">
        <is>
          <t>規格</t>
        </is>
      </c>
      <c r="D64" s="1523" t="inlineStr">
        <is>
          <t>報價(台幣/案)</t>
        </is>
      </c>
      <c r="E64" s="1523" t="inlineStr">
        <is>
          <t>報價時間</t>
        </is>
      </c>
      <c r="F64" s="1523" t="inlineStr">
        <is>
          <t>NOTE</t>
        </is>
      </c>
      <c r="G64" s="1523" t="inlineStr">
        <is>
          <t>聯絡人</t>
        </is>
      </c>
      <c r="H64" s="1523" t="inlineStr">
        <is>
          <t>聯絡方式</t>
        </is>
      </c>
      <c r="I64" s="1523" t="inlineStr">
        <is>
          <t>Email</t>
        </is>
      </c>
    </row>
    <row r="65" ht="13.9" customHeight="1" s="1643">
      <c r="B65" s="1523" t="n"/>
      <c r="C65" s="2110" t="inlineStr">
        <is>
          <t>100以下</t>
        </is>
      </c>
      <c r="D65" s="232" t="n">
        <v>5000</v>
      </c>
      <c r="E65" s="1523" t="inlineStr">
        <is>
          <t>2020/8月</t>
        </is>
      </c>
      <c r="F65" s="205" t="inlineStr">
        <is>
          <t>100KW以內 設備登記需要檢附</t>
        </is>
      </c>
      <c r="G65" s="1523" t="n"/>
      <c r="H65" s="205" t="n"/>
      <c r="I65" s="122" t="n"/>
    </row>
    <row r="66" ht="16.5" customHeight="1" s="1643">
      <c r="B66" s="1494" t="inlineStr">
        <is>
          <t>友樂晴</t>
        </is>
      </c>
      <c r="C66" s="1684" t="n"/>
      <c r="D66" s="2112" t="n">
        <v>3000</v>
      </c>
      <c r="E66" s="1494" t="n">
        <v>20221109</v>
      </c>
      <c r="F66" s="1124" t="n"/>
      <c r="G66" s="1494" t="inlineStr">
        <is>
          <t>湯學薇</t>
        </is>
      </c>
      <c r="H66" s="1494" t="inlineStr">
        <is>
          <t>02-23038861</t>
        </is>
      </c>
      <c r="I66" s="1498" t="inlineStr">
        <is>
          <t>neomy@yolothink.com</t>
        </is>
      </c>
    </row>
    <row r="68">
      <c r="B68" s="1493" t="inlineStr">
        <is>
          <t>三轉一行政申請</t>
        </is>
      </c>
    </row>
    <row r="69">
      <c r="B69" s="1523" t="inlineStr">
        <is>
          <t>廠商</t>
        </is>
      </c>
      <c r="C69" s="1523" t="inlineStr">
        <is>
          <t>規格</t>
        </is>
      </c>
      <c r="D69" s="1523" t="inlineStr">
        <is>
          <t>報價(台幣/案)</t>
        </is>
      </c>
      <c r="E69" s="1523" t="inlineStr">
        <is>
          <t>報價時間</t>
        </is>
      </c>
      <c r="F69" s="1523" t="inlineStr">
        <is>
          <t>NOTE</t>
        </is>
      </c>
      <c r="G69" s="1523" t="inlineStr">
        <is>
          <t>聯絡人</t>
        </is>
      </c>
      <c r="H69" s="1523" t="inlineStr">
        <is>
          <t>聯絡方式</t>
        </is>
      </c>
      <c r="I69" s="1523" t="inlineStr">
        <is>
          <t>Email</t>
        </is>
      </c>
    </row>
    <row r="70" ht="28.5" customHeight="1" s="1643">
      <c r="B70" s="1494" t="inlineStr">
        <is>
          <t>友樂晴</t>
        </is>
      </c>
      <c r="C70" s="1123" t="inlineStr">
        <is>
          <t>第三型再生能源發電設備轉第一型電業</t>
        </is>
      </c>
      <c r="D70" s="2113" t="n">
        <v>330000</v>
      </c>
      <c r="E70" s="1494" t="n">
        <v>20221109</v>
      </c>
      <c r="F70" s="1123" t="inlineStr">
        <is>
          <t>*此項目為一案第三型轉第一型電業
*若為多案第三型轉一案第一型電業，每增加一案第三型加收工本費15,000元</t>
        </is>
      </c>
      <c r="G70" s="1494" t="inlineStr">
        <is>
          <t>湯學薇</t>
        </is>
      </c>
      <c r="H70" s="1494" t="inlineStr">
        <is>
          <t>02-23038861</t>
        </is>
      </c>
      <c r="I70" s="1498" t="inlineStr">
        <is>
          <t>neomy@yolothink.com</t>
        </is>
      </c>
    </row>
    <row r="71" ht="13.9" customHeight="1" s="1643">
      <c r="I71" s="0" t="n"/>
    </row>
    <row r="72" ht="13.9" customHeight="1" s="1643">
      <c r="B72" s="1490" t="inlineStr">
        <is>
          <t>申請項目</t>
        </is>
      </c>
      <c r="C72" s="2106" t="n"/>
      <c r="I72" s="0" t="n"/>
    </row>
    <row r="73" ht="13.9" customHeight="1" s="1643">
      <c r="B73" s="1523" t="inlineStr">
        <is>
          <t>廠商</t>
        </is>
      </c>
      <c r="C73" s="1523" t="inlineStr">
        <is>
          <t>規格</t>
        </is>
      </c>
      <c r="D73" s="1523" t="inlineStr">
        <is>
          <t>報價(台幣/案)</t>
        </is>
      </c>
      <c r="E73" s="1523" t="inlineStr">
        <is>
          <t>報價時間</t>
        </is>
      </c>
      <c r="F73" s="1523" t="inlineStr">
        <is>
          <t>NOTE</t>
        </is>
      </c>
      <c r="G73" s="1523" t="inlineStr">
        <is>
          <t>聯絡人</t>
        </is>
      </c>
      <c r="H73" s="1523" t="inlineStr">
        <is>
          <t>聯絡方式</t>
        </is>
      </c>
      <c r="I73" s="1523" t="inlineStr">
        <is>
          <t>Email</t>
        </is>
      </c>
    </row>
    <row r="74" ht="13.9" customHeight="1" s="1643">
      <c r="B74" s="1494" t="inlineStr">
        <is>
          <t>友樂晴</t>
        </is>
      </c>
      <c r="C74" s="1494" t="inlineStr">
        <is>
          <t>電能轉供申請</t>
        </is>
      </c>
      <c r="D74" s="2112" t="n">
        <v>120000</v>
      </c>
      <c r="E74" s="1494" t="n">
        <v>20221109</v>
      </c>
      <c r="F74" s="1124" t="n"/>
      <c r="G74" s="1494" t="inlineStr">
        <is>
          <t>湯學薇</t>
        </is>
      </c>
      <c r="H74" s="1494" t="inlineStr">
        <is>
          <t>02-23038861</t>
        </is>
      </c>
      <c r="I74" s="1498" t="inlineStr">
        <is>
          <t>neomy@yolothink.com</t>
        </is>
      </c>
    </row>
    <row r="75">
      <c r="B75" s="1979" t="n"/>
      <c r="C75" s="1494" t="inlineStr">
        <is>
          <t>再生能源憑證申請</t>
        </is>
      </c>
      <c r="D75" s="2112" t="n">
        <v>10000</v>
      </c>
      <c r="E75" s="1979" t="n"/>
      <c r="F75" s="1124" t="inlineStr">
        <is>
          <t>不含後續數據回傳、憑證管理</t>
        </is>
      </c>
      <c r="G75" s="1979" t="n"/>
      <c r="H75" s="1979" t="n"/>
      <c r="I75" s="1979" t="n"/>
    </row>
  </sheetData>
  <autoFilter ref="B15:G44">
    <filterColumn colId="1" hiddenButton="0" showButton="1">
      <filters>
        <filter val="100-499kWp"/>
        <filter val="400-499kW"/>
      </filters>
    </filterColumn>
  </autoFilter>
  <mergeCells count="24">
    <mergeCell ref="H41:H44"/>
    <mergeCell ref="D22:D25"/>
    <mergeCell ref="F20:F28"/>
    <mergeCell ref="B72:C72"/>
    <mergeCell ref="H74:H75"/>
    <mergeCell ref="I41:I44"/>
    <mergeCell ref="C65:C66"/>
    <mergeCell ref="E74:E75"/>
    <mergeCell ref="G74:G75"/>
    <mergeCell ref="B14:C14"/>
    <mergeCell ref="I20:I28"/>
    <mergeCell ref="F41:F44"/>
    <mergeCell ref="I29:I39"/>
    <mergeCell ref="B63:D63"/>
    <mergeCell ref="B74:B75"/>
    <mergeCell ref="J33:J39"/>
    <mergeCell ref="J16:J28"/>
    <mergeCell ref="J41:J44"/>
    <mergeCell ref="D20:D21"/>
    <mergeCell ref="F29:F39"/>
    <mergeCell ref="G41:G44"/>
    <mergeCell ref="B68:C68"/>
    <mergeCell ref="I74:I75"/>
    <mergeCell ref="J29:J32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47"/>
  <sheetViews>
    <sheetView topLeftCell="A13" zoomScaleNormal="100" workbookViewId="0">
      <selection activeCell="B42" sqref="B42"/>
    </sheetView>
  </sheetViews>
  <sheetFormatPr baseColWidth="8" defaultColWidth="9" defaultRowHeight="14.25"/>
  <cols>
    <col width="3.125" customWidth="1" style="5" min="1" max="1"/>
    <col width="15.375" bestFit="1" customWidth="1" style="5" min="2" max="2"/>
    <col width="11.375" bestFit="1" customWidth="1" style="5" min="3" max="3"/>
    <col width="24.875" customWidth="1" style="5" min="4" max="4"/>
    <col width="17.375" bestFit="1" customWidth="1" style="5" min="5" max="5"/>
    <col width="13" customWidth="1" style="5" min="6" max="6"/>
    <col width="43.375" bestFit="1" customWidth="1" style="5" min="7" max="7"/>
    <col width="8.625" customWidth="1" style="5" min="8" max="8"/>
    <col width="22.625" customWidth="1" style="5" min="9" max="9"/>
    <col width="21.25" bestFit="1" customWidth="1" style="5" min="10" max="10"/>
    <col width="9" customWidth="1" style="5" min="11" max="16384"/>
  </cols>
  <sheetData>
    <row r="2">
      <c r="B2" s="1523" t="inlineStr">
        <is>
          <t>品名</t>
        </is>
      </c>
      <c r="C2" s="1523" t="inlineStr">
        <is>
          <t>廠商</t>
        </is>
      </c>
      <c r="D2" s="1523" t="inlineStr">
        <is>
          <t>規格</t>
        </is>
      </c>
      <c r="E2" s="1523" t="inlineStr">
        <is>
          <t>報價(台幣/pc)</t>
        </is>
      </c>
      <c r="F2" s="1523" t="inlineStr">
        <is>
          <t>報價時間</t>
        </is>
      </c>
      <c r="G2" s="1523" t="inlineStr">
        <is>
          <t>NOTE</t>
        </is>
      </c>
      <c r="H2" s="1523" t="inlineStr">
        <is>
          <t>聯絡人</t>
        </is>
      </c>
      <c r="I2" s="1523" t="inlineStr">
        <is>
          <t>聯絡方式</t>
        </is>
      </c>
    </row>
    <row r="3">
      <c r="B3" s="1523" t="inlineStr">
        <is>
          <t>花紋鐵板</t>
        </is>
      </c>
      <c r="C3" s="1523" t="inlineStr">
        <is>
          <t>唐絹</t>
        </is>
      </c>
      <c r="D3" s="1523" t="inlineStr">
        <is>
          <t>白鐵   4呎 x 8呎  t=3mm</t>
        </is>
      </c>
      <c r="E3" s="1523" t="n">
        <v>5600</v>
      </c>
      <c r="F3" s="1523" t="inlineStr">
        <is>
          <t>2016/3月</t>
        </is>
      </c>
      <c r="G3" s="1523" t="inlineStr">
        <is>
          <t>報價未含材切費用(120 x 243cm)，材切每刀500元</t>
        </is>
      </c>
      <c r="H3" s="1523" t="inlineStr">
        <is>
          <t>彭小姐</t>
        </is>
      </c>
      <c r="I3" s="206" t="inlineStr">
        <is>
          <t>037230032</t>
        </is>
      </c>
    </row>
    <row r="4">
      <c r="B4" s="1523" t="inlineStr">
        <is>
          <t>菱型網</t>
        </is>
      </c>
      <c r="C4" s="1523" t="inlineStr">
        <is>
          <t>久恩</t>
        </is>
      </c>
      <c r="D4" s="1523" t="inlineStr">
        <is>
          <t>熱浸   4呎 x 8呎  t=6mm</t>
        </is>
      </c>
      <c r="E4" s="1523" t="n">
        <v>1620</v>
      </c>
      <c r="F4" s="1523" t="inlineStr">
        <is>
          <t>2017/5月</t>
        </is>
      </c>
      <c r="G4" s="1523" t="inlineStr">
        <is>
          <t>報價未含材切費用(120 x 243cm)，材切每刀60元</t>
        </is>
      </c>
      <c r="H4" s="1523" t="inlineStr">
        <is>
          <t>劉經理</t>
        </is>
      </c>
      <c r="I4" s="206" t="inlineStr">
        <is>
          <t>073737800</t>
        </is>
      </c>
    </row>
    <row r="5">
      <c r="B5" s="1523" t="inlineStr">
        <is>
          <t>菱型網</t>
        </is>
      </c>
      <c r="C5" s="1523" t="inlineStr">
        <is>
          <t>久恩</t>
        </is>
      </c>
      <c r="D5" s="1523" t="inlineStr">
        <is>
          <t>白鐵   4呎 x 8呎  t=6mm</t>
        </is>
      </c>
      <c r="E5" s="1523" t="n">
        <v>4800</v>
      </c>
      <c r="F5" s="1523" t="inlineStr">
        <is>
          <t>2017/5月</t>
        </is>
      </c>
      <c r="G5" s="1523" t="inlineStr">
        <is>
          <t>報價未含材切費用(120 x 243cm)，材切每刀60元</t>
        </is>
      </c>
      <c r="H5" s="1523" t="inlineStr">
        <is>
          <t>劉經理</t>
        </is>
      </c>
      <c r="I5" s="206" t="inlineStr">
        <is>
          <t>073737800</t>
        </is>
      </c>
    </row>
    <row r="7">
      <c r="B7" s="1523" t="inlineStr">
        <is>
          <t>品名</t>
        </is>
      </c>
      <c r="C7" s="1523" t="inlineStr">
        <is>
          <t>廠商</t>
        </is>
      </c>
      <c r="D7" s="1523" t="inlineStr">
        <is>
          <t>規格</t>
        </is>
      </c>
      <c r="E7" s="1523" t="inlineStr">
        <is>
          <t>報價(台幣/坪)</t>
        </is>
      </c>
      <c r="F7" s="1523" t="inlineStr">
        <is>
          <t>報價時間</t>
        </is>
      </c>
      <c r="G7" s="1523" t="inlineStr">
        <is>
          <t>NOTE</t>
        </is>
      </c>
      <c r="H7" s="1523" t="inlineStr">
        <is>
          <t>聯絡人</t>
        </is>
      </c>
      <c r="I7" s="1523" t="inlineStr">
        <is>
          <t>聯絡方式</t>
        </is>
      </c>
    </row>
    <row r="8">
      <c r="B8" s="1523" t="inlineStr">
        <is>
          <t>鐵皮浪板</t>
        </is>
      </c>
      <c r="C8" s="1523" t="inlineStr">
        <is>
          <t>尚鴻</t>
        </is>
      </c>
      <c r="D8" s="336" t="inlineStr">
        <is>
          <t>不銹鋼+烤漆_清板 0.47</t>
        </is>
      </c>
      <c r="E8" s="1523" t="n">
        <v>3200</v>
      </c>
      <c r="F8" s="1523" t="inlineStr">
        <is>
          <t>2020/4月</t>
        </is>
      </c>
      <c r="G8" s="1523" t="inlineStr">
        <is>
          <t>不銹鋼(白鐵)清板0.47+烤漆 (含工帶料)</t>
        </is>
      </c>
      <c r="H8" s="1523" t="inlineStr">
        <is>
          <t>黃世昕</t>
        </is>
      </c>
      <c r="I8" s="206" t="inlineStr">
        <is>
          <t>0916107569</t>
        </is>
      </c>
    </row>
    <row r="9">
      <c r="B9" s="1523" t="inlineStr">
        <is>
          <t>鐵皮浪板</t>
        </is>
      </c>
      <c r="C9" s="1523" t="inlineStr">
        <is>
          <t>盛貿</t>
        </is>
      </c>
      <c r="D9" s="336" t="inlineStr">
        <is>
          <t>不銹鋼_清板</t>
        </is>
      </c>
      <c r="E9" s="1523" t="n">
        <v>2500</v>
      </c>
      <c r="F9" s="1523" t="inlineStr">
        <is>
          <t>2020/4月</t>
        </is>
      </c>
      <c r="G9" s="1523" t="inlineStr">
        <is>
          <t>不銹鋼(白鐵)清板 (含工帶料)</t>
        </is>
      </c>
      <c r="H9" s="1523" t="inlineStr">
        <is>
          <t>林浩興</t>
        </is>
      </c>
      <c r="I9" s="206" t="inlineStr">
        <is>
          <t>0933526557</t>
        </is>
      </c>
    </row>
    <row r="10">
      <c r="B10" s="1523" t="inlineStr">
        <is>
          <t>鐵皮浪板</t>
        </is>
      </c>
      <c r="C10" s="1523" t="inlineStr">
        <is>
          <t>龍耀</t>
        </is>
      </c>
      <c r="D10" s="336" t="inlineStr">
        <is>
          <t>不銹鋼_清板 0.5</t>
        </is>
      </c>
      <c r="E10" s="1523" t="n">
        <v>2500</v>
      </c>
      <c r="F10" s="1523" t="inlineStr">
        <is>
          <t>2020/4月</t>
        </is>
      </c>
      <c r="G10" s="1523" t="inlineStr">
        <is>
          <t>不銹鋼(白鐵)清板0.5 (含工帶料)</t>
        </is>
      </c>
      <c r="H10" s="1523" t="inlineStr">
        <is>
          <t>邱耀德</t>
        </is>
      </c>
      <c r="I10" s="206" t="inlineStr">
        <is>
          <t>0912607906</t>
        </is>
      </c>
    </row>
    <row r="11">
      <c r="B11" s="1523" t="inlineStr">
        <is>
          <t>鐵皮浪板</t>
        </is>
      </c>
      <c r="C11" s="1523" t="inlineStr">
        <is>
          <t>尚鴻</t>
        </is>
      </c>
      <c r="D11" s="336" t="inlineStr">
        <is>
          <t>不銹鋼_清板 0.47</t>
        </is>
      </c>
      <c r="E11" s="1523" t="n">
        <v>2800</v>
      </c>
      <c r="F11" s="1523" t="inlineStr">
        <is>
          <t>2020/4月</t>
        </is>
      </c>
      <c r="G11" s="1523" t="inlineStr">
        <is>
          <t>不銹鋼(白鐵)清板0.47 (含工帶料)</t>
        </is>
      </c>
      <c r="H11" s="1523" t="inlineStr">
        <is>
          <t>黃世昕</t>
        </is>
      </c>
      <c r="I11" s="206" t="inlineStr">
        <is>
          <t>0916107569</t>
        </is>
      </c>
    </row>
    <row r="12">
      <c r="B12" s="1523" t="inlineStr">
        <is>
          <t>鐵皮浪板</t>
        </is>
      </c>
      <c r="C12" s="1523" t="inlineStr">
        <is>
          <t>志貿</t>
        </is>
      </c>
      <c r="D12" s="336" t="inlineStr">
        <is>
          <t>不銹鋼_清板 0.5</t>
        </is>
      </c>
      <c r="E12" s="1523" t="n">
        <v>2800</v>
      </c>
      <c r="F12" s="1523" t="inlineStr">
        <is>
          <t>2019/6月</t>
        </is>
      </c>
      <c r="G12" s="1523" t="inlineStr">
        <is>
          <t>不銹鋼(白鐵)清板0.5 (含工帶料)</t>
        </is>
      </c>
      <c r="H12" s="1523" t="inlineStr">
        <is>
          <t>廖彥傑</t>
        </is>
      </c>
      <c r="I12" s="206" t="inlineStr">
        <is>
          <t>0958159909</t>
        </is>
      </c>
    </row>
    <row r="13" ht="28.5" customHeight="1" s="1643">
      <c r="B13" s="1523" t="inlineStr">
        <is>
          <t>鐵皮浪板</t>
        </is>
      </c>
      <c r="C13" s="1523" t="inlineStr">
        <is>
          <t>志貿</t>
        </is>
      </c>
      <c r="D13" s="409" t="inlineStr">
        <is>
          <t>烤漆_清板0.6</t>
        </is>
      </c>
      <c r="E13" s="1523" t="n">
        <v>1900</v>
      </c>
      <c r="F13" s="1523" t="inlineStr">
        <is>
          <t>2019/6月</t>
        </is>
      </c>
      <c r="G13" s="336" t="inlineStr">
        <is>
          <t>清板0.6 (含工帶料)
盛餘清板0.5(1200)、三明治0.5(2500)→華鋼</t>
        </is>
      </c>
      <c r="H13" s="1523" t="inlineStr">
        <is>
          <t>廖彥傑</t>
        </is>
      </c>
      <c r="I13" s="206" t="inlineStr">
        <is>
          <t>0958159909</t>
        </is>
      </c>
    </row>
    <row r="14">
      <c r="B14" s="1523" t="inlineStr">
        <is>
          <t>鐵皮浪板</t>
        </is>
      </c>
      <c r="C14" s="1523" t="inlineStr">
        <is>
          <t>宏勝</t>
        </is>
      </c>
      <c r="D14" s="409" t="inlineStr">
        <is>
          <t>烤漆_清板 0.52(盛餘)</t>
        </is>
      </c>
      <c r="E14" s="1523" t="n">
        <v>1600</v>
      </c>
      <c r="F14" s="1523" t="inlineStr">
        <is>
          <t>2018/1月</t>
        </is>
      </c>
      <c r="G14" s="1523" t="inlineStr">
        <is>
          <t>盛餘清板0.52 (含工帶料)</t>
        </is>
      </c>
      <c r="H14" s="1523" t="inlineStr">
        <is>
          <t>葉老闆</t>
        </is>
      </c>
      <c r="I14" s="206" t="inlineStr">
        <is>
          <t>0973124524</t>
        </is>
      </c>
    </row>
    <row r="15">
      <c r="B15" s="1523" t="inlineStr">
        <is>
          <t>鐵皮浪板</t>
        </is>
      </c>
      <c r="C15" s="1523" t="inlineStr">
        <is>
          <t>宏勝</t>
        </is>
      </c>
      <c r="D15" s="336" t="inlineStr">
        <is>
          <t>烤漆_清板 0.52(盛餘) + Z或口型鋼</t>
        </is>
      </c>
      <c r="E15" s="1523" t="n">
        <v>1800</v>
      </c>
      <c r="F15" s="1523" t="inlineStr">
        <is>
          <t>2018/1月</t>
        </is>
      </c>
      <c r="G15" s="1523" t="inlineStr">
        <is>
          <t>盛餘清板0.52+Z或口型鋼 (含工帶料)</t>
        </is>
      </c>
      <c r="H15" s="1523" t="inlineStr">
        <is>
          <t>葉老闆</t>
        </is>
      </c>
      <c r="I15" s="206" t="inlineStr">
        <is>
          <t>0973124524</t>
        </is>
      </c>
    </row>
    <row r="16">
      <c r="B16" s="1523" t="inlineStr">
        <is>
          <t>鐵皮浪板</t>
        </is>
      </c>
      <c r="C16" s="1523" t="inlineStr">
        <is>
          <t>宏勝</t>
        </is>
      </c>
      <c r="D16" s="410" t="inlineStr">
        <is>
          <t>烤漆_雙層鋼板 0.5(盛餘)</t>
        </is>
      </c>
      <c r="E16" s="1523" t="n">
        <v>1850</v>
      </c>
      <c r="F16" s="1523" t="inlineStr">
        <is>
          <t>2019/10月</t>
        </is>
      </c>
      <c r="G16" s="1523" t="inlineStr">
        <is>
          <t>0.5商標雙層盛於浪板 (含工帶料)</t>
        </is>
      </c>
      <c r="H16" s="1523" t="inlineStr">
        <is>
          <t>葉老闆</t>
        </is>
      </c>
      <c r="I16" s="206" t="inlineStr">
        <is>
          <t>0973124524</t>
        </is>
      </c>
    </row>
    <row r="17">
      <c r="B17" s="1523" t="inlineStr">
        <is>
          <t>鐵皮浪板</t>
        </is>
      </c>
      <c r="C17" s="1523" t="inlineStr">
        <is>
          <t>尚鴻</t>
        </is>
      </c>
      <c r="D17" s="410" t="inlineStr">
        <is>
          <t>烤漆_雙層鋼板 0.5</t>
        </is>
      </c>
      <c r="E17" s="1523" t="n">
        <v>1980</v>
      </c>
      <c r="F17" s="1523" t="inlineStr">
        <is>
          <t>2019/10月</t>
        </is>
      </c>
      <c r="G17" s="1523" t="inlineStr">
        <is>
          <t>750五溝雙層鋼板 (含工帶料)</t>
        </is>
      </c>
      <c r="H17" s="1523" t="inlineStr">
        <is>
          <t>黃世昕</t>
        </is>
      </c>
      <c r="I17" s="206" t="inlineStr">
        <is>
          <t>0916107569</t>
        </is>
      </c>
    </row>
    <row r="18">
      <c r="B18" s="1523" t="inlineStr">
        <is>
          <t>鐵皮浪板</t>
        </is>
      </c>
      <c r="C18" s="1523" t="inlineStr">
        <is>
          <t>盛貿</t>
        </is>
      </c>
      <c r="D18" s="410" t="inlineStr">
        <is>
          <t>烤漆_雙層鋼板</t>
        </is>
      </c>
      <c r="E18" s="1523" t="n">
        <v>2000</v>
      </c>
      <c r="F18" s="1523" t="inlineStr">
        <is>
          <t>2019/10月</t>
        </is>
      </c>
      <c r="G18" s="1523" t="inlineStr">
        <is>
          <t>三合一浪板 (含工帶料)</t>
        </is>
      </c>
      <c r="H18" s="1523" t="inlineStr">
        <is>
          <t>林浩興</t>
        </is>
      </c>
      <c r="I18" s="206" t="inlineStr">
        <is>
          <t>0933526557</t>
        </is>
      </c>
    </row>
    <row r="19">
      <c r="B19" s="1523" t="inlineStr">
        <is>
          <t>鐵皮浪板</t>
        </is>
      </c>
      <c r="C19" s="1523" t="inlineStr">
        <is>
          <t>門泰</t>
        </is>
      </c>
      <c r="D19" s="410" t="inlineStr">
        <is>
          <t>烤漆_雙層鋼板</t>
        </is>
      </c>
      <c r="E19" s="1523" t="n">
        <v>1800</v>
      </c>
      <c r="F19" s="1523" t="inlineStr">
        <is>
          <t>2019/10月</t>
        </is>
      </c>
      <c r="G19" s="1523" t="inlineStr">
        <is>
          <t>烤漆四合一 (含工帶料)</t>
        </is>
      </c>
      <c r="H19" s="1523" t="inlineStr">
        <is>
          <t>范光星</t>
        </is>
      </c>
      <c r="I19" s="206" t="inlineStr">
        <is>
          <t>0937020326</t>
        </is>
      </c>
    </row>
    <row r="20">
      <c r="B20" s="1523" t="inlineStr">
        <is>
          <t>鐵皮浪板</t>
        </is>
      </c>
      <c r="C20" s="1523" t="inlineStr">
        <is>
          <t>立岑</t>
        </is>
      </c>
      <c r="D20" s="410" t="inlineStr">
        <is>
          <t>烤漆_雙層鋼板 0.52(燁輝)</t>
        </is>
      </c>
      <c r="E20" s="1523" t="n">
        <v>1800</v>
      </c>
      <c r="F20" s="1523" t="inlineStr">
        <is>
          <t>2018/1月</t>
        </is>
      </c>
      <c r="G20" s="358" t="inlineStr">
        <is>
          <t>燁輝0.52五槽雙層鋼板 (含工帶料)</t>
        </is>
      </c>
      <c r="H20" s="1523" t="inlineStr">
        <is>
          <t>楊文雄</t>
        </is>
      </c>
      <c r="I20" s="206" t="inlineStr">
        <is>
          <t>0955788037</t>
        </is>
      </c>
    </row>
    <row r="21" ht="57" customHeight="1" s="1643">
      <c r="B21" s="1523" t="inlineStr">
        <is>
          <t>鐵皮浪板</t>
        </is>
      </c>
      <c r="C21" s="1523" t="inlineStr">
        <is>
          <t>立岑</t>
        </is>
      </c>
      <c r="D21" s="336" t="inlineStr">
        <is>
          <t>烤漆_三明治板 0.52(燁輝)</t>
        </is>
      </c>
      <c r="E21" s="1523" t="n">
        <v>3250</v>
      </c>
      <c r="F21" s="1523" t="inlineStr">
        <is>
          <t>2018/1月</t>
        </is>
      </c>
      <c r="G21" s="336" t="inlineStr">
        <is>
          <t>外層板:燁輝0.52PE烤漆
中層:5cm玻璃棉+1.6mmZ型鐵
內層:凱景0.42PE烤漆美式板
含工帶料，不含清運(清板:170/坪、防火板620/坪)</t>
        </is>
      </c>
      <c r="H21" s="1523" t="inlineStr">
        <is>
          <t>楊文雄</t>
        </is>
      </c>
      <c r="I21" s="206" t="inlineStr">
        <is>
          <t>0955788037</t>
        </is>
      </c>
    </row>
    <row r="22">
      <c r="B22" s="760" t="inlineStr">
        <is>
          <t>鐵皮浪板</t>
        </is>
      </c>
      <c r="C22" s="760" t="inlineStr">
        <is>
          <t>華鋼</t>
        </is>
      </c>
      <c r="D22" s="761" t="inlineStr">
        <is>
          <t>盛餘清板0.5</t>
        </is>
      </c>
      <c r="E22" s="760" t="n"/>
      <c r="F22" s="760" t="inlineStr">
        <is>
          <t>2018/6月</t>
        </is>
      </c>
      <c r="G22" s="760" t="inlineStr">
        <is>
          <t>盛餘清板0.5 (含工帶料，修邊280(米/元)，美福介紹)</t>
        </is>
      </c>
      <c r="H22" s="760" t="inlineStr">
        <is>
          <t>李天助</t>
        </is>
      </c>
      <c r="I22" s="762" t="inlineStr">
        <is>
          <t>0932399844</t>
        </is>
      </c>
    </row>
    <row r="23">
      <c r="B23" s="760" t="inlineStr">
        <is>
          <t>鐵皮浪板</t>
        </is>
      </c>
      <c r="C23" s="760" t="inlineStr">
        <is>
          <t>華鋼</t>
        </is>
      </c>
      <c r="D23" s="761" t="inlineStr">
        <is>
          <t>三明治0.5</t>
        </is>
      </c>
      <c r="E23" s="760" t="n"/>
      <c r="F23" s="760" t="inlineStr">
        <is>
          <t>2018/6月</t>
        </is>
      </c>
      <c r="G23" s="760" t="inlineStr">
        <is>
          <t>三明治0.5 (含工帶料，修邊280(米/元)，美福介紹)</t>
        </is>
      </c>
      <c r="H23" s="760" t="inlineStr">
        <is>
          <t>李天助</t>
        </is>
      </c>
      <c r="I23" s="762" t="inlineStr">
        <is>
          <t>0932399844</t>
        </is>
      </c>
    </row>
    <row r="25">
      <c r="B25" s="1523" t="inlineStr">
        <is>
          <t>品名</t>
        </is>
      </c>
      <c r="C25" s="1523" t="inlineStr">
        <is>
          <t>廠商</t>
        </is>
      </c>
      <c r="D25" s="1523" t="inlineStr">
        <is>
          <t>規格</t>
        </is>
      </c>
      <c r="E25" s="1523" t="inlineStr">
        <is>
          <t>報價(台幣/米)</t>
        </is>
      </c>
      <c r="F25" s="1523" t="inlineStr">
        <is>
          <t>報價時間</t>
        </is>
      </c>
      <c r="G25" s="1523" t="inlineStr">
        <is>
          <t>NOTE</t>
        </is>
      </c>
      <c r="H25" s="1523" t="inlineStr">
        <is>
          <t>聯絡人</t>
        </is>
      </c>
      <c r="I25" s="1523" t="inlineStr">
        <is>
          <t>聯絡方式</t>
        </is>
      </c>
    </row>
    <row r="26">
      <c r="B26" s="1523" t="inlineStr">
        <is>
          <t>防水膠帶</t>
        </is>
      </c>
      <c r="C26" s="1523" t="inlineStr">
        <is>
          <t>3M</t>
        </is>
      </c>
      <c r="D26" s="1523" t="inlineStr">
        <is>
          <t xml:space="preserve">寬3cm </t>
        </is>
      </c>
      <c r="E26" s="1523" t="n">
        <v>100</v>
      </c>
      <c r="F26" s="1523" t="inlineStr">
        <is>
          <t>2018/7月</t>
        </is>
      </c>
      <c r="G26" s="1523" t="inlineStr">
        <is>
          <t>寬3cm x 長1600cm一捲，原材料 寬60cm x 長1600cm一捲</t>
        </is>
      </c>
      <c r="H26" s="1523" t="n"/>
      <c r="I26" s="1523" t="n"/>
    </row>
    <row r="27">
      <c r="B27" s="1523" t="inlineStr">
        <is>
          <t>防水膠帶412</t>
        </is>
      </c>
      <c r="C27" s="1523" t="inlineStr">
        <is>
          <t>金勇貿</t>
        </is>
      </c>
      <c r="D27" s="1523" t="inlineStr">
        <is>
          <t>厚0.5mmx寬3cm</t>
        </is>
      </c>
      <c r="E27" s="1523" t="n">
        <v>18</v>
      </c>
      <c r="F27" s="1523" t="inlineStr">
        <is>
          <t>2018/7月</t>
        </is>
      </c>
      <c r="G27" s="1523" t="inlineStr">
        <is>
          <t>厚0.5mmx寬3cm x 長20m，每寬120元，可客製化裁切</t>
        </is>
      </c>
      <c r="H27" s="1523" t="inlineStr">
        <is>
          <t>李先生</t>
        </is>
      </c>
      <c r="I27" s="206" t="inlineStr">
        <is>
          <t>0980111379</t>
        </is>
      </c>
    </row>
    <row r="28">
      <c r="B28" s="1523" t="inlineStr">
        <is>
          <t>防水膠帶5032</t>
        </is>
      </c>
      <c r="C28" s="1523" t="inlineStr">
        <is>
          <t>金勇貿</t>
        </is>
      </c>
      <c r="D28" s="1523" t="inlineStr">
        <is>
          <t>厚2mmx寬3cm</t>
        </is>
      </c>
      <c r="E28" s="1523" t="n">
        <v>33</v>
      </c>
      <c r="F28" s="1523" t="inlineStr">
        <is>
          <t>2018/7月</t>
        </is>
      </c>
      <c r="G28" s="1523" t="inlineStr">
        <is>
          <t>厚2mmx寬3cm x 長10m，每寬110元，可客製化裁切</t>
        </is>
      </c>
      <c r="H28" s="1523" t="inlineStr">
        <is>
          <t>李先生</t>
        </is>
      </c>
      <c r="I28" s="206" t="inlineStr">
        <is>
          <t>0980111379</t>
        </is>
      </c>
    </row>
    <row r="29">
      <c r="B29" s="1523" t="inlineStr">
        <is>
          <t>結構膠帶2204</t>
        </is>
      </c>
      <c r="C29" s="1523" t="inlineStr">
        <is>
          <t>3M</t>
        </is>
      </c>
      <c r="D29" s="1523" t="inlineStr">
        <is>
          <t xml:space="preserve">寬4cm </t>
        </is>
      </c>
      <c r="E29" s="1523" t="n">
        <v>38</v>
      </c>
      <c r="F29" s="1523" t="n"/>
      <c r="G29" s="1523" t="inlineStr">
        <is>
          <t>寬4cm x 長2500cm一捲</t>
        </is>
      </c>
      <c r="H29" s="1523" t="inlineStr">
        <is>
          <t>邱先生</t>
        </is>
      </c>
      <c r="I29" s="206" t="inlineStr">
        <is>
          <t>0935052022</t>
        </is>
      </c>
    </row>
    <row r="31">
      <c r="B31" s="1523" t="inlineStr">
        <is>
          <t>品名</t>
        </is>
      </c>
      <c r="C31" s="1523" t="inlineStr">
        <is>
          <t>廠商</t>
        </is>
      </c>
      <c r="D31" s="1523" t="inlineStr">
        <is>
          <t>規格</t>
        </is>
      </c>
      <c r="E31" s="1523" t="inlineStr">
        <is>
          <t>報價(台幣/米)</t>
        </is>
      </c>
      <c r="F31" s="1523" t="inlineStr">
        <is>
          <t>報價時間</t>
        </is>
      </c>
      <c r="G31" s="1523" t="inlineStr">
        <is>
          <t>NOTE</t>
        </is>
      </c>
      <c r="H31" s="1523" t="inlineStr">
        <is>
          <t>聯絡人</t>
        </is>
      </c>
      <c r="I31" s="1523" t="inlineStr">
        <is>
          <t>聯絡方式</t>
        </is>
      </c>
    </row>
    <row r="32">
      <c r="B32" s="1523" t="inlineStr">
        <is>
          <t>爬梯</t>
        </is>
      </c>
      <c r="C32" s="1523" t="inlineStr">
        <is>
          <t>中苗鐵工廠</t>
        </is>
      </c>
      <c r="D32" s="1523" t="inlineStr">
        <is>
          <t>不鏽鋼爬梯+護籠</t>
        </is>
      </c>
      <c r="E32" s="1523" t="n">
        <v>3500</v>
      </c>
      <c r="F32" s="1523" t="inlineStr">
        <is>
          <t>2018/12月</t>
        </is>
      </c>
      <c r="G32" s="1523" t="inlineStr">
        <is>
          <t>含工帶料</t>
        </is>
      </c>
      <c r="H32" s="1523" t="inlineStr">
        <is>
          <t>羅老闆</t>
        </is>
      </c>
      <c r="I32" s="206" t="inlineStr">
        <is>
          <t>0932617006</t>
        </is>
      </c>
    </row>
    <row r="34">
      <c r="B34" s="1523" t="inlineStr">
        <is>
          <t>品名</t>
        </is>
      </c>
      <c r="C34" s="1523" t="inlineStr">
        <is>
          <t>廠商</t>
        </is>
      </c>
      <c r="D34" s="1523" t="inlineStr">
        <is>
          <t>規格</t>
        </is>
      </c>
      <c r="E34" s="1523" t="inlineStr">
        <is>
          <t>報價(台幣/米)</t>
        </is>
      </c>
      <c r="F34" s="1523" t="inlineStr">
        <is>
          <t>報價時間</t>
        </is>
      </c>
      <c r="G34" s="1523" t="inlineStr">
        <is>
          <t>NOTE</t>
        </is>
      </c>
      <c r="H34" s="1523" t="inlineStr">
        <is>
          <t>聯絡人</t>
        </is>
      </c>
      <c r="I34" s="1523" t="inlineStr">
        <is>
          <t>聯絡方式</t>
        </is>
      </c>
    </row>
    <row r="35">
      <c r="B35" s="1523" t="inlineStr">
        <is>
          <t>不鏽鋼水槽</t>
        </is>
      </c>
      <c r="C35" s="1523" t="inlineStr">
        <is>
          <t>華鋼</t>
        </is>
      </c>
      <c r="D35" s="336" t="inlineStr">
        <is>
          <t>0.5t</t>
        </is>
      </c>
      <c r="E35" s="1523" t="n">
        <v>700</v>
      </c>
      <c r="F35" s="1523" t="inlineStr">
        <is>
          <t>2018/6月</t>
        </is>
      </c>
      <c r="G35" s="1523" t="inlineStr">
        <is>
          <t>含工帶料，美福介紹</t>
        </is>
      </c>
      <c r="H35" s="1523" t="inlineStr">
        <is>
          <t>李天助</t>
        </is>
      </c>
      <c r="I35" s="206" t="inlineStr">
        <is>
          <t>0932399844</t>
        </is>
      </c>
    </row>
    <row r="36">
      <c r="B36" s="1523" t="inlineStr">
        <is>
          <t>不鏽鋼水槽</t>
        </is>
      </c>
      <c r="C36" s="1523" t="inlineStr">
        <is>
          <t>華鋼</t>
        </is>
      </c>
      <c r="D36" s="336" t="inlineStr">
        <is>
          <t>1t</t>
        </is>
      </c>
      <c r="E36" s="1523" t="n">
        <v>1600</v>
      </c>
      <c r="F36" s="1523" t="inlineStr">
        <is>
          <t>2018/6月</t>
        </is>
      </c>
      <c r="G36" s="1523" t="inlineStr">
        <is>
          <t>含工帶料，美福介紹</t>
        </is>
      </c>
      <c r="H36" s="1523" t="inlineStr">
        <is>
          <t>李天助</t>
        </is>
      </c>
      <c r="I36" s="206" t="inlineStr">
        <is>
          <t>0932399844</t>
        </is>
      </c>
    </row>
    <row r="37">
      <c r="B37" s="1523" t="inlineStr">
        <is>
          <t>不鏽鋼水槽</t>
        </is>
      </c>
      <c r="C37" s="1523" t="inlineStr">
        <is>
          <t>宏勝</t>
        </is>
      </c>
      <c r="D37" s="336" t="inlineStr">
        <is>
          <t>0.4t</t>
        </is>
      </c>
      <c r="E37" s="1523" t="n">
        <v>1000</v>
      </c>
      <c r="F37" s="1523" t="inlineStr">
        <is>
          <t>2019/10月</t>
        </is>
      </c>
      <c r="G37" s="1523" t="inlineStr">
        <is>
          <t>含工帶料</t>
        </is>
      </c>
      <c r="H37" s="1523" t="inlineStr">
        <is>
          <t>葉老闆</t>
        </is>
      </c>
      <c r="I37" s="206" t="inlineStr">
        <is>
          <t>0973124524</t>
        </is>
      </c>
    </row>
    <row r="38">
      <c r="B38" s="1523" t="inlineStr">
        <is>
          <t>不鏽鋼水槽</t>
        </is>
      </c>
      <c r="C38" s="1523" t="inlineStr">
        <is>
          <t>尚鴻</t>
        </is>
      </c>
      <c r="D38" s="336" t="inlineStr">
        <is>
          <t>0.5t</t>
        </is>
      </c>
      <c r="E38" s="1523" t="n">
        <v>1000</v>
      </c>
      <c r="F38" s="1523" t="inlineStr">
        <is>
          <t>2019/10月</t>
        </is>
      </c>
      <c r="G38" s="1523" t="inlineStr">
        <is>
          <t>含工帶料</t>
        </is>
      </c>
      <c r="H38" s="1523" t="inlineStr">
        <is>
          <t>黃世昕</t>
        </is>
      </c>
      <c r="I38" s="206" t="inlineStr">
        <is>
          <t>0916107569</t>
        </is>
      </c>
    </row>
    <row r="40">
      <c r="B40" s="1523" t="inlineStr">
        <is>
          <t>品名</t>
        </is>
      </c>
      <c r="C40" s="1523" t="inlineStr">
        <is>
          <t>廠商</t>
        </is>
      </c>
      <c r="D40" s="1523" t="inlineStr">
        <is>
          <t>規格</t>
        </is>
      </c>
      <c r="E40" s="1523" t="inlineStr">
        <is>
          <t>報價(台幣/米)</t>
        </is>
      </c>
      <c r="F40" s="1523" t="inlineStr">
        <is>
          <t>報價時間</t>
        </is>
      </c>
      <c r="G40" s="1523" t="inlineStr">
        <is>
          <t>NOTE</t>
        </is>
      </c>
      <c r="H40" s="1523" t="inlineStr">
        <is>
          <t>聯絡人</t>
        </is>
      </c>
      <c r="I40" s="1523" t="inlineStr">
        <is>
          <t>聯絡方式</t>
        </is>
      </c>
    </row>
    <row r="41">
      <c r="B41" s="1523" t="inlineStr">
        <is>
          <t>收邊 烤漆鋁鋅板</t>
        </is>
      </c>
      <c r="C41" s="1523" t="inlineStr">
        <is>
          <t>宏勝</t>
        </is>
      </c>
      <c r="D41" s="336" t="n">
        <v>0.5</v>
      </c>
      <c r="E41" s="1523" t="n">
        <v>300</v>
      </c>
      <c r="F41" s="1523" t="inlineStr">
        <is>
          <t>2019/10月</t>
        </is>
      </c>
      <c r="G41" s="1523" t="inlineStr">
        <is>
          <t>含工帶料</t>
        </is>
      </c>
      <c r="H41" s="1523" t="inlineStr">
        <is>
          <t>葉老闆</t>
        </is>
      </c>
      <c r="I41" s="206" t="inlineStr">
        <is>
          <t>0973124524</t>
        </is>
      </c>
    </row>
    <row r="42">
      <c r="B42" s="1523" t="inlineStr">
        <is>
          <t>收邊 烤漆鋁鋅板</t>
        </is>
      </c>
      <c r="C42" s="1523" t="inlineStr">
        <is>
          <t>尚鴻</t>
        </is>
      </c>
      <c r="D42" s="336" t="n">
        <v>0.5</v>
      </c>
      <c r="E42" s="1523" t="n">
        <v>300</v>
      </c>
      <c r="F42" s="1523" t="inlineStr">
        <is>
          <t>2019/10月</t>
        </is>
      </c>
      <c r="G42" s="1523" t="inlineStr">
        <is>
          <t>含工帶料</t>
        </is>
      </c>
      <c r="H42" s="1523" t="inlineStr">
        <is>
          <t>黃世昕</t>
        </is>
      </c>
      <c r="I42" s="206" t="inlineStr">
        <is>
          <t>0916107569</t>
        </is>
      </c>
    </row>
    <row r="43">
      <c r="B43" s="1523" t="inlineStr">
        <is>
          <t>收邊 烤漆鋁鋅板</t>
        </is>
      </c>
      <c r="C43" s="1523" t="inlineStr">
        <is>
          <t>門泰</t>
        </is>
      </c>
      <c r="D43" s="336" t="n"/>
      <c r="E43" s="1523" t="n">
        <v>300</v>
      </c>
      <c r="F43" s="1523" t="inlineStr">
        <is>
          <t>2019/10月</t>
        </is>
      </c>
      <c r="G43" s="1523" t="inlineStr">
        <is>
          <t>含工帶料</t>
        </is>
      </c>
      <c r="H43" s="1523" t="inlineStr">
        <is>
          <t>范光星</t>
        </is>
      </c>
      <c r="I43" s="206" t="inlineStr">
        <is>
          <t>0937020326</t>
        </is>
      </c>
    </row>
    <row r="44">
      <c r="B44" s="1523" t="inlineStr">
        <is>
          <t>收邊 烤漆鋁鋅板</t>
        </is>
      </c>
      <c r="C44" s="1523" t="inlineStr">
        <is>
          <t>聖貿</t>
        </is>
      </c>
      <c r="D44" s="336" t="n"/>
      <c r="E44" s="1523" t="n">
        <v>300</v>
      </c>
      <c r="F44" s="1523" t="inlineStr">
        <is>
          <t>2019/10月</t>
        </is>
      </c>
      <c r="G44" s="1523" t="inlineStr">
        <is>
          <t>含工帶料</t>
        </is>
      </c>
      <c r="H44" s="1523" t="inlineStr">
        <is>
          <t>林浩興</t>
        </is>
      </c>
      <c r="I44" s="206" t="inlineStr">
        <is>
          <t>0933526557</t>
        </is>
      </c>
    </row>
    <row r="45">
      <c r="B45" s="1523" t="inlineStr">
        <is>
          <t>收邊 不鏽鋼板</t>
        </is>
      </c>
      <c r="C45" s="1523" t="inlineStr">
        <is>
          <t>聖貿</t>
        </is>
      </c>
      <c r="D45" s="336" t="n"/>
      <c r="E45" s="1523" t="n">
        <v>700</v>
      </c>
      <c r="F45" s="1523" t="inlineStr">
        <is>
          <t>2020/4月</t>
        </is>
      </c>
      <c r="G45" s="1523" t="inlineStr">
        <is>
          <t>含工帶料</t>
        </is>
      </c>
      <c r="H45" s="1523" t="inlineStr">
        <is>
          <t>林浩興</t>
        </is>
      </c>
      <c r="I45" s="206" t="inlineStr">
        <is>
          <t>0933526557</t>
        </is>
      </c>
    </row>
    <row r="46">
      <c r="B46" s="1523" t="inlineStr">
        <is>
          <t>收邊 烤漆不鏽鋼板</t>
        </is>
      </c>
      <c r="C46" s="1523" t="inlineStr">
        <is>
          <t>聖貿</t>
        </is>
      </c>
      <c r="D46" s="336" t="n"/>
      <c r="E46" s="1523" t="n">
        <v>800</v>
      </c>
      <c r="F46" s="1523" t="inlineStr">
        <is>
          <t>2020/4月</t>
        </is>
      </c>
      <c r="G46" s="1523" t="inlineStr">
        <is>
          <t>含工帶料</t>
        </is>
      </c>
      <c r="H46" s="1523" t="inlineStr">
        <is>
          <t>林浩興</t>
        </is>
      </c>
      <c r="I46" s="206" t="inlineStr">
        <is>
          <t>0933526557</t>
        </is>
      </c>
    </row>
    <row r="47">
      <c r="E47" s="207" t="n"/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L136"/>
  <sheetViews>
    <sheetView showGridLines="0" zoomScaleNormal="100" workbookViewId="0">
      <pane ySplit="8" topLeftCell="A9" activePane="bottomLeft" state="frozen"/>
      <selection pane="bottomLeft" activeCell="G49" sqref="G49:G5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2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監控收集器</t>
        </is>
      </c>
      <c r="F1" s="5" t="inlineStr">
        <is>
          <t>環控設備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報價(台幣/台)</t>
        </is>
      </c>
      <c r="E2" s="207" t="n"/>
      <c r="F2" s="1523" t="inlineStr">
        <is>
          <t>選用廠商</t>
        </is>
      </c>
      <c r="G2" s="1523" t="inlineStr">
        <is>
          <t>規格</t>
        </is>
      </c>
      <c r="H2" s="1523" t="inlineStr">
        <is>
          <t>報價(台幣/式)</t>
        </is>
      </c>
    </row>
    <row r="3">
      <c r="B3" s="1523">
        <f>B14</f>
        <v/>
      </c>
      <c r="C3" s="1523">
        <f>C14</f>
        <v/>
      </c>
      <c r="D3" s="1523">
        <f>D14</f>
        <v/>
      </c>
      <c r="E3" s="207" t="n"/>
      <c r="F3" s="1523">
        <f>IF(成本!D2&lt;=100,B29,IF(成本!D2&gt;100,B30,))</f>
        <v/>
      </c>
      <c r="G3" s="1523">
        <f>IF(成本!D2&lt;=100,C29,IF(成本!D2&gt;100,C30,))</f>
        <v/>
      </c>
      <c r="H3" s="1523">
        <f>IF(成本!D2&lt;=100,D29,IF(成本!D2&gt;100,D30))*0+D29+D30*2</f>
        <v/>
      </c>
    </row>
    <row r="4">
      <c r="B4" s="207" t="n"/>
      <c r="C4" s="207" t="n"/>
      <c r="D4" s="207" t="n"/>
      <c r="E4" s="207" t="n"/>
    </row>
    <row r="5">
      <c r="B5" s="5" t="inlineStr">
        <is>
          <t>數據收集盒</t>
        </is>
      </c>
      <c r="E5" s="207" t="n"/>
      <c r="F5" s="5" t="inlineStr">
        <is>
          <t>雲端系統</t>
        </is>
      </c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報價(台幣/台)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報價(台幣/年)</t>
        </is>
      </c>
    </row>
    <row r="7">
      <c r="B7" s="1523">
        <f>B22</f>
        <v/>
      </c>
      <c r="C7" s="1523">
        <f>C22</f>
        <v/>
      </c>
      <c r="D7" s="1523">
        <f>D22</f>
        <v/>
      </c>
      <c r="E7" s="207" t="n"/>
      <c r="F7" s="1523">
        <f>B45</f>
        <v/>
      </c>
      <c r="G7" s="1523">
        <f>C45</f>
        <v/>
      </c>
      <c r="H7" s="232">
        <f>D43+D44+D45</f>
        <v/>
      </c>
    </row>
    <row r="8" ht="15" customFormat="1" customHeight="1" s="234" thickBot="1">
      <c r="B8" s="233" t="n"/>
      <c r="C8" s="233" t="n"/>
      <c r="D8" s="233" t="n"/>
      <c r="E8" s="233" t="n"/>
    </row>
    <row r="9">
      <c r="B9" s="207" t="n"/>
      <c r="C9" s="207" t="n"/>
      <c r="D9" s="207" t="n"/>
      <c r="E9" s="207" t="n"/>
    </row>
    <row r="10">
      <c r="B10" s="922" t="inlineStr">
        <is>
          <t>監控收集器</t>
        </is>
      </c>
    </row>
    <row r="11">
      <c r="B11" s="1523" t="inlineStr">
        <is>
          <t>廠商</t>
        </is>
      </c>
      <c r="C11" s="1523" t="inlineStr">
        <is>
          <t>規格</t>
        </is>
      </c>
      <c r="D11" s="1523" t="inlineStr">
        <is>
          <t>報價(台幣/台)</t>
        </is>
      </c>
      <c r="E11" s="1523" t="inlineStr">
        <is>
          <t>KW</t>
        </is>
      </c>
      <c r="F11" s="1523" t="inlineStr">
        <is>
          <t>報價時間</t>
        </is>
      </c>
      <c r="G11" s="1523" t="inlineStr">
        <is>
          <t>NOTE</t>
        </is>
      </c>
      <c r="H11" s="1523" t="inlineStr">
        <is>
          <t>聯絡人</t>
        </is>
      </c>
      <c r="I11" s="1523" t="inlineStr">
        <is>
          <t>聯絡方式</t>
        </is>
      </c>
      <c r="J11" s="1523" t="inlineStr">
        <is>
          <t>Email</t>
        </is>
      </c>
    </row>
    <row r="12">
      <c r="B12" s="1523" t="inlineStr">
        <is>
          <t>Solarbridge</t>
        </is>
      </c>
      <c r="C12" s="1523" t="inlineStr">
        <is>
          <t>PowerManerger</t>
        </is>
      </c>
      <c r="D12" s="232" t="n">
        <v>12000</v>
      </c>
      <c r="E12" s="232" t="n"/>
      <c r="F12" s="1523" t="n"/>
      <c r="G12" s="205" t="inlineStr">
        <is>
          <t>含雲端系統,無專人監控(由Sinbon專人監控)</t>
        </is>
      </c>
      <c r="H12" s="205" t="inlineStr">
        <is>
          <t>蘇育志</t>
        </is>
      </c>
      <c r="I12" s="205" t="inlineStr">
        <is>
          <t xml:space="preserve"> 0936-185841 / 03-5980288-1370</t>
        </is>
      </c>
      <c r="J12" s="205" t="inlineStr">
        <is>
          <t>jeffery.su@bigsun-energy.com</t>
        </is>
      </c>
    </row>
    <row r="13">
      <c r="B13" s="1523" t="inlineStr">
        <is>
          <t>APS</t>
        </is>
      </c>
      <c r="C13" s="1523" t="inlineStr">
        <is>
          <t>ECU</t>
        </is>
      </c>
      <c r="D13" s="232" t="n">
        <v>7500</v>
      </c>
      <c r="E13" s="232" t="n"/>
      <c r="F13" s="1523" t="n"/>
      <c r="G13" s="205" t="n"/>
      <c r="H13" s="205" t="inlineStr">
        <is>
          <t>業務</t>
        </is>
      </c>
      <c r="I13" s="205" t="n"/>
    </row>
    <row r="14">
      <c r="B14" s="1523" t="inlineStr">
        <is>
          <t>APS</t>
        </is>
      </c>
      <c r="C14" s="1523" t="inlineStr">
        <is>
          <t>ECUR</t>
        </is>
      </c>
      <c r="D14" s="232">
        <f>100*#REF!</f>
        <v/>
      </c>
      <c r="E14" s="232" t="n"/>
      <c r="F14" s="1523" t="inlineStr">
        <is>
          <t>2020/1月</t>
        </is>
      </c>
      <c r="G14" s="205" t="inlineStr">
        <is>
          <t>100/USD，保固3年，90台QS1用一台ECU-R</t>
        </is>
      </c>
      <c r="H14" s="205" t="inlineStr">
        <is>
          <t>麗芳</t>
        </is>
      </c>
      <c r="I14" s="205" t="n"/>
    </row>
    <row r="15">
      <c r="B15" s="1509" t="inlineStr">
        <is>
          <t>古瑞瓦特</t>
        </is>
      </c>
      <c r="C15" s="1509" t="inlineStr">
        <is>
          <t>監控模組</t>
        </is>
      </c>
      <c r="D15" s="845" t="n">
        <v>1500</v>
      </c>
      <c r="E15" s="845" t="n"/>
      <c r="F15" s="1509" t="inlineStr">
        <is>
          <t>2021/10月</t>
        </is>
      </c>
      <c r="G15" s="843" t="inlineStr">
        <is>
          <t>7台以內INV，(一支對一台INV)</t>
        </is>
      </c>
      <c r="H15" s="843" t="inlineStr">
        <is>
          <t>郭曜誠</t>
        </is>
      </c>
      <c r="I15" s="843" t="inlineStr">
        <is>
          <t>0975-515-112</t>
        </is>
      </c>
    </row>
    <row r="16">
      <c r="B16" s="1509" t="inlineStr">
        <is>
          <t>古瑞瓦特</t>
        </is>
      </c>
      <c r="C16" s="1509" t="inlineStr">
        <is>
          <t>數據收集器</t>
        </is>
      </c>
      <c r="D16" s="845" t="n">
        <v>15000</v>
      </c>
      <c r="E16" s="845" t="n"/>
      <c r="F16" s="1509" t="inlineStr">
        <is>
          <t>2021/10月</t>
        </is>
      </c>
      <c r="G16" s="843" t="inlineStr">
        <is>
          <t>32台INV，拉RS-485線路</t>
        </is>
      </c>
      <c r="H16" s="843" t="inlineStr">
        <is>
          <t>郭曜誠</t>
        </is>
      </c>
      <c r="I16" s="843" t="inlineStr">
        <is>
          <t>0975-515-112</t>
        </is>
      </c>
    </row>
    <row r="17">
      <c r="B17" s="1509" t="inlineStr">
        <is>
          <t>新望</t>
        </is>
      </c>
      <c r="C17" s="1509" t="inlineStr">
        <is>
          <t>V1000+</t>
        </is>
      </c>
      <c r="D17" s="845" t="n">
        <v>5000</v>
      </c>
      <c r="E17" s="845" t="n"/>
      <c r="F17" s="1509" t="inlineStr">
        <is>
          <t>2022/3月</t>
        </is>
      </c>
      <c r="G17" s="843" t="inlineStr">
        <is>
          <t>外接資料蒐集器-含電源組，一年保固 / 無延保方案</t>
        </is>
      </c>
      <c r="H17" s="843" t="inlineStr">
        <is>
          <t>郭曜誠</t>
        </is>
      </c>
      <c r="I17" s="843" t="inlineStr">
        <is>
          <t>0975-515-112</t>
        </is>
      </c>
    </row>
    <row r="18">
      <c r="B18" s="1509" t="inlineStr">
        <is>
          <t>新望</t>
        </is>
      </c>
      <c r="C18" s="1509" t="inlineStr">
        <is>
          <t>V1000L</t>
        </is>
      </c>
      <c r="D18" s="845" t="n">
        <v>8000</v>
      </c>
      <c r="E18" s="845" t="n"/>
      <c r="F18" s="1509" t="inlineStr">
        <is>
          <t>2022/3月</t>
        </is>
      </c>
      <c r="G18" s="843" t="inlineStr">
        <is>
          <t>外接資料蒐集器-含電源組，一年保固 / 無延保方案</t>
        </is>
      </c>
      <c r="H18" s="843" t="inlineStr">
        <is>
          <t>郭曜誠</t>
        </is>
      </c>
      <c r="I18" s="843" t="inlineStr">
        <is>
          <t>0975-515-112</t>
        </is>
      </c>
    </row>
    <row r="19">
      <c r="B19" s="207" t="n"/>
      <c r="C19" s="207" t="n"/>
      <c r="D19" s="334" t="n"/>
      <c r="E19" s="334" t="n"/>
      <c r="F19" s="207" t="n"/>
    </row>
    <row r="20">
      <c r="B20" s="922" t="inlineStr">
        <is>
          <t>數據收集盒</t>
        </is>
      </c>
      <c r="C20" s="207" t="n"/>
      <c r="D20" s="334" t="n"/>
      <c r="E20" s="334" t="n"/>
      <c r="F20" s="207" t="n"/>
    </row>
    <row r="21">
      <c r="B21" s="1523" t="inlineStr">
        <is>
          <t>BIG SUN</t>
        </is>
      </c>
      <c r="C21" s="1523" t="inlineStr">
        <is>
          <t>iPVBox智慧盒</t>
        </is>
      </c>
      <c r="D21" s="232" t="n">
        <v>15800</v>
      </c>
      <c r="E21" s="232" t="n"/>
      <c r="F21" s="1523" t="inlineStr">
        <is>
          <t>2018/4月</t>
        </is>
      </c>
      <c r="G21" s="205" t="inlineStr">
        <is>
          <t>iPVBox-2102 智慧盒 (5年保固)</t>
        </is>
      </c>
      <c r="H21" s="205" t="inlineStr">
        <is>
          <t>蘇育志</t>
        </is>
      </c>
      <c r="I21" s="205" t="inlineStr">
        <is>
          <t xml:space="preserve"> 0936-185841 / 03-5980288-1370</t>
        </is>
      </c>
      <c r="J21" s="205" t="inlineStr">
        <is>
          <t>jeffery.su@bigsun-energy.com</t>
        </is>
      </c>
    </row>
    <row r="22">
      <c r="B22" s="1523" t="inlineStr">
        <is>
          <t>沅碁雲</t>
        </is>
      </c>
      <c r="C22" s="1523" t="inlineStr">
        <is>
          <t>Logger</t>
        </is>
      </c>
      <c r="D22" s="232" t="n">
        <v>35000</v>
      </c>
      <c r="E22" s="232" t="inlineStr">
        <is>
          <t>2MW以下</t>
        </is>
      </c>
      <c r="F22" s="1523" t="inlineStr">
        <is>
          <t>2020/10月</t>
        </is>
      </c>
      <c r="G22" s="205" t="inlineStr">
        <is>
          <t>logger保固一年含現場安裝費(線材不含)；Logger $14000/台；雲端系統</t>
        </is>
      </c>
      <c r="H22" s="205" t="inlineStr">
        <is>
          <t>王振城</t>
        </is>
      </c>
      <c r="I22" s="312" t="inlineStr">
        <is>
          <t>0928-225-333</t>
        </is>
      </c>
      <c r="J22" s="205" t="inlineStr">
        <is>
          <t>max@sunedge.com.tw</t>
        </is>
      </c>
    </row>
    <row r="23">
      <c r="B23" s="1523" t="inlineStr">
        <is>
          <t>沅碁雲</t>
        </is>
      </c>
      <c r="C23" s="1523" t="inlineStr">
        <is>
          <t>Logger</t>
        </is>
      </c>
      <c r="D23" s="232" t="n">
        <v>25000</v>
      </c>
      <c r="E23" s="232" t="inlineStr">
        <is>
          <t>2MW以下</t>
        </is>
      </c>
      <c r="F23" s="1523" t="inlineStr">
        <is>
          <t>2020/10月</t>
        </is>
      </c>
      <c r="G23" s="205" t="inlineStr">
        <is>
          <t>logger保固一年含現場安裝費(線材不含)；Logger $14000/台；雲端系統+Dreams系統</t>
        </is>
      </c>
      <c r="H23" s="205" t="inlineStr">
        <is>
          <t>王振城</t>
        </is>
      </c>
      <c r="I23" s="312" t="inlineStr">
        <is>
          <t>0928-225-333</t>
        </is>
      </c>
      <c r="J23" s="205" t="inlineStr">
        <is>
          <t>max@sunedge.com.tw</t>
        </is>
      </c>
    </row>
    <row r="24">
      <c r="B24" s="1523" t="inlineStr">
        <is>
          <t>三惟</t>
        </is>
      </c>
      <c r="C24" s="1523" t="inlineStr">
        <is>
          <t>Logger</t>
        </is>
      </c>
      <c r="D24" s="232" t="n">
        <v>31500</v>
      </c>
      <c r="E24" s="232" t="inlineStr">
        <is>
          <t>499kW以下</t>
        </is>
      </c>
      <c r="F24" s="1523" t="inlineStr">
        <is>
          <t>2020/4月</t>
        </is>
      </c>
      <c r="G24" s="205" t="inlineStr">
        <is>
          <t>logger保固一年不含現場安裝費(線材不含)</t>
        </is>
      </c>
      <c r="H24" s="205" t="inlineStr">
        <is>
          <t>朱育龍</t>
        </is>
      </c>
      <c r="I24" s="205" t="inlineStr">
        <is>
          <t>02-6620-8358 / 0928-765206</t>
        </is>
      </c>
      <c r="J24" s="205" t="inlineStr">
        <is>
          <t>Adam-chew@sunware.com.tw</t>
        </is>
      </c>
    </row>
    <row r="25" customFormat="1" s="945">
      <c r="B25" s="941" t="inlineStr">
        <is>
          <t>慧景</t>
        </is>
      </c>
      <c r="C25" s="941" t="inlineStr">
        <is>
          <t>Logger</t>
        </is>
      </c>
      <c r="D25" s="942" t="n">
        <v>25000</v>
      </c>
      <c r="E25" s="942" t="inlineStr">
        <is>
          <t>-</t>
        </is>
      </c>
      <c r="F25" s="941" t="inlineStr">
        <is>
          <t>2022/3月</t>
        </is>
      </c>
      <c r="G25" s="943" t="inlineStr">
        <is>
          <t>logger保固五年(工業等級)；範圍25~40台裝置(基本30台)；型號：pt-2020 (2port)</t>
        </is>
      </c>
      <c r="H25" s="943" t="inlineStr">
        <is>
          <t>詹前鋒</t>
        </is>
      </c>
      <c r="I25" s="944" t="inlineStr">
        <is>
          <t>0989-434-128</t>
        </is>
      </c>
      <c r="J25" s="943" t="inlineStr">
        <is>
          <t>max@thingnario.com</t>
        </is>
      </c>
    </row>
    <row r="26" customFormat="1" s="945">
      <c r="B26" s="941" t="inlineStr">
        <is>
          <t>慧景</t>
        </is>
      </c>
      <c r="C26" s="941" t="inlineStr">
        <is>
          <t>Logger</t>
        </is>
      </c>
      <c r="D26" s="942" t="n">
        <v>28000</v>
      </c>
      <c r="E26" s="942" t="inlineStr">
        <is>
          <t>-</t>
        </is>
      </c>
      <c r="F26" s="941" t="inlineStr">
        <is>
          <t>2022/3月</t>
        </is>
      </c>
      <c r="G26" s="943" t="inlineStr">
        <is>
          <t>logger保固五年(工業等級)；範圍25~40台裝置(基本30台)；型號：pt-4020 (4port)</t>
        </is>
      </c>
      <c r="H26" s="943" t="inlineStr">
        <is>
          <t>詹前鋒</t>
        </is>
      </c>
      <c r="I26" s="944" t="inlineStr">
        <is>
          <t>0989-434-128</t>
        </is>
      </c>
      <c r="J26" s="943" t="inlineStr">
        <is>
          <t>max@thingnario.com</t>
        </is>
      </c>
    </row>
    <row r="27">
      <c r="B27" s="207" t="n"/>
      <c r="C27" s="207" t="n"/>
      <c r="D27" s="334" t="n"/>
      <c r="E27" s="334" t="n"/>
      <c r="F27" s="207" t="n"/>
      <c r="I27" s="868" t="n"/>
    </row>
    <row r="28">
      <c r="B28" s="922" t="inlineStr">
        <is>
          <t>環控設備</t>
        </is>
      </c>
    </row>
    <row r="29">
      <c r="B29" s="1523" t="inlineStr">
        <is>
          <t>沅碁</t>
        </is>
      </c>
      <c r="C29" s="1523" t="inlineStr">
        <is>
          <t>環控設備</t>
        </is>
      </c>
      <c r="D29" s="232" t="n">
        <v>52300</v>
      </c>
      <c r="E29" s="232" t="inlineStr">
        <is>
          <t>100KW以下</t>
        </is>
      </c>
      <c r="F29" s="1523" t="inlineStr">
        <is>
          <t>2018/2月</t>
        </is>
      </c>
      <c r="G29" s="205" t="inlineStr">
        <is>
          <t>含溫度(5300)+日照(28500)+CT、交流錶頭(18500)</t>
        </is>
      </c>
      <c r="H29" s="205" t="inlineStr">
        <is>
          <t>王振城</t>
        </is>
      </c>
      <c r="I29" s="312" t="inlineStr">
        <is>
          <t>0928-225-333</t>
        </is>
      </c>
      <c r="J29" s="205" t="inlineStr">
        <is>
          <t>max@sunedge.com.tw</t>
        </is>
      </c>
    </row>
    <row r="30">
      <c r="B30" s="1523" t="inlineStr">
        <is>
          <t>沅碁</t>
        </is>
      </c>
      <c r="C30" s="1523" t="inlineStr">
        <is>
          <t>環控設備</t>
        </is>
      </c>
      <c r="D30" s="232" t="n">
        <v>55000</v>
      </c>
      <c r="E30" s="232" t="inlineStr">
        <is>
          <t>499KW</t>
        </is>
      </c>
      <c r="F30" s="1523" t="inlineStr">
        <is>
          <t>2018/7月</t>
        </is>
      </c>
      <c r="G30" s="205" t="inlineStr">
        <is>
          <t>含溫度、日照(43000)+CT、交流錶頭(12000)</t>
        </is>
      </c>
      <c r="H30" s="205" t="inlineStr">
        <is>
          <t>王振城</t>
        </is>
      </c>
      <c r="I30" s="312" t="inlineStr">
        <is>
          <t>0928-225-333</t>
        </is>
      </c>
      <c r="J30" s="205" t="inlineStr">
        <is>
          <t>max@sunedge.com.tw</t>
        </is>
      </c>
    </row>
    <row r="31">
      <c r="B31" s="1523" t="inlineStr">
        <is>
          <t>綠世界</t>
        </is>
      </c>
      <c r="C31" s="1523" t="inlineStr">
        <is>
          <t>環控設備</t>
        </is>
      </c>
      <c r="D31" s="232" t="n">
        <v>44600</v>
      </c>
      <c r="E31" s="232" t="inlineStr">
        <is>
          <t>100KW以下</t>
        </is>
      </c>
      <c r="F31" s="1523" t="inlineStr">
        <is>
          <t>2018/2月</t>
        </is>
      </c>
      <c r="G31" s="205" t="inlineStr">
        <is>
          <t>含溫度(4900)+日照(19400)+CT(600*3)+交流錶頭(6600)+安裝費(2500)+箱體(9400)</t>
        </is>
      </c>
      <c r="H31" s="205" t="inlineStr">
        <is>
          <t>蘇育志</t>
        </is>
      </c>
      <c r="I31" s="205" t="inlineStr">
        <is>
          <t xml:space="preserve"> 0936-185841 / 03-5980288-1370</t>
        </is>
      </c>
      <c r="J31" s="205" t="n"/>
    </row>
    <row r="32">
      <c r="B32" s="1523" t="inlineStr">
        <is>
          <t>綠世界</t>
        </is>
      </c>
      <c r="C32" s="1523" t="inlineStr">
        <is>
          <t>環控設備</t>
        </is>
      </c>
      <c r="D32" s="232" t="n">
        <v>51200</v>
      </c>
      <c r="E32" s="232" t="inlineStr">
        <is>
          <t>100KW以上</t>
        </is>
      </c>
      <c r="F32" s="1523" t="inlineStr">
        <is>
          <t>2018/2月</t>
        </is>
      </c>
      <c r="G32" s="205" t="inlineStr">
        <is>
          <t>含溫度(4900)+日照(19400)+CT(2800*3)+交流錶頭(6600)+安裝費(2500)+箱體(9400)</t>
        </is>
      </c>
      <c r="H32" s="205" t="inlineStr">
        <is>
          <t>蘇育志</t>
        </is>
      </c>
      <c r="I32" s="205" t="inlineStr">
        <is>
          <t xml:space="preserve"> 0936-185841 / 03-5980288-1370</t>
        </is>
      </c>
      <c r="J32" s="205" t="n"/>
    </row>
    <row r="33">
      <c r="B33" s="1523" t="inlineStr">
        <is>
          <t>三惟</t>
        </is>
      </c>
      <c r="C33" s="1523" t="inlineStr">
        <is>
          <t>環控設備</t>
        </is>
      </c>
      <c r="D33" s="232" t="n">
        <v>43500</v>
      </c>
      <c r="E33" s="232" t="inlineStr">
        <is>
          <t>499KW</t>
        </is>
      </c>
      <c r="F33" s="1523" t="inlineStr">
        <is>
          <t>2020/4月</t>
        </is>
      </c>
      <c r="G33" s="205" t="inlineStr">
        <is>
          <t>含溫度(1500)+日照(22000)+CT(2800*3)+交流錶頭(6600)+箱體(8000)</t>
        </is>
      </c>
      <c r="H33" s="205" t="inlineStr">
        <is>
          <t>朱育龍</t>
        </is>
      </c>
      <c r="I33" s="205" t="inlineStr">
        <is>
          <t>02-6620-8358 / 0928-765206</t>
        </is>
      </c>
      <c r="J33" s="205" t="inlineStr">
        <is>
          <t>Adam-chew@sunware.com.tw</t>
        </is>
      </c>
    </row>
    <row r="34">
      <c r="B34" s="1523" t="inlineStr">
        <is>
          <t>三惟</t>
        </is>
      </c>
      <c r="C34" s="1523" t="inlineStr">
        <is>
          <t>環控設備</t>
        </is>
      </c>
      <c r="D34" s="232" t="n">
        <v>40900</v>
      </c>
      <c r="E34" s="232" t="inlineStr">
        <is>
          <t>100KW</t>
        </is>
      </c>
      <c r="F34" s="1523" t="inlineStr">
        <is>
          <t>2021/8月</t>
        </is>
      </c>
      <c r="G34" s="205" t="inlineStr">
        <is>
          <t>含溫度(2000)+日照(19500)+CT(2800*3)+交流錶頭(5000)+箱體(6000)</t>
        </is>
      </c>
      <c r="H34" s="205" t="inlineStr">
        <is>
          <t>朱育龍</t>
        </is>
      </c>
      <c r="I34" s="205" t="inlineStr">
        <is>
          <t>02-6620-8358 / 0928-765206</t>
        </is>
      </c>
      <c r="J34" s="205" t="inlineStr">
        <is>
          <t>Adam-chew@sunware.com.tw</t>
        </is>
      </c>
    </row>
    <row r="35">
      <c r="B35" s="1523" t="inlineStr">
        <is>
          <t>慧景(紘銘)</t>
        </is>
      </c>
      <c r="C35" s="1523" t="inlineStr">
        <is>
          <t>環控設備</t>
        </is>
      </c>
      <c r="D35" s="232" t="n">
        <v>40700</v>
      </c>
      <c r="E35" s="232" t="inlineStr">
        <is>
          <t>-</t>
        </is>
      </c>
      <c r="F35" s="1523" t="inlineStr">
        <is>
          <t>2022/4月</t>
        </is>
      </c>
      <c r="G35" s="205" t="inlineStr">
        <is>
          <t>含溫度(5150)+日照(22350)+箱體(13200)</t>
        </is>
      </c>
      <c r="H35" s="205" t="inlineStr">
        <is>
          <t>詹前鋒</t>
        </is>
      </c>
      <c r="I35" s="312" t="inlineStr">
        <is>
          <t>0989-434-128</t>
        </is>
      </c>
      <c r="J35" s="205" t="inlineStr">
        <is>
          <t>max@thingnario.com</t>
        </is>
      </c>
    </row>
    <row r="37">
      <c r="B37" s="922" t="inlineStr">
        <is>
          <t>雲端系統</t>
        </is>
      </c>
    </row>
    <row r="38">
      <c r="B38" s="1523" t="inlineStr">
        <is>
          <t>廠商</t>
        </is>
      </c>
      <c r="C38" s="1523" t="inlineStr">
        <is>
          <t>規格</t>
        </is>
      </c>
      <c r="D38" s="1523" t="inlineStr">
        <is>
          <t>報價(台幣/年)</t>
        </is>
      </c>
      <c r="E38" s="1523" t="inlineStr">
        <is>
          <t>KW</t>
        </is>
      </c>
      <c r="F38" s="1523" t="inlineStr">
        <is>
          <t>報價時間</t>
        </is>
      </c>
      <c r="G38" s="1523" t="inlineStr">
        <is>
          <t>NOTE</t>
        </is>
      </c>
      <c r="H38" s="1523" t="inlineStr">
        <is>
          <t>聯絡人</t>
        </is>
      </c>
      <c r="I38" s="1523" t="inlineStr">
        <is>
          <t>聯絡方式</t>
        </is>
      </c>
      <c r="J38" s="1523" t="inlineStr">
        <is>
          <t>Email</t>
        </is>
      </c>
      <c r="K38" s="1523" t="inlineStr">
        <is>
          <t>報價(台幣)</t>
        </is>
      </c>
    </row>
    <row r="39">
      <c r="B39" s="1523" t="inlineStr">
        <is>
          <t>BIG SUN</t>
        </is>
      </c>
      <c r="C39" s="1523" t="inlineStr">
        <is>
          <t>雲端IPV系統</t>
        </is>
      </c>
      <c r="D39" s="232" t="n">
        <v>900</v>
      </c>
      <c r="E39" s="232" t="inlineStr">
        <is>
          <t>20KW以下</t>
        </is>
      </c>
      <c r="F39" s="1523" t="inlineStr">
        <is>
          <t>2018/4月</t>
        </is>
      </c>
      <c r="G39" s="205" t="inlineStr">
        <is>
          <t>5年期滿後每案每年1000元</t>
        </is>
      </c>
      <c r="H39" s="205" t="inlineStr">
        <is>
          <t>蘇育志</t>
        </is>
      </c>
      <c r="I39" s="205" t="inlineStr">
        <is>
          <t xml:space="preserve"> 0936-185841 / 03-5980288-1370</t>
        </is>
      </c>
      <c r="J39" s="205" t="inlineStr">
        <is>
          <t>jeffery.su@bigsun-energy.com</t>
        </is>
      </c>
      <c r="K39" s="845" t="n">
        <v>25000</v>
      </c>
    </row>
    <row r="40">
      <c r="B40" s="1523" t="inlineStr">
        <is>
          <t>BIG SUN</t>
        </is>
      </c>
      <c r="C40" s="1523" t="inlineStr">
        <is>
          <t>雲端IPV系統</t>
        </is>
      </c>
      <c r="D40" s="232" t="n">
        <v>1600</v>
      </c>
      <c r="E40" s="232" t="inlineStr">
        <is>
          <t>21-100KW</t>
        </is>
      </c>
      <c r="F40" s="1523" t="inlineStr">
        <is>
          <t>2018/4月</t>
        </is>
      </c>
      <c r="G40" s="205" t="inlineStr">
        <is>
          <t>5年期滿後每案每年1000元</t>
        </is>
      </c>
      <c r="H40" s="205" t="inlineStr">
        <is>
          <t>蘇育志</t>
        </is>
      </c>
      <c r="I40" s="205" t="inlineStr">
        <is>
          <t xml:space="preserve"> 0936-185841 / 03-5980288-1370</t>
        </is>
      </c>
      <c r="J40" s="205" t="inlineStr">
        <is>
          <t>jeffery.su@bigsun-energy.com</t>
        </is>
      </c>
    </row>
    <row r="41">
      <c r="B41" s="1523" t="inlineStr">
        <is>
          <t>BIG SUN</t>
        </is>
      </c>
      <c r="C41" s="1523" t="inlineStr">
        <is>
          <t>雲端IPV系統</t>
        </is>
      </c>
      <c r="D41" s="232" t="n">
        <v>2000</v>
      </c>
      <c r="E41" s="232" t="inlineStr">
        <is>
          <t>101-499KW</t>
        </is>
      </c>
      <c r="F41" s="1523" t="inlineStr">
        <is>
          <t>2018/4月</t>
        </is>
      </c>
      <c r="G41" s="205" t="inlineStr">
        <is>
          <t>5年期滿後每案每年1000元</t>
        </is>
      </c>
      <c r="H41" s="205" t="inlineStr">
        <is>
          <t>蘇育志</t>
        </is>
      </c>
      <c r="I41" s="205" t="inlineStr">
        <is>
          <t xml:space="preserve"> 0936-185841 / 03-5980288-1370</t>
        </is>
      </c>
      <c r="J41" s="205" t="inlineStr">
        <is>
          <t>jeffery.su@bigsun-energy.com</t>
        </is>
      </c>
    </row>
    <row r="42">
      <c r="B42" s="1523" t="inlineStr">
        <is>
          <t>BIG SUN</t>
        </is>
      </c>
      <c r="C42" s="1523" t="inlineStr">
        <is>
          <t>雲端IPV系統</t>
        </is>
      </c>
      <c r="D42" s="232" t="n">
        <v>3000</v>
      </c>
      <c r="E42" s="232" t="inlineStr">
        <is>
          <t>499-999KW</t>
        </is>
      </c>
      <c r="F42" s="1523" t="inlineStr">
        <is>
          <t>2018/4月</t>
        </is>
      </c>
      <c r="G42" s="205" t="inlineStr">
        <is>
          <t>5年期滿後每案每年1000元</t>
        </is>
      </c>
      <c r="H42" s="205" t="inlineStr">
        <is>
          <t>蘇育志</t>
        </is>
      </c>
      <c r="I42" s="205" t="inlineStr">
        <is>
          <t xml:space="preserve"> 0936-185841 / 03-5980288-1370</t>
        </is>
      </c>
      <c r="J42" s="205" t="inlineStr">
        <is>
          <t>jeffery.su@bigsun-energy.com</t>
        </is>
      </c>
    </row>
    <row r="43">
      <c r="B43" s="1509" t="inlineStr">
        <is>
          <t>沅碁</t>
        </is>
      </c>
      <c r="C43" s="1509" t="inlineStr">
        <is>
          <t>沅碁網站監控</t>
        </is>
      </c>
      <c r="D43" s="845" t="n">
        <v>4000</v>
      </c>
      <c r="E43" s="1509" t="inlineStr">
        <is>
          <t>100KW以下</t>
        </is>
      </c>
      <c r="F43" s="1509" t="inlineStr">
        <is>
          <t>2020/10月</t>
        </is>
      </c>
      <c r="G43" s="1140" t="inlineStr">
        <is>
          <t>含專人監控,五年一個package</t>
        </is>
      </c>
      <c r="H43" s="843" t="inlineStr">
        <is>
          <t>王振城</t>
        </is>
      </c>
      <c r="I43" s="867" t="inlineStr">
        <is>
          <t>0928-225-333</t>
        </is>
      </c>
      <c r="J43" s="843" t="inlineStr">
        <is>
          <t>max@sunedge.com.tw</t>
        </is>
      </c>
    </row>
    <row r="44">
      <c r="B44" s="1509" t="inlineStr">
        <is>
          <t>沅碁</t>
        </is>
      </c>
      <c r="C44" s="1509" t="inlineStr">
        <is>
          <t>沅碁網站監控</t>
        </is>
      </c>
      <c r="D44" s="845" t="n">
        <v>7000</v>
      </c>
      <c r="E44" s="845" t="inlineStr">
        <is>
          <t>101-300KW</t>
        </is>
      </c>
      <c r="F44" s="1509" t="inlineStr">
        <is>
          <t>2020/10月</t>
        </is>
      </c>
      <c r="G44" s="1977" t="n"/>
      <c r="H44" s="843" t="inlineStr">
        <is>
          <t>王振城</t>
        </is>
      </c>
      <c r="I44" s="867" t="inlineStr">
        <is>
          <t>0928-225-333</t>
        </is>
      </c>
      <c r="J44" s="843" t="inlineStr">
        <is>
          <t>max@sunedge.com.tw</t>
        </is>
      </c>
    </row>
    <row r="45">
      <c r="B45" s="1509" t="inlineStr">
        <is>
          <t>沅碁</t>
        </is>
      </c>
      <c r="C45" s="1509" t="inlineStr">
        <is>
          <t>沅碁網站監控</t>
        </is>
      </c>
      <c r="D45" s="845" t="n">
        <v>12000</v>
      </c>
      <c r="E45" s="845" t="inlineStr">
        <is>
          <t>301-499KW</t>
        </is>
      </c>
      <c r="F45" s="1509" t="inlineStr">
        <is>
          <t>2020/10月</t>
        </is>
      </c>
      <c r="G45" s="1977" t="n"/>
      <c r="H45" s="843" t="inlineStr">
        <is>
          <t>王振城</t>
        </is>
      </c>
      <c r="I45" s="867" t="inlineStr">
        <is>
          <t>0928-225-333</t>
        </is>
      </c>
      <c r="J45" s="843" t="inlineStr">
        <is>
          <t>max@sunedge.com.tw</t>
        </is>
      </c>
    </row>
    <row r="46">
      <c r="B46" s="1509" t="inlineStr">
        <is>
          <t>沅碁</t>
        </is>
      </c>
      <c r="C46" s="1509" t="inlineStr">
        <is>
          <t>沅碁網站監控</t>
        </is>
      </c>
      <c r="D46" s="845" t="n">
        <v>16000</v>
      </c>
      <c r="E46" s="845" t="inlineStr">
        <is>
          <t>500~1MW</t>
        </is>
      </c>
      <c r="F46" s="1509" t="inlineStr">
        <is>
          <t>2020/10月</t>
        </is>
      </c>
      <c r="G46" s="1977" t="n"/>
      <c r="H46" s="843" t="inlineStr">
        <is>
          <t>王振城</t>
        </is>
      </c>
      <c r="I46" s="867" t="inlineStr">
        <is>
          <t>0928-225-333</t>
        </is>
      </c>
      <c r="J46" s="843" t="inlineStr">
        <is>
          <t>max@sunedge.com.tw</t>
        </is>
      </c>
    </row>
    <row r="47">
      <c r="B47" s="1509" t="inlineStr">
        <is>
          <t>沅碁</t>
        </is>
      </c>
      <c r="C47" s="1509" t="inlineStr">
        <is>
          <t>沅碁網站監控</t>
        </is>
      </c>
      <c r="D47" s="845" t="n">
        <v>24000</v>
      </c>
      <c r="E47" s="845" t="inlineStr">
        <is>
          <t>1~2MW</t>
        </is>
      </c>
      <c r="F47" s="1509" t="inlineStr">
        <is>
          <t>2020/10月</t>
        </is>
      </c>
      <c r="G47" s="1977" t="n"/>
      <c r="H47" s="843" t="inlineStr">
        <is>
          <t>王振城</t>
        </is>
      </c>
      <c r="I47" s="867" t="inlineStr">
        <is>
          <t>0928-225-333</t>
        </is>
      </c>
      <c r="J47" s="843" t="inlineStr">
        <is>
          <t>max@sunedge.com.tw</t>
        </is>
      </c>
    </row>
    <row r="48">
      <c r="B48" s="1509" t="inlineStr">
        <is>
          <t>沅碁</t>
        </is>
      </c>
      <c r="C48" s="1509" t="inlineStr">
        <is>
          <t>沅碁網站監控</t>
        </is>
      </c>
      <c r="D48" s="845" t="n">
        <v>39000</v>
      </c>
      <c r="E48" s="845" t="inlineStr">
        <is>
          <t>2~4MW</t>
        </is>
      </c>
      <c r="F48" s="1509" t="inlineStr">
        <is>
          <t>2020/10月</t>
        </is>
      </c>
      <c r="G48" s="1979" t="n"/>
      <c r="H48" s="843" t="inlineStr">
        <is>
          <t>王振城</t>
        </is>
      </c>
      <c r="I48" s="867" t="inlineStr">
        <is>
          <t>0928-225-333</t>
        </is>
      </c>
      <c r="J48" s="843" t="inlineStr">
        <is>
          <t>max@sunedge.com.tw</t>
        </is>
      </c>
    </row>
    <row r="49">
      <c r="B49" s="1509" t="inlineStr">
        <is>
          <t>沅碁</t>
        </is>
      </c>
      <c r="C49" s="1509" t="inlineStr">
        <is>
          <t>沅碁網站監控</t>
        </is>
      </c>
      <c r="D49" s="845" t="n">
        <v>4000</v>
      </c>
      <c r="E49" s="1509" t="inlineStr">
        <is>
          <t>99KW以下</t>
        </is>
      </c>
      <c r="F49" s="1509" t="inlineStr">
        <is>
          <t>2021/9月</t>
        </is>
      </c>
      <c r="G49" s="1140" t="inlineStr">
        <is>
          <t>含智慧盒，含專人監控,五年一個package，5年</t>
        </is>
      </c>
      <c r="H49" s="843" t="inlineStr">
        <is>
          <t>王振城</t>
        </is>
      </c>
      <c r="I49" s="867" t="inlineStr">
        <is>
          <t>0928-225-333</t>
        </is>
      </c>
      <c r="J49" s="843" t="inlineStr">
        <is>
          <t>max@sunedge.com.tw</t>
        </is>
      </c>
      <c r="K49" s="845">
        <f>D49*5</f>
        <v/>
      </c>
    </row>
    <row r="50">
      <c r="B50" s="1509" t="inlineStr">
        <is>
          <t>沅碁</t>
        </is>
      </c>
      <c r="C50" s="1509" t="inlineStr">
        <is>
          <t>沅碁網站監控</t>
        </is>
      </c>
      <c r="D50" s="921" t="n">
        <v>9000</v>
      </c>
      <c r="E50" s="845" t="inlineStr">
        <is>
          <t>100-299KW</t>
        </is>
      </c>
      <c r="F50" s="1509" t="inlineStr">
        <is>
          <t>2021/9月</t>
        </is>
      </c>
      <c r="G50" s="1977" t="n"/>
      <c r="H50" s="843" t="inlineStr">
        <is>
          <t>王振城</t>
        </is>
      </c>
      <c r="I50" s="867" t="inlineStr">
        <is>
          <t>0928-225-333</t>
        </is>
      </c>
      <c r="J50" s="843" t="inlineStr">
        <is>
          <t>max@sunedge.com.tw</t>
        </is>
      </c>
      <c r="K50" s="845">
        <f>D50*5</f>
        <v/>
      </c>
    </row>
    <row r="51">
      <c r="B51" s="1509" t="inlineStr">
        <is>
          <t>沅碁</t>
        </is>
      </c>
      <c r="C51" s="1509" t="inlineStr">
        <is>
          <t>沅碁網站監控</t>
        </is>
      </c>
      <c r="D51" s="845" t="n">
        <v>10000</v>
      </c>
      <c r="E51" s="845" t="inlineStr">
        <is>
          <t>300-499KW</t>
        </is>
      </c>
      <c r="F51" s="1509" t="inlineStr">
        <is>
          <t>2021/9月</t>
        </is>
      </c>
      <c r="G51" s="1977" t="n"/>
      <c r="H51" s="843" t="inlineStr">
        <is>
          <t>王振城</t>
        </is>
      </c>
      <c r="I51" s="867" t="inlineStr">
        <is>
          <t>0928-225-333</t>
        </is>
      </c>
      <c r="J51" s="843" t="inlineStr">
        <is>
          <t>max@sunedge.com.tw</t>
        </is>
      </c>
      <c r="K51" s="845">
        <f>D51*5</f>
        <v/>
      </c>
    </row>
    <row r="52">
      <c r="B52" s="1509" t="inlineStr">
        <is>
          <t>沅碁</t>
        </is>
      </c>
      <c r="C52" s="1509" t="inlineStr">
        <is>
          <t>沅碁網站監控</t>
        </is>
      </c>
      <c r="D52" s="845" t="n">
        <v>16000</v>
      </c>
      <c r="E52" s="845" t="inlineStr">
        <is>
          <t>500~1MW</t>
        </is>
      </c>
      <c r="F52" s="1509" t="inlineStr">
        <is>
          <t>2021/9月</t>
        </is>
      </c>
      <c r="G52" s="1977" t="n"/>
      <c r="H52" s="843" t="inlineStr">
        <is>
          <t>王振城</t>
        </is>
      </c>
      <c r="I52" s="867" t="inlineStr">
        <is>
          <t>0928-225-333</t>
        </is>
      </c>
      <c r="J52" s="843" t="inlineStr">
        <is>
          <t>max@sunedge.com.tw</t>
        </is>
      </c>
      <c r="K52" s="845">
        <f>D52*5</f>
        <v/>
      </c>
    </row>
    <row r="53">
      <c r="B53" s="1509" t="inlineStr">
        <is>
          <t>沅碁</t>
        </is>
      </c>
      <c r="C53" s="1509" t="inlineStr">
        <is>
          <t>沅碁網站監控</t>
        </is>
      </c>
      <c r="D53" s="921" t="n">
        <v>30000</v>
      </c>
      <c r="E53" s="845" t="inlineStr">
        <is>
          <t>1~2MW</t>
        </is>
      </c>
      <c r="F53" s="1509" t="inlineStr">
        <is>
          <t>2021/9月</t>
        </is>
      </c>
      <c r="G53" s="1979" t="n"/>
      <c r="H53" s="843" t="inlineStr">
        <is>
          <t>王振城</t>
        </is>
      </c>
      <c r="I53" s="867" t="inlineStr">
        <is>
          <t>0928-225-333</t>
        </is>
      </c>
      <c r="J53" s="843" t="inlineStr">
        <is>
          <t>max@sunedge.com.tw</t>
        </is>
      </c>
      <c r="K53" s="845">
        <f>D53*5</f>
        <v/>
      </c>
    </row>
    <row r="54">
      <c r="B54" s="1509" t="inlineStr">
        <is>
          <t>沅碁</t>
        </is>
      </c>
      <c r="C54" s="1509" t="inlineStr">
        <is>
          <t>沅碁網站監控</t>
        </is>
      </c>
      <c r="D54" s="845" t="n">
        <v>4000</v>
      </c>
      <c r="E54" s="1509" t="inlineStr">
        <is>
          <t>99KW以下</t>
        </is>
      </c>
      <c r="F54" s="1509" t="inlineStr">
        <is>
          <t>2021/9月</t>
        </is>
      </c>
      <c r="G54" s="1140" t="inlineStr">
        <is>
          <t>含智慧盒，含專人監控,五年一個package，20年</t>
        </is>
      </c>
      <c r="H54" s="843" t="inlineStr">
        <is>
          <t>王振城</t>
        </is>
      </c>
      <c r="I54" s="867" t="inlineStr">
        <is>
          <t>0928-225-333</t>
        </is>
      </c>
      <c r="J54" s="843" t="inlineStr">
        <is>
          <t>max@sunedge.com.tw</t>
        </is>
      </c>
      <c r="K54" s="845">
        <f>D54*20*$L$54</f>
        <v/>
      </c>
      <c r="L54" s="870" t="n">
        <v>0.8</v>
      </c>
    </row>
    <row r="55">
      <c r="B55" s="1509" t="inlineStr">
        <is>
          <t>沅碁</t>
        </is>
      </c>
      <c r="C55" s="1509" t="inlineStr">
        <is>
          <t>沅碁網站監控</t>
        </is>
      </c>
      <c r="D55" s="921" t="n">
        <v>9000</v>
      </c>
      <c r="E55" s="845" t="inlineStr">
        <is>
          <t>100-299KW</t>
        </is>
      </c>
      <c r="F55" s="1509" t="inlineStr">
        <is>
          <t>2021/9月</t>
        </is>
      </c>
      <c r="G55" s="1977" t="n"/>
      <c r="H55" s="843" t="inlineStr">
        <is>
          <t>王振城</t>
        </is>
      </c>
      <c r="I55" s="867" t="inlineStr">
        <is>
          <t>0928-225-333</t>
        </is>
      </c>
      <c r="J55" s="843" t="inlineStr">
        <is>
          <t>max@sunedge.com.tw</t>
        </is>
      </c>
      <c r="K55" s="845">
        <f>D55*20*$L$54</f>
        <v/>
      </c>
    </row>
    <row r="56">
      <c r="B56" s="1509" t="inlineStr">
        <is>
          <t>沅碁</t>
        </is>
      </c>
      <c r="C56" s="1509" t="inlineStr">
        <is>
          <t>沅碁網站監控</t>
        </is>
      </c>
      <c r="D56" s="845" t="n">
        <v>10000</v>
      </c>
      <c r="E56" s="845" t="inlineStr">
        <is>
          <t>300-499KW</t>
        </is>
      </c>
      <c r="F56" s="1509" t="inlineStr">
        <is>
          <t>2021/9月</t>
        </is>
      </c>
      <c r="G56" s="1977" t="n"/>
      <c r="H56" s="843" t="inlineStr">
        <is>
          <t>王振城</t>
        </is>
      </c>
      <c r="I56" s="867" t="inlineStr">
        <is>
          <t>0928-225-333</t>
        </is>
      </c>
      <c r="J56" s="843" t="inlineStr">
        <is>
          <t>max@sunedge.com.tw</t>
        </is>
      </c>
      <c r="K56" s="845">
        <f>D56*20*$L$54</f>
        <v/>
      </c>
    </row>
    <row r="57">
      <c r="B57" s="1509" t="inlineStr">
        <is>
          <t>沅碁</t>
        </is>
      </c>
      <c r="C57" s="1509" t="inlineStr">
        <is>
          <t>沅碁網站監控</t>
        </is>
      </c>
      <c r="D57" s="845" t="n">
        <v>16000</v>
      </c>
      <c r="E57" s="845" t="inlineStr">
        <is>
          <t>500~1MW</t>
        </is>
      </c>
      <c r="F57" s="1509" t="inlineStr">
        <is>
          <t>2021/9月</t>
        </is>
      </c>
      <c r="G57" s="1977" t="n"/>
      <c r="H57" s="843" t="inlineStr">
        <is>
          <t>王振城</t>
        </is>
      </c>
      <c r="I57" s="867" t="inlineStr">
        <is>
          <t>0928-225-333</t>
        </is>
      </c>
      <c r="J57" s="843" t="inlineStr">
        <is>
          <t>max@sunedge.com.tw</t>
        </is>
      </c>
      <c r="K57" s="845">
        <f>D57*20*$L$54</f>
        <v/>
      </c>
    </row>
    <row r="58">
      <c r="B58" s="1509" t="inlineStr">
        <is>
          <t>沅碁</t>
        </is>
      </c>
      <c r="C58" s="1509" t="inlineStr">
        <is>
          <t>沅碁網站監控</t>
        </is>
      </c>
      <c r="D58" s="921" t="n">
        <v>30000</v>
      </c>
      <c r="E58" s="845" t="inlineStr">
        <is>
          <t>1~2MW</t>
        </is>
      </c>
      <c r="F58" s="1509" t="inlineStr">
        <is>
          <t>2021/9月</t>
        </is>
      </c>
      <c r="G58" s="1979" t="n"/>
      <c r="H58" s="843" t="inlineStr">
        <is>
          <t>王振城</t>
        </is>
      </c>
      <c r="I58" s="867" t="inlineStr">
        <is>
          <t>0928-225-333</t>
        </is>
      </c>
      <c r="J58" s="843" t="inlineStr">
        <is>
          <t>max@sunedge.com.tw</t>
        </is>
      </c>
      <c r="K58" s="845">
        <f>D58*20*$L$54</f>
        <v/>
      </c>
    </row>
    <row r="59">
      <c r="B59" s="207" t="n"/>
      <c r="C59" s="207" t="n"/>
      <c r="D59" s="334" t="n"/>
      <c r="E59" s="334" t="n"/>
      <c r="F59" s="207" t="n"/>
      <c r="G59" s="1493" t="n"/>
      <c r="I59" s="868" t="n"/>
    </row>
    <row r="60">
      <c r="B60" s="1523" t="inlineStr">
        <is>
          <t>廠商</t>
        </is>
      </c>
      <c r="C60" s="1523" t="inlineStr">
        <is>
          <t>規格</t>
        </is>
      </c>
      <c r="D60" s="1523" t="inlineStr">
        <is>
          <t>報價(台幣/年)</t>
        </is>
      </c>
      <c r="E60" s="1523" t="inlineStr">
        <is>
          <t>KW</t>
        </is>
      </c>
      <c r="F60" s="1523" t="inlineStr">
        <is>
          <t>報價時間</t>
        </is>
      </c>
      <c r="G60" s="1523" t="inlineStr">
        <is>
          <t>NOTE</t>
        </is>
      </c>
      <c r="H60" s="1523" t="inlineStr">
        <is>
          <t>聯絡人</t>
        </is>
      </c>
      <c r="I60" s="1523" t="inlineStr">
        <is>
          <t>聯絡方式</t>
        </is>
      </c>
      <c r="J60" s="1523" t="inlineStr">
        <is>
          <t>Email</t>
        </is>
      </c>
    </row>
    <row r="61">
      <c r="B61" s="1509" t="inlineStr">
        <is>
          <t>三惟</t>
        </is>
      </c>
      <c r="C61" s="1509" t="inlineStr">
        <is>
          <t>三惟網站監控</t>
        </is>
      </c>
      <c r="D61" s="845" t="n">
        <v>1500</v>
      </c>
      <c r="E61" s="845" t="inlineStr">
        <is>
          <t>1-99kW</t>
        </is>
      </c>
      <c r="F61" s="1509" t="inlineStr">
        <is>
          <t>2021/8月</t>
        </is>
      </c>
      <c r="G61" s="1140" t="inlineStr">
        <is>
          <t>含專人監控,五年一個package</t>
        </is>
      </c>
      <c r="H61" s="843" t="inlineStr">
        <is>
          <t>朱育龍</t>
        </is>
      </c>
      <c r="I61" s="843" t="inlineStr">
        <is>
          <t>02-6620-8358 / 0928-765206</t>
        </is>
      </c>
      <c r="J61" s="843" t="inlineStr">
        <is>
          <t>Adam-chew@sunware.com.tw</t>
        </is>
      </c>
      <c r="K61" s="873" t="inlineStr">
        <is>
          <t>2020/4月</t>
        </is>
      </c>
    </row>
    <row r="62">
      <c r="B62" s="1509" t="inlineStr">
        <is>
          <t>三惟</t>
        </is>
      </c>
      <c r="C62" s="1509" t="inlineStr">
        <is>
          <t>三惟網站監控</t>
        </is>
      </c>
      <c r="D62" s="845" t="n">
        <v>3000</v>
      </c>
      <c r="E62" s="845" t="inlineStr">
        <is>
          <t>100-299kW</t>
        </is>
      </c>
      <c r="F62" s="1509" t="inlineStr">
        <is>
          <t>2021/8月</t>
        </is>
      </c>
      <c r="G62" s="1977" t="n"/>
      <c r="H62" s="843" t="inlineStr">
        <is>
          <t>朱育龍</t>
        </is>
      </c>
      <c r="I62" s="843" t="inlineStr">
        <is>
          <t>02-6620-8358 / 0928-765206</t>
        </is>
      </c>
      <c r="J62" s="843" t="inlineStr">
        <is>
          <t>Adam-chew@sunware.com.tw</t>
        </is>
      </c>
      <c r="K62" s="872" t="n"/>
    </row>
    <row r="63">
      <c r="B63" s="1509" t="inlineStr">
        <is>
          <t>三惟</t>
        </is>
      </c>
      <c r="C63" s="1509" t="inlineStr">
        <is>
          <t>三惟網站監控</t>
        </is>
      </c>
      <c r="D63" s="845" t="n">
        <v>5000</v>
      </c>
      <c r="E63" s="845" t="inlineStr">
        <is>
          <t>300-499kW</t>
        </is>
      </c>
      <c r="F63" s="1509" t="inlineStr">
        <is>
          <t>2021/8月</t>
        </is>
      </c>
      <c r="G63" s="1977" t="n"/>
      <c r="H63" s="843" t="inlineStr">
        <is>
          <t>朱育龍</t>
        </is>
      </c>
      <c r="I63" s="843" t="inlineStr">
        <is>
          <t>02-6620-8358 / 0928-765206</t>
        </is>
      </c>
      <c r="J63" s="843" t="inlineStr">
        <is>
          <t>Adam-chew@sunware.com.tw</t>
        </is>
      </c>
      <c r="K63" s="872" t="n"/>
    </row>
    <row r="64">
      <c r="B64" s="1509" t="inlineStr">
        <is>
          <t>三惟</t>
        </is>
      </c>
      <c r="C64" s="1509" t="inlineStr">
        <is>
          <t>三惟網站監控</t>
        </is>
      </c>
      <c r="D64" s="845" t="n">
        <v>7500</v>
      </c>
      <c r="E64" s="845" t="inlineStr">
        <is>
          <t>500-999kW</t>
        </is>
      </c>
      <c r="F64" s="1509" t="inlineStr">
        <is>
          <t>2021/8月</t>
        </is>
      </c>
      <c r="G64" s="1979" t="n"/>
      <c r="H64" s="843" t="inlineStr">
        <is>
          <t>朱育龍</t>
        </is>
      </c>
      <c r="I64" s="843" t="inlineStr">
        <is>
          <t>02-6620-8358 / 0928-765206</t>
        </is>
      </c>
      <c r="J64" s="843" t="inlineStr">
        <is>
          <t>Adam-chew@sunware.com.tw</t>
        </is>
      </c>
      <c r="K64" s="872" t="n"/>
    </row>
    <row r="65">
      <c r="B65" s="1523" t="inlineStr">
        <is>
          <t>三惟</t>
        </is>
      </c>
      <c r="C65" s="1523" t="inlineStr">
        <is>
          <t>三惟網站監控</t>
        </is>
      </c>
      <c r="D65" s="232" t="n">
        <v>10000</v>
      </c>
      <c r="E65" s="232" t="inlineStr">
        <is>
          <t>1MW</t>
        </is>
      </c>
      <c r="F65" s="1523" t="inlineStr">
        <is>
          <t>2021/8月</t>
        </is>
      </c>
      <c r="G65" s="209" t="inlineStr">
        <is>
          <t>含專人監控,五年一個package；多1MW加$5000/年</t>
        </is>
      </c>
      <c r="H65" s="205" t="inlineStr">
        <is>
          <t>朱育龍</t>
        </is>
      </c>
      <c r="I65" s="205" t="inlineStr">
        <is>
          <t>02-6620-8358 / 0928-765206</t>
        </is>
      </c>
      <c r="J65" s="871" t="inlineStr">
        <is>
          <t>Adam-chew@sunware.com.tw</t>
        </is>
      </c>
      <c r="K65" s="872" t="n"/>
    </row>
    <row r="66" ht="28.5" customHeight="1" s="1643">
      <c r="B66" s="1523" t="inlineStr">
        <is>
          <t>三惟</t>
        </is>
      </c>
      <c r="C66" s="336" t="inlineStr">
        <is>
          <t>現場軟體安裝、
系統上線測試費</t>
        </is>
      </c>
      <c r="D66" s="232" t="inlineStr">
        <is>
          <t>15,000 (總價)</t>
        </is>
      </c>
      <c r="E66" s="232" t="inlineStr">
        <is>
          <t>1式</t>
        </is>
      </c>
      <c r="F66" s="1523" t="inlineStr">
        <is>
          <t>2021/8月</t>
        </is>
      </c>
      <c r="G66" s="209" t="inlineStr">
        <is>
          <t>Inverter、日照計、溫度計、網路通訊測試設定，能源管理系統安裝設定</t>
        </is>
      </c>
      <c r="H66" s="205" t="inlineStr">
        <is>
          <t>朱育龍</t>
        </is>
      </c>
      <c r="I66" s="205" t="inlineStr">
        <is>
          <t>02-6620-8358 / 0928-765206</t>
        </is>
      </c>
      <c r="J66" s="871" t="inlineStr">
        <is>
          <t>Adam-chew@sunware.com.tw</t>
        </is>
      </c>
      <c r="K66" s="872" t="n"/>
    </row>
    <row r="67">
      <c r="B67" s="207" t="n"/>
      <c r="C67" s="207" t="n"/>
      <c r="D67" s="334" t="n"/>
      <c r="E67" s="334" t="n"/>
      <c r="F67" s="207" t="n"/>
      <c r="G67" s="1493" t="n"/>
    </row>
    <row r="68">
      <c r="B68" s="1523" t="inlineStr">
        <is>
          <t>廠商</t>
        </is>
      </c>
      <c r="C68" s="1523" t="inlineStr">
        <is>
          <t>規格</t>
        </is>
      </c>
      <c r="D68" s="1523" t="inlineStr">
        <is>
          <t>報價(台幣/年)</t>
        </is>
      </c>
      <c r="E68" s="1523" t="inlineStr">
        <is>
          <t>KW</t>
        </is>
      </c>
      <c r="F68" s="1523" t="inlineStr">
        <is>
          <t>報價時間</t>
        </is>
      </c>
      <c r="G68" s="1523" t="inlineStr">
        <is>
          <t>NOTE</t>
        </is>
      </c>
      <c r="H68" s="1523" t="inlineStr">
        <is>
          <t>聯絡人</t>
        </is>
      </c>
      <c r="I68" s="1523" t="inlineStr">
        <is>
          <t>聯絡方式</t>
        </is>
      </c>
      <c r="J68" s="1523" t="inlineStr">
        <is>
          <t>Email</t>
        </is>
      </c>
      <c r="K68" s="1523" t="inlineStr">
        <is>
          <t>報價(台幣)</t>
        </is>
      </c>
    </row>
    <row r="69" ht="16.5" customFormat="1" customHeight="1" s="945">
      <c r="B69" s="946" t="inlineStr">
        <is>
          <t>慧景</t>
        </is>
      </c>
      <c r="C69" s="946" t="inlineStr">
        <is>
          <t>慧景網站監控</t>
        </is>
      </c>
      <c r="D69" s="946">
        <f>K69/5</f>
        <v/>
      </c>
      <c r="E69" s="946" t="inlineStr">
        <is>
          <t>100kW以下</t>
        </is>
      </c>
      <c r="F69" s="946" t="inlineStr">
        <is>
          <t>2022/3月</t>
        </is>
      </c>
      <c r="G69" s="2114" t="inlineStr">
        <is>
          <t>五年一個package，共5年
(無專人監控，提供一套系統平臺，供維運及管理電站)</t>
        </is>
      </c>
      <c r="H69" s="947" t="inlineStr">
        <is>
          <t>詹前鋒</t>
        </is>
      </c>
      <c r="I69" s="944" t="inlineStr">
        <is>
          <t>0989-434-128</t>
        </is>
      </c>
      <c r="J69" s="947" t="inlineStr">
        <is>
          <t>max@thingnario.com</t>
        </is>
      </c>
      <c r="K69" s="948" t="n">
        <v>25000</v>
      </c>
    </row>
    <row r="70" ht="14.25" customFormat="1" customHeight="1" s="945">
      <c r="B70" s="946" t="inlineStr">
        <is>
          <t>慧景</t>
        </is>
      </c>
      <c r="C70" s="946" t="inlineStr">
        <is>
          <t>慧景網站監控</t>
        </is>
      </c>
      <c r="D70" s="948">
        <f>K70/5</f>
        <v/>
      </c>
      <c r="E70" s="948" t="inlineStr">
        <is>
          <t>99~249kW</t>
        </is>
      </c>
      <c r="F70" s="946" t="inlineStr">
        <is>
          <t>2022/3月</t>
        </is>
      </c>
      <c r="G70" s="1977" t="n"/>
      <c r="H70" s="947" t="inlineStr">
        <is>
          <t>詹前鋒</t>
        </is>
      </c>
      <c r="I70" s="944" t="inlineStr">
        <is>
          <t>0989-434-128</t>
        </is>
      </c>
      <c r="J70" s="947" t="inlineStr">
        <is>
          <t>max@thingnario.com</t>
        </is>
      </c>
      <c r="K70" s="948" t="n">
        <v>35000</v>
      </c>
    </row>
    <row r="71" customFormat="1" s="945">
      <c r="B71" s="946" t="inlineStr">
        <is>
          <t>慧景</t>
        </is>
      </c>
      <c r="C71" s="946" t="inlineStr">
        <is>
          <t>慧景網站監控</t>
        </is>
      </c>
      <c r="D71" s="948">
        <f>K71/5</f>
        <v/>
      </c>
      <c r="E71" s="948" t="inlineStr">
        <is>
          <t>249~499kW</t>
        </is>
      </c>
      <c r="F71" s="946" t="inlineStr">
        <is>
          <t>2022/3月</t>
        </is>
      </c>
      <c r="G71" s="1977" t="n"/>
      <c r="H71" s="947" t="inlineStr">
        <is>
          <t>詹前鋒</t>
        </is>
      </c>
      <c r="I71" s="944" t="inlineStr">
        <is>
          <t>0989-434-128</t>
        </is>
      </c>
      <c r="J71" s="947" t="inlineStr">
        <is>
          <t>max@thingnario.com</t>
        </is>
      </c>
      <c r="K71" s="948" t="n">
        <v>45000</v>
      </c>
    </row>
    <row r="72" ht="15" customFormat="1" customHeight="1" s="945" thickBot="1">
      <c r="B72" s="949" t="inlineStr">
        <is>
          <t>慧景</t>
        </is>
      </c>
      <c r="C72" s="949" t="inlineStr">
        <is>
          <t>慧景網站監控</t>
        </is>
      </c>
      <c r="D72" s="950">
        <f>K72/5</f>
        <v/>
      </c>
      <c r="E72" s="950" t="inlineStr">
        <is>
          <t>499~999kW</t>
        </is>
      </c>
      <c r="F72" s="950" t="inlineStr">
        <is>
          <t>2022/3月</t>
        </is>
      </c>
      <c r="G72" s="2115" t="n"/>
      <c r="H72" s="951" t="inlineStr">
        <is>
          <t>詹前鋒</t>
        </is>
      </c>
      <c r="I72" s="952" t="inlineStr">
        <is>
          <t>0989-434-128</t>
        </is>
      </c>
      <c r="J72" s="951" t="inlineStr">
        <is>
          <t>max@thingnario.com</t>
        </is>
      </c>
      <c r="K72" s="950" t="n">
        <v>60000</v>
      </c>
    </row>
    <row r="73" ht="16.5" customFormat="1" customHeight="1" s="945">
      <c r="B73" s="953" t="inlineStr">
        <is>
          <t>慧景</t>
        </is>
      </c>
      <c r="C73" s="953" t="inlineStr">
        <is>
          <t>慧景網站監控</t>
        </is>
      </c>
      <c r="D73" s="954">
        <f>K73/20</f>
        <v/>
      </c>
      <c r="E73" s="954" t="inlineStr">
        <is>
          <t>99kW以下</t>
        </is>
      </c>
      <c r="F73" s="946" t="inlineStr">
        <is>
          <t>2022/3月</t>
        </is>
      </c>
      <c r="G73" s="2116" t="inlineStr">
        <is>
          <t>五年一個package，共20年
(無專人監控，提供一套系統平臺，供維運及管理電站)</t>
        </is>
      </c>
      <c r="H73" s="955" t="inlineStr">
        <is>
          <t>詹前鋒</t>
        </is>
      </c>
      <c r="I73" s="956" t="inlineStr">
        <is>
          <t>0989-434-128</t>
        </is>
      </c>
      <c r="J73" s="955" t="inlineStr">
        <is>
          <t>max@thingnario.com</t>
        </is>
      </c>
      <c r="K73" s="954">
        <f>K69*4</f>
        <v/>
      </c>
    </row>
    <row r="74" ht="14.25" customFormat="1" customHeight="1" s="945">
      <c r="B74" s="946" t="inlineStr">
        <is>
          <t>慧景</t>
        </is>
      </c>
      <c r="C74" s="946" t="inlineStr">
        <is>
          <t>慧景網站監控</t>
        </is>
      </c>
      <c r="D74" s="948">
        <f>K74/20</f>
        <v/>
      </c>
      <c r="E74" s="948" t="inlineStr">
        <is>
          <t>99~249kW</t>
        </is>
      </c>
      <c r="F74" s="946" t="inlineStr">
        <is>
          <t>2022/3月</t>
        </is>
      </c>
      <c r="G74" s="2098" t="n"/>
      <c r="H74" s="947" t="inlineStr">
        <is>
          <t>詹前鋒</t>
        </is>
      </c>
      <c r="I74" s="944" t="inlineStr">
        <is>
          <t>0989-434-128</t>
        </is>
      </c>
      <c r="J74" s="947" t="inlineStr">
        <is>
          <t>max@thingnario.com</t>
        </is>
      </c>
      <c r="K74" s="948">
        <f>K70*4</f>
        <v/>
      </c>
    </row>
    <row r="75" customFormat="1" s="945">
      <c r="B75" s="946" t="inlineStr">
        <is>
          <t>慧景</t>
        </is>
      </c>
      <c r="C75" s="946" t="inlineStr">
        <is>
          <t>慧景網站監控</t>
        </is>
      </c>
      <c r="D75" s="948">
        <f>K75/20</f>
        <v/>
      </c>
      <c r="E75" s="948" t="inlineStr">
        <is>
          <t>249~499kW</t>
        </is>
      </c>
      <c r="F75" s="946" t="inlineStr">
        <is>
          <t>2022/3月</t>
        </is>
      </c>
      <c r="G75" s="2098" t="n"/>
      <c r="H75" s="947" t="inlineStr">
        <is>
          <t>詹前鋒</t>
        </is>
      </c>
      <c r="I75" s="944" t="inlineStr">
        <is>
          <t>0989-434-128</t>
        </is>
      </c>
      <c r="J75" s="947" t="inlineStr">
        <is>
          <t>max@thingnario.com</t>
        </is>
      </c>
      <c r="K75" s="948">
        <f>K71*4</f>
        <v/>
      </c>
    </row>
    <row r="76" ht="15" customFormat="1" customHeight="1" s="945" thickBot="1">
      <c r="B76" s="949" t="inlineStr">
        <is>
          <t>慧景</t>
        </is>
      </c>
      <c r="C76" s="949" t="inlineStr">
        <is>
          <t>慧景網站監控</t>
        </is>
      </c>
      <c r="D76" s="950">
        <f>K76/20</f>
        <v/>
      </c>
      <c r="E76" s="950" t="inlineStr">
        <is>
          <t>499~999kW</t>
        </is>
      </c>
      <c r="F76" s="950" t="inlineStr">
        <is>
          <t>2022/3月</t>
        </is>
      </c>
      <c r="G76" s="2117" t="n"/>
      <c r="H76" s="951" t="inlineStr">
        <is>
          <t>詹前鋒</t>
        </is>
      </c>
      <c r="I76" s="952" t="inlineStr">
        <is>
          <t>0989-434-128</t>
        </is>
      </c>
      <c r="J76" s="951" t="inlineStr">
        <is>
          <t>max@thingnario.com</t>
        </is>
      </c>
      <c r="K76" s="950">
        <f>K72*4</f>
        <v/>
      </c>
    </row>
    <row r="77" customFormat="1" s="945">
      <c r="B77" s="957" t="inlineStr">
        <is>
          <t>慧景</t>
        </is>
      </c>
      <c r="C77" s="957" t="inlineStr">
        <is>
          <t>慧景網站監控</t>
        </is>
      </c>
      <c r="D77" s="958">
        <f>K77/20</f>
        <v/>
      </c>
      <c r="E77" s="958" t="inlineStr">
        <is>
          <t>99kW以下</t>
        </is>
      </c>
      <c r="F77" s="946" t="inlineStr">
        <is>
          <t>2022/3月</t>
        </is>
      </c>
      <c r="G77" s="2118" t="inlineStr">
        <is>
          <t>二十年一個package，共20年
(無專人監控，提供一套系統平臺，供維運及管理電站)</t>
        </is>
      </c>
      <c r="H77" s="959" t="inlineStr">
        <is>
          <t>詹前鋒</t>
        </is>
      </c>
      <c r="I77" s="956" t="inlineStr">
        <is>
          <t>0989-434-128</t>
        </is>
      </c>
      <c r="J77" s="959" t="inlineStr">
        <is>
          <t>max@thingnario.com</t>
        </is>
      </c>
      <c r="K77" s="958">
        <f>K73*L77</f>
        <v/>
      </c>
      <c r="L77" s="960" t="n">
        <v>0.95</v>
      </c>
    </row>
    <row r="78" ht="14.25" customFormat="1" customHeight="1" s="945">
      <c r="B78" s="941" t="inlineStr">
        <is>
          <t>慧景</t>
        </is>
      </c>
      <c r="C78" s="941" t="inlineStr">
        <is>
          <t>慧景網站監控</t>
        </is>
      </c>
      <c r="D78" s="942">
        <f>K78/20</f>
        <v/>
      </c>
      <c r="E78" s="942" t="inlineStr">
        <is>
          <t>99~249kW</t>
        </is>
      </c>
      <c r="F78" s="946" t="inlineStr">
        <is>
          <t>2022/3月</t>
        </is>
      </c>
      <c r="G78" s="2098" t="n"/>
      <c r="H78" s="943" t="inlineStr">
        <is>
          <t>詹前鋒</t>
        </is>
      </c>
      <c r="I78" s="944" t="inlineStr">
        <is>
          <t>0989-434-128</t>
        </is>
      </c>
      <c r="J78" s="943" t="inlineStr">
        <is>
          <t>max@thingnario.com</t>
        </is>
      </c>
      <c r="K78" s="948">
        <f>K74*L77</f>
        <v/>
      </c>
      <c r="L78" s="960" t="n">
        <v>0.95</v>
      </c>
    </row>
    <row r="79" customFormat="1" s="945">
      <c r="B79" s="941" t="inlineStr">
        <is>
          <t>慧景</t>
        </is>
      </c>
      <c r="C79" s="941" t="inlineStr">
        <is>
          <t>慧景網站監控</t>
        </is>
      </c>
      <c r="D79" s="942">
        <f>K79/20</f>
        <v/>
      </c>
      <c r="E79" s="942" t="inlineStr">
        <is>
          <t>249~499kW</t>
        </is>
      </c>
      <c r="F79" s="946" t="inlineStr">
        <is>
          <t>2022/3月</t>
        </is>
      </c>
      <c r="G79" s="2098" t="n"/>
      <c r="H79" s="943" t="inlineStr">
        <is>
          <t>詹前鋒</t>
        </is>
      </c>
      <c r="I79" s="944" t="inlineStr">
        <is>
          <t>0989-434-128</t>
        </is>
      </c>
      <c r="J79" s="943" t="inlineStr">
        <is>
          <t>max@thingnario.com</t>
        </is>
      </c>
      <c r="K79" s="948">
        <f>K75*L77</f>
        <v/>
      </c>
      <c r="L79" s="960" t="n">
        <v>0.95</v>
      </c>
    </row>
    <row r="80" customFormat="1" s="945">
      <c r="B80" s="941" t="inlineStr">
        <is>
          <t>慧景</t>
        </is>
      </c>
      <c r="C80" s="941" t="inlineStr">
        <is>
          <t>慧景網站監控</t>
        </is>
      </c>
      <c r="D80" s="942">
        <f>K80/20</f>
        <v/>
      </c>
      <c r="E80" s="942" t="inlineStr">
        <is>
          <t>499~999kW</t>
        </is>
      </c>
      <c r="F80" s="946" t="inlineStr">
        <is>
          <t>2022/3月</t>
        </is>
      </c>
      <c r="G80" s="1684" t="n"/>
      <c r="H80" s="943" t="inlineStr">
        <is>
          <t>詹前鋒</t>
        </is>
      </c>
      <c r="I80" s="944" t="inlineStr">
        <is>
          <t>0989-434-128</t>
        </is>
      </c>
      <c r="J80" s="943" t="inlineStr">
        <is>
          <t>max@thingnario.com</t>
        </is>
      </c>
      <c r="K80" s="948">
        <f>K76*L77</f>
        <v/>
      </c>
      <c r="L80" s="960" t="n">
        <v>0.95</v>
      </c>
    </row>
    <row r="81">
      <c r="B81" s="207" t="n"/>
      <c r="C81" s="207" t="n"/>
      <c r="D81" s="334" t="n"/>
      <c r="E81" s="334" t="n"/>
      <c r="F81" s="207" t="n"/>
      <c r="G81" s="869" t="n"/>
      <c r="I81" s="868" t="n"/>
      <c r="K81" s="334" t="n"/>
    </row>
    <row r="82">
      <c r="B82" s="922" t="inlineStr">
        <is>
          <t>Dreams系統</t>
        </is>
      </c>
      <c r="C82" s="877" t="inlineStr">
        <is>
          <t>同一廠址總裝置容量500kW以上時，須裝設遙控監視設備並接受台電安全調度(110.08.05)</t>
        </is>
      </c>
    </row>
    <row r="83">
      <c r="B83" s="1509" t="inlineStr">
        <is>
          <t>廠商</t>
        </is>
      </c>
      <c r="C83" s="1509" t="inlineStr">
        <is>
          <t>規格</t>
        </is>
      </c>
      <c r="D83" s="1509" t="inlineStr">
        <is>
          <t>報價(台幣)</t>
        </is>
      </c>
      <c r="E83" s="1509" t="inlineStr">
        <is>
          <t>KW</t>
        </is>
      </c>
      <c r="F83" s="1509" t="inlineStr">
        <is>
          <t>報價時間</t>
        </is>
      </c>
      <c r="G83" s="1509" t="inlineStr">
        <is>
          <t>NOTE</t>
        </is>
      </c>
      <c r="H83" s="1509" t="inlineStr">
        <is>
          <t>聯絡人</t>
        </is>
      </c>
      <c r="I83" s="1509" t="inlineStr">
        <is>
          <t>聯絡方式</t>
        </is>
      </c>
      <c r="J83" s="1509" t="inlineStr">
        <is>
          <t>Email</t>
        </is>
      </c>
      <c r="K83" s="1523" t="inlineStr">
        <is>
          <t>報價(台幣/年)</t>
        </is>
      </c>
    </row>
    <row r="84">
      <c r="B84" s="1509" t="inlineStr">
        <is>
          <t>沅碁</t>
        </is>
      </c>
      <c r="C84" s="1509" t="inlineStr">
        <is>
          <t>沅碁網站監控</t>
        </is>
      </c>
      <c r="D84" s="845">
        <f>K84*20</f>
        <v/>
      </c>
      <c r="E84" s="845" t="inlineStr">
        <is>
          <t>-</t>
        </is>
      </c>
      <c r="F84" s="1509" t="inlineStr">
        <is>
          <t>2021/8月</t>
        </is>
      </c>
      <c r="G84" s="1517" t="inlineStr">
        <is>
          <t>5年一個package，年繳，無SIM卡，無KW級距，含logger，不含施工</t>
        </is>
      </c>
      <c r="H84" s="843" t="inlineStr">
        <is>
          <t>王振城</t>
        </is>
      </c>
      <c r="I84" s="867" t="inlineStr">
        <is>
          <t>0928-225-333</t>
        </is>
      </c>
      <c r="J84" s="843" t="inlineStr">
        <is>
          <t>max@sunedge.com.tw</t>
        </is>
      </c>
      <c r="K84" s="878" t="n">
        <v>1200</v>
      </c>
    </row>
    <row r="85">
      <c r="B85" s="1509" t="inlineStr">
        <is>
          <t>沅碁</t>
        </is>
      </c>
      <c r="C85" s="1509" t="inlineStr">
        <is>
          <t>沅碁網站監控</t>
        </is>
      </c>
      <c r="D85" s="845">
        <f>K85*20</f>
        <v/>
      </c>
      <c r="E85" s="845" t="inlineStr">
        <is>
          <t>-</t>
        </is>
      </c>
      <c r="F85" s="1509" t="inlineStr">
        <is>
          <t>2021/8月</t>
        </is>
      </c>
      <c r="G85" s="1517" t="inlineStr">
        <is>
          <t>20年一個package，年繳，無SIM卡，無KW級距，含logger，不含施工</t>
        </is>
      </c>
      <c r="H85" s="843" t="inlineStr">
        <is>
          <t>王振城</t>
        </is>
      </c>
      <c r="I85" s="867" t="inlineStr">
        <is>
          <t>0928-225-333</t>
        </is>
      </c>
      <c r="J85" s="843" t="inlineStr">
        <is>
          <t>max@sunedge.com.tw</t>
        </is>
      </c>
      <c r="K85" s="878" t="n">
        <v>1050</v>
      </c>
    </row>
    <row r="86">
      <c r="B86" s="1509" t="inlineStr">
        <is>
          <t>沅碁</t>
        </is>
      </c>
      <c r="C86" s="1509" t="inlineStr">
        <is>
          <t>沅碁網站監控</t>
        </is>
      </c>
      <c r="D86" s="845" t="n">
        <v>28000</v>
      </c>
      <c r="E86" s="845" t="inlineStr">
        <is>
          <t>500~1MW</t>
        </is>
      </c>
      <c r="F86" s="1509" t="inlineStr">
        <is>
          <t>2021/9月</t>
        </is>
      </c>
      <c r="G86" s="1517" t="inlineStr">
        <is>
          <t>5年</t>
        </is>
      </c>
      <c r="H86" s="843" t="inlineStr">
        <is>
          <t>王振城</t>
        </is>
      </c>
      <c r="I86" s="867" t="inlineStr">
        <is>
          <t>0928-225-333</t>
        </is>
      </c>
      <c r="J86" s="843" t="inlineStr">
        <is>
          <t>max@sunedge.com.tw</t>
        </is>
      </c>
      <c r="K86" s="334" t="n"/>
    </row>
    <row r="87">
      <c r="B87" s="1509" t="inlineStr">
        <is>
          <t>沅碁</t>
        </is>
      </c>
      <c r="C87" s="1509" t="inlineStr">
        <is>
          <t>沅碁網站監控</t>
        </is>
      </c>
      <c r="D87" s="845" t="n">
        <v>35000</v>
      </c>
      <c r="E87" s="845" t="inlineStr">
        <is>
          <t>500~1MW</t>
        </is>
      </c>
      <c r="F87" s="1509" t="inlineStr">
        <is>
          <t>2021/9月</t>
        </is>
      </c>
      <c r="G87" s="1517" t="inlineStr">
        <is>
          <t>5年+4G SIM卡</t>
        </is>
      </c>
      <c r="H87" s="843" t="inlineStr">
        <is>
          <t>王振城</t>
        </is>
      </c>
      <c r="I87" s="867" t="inlineStr">
        <is>
          <t>0928-225-333</t>
        </is>
      </c>
      <c r="J87" s="843" t="inlineStr">
        <is>
          <t>max@sunedge.com.tw</t>
        </is>
      </c>
      <c r="K87" s="334" t="n"/>
    </row>
    <row r="88">
      <c r="B88" s="1509" t="inlineStr">
        <is>
          <t>沅碁</t>
        </is>
      </c>
      <c r="C88" s="1509" t="inlineStr">
        <is>
          <t>沅碁網站監控</t>
        </is>
      </c>
      <c r="D88" s="845" t="n">
        <v>102000</v>
      </c>
      <c r="E88" s="845" t="inlineStr">
        <is>
          <t>500~1MW</t>
        </is>
      </c>
      <c r="F88" s="1509" t="inlineStr">
        <is>
          <t>2021/9月</t>
        </is>
      </c>
      <c r="G88" s="1517" t="inlineStr">
        <is>
          <t>20年</t>
        </is>
      </c>
      <c r="H88" s="843" t="inlineStr">
        <is>
          <t>王振城</t>
        </is>
      </c>
      <c r="I88" s="867" t="inlineStr">
        <is>
          <t>0928-225-333</t>
        </is>
      </c>
      <c r="J88" s="843" t="inlineStr">
        <is>
          <t>max@sunedge.com.tw</t>
        </is>
      </c>
      <c r="K88" s="334" t="n"/>
    </row>
    <row r="89">
      <c r="B89" s="1509" t="inlineStr">
        <is>
          <t>沅碁</t>
        </is>
      </c>
      <c r="C89" s="1509" t="inlineStr">
        <is>
          <t>沅碁網站監控</t>
        </is>
      </c>
      <c r="D89" s="845" t="n">
        <v>130000</v>
      </c>
      <c r="E89" s="845" t="inlineStr">
        <is>
          <t>500~1MW</t>
        </is>
      </c>
      <c r="F89" s="1509" t="inlineStr">
        <is>
          <t>2021/9月</t>
        </is>
      </c>
      <c r="G89" s="1517" t="inlineStr">
        <is>
          <t>20年+4G SIM卡</t>
        </is>
      </c>
      <c r="H89" s="843" t="inlineStr">
        <is>
          <t>王振城</t>
        </is>
      </c>
      <c r="I89" s="867" t="inlineStr">
        <is>
          <t>0928-225-333</t>
        </is>
      </c>
      <c r="J89" s="843" t="inlineStr">
        <is>
          <t>max@sunedge.com.tw</t>
        </is>
      </c>
      <c r="K89" s="334" t="n"/>
    </row>
    <row r="90">
      <c r="B90" s="1509" t="inlineStr">
        <is>
          <t>沅碁</t>
        </is>
      </c>
      <c r="C90" s="1509" t="inlineStr">
        <is>
          <t>沅碁網站監控</t>
        </is>
      </c>
      <c r="D90" s="845" t="n">
        <v>68000</v>
      </c>
      <c r="E90" s="845" t="inlineStr">
        <is>
          <t>1MW以上</t>
        </is>
      </c>
      <c r="F90" s="1509" t="inlineStr">
        <is>
          <t>2021/9月</t>
        </is>
      </c>
      <c r="G90" s="1517" t="inlineStr">
        <is>
          <t>5年</t>
        </is>
      </c>
      <c r="H90" s="843" t="inlineStr">
        <is>
          <t>王振城</t>
        </is>
      </c>
      <c r="I90" s="867" t="inlineStr">
        <is>
          <t>0928-225-333</t>
        </is>
      </c>
      <c r="J90" s="843" t="inlineStr">
        <is>
          <t>max@sunedge.com.tw</t>
        </is>
      </c>
      <c r="K90" s="334" t="n"/>
    </row>
    <row r="91">
      <c r="B91" s="1509" t="inlineStr">
        <is>
          <t>沅碁</t>
        </is>
      </c>
      <c r="C91" s="1509" t="inlineStr">
        <is>
          <t>沅碁網站監控</t>
        </is>
      </c>
      <c r="D91" s="845" t="n">
        <v>75000</v>
      </c>
      <c r="E91" s="845" t="inlineStr">
        <is>
          <t>1MW以上</t>
        </is>
      </c>
      <c r="F91" s="1509" t="inlineStr">
        <is>
          <t>2021/9月</t>
        </is>
      </c>
      <c r="G91" s="1517" t="inlineStr">
        <is>
          <t>5年+4G SIM卡</t>
        </is>
      </c>
      <c r="H91" s="843" t="inlineStr">
        <is>
          <t>王振城</t>
        </is>
      </c>
      <c r="I91" s="867" t="inlineStr">
        <is>
          <t>0928-225-333</t>
        </is>
      </c>
      <c r="J91" s="843" t="inlineStr">
        <is>
          <t>max@sunedge.com.tw</t>
        </is>
      </c>
      <c r="K91" s="334" t="n"/>
    </row>
    <row r="92">
      <c r="B92" s="1509" t="inlineStr">
        <is>
          <t>沅碁</t>
        </is>
      </c>
      <c r="C92" s="1509" t="inlineStr">
        <is>
          <t>沅碁網站監控</t>
        </is>
      </c>
      <c r="D92" s="845" t="n">
        <v>222000</v>
      </c>
      <c r="E92" s="845" t="inlineStr">
        <is>
          <t>1MW以上</t>
        </is>
      </c>
      <c r="F92" s="1509" t="inlineStr">
        <is>
          <t>2021/9月</t>
        </is>
      </c>
      <c r="G92" s="1517" t="inlineStr">
        <is>
          <t>20年</t>
        </is>
      </c>
      <c r="H92" s="843" t="inlineStr">
        <is>
          <t>王振城</t>
        </is>
      </c>
      <c r="I92" s="867" t="inlineStr">
        <is>
          <t>0928-225-333</t>
        </is>
      </c>
      <c r="J92" s="843" t="inlineStr">
        <is>
          <t>max@sunedge.com.tw</t>
        </is>
      </c>
      <c r="K92" s="334" t="n"/>
    </row>
    <row r="93">
      <c r="B93" s="1509" t="inlineStr">
        <is>
          <t>沅碁</t>
        </is>
      </c>
      <c r="C93" s="1509" t="inlineStr">
        <is>
          <t>沅碁網站監控</t>
        </is>
      </c>
      <c r="D93" s="845" t="n">
        <v>250000</v>
      </c>
      <c r="E93" s="845" t="inlineStr">
        <is>
          <t>1MW以上</t>
        </is>
      </c>
      <c r="F93" s="1509" t="inlineStr">
        <is>
          <t>2021/9月</t>
        </is>
      </c>
      <c r="G93" s="1517" t="inlineStr">
        <is>
          <t>20年+4G SIM卡</t>
        </is>
      </c>
      <c r="H93" s="843" t="inlineStr">
        <is>
          <t>王振城</t>
        </is>
      </c>
      <c r="I93" s="867" t="inlineStr">
        <is>
          <t>0928-225-333</t>
        </is>
      </c>
      <c r="J93" s="843" t="inlineStr">
        <is>
          <t>max@sunedge.com.tw</t>
        </is>
      </c>
      <c r="K93" s="334" t="n"/>
    </row>
    <row r="94">
      <c r="B94" s="207" t="n"/>
      <c r="C94" s="207" t="n"/>
      <c r="D94" s="334" t="n"/>
      <c r="E94" s="334" t="n"/>
      <c r="F94" s="207" t="n"/>
      <c r="G94" s="1493" t="n"/>
      <c r="I94" s="868" t="n"/>
      <c r="K94" s="334" t="n"/>
    </row>
    <row r="95">
      <c r="B95" s="1509" t="inlineStr">
        <is>
          <t>廠商</t>
        </is>
      </c>
      <c r="C95" s="1509" t="inlineStr">
        <is>
          <t>規格</t>
        </is>
      </c>
      <c r="D95" s="1509" t="inlineStr">
        <is>
          <t>報價(台幣)</t>
        </is>
      </c>
      <c r="E95" s="1509" t="inlineStr">
        <is>
          <t>KW</t>
        </is>
      </c>
      <c r="F95" s="1509" t="inlineStr">
        <is>
          <t>報價時間</t>
        </is>
      </c>
      <c r="G95" s="1509" t="inlineStr">
        <is>
          <t>NOTE</t>
        </is>
      </c>
      <c r="H95" s="1509" t="inlineStr">
        <is>
          <t>聯絡人</t>
        </is>
      </c>
      <c r="I95" s="1509" t="inlineStr">
        <is>
          <t>聯絡方式</t>
        </is>
      </c>
      <c r="J95" s="1509" t="inlineStr">
        <is>
          <t>Email</t>
        </is>
      </c>
      <c r="K95" s="1509" t="inlineStr">
        <is>
          <t>報價(台幣/年)</t>
        </is>
      </c>
    </row>
    <row r="96">
      <c r="B96" s="1523" t="inlineStr">
        <is>
          <t>三惟</t>
        </is>
      </c>
      <c r="C96" s="1523" t="inlineStr">
        <is>
          <t>三惟網站監控</t>
        </is>
      </c>
      <c r="D96" s="845">
        <f>K96*20</f>
        <v/>
      </c>
      <c r="E96" s="845" t="inlineStr">
        <is>
          <t>-</t>
        </is>
      </c>
      <c r="F96" s="1509" t="inlineStr">
        <is>
          <t>2021/8月</t>
        </is>
      </c>
      <c r="G96" s="1517" t="inlineStr">
        <is>
          <t>20年，年繳，無SIM卡，無KW級距</t>
        </is>
      </c>
      <c r="H96" s="843" t="inlineStr">
        <is>
          <t>詹前鋒</t>
        </is>
      </c>
      <c r="I96" s="867" t="inlineStr">
        <is>
          <t>0937-099-803</t>
        </is>
      </c>
      <c r="J96" s="843" t="inlineStr">
        <is>
          <t>max@thingnario.com</t>
        </is>
      </c>
      <c r="K96" s="845" t="n">
        <v>3000</v>
      </c>
    </row>
    <row r="97" ht="28.5" customHeight="1" s="1643">
      <c r="B97" s="1523" t="inlineStr">
        <is>
          <t>三惟</t>
        </is>
      </c>
      <c r="C97" s="336" t="inlineStr">
        <is>
          <t>台電Dreams系統
上線設定</t>
        </is>
      </c>
      <c r="D97" s="845" t="n">
        <v>55000</v>
      </c>
      <c r="E97" s="845" t="inlineStr">
        <is>
          <t>1式</t>
        </is>
      </c>
      <c r="F97" s="1509" t="inlineStr">
        <is>
          <t>2021/8月</t>
        </is>
      </c>
      <c r="G97" s="876" t="inlineStr">
        <is>
          <t>含雲端Gateway+電源供應器(保固一年，延保5年一次 $10,000 未稅)，
台電Dreams申請跑件、雲端上線，Dreams VPN訊號測試</t>
        </is>
      </c>
      <c r="H97" s="843" t="inlineStr">
        <is>
          <t>詹前鋒</t>
        </is>
      </c>
      <c r="I97" s="867" t="inlineStr">
        <is>
          <t>0937-099-803</t>
        </is>
      </c>
      <c r="J97" s="843" t="inlineStr">
        <is>
          <t>max@thingnario.com</t>
        </is>
      </c>
      <c r="K97" s="845" t="n">
        <v>3000</v>
      </c>
    </row>
    <row r="98">
      <c r="B98" s="207" t="n"/>
      <c r="C98" s="207" t="n"/>
      <c r="D98" s="334" t="n"/>
      <c r="E98" s="334" t="n"/>
      <c r="F98" s="207" t="n"/>
      <c r="G98" s="1493" t="n"/>
      <c r="I98" s="868" t="n"/>
    </row>
    <row r="99" hidden="1" s="1643">
      <c r="B99" s="1509" t="inlineStr">
        <is>
          <t>廠商</t>
        </is>
      </c>
      <c r="C99" s="1509" t="inlineStr">
        <is>
          <t>規格</t>
        </is>
      </c>
      <c r="D99" s="1509" t="inlineStr">
        <is>
          <t>報價(台幣)</t>
        </is>
      </c>
      <c r="E99" s="1509" t="inlineStr">
        <is>
          <t>KW</t>
        </is>
      </c>
      <c r="F99" s="1509" t="inlineStr">
        <is>
          <t>報價時間</t>
        </is>
      </c>
      <c r="G99" s="1509" t="inlineStr">
        <is>
          <t>NOTE</t>
        </is>
      </c>
      <c r="H99" s="1509" t="inlineStr">
        <is>
          <t>聯絡人</t>
        </is>
      </c>
      <c r="I99" s="1509" t="inlineStr">
        <is>
          <t>聯絡方式</t>
        </is>
      </c>
      <c r="J99" s="1509" t="inlineStr">
        <is>
          <t>Email</t>
        </is>
      </c>
      <c r="K99" s="207" t="inlineStr">
        <is>
          <t>備註</t>
        </is>
      </c>
    </row>
    <row r="100" hidden="1" s="1643">
      <c r="B100" s="1509" t="inlineStr">
        <is>
          <t>慧景</t>
        </is>
      </c>
      <c r="C100" s="1509" t="inlineStr">
        <is>
          <t>慧景網站監控</t>
        </is>
      </c>
      <c r="D100" s="845" t="n">
        <v>35000</v>
      </c>
      <c r="E100" s="845" t="inlineStr">
        <is>
          <t>500~1MW</t>
        </is>
      </c>
      <c r="F100" s="1509" t="inlineStr">
        <is>
          <t>2021/8月</t>
        </is>
      </c>
      <c r="G100" s="1517" t="inlineStr">
        <is>
          <t>5年</t>
        </is>
      </c>
      <c r="H100" s="843" t="inlineStr">
        <is>
          <t>詹前鋒</t>
        </is>
      </c>
      <c r="I100" s="867" t="inlineStr">
        <is>
          <t>0937-099-803</t>
        </is>
      </c>
      <c r="J100" s="843" t="inlineStr">
        <is>
          <t>max@thingnario.com</t>
        </is>
      </c>
      <c r="K100" s="875" t="inlineStr">
        <is>
          <t>1.SIM卡 $6000(5年)=$1200(1年)=$100(1個月)</t>
        </is>
      </c>
    </row>
    <row r="101" hidden="1" s="1643">
      <c r="B101" s="1509" t="inlineStr">
        <is>
          <t>慧景</t>
        </is>
      </c>
      <c r="C101" s="1509" t="inlineStr">
        <is>
          <t>慧景網站監控</t>
        </is>
      </c>
      <c r="D101" s="845" t="n">
        <v>41000</v>
      </c>
      <c r="E101" s="845" t="inlineStr">
        <is>
          <t>500~1MW</t>
        </is>
      </c>
      <c r="F101" s="1509" t="inlineStr">
        <is>
          <t>2021/8月</t>
        </is>
      </c>
      <c r="G101" s="1517" t="inlineStr">
        <is>
          <t>5年+SIM卡</t>
        </is>
      </c>
      <c r="H101" s="843" t="inlineStr">
        <is>
          <t>詹前鋒</t>
        </is>
      </c>
      <c r="I101" s="867" t="inlineStr">
        <is>
          <t>0937-099-803</t>
        </is>
      </c>
      <c r="J101" s="843" t="inlineStr">
        <is>
          <t>max@thingnario.com</t>
        </is>
      </c>
      <c r="K101" s="1493" t="inlineStr">
        <is>
          <t>2.報價內含了logger (軟硬體皆含)</t>
        </is>
      </c>
    </row>
    <row r="102" hidden="1" s="1643">
      <c r="B102" s="1523" t="inlineStr">
        <is>
          <t>慧景</t>
        </is>
      </c>
      <c r="C102" s="1523" t="inlineStr">
        <is>
          <t>慧景網站監控</t>
        </is>
      </c>
      <c r="D102" s="232" t="n">
        <v>200000</v>
      </c>
      <c r="E102" s="232" t="inlineStr">
        <is>
          <t>500~1MW</t>
        </is>
      </c>
      <c r="F102" s="1523" t="inlineStr">
        <is>
          <t>2021/8月</t>
        </is>
      </c>
      <c r="G102" s="209" t="inlineStr">
        <is>
          <t>20年</t>
        </is>
      </c>
      <c r="H102" s="205" t="inlineStr">
        <is>
          <t>詹前鋒</t>
        </is>
      </c>
      <c r="I102" s="312" t="inlineStr">
        <is>
          <t>0937-099-803</t>
        </is>
      </c>
      <c r="J102" s="205" t="inlineStr">
        <is>
          <t>max@thingnario.com</t>
        </is>
      </c>
      <c r="K102" s="879" t="inlineStr">
        <is>
          <t>3.買監控20年一次付清送Dreams</t>
        </is>
      </c>
    </row>
    <row r="103" hidden="1" s="1643">
      <c r="B103" s="1523" t="inlineStr">
        <is>
          <t>慧景</t>
        </is>
      </c>
      <c r="C103" s="1523" t="inlineStr">
        <is>
          <t>慧景網站監控</t>
        </is>
      </c>
      <c r="D103" s="232" t="n">
        <v>224000</v>
      </c>
      <c r="E103" s="232" t="inlineStr">
        <is>
          <t>500~1MW</t>
        </is>
      </c>
      <c r="F103" s="1523" t="inlineStr">
        <is>
          <t>2021/8月</t>
        </is>
      </c>
      <c r="G103" s="209" t="inlineStr">
        <is>
          <t>20年+SIM卡</t>
        </is>
      </c>
      <c r="H103" s="205" t="inlineStr">
        <is>
          <t>詹前鋒</t>
        </is>
      </c>
      <c r="I103" s="312" t="inlineStr">
        <is>
          <t>0937-099-803</t>
        </is>
      </c>
      <c r="J103" s="205" t="inlineStr">
        <is>
          <t>max@thingnario.com</t>
        </is>
      </c>
      <c r="K103" s="1493" t="inlineStr">
        <is>
          <t>4.不含環控設備(日照計、溫度計)</t>
        </is>
      </c>
    </row>
    <row r="104" hidden="1" s="1643">
      <c r="B104" s="1523" t="inlineStr">
        <is>
          <t>慧景</t>
        </is>
      </c>
      <c r="C104" s="1523" t="inlineStr">
        <is>
          <t>慧景網站監控</t>
        </is>
      </c>
      <c r="D104" s="232" t="n">
        <v>72000</v>
      </c>
      <c r="E104" s="232" t="inlineStr">
        <is>
          <t>1~2MW</t>
        </is>
      </c>
      <c r="F104" s="1523" t="inlineStr">
        <is>
          <t>2021/8月</t>
        </is>
      </c>
      <c r="G104" s="209" t="inlineStr">
        <is>
          <t>5年+SIM卡</t>
        </is>
      </c>
      <c r="H104" s="205" t="inlineStr">
        <is>
          <t>詹前鋒</t>
        </is>
      </c>
      <c r="I104" s="312" t="inlineStr">
        <is>
          <t>0937-099-803</t>
        </is>
      </c>
      <c r="J104" s="205" t="inlineStr">
        <is>
          <t>max@thingnario.com</t>
        </is>
      </c>
      <c r="K104" s="1493" t="inlineStr">
        <is>
          <t>5.硬體設備保固同軟體年限(雷擊不保固)</t>
        </is>
      </c>
    </row>
    <row r="105" hidden="1" s="1643">
      <c r="B105" s="1523" t="inlineStr">
        <is>
          <t>慧景</t>
        </is>
      </c>
      <c r="C105" s="1523" t="inlineStr">
        <is>
          <t>慧景網站監控</t>
        </is>
      </c>
      <c r="D105" s="232" t="n">
        <v>288000</v>
      </c>
      <c r="E105" s="232" t="inlineStr">
        <is>
          <t>1~2MW</t>
        </is>
      </c>
      <c r="F105" s="1523" t="inlineStr">
        <is>
          <t>2021/8月</t>
        </is>
      </c>
      <c r="G105" s="209" t="inlineStr">
        <is>
          <t>20年+SIM卡</t>
        </is>
      </c>
      <c r="H105" s="205" t="inlineStr">
        <is>
          <t>詹前鋒</t>
        </is>
      </c>
      <c r="I105" s="312" t="inlineStr">
        <is>
          <t>0937-099-803</t>
        </is>
      </c>
      <c r="J105" s="205" t="inlineStr">
        <is>
          <t>max@thingnario.com</t>
        </is>
      </c>
    </row>
    <row r="106" hidden="1" s="1643">
      <c r="B106" s="207" t="n"/>
      <c r="C106" s="207" t="n"/>
      <c r="D106" s="334" t="n"/>
      <c r="E106" s="334" t="n"/>
      <c r="F106" s="207" t="n"/>
      <c r="G106" s="1493" t="n"/>
      <c r="I106" s="868" t="n"/>
    </row>
    <row r="107">
      <c r="B107" s="922" t="inlineStr">
        <is>
          <t>雲端系統+Dreams系統</t>
        </is>
      </c>
      <c r="C107" s="922" t="n"/>
      <c r="F107" s="302" t="n"/>
    </row>
    <row r="108">
      <c r="B108" s="1509" t="inlineStr">
        <is>
          <t>廠商</t>
        </is>
      </c>
      <c r="C108" s="1509" t="inlineStr">
        <is>
          <t>規格</t>
        </is>
      </c>
      <c r="D108" s="1509" t="inlineStr">
        <is>
          <t>報價(台幣)</t>
        </is>
      </c>
      <c r="E108" s="1509" t="inlineStr">
        <is>
          <t>KW</t>
        </is>
      </c>
      <c r="F108" s="1509" t="inlineStr">
        <is>
          <t>報價時間</t>
        </is>
      </c>
      <c r="G108" s="1509" t="inlineStr">
        <is>
          <t>NOTE</t>
        </is>
      </c>
      <c r="H108" s="1509" t="inlineStr">
        <is>
          <t>聯絡人</t>
        </is>
      </c>
      <c r="I108" s="1509" t="inlineStr">
        <is>
          <t>聯絡方式</t>
        </is>
      </c>
      <c r="J108" s="1509" t="inlineStr">
        <is>
          <t>Email</t>
        </is>
      </c>
      <c r="K108" s="207" t="n"/>
    </row>
    <row r="109" hidden="1" customFormat="1" s="884">
      <c r="B109" s="885" t="inlineStr">
        <is>
          <t>沅碁</t>
        </is>
      </c>
      <c r="C109" s="885" t="inlineStr">
        <is>
          <t>沅碁網站監控</t>
        </is>
      </c>
      <c r="D109" s="886" t="n"/>
      <c r="E109" s="886" t="inlineStr">
        <is>
          <t>500~1MW</t>
        </is>
      </c>
      <c r="F109" s="885" t="inlineStr">
        <is>
          <t>2021/9月</t>
        </is>
      </c>
      <c r="G109" s="1521" t="inlineStr">
        <is>
          <t>5年</t>
        </is>
      </c>
      <c r="H109" s="887" t="inlineStr">
        <is>
          <t>王振城</t>
        </is>
      </c>
      <c r="I109" s="888" t="inlineStr">
        <is>
          <t>0928-225-333</t>
        </is>
      </c>
      <c r="J109" s="887" t="inlineStr">
        <is>
          <t>max@sunedge.com.tw</t>
        </is>
      </c>
      <c r="K109" s="891" t="n"/>
    </row>
    <row r="110">
      <c r="B110" s="1509" t="inlineStr">
        <is>
          <t>沅碁</t>
        </is>
      </c>
      <c r="C110" s="1509" t="inlineStr">
        <is>
          <t>沅碁網站監控</t>
        </is>
      </c>
      <c r="D110" s="845" t="n">
        <v>92000</v>
      </c>
      <c r="E110" s="845" t="inlineStr">
        <is>
          <t>500~1MW</t>
        </is>
      </c>
      <c r="F110" s="1509" t="inlineStr">
        <is>
          <t>2021/9月</t>
        </is>
      </c>
      <c r="G110" s="1517" t="inlineStr">
        <is>
          <t>5年+4G SIM卡</t>
        </is>
      </c>
      <c r="H110" s="843" t="inlineStr">
        <is>
          <t>王振城</t>
        </is>
      </c>
      <c r="I110" s="867" t="inlineStr">
        <is>
          <t>0928-225-333</t>
        </is>
      </c>
      <c r="J110" s="843" t="inlineStr">
        <is>
          <t>max@sunedge.com.tw</t>
        </is>
      </c>
      <c r="K110" s="334" t="n"/>
    </row>
    <row r="111" hidden="1" s="1643">
      <c r="B111" s="1509" t="inlineStr">
        <is>
          <t>沅碁</t>
        </is>
      </c>
      <c r="C111" s="1509" t="inlineStr">
        <is>
          <t>沅碁網站監控</t>
        </is>
      </c>
      <c r="D111" s="845" t="n"/>
      <c r="E111" s="845" t="inlineStr">
        <is>
          <t>500~1MW</t>
        </is>
      </c>
      <c r="F111" s="1509" t="inlineStr">
        <is>
          <t>2021/9月</t>
        </is>
      </c>
      <c r="G111" s="1517" t="inlineStr">
        <is>
          <t>20年</t>
        </is>
      </c>
      <c r="H111" s="843" t="inlineStr">
        <is>
          <t>王振城</t>
        </is>
      </c>
      <c r="I111" s="867" t="inlineStr">
        <is>
          <t>0928-225-333</t>
        </is>
      </c>
      <c r="J111" s="843" t="inlineStr">
        <is>
          <t>max@sunedge.com.tw</t>
        </is>
      </c>
      <c r="K111" s="334" t="n"/>
    </row>
    <row r="112">
      <c r="B112" s="1509" t="inlineStr">
        <is>
          <t>沅碁</t>
        </is>
      </c>
      <c r="C112" s="1509" t="inlineStr">
        <is>
          <t>沅碁網站監控</t>
        </is>
      </c>
      <c r="D112" s="845" t="n">
        <v>308800</v>
      </c>
      <c r="E112" s="845" t="inlineStr">
        <is>
          <t>500~1MW</t>
        </is>
      </c>
      <c r="F112" s="1509" t="inlineStr">
        <is>
          <t>2021/9月</t>
        </is>
      </c>
      <c r="G112" s="1517" t="inlineStr">
        <is>
          <t>20年+4G SIM卡</t>
        </is>
      </c>
      <c r="H112" s="843" t="inlineStr">
        <is>
          <t>王振城</t>
        </is>
      </c>
      <c r="I112" s="867" t="inlineStr">
        <is>
          <t>0928-225-333</t>
        </is>
      </c>
      <c r="J112" s="843" t="inlineStr">
        <is>
          <t>max@sunedge.com.tw</t>
        </is>
      </c>
      <c r="K112" s="334" t="n"/>
    </row>
    <row r="113" hidden="1" s="1643">
      <c r="B113" s="1509" t="inlineStr">
        <is>
          <t>沅碁</t>
        </is>
      </c>
      <c r="C113" s="1509" t="inlineStr">
        <is>
          <t>沅碁網站監控</t>
        </is>
      </c>
      <c r="D113" s="845" t="n"/>
      <c r="E113" s="845" t="inlineStr">
        <is>
          <t>1~2MW</t>
        </is>
      </c>
      <c r="F113" s="1509" t="inlineStr">
        <is>
          <t>2021/9月</t>
        </is>
      </c>
      <c r="G113" s="1517" t="inlineStr">
        <is>
          <t>5年</t>
        </is>
      </c>
      <c r="H113" s="843" t="inlineStr">
        <is>
          <t>王振城</t>
        </is>
      </c>
      <c r="I113" s="867" t="inlineStr">
        <is>
          <t>0928-225-333</t>
        </is>
      </c>
      <c r="J113" s="843" t="inlineStr">
        <is>
          <t>max@sunedge.com.tw</t>
        </is>
      </c>
      <c r="K113" s="334" t="n"/>
    </row>
    <row r="114">
      <c r="B114" s="1509" t="inlineStr">
        <is>
          <t>沅碁</t>
        </is>
      </c>
      <c r="C114" s="1509" t="inlineStr">
        <is>
          <t>沅碁網站監控</t>
        </is>
      </c>
      <c r="D114" s="845" t="n">
        <v>180000</v>
      </c>
      <c r="E114" s="845" t="inlineStr">
        <is>
          <t>1~2MW</t>
        </is>
      </c>
      <c r="F114" s="1509" t="inlineStr">
        <is>
          <t>2021/9月</t>
        </is>
      </c>
      <c r="G114" s="1517" t="inlineStr">
        <is>
          <t>5年+4G SIM卡</t>
        </is>
      </c>
      <c r="H114" s="843" t="inlineStr">
        <is>
          <t>王振城</t>
        </is>
      </c>
      <c r="I114" s="867" t="inlineStr">
        <is>
          <t>0928-225-333</t>
        </is>
      </c>
      <c r="J114" s="843" t="inlineStr">
        <is>
          <t>max@sunedge.com.tw</t>
        </is>
      </c>
      <c r="K114" s="334" t="n"/>
    </row>
    <row r="115" hidden="1" s="1643">
      <c r="B115" s="1509" t="inlineStr">
        <is>
          <t>沅碁</t>
        </is>
      </c>
      <c r="C115" s="1509" t="inlineStr">
        <is>
          <t>沅碁網站監控</t>
        </is>
      </c>
      <c r="D115" s="845" t="n"/>
      <c r="E115" s="845" t="inlineStr">
        <is>
          <t>1~2MW</t>
        </is>
      </c>
      <c r="F115" s="1509" t="inlineStr">
        <is>
          <t>2021/9月</t>
        </is>
      </c>
      <c r="G115" s="1517" t="inlineStr">
        <is>
          <t>20年</t>
        </is>
      </c>
      <c r="H115" s="843" t="inlineStr">
        <is>
          <t>王振城</t>
        </is>
      </c>
      <c r="I115" s="867" t="inlineStr">
        <is>
          <t>0928-225-333</t>
        </is>
      </c>
      <c r="J115" s="843" t="inlineStr">
        <is>
          <t>max@sunedge.com.tw</t>
        </is>
      </c>
      <c r="K115" s="334" t="n"/>
    </row>
    <row r="116">
      <c r="B116" s="1509" t="inlineStr">
        <is>
          <t>沅碁</t>
        </is>
      </c>
      <c r="C116" s="1509" t="inlineStr">
        <is>
          <t>沅碁網站監控</t>
        </is>
      </c>
      <c r="D116" s="845" t="n">
        <v>584000</v>
      </c>
      <c r="E116" s="845" t="inlineStr">
        <is>
          <t>1~2MW</t>
        </is>
      </c>
      <c r="F116" s="1509" t="inlineStr">
        <is>
          <t>2021/9月</t>
        </is>
      </c>
      <c r="G116" s="1517" t="inlineStr">
        <is>
          <t>20年+4G SIM卡</t>
        </is>
      </c>
      <c r="H116" s="843" t="inlineStr">
        <is>
          <t>王振城</t>
        </is>
      </c>
      <c r="I116" s="867" t="inlineStr">
        <is>
          <t>0928-225-333</t>
        </is>
      </c>
      <c r="J116" s="843" t="inlineStr">
        <is>
          <t>max@sunedge.com.tw</t>
        </is>
      </c>
      <c r="K116" s="334" t="n"/>
    </row>
    <row r="118">
      <c r="B118" s="1509" t="inlineStr">
        <is>
          <t>廠商</t>
        </is>
      </c>
      <c r="C118" s="1509" t="inlineStr">
        <is>
          <t>規格</t>
        </is>
      </c>
      <c r="D118" s="1509" t="inlineStr">
        <is>
          <t>報價(台幣)</t>
        </is>
      </c>
      <c r="E118" s="1509" t="inlineStr">
        <is>
          <t>KW</t>
        </is>
      </c>
      <c r="F118" s="1509" t="inlineStr">
        <is>
          <t>報價時間</t>
        </is>
      </c>
      <c r="G118" s="1509" t="inlineStr">
        <is>
          <t>NOTE</t>
        </is>
      </c>
      <c r="H118" s="1509" t="inlineStr">
        <is>
          <t>聯絡人</t>
        </is>
      </c>
      <c r="I118" s="1509" t="inlineStr">
        <is>
          <t>聯絡方式</t>
        </is>
      </c>
      <c r="J118" s="1509" t="inlineStr">
        <is>
          <t>Email</t>
        </is>
      </c>
      <c r="K118" s="1509" t="inlineStr">
        <is>
          <t>報價(台幣)</t>
        </is>
      </c>
    </row>
    <row r="119">
      <c r="B119" s="1523" t="inlineStr">
        <is>
          <t>慧景</t>
        </is>
      </c>
      <c r="C119" s="1523" t="inlineStr">
        <is>
          <t>慧景網站監控</t>
        </is>
      </c>
      <c r="D119" s="232" t="n">
        <v>200000</v>
      </c>
      <c r="E119" s="232" t="inlineStr">
        <is>
          <t>500~1MW</t>
        </is>
      </c>
      <c r="F119" s="1523" t="inlineStr">
        <is>
          <t>2021/8月</t>
        </is>
      </c>
      <c r="G119" s="209" t="inlineStr">
        <is>
          <t>20年</t>
        </is>
      </c>
      <c r="H119" s="205" t="inlineStr">
        <is>
          <t>詹前鋒</t>
        </is>
      </c>
      <c r="I119" s="312" t="inlineStr">
        <is>
          <t>0937-099-803</t>
        </is>
      </c>
      <c r="J119" s="205" t="inlineStr">
        <is>
          <t>max@thingnario.com</t>
        </is>
      </c>
      <c r="K119" s="879" t="n"/>
    </row>
    <row r="120">
      <c r="B120" s="1523" t="inlineStr">
        <is>
          <t>慧景</t>
        </is>
      </c>
      <c r="C120" s="1523" t="inlineStr">
        <is>
          <t>慧景網站監控</t>
        </is>
      </c>
      <c r="D120" s="232" t="n">
        <v>224000</v>
      </c>
      <c r="E120" s="232" t="inlineStr">
        <is>
          <t>500~1MW</t>
        </is>
      </c>
      <c r="F120" s="1523" t="inlineStr">
        <is>
          <t>2021/8月</t>
        </is>
      </c>
      <c r="G120" s="209" t="inlineStr">
        <is>
          <t>20年+SIM卡</t>
        </is>
      </c>
      <c r="H120" s="205" t="inlineStr">
        <is>
          <t>詹前鋒</t>
        </is>
      </c>
      <c r="I120" s="312" t="inlineStr">
        <is>
          <t>0937-099-803</t>
        </is>
      </c>
      <c r="J120" s="205" t="inlineStr">
        <is>
          <t>max@thingnario.com</t>
        </is>
      </c>
      <c r="K120" s="1493" t="n"/>
    </row>
    <row r="121">
      <c r="B121" s="1523" t="inlineStr">
        <is>
          <t>慧景</t>
        </is>
      </c>
      <c r="C121" s="1523" t="inlineStr">
        <is>
          <t>慧景網站監控</t>
        </is>
      </c>
      <c r="D121" s="232">
        <f>288000-24000</f>
        <v/>
      </c>
      <c r="E121" s="232" t="inlineStr">
        <is>
          <t>1~2MW</t>
        </is>
      </c>
      <c r="F121" s="1523" t="inlineStr">
        <is>
          <t>2021/8月</t>
        </is>
      </c>
      <c r="G121" s="209" t="inlineStr">
        <is>
          <t>20年</t>
        </is>
      </c>
      <c r="H121" s="205" t="inlineStr">
        <is>
          <t>詹前鋒</t>
        </is>
      </c>
      <c r="I121" s="312" t="inlineStr">
        <is>
          <t>0937-099-803</t>
        </is>
      </c>
      <c r="J121" s="205" t="inlineStr">
        <is>
          <t>max@thingnario.com</t>
        </is>
      </c>
    </row>
    <row r="122">
      <c r="B122" s="1523" t="inlineStr">
        <is>
          <t>慧景</t>
        </is>
      </c>
      <c r="C122" s="1523" t="inlineStr">
        <is>
          <t>慧景網站監控</t>
        </is>
      </c>
      <c r="D122" s="232" t="n">
        <v>288000</v>
      </c>
      <c r="E122" s="232" t="inlineStr">
        <is>
          <t>1~2MW</t>
        </is>
      </c>
      <c r="F122" s="1523" t="inlineStr">
        <is>
          <t>2021/8月</t>
        </is>
      </c>
      <c r="G122" s="209" t="inlineStr">
        <is>
          <t>20年+SIM卡</t>
        </is>
      </c>
      <c r="H122" s="205" t="inlineStr">
        <is>
          <t>詹前鋒</t>
        </is>
      </c>
      <c r="I122" s="312" t="inlineStr">
        <is>
          <t>0937-099-803</t>
        </is>
      </c>
      <c r="J122" s="205" t="inlineStr">
        <is>
          <t>max@thingnario.com</t>
        </is>
      </c>
    </row>
    <row r="123" customFormat="1" s="945">
      <c r="B123" s="946" t="inlineStr">
        <is>
          <t>慧景</t>
        </is>
      </c>
      <c r="C123" s="946" t="inlineStr">
        <is>
          <t>慧景網站監控</t>
        </is>
      </c>
      <c r="D123" s="948">
        <f>D80</f>
        <v/>
      </c>
      <c r="E123" s="948" t="inlineStr">
        <is>
          <t>499~999kW</t>
        </is>
      </c>
      <c r="F123" s="946" t="inlineStr">
        <is>
          <t>2022/3月</t>
        </is>
      </c>
      <c r="G123" s="961" t="inlineStr">
        <is>
          <t>二十年一個package；無SIM卡；含硬體(logger)</t>
        </is>
      </c>
      <c r="H123" s="947" t="inlineStr">
        <is>
          <t>詹前鋒</t>
        </is>
      </c>
      <c r="I123" s="944" t="inlineStr">
        <is>
          <t>0989-434-128</t>
        </is>
      </c>
      <c r="J123" s="947" t="inlineStr">
        <is>
          <t>max@thingnario.com</t>
        </is>
      </c>
      <c r="K123" s="948">
        <f>K80</f>
        <v/>
      </c>
    </row>
    <row r="124" ht="15" customFormat="1" customHeight="1" s="945" thickBot="1">
      <c r="B124" s="949" t="inlineStr">
        <is>
          <t>慧景</t>
        </is>
      </c>
      <c r="C124" s="949" t="inlineStr">
        <is>
          <t>慧景網站監控</t>
        </is>
      </c>
      <c r="D124" s="950" t="n">
        <v>224000</v>
      </c>
      <c r="E124" s="950" t="inlineStr">
        <is>
          <t>500~1MW</t>
        </is>
      </c>
      <c r="F124" s="949" t="inlineStr">
        <is>
          <t>2021/8月</t>
        </is>
      </c>
      <c r="G124" s="962" t="inlineStr">
        <is>
          <t>20年+SIM卡</t>
        </is>
      </c>
      <c r="H124" s="951" t="inlineStr">
        <is>
          <t>詹前鋒</t>
        </is>
      </c>
      <c r="I124" s="944" t="inlineStr">
        <is>
          <t>0989-434-128</t>
        </is>
      </c>
      <c r="J124" s="951" t="inlineStr">
        <is>
          <t>max@thingnario.com</t>
        </is>
      </c>
      <c r="K124" s="948">
        <f>R111</f>
        <v/>
      </c>
    </row>
    <row r="125" customFormat="1" s="945">
      <c r="B125" s="957" t="inlineStr">
        <is>
          <t>慧景</t>
        </is>
      </c>
      <c r="C125" s="957" t="inlineStr">
        <is>
          <t>慧景網站監控</t>
        </is>
      </c>
      <c r="D125" s="958" t="inlineStr">
        <is>
          <t>10 / kW</t>
        </is>
      </c>
      <c r="E125" s="958" t="inlineStr">
        <is>
          <t>1~80MW</t>
        </is>
      </c>
      <c r="F125" s="946" t="inlineStr">
        <is>
          <t>2022/3月</t>
        </is>
      </c>
      <c r="G125" s="963" t="inlineStr">
        <is>
          <t>二十年一個package；無SIM卡；純軟體不含硬體(logger)，1MW-&gt;$10,000/年(1/kw-&gt;$10/年)</t>
        </is>
      </c>
      <c r="H125" s="959" t="inlineStr">
        <is>
          <t>詹前鋒</t>
        </is>
      </c>
      <c r="I125" s="944" t="inlineStr">
        <is>
          <t>0989-434-128</t>
        </is>
      </c>
      <c r="J125" s="959" t="inlineStr">
        <is>
          <t>max@thingnario.com</t>
        </is>
      </c>
      <c r="K125" s="948" t="inlineStr">
        <is>
          <t>-</t>
        </is>
      </c>
    </row>
    <row r="127">
      <c r="B127" s="1494" t="inlineStr">
        <is>
          <t>慧景</t>
        </is>
      </c>
      <c r="C127" s="2119" t="inlineStr">
        <is>
          <t>慧景網站監控</t>
        </is>
      </c>
      <c r="D127" s="923" t="inlineStr">
        <is>
          <t>一電站拆一二期，且總建置超過500kW</t>
        </is>
      </c>
      <c r="E127" s="924" t="n"/>
      <c r="F127" s="924" t="n"/>
      <c r="G127" s="924" t="n"/>
      <c r="H127" s="924" t="n"/>
      <c r="I127" s="925" t="n"/>
    </row>
    <row r="128">
      <c r="B128" s="1977" t="n"/>
      <c r="C128" s="2120" t="n"/>
      <c r="D128" s="872" t="inlineStr">
        <is>
          <t xml:space="preserve"> ～ 499kW 採級距報價 ， 二期 就採用每kW 純軟體的收費 1.2NT /每月 ； kW*1.2*單月；前提一二期INV位置相同，可共用Logger；如INV不同區域，無法共用Logger，則須額外加購Logger</t>
        </is>
      </c>
      <c r="I128" s="926" t="n"/>
    </row>
    <row r="129">
      <c r="B129" s="1977" t="n"/>
      <c r="C129" s="2120" t="n"/>
      <c r="D129" s="872" t="inlineStr">
        <is>
          <t>(二十年一個package)</t>
        </is>
      </c>
      <c r="I129" s="926" t="n"/>
    </row>
    <row r="130">
      <c r="B130" s="1977" t="n"/>
      <c r="C130" s="2120" t="n"/>
      <c r="D130" s="872" t="n"/>
      <c r="I130" s="926" t="n"/>
    </row>
    <row r="131">
      <c r="B131" s="1977" t="n"/>
      <c r="C131" s="2120" t="n"/>
      <c r="D131" s="927" t="inlineStr">
        <is>
          <t>1.買監控20年一次付清送Dreams</t>
        </is>
      </c>
      <c r="I131" s="926" t="n"/>
    </row>
    <row r="132">
      <c r="B132" s="1977" t="n"/>
      <c r="C132" s="2120" t="n"/>
      <c r="D132" s="928" t="inlineStr">
        <is>
          <t>2.不含環控設備(日照計、溫度計)</t>
        </is>
      </c>
      <c r="I132" s="926" t="n"/>
    </row>
    <row r="133">
      <c r="B133" s="1977" t="n"/>
      <c r="C133" s="2120" t="n"/>
      <c r="D133" s="928" t="inlineStr">
        <is>
          <t>3.硬體設備雷擊不保固</t>
        </is>
      </c>
      <c r="I133" s="926" t="n"/>
    </row>
    <row r="134">
      <c r="B134" s="1977" t="n"/>
      <c r="C134" s="2120" t="n"/>
      <c r="D134" s="929" t="inlineStr">
        <is>
          <t>4.API提供：</t>
        </is>
      </c>
      <c r="I134" s="926" t="n"/>
    </row>
    <row r="135">
      <c r="B135" s="1977" t="n"/>
      <c r="C135" s="2120" t="n"/>
      <c r="D135" s="872" t="inlineStr">
        <is>
          <t>(1)一天100次(15分鐘一筆):一站1萬，軟體使用年限間可撈</t>
        </is>
      </c>
      <c r="I135" s="926" t="n"/>
    </row>
    <row r="136">
      <c r="B136" s="1979" t="n"/>
      <c r="C136" s="2121" t="n"/>
      <c r="D136" s="930" t="inlineStr">
        <is>
          <t>(2)一天2000次(15分鐘一筆):一站總價10%，軟體使用年限間可撈</t>
        </is>
      </c>
      <c r="E136" s="931" t="n"/>
      <c r="F136" s="931" t="n"/>
      <c r="G136" s="931" t="n"/>
      <c r="H136" s="931" t="n"/>
      <c r="I136" s="932" t="n"/>
    </row>
  </sheetData>
  <autoFilter ref="B11:G11"/>
  <mergeCells count="9">
    <mergeCell ref="G49:G53"/>
    <mergeCell ref="G43:G48"/>
    <mergeCell ref="G61:G64"/>
    <mergeCell ref="B127:B136"/>
    <mergeCell ref="G77:G80"/>
    <mergeCell ref="G69:G72"/>
    <mergeCell ref="G73:G76"/>
    <mergeCell ref="G54:G58"/>
    <mergeCell ref="C127:C136"/>
  </mergeCells>
  <hyperlinks>
    <hyperlink xmlns:r="http://schemas.openxmlformats.org/officeDocument/2006/relationships" ref="J25" r:id="rId1"/>
    <hyperlink xmlns:r="http://schemas.openxmlformats.org/officeDocument/2006/relationships" ref="J26" r:id="rId2"/>
    <hyperlink xmlns:r="http://schemas.openxmlformats.org/officeDocument/2006/relationships" ref="J35" r:id="rId3"/>
    <hyperlink xmlns:r="http://schemas.openxmlformats.org/officeDocument/2006/relationships" ref="J69" r:id="rId4"/>
    <hyperlink xmlns:r="http://schemas.openxmlformats.org/officeDocument/2006/relationships" ref="J70" r:id="rId5"/>
    <hyperlink xmlns:r="http://schemas.openxmlformats.org/officeDocument/2006/relationships" ref="J71" r:id="rId6"/>
    <hyperlink xmlns:r="http://schemas.openxmlformats.org/officeDocument/2006/relationships" ref="J72" r:id="rId7"/>
    <hyperlink xmlns:r="http://schemas.openxmlformats.org/officeDocument/2006/relationships" ref="J73" r:id="rId8"/>
    <hyperlink xmlns:r="http://schemas.openxmlformats.org/officeDocument/2006/relationships" ref="J74" r:id="rId9"/>
    <hyperlink xmlns:r="http://schemas.openxmlformats.org/officeDocument/2006/relationships" ref="J75" r:id="rId10"/>
    <hyperlink xmlns:r="http://schemas.openxmlformats.org/officeDocument/2006/relationships" ref="J76" r:id="rId11"/>
    <hyperlink xmlns:r="http://schemas.openxmlformats.org/officeDocument/2006/relationships" ref="J77" r:id="rId12"/>
    <hyperlink xmlns:r="http://schemas.openxmlformats.org/officeDocument/2006/relationships" ref="J78" r:id="rId13"/>
    <hyperlink xmlns:r="http://schemas.openxmlformats.org/officeDocument/2006/relationships" ref="J79" r:id="rId14"/>
    <hyperlink xmlns:r="http://schemas.openxmlformats.org/officeDocument/2006/relationships" ref="J80" r:id="rId15"/>
    <hyperlink xmlns:r="http://schemas.openxmlformats.org/officeDocument/2006/relationships" ref="J96" r:id="rId16"/>
    <hyperlink xmlns:r="http://schemas.openxmlformats.org/officeDocument/2006/relationships" ref="J97" r:id="rId17"/>
    <hyperlink xmlns:r="http://schemas.openxmlformats.org/officeDocument/2006/relationships" ref="J100" r:id="rId18"/>
    <hyperlink xmlns:r="http://schemas.openxmlformats.org/officeDocument/2006/relationships" ref="J101" r:id="rId19"/>
    <hyperlink xmlns:r="http://schemas.openxmlformats.org/officeDocument/2006/relationships" ref="J102" r:id="rId20"/>
    <hyperlink xmlns:r="http://schemas.openxmlformats.org/officeDocument/2006/relationships" ref="J103" r:id="rId21"/>
    <hyperlink xmlns:r="http://schemas.openxmlformats.org/officeDocument/2006/relationships" ref="J104" r:id="rId22"/>
    <hyperlink xmlns:r="http://schemas.openxmlformats.org/officeDocument/2006/relationships" ref="J105" r:id="rId23"/>
    <hyperlink xmlns:r="http://schemas.openxmlformats.org/officeDocument/2006/relationships" ref="J119" r:id="rId24"/>
    <hyperlink xmlns:r="http://schemas.openxmlformats.org/officeDocument/2006/relationships" ref="J120" r:id="rId25"/>
    <hyperlink xmlns:r="http://schemas.openxmlformats.org/officeDocument/2006/relationships" ref="J121" r:id="rId26"/>
    <hyperlink xmlns:r="http://schemas.openxmlformats.org/officeDocument/2006/relationships" ref="J122" r:id="rId27"/>
    <hyperlink xmlns:r="http://schemas.openxmlformats.org/officeDocument/2006/relationships" ref="J123" r:id="rId28"/>
    <hyperlink xmlns:r="http://schemas.openxmlformats.org/officeDocument/2006/relationships" ref="J124" r:id="rId29"/>
    <hyperlink xmlns:r="http://schemas.openxmlformats.org/officeDocument/2006/relationships" ref="J125" r:id="rId30"/>
  </hyperlink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L53"/>
  <sheetViews>
    <sheetView showGridLines="0" zoomScaleNormal="100" workbookViewId="0">
      <pane ySplit="1" topLeftCell="A2" activePane="bottomLeft" state="frozen"/>
      <selection pane="bottomLeft" activeCell="G47" sqref="G47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8.625" bestFit="1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數據收集盒</t>
        </is>
      </c>
      <c r="C1" s="207" t="n"/>
      <c r="D1" s="334" t="n"/>
      <c r="E1" s="334" t="n"/>
      <c r="F1" s="207" t="n"/>
    </row>
    <row r="2">
      <c r="B2" s="1523" t="inlineStr">
        <is>
          <t>慧景</t>
        </is>
      </c>
      <c r="C2" s="1523" t="inlineStr">
        <is>
          <t>Logger</t>
        </is>
      </c>
      <c r="D2" s="232" t="n">
        <v>25000</v>
      </c>
      <c r="E2" s="232" t="inlineStr">
        <is>
          <t>-</t>
        </is>
      </c>
      <c r="F2" s="1523" t="inlineStr">
        <is>
          <t>2022/3月</t>
        </is>
      </c>
      <c r="G2" s="205" t="inlineStr">
        <is>
          <t>logger保固五年(工業等級)；範圍25~40台裝置(基本30台)；型號：pt-2020 (2port)</t>
        </is>
      </c>
      <c r="H2" s="205" t="inlineStr">
        <is>
          <t>詹前鋒</t>
        </is>
      </c>
      <c r="I2" s="312" t="inlineStr">
        <is>
          <t>0989-434-128</t>
        </is>
      </c>
      <c r="J2" s="205" t="inlineStr">
        <is>
          <t>max@thingnario.com</t>
        </is>
      </c>
    </row>
    <row r="3">
      <c r="B3" s="1523" t="inlineStr">
        <is>
          <t>慧景</t>
        </is>
      </c>
      <c r="C3" s="1523" t="inlineStr">
        <is>
          <t>Logger</t>
        </is>
      </c>
      <c r="D3" s="232" t="n">
        <v>28000</v>
      </c>
      <c r="E3" s="232" t="inlineStr">
        <is>
          <t>-</t>
        </is>
      </c>
      <c r="F3" s="1523" t="inlineStr">
        <is>
          <t>2022/3月</t>
        </is>
      </c>
      <c r="G3" s="205" t="inlineStr">
        <is>
          <t>logger保固五年(工業等級)；範圍25~40台裝置(基本30台)；型號：pt-4020 (4port)</t>
        </is>
      </c>
      <c r="H3" s="205" t="inlineStr">
        <is>
          <t>詹前鋒</t>
        </is>
      </c>
      <c r="I3" s="312" t="inlineStr">
        <is>
          <t>0989-434-128</t>
        </is>
      </c>
      <c r="J3" s="205" t="inlineStr">
        <is>
          <t>max@thingnario.com</t>
        </is>
      </c>
    </row>
    <row r="5">
      <c r="B5" s="5" t="inlineStr">
        <is>
          <t>環控設備</t>
        </is>
      </c>
    </row>
    <row r="6">
      <c r="B6" s="1523" t="inlineStr">
        <is>
          <t>慧景(紘銘)</t>
        </is>
      </c>
      <c r="C6" s="1523" t="inlineStr">
        <is>
          <t>環控設備</t>
        </is>
      </c>
      <c r="D6" s="232" t="n">
        <v>38100</v>
      </c>
      <c r="E6" s="232" t="inlineStr">
        <is>
          <t>-</t>
        </is>
      </c>
      <c r="F6" s="1523" t="inlineStr">
        <is>
          <t>2022/3月</t>
        </is>
      </c>
      <c r="G6" s="205" t="inlineStr">
        <is>
          <t>含溫度(2300)+日照(19500)+交流錶頭(5700)+箱體(10600)、不含CT</t>
        </is>
      </c>
      <c r="H6" s="205" t="inlineStr">
        <is>
          <t>詹前鋒</t>
        </is>
      </c>
      <c r="I6" s="312" t="inlineStr">
        <is>
          <t>0989-434-128</t>
        </is>
      </c>
      <c r="J6" s="205" t="inlineStr">
        <is>
          <t>max@thingnario.com</t>
        </is>
      </c>
    </row>
    <row r="7">
      <c r="B7" s="1523" t="inlineStr">
        <is>
          <t>慧景(紘銘)</t>
        </is>
      </c>
      <c r="C7" s="1523" t="inlineStr">
        <is>
          <t>環控設備</t>
        </is>
      </c>
      <c r="D7" s="232" t="n">
        <v>40700</v>
      </c>
      <c r="E7" s="232" t="inlineStr">
        <is>
          <t>-</t>
        </is>
      </c>
      <c r="F7" s="1523" t="inlineStr">
        <is>
          <t>2022/4月</t>
        </is>
      </c>
      <c r="G7" s="205" t="inlineStr">
        <is>
          <t>含溫度(5150)+日照(22350)+箱體(13200)</t>
        </is>
      </c>
      <c r="H7" s="205" t="inlineStr">
        <is>
          <t>詹前鋒</t>
        </is>
      </c>
      <c r="I7" s="312" t="inlineStr">
        <is>
          <t>0989-434-128</t>
        </is>
      </c>
      <c r="J7" s="205" t="inlineStr">
        <is>
          <t>max@thingnario.com</t>
        </is>
      </c>
    </row>
    <row r="9">
      <c r="B9" s="5" t="inlineStr">
        <is>
          <t>雲端系統</t>
        </is>
      </c>
    </row>
    <row r="10">
      <c r="B10" s="1523" t="inlineStr">
        <is>
          <t>廠商</t>
        </is>
      </c>
      <c r="C10" s="1523" t="inlineStr">
        <is>
          <t>規格</t>
        </is>
      </c>
      <c r="D10" s="1523" t="inlineStr">
        <is>
          <t>報價(台幣/年)</t>
        </is>
      </c>
      <c r="E10" s="1523" t="inlineStr">
        <is>
          <t>KW</t>
        </is>
      </c>
      <c r="F10" s="1523" t="inlineStr">
        <is>
          <t>報價時間</t>
        </is>
      </c>
      <c r="G10" s="1523" t="inlineStr">
        <is>
          <t>NOTE</t>
        </is>
      </c>
      <c r="H10" s="1523" t="inlineStr">
        <is>
          <t>聯絡人</t>
        </is>
      </c>
      <c r="I10" s="1523" t="inlineStr">
        <is>
          <t>聯絡方式</t>
        </is>
      </c>
      <c r="J10" s="1523" t="inlineStr">
        <is>
          <t>Email</t>
        </is>
      </c>
      <c r="K10" s="1523" t="inlineStr">
        <is>
          <t>報價(台幣)</t>
        </is>
      </c>
    </row>
    <row r="11" ht="16.5" customHeight="1" s="1643">
      <c r="B11" s="1509" t="inlineStr">
        <is>
          <t>慧景</t>
        </is>
      </c>
      <c r="C11" s="1509" t="inlineStr">
        <is>
          <t>慧景網站監控</t>
        </is>
      </c>
      <c r="D11" s="1509">
        <f>K11/5</f>
        <v/>
      </c>
      <c r="E11" s="1509" t="inlineStr">
        <is>
          <t>100kW以下</t>
        </is>
      </c>
      <c r="F11" s="1509" t="inlineStr">
        <is>
          <t>2022/3月</t>
        </is>
      </c>
      <c r="G11" s="2122" t="inlineStr">
        <is>
          <t>五年一個package，共5年
(無專人監控，提供一套系統平臺，供維運及管理電站)</t>
        </is>
      </c>
      <c r="H11" s="843" t="inlineStr">
        <is>
          <t>詹前鋒</t>
        </is>
      </c>
      <c r="I11" s="312" t="inlineStr">
        <is>
          <t>0989-434-128</t>
        </is>
      </c>
      <c r="J11" s="843" t="inlineStr">
        <is>
          <t>max@thingnario.com</t>
        </is>
      </c>
      <c r="K11" s="845" t="n">
        <v>25000</v>
      </c>
    </row>
    <row r="12" ht="14.25" customHeight="1" s="1643">
      <c r="B12" s="1509" t="inlineStr">
        <is>
          <t>慧景</t>
        </is>
      </c>
      <c r="C12" s="1509" t="inlineStr">
        <is>
          <t>慧景網站監控</t>
        </is>
      </c>
      <c r="D12" s="845">
        <f>K12/5</f>
        <v/>
      </c>
      <c r="E12" s="845" t="inlineStr">
        <is>
          <t>99~249kW</t>
        </is>
      </c>
      <c r="F12" s="1509" t="inlineStr">
        <is>
          <t>2022/3月</t>
        </is>
      </c>
      <c r="G12" s="1977" t="n"/>
      <c r="H12" s="843" t="inlineStr">
        <is>
          <t>詹前鋒</t>
        </is>
      </c>
      <c r="I12" s="312" t="inlineStr">
        <is>
          <t>0989-434-128</t>
        </is>
      </c>
      <c r="J12" s="843" t="inlineStr">
        <is>
          <t>max@thingnario.com</t>
        </is>
      </c>
      <c r="K12" s="845" t="n">
        <v>35000</v>
      </c>
    </row>
    <row r="13">
      <c r="B13" s="1509" t="inlineStr">
        <is>
          <t>慧景</t>
        </is>
      </c>
      <c r="C13" s="1509" t="inlineStr">
        <is>
          <t>慧景網站監控</t>
        </is>
      </c>
      <c r="D13" s="845">
        <f>K13/5</f>
        <v/>
      </c>
      <c r="E13" s="845" t="inlineStr">
        <is>
          <t>249~499kW</t>
        </is>
      </c>
      <c r="F13" s="1509" t="inlineStr">
        <is>
          <t>2022/3月</t>
        </is>
      </c>
      <c r="G13" s="1977" t="n"/>
      <c r="H13" s="843" t="inlineStr">
        <is>
          <t>詹前鋒</t>
        </is>
      </c>
      <c r="I13" s="312" t="inlineStr">
        <is>
          <t>0989-434-128</t>
        </is>
      </c>
      <c r="J13" s="843" t="inlineStr">
        <is>
          <t>max@thingnario.com</t>
        </is>
      </c>
      <c r="K13" s="845" t="n">
        <v>45000</v>
      </c>
    </row>
    <row r="14" ht="15" customHeight="1" s="1643" thickBot="1">
      <c r="B14" s="904" t="inlineStr">
        <is>
          <t>慧景</t>
        </is>
      </c>
      <c r="C14" s="904" t="inlineStr">
        <is>
          <t>慧景網站監控</t>
        </is>
      </c>
      <c r="D14" s="905">
        <f>K14/5</f>
        <v/>
      </c>
      <c r="E14" s="905" t="inlineStr">
        <is>
          <t>499~999kW</t>
        </is>
      </c>
      <c r="F14" s="905" t="inlineStr">
        <is>
          <t>2022/3月</t>
        </is>
      </c>
      <c r="G14" s="2115" t="n"/>
      <c r="H14" s="906" t="inlineStr">
        <is>
          <t>詹前鋒</t>
        </is>
      </c>
      <c r="I14" s="907" t="inlineStr">
        <is>
          <t>0989-434-128</t>
        </is>
      </c>
      <c r="J14" s="906" t="inlineStr">
        <is>
          <t>max@thingnario.com</t>
        </is>
      </c>
      <c r="K14" s="905" t="n">
        <v>60000</v>
      </c>
    </row>
    <row r="15" ht="16.5" customHeight="1" s="1643">
      <c r="B15" s="908" t="inlineStr">
        <is>
          <t>慧景</t>
        </is>
      </c>
      <c r="C15" s="908" t="inlineStr">
        <is>
          <t>慧景網站監控</t>
        </is>
      </c>
      <c r="D15" s="909">
        <f>K15/20</f>
        <v/>
      </c>
      <c r="E15" s="909" t="inlineStr">
        <is>
          <t>99kW以下</t>
        </is>
      </c>
      <c r="F15" s="1509" t="inlineStr">
        <is>
          <t>2022/3月</t>
        </is>
      </c>
      <c r="G15" s="2123" t="inlineStr">
        <is>
          <t>五年一個package，共20年
(無專人監控，提供一套系統平臺，供維運及管理電站)</t>
        </is>
      </c>
      <c r="H15" s="910" t="inlineStr">
        <is>
          <t>詹前鋒</t>
        </is>
      </c>
      <c r="I15" s="903" t="inlineStr">
        <is>
          <t>0989-434-128</t>
        </is>
      </c>
      <c r="J15" s="910" t="inlineStr">
        <is>
          <t>max@thingnario.com</t>
        </is>
      </c>
      <c r="K15" s="909">
        <f>K11*4</f>
        <v/>
      </c>
    </row>
    <row r="16" ht="14.25" customHeight="1" s="1643">
      <c r="B16" s="1509" t="inlineStr">
        <is>
          <t>慧景</t>
        </is>
      </c>
      <c r="C16" s="1509" t="inlineStr">
        <is>
          <t>慧景網站監控</t>
        </is>
      </c>
      <c r="D16" s="845">
        <f>K16/20</f>
        <v/>
      </c>
      <c r="E16" s="845" t="inlineStr">
        <is>
          <t>99~249kW</t>
        </is>
      </c>
      <c r="F16" s="1509" t="inlineStr">
        <is>
          <t>2022/3月</t>
        </is>
      </c>
      <c r="G16" s="2098" t="n"/>
      <c r="H16" s="843" t="inlineStr">
        <is>
          <t>詹前鋒</t>
        </is>
      </c>
      <c r="I16" s="312" t="inlineStr">
        <is>
          <t>0989-434-128</t>
        </is>
      </c>
      <c r="J16" s="843" t="inlineStr">
        <is>
          <t>max@thingnario.com</t>
        </is>
      </c>
      <c r="K16" s="845">
        <f>K12*4</f>
        <v/>
      </c>
    </row>
    <row r="17">
      <c r="B17" s="1509" t="inlineStr">
        <is>
          <t>慧景</t>
        </is>
      </c>
      <c r="C17" s="1509" t="inlineStr">
        <is>
          <t>慧景網站監控</t>
        </is>
      </c>
      <c r="D17" s="845">
        <f>K17/20</f>
        <v/>
      </c>
      <c r="E17" s="845" t="inlineStr">
        <is>
          <t>249~499kW</t>
        </is>
      </c>
      <c r="F17" s="1509" t="inlineStr">
        <is>
          <t>2022/3月</t>
        </is>
      </c>
      <c r="G17" s="2098" t="n"/>
      <c r="H17" s="843" t="inlineStr">
        <is>
          <t>詹前鋒</t>
        </is>
      </c>
      <c r="I17" s="312" t="inlineStr">
        <is>
          <t>0989-434-128</t>
        </is>
      </c>
      <c r="J17" s="843" t="inlineStr">
        <is>
          <t>max@thingnario.com</t>
        </is>
      </c>
      <c r="K17" s="845">
        <f>K13*4</f>
        <v/>
      </c>
    </row>
    <row r="18" ht="15" customHeight="1" s="1643" thickBot="1">
      <c r="B18" s="904" t="inlineStr">
        <is>
          <t>慧景</t>
        </is>
      </c>
      <c r="C18" s="904" t="inlineStr">
        <is>
          <t>慧景網站監控</t>
        </is>
      </c>
      <c r="D18" s="905">
        <f>K18/20</f>
        <v/>
      </c>
      <c r="E18" s="905" t="inlineStr">
        <is>
          <t>499~999kW</t>
        </is>
      </c>
      <c r="F18" s="905" t="inlineStr">
        <is>
          <t>2022/3月</t>
        </is>
      </c>
      <c r="G18" s="2117" t="n"/>
      <c r="H18" s="906" t="inlineStr">
        <is>
          <t>詹前鋒</t>
        </is>
      </c>
      <c r="I18" s="907" t="inlineStr">
        <is>
          <t>0989-434-128</t>
        </is>
      </c>
      <c r="J18" s="906" t="inlineStr">
        <is>
          <t>max@thingnario.com</t>
        </is>
      </c>
      <c r="K18" s="905">
        <f>K14*4</f>
        <v/>
      </c>
    </row>
    <row r="19">
      <c r="B19" s="1492" t="inlineStr">
        <is>
          <t>慧景</t>
        </is>
      </c>
      <c r="C19" s="1492" t="inlineStr">
        <is>
          <t>慧景網站監控</t>
        </is>
      </c>
      <c r="D19" s="1496">
        <f>K19/20</f>
        <v/>
      </c>
      <c r="E19" s="1496" t="inlineStr">
        <is>
          <t>99kW以下</t>
        </is>
      </c>
      <c r="F19" s="1509" t="inlineStr">
        <is>
          <t>2022/3月</t>
        </is>
      </c>
      <c r="G19" s="2124" t="inlineStr">
        <is>
          <t>二十年一個package，共20年
(無專人監控，提供一套系統平臺，供維運及管理電站)</t>
        </is>
      </c>
      <c r="H19" s="902" t="inlineStr">
        <is>
          <t>詹前鋒</t>
        </is>
      </c>
      <c r="I19" s="903" t="inlineStr">
        <is>
          <t>0989-434-128</t>
        </is>
      </c>
      <c r="J19" s="902" t="inlineStr">
        <is>
          <t>max@thingnario.com</t>
        </is>
      </c>
      <c r="K19" s="1496">
        <f>K15*L19</f>
        <v/>
      </c>
      <c r="L19" s="917" t="n">
        <v>0.95</v>
      </c>
    </row>
    <row r="20" ht="14.25" customHeight="1" s="1643">
      <c r="B20" s="1523" t="inlineStr">
        <is>
          <t>慧景</t>
        </is>
      </c>
      <c r="C20" s="1523" t="inlineStr">
        <is>
          <t>慧景網站監控</t>
        </is>
      </c>
      <c r="D20" s="232">
        <f>K20/20</f>
        <v/>
      </c>
      <c r="E20" s="232" t="inlineStr">
        <is>
          <t>99~249kW</t>
        </is>
      </c>
      <c r="F20" s="1509" t="inlineStr">
        <is>
          <t>2022/3月</t>
        </is>
      </c>
      <c r="G20" s="2098" t="n"/>
      <c r="H20" s="205" t="inlineStr">
        <is>
          <t>詹前鋒</t>
        </is>
      </c>
      <c r="I20" s="312" t="inlineStr">
        <is>
          <t>0989-434-128</t>
        </is>
      </c>
      <c r="J20" s="205" t="inlineStr">
        <is>
          <t>max@thingnario.com</t>
        </is>
      </c>
      <c r="K20" s="845">
        <f>K16*L19</f>
        <v/>
      </c>
      <c r="L20" s="917" t="n">
        <v>0.95</v>
      </c>
    </row>
    <row r="21">
      <c r="B21" s="1523" t="inlineStr">
        <is>
          <t>慧景</t>
        </is>
      </c>
      <c r="C21" s="1523" t="inlineStr">
        <is>
          <t>慧景網站監控</t>
        </is>
      </c>
      <c r="D21" s="232">
        <f>K21/20</f>
        <v/>
      </c>
      <c r="E21" s="232" t="inlineStr">
        <is>
          <t>249~499kW</t>
        </is>
      </c>
      <c r="F21" s="1509" t="inlineStr">
        <is>
          <t>2022/3月</t>
        </is>
      </c>
      <c r="G21" s="2098" t="n"/>
      <c r="H21" s="205" t="inlineStr">
        <is>
          <t>詹前鋒</t>
        </is>
      </c>
      <c r="I21" s="312" t="inlineStr">
        <is>
          <t>0989-434-128</t>
        </is>
      </c>
      <c r="J21" s="205" t="inlineStr">
        <is>
          <t>max@thingnario.com</t>
        </is>
      </c>
      <c r="K21" s="845">
        <f>K17*L19</f>
        <v/>
      </c>
      <c r="L21" s="917" t="n">
        <v>0.95</v>
      </c>
    </row>
    <row r="22">
      <c r="B22" s="1523" t="inlineStr">
        <is>
          <t>慧景</t>
        </is>
      </c>
      <c r="C22" s="1523" t="inlineStr">
        <is>
          <t>慧景網站監控</t>
        </is>
      </c>
      <c r="D22" s="232">
        <f>K22/20</f>
        <v/>
      </c>
      <c r="E22" s="232" t="inlineStr">
        <is>
          <t>499~999kW</t>
        </is>
      </c>
      <c r="F22" s="1509" t="inlineStr">
        <is>
          <t>2022/3月</t>
        </is>
      </c>
      <c r="G22" s="1684" t="n"/>
      <c r="H22" s="205" t="inlineStr">
        <is>
          <t>詹前鋒</t>
        </is>
      </c>
      <c r="I22" s="312" t="inlineStr">
        <is>
          <t>0989-434-128</t>
        </is>
      </c>
      <c r="J22" s="205" t="inlineStr">
        <is>
          <t>max@thingnario.com</t>
        </is>
      </c>
      <c r="K22" s="845">
        <f>K18*L19</f>
        <v/>
      </c>
      <c r="L22" s="917" t="n">
        <v>0.95</v>
      </c>
    </row>
    <row r="23">
      <c r="B23" s="207" t="n"/>
      <c r="C23" s="207" t="n"/>
      <c r="D23" s="334" t="n"/>
      <c r="E23" s="334" t="n"/>
      <c r="F23" s="207" t="n"/>
      <c r="G23" s="869" t="n"/>
      <c r="I23" s="868" t="n"/>
      <c r="K23" s="334" t="n"/>
    </row>
    <row r="24" hidden="1" s="1643">
      <c r="B24" s="5" t="inlineStr">
        <is>
          <t>Dreams系統</t>
        </is>
      </c>
      <c r="C24" s="877" t="inlineStr">
        <is>
          <t>同一廠址總裝置容量500kW以上時，須裝設遙控監視設備並接受台電安全調度(110.08.05)</t>
        </is>
      </c>
    </row>
    <row r="25" hidden="1" s="1643">
      <c r="B25" s="1509" t="inlineStr">
        <is>
          <t>廠商</t>
        </is>
      </c>
      <c r="C25" s="1509" t="inlineStr">
        <is>
          <t>規格</t>
        </is>
      </c>
      <c r="D25" s="1509" t="inlineStr">
        <is>
          <t>報價(台幣)</t>
        </is>
      </c>
      <c r="E25" s="1509" t="inlineStr">
        <is>
          <t>KW</t>
        </is>
      </c>
      <c r="F25" s="1509" t="inlineStr">
        <is>
          <t>報價時間</t>
        </is>
      </c>
      <c r="G25" s="1509" t="inlineStr">
        <is>
          <t>NOTE</t>
        </is>
      </c>
      <c r="H25" s="1509" t="inlineStr">
        <is>
          <t>聯絡人</t>
        </is>
      </c>
      <c r="I25" s="1509" t="inlineStr">
        <is>
          <t>聯絡方式</t>
        </is>
      </c>
      <c r="J25" s="1509" t="inlineStr">
        <is>
          <t>Email</t>
        </is>
      </c>
    </row>
    <row r="26" hidden="1" s="1643">
      <c r="B26" s="1509" t="inlineStr">
        <is>
          <t>慧景</t>
        </is>
      </c>
      <c r="C26" s="1509" t="inlineStr">
        <is>
          <t>慧景網站監控</t>
        </is>
      </c>
      <c r="D26" s="845" t="n">
        <v>35000</v>
      </c>
      <c r="E26" s="845" t="inlineStr">
        <is>
          <t>500~1MW</t>
        </is>
      </c>
      <c r="F26" s="1509" t="inlineStr">
        <is>
          <t>2021/8月</t>
        </is>
      </c>
      <c r="G26" s="1517" t="inlineStr">
        <is>
          <t>5年</t>
        </is>
      </c>
      <c r="H26" s="843" t="inlineStr">
        <is>
          <t>詹前鋒</t>
        </is>
      </c>
      <c r="I26" s="867" t="inlineStr">
        <is>
          <t>0937-099-803</t>
        </is>
      </c>
      <c r="J26" s="843" t="inlineStr">
        <is>
          <t>max@thingnario.com</t>
        </is>
      </c>
    </row>
    <row r="27" hidden="1" ht="15" customHeight="1" s="1643" thickBot="1">
      <c r="B27" s="904" t="inlineStr">
        <is>
          <t>慧景</t>
        </is>
      </c>
      <c r="C27" s="904" t="inlineStr">
        <is>
          <t>慧景網站監控</t>
        </is>
      </c>
      <c r="D27" s="905" t="n">
        <v>41000</v>
      </c>
      <c r="E27" s="905" t="inlineStr">
        <is>
          <t>500~1MW</t>
        </is>
      </c>
      <c r="F27" s="904" t="inlineStr">
        <is>
          <t>2021/8月</t>
        </is>
      </c>
      <c r="G27" s="912" t="inlineStr">
        <is>
          <t>5年+SIM卡</t>
        </is>
      </c>
      <c r="H27" s="906" t="inlineStr">
        <is>
          <t>詹前鋒</t>
        </is>
      </c>
      <c r="I27" s="907" t="inlineStr">
        <is>
          <t>0937-099-803</t>
        </is>
      </c>
      <c r="J27" s="906" t="inlineStr">
        <is>
          <t>max@thingnario.com</t>
        </is>
      </c>
    </row>
    <row r="28" hidden="1" s="1643">
      <c r="B28" s="908" t="inlineStr">
        <is>
          <t>慧景</t>
        </is>
      </c>
      <c r="C28" s="908" t="inlineStr">
        <is>
          <t>慧景網站監控</t>
        </is>
      </c>
      <c r="D28" s="909" t="n">
        <v>200000</v>
      </c>
      <c r="E28" s="909" t="inlineStr">
        <is>
          <t>500~1MW</t>
        </is>
      </c>
      <c r="F28" s="908" t="inlineStr">
        <is>
          <t>2021/8月</t>
        </is>
      </c>
      <c r="G28" s="913" t="inlineStr">
        <is>
          <t>20年</t>
        </is>
      </c>
      <c r="H28" s="910" t="inlineStr">
        <is>
          <t>詹前鋒</t>
        </is>
      </c>
      <c r="I28" s="911" t="inlineStr">
        <is>
          <t>0937-099-803</t>
        </is>
      </c>
      <c r="J28" s="910" t="inlineStr">
        <is>
          <t>max@thingnario.com</t>
        </is>
      </c>
    </row>
    <row r="29" hidden="1" ht="15" customHeight="1" s="1643" thickBot="1">
      <c r="B29" s="904" t="inlineStr">
        <is>
          <t>慧景</t>
        </is>
      </c>
      <c r="C29" s="904" t="inlineStr">
        <is>
          <t>慧景網站監控</t>
        </is>
      </c>
      <c r="D29" s="905" t="n">
        <v>224000</v>
      </c>
      <c r="E29" s="905" t="inlineStr">
        <is>
          <t>500~1MW</t>
        </is>
      </c>
      <c r="F29" s="904" t="inlineStr">
        <is>
          <t>2021/8月</t>
        </is>
      </c>
      <c r="G29" s="912" t="inlineStr">
        <is>
          <t>20年+SIM卡</t>
        </is>
      </c>
      <c r="H29" s="906" t="inlineStr">
        <is>
          <t>詹前鋒</t>
        </is>
      </c>
      <c r="I29" s="907" t="inlineStr">
        <is>
          <t>0937-099-803</t>
        </is>
      </c>
      <c r="J29" s="906" t="inlineStr">
        <is>
          <t>max@thingnario.com</t>
        </is>
      </c>
    </row>
    <row r="30" hidden="1" s="1643">
      <c r="B30" s="1492" t="inlineStr">
        <is>
          <t>慧景</t>
        </is>
      </c>
      <c r="C30" s="1492" t="inlineStr">
        <is>
          <t>慧景網站監控</t>
        </is>
      </c>
      <c r="D30" s="1496" t="n">
        <v>72000</v>
      </c>
      <c r="E30" s="1496" t="inlineStr">
        <is>
          <t>1~2MW</t>
        </is>
      </c>
      <c r="F30" s="1492" t="inlineStr">
        <is>
          <t>2021/8月</t>
        </is>
      </c>
      <c r="G30" s="1508" t="inlineStr">
        <is>
          <t>5年+SIM卡</t>
        </is>
      </c>
      <c r="H30" s="902" t="inlineStr">
        <is>
          <t>詹前鋒</t>
        </is>
      </c>
      <c r="I30" s="903" t="inlineStr">
        <is>
          <t>0937-099-803</t>
        </is>
      </c>
      <c r="J30" s="902" t="inlineStr">
        <is>
          <t>max@thingnario.com</t>
        </is>
      </c>
    </row>
    <row r="31" hidden="1" s="1643">
      <c r="B31" s="1523" t="inlineStr">
        <is>
          <t>慧景</t>
        </is>
      </c>
      <c r="C31" s="1523" t="inlineStr">
        <is>
          <t>慧景網站監控</t>
        </is>
      </c>
      <c r="D31" s="232" t="n">
        <v>288000</v>
      </c>
      <c r="E31" s="232" t="inlineStr">
        <is>
          <t>1~2MW</t>
        </is>
      </c>
      <c r="F31" s="1523" t="inlineStr">
        <is>
          <t>2021/8月</t>
        </is>
      </c>
      <c r="G31" s="209" t="inlineStr">
        <is>
          <t>20年+SIM卡</t>
        </is>
      </c>
      <c r="H31" s="205" t="inlineStr">
        <is>
          <t>詹前鋒</t>
        </is>
      </c>
      <c r="I31" s="312" t="inlineStr">
        <is>
          <t>0937-099-803</t>
        </is>
      </c>
      <c r="J31" s="205" t="inlineStr">
        <is>
          <t>max@thingnario.com</t>
        </is>
      </c>
    </row>
    <row r="32">
      <c r="B32" s="207" t="n"/>
      <c r="C32" s="207" t="n"/>
      <c r="D32" s="334" t="n"/>
      <c r="E32" s="334" t="n"/>
      <c r="F32" s="207" t="n"/>
      <c r="G32" s="1493" t="n"/>
      <c r="I32" s="868" t="n"/>
    </row>
    <row r="33">
      <c r="B33" s="5" t="inlineStr">
        <is>
          <t>雲端系統+Dreams系統</t>
        </is>
      </c>
      <c r="D33" s="919" t="inlineStr">
        <is>
          <t>同一廠址總裝置容量500kW以上時，須裝設遙控監視設備並接受台電安全調度(110.08.05)</t>
        </is>
      </c>
      <c r="F33" s="302" t="n"/>
    </row>
    <row r="34">
      <c r="B34" s="1509" t="inlineStr">
        <is>
          <t>廠商</t>
        </is>
      </c>
      <c r="C34" s="1509" t="inlineStr">
        <is>
          <t>規格</t>
        </is>
      </c>
      <c r="D34" s="918" t="inlineStr">
        <is>
          <t>報價(台幣/年)*20年</t>
        </is>
      </c>
      <c r="E34" s="1509" t="inlineStr">
        <is>
          <t>KW</t>
        </is>
      </c>
      <c r="F34" s="1509" t="inlineStr">
        <is>
          <t>報價時間</t>
        </is>
      </c>
      <c r="G34" s="1509" t="inlineStr">
        <is>
          <t>NOTE</t>
        </is>
      </c>
      <c r="H34" s="1509" t="inlineStr">
        <is>
          <t>聯絡人</t>
        </is>
      </c>
      <c r="I34" s="1509" t="inlineStr">
        <is>
          <t>聯絡方式</t>
        </is>
      </c>
      <c r="J34" s="1509" t="inlineStr">
        <is>
          <t>Email</t>
        </is>
      </c>
      <c r="K34" s="1509" t="inlineStr">
        <is>
          <t>報價(台幣)</t>
        </is>
      </c>
    </row>
    <row r="35">
      <c r="B35" s="1509" t="inlineStr">
        <is>
          <t>慧景</t>
        </is>
      </c>
      <c r="C35" s="1509" t="inlineStr">
        <is>
          <t>慧景網站監控</t>
        </is>
      </c>
      <c r="D35" s="845">
        <f>D22</f>
        <v/>
      </c>
      <c r="E35" s="845" t="inlineStr">
        <is>
          <t>499~999kW</t>
        </is>
      </c>
      <c r="F35" s="1509" t="inlineStr">
        <is>
          <t>2022/3月</t>
        </is>
      </c>
      <c r="G35" s="1517" t="inlineStr">
        <is>
          <t>二十年一個package；無SIM卡；含硬體(logger)</t>
        </is>
      </c>
      <c r="H35" s="843" t="inlineStr">
        <is>
          <t>詹前鋒</t>
        </is>
      </c>
      <c r="I35" s="312" t="inlineStr">
        <is>
          <t>0989-434-128</t>
        </is>
      </c>
      <c r="J35" s="843" t="inlineStr">
        <is>
          <t>max@thingnario.com</t>
        </is>
      </c>
      <c r="K35" s="845">
        <f>K22</f>
        <v/>
      </c>
    </row>
    <row r="36" hidden="1" ht="15" customHeight="1" s="1643" thickBot="1">
      <c r="B36" s="904" t="inlineStr">
        <is>
          <t>慧景</t>
        </is>
      </c>
      <c r="C36" s="904" t="inlineStr">
        <is>
          <t>慧景網站監控</t>
        </is>
      </c>
      <c r="D36" s="905" t="n">
        <v>224000</v>
      </c>
      <c r="E36" s="905" t="inlineStr">
        <is>
          <t>500~1MW</t>
        </is>
      </c>
      <c r="F36" s="904" t="inlineStr">
        <is>
          <t>2021/8月</t>
        </is>
      </c>
      <c r="G36" s="912" t="inlineStr">
        <is>
          <t>20年+SIM卡</t>
        </is>
      </c>
      <c r="H36" s="906" t="inlineStr">
        <is>
          <t>詹前鋒</t>
        </is>
      </c>
      <c r="I36" s="312" t="inlineStr">
        <is>
          <t>0989-434-128</t>
        </is>
      </c>
      <c r="J36" s="906" t="inlineStr">
        <is>
          <t>max@thingnario.com</t>
        </is>
      </c>
      <c r="K36" s="845">
        <f>R23</f>
        <v/>
      </c>
    </row>
    <row r="37">
      <c r="B37" s="1492" t="inlineStr">
        <is>
          <t>慧景</t>
        </is>
      </c>
      <c r="C37" s="1492" t="inlineStr">
        <is>
          <t>慧景網站監控</t>
        </is>
      </c>
      <c r="D37" s="1496" t="inlineStr">
        <is>
          <t>10 / kW</t>
        </is>
      </c>
      <c r="E37" s="1496" t="inlineStr">
        <is>
          <t>1~80MW</t>
        </is>
      </c>
      <c r="F37" s="1509" t="inlineStr">
        <is>
          <t>2022/3月</t>
        </is>
      </c>
      <c r="G37" s="1508" t="inlineStr">
        <is>
          <t>二十年一個package；無SIM卡；純軟體不含硬體(logger)，1MW-&gt;$10,000/年(1/kw-&gt;$10/年)</t>
        </is>
      </c>
      <c r="H37" s="902" t="inlineStr">
        <is>
          <t>詹前鋒</t>
        </is>
      </c>
      <c r="I37" s="312" t="inlineStr">
        <is>
          <t>0989-434-128</t>
        </is>
      </c>
      <c r="J37" s="902" t="inlineStr">
        <is>
          <t>max@thingnario.com</t>
        </is>
      </c>
      <c r="K37" s="845" t="inlineStr">
        <is>
          <t>-</t>
        </is>
      </c>
    </row>
    <row r="38" hidden="1" s="1643">
      <c r="B38" s="1523" t="inlineStr">
        <is>
          <t>慧景</t>
        </is>
      </c>
      <c r="C38" s="1523" t="inlineStr">
        <is>
          <t>慧景網站監控</t>
        </is>
      </c>
      <c r="D38" s="232" t="n">
        <v>288000</v>
      </c>
      <c r="E38" s="232" t="inlineStr">
        <is>
          <t>1~2MW</t>
        </is>
      </c>
      <c r="F38" s="1523" t="inlineStr">
        <is>
          <t>2021/8月</t>
        </is>
      </c>
      <c r="G38" s="209" t="inlineStr">
        <is>
          <t>20年+SIM卡</t>
        </is>
      </c>
      <c r="H38" s="205" t="inlineStr">
        <is>
          <t>詹前鋒</t>
        </is>
      </c>
      <c r="I38" s="312" t="inlineStr">
        <is>
          <t>0937-099-803</t>
        </is>
      </c>
      <c r="J38" s="205" t="inlineStr">
        <is>
          <t>max@thingnario.com</t>
        </is>
      </c>
    </row>
    <row r="39">
      <c r="B39" s="207" t="n"/>
      <c r="C39" s="207" t="n"/>
      <c r="D39" s="334" t="n"/>
      <c r="E39" s="334" t="n"/>
      <c r="F39" s="207" t="n"/>
      <c r="G39" s="1493" t="n"/>
      <c r="I39" s="868" t="n"/>
    </row>
    <row r="40">
      <c r="D40" s="5" t="inlineStr">
        <is>
          <t>一電站拆一二期，且總建置超過500kW</t>
        </is>
      </c>
    </row>
    <row r="41">
      <c r="D41" s="5" t="inlineStr">
        <is>
          <t xml:space="preserve"> ～ 499kW 採級距報價 ， 二期 就採用每kW 純軟體的收費 1.2NT /每月 ； kW*1.2*單月；前提一二期INV位置相同，可共用Logger；如INV不同區域，無法共用Logger，則須額外加購Logger</t>
        </is>
      </c>
    </row>
    <row r="42">
      <c r="D42" s="5" t="inlineStr">
        <is>
          <t>(二十年一個package)</t>
        </is>
      </c>
    </row>
    <row r="45">
      <c r="D45" s="207" t="inlineStr">
        <is>
          <t>備註</t>
        </is>
      </c>
    </row>
    <row r="46">
      <c r="D46" s="875" t="inlineStr">
        <is>
          <t>1.SIM卡 $6000(5年)=$1200(1年)=$100(1個月) for Dreams(1G)</t>
        </is>
      </c>
    </row>
    <row r="47">
      <c r="D47" s="1493" t="inlineStr">
        <is>
          <t>2.報價內含了logger (軟硬體皆含)</t>
        </is>
      </c>
    </row>
    <row r="48">
      <c r="D48" s="879" t="inlineStr">
        <is>
          <t>3.買監控20年一次付清送Dreams</t>
        </is>
      </c>
    </row>
    <row r="49">
      <c r="D49" s="1493" t="inlineStr">
        <is>
          <t>4.不含環控設備(日照計、溫度計)</t>
        </is>
      </c>
    </row>
    <row r="50">
      <c r="D50" s="1493" t="inlineStr">
        <is>
          <t>5.硬體設備保固同軟體年限(雷擊不保固)</t>
        </is>
      </c>
    </row>
    <row r="51">
      <c r="D51" s="780" t="inlineStr">
        <is>
          <t>6.API提供：</t>
        </is>
      </c>
    </row>
    <row r="52">
      <c r="D52" s="5" t="inlineStr">
        <is>
          <t>1.一天100次(15分鐘一筆):一站1萬，軟體使用年限間可撈</t>
        </is>
      </c>
    </row>
    <row r="53">
      <c r="D53" s="5" t="inlineStr">
        <is>
          <t>2.一天2000次(15分鐘一筆):一站總價10%，軟體使用年限間可撈</t>
        </is>
      </c>
    </row>
  </sheetData>
  <mergeCells count="3">
    <mergeCell ref="G15:G18"/>
    <mergeCell ref="G11:G14"/>
    <mergeCell ref="G19:G22"/>
  </mergeCell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6" r:id="rId17"/>
    <hyperlink xmlns:r="http://schemas.openxmlformats.org/officeDocument/2006/relationships" ref="J27" r:id="rId18"/>
    <hyperlink xmlns:r="http://schemas.openxmlformats.org/officeDocument/2006/relationships" ref="J28" r:id="rId19"/>
    <hyperlink xmlns:r="http://schemas.openxmlformats.org/officeDocument/2006/relationships" ref="J29" r:id="rId20"/>
    <hyperlink xmlns:r="http://schemas.openxmlformats.org/officeDocument/2006/relationships" ref="J30" r:id="rId21"/>
    <hyperlink xmlns:r="http://schemas.openxmlformats.org/officeDocument/2006/relationships" ref="J31" r:id="rId22"/>
    <hyperlink xmlns:r="http://schemas.openxmlformats.org/officeDocument/2006/relationships" ref="J35" r:id="rId23"/>
    <hyperlink xmlns:r="http://schemas.openxmlformats.org/officeDocument/2006/relationships" ref="J36" r:id="rId24"/>
    <hyperlink xmlns:r="http://schemas.openxmlformats.org/officeDocument/2006/relationships" ref="J37" r:id="rId25"/>
    <hyperlink xmlns:r="http://schemas.openxmlformats.org/officeDocument/2006/relationships" ref="J38" r:id="rId26"/>
  </hyperlinks>
  <printOptions horizontalCentered="1" verticalCentered="1"/>
  <pageMargins left="0.1181102362204725" right="0.1181102362204725" top="0.7480314960629921" bottom="0.7480314960629921" header="0.3149606299212598" footer="0.3149606299212598"/>
  <pageSetup orientation="landscape" paperSize="9" scale="1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L118"/>
  <sheetViews>
    <sheetView showGridLines="0" zoomScaleNormal="100" workbookViewId="0">
      <pane ySplit="8" topLeftCell="A9" activePane="bottomLeft" state="frozen"/>
      <selection pane="bottomLeft" activeCell="I45" sqref="I45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2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監控收集器</t>
        </is>
      </c>
      <c r="F1" s="5" t="inlineStr">
        <is>
          <t>環控設備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報價(台幣/台)</t>
        </is>
      </c>
      <c r="E2" s="207" t="n"/>
      <c r="F2" s="1523" t="inlineStr">
        <is>
          <t>選用廠商</t>
        </is>
      </c>
      <c r="G2" s="1523" t="inlineStr">
        <is>
          <t>規格</t>
        </is>
      </c>
      <c r="H2" s="1523" t="inlineStr">
        <is>
          <t>報價(台幣/式)</t>
        </is>
      </c>
    </row>
    <row r="3">
      <c r="B3" s="1523">
        <f>B14</f>
        <v/>
      </c>
      <c r="C3" s="1523">
        <f>C14</f>
        <v/>
      </c>
      <c r="D3" s="1523">
        <f>D14</f>
        <v/>
      </c>
      <c r="E3" s="207" t="n"/>
      <c r="F3" s="1523">
        <f>IF(#REF!&lt;=100,B24,IF(#REF!&gt;100,B25,))</f>
        <v/>
      </c>
      <c r="G3" s="1523">
        <f>IF(#REF!&lt;=100,C24,IF(#REF!&gt;100,C25,))</f>
        <v/>
      </c>
      <c r="H3" s="1523">
        <f>IF(#REF!&lt;=100,D24,IF(#REF!&gt;100,D25))</f>
        <v/>
      </c>
    </row>
    <row r="4">
      <c r="B4" s="207" t="n"/>
      <c r="C4" s="207" t="n"/>
      <c r="D4" s="207" t="n"/>
      <c r="E4" s="207" t="n"/>
    </row>
    <row r="5">
      <c r="B5" s="5" t="inlineStr">
        <is>
          <t>數據收集盒</t>
        </is>
      </c>
      <c r="E5" s="207" t="n"/>
      <c r="F5" s="5" t="inlineStr">
        <is>
          <t>雲端系統</t>
        </is>
      </c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報價(台幣/台)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報價(台幣/年)</t>
        </is>
      </c>
    </row>
    <row r="7">
      <c r="B7" s="1523">
        <f>B18</f>
        <v/>
      </c>
      <c r="C7" s="1523">
        <f>C18</f>
        <v/>
      </c>
      <c r="D7" s="1523">
        <f>D18</f>
        <v/>
      </c>
      <c r="E7" s="207" t="n"/>
      <c r="F7" s="1523">
        <f>B39</f>
        <v/>
      </c>
      <c r="G7" s="1523">
        <f>C39</f>
        <v/>
      </c>
      <c r="H7" s="1523">
        <f>D39</f>
        <v/>
      </c>
    </row>
    <row r="8" ht="15" customFormat="1" customHeight="1" s="234" thickBot="1">
      <c r="B8" s="233" t="n"/>
      <c r="C8" s="233" t="n"/>
      <c r="D8" s="233" t="n"/>
      <c r="E8" s="233" t="n"/>
    </row>
    <row r="9">
      <c r="B9" s="207" t="n"/>
      <c r="C9" s="207" t="n"/>
      <c r="D9" s="207" t="n"/>
      <c r="E9" s="207" t="n"/>
    </row>
    <row r="10">
      <c r="B10" s="5" t="inlineStr">
        <is>
          <t>監控收集器</t>
        </is>
      </c>
    </row>
    <row r="11">
      <c r="B11" s="1523" t="inlineStr">
        <is>
          <t>廠商</t>
        </is>
      </c>
      <c r="C11" s="1523" t="inlineStr">
        <is>
          <t>規格</t>
        </is>
      </c>
      <c r="D11" s="1523" t="inlineStr">
        <is>
          <t>報價(台幣/台)</t>
        </is>
      </c>
      <c r="E11" s="1523" t="inlineStr">
        <is>
          <t>KW</t>
        </is>
      </c>
      <c r="F11" s="1523" t="inlineStr">
        <is>
          <t>報價時間</t>
        </is>
      </c>
      <c r="G11" s="1523" t="inlineStr">
        <is>
          <t>NOTE</t>
        </is>
      </c>
      <c r="H11" s="1523" t="inlineStr">
        <is>
          <t>聯絡人</t>
        </is>
      </c>
      <c r="I11" s="1523" t="inlineStr">
        <is>
          <t>聯絡方式</t>
        </is>
      </c>
      <c r="J11" s="1523" t="inlineStr">
        <is>
          <t>Email</t>
        </is>
      </c>
    </row>
    <row r="12">
      <c r="B12" s="1523" t="inlineStr">
        <is>
          <t>Solarbridge</t>
        </is>
      </c>
      <c r="C12" s="1523" t="inlineStr">
        <is>
          <t>PowerManerger</t>
        </is>
      </c>
      <c r="D12" s="232" t="n">
        <v>12000</v>
      </c>
      <c r="E12" s="232" t="n"/>
      <c r="F12" s="1523" t="n"/>
      <c r="G12" s="205" t="inlineStr">
        <is>
          <t>含雲端系統,無專人監控(由Sinbon專人監控)</t>
        </is>
      </c>
      <c r="H12" s="205" t="inlineStr">
        <is>
          <t>蘇育志</t>
        </is>
      </c>
      <c r="I12" s="205" t="inlineStr">
        <is>
          <t xml:space="preserve"> 0936-185841 / 03-5980288-1370</t>
        </is>
      </c>
      <c r="J12" s="205" t="inlineStr">
        <is>
          <t>jeffery.su@bigsun-energy.com</t>
        </is>
      </c>
    </row>
    <row r="13">
      <c r="B13" s="1523" t="inlineStr">
        <is>
          <t>APS</t>
        </is>
      </c>
      <c r="C13" s="1523" t="inlineStr">
        <is>
          <t>ECU</t>
        </is>
      </c>
      <c r="D13" s="232" t="n">
        <v>7500</v>
      </c>
      <c r="E13" s="232" t="n"/>
      <c r="F13" s="1523" t="n"/>
      <c r="G13" s="205" t="n"/>
      <c r="H13" s="205" t="inlineStr">
        <is>
          <t>業務</t>
        </is>
      </c>
      <c r="I13" s="205" t="n"/>
    </row>
    <row r="14">
      <c r="B14" s="1523" t="inlineStr">
        <is>
          <t>APS</t>
        </is>
      </c>
      <c r="C14" s="1523" t="inlineStr">
        <is>
          <t>ECUR</t>
        </is>
      </c>
      <c r="D14" s="232">
        <f>100*#REF!</f>
        <v/>
      </c>
      <c r="E14" s="232" t="n"/>
      <c r="F14" s="1523" t="inlineStr">
        <is>
          <t>2020/1月</t>
        </is>
      </c>
      <c r="G14" s="205" t="inlineStr">
        <is>
          <t>100/USD，保固3年，90台QS1用一台ECU-R</t>
        </is>
      </c>
      <c r="H14" s="205" t="inlineStr">
        <is>
          <t>麗芳</t>
        </is>
      </c>
      <c r="I14" s="205" t="n"/>
    </row>
    <row r="15">
      <c r="B15" s="207" t="n"/>
      <c r="C15" s="207" t="n"/>
      <c r="D15" s="334" t="n"/>
      <c r="E15" s="334" t="n"/>
      <c r="F15" s="207" t="n"/>
    </row>
    <row r="16">
      <c r="B16" s="5" t="inlineStr">
        <is>
          <t>數據收集盒</t>
        </is>
      </c>
      <c r="C16" s="207" t="n"/>
      <c r="D16" s="334" t="n"/>
      <c r="E16" s="334" t="n"/>
      <c r="F16" s="207" t="n"/>
    </row>
    <row r="17">
      <c r="B17" s="1523" t="inlineStr">
        <is>
          <t>BIG SUN</t>
        </is>
      </c>
      <c r="C17" s="1523" t="inlineStr">
        <is>
          <t>iPVBox智慧盒</t>
        </is>
      </c>
      <c r="D17" s="232" t="n">
        <v>15800</v>
      </c>
      <c r="E17" s="232" t="n"/>
      <c r="F17" s="1523" t="inlineStr">
        <is>
          <t>2018/4月</t>
        </is>
      </c>
      <c r="G17" s="205" t="inlineStr">
        <is>
          <t>iPVBox-2102 智慧盒 (5年保固)</t>
        </is>
      </c>
      <c r="H17" s="205" t="inlineStr">
        <is>
          <t>蘇育志</t>
        </is>
      </c>
      <c r="I17" s="205" t="inlineStr">
        <is>
          <t xml:space="preserve"> 0936-185841 / 03-5980288-1370</t>
        </is>
      </c>
      <c r="J17" s="205" t="inlineStr">
        <is>
          <t>jeffery.su@bigsun-energy.com</t>
        </is>
      </c>
    </row>
    <row r="18">
      <c r="B18" s="1523" t="inlineStr">
        <is>
          <t>沅碁雲</t>
        </is>
      </c>
      <c r="C18" s="1523" t="inlineStr">
        <is>
          <t>Logger</t>
        </is>
      </c>
      <c r="D18" s="232" t="n">
        <v>35000</v>
      </c>
      <c r="E18" s="232" t="inlineStr">
        <is>
          <t>2MW以下</t>
        </is>
      </c>
      <c r="F18" s="1523" t="inlineStr">
        <is>
          <t>2020/10月</t>
        </is>
      </c>
      <c r="G18" s="205" t="inlineStr">
        <is>
          <t>logger保固一年含現場安裝費(線材不含)；Logger $14000/台；雲端系統</t>
        </is>
      </c>
      <c r="H18" s="205" t="inlineStr">
        <is>
          <t>王振城</t>
        </is>
      </c>
      <c r="I18" s="312" t="inlineStr">
        <is>
          <t>0928-225-333</t>
        </is>
      </c>
      <c r="J18" s="205" t="inlineStr">
        <is>
          <t>max@sunedge.com.tw</t>
        </is>
      </c>
    </row>
    <row r="19" customFormat="1" s="884">
      <c r="B19" s="880" t="inlineStr">
        <is>
          <t>沅碁雲</t>
        </is>
      </c>
      <c r="C19" s="880" t="inlineStr">
        <is>
          <t>Logger</t>
        </is>
      </c>
      <c r="D19" s="881" t="n">
        <v>25000</v>
      </c>
      <c r="E19" s="881" t="inlineStr">
        <is>
          <t>2MW以下</t>
        </is>
      </c>
      <c r="F19" s="880" t="inlineStr">
        <is>
          <t>2020/10月</t>
        </is>
      </c>
      <c r="G19" s="882" t="inlineStr">
        <is>
          <t>logger保固一年含現場安裝費(線材不含)；Logger $14000/台；雲端系統+Dreams系統</t>
        </is>
      </c>
      <c r="H19" s="882" t="inlineStr">
        <is>
          <t>王振城</t>
        </is>
      </c>
      <c r="I19" s="883" t="inlineStr">
        <is>
          <t>0928-225-333</t>
        </is>
      </c>
      <c r="J19" s="882" t="inlineStr">
        <is>
          <t>max@sunedge.com.tw</t>
        </is>
      </c>
    </row>
    <row r="20">
      <c r="B20" s="1523" t="inlineStr">
        <is>
          <t>三惟</t>
        </is>
      </c>
      <c r="C20" s="1523" t="inlineStr">
        <is>
          <t>Logger</t>
        </is>
      </c>
      <c r="D20" s="232" t="n">
        <v>31500</v>
      </c>
      <c r="E20" s="232" t="inlineStr">
        <is>
          <t>499kW以下</t>
        </is>
      </c>
      <c r="F20" s="1523" t="inlineStr">
        <is>
          <t>2020/4月</t>
        </is>
      </c>
      <c r="G20" s="205" t="inlineStr">
        <is>
          <t>logger保固一年不含現場安裝費(線材不含)</t>
        </is>
      </c>
      <c r="H20" s="205" t="inlineStr">
        <is>
          <t>朱育龍</t>
        </is>
      </c>
      <c r="I20" s="205" t="inlineStr">
        <is>
          <t>02-6620-8358 / 0928-765206</t>
        </is>
      </c>
      <c r="J20" s="205" t="inlineStr">
        <is>
          <t>Adam-chew@sunware.com.tw</t>
        </is>
      </c>
    </row>
    <row r="21">
      <c r="B21" s="1523" t="inlineStr">
        <is>
          <t>慧景</t>
        </is>
      </c>
      <c r="C21" s="1523" t="inlineStr">
        <is>
          <t>Logger</t>
        </is>
      </c>
      <c r="D21" s="232" t="n">
        <v>25000</v>
      </c>
      <c r="E21" s="232" t="inlineStr">
        <is>
          <t>-</t>
        </is>
      </c>
      <c r="F21" s="1523" t="inlineStr">
        <is>
          <t>2021/10月</t>
        </is>
      </c>
      <c r="G21" s="205" t="inlineStr">
        <is>
          <t>logger保固五年(工業等級)；範圍25~40台裝置</t>
        </is>
      </c>
      <c r="H21" s="205" t="inlineStr">
        <is>
          <t>詹前鋒</t>
        </is>
      </c>
      <c r="I21" s="312" t="inlineStr">
        <is>
          <t>0937-099-803</t>
        </is>
      </c>
      <c r="J21" s="205" t="inlineStr">
        <is>
          <t>max@thingnario.com</t>
        </is>
      </c>
    </row>
    <row r="23">
      <c r="B23" s="5" t="inlineStr">
        <is>
          <t>環控設備</t>
        </is>
      </c>
    </row>
    <row r="24">
      <c r="B24" s="1523" t="inlineStr">
        <is>
          <t>沅碁</t>
        </is>
      </c>
      <c r="C24" s="1523" t="inlineStr">
        <is>
          <t>環控設備</t>
        </is>
      </c>
      <c r="D24" s="232" t="n">
        <v>52300</v>
      </c>
      <c r="E24" s="232" t="inlineStr">
        <is>
          <t>100KW以下</t>
        </is>
      </c>
      <c r="F24" s="1523" t="inlineStr">
        <is>
          <t>2018/2月</t>
        </is>
      </c>
      <c r="G24" s="205" t="inlineStr">
        <is>
          <t>含溫度(5300)+日照(28500)+CT、交流錶頭(18500)</t>
        </is>
      </c>
      <c r="H24" s="205" t="inlineStr">
        <is>
          <t>王振城</t>
        </is>
      </c>
      <c r="I24" s="312" t="inlineStr">
        <is>
          <t>0928-225-333</t>
        </is>
      </c>
      <c r="J24" s="205" t="inlineStr">
        <is>
          <t>max@sunedge.com.tw</t>
        </is>
      </c>
    </row>
    <row r="25">
      <c r="B25" s="1523" t="inlineStr">
        <is>
          <t>沅碁</t>
        </is>
      </c>
      <c r="C25" s="1523" t="inlineStr">
        <is>
          <t>環控設備</t>
        </is>
      </c>
      <c r="D25" s="232" t="n">
        <v>55000</v>
      </c>
      <c r="E25" s="232" t="inlineStr">
        <is>
          <t>499KW</t>
        </is>
      </c>
      <c r="F25" s="1523" t="inlineStr">
        <is>
          <t>2018/7月</t>
        </is>
      </c>
      <c r="G25" s="205" t="inlineStr">
        <is>
          <t>含溫度、日照(43000)+CT、交流錶頭(12000)</t>
        </is>
      </c>
      <c r="H25" s="205" t="inlineStr">
        <is>
          <t>王振城</t>
        </is>
      </c>
      <c r="I25" s="312" t="inlineStr">
        <is>
          <t>0928-225-333</t>
        </is>
      </c>
      <c r="J25" s="205" t="inlineStr">
        <is>
          <t>max@sunedge.com.tw</t>
        </is>
      </c>
    </row>
    <row r="26">
      <c r="B26" s="1523" t="inlineStr">
        <is>
          <t>綠世界</t>
        </is>
      </c>
      <c r="C26" s="1523" t="inlineStr">
        <is>
          <t>環控設備</t>
        </is>
      </c>
      <c r="D26" s="232" t="n">
        <v>44600</v>
      </c>
      <c r="E26" s="232" t="inlineStr">
        <is>
          <t>100KW以下</t>
        </is>
      </c>
      <c r="F26" s="1523" t="inlineStr">
        <is>
          <t>2018/2月</t>
        </is>
      </c>
      <c r="G26" s="205" t="inlineStr">
        <is>
          <t>含溫度(4900)+日照(19400)+CT(600*3)+交流錶頭(6600)+安裝費(2500)+箱體(9400)</t>
        </is>
      </c>
      <c r="H26" s="205" t="inlineStr">
        <is>
          <t>蘇育志</t>
        </is>
      </c>
      <c r="I26" s="205" t="inlineStr">
        <is>
          <t xml:space="preserve"> 0936-185841 / 03-5980288-1370</t>
        </is>
      </c>
      <c r="J26" s="205" t="n"/>
    </row>
    <row r="27">
      <c r="B27" s="1523" t="inlineStr">
        <is>
          <t>綠世界</t>
        </is>
      </c>
      <c r="C27" s="1523" t="inlineStr">
        <is>
          <t>環控設備</t>
        </is>
      </c>
      <c r="D27" s="232" t="n">
        <v>51200</v>
      </c>
      <c r="E27" s="232" t="inlineStr">
        <is>
          <t>100KW以上</t>
        </is>
      </c>
      <c r="F27" s="1523" t="inlineStr">
        <is>
          <t>2018/2月</t>
        </is>
      </c>
      <c r="G27" s="205" t="inlineStr">
        <is>
          <t>含溫度(4900)+日照(19400)+CT(2800*3)+交流錶頭(6600)+安裝費(2500)+箱體(9400)</t>
        </is>
      </c>
      <c r="H27" s="205" t="inlineStr">
        <is>
          <t>蘇育志</t>
        </is>
      </c>
      <c r="I27" s="205" t="inlineStr">
        <is>
          <t xml:space="preserve"> 0936-185841 / 03-5980288-1370</t>
        </is>
      </c>
      <c r="J27" s="205" t="n"/>
    </row>
    <row r="28">
      <c r="B28" s="1523" t="inlineStr">
        <is>
          <t>三惟</t>
        </is>
      </c>
      <c r="C28" s="1523" t="inlineStr">
        <is>
          <t>環控設備</t>
        </is>
      </c>
      <c r="D28" s="232" t="n">
        <v>43500</v>
      </c>
      <c r="E28" s="232" t="inlineStr">
        <is>
          <t>499KW</t>
        </is>
      </c>
      <c r="F28" s="1523" t="inlineStr">
        <is>
          <t>2020/4月</t>
        </is>
      </c>
      <c r="G28" s="205" t="inlineStr">
        <is>
          <t>含溫度(1500)+日照(22000)+CT(2800*3)+交流錶頭(6600)+箱體(8000)</t>
        </is>
      </c>
      <c r="H28" s="205" t="inlineStr">
        <is>
          <t>朱育龍</t>
        </is>
      </c>
      <c r="I28" s="205" t="inlineStr">
        <is>
          <t>02-6620-8358 / 0928-765206</t>
        </is>
      </c>
      <c r="J28" s="205" t="inlineStr">
        <is>
          <t>Adam-chew@sunware.com.tw</t>
        </is>
      </c>
    </row>
    <row r="29">
      <c r="B29" s="1523" t="inlineStr">
        <is>
          <t>三惟</t>
        </is>
      </c>
      <c r="C29" s="1523" t="inlineStr">
        <is>
          <t>環控設備</t>
        </is>
      </c>
      <c r="D29" s="232" t="n">
        <v>40900</v>
      </c>
      <c r="E29" s="232" t="inlineStr">
        <is>
          <t>100KW</t>
        </is>
      </c>
      <c r="F29" s="1523" t="inlineStr">
        <is>
          <t>2021/8月</t>
        </is>
      </c>
      <c r="G29" s="205" t="inlineStr">
        <is>
          <t>含溫度(2000)+日照(19500)+CT(2800*3)+交流錶頭(5000)+箱體(6000)</t>
        </is>
      </c>
      <c r="H29" s="205" t="inlineStr">
        <is>
          <t>朱育龍</t>
        </is>
      </c>
      <c r="I29" s="205" t="inlineStr">
        <is>
          <t>02-6620-8358 / 0928-765206</t>
        </is>
      </c>
      <c r="J29" s="205" t="inlineStr">
        <is>
          <t>Adam-chew@sunware.com.tw</t>
        </is>
      </c>
    </row>
    <row r="31">
      <c r="B31" s="5" t="inlineStr">
        <is>
          <t>雲端系統</t>
        </is>
      </c>
    </row>
    <row r="32">
      <c r="B32" s="1523" t="inlineStr">
        <is>
          <t>廠商</t>
        </is>
      </c>
      <c r="C32" s="1523" t="inlineStr">
        <is>
          <t>規格</t>
        </is>
      </c>
      <c r="D32" s="1523" t="inlineStr">
        <is>
          <t>報價(台幣/年)</t>
        </is>
      </c>
      <c r="E32" s="1523" t="inlineStr">
        <is>
          <t>KW</t>
        </is>
      </c>
      <c r="F32" s="1523" t="inlineStr">
        <is>
          <t>報價時間</t>
        </is>
      </c>
      <c r="G32" s="1523" t="inlineStr">
        <is>
          <t>NOTE</t>
        </is>
      </c>
      <c r="H32" s="1523" t="inlineStr">
        <is>
          <t>聯絡人</t>
        </is>
      </c>
      <c r="I32" s="1523" t="inlineStr">
        <is>
          <t>聯絡方式</t>
        </is>
      </c>
      <c r="J32" s="1523" t="inlineStr">
        <is>
          <t>Email</t>
        </is>
      </c>
      <c r="K32" s="1523" t="inlineStr">
        <is>
          <t>報價(台幣)</t>
        </is>
      </c>
    </row>
    <row r="33">
      <c r="B33" s="1523" t="inlineStr">
        <is>
          <t>BIG SUN</t>
        </is>
      </c>
      <c r="C33" s="1523" t="inlineStr">
        <is>
          <t>雲端IPV系統</t>
        </is>
      </c>
      <c r="D33" s="232" t="n">
        <v>900</v>
      </c>
      <c r="E33" s="232" t="inlineStr">
        <is>
          <t>20KW以下</t>
        </is>
      </c>
      <c r="F33" s="1523" t="inlineStr">
        <is>
          <t>2018/4月</t>
        </is>
      </c>
      <c r="G33" s="205" t="inlineStr">
        <is>
          <t>5年期滿後每案每年1000元</t>
        </is>
      </c>
      <c r="H33" s="205" t="inlineStr">
        <is>
          <t>蘇育志</t>
        </is>
      </c>
      <c r="I33" s="205" t="inlineStr">
        <is>
          <t xml:space="preserve"> 0936-185841 / 03-5980288-1370</t>
        </is>
      </c>
      <c r="J33" s="205" t="inlineStr">
        <is>
          <t>jeffery.su@bigsun-energy.com</t>
        </is>
      </c>
      <c r="K33" s="845" t="n">
        <v>25000</v>
      </c>
    </row>
    <row r="34">
      <c r="B34" s="1523" t="inlineStr">
        <is>
          <t>BIG SUN</t>
        </is>
      </c>
      <c r="C34" s="1523" t="inlineStr">
        <is>
          <t>雲端IPV系統</t>
        </is>
      </c>
      <c r="D34" s="232" t="n">
        <v>1600</v>
      </c>
      <c r="E34" s="232" t="inlineStr">
        <is>
          <t>21-100KW</t>
        </is>
      </c>
      <c r="F34" s="1523" t="inlineStr">
        <is>
          <t>2018/4月</t>
        </is>
      </c>
      <c r="G34" s="205" t="inlineStr">
        <is>
          <t>5年期滿後每案每年1000元</t>
        </is>
      </c>
      <c r="H34" s="205" t="inlineStr">
        <is>
          <t>蘇育志</t>
        </is>
      </c>
      <c r="I34" s="205" t="inlineStr">
        <is>
          <t xml:space="preserve"> 0936-185841 / 03-5980288-1370</t>
        </is>
      </c>
      <c r="J34" s="205" t="inlineStr">
        <is>
          <t>jeffery.su@bigsun-energy.com</t>
        </is>
      </c>
    </row>
    <row r="35">
      <c r="B35" s="1523" t="inlineStr">
        <is>
          <t>BIG SUN</t>
        </is>
      </c>
      <c r="C35" s="1523" t="inlineStr">
        <is>
          <t>雲端IPV系統</t>
        </is>
      </c>
      <c r="D35" s="232" t="n">
        <v>2000</v>
      </c>
      <c r="E35" s="232" t="inlineStr">
        <is>
          <t>101-499KW</t>
        </is>
      </c>
      <c r="F35" s="1523" t="inlineStr">
        <is>
          <t>2018/4月</t>
        </is>
      </c>
      <c r="G35" s="205" t="inlineStr">
        <is>
          <t>5年期滿後每案每年1000元</t>
        </is>
      </c>
      <c r="H35" s="205" t="inlineStr">
        <is>
          <t>蘇育志</t>
        </is>
      </c>
      <c r="I35" s="205" t="inlineStr">
        <is>
          <t xml:space="preserve"> 0936-185841 / 03-5980288-1370</t>
        </is>
      </c>
      <c r="J35" s="205" t="inlineStr">
        <is>
          <t>jeffery.su@bigsun-energy.com</t>
        </is>
      </c>
    </row>
    <row r="36">
      <c r="B36" s="1523" t="inlineStr">
        <is>
          <t>BIG SUN</t>
        </is>
      </c>
      <c r="C36" s="1523" t="inlineStr">
        <is>
          <t>雲端IPV系統</t>
        </is>
      </c>
      <c r="D36" s="232" t="n">
        <v>3000</v>
      </c>
      <c r="E36" s="232" t="inlineStr">
        <is>
          <t>499-999KW</t>
        </is>
      </c>
      <c r="F36" s="1523" t="inlineStr">
        <is>
          <t>2018/4月</t>
        </is>
      </c>
      <c r="G36" s="205" t="inlineStr">
        <is>
          <t>5年期滿後每案每年1000元</t>
        </is>
      </c>
      <c r="H36" s="205" t="inlineStr">
        <is>
          <t>蘇育志</t>
        </is>
      </c>
      <c r="I36" s="205" t="inlineStr">
        <is>
          <t xml:space="preserve"> 0936-185841 / 03-5980288-1370</t>
        </is>
      </c>
      <c r="J36" s="205" t="inlineStr">
        <is>
          <t>jeffery.su@bigsun-energy.com</t>
        </is>
      </c>
    </row>
    <row r="37">
      <c r="B37" s="1509" t="inlineStr">
        <is>
          <t>沅碁</t>
        </is>
      </c>
      <c r="C37" s="1509" t="inlineStr">
        <is>
          <t>沅碁網站監控</t>
        </is>
      </c>
      <c r="D37" s="845" t="n">
        <v>4000</v>
      </c>
      <c r="E37" s="1509" t="inlineStr">
        <is>
          <t>100KW以下</t>
        </is>
      </c>
      <c r="F37" s="1509" t="inlineStr">
        <is>
          <t>2020/10月</t>
        </is>
      </c>
      <c r="G37" s="1140" t="inlineStr">
        <is>
          <t>含專人監控,五年一個package</t>
        </is>
      </c>
      <c r="H37" s="843" t="inlineStr">
        <is>
          <t>王振城</t>
        </is>
      </c>
      <c r="I37" s="867" t="inlineStr">
        <is>
          <t>0928-225-333</t>
        </is>
      </c>
      <c r="J37" s="843" t="inlineStr">
        <is>
          <t>max@sunedge.com.tw</t>
        </is>
      </c>
    </row>
    <row r="38">
      <c r="B38" s="1509" t="inlineStr">
        <is>
          <t>沅碁</t>
        </is>
      </c>
      <c r="C38" s="1509" t="inlineStr">
        <is>
          <t>沅碁網站監控</t>
        </is>
      </c>
      <c r="D38" s="845" t="n">
        <v>7000</v>
      </c>
      <c r="E38" s="845" t="inlineStr">
        <is>
          <t>101-300KW</t>
        </is>
      </c>
      <c r="F38" s="1509" t="inlineStr">
        <is>
          <t>2020/10月</t>
        </is>
      </c>
      <c r="G38" s="1977" t="n"/>
      <c r="H38" s="843" t="inlineStr">
        <is>
          <t>王振城</t>
        </is>
      </c>
      <c r="I38" s="867" t="inlineStr">
        <is>
          <t>0928-225-333</t>
        </is>
      </c>
      <c r="J38" s="843" t="inlineStr">
        <is>
          <t>max@sunedge.com.tw</t>
        </is>
      </c>
    </row>
    <row r="39">
      <c r="B39" s="1509" t="inlineStr">
        <is>
          <t>沅碁</t>
        </is>
      </c>
      <c r="C39" s="1509" t="inlineStr">
        <is>
          <t>沅碁網站監控</t>
        </is>
      </c>
      <c r="D39" s="845" t="n">
        <v>12000</v>
      </c>
      <c r="E39" s="845" t="inlineStr">
        <is>
          <t>301-499KW</t>
        </is>
      </c>
      <c r="F39" s="1509" t="inlineStr">
        <is>
          <t>2020/10月</t>
        </is>
      </c>
      <c r="G39" s="1977" t="n"/>
      <c r="H39" s="843" t="inlineStr">
        <is>
          <t>王振城</t>
        </is>
      </c>
      <c r="I39" s="867" t="inlineStr">
        <is>
          <t>0928-225-333</t>
        </is>
      </c>
      <c r="J39" s="843" t="inlineStr">
        <is>
          <t>max@sunedge.com.tw</t>
        </is>
      </c>
    </row>
    <row r="40">
      <c r="B40" s="1509" t="inlineStr">
        <is>
          <t>沅碁</t>
        </is>
      </c>
      <c r="C40" s="1509" t="inlineStr">
        <is>
          <t>沅碁網站監控</t>
        </is>
      </c>
      <c r="D40" s="845" t="n">
        <v>16000</v>
      </c>
      <c r="E40" s="845" t="inlineStr">
        <is>
          <t>500~1MW</t>
        </is>
      </c>
      <c r="F40" s="1509" t="inlineStr">
        <is>
          <t>2020/10月</t>
        </is>
      </c>
      <c r="G40" s="1977" t="n"/>
      <c r="H40" s="843" t="inlineStr">
        <is>
          <t>王振城</t>
        </is>
      </c>
      <c r="I40" s="867" t="inlineStr">
        <is>
          <t>0928-225-333</t>
        </is>
      </c>
      <c r="J40" s="843" t="inlineStr">
        <is>
          <t>max@sunedge.com.tw</t>
        </is>
      </c>
    </row>
    <row r="41">
      <c r="B41" s="1509" t="inlineStr">
        <is>
          <t>沅碁</t>
        </is>
      </c>
      <c r="C41" s="1509" t="inlineStr">
        <is>
          <t>沅碁網站監控</t>
        </is>
      </c>
      <c r="D41" s="845" t="n">
        <v>24000</v>
      </c>
      <c r="E41" s="845" t="inlineStr">
        <is>
          <t>1~2MW</t>
        </is>
      </c>
      <c r="F41" s="1509" t="inlineStr">
        <is>
          <t>2020/10月</t>
        </is>
      </c>
      <c r="G41" s="1977" t="n"/>
      <c r="H41" s="843" t="inlineStr">
        <is>
          <t>王振城</t>
        </is>
      </c>
      <c r="I41" s="867" t="inlineStr">
        <is>
          <t>0928-225-333</t>
        </is>
      </c>
      <c r="J41" s="843" t="inlineStr">
        <is>
          <t>max@sunedge.com.tw</t>
        </is>
      </c>
    </row>
    <row r="42">
      <c r="B42" s="1509" t="inlineStr">
        <is>
          <t>沅碁</t>
        </is>
      </c>
      <c r="C42" s="1509" t="inlineStr">
        <is>
          <t>沅碁網站監控</t>
        </is>
      </c>
      <c r="D42" s="845" t="n">
        <v>39000</v>
      </c>
      <c r="E42" s="845" t="inlineStr">
        <is>
          <t>2~4MW</t>
        </is>
      </c>
      <c r="F42" s="1509" t="inlineStr">
        <is>
          <t>2020/10月</t>
        </is>
      </c>
      <c r="G42" s="1979" t="n"/>
      <c r="H42" s="843" t="inlineStr">
        <is>
          <t>王振城</t>
        </is>
      </c>
      <c r="I42" s="867" t="inlineStr">
        <is>
          <t>0928-225-333</t>
        </is>
      </c>
      <c r="J42" s="843" t="inlineStr">
        <is>
          <t>max@sunedge.com.tw</t>
        </is>
      </c>
    </row>
    <row r="43" customFormat="1" s="884">
      <c r="B43" s="885" t="inlineStr">
        <is>
          <t>沅碁</t>
        </is>
      </c>
      <c r="C43" s="885" t="inlineStr">
        <is>
          <t>沅碁網站監控</t>
        </is>
      </c>
      <c r="D43" s="886" t="n">
        <v>4000</v>
      </c>
      <c r="E43" s="885" t="inlineStr">
        <is>
          <t>99KW以下</t>
        </is>
      </c>
      <c r="F43" s="885" t="inlineStr">
        <is>
          <t>2021/9月</t>
        </is>
      </c>
      <c r="G43" s="2125" t="inlineStr">
        <is>
          <t>含智慧盒，含專人監控,五年一個package，5年</t>
        </is>
      </c>
      <c r="H43" s="887" t="inlineStr">
        <is>
          <t>王振城</t>
        </is>
      </c>
      <c r="I43" s="888" t="inlineStr">
        <is>
          <t>0928-225-333</t>
        </is>
      </c>
      <c r="J43" s="887" t="inlineStr">
        <is>
          <t>max@sunedge.com.tw</t>
        </is>
      </c>
      <c r="K43" s="886">
        <f>D43*5</f>
        <v/>
      </c>
    </row>
    <row r="44" customFormat="1" s="884">
      <c r="B44" s="885" t="inlineStr">
        <is>
          <t>沅碁</t>
        </is>
      </c>
      <c r="C44" s="885" t="inlineStr">
        <is>
          <t>沅碁網站監控</t>
        </is>
      </c>
      <c r="D44" s="889" t="n">
        <v>9000</v>
      </c>
      <c r="E44" s="886" t="inlineStr">
        <is>
          <t>100-299KW</t>
        </is>
      </c>
      <c r="F44" s="885" t="inlineStr">
        <is>
          <t>2021/9月</t>
        </is>
      </c>
      <c r="G44" s="1977" t="n"/>
      <c r="H44" s="887" t="inlineStr">
        <is>
          <t>王振城</t>
        </is>
      </c>
      <c r="I44" s="888" t="inlineStr">
        <is>
          <t>0928-225-333</t>
        </is>
      </c>
      <c r="J44" s="887" t="inlineStr">
        <is>
          <t>max@sunedge.com.tw</t>
        </is>
      </c>
      <c r="K44" s="886">
        <f>D44*5</f>
        <v/>
      </c>
    </row>
    <row r="45" customFormat="1" s="884">
      <c r="B45" s="885" t="inlineStr">
        <is>
          <t>沅碁</t>
        </is>
      </c>
      <c r="C45" s="885" t="inlineStr">
        <is>
          <t>沅碁網站監控</t>
        </is>
      </c>
      <c r="D45" s="886" t="n">
        <v>10000</v>
      </c>
      <c r="E45" s="886" t="inlineStr">
        <is>
          <t>300-499KW</t>
        </is>
      </c>
      <c r="F45" s="885" t="inlineStr">
        <is>
          <t>2021/9月</t>
        </is>
      </c>
      <c r="G45" s="1977" t="n"/>
      <c r="H45" s="887" t="inlineStr">
        <is>
          <t>王振城</t>
        </is>
      </c>
      <c r="I45" s="888" t="inlineStr">
        <is>
          <t>0928-225-333</t>
        </is>
      </c>
      <c r="J45" s="887" t="inlineStr">
        <is>
          <t>max@sunedge.com.tw</t>
        </is>
      </c>
      <c r="K45" s="886">
        <f>D45*5</f>
        <v/>
      </c>
    </row>
    <row r="46" customFormat="1" s="884">
      <c r="B46" s="885" t="inlineStr">
        <is>
          <t>沅碁</t>
        </is>
      </c>
      <c r="C46" s="885" t="inlineStr">
        <is>
          <t>沅碁網站監控</t>
        </is>
      </c>
      <c r="D46" s="886" t="n">
        <v>16000</v>
      </c>
      <c r="E46" s="886" t="inlineStr">
        <is>
          <t>500~1MW</t>
        </is>
      </c>
      <c r="F46" s="885" t="inlineStr">
        <is>
          <t>2021/9月</t>
        </is>
      </c>
      <c r="G46" s="1977" t="n"/>
      <c r="H46" s="887" t="inlineStr">
        <is>
          <t>王振城</t>
        </is>
      </c>
      <c r="I46" s="888" t="inlineStr">
        <is>
          <t>0928-225-333</t>
        </is>
      </c>
      <c r="J46" s="887" t="inlineStr">
        <is>
          <t>max@sunedge.com.tw</t>
        </is>
      </c>
      <c r="K46" s="886">
        <f>D46*5</f>
        <v/>
      </c>
    </row>
    <row r="47" customFormat="1" s="884">
      <c r="B47" s="885" t="inlineStr">
        <is>
          <t>沅碁</t>
        </is>
      </c>
      <c r="C47" s="885" t="inlineStr">
        <is>
          <t>沅碁網站監控</t>
        </is>
      </c>
      <c r="D47" s="889" t="n">
        <v>30000</v>
      </c>
      <c r="E47" s="886" t="inlineStr">
        <is>
          <t>1~2MW</t>
        </is>
      </c>
      <c r="F47" s="885" t="inlineStr">
        <is>
          <t>2021/9月</t>
        </is>
      </c>
      <c r="G47" s="1979" t="n"/>
      <c r="H47" s="887" t="inlineStr">
        <is>
          <t>王振城</t>
        </is>
      </c>
      <c r="I47" s="888" t="inlineStr">
        <is>
          <t>0928-225-333</t>
        </is>
      </c>
      <c r="J47" s="887" t="inlineStr">
        <is>
          <t>max@sunedge.com.tw</t>
        </is>
      </c>
      <c r="K47" s="886">
        <f>D47*5</f>
        <v/>
      </c>
    </row>
    <row r="48" customFormat="1" s="897">
      <c r="B48" s="892" t="inlineStr">
        <is>
          <t>沅碁</t>
        </is>
      </c>
      <c r="C48" s="892" t="inlineStr">
        <is>
          <t>沅碁網站監控</t>
        </is>
      </c>
      <c r="D48" s="893" t="n">
        <v>4000</v>
      </c>
      <c r="E48" s="892" t="inlineStr">
        <is>
          <t>99KW以下</t>
        </is>
      </c>
      <c r="F48" s="892" t="inlineStr">
        <is>
          <t>2021/9月</t>
        </is>
      </c>
      <c r="G48" s="2126" t="inlineStr">
        <is>
          <t>含智慧盒，含專人監控,五年一個package，20年</t>
        </is>
      </c>
      <c r="H48" s="894" t="inlineStr">
        <is>
          <t>王振城</t>
        </is>
      </c>
      <c r="I48" s="895" t="inlineStr">
        <is>
          <t>0928-225-333</t>
        </is>
      </c>
      <c r="J48" s="894" t="inlineStr">
        <is>
          <t>max@sunedge.com.tw</t>
        </is>
      </c>
      <c r="K48" s="893">
        <f>D48*20*$L$48</f>
        <v/>
      </c>
      <c r="L48" s="896" t="n">
        <v>0.8</v>
      </c>
    </row>
    <row r="49" customFormat="1" s="897">
      <c r="B49" s="892" t="inlineStr">
        <is>
          <t>沅碁</t>
        </is>
      </c>
      <c r="C49" s="892" t="inlineStr">
        <is>
          <t>沅碁網站監控</t>
        </is>
      </c>
      <c r="D49" s="898" t="n">
        <v>9000</v>
      </c>
      <c r="E49" s="893" t="inlineStr">
        <is>
          <t>100-299KW</t>
        </is>
      </c>
      <c r="F49" s="892" t="inlineStr">
        <is>
          <t>2021/9月</t>
        </is>
      </c>
      <c r="G49" s="1977" t="n"/>
      <c r="H49" s="894" t="inlineStr">
        <is>
          <t>王振城</t>
        </is>
      </c>
      <c r="I49" s="895" t="inlineStr">
        <is>
          <t>0928-225-333</t>
        </is>
      </c>
      <c r="J49" s="894" t="inlineStr">
        <is>
          <t>max@sunedge.com.tw</t>
        </is>
      </c>
      <c r="K49" s="893">
        <f>D49*20*$L$48</f>
        <v/>
      </c>
    </row>
    <row r="50" customFormat="1" s="897">
      <c r="B50" s="892" t="inlineStr">
        <is>
          <t>沅碁</t>
        </is>
      </c>
      <c r="C50" s="892" t="inlineStr">
        <is>
          <t>沅碁網站監控</t>
        </is>
      </c>
      <c r="D50" s="893" t="n">
        <v>10000</v>
      </c>
      <c r="E50" s="893" t="inlineStr">
        <is>
          <t>300-499KW</t>
        </is>
      </c>
      <c r="F50" s="892" t="inlineStr">
        <is>
          <t>2021/9月</t>
        </is>
      </c>
      <c r="G50" s="1977" t="n"/>
      <c r="H50" s="894" t="inlineStr">
        <is>
          <t>王振城</t>
        </is>
      </c>
      <c r="I50" s="895" t="inlineStr">
        <is>
          <t>0928-225-333</t>
        </is>
      </c>
      <c r="J50" s="894" t="inlineStr">
        <is>
          <t>max@sunedge.com.tw</t>
        </is>
      </c>
      <c r="K50" s="893">
        <f>D50*20*$L$48</f>
        <v/>
      </c>
    </row>
    <row r="51" customFormat="1" s="897">
      <c r="B51" s="892" t="inlineStr">
        <is>
          <t>沅碁</t>
        </is>
      </c>
      <c r="C51" s="892" t="inlineStr">
        <is>
          <t>沅碁網站監控</t>
        </is>
      </c>
      <c r="D51" s="893" t="n">
        <v>16000</v>
      </c>
      <c r="E51" s="893" t="inlineStr">
        <is>
          <t>500~1MW</t>
        </is>
      </c>
      <c r="F51" s="892" t="inlineStr">
        <is>
          <t>2021/9月</t>
        </is>
      </c>
      <c r="G51" s="1977" t="n"/>
      <c r="H51" s="894" t="inlineStr">
        <is>
          <t>王振城</t>
        </is>
      </c>
      <c r="I51" s="895" t="inlineStr">
        <is>
          <t>0928-225-333</t>
        </is>
      </c>
      <c r="J51" s="894" t="inlineStr">
        <is>
          <t>max@sunedge.com.tw</t>
        </is>
      </c>
      <c r="K51" s="893">
        <f>D51*20*$L$48</f>
        <v/>
      </c>
    </row>
    <row r="52" customFormat="1" s="897">
      <c r="B52" s="892" t="inlineStr">
        <is>
          <t>沅碁</t>
        </is>
      </c>
      <c r="C52" s="892" t="inlineStr">
        <is>
          <t>沅碁網站監控</t>
        </is>
      </c>
      <c r="D52" s="898" t="n">
        <v>30000</v>
      </c>
      <c r="E52" s="893" t="inlineStr">
        <is>
          <t>1~2MW</t>
        </is>
      </c>
      <c r="F52" s="892" t="inlineStr">
        <is>
          <t>2021/9月</t>
        </is>
      </c>
      <c r="G52" s="1979" t="n"/>
      <c r="H52" s="894" t="inlineStr">
        <is>
          <t>王振城</t>
        </is>
      </c>
      <c r="I52" s="895" t="inlineStr">
        <is>
          <t>0928-225-333</t>
        </is>
      </c>
      <c r="J52" s="894" t="inlineStr">
        <is>
          <t>max@sunedge.com.tw</t>
        </is>
      </c>
      <c r="K52" s="893">
        <f>D52*20*$L$48</f>
        <v/>
      </c>
    </row>
    <row r="53">
      <c r="B53" s="207" t="n"/>
      <c r="C53" s="207" t="n"/>
      <c r="D53" s="334" t="n"/>
      <c r="E53" s="334" t="n"/>
      <c r="F53" s="207" t="n"/>
      <c r="G53" s="1493" t="n"/>
      <c r="I53" s="868" t="n"/>
    </row>
    <row r="54">
      <c r="B54" s="1523" t="inlineStr">
        <is>
          <t>廠商</t>
        </is>
      </c>
      <c r="C54" s="1523" t="inlineStr">
        <is>
          <t>規格</t>
        </is>
      </c>
      <c r="D54" s="1523" t="inlineStr">
        <is>
          <t>報價(台幣/年)</t>
        </is>
      </c>
      <c r="E54" s="1523" t="inlineStr">
        <is>
          <t>KW</t>
        </is>
      </c>
      <c r="F54" s="1523" t="inlineStr">
        <is>
          <t>報價時間</t>
        </is>
      </c>
      <c r="G54" s="1523" t="inlineStr">
        <is>
          <t>NOTE</t>
        </is>
      </c>
      <c r="H54" s="1523" t="inlineStr">
        <is>
          <t>聯絡人</t>
        </is>
      </c>
      <c r="I54" s="1523" t="inlineStr">
        <is>
          <t>聯絡方式</t>
        </is>
      </c>
      <c r="J54" s="1523" t="inlineStr">
        <is>
          <t>Email</t>
        </is>
      </c>
    </row>
    <row r="55">
      <c r="B55" s="1509" t="inlineStr">
        <is>
          <t>三惟</t>
        </is>
      </c>
      <c r="C55" s="1509" t="inlineStr">
        <is>
          <t>三惟網站監控</t>
        </is>
      </c>
      <c r="D55" s="845" t="n">
        <v>1500</v>
      </c>
      <c r="E55" s="845" t="inlineStr">
        <is>
          <t>1-99kW</t>
        </is>
      </c>
      <c r="F55" s="1509" t="inlineStr">
        <is>
          <t>2021/8月</t>
        </is>
      </c>
      <c r="G55" s="1140" t="inlineStr">
        <is>
          <t>含專人監控,五年一個package</t>
        </is>
      </c>
      <c r="H55" s="843" t="inlineStr">
        <is>
          <t>朱育龍</t>
        </is>
      </c>
      <c r="I55" s="843" t="inlineStr">
        <is>
          <t>02-6620-8358 / 0928-765206</t>
        </is>
      </c>
      <c r="J55" s="843" t="inlineStr">
        <is>
          <t>Adam-chew@sunware.com.tw</t>
        </is>
      </c>
      <c r="K55" s="873" t="inlineStr">
        <is>
          <t>2020/4月</t>
        </is>
      </c>
    </row>
    <row r="56">
      <c r="B56" s="1509" t="inlineStr">
        <is>
          <t>三惟</t>
        </is>
      </c>
      <c r="C56" s="1509" t="inlineStr">
        <is>
          <t>三惟網站監控</t>
        </is>
      </c>
      <c r="D56" s="845" t="n">
        <v>3000</v>
      </c>
      <c r="E56" s="845" t="inlineStr">
        <is>
          <t>100-299kW</t>
        </is>
      </c>
      <c r="F56" s="1509" t="inlineStr">
        <is>
          <t>2021/8月</t>
        </is>
      </c>
      <c r="G56" s="1977" t="n"/>
      <c r="H56" s="843" t="inlineStr">
        <is>
          <t>朱育龍</t>
        </is>
      </c>
      <c r="I56" s="843" t="inlineStr">
        <is>
          <t>02-6620-8358 / 0928-765206</t>
        </is>
      </c>
      <c r="J56" s="843" t="inlineStr">
        <is>
          <t>Adam-chew@sunware.com.tw</t>
        </is>
      </c>
      <c r="K56" s="872" t="n"/>
    </row>
    <row r="57">
      <c r="B57" s="1509" t="inlineStr">
        <is>
          <t>三惟</t>
        </is>
      </c>
      <c r="C57" s="1509" t="inlineStr">
        <is>
          <t>三惟網站監控</t>
        </is>
      </c>
      <c r="D57" s="845" t="n">
        <v>5000</v>
      </c>
      <c r="E57" s="845" t="inlineStr">
        <is>
          <t>300-499kW</t>
        </is>
      </c>
      <c r="F57" s="1509" t="inlineStr">
        <is>
          <t>2021/8月</t>
        </is>
      </c>
      <c r="G57" s="1977" t="n"/>
      <c r="H57" s="843" t="inlineStr">
        <is>
          <t>朱育龍</t>
        </is>
      </c>
      <c r="I57" s="843" t="inlineStr">
        <is>
          <t>02-6620-8358 / 0928-765206</t>
        </is>
      </c>
      <c r="J57" s="843" t="inlineStr">
        <is>
          <t>Adam-chew@sunware.com.tw</t>
        </is>
      </c>
      <c r="K57" s="872" t="n"/>
    </row>
    <row r="58">
      <c r="B58" s="1509" t="inlineStr">
        <is>
          <t>三惟</t>
        </is>
      </c>
      <c r="C58" s="1509" t="inlineStr">
        <is>
          <t>三惟網站監控</t>
        </is>
      </c>
      <c r="D58" s="845" t="n">
        <v>7500</v>
      </c>
      <c r="E58" s="845" t="inlineStr">
        <is>
          <t>500-999kW</t>
        </is>
      </c>
      <c r="F58" s="1509" t="inlineStr">
        <is>
          <t>2021/8月</t>
        </is>
      </c>
      <c r="G58" s="1979" t="n"/>
      <c r="H58" s="843" t="inlineStr">
        <is>
          <t>朱育龍</t>
        </is>
      </c>
      <c r="I58" s="843" t="inlineStr">
        <is>
          <t>02-6620-8358 / 0928-765206</t>
        </is>
      </c>
      <c r="J58" s="843" t="inlineStr">
        <is>
          <t>Adam-chew@sunware.com.tw</t>
        </is>
      </c>
      <c r="K58" s="872" t="n"/>
    </row>
    <row r="59">
      <c r="B59" s="1523" t="inlineStr">
        <is>
          <t>三惟</t>
        </is>
      </c>
      <c r="C59" s="1523" t="inlineStr">
        <is>
          <t>三惟網站監控</t>
        </is>
      </c>
      <c r="D59" s="232" t="n">
        <v>10000</v>
      </c>
      <c r="E59" s="232" t="inlineStr">
        <is>
          <t>1MW</t>
        </is>
      </c>
      <c r="F59" s="1523" t="inlineStr">
        <is>
          <t>2021/8月</t>
        </is>
      </c>
      <c r="G59" s="209" t="inlineStr">
        <is>
          <t>含專人監控,五年一個package；多1MW加$5000/年</t>
        </is>
      </c>
      <c r="H59" s="205" t="inlineStr">
        <is>
          <t>朱育龍</t>
        </is>
      </c>
      <c r="I59" s="205" t="inlineStr">
        <is>
          <t>02-6620-8358 / 0928-765206</t>
        </is>
      </c>
      <c r="J59" s="871" t="inlineStr">
        <is>
          <t>Adam-chew@sunware.com.tw</t>
        </is>
      </c>
      <c r="K59" s="872" t="n"/>
    </row>
    <row r="60" ht="28.5" customHeight="1" s="1643">
      <c r="B60" s="1523" t="inlineStr">
        <is>
          <t>三惟</t>
        </is>
      </c>
      <c r="C60" s="336" t="inlineStr">
        <is>
          <t>現場軟體安裝、
系統上線測試費</t>
        </is>
      </c>
      <c r="D60" s="232" t="inlineStr">
        <is>
          <t>15,000 (總價)</t>
        </is>
      </c>
      <c r="E60" s="232" t="inlineStr">
        <is>
          <t>1式</t>
        </is>
      </c>
      <c r="F60" s="1523" t="inlineStr">
        <is>
          <t>2021/8月</t>
        </is>
      </c>
      <c r="G60" s="209" t="inlineStr">
        <is>
          <t>Inverter、日照計、溫度計、網路通訊測試設定，能源管理系統安裝設定</t>
        </is>
      </c>
      <c r="H60" s="205" t="inlineStr">
        <is>
          <t>朱育龍</t>
        </is>
      </c>
      <c r="I60" s="205" t="inlineStr">
        <is>
          <t>02-6620-8358 / 0928-765206</t>
        </is>
      </c>
      <c r="J60" s="871" t="inlineStr">
        <is>
          <t>Adam-chew@sunware.com.tw</t>
        </is>
      </c>
      <c r="K60" s="872" t="n"/>
    </row>
    <row r="61">
      <c r="B61" s="207" t="n"/>
      <c r="C61" s="207" t="n"/>
      <c r="D61" s="334" t="n"/>
      <c r="E61" s="334" t="n"/>
      <c r="F61" s="207" t="n"/>
      <c r="G61" s="1493" t="n"/>
    </row>
    <row r="62">
      <c r="B62" s="1523" t="inlineStr">
        <is>
          <t>廠商</t>
        </is>
      </c>
      <c r="C62" s="1523" t="inlineStr">
        <is>
          <t>規格</t>
        </is>
      </c>
      <c r="D62" s="1523" t="inlineStr">
        <is>
          <t>報價(台幣/年)</t>
        </is>
      </c>
      <c r="E62" s="1523" t="inlineStr">
        <is>
          <t>KW</t>
        </is>
      </c>
      <c r="F62" s="1523" t="inlineStr">
        <is>
          <t>報價時間</t>
        </is>
      </c>
      <c r="G62" s="1523" t="inlineStr">
        <is>
          <t>NOTE</t>
        </is>
      </c>
      <c r="H62" s="1523" t="inlineStr">
        <is>
          <t>聯絡人</t>
        </is>
      </c>
      <c r="I62" s="1523" t="inlineStr">
        <is>
          <t>聯絡方式</t>
        </is>
      </c>
      <c r="J62" s="1523" t="inlineStr">
        <is>
          <t>Email</t>
        </is>
      </c>
      <c r="K62" s="1523" t="inlineStr">
        <is>
          <t>報價(台幣)</t>
        </is>
      </c>
    </row>
    <row r="63" ht="16.5" customHeight="1" s="1643">
      <c r="B63" s="1523" t="inlineStr">
        <is>
          <t>慧景</t>
        </is>
      </c>
      <c r="C63" s="1523" t="inlineStr">
        <is>
          <t>慧景網站監控</t>
        </is>
      </c>
      <c r="D63" s="1509">
        <f>K63/5</f>
        <v/>
      </c>
      <c r="E63" s="1509" t="inlineStr">
        <is>
          <t>100kW以下</t>
        </is>
      </c>
      <c r="F63" s="1523" t="inlineStr">
        <is>
          <t>2021/8月</t>
        </is>
      </c>
      <c r="G63" s="1506" t="inlineStr">
        <is>
          <t>五年一個package，共5年
(無專人監控，提供一套系統平臺，供維運及管理電站)</t>
        </is>
      </c>
      <c r="H63" s="205" t="inlineStr">
        <is>
          <t>詹前鋒</t>
        </is>
      </c>
      <c r="I63" s="312" t="inlineStr">
        <is>
          <t>0937-099-803</t>
        </is>
      </c>
      <c r="J63" s="205" t="inlineStr">
        <is>
          <t>max@thingnario.com</t>
        </is>
      </c>
      <c r="K63" s="845" t="n">
        <v>25000</v>
      </c>
    </row>
    <row r="64" ht="14.25" customHeight="1" s="1643">
      <c r="B64" s="1523" t="inlineStr">
        <is>
          <t>慧景</t>
        </is>
      </c>
      <c r="C64" s="1523" t="inlineStr">
        <is>
          <t>慧景網站監控</t>
        </is>
      </c>
      <c r="D64" s="232">
        <f>K64/5</f>
        <v/>
      </c>
      <c r="E64" s="232" t="inlineStr">
        <is>
          <t>99~249kW</t>
        </is>
      </c>
      <c r="F64" s="1523" t="inlineStr">
        <is>
          <t>2021/8月</t>
        </is>
      </c>
      <c r="G64" s="1977" t="n"/>
      <c r="H64" s="205" t="inlineStr">
        <is>
          <t>詹前鋒</t>
        </is>
      </c>
      <c r="I64" s="312" t="inlineStr">
        <is>
          <t>0937-099-803</t>
        </is>
      </c>
      <c r="J64" s="205" t="inlineStr">
        <is>
          <t>max@thingnario.com</t>
        </is>
      </c>
      <c r="K64" s="845" t="n">
        <v>35000</v>
      </c>
    </row>
    <row r="65">
      <c r="B65" s="1523" t="inlineStr">
        <is>
          <t>慧景</t>
        </is>
      </c>
      <c r="C65" s="1523" t="inlineStr">
        <is>
          <t>慧景網站監控</t>
        </is>
      </c>
      <c r="D65" s="232">
        <f>K65/5</f>
        <v/>
      </c>
      <c r="E65" s="232" t="inlineStr">
        <is>
          <t>249~499kW</t>
        </is>
      </c>
      <c r="F65" s="1523" t="inlineStr">
        <is>
          <t>2021/8月</t>
        </is>
      </c>
      <c r="G65" s="1977" t="n"/>
      <c r="H65" s="205" t="inlineStr">
        <is>
          <t>詹前鋒</t>
        </is>
      </c>
      <c r="I65" s="312" t="inlineStr">
        <is>
          <t>0937-099-803</t>
        </is>
      </c>
      <c r="J65" s="205" t="inlineStr">
        <is>
          <t>max@thingnario.com</t>
        </is>
      </c>
      <c r="K65" s="845" t="n">
        <v>45000</v>
      </c>
    </row>
    <row r="66">
      <c r="B66" s="1523" t="inlineStr">
        <is>
          <t>慧景</t>
        </is>
      </c>
      <c r="C66" s="1523" t="inlineStr">
        <is>
          <t>慧景網站監控</t>
        </is>
      </c>
      <c r="D66" s="232">
        <f>K66/5</f>
        <v/>
      </c>
      <c r="E66" s="232" t="inlineStr">
        <is>
          <t>499~999kW</t>
        </is>
      </c>
      <c r="F66" s="1523" t="inlineStr">
        <is>
          <t>2021/8月</t>
        </is>
      </c>
      <c r="G66" s="1977" t="n"/>
      <c r="H66" s="205" t="inlineStr">
        <is>
          <t>詹前鋒</t>
        </is>
      </c>
      <c r="I66" s="312" t="inlineStr">
        <is>
          <t>0937-099-803</t>
        </is>
      </c>
      <c r="J66" s="205" t="inlineStr">
        <is>
          <t>max@thingnario.com</t>
        </is>
      </c>
      <c r="K66" s="845" t="n">
        <v>65000</v>
      </c>
    </row>
    <row r="67" ht="16.5" customHeight="1" s="1643">
      <c r="B67" s="1523" t="inlineStr">
        <is>
          <t>慧景</t>
        </is>
      </c>
      <c r="C67" s="1523" t="inlineStr">
        <is>
          <t>慧景網站監控</t>
        </is>
      </c>
      <c r="D67" s="232">
        <f>K67/20</f>
        <v/>
      </c>
      <c r="E67" s="845" t="inlineStr">
        <is>
          <t>99kW以下</t>
        </is>
      </c>
      <c r="F67" s="1523" t="inlineStr">
        <is>
          <t>2021/8月</t>
        </is>
      </c>
      <c r="G67" s="1506" t="inlineStr">
        <is>
          <t>五年一個package，共20年
(無專人監控，提供一套系統平臺，供維運及管理電站)</t>
        </is>
      </c>
      <c r="H67" s="205" t="inlineStr">
        <is>
          <t>詹前鋒</t>
        </is>
      </c>
      <c r="I67" s="312" t="inlineStr">
        <is>
          <t>0937-099-803</t>
        </is>
      </c>
      <c r="J67" s="205" t="inlineStr">
        <is>
          <t>max@thingnario.com</t>
        </is>
      </c>
      <c r="K67" s="845">
        <f>K63*4</f>
        <v/>
      </c>
    </row>
    <row r="68" ht="14.25" customHeight="1" s="1643">
      <c r="B68" s="1523" t="inlineStr">
        <is>
          <t>慧景</t>
        </is>
      </c>
      <c r="C68" s="1523" t="inlineStr">
        <is>
          <t>慧景網站監控</t>
        </is>
      </c>
      <c r="D68" s="232">
        <f>K68/20</f>
        <v/>
      </c>
      <c r="E68" s="232" t="inlineStr">
        <is>
          <t>99~249kW</t>
        </is>
      </c>
      <c r="F68" s="1523" t="inlineStr">
        <is>
          <t>2021/8月</t>
        </is>
      </c>
      <c r="G68" s="1977" t="n"/>
      <c r="H68" s="205" t="inlineStr">
        <is>
          <t>詹前鋒</t>
        </is>
      </c>
      <c r="I68" s="312" t="inlineStr">
        <is>
          <t>0937-099-803</t>
        </is>
      </c>
      <c r="J68" s="205" t="inlineStr">
        <is>
          <t>max@thingnario.com</t>
        </is>
      </c>
      <c r="K68" s="845">
        <f>K64*4</f>
        <v/>
      </c>
    </row>
    <row r="69">
      <c r="B69" s="1523" t="inlineStr">
        <is>
          <t>慧景</t>
        </is>
      </c>
      <c r="C69" s="1523" t="inlineStr">
        <is>
          <t>慧景網站監控</t>
        </is>
      </c>
      <c r="D69" s="232">
        <f>K69/20</f>
        <v/>
      </c>
      <c r="E69" s="232" t="inlineStr">
        <is>
          <t>249~499kW</t>
        </is>
      </c>
      <c r="F69" s="1523" t="inlineStr">
        <is>
          <t>2021/8月</t>
        </is>
      </c>
      <c r="G69" s="1977" t="n"/>
      <c r="H69" s="205" t="inlineStr">
        <is>
          <t>詹前鋒</t>
        </is>
      </c>
      <c r="I69" s="312" t="inlineStr">
        <is>
          <t>0937-099-803</t>
        </is>
      </c>
      <c r="J69" s="205" t="inlineStr">
        <is>
          <t>max@thingnario.com</t>
        </is>
      </c>
      <c r="K69" s="845">
        <f>K65*4</f>
        <v/>
      </c>
    </row>
    <row r="70">
      <c r="B70" s="1523" t="inlineStr">
        <is>
          <t>慧景</t>
        </is>
      </c>
      <c r="C70" s="1523" t="inlineStr">
        <is>
          <t>慧景網站監控</t>
        </is>
      </c>
      <c r="D70" s="232">
        <f>K70/20</f>
        <v/>
      </c>
      <c r="E70" s="232" t="inlineStr">
        <is>
          <t>499~999kW</t>
        </is>
      </c>
      <c r="F70" s="1523" t="inlineStr">
        <is>
          <t>2021/8月</t>
        </is>
      </c>
      <c r="G70" s="1977" t="n"/>
      <c r="H70" s="205" t="inlineStr">
        <is>
          <t>詹前鋒</t>
        </is>
      </c>
      <c r="I70" s="312" t="inlineStr">
        <is>
          <t>0937-099-803</t>
        </is>
      </c>
      <c r="J70" s="205" t="inlineStr">
        <is>
          <t>max@thingnario.com</t>
        </is>
      </c>
      <c r="K70" s="845">
        <f>K66*4</f>
        <v/>
      </c>
    </row>
    <row r="71">
      <c r="B71" s="1523" t="inlineStr">
        <is>
          <t>慧景</t>
        </is>
      </c>
      <c r="C71" s="1523" t="inlineStr">
        <is>
          <t>慧景網站監控</t>
        </is>
      </c>
      <c r="D71" s="232">
        <f>K71/20</f>
        <v/>
      </c>
      <c r="E71" s="845" t="inlineStr">
        <is>
          <t>99kW以下</t>
        </is>
      </c>
      <c r="F71" s="1523" t="inlineStr">
        <is>
          <t>2021/8月</t>
        </is>
      </c>
      <c r="G71" s="2107" t="inlineStr">
        <is>
          <t>二十年一個package，共20年
(無專人監控，提供一套系統平臺，供維運及管理電站)</t>
        </is>
      </c>
      <c r="H71" s="205" t="inlineStr">
        <is>
          <t>詹前鋒</t>
        </is>
      </c>
      <c r="I71" s="312" t="inlineStr">
        <is>
          <t>0937-099-803</t>
        </is>
      </c>
      <c r="J71" s="205" t="inlineStr">
        <is>
          <t>max@thingnario.com</t>
        </is>
      </c>
      <c r="K71" s="845">
        <f>K67*L71</f>
        <v/>
      </c>
      <c r="L71" s="870" t="n">
        <v>0.95</v>
      </c>
    </row>
    <row r="72" ht="14.25" customHeight="1" s="1643">
      <c r="B72" s="1523" t="inlineStr">
        <is>
          <t>慧景</t>
        </is>
      </c>
      <c r="C72" s="1523" t="inlineStr">
        <is>
          <t>慧景網站監控</t>
        </is>
      </c>
      <c r="D72" s="232">
        <f>K72/20</f>
        <v/>
      </c>
      <c r="E72" s="232" t="inlineStr">
        <is>
          <t>99~249kW</t>
        </is>
      </c>
      <c r="F72" s="1523" t="inlineStr">
        <is>
          <t>2021/8月</t>
        </is>
      </c>
      <c r="G72" s="1977" t="n"/>
      <c r="H72" s="205" t="inlineStr">
        <is>
          <t>詹前鋒</t>
        </is>
      </c>
      <c r="I72" s="312" t="inlineStr">
        <is>
          <t>0937-099-803</t>
        </is>
      </c>
      <c r="J72" s="205" t="inlineStr">
        <is>
          <t>max@thingnario.com</t>
        </is>
      </c>
      <c r="K72" s="845">
        <f>K68*L71</f>
        <v/>
      </c>
    </row>
    <row r="73">
      <c r="B73" s="1523" t="inlineStr">
        <is>
          <t>慧景</t>
        </is>
      </c>
      <c r="C73" s="1523" t="inlineStr">
        <is>
          <t>慧景網站監控</t>
        </is>
      </c>
      <c r="D73" s="232">
        <f>K73/20</f>
        <v/>
      </c>
      <c r="E73" s="232" t="inlineStr">
        <is>
          <t>249~499kW</t>
        </is>
      </c>
      <c r="F73" s="1523" t="inlineStr">
        <is>
          <t>2021/8月</t>
        </is>
      </c>
      <c r="G73" s="1977" t="n"/>
      <c r="H73" s="205" t="inlineStr">
        <is>
          <t>詹前鋒</t>
        </is>
      </c>
      <c r="I73" s="312" t="inlineStr">
        <is>
          <t>0937-099-803</t>
        </is>
      </c>
      <c r="J73" s="205" t="inlineStr">
        <is>
          <t>max@thingnario.com</t>
        </is>
      </c>
      <c r="K73" s="845">
        <f>K69*L71</f>
        <v/>
      </c>
    </row>
    <row r="74">
      <c r="B74" s="1523" t="inlineStr">
        <is>
          <t>慧景</t>
        </is>
      </c>
      <c r="C74" s="1523" t="inlineStr">
        <is>
          <t>慧景網站監控</t>
        </is>
      </c>
      <c r="D74" s="232">
        <f>K74/20</f>
        <v/>
      </c>
      <c r="E74" s="232" t="inlineStr">
        <is>
          <t>499~999kW</t>
        </is>
      </c>
      <c r="F74" s="1523" t="inlineStr">
        <is>
          <t>2021/8月</t>
        </is>
      </c>
      <c r="G74" s="1979" t="n"/>
      <c r="H74" s="205" t="inlineStr">
        <is>
          <t>詹前鋒</t>
        </is>
      </c>
      <c r="I74" s="312" t="inlineStr">
        <is>
          <t>0937-099-803</t>
        </is>
      </c>
      <c r="J74" s="205" t="inlineStr">
        <is>
          <t>max@thingnario.com</t>
        </is>
      </c>
      <c r="K74" s="845">
        <f>K70*L71</f>
        <v/>
      </c>
    </row>
    <row r="75">
      <c r="B75" s="207" t="n"/>
      <c r="C75" s="207" t="n"/>
      <c r="D75" s="334" t="n"/>
      <c r="E75" s="334" t="n"/>
      <c r="F75" s="207" t="n"/>
      <c r="G75" s="869" t="n"/>
      <c r="I75" s="868" t="n"/>
      <c r="K75" s="334" t="n"/>
    </row>
    <row r="76">
      <c r="B76" s="5" t="inlineStr">
        <is>
          <t>Dreams系統</t>
        </is>
      </c>
      <c r="C76" s="877" t="inlineStr">
        <is>
          <t>同一廠址總裝置容量500kW以上時，須裝設遙控監視設備並接受台電安全調度(110.08.05)</t>
        </is>
      </c>
    </row>
    <row r="77">
      <c r="B77" s="1509" t="inlineStr">
        <is>
          <t>廠商</t>
        </is>
      </c>
      <c r="C77" s="1509" t="inlineStr">
        <is>
          <t>規格</t>
        </is>
      </c>
      <c r="D77" s="1509" t="inlineStr">
        <is>
          <t>報價(台幣)</t>
        </is>
      </c>
      <c r="E77" s="1509" t="inlineStr">
        <is>
          <t>KW</t>
        </is>
      </c>
      <c r="F77" s="1509" t="inlineStr">
        <is>
          <t>報價時間</t>
        </is>
      </c>
      <c r="G77" s="1509" t="inlineStr">
        <is>
          <t>NOTE</t>
        </is>
      </c>
      <c r="H77" s="1509" t="inlineStr">
        <is>
          <t>聯絡人</t>
        </is>
      </c>
      <c r="I77" s="1509" t="inlineStr">
        <is>
          <t>聯絡方式</t>
        </is>
      </c>
      <c r="J77" s="1509" t="inlineStr">
        <is>
          <t>Email</t>
        </is>
      </c>
      <c r="K77" s="1523" t="inlineStr">
        <is>
          <t>報價(台幣/年)</t>
        </is>
      </c>
    </row>
    <row r="78">
      <c r="B78" s="1509" t="inlineStr">
        <is>
          <t>沅碁</t>
        </is>
      </c>
      <c r="C78" s="1509" t="inlineStr">
        <is>
          <t>沅碁網站監控</t>
        </is>
      </c>
      <c r="D78" s="845">
        <f>K78*20</f>
        <v/>
      </c>
      <c r="E78" s="845" t="inlineStr">
        <is>
          <t>-</t>
        </is>
      </c>
      <c r="F78" s="1509" t="inlineStr">
        <is>
          <t>2021/8月</t>
        </is>
      </c>
      <c r="G78" s="1517" t="inlineStr">
        <is>
          <t>5年一個package，年繳，無SIM卡，無KW級距，含logger，不含施工</t>
        </is>
      </c>
      <c r="H78" s="843" t="inlineStr">
        <is>
          <t>王振城</t>
        </is>
      </c>
      <c r="I78" s="867" t="inlineStr">
        <is>
          <t>0928-225-333</t>
        </is>
      </c>
      <c r="J78" s="843" t="inlineStr">
        <is>
          <t>max@sunedge.com.tw</t>
        </is>
      </c>
      <c r="K78" s="878" t="n">
        <v>1200</v>
      </c>
    </row>
    <row r="79">
      <c r="B79" s="1509" t="inlineStr">
        <is>
          <t>沅碁</t>
        </is>
      </c>
      <c r="C79" s="1509" t="inlineStr">
        <is>
          <t>沅碁網站監控</t>
        </is>
      </c>
      <c r="D79" s="845">
        <f>K79*20</f>
        <v/>
      </c>
      <c r="E79" s="845" t="inlineStr">
        <is>
          <t>-</t>
        </is>
      </c>
      <c r="F79" s="1509" t="inlineStr">
        <is>
          <t>2021/8月</t>
        </is>
      </c>
      <c r="G79" s="1517" t="inlineStr">
        <is>
          <t>20年一個package，年繳，無SIM卡，無KW級距，含logger，不含施工</t>
        </is>
      </c>
      <c r="H79" s="843" t="inlineStr">
        <is>
          <t>王振城</t>
        </is>
      </c>
      <c r="I79" s="867" t="inlineStr">
        <is>
          <t>0928-225-333</t>
        </is>
      </c>
      <c r="J79" s="843" t="inlineStr">
        <is>
          <t>max@sunedge.com.tw</t>
        </is>
      </c>
      <c r="K79" s="878" t="n">
        <v>1050</v>
      </c>
    </row>
    <row r="80" customFormat="1" s="884">
      <c r="B80" s="885" t="inlineStr">
        <is>
          <t>沅碁</t>
        </is>
      </c>
      <c r="C80" s="885" t="inlineStr">
        <is>
          <t>沅碁網站監控</t>
        </is>
      </c>
      <c r="D80" s="886" t="n">
        <v>28000</v>
      </c>
      <c r="E80" s="886" t="inlineStr">
        <is>
          <t>500~1MW</t>
        </is>
      </c>
      <c r="F80" s="885" t="inlineStr">
        <is>
          <t>2021/9月</t>
        </is>
      </c>
      <c r="G80" s="1521" t="inlineStr">
        <is>
          <t>5年</t>
        </is>
      </c>
      <c r="H80" s="887" t="inlineStr">
        <is>
          <t>王振城</t>
        </is>
      </c>
      <c r="I80" s="888" t="inlineStr">
        <is>
          <t>0928-225-333</t>
        </is>
      </c>
      <c r="J80" s="887" t="inlineStr">
        <is>
          <t>max@sunedge.com.tw</t>
        </is>
      </c>
      <c r="K80" s="891" t="n"/>
    </row>
    <row r="81" customFormat="1" s="884">
      <c r="B81" s="885" t="inlineStr">
        <is>
          <t>沅碁</t>
        </is>
      </c>
      <c r="C81" s="885" t="inlineStr">
        <is>
          <t>沅碁網站監控</t>
        </is>
      </c>
      <c r="D81" s="886" t="n">
        <v>35000</v>
      </c>
      <c r="E81" s="886" t="inlineStr">
        <is>
          <t>500~1MW</t>
        </is>
      </c>
      <c r="F81" s="885" t="inlineStr">
        <is>
          <t>2021/9月</t>
        </is>
      </c>
      <c r="G81" s="1521" t="inlineStr">
        <is>
          <t>5年+4G SIM卡</t>
        </is>
      </c>
      <c r="H81" s="887" t="inlineStr">
        <is>
          <t>王振城</t>
        </is>
      </c>
      <c r="I81" s="888" t="inlineStr">
        <is>
          <t>0928-225-333</t>
        </is>
      </c>
      <c r="J81" s="887" t="inlineStr">
        <is>
          <t>max@sunedge.com.tw</t>
        </is>
      </c>
      <c r="K81" s="891" t="n"/>
    </row>
    <row r="82" customFormat="1" s="884">
      <c r="B82" s="885" t="inlineStr">
        <is>
          <t>沅碁</t>
        </is>
      </c>
      <c r="C82" s="885" t="inlineStr">
        <is>
          <t>沅碁網站監控</t>
        </is>
      </c>
      <c r="D82" s="886" t="n">
        <v>102000</v>
      </c>
      <c r="E82" s="886" t="inlineStr">
        <is>
          <t>500~1MW</t>
        </is>
      </c>
      <c r="F82" s="885" t="inlineStr">
        <is>
          <t>2021/9月</t>
        </is>
      </c>
      <c r="G82" s="1521" t="inlineStr">
        <is>
          <t>20年</t>
        </is>
      </c>
      <c r="H82" s="887" t="inlineStr">
        <is>
          <t>王振城</t>
        </is>
      </c>
      <c r="I82" s="888" t="inlineStr">
        <is>
          <t>0928-225-333</t>
        </is>
      </c>
      <c r="J82" s="887" t="inlineStr">
        <is>
          <t>max@sunedge.com.tw</t>
        </is>
      </c>
      <c r="K82" s="891" t="n"/>
    </row>
    <row r="83" customFormat="1" s="884">
      <c r="B83" s="885" t="inlineStr">
        <is>
          <t>沅碁</t>
        </is>
      </c>
      <c r="C83" s="885" t="inlineStr">
        <is>
          <t>沅碁網站監控</t>
        </is>
      </c>
      <c r="D83" s="886" t="n">
        <v>130000</v>
      </c>
      <c r="E83" s="886" t="inlineStr">
        <is>
          <t>500~1MW</t>
        </is>
      </c>
      <c r="F83" s="885" t="inlineStr">
        <is>
          <t>2021/9月</t>
        </is>
      </c>
      <c r="G83" s="1521" t="inlineStr">
        <is>
          <t>20年+4G SIM卡</t>
        </is>
      </c>
      <c r="H83" s="887" t="inlineStr">
        <is>
          <t>王振城</t>
        </is>
      </c>
      <c r="I83" s="888" t="inlineStr">
        <is>
          <t>0928-225-333</t>
        </is>
      </c>
      <c r="J83" s="887" t="inlineStr">
        <is>
          <t>max@sunedge.com.tw</t>
        </is>
      </c>
      <c r="K83" s="891" t="n"/>
    </row>
    <row r="84" customFormat="1" s="884">
      <c r="B84" s="885" t="inlineStr">
        <is>
          <t>沅碁</t>
        </is>
      </c>
      <c r="C84" s="885" t="inlineStr">
        <is>
          <t>沅碁網站監控</t>
        </is>
      </c>
      <c r="D84" s="886" t="n">
        <v>68000</v>
      </c>
      <c r="E84" s="886" t="inlineStr">
        <is>
          <t>1MW以上</t>
        </is>
      </c>
      <c r="F84" s="885" t="inlineStr">
        <is>
          <t>2021/9月</t>
        </is>
      </c>
      <c r="G84" s="1521" t="inlineStr">
        <is>
          <t>5年</t>
        </is>
      </c>
      <c r="H84" s="887" t="inlineStr">
        <is>
          <t>王振城</t>
        </is>
      </c>
      <c r="I84" s="888" t="inlineStr">
        <is>
          <t>0928-225-333</t>
        </is>
      </c>
      <c r="J84" s="887" t="inlineStr">
        <is>
          <t>max@sunedge.com.tw</t>
        </is>
      </c>
      <c r="K84" s="891" t="n"/>
    </row>
    <row r="85" customFormat="1" s="884">
      <c r="B85" s="885" t="inlineStr">
        <is>
          <t>沅碁</t>
        </is>
      </c>
      <c r="C85" s="885" t="inlineStr">
        <is>
          <t>沅碁網站監控</t>
        </is>
      </c>
      <c r="D85" s="886" t="n">
        <v>75000</v>
      </c>
      <c r="E85" s="886" t="inlineStr">
        <is>
          <t>1MW以上</t>
        </is>
      </c>
      <c r="F85" s="885" t="inlineStr">
        <is>
          <t>2021/9月</t>
        </is>
      </c>
      <c r="G85" s="1521" t="inlineStr">
        <is>
          <t>5年+4G SIM卡</t>
        </is>
      </c>
      <c r="H85" s="887" t="inlineStr">
        <is>
          <t>王振城</t>
        </is>
      </c>
      <c r="I85" s="888" t="inlineStr">
        <is>
          <t>0928-225-333</t>
        </is>
      </c>
      <c r="J85" s="887" t="inlineStr">
        <is>
          <t>max@sunedge.com.tw</t>
        </is>
      </c>
      <c r="K85" s="891" t="n"/>
    </row>
    <row r="86" customFormat="1" s="884">
      <c r="B86" s="885" t="inlineStr">
        <is>
          <t>沅碁</t>
        </is>
      </c>
      <c r="C86" s="885" t="inlineStr">
        <is>
          <t>沅碁網站監控</t>
        </is>
      </c>
      <c r="D86" s="886" t="n">
        <v>222000</v>
      </c>
      <c r="E86" s="886" t="inlineStr">
        <is>
          <t>1MW以上</t>
        </is>
      </c>
      <c r="F86" s="885" t="inlineStr">
        <is>
          <t>2021/9月</t>
        </is>
      </c>
      <c r="G86" s="1521" t="inlineStr">
        <is>
          <t>20年</t>
        </is>
      </c>
      <c r="H86" s="887" t="inlineStr">
        <is>
          <t>王振城</t>
        </is>
      </c>
      <c r="I86" s="888" t="inlineStr">
        <is>
          <t>0928-225-333</t>
        </is>
      </c>
      <c r="J86" s="887" t="inlineStr">
        <is>
          <t>max@sunedge.com.tw</t>
        </is>
      </c>
      <c r="K86" s="891" t="n"/>
    </row>
    <row r="87" customFormat="1" s="884">
      <c r="B87" s="885" t="inlineStr">
        <is>
          <t>沅碁</t>
        </is>
      </c>
      <c r="C87" s="885" t="inlineStr">
        <is>
          <t>沅碁網站監控</t>
        </is>
      </c>
      <c r="D87" s="886" t="n">
        <v>250000</v>
      </c>
      <c r="E87" s="886" t="inlineStr">
        <is>
          <t>1MW以上</t>
        </is>
      </c>
      <c r="F87" s="885" t="inlineStr">
        <is>
          <t>2021/9月</t>
        </is>
      </c>
      <c r="G87" s="1521" t="inlineStr">
        <is>
          <t>20年+4G SIM卡</t>
        </is>
      </c>
      <c r="H87" s="887" t="inlineStr">
        <is>
          <t>王振城</t>
        </is>
      </c>
      <c r="I87" s="888" t="inlineStr">
        <is>
          <t>0928-225-333</t>
        </is>
      </c>
      <c r="J87" s="887" t="inlineStr">
        <is>
          <t>max@sunedge.com.tw</t>
        </is>
      </c>
      <c r="K87" s="891" t="n"/>
    </row>
    <row r="88">
      <c r="B88" s="207" t="n"/>
      <c r="C88" s="207" t="n"/>
      <c r="D88" s="334" t="n"/>
      <c r="E88" s="334" t="n"/>
      <c r="F88" s="207" t="n"/>
      <c r="G88" s="1493" t="n"/>
      <c r="I88" s="868" t="n"/>
      <c r="K88" s="334" t="n"/>
    </row>
    <row r="89">
      <c r="B89" s="1509" t="inlineStr">
        <is>
          <t>廠商</t>
        </is>
      </c>
      <c r="C89" s="1509" t="inlineStr">
        <is>
          <t>規格</t>
        </is>
      </c>
      <c r="D89" s="1509" t="inlineStr">
        <is>
          <t>報價(台幣)</t>
        </is>
      </c>
      <c r="E89" s="1509" t="inlineStr">
        <is>
          <t>KW</t>
        </is>
      </c>
      <c r="F89" s="1509" t="inlineStr">
        <is>
          <t>報價時間</t>
        </is>
      </c>
      <c r="G89" s="1509" t="inlineStr">
        <is>
          <t>NOTE</t>
        </is>
      </c>
      <c r="H89" s="1509" t="inlineStr">
        <is>
          <t>聯絡人</t>
        </is>
      </c>
      <c r="I89" s="1509" t="inlineStr">
        <is>
          <t>聯絡方式</t>
        </is>
      </c>
      <c r="J89" s="1509" t="inlineStr">
        <is>
          <t>Email</t>
        </is>
      </c>
      <c r="K89" s="1509" t="inlineStr">
        <is>
          <t>報價(台幣/年)</t>
        </is>
      </c>
    </row>
    <row r="90">
      <c r="B90" s="1523" t="inlineStr">
        <is>
          <t>三惟</t>
        </is>
      </c>
      <c r="C90" s="1523" t="inlineStr">
        <is>
          <t>三惟網站監控</t>
        </is>
      </c>
      <c r="D90" s="845">
        <f>K90*20</f>
        <v/>
      </c>
      <c r="E90" s="845" t="inlineStr">
        <is>
          <t>-</t>
        </is>
      </c>
      <c r="F90" s="1509" t="inlineStr">
        <is>
          <t>2021/8月</t>
        </is>
      </c>
      <c r="G90" s="1517" t="inlineStr">
        <is>
          <t>20年，年繳，無SIM卡，無KW級距</t>
        </is>
      </c>
      <c r="H90" s="843" t="inlineStr">
        <is>
          <t>詹前鋒</t>
        </is>
      </c>
      <c r="I90" s="867" t="inlineStr">
        <is>
          <t>0937-099-803</t>
        </is>
      </c>
      <c r="J90" s="843" t="inlineStr">
        <is>
          <t>max@thingnario.com</t>
        </is>
      </c>
      <c r="K90" s="845" t="n">
        <v>3000</v>
      </c>
    </row>
    <row r="91" ht="28.5" customHeight="1" s="1643">
      <c r="B91" s="1523" t="inlineStr">
        <is>
          <t>三惟</t>
        </is>
      </c>
      <c r="C91" s="336" t="inlineStr">
        <is>
          <t>台電Dreams系統
上線設定</t>
        </is>
      </c>
      <c r="D91" s="845" t="n">
        <v>55000</v>
      </c>
      <c r="E91" s="845" t="inlineStr">
        <is>
          <t>1式</t>
        </is>
      </c>
      <c r="F91" s="1509" t="inlineStr">
        <is>
          <t>2021/8月</t>
        </is>
      </c>
      <c r="G91" s="876" t="inlineStr">
        <is>
          <t>含雲端Gateway+電源供應器(保固一年，延保5年一次 $10,000 未稅)，
台電Dreams申請跑件、雲端上線，Dreams VPN訊號測試</t>
        </is>
      </c>
      <c r="H91" s="843" t="inlineStr">
        <is>
          <t>詹前鋒</t>
        </is>
      </c>
      <c r="I91" s="867" t="inlineStr">
        <is>
          <t>0937-099-803</t>
        </is>
      </c>
      <c r="J91" s="843" t="inlineStr">
        <is>
          <t>max@thingnario.com</t>
        </is>
      </c>
      <c r="K91" s="845" t="n">
        <v>3000</v>
      </c>
    </row>
    <row r="92">
      <c r="B92" s="207" t="n"/>
      <c r="C92" s="207" t="n"/>
      <c r="D92" s="334" t="n"/>
      <c r="E92" s="334" t="n"/>
      <c r="F92" s="207" t="n"/>
      <c r="G92" s="1493" t="n"/>
      <c r="I92" s="868" t="n"/>
    </row>
    <row r="93">
      <c r="B93" s="1509" t="inlineStr">
        <is>
          <t>廠商</t>
        </is>
      </c>
      <c r="C93" s="1509" t="inlineStr">
        <is>
          <t>規格</t>
        </is>
      </c>
      <c r="D93" s="1509" t="inlineStr">
        <is>
          <t>報價(台幣)</t>
        </is>
      </c>
      <c r="E93" s="1509" t="inlineStr">
        <is>
          <t>KW</t>
        </is>
      </c>
      <c r="F93" s="1509" t="inlineStr">
        <is>
          <t>報價時間</t>
        </is>
      </c>
      <c r="G93" s="1509" t="inlineStr">
        <is>
          <t>NOTE</t>
        </is>
      </c>
      <c r="H93" s="1509" t="inlineStr">
        <is>
          <t>聯絡人</t>
        </is>
      </c>
      <c r="I93" s="1509" t="inlineStr">
        <is>
          <t>聯絡方式</t>
        </is>
      </c>
      <c r="J93" s="1509" t="inlineStr">
        <is>
          <t>Email</t>
        </is>
      </c>
      <c r="K93" s="207" t="inlineStr">
        <is>
          <t>備註</t>
        </is>
      </c>
    </row>
    <row r="94">
      <c r="B94" s="1509" t="inlineStr">
        <is>
          <t>慧景</t>
        </is>
      </c>
      <c r="C94" s="1509" t="inlineStr">
        <is>
          <t>慧景網站監控</t>
        </is>
      </c>
      <c r="D94" s="845" t="n">
        <v>35000</v>
      </c>
      <c r="E94" s="845" t="inlineStr">
        <is>
          <t>500~1MW</t>
        </is>
      </c>
      <c r="F94" s="1509" t="inlineStr">
        <is>
          <t>2021/8月</t>
        </is>
      </c>
      <c r="G94" s="1517" t="inlineStr">
        <is>
          <t>5年</t>
        </is>
      </c>
      <c r="H94" s="843" t="inlineStr">
        <is>
          <t>詹前鋒</t>
        </is>
      </c>
      <c r="I94" s="867" t="inlineStr">
        <is>
          <t>0937-099-803</t>
        </is>
      </c>
      <c r="J94" s="843" t="inlineStr">
        <is>
          <t>max@thingnario.com</t>
        </is>
      </c>
      <c r="K94" s="875" t="inlineStr">
        <is>
          <t>1.SIM卡 $6000(5年)=$1200(1年)=$100(1個月)</t>
        </is>
      </c>
    </row>
    <row r="95">
      <c r="B95" s="1509" t="inlineStr">
        <is>
          <t>慧景</t>
        </is>
      </c>
      <c r="C95" s="1509" t="inlineStr">
        <is>
          <t>慧景網站監控</t>
        </is>
      </c>
      <c r="D95" s="845" t="n">
        <v>41000</v>
      </c>
      <c r="E95" s="845" t="inlineStr">
        <is>
          <t>500~1MW</t>
        </is>
      </c>
      <c r="F95" s="1509" t="inlineStr">
        <is>
          <t>2021/8月</t>
        </is>
      </c>
      <c r="G95" s="1517" t="inlineStr">
        <is>
          <t>5年+SIM卡</t>
        </is>
      </c>
      <c r="H95" s="843" t="inlineStr">
        <is>
          <t>詹前鋒</t>
        </is>
      </c>
      <c r="I95" s="867" t="inlineStr">
        <is>
          <t>0937-099-803</t>
        </is>
      </c>
      <c r="J95" s="843" t="inlineStr">
        <is>
          <t>max@thingnario.com</t>
        </is>
      </c>
      <c r="K95" s="1493" t="inlineStr">
        <is>
          <t>2.報價內含了logger (軟硬體皆含)</t>
        </is>
      </c>
    </row>
    <row r="96">
      <c r="B96" s="1523" t="inlineStr">
        <is>
          <t>慧景</t>
        </is>
      </c>
      <c r="C96" s="1523" t="inlineStr">
        <is>
          <t>慧景網站監控</t>
        </is>
      </c>
      <c r="D96" s="232" t="n">
        <v>200000</v>
      </c>
      <c r="E96" s="232" t="inlineStr">
        <is>
          <t>500~1MW</t>
        </is>
      </c>
      <c r="F96" s="1523" t="inlineStr">
        <is>
          <t>2021/8月</t>
        </is>
      </c>
      <c r="G96" s="209" t="inlineStr">
        <is>
          <t>20年</t>
        </is>
      </c>
      <c r="H96" s="205" t="inlineStr">
        <is>
          <t>詹前鋒</t>
        </is>
      </c>
      <c r="I96" s="312" t="inlineStr">
        <is>
          <t>0937-099-803</t>
        </is>
      </c>
      <c r="J96" s="205" t="inlineStr">
        <is>
          <t>max@thingnario.com</t>
        </is>
      </c>
      <c r="K96" s="879" t="inlineStr">
        <is>
          <t>3.買監控20年一次付清送Dreams</t>
        </is>
      </c>
    </row>
    <row r="97">
      <c r="B97" s="1523" t="inlineStr">
        <is>
          <t>慧景</t>
        </is>
      </c>
      <c r="C97" s="1523" t="inlineStr">
        <is>
          <t>慧景網站監控</t>
        </is>
      </c>
      <c r="D97" s="232" t="n">
        <v>224000</v>
      </c>
      <c r="E97" s="232" t="inlineStr">
        <is>
          <t>500~1MW</t>
        </is>
      </c>
      <c r="F97" s="1523" t="inlineStr">
        <is>
          <t>2021/8月</t>
        </is>
      </c>
      <c r="G97" s="209" t="inlineStr">
        <is>
          <t>20年+SIM卡</t>
        </is>
      </c>
      <c r="H97" s="205" t="inlineStr">
        <is>
          <t>詹前鋒</t>
        </is>
      </c>
      <c r="I97" s="312" t="inlineStr">
        <is>
          <t>0937-099-803</t>
        </is>
      </c>
      <c r="J97" s="205" t="inlineStr">
        <is>
          <t>max@thingnario.com</t>
        </is>
      </c>
      <c r="K97" s="1493" t="inlineStr">
        <is>
          <t>4.不含環控設備(日照計、溫度計)</t>
        </is>
      </c>
    </row>
    <row r="98">
      <c r="B98" s="1523" t="inlineStr">
        <is>
          <t>慧景</t>
        </is>
      </c>
      <c r="C98" s="1523" t="inlineStr">
        <is>
          <t>慧景網站監控</t>
        </is>
      </c>
      <c r="D98" s="232" t="n">
        <v>72000</v>
      </c>
      <c r="E98" s="232" t="inlineStr">
        <is>
          <t>1~2MW</t>
        </is>
      </c>
      <c r="F98" s="1523" t="inlineStr">
        <is>
          <t>2021/8月</t>
        </is>
      </c>
      <c r="G98" s="209" t="inlineStr">
        <is>
          <t>5年+SIM卡</t>
        </is>
      </c>
      <c r="H98" s="205" t="inlineStr">
        <is>
          <t>詹前鋒</t>
        </is>
      </c>
      <c r="I98" s="312" t="inlineStr">
        <is>
          <t>0937-099-803</t>
        </is>
      </c>
      <c r="J98" s="205" t="inlineStr">
        <is>
          <t>max@thingnario.com</t>
        </is>
      </c>
      <c r="K98" s="1493" t="inlineStr">
        <is>
          <t>5.硬體設備保固同軟體年限(雷擊不保固)</t>
        </is>
      </c>
    </row>
    <row r="99">
      <c r="B99" s="1523" t="inlineStr">
        <is>
          <t>慧景</t>
        </is>
      </c>
      <c r="C99" s="1523" t="inlineStr">
        <is>
          <t>慧景網站監控</t>
        </is>
      </c>
      <c r="D99" s="232" t="n">
        <v>288000</v>
      </c>
      <c r="E99" s="232" t="inlineStr">
        <is>
          <t>1~2MW</t>
        </is>
      </c>
      <c r="F99" s="1523" t="inlineStr">
        <is>
          <t>2021/8月</t>
        </is>
      </c>
      <c r="G99" s="209" t="inlineStr">
        <is>
          <t>20年+SIM卡</t>
        </is>
      </c>
      <c r="H99" s="205" t="inlineStr">
        <is>
          <t>詹前鋒</t>
        </is>
      </c>
      <c r="I99" s="312" t="inlineStr">
        <is>
          <t>0937-099-803</t>
        </is>
      </c>
      <c r="J99" s="205" t="inlineStr">
        <is>
          <t>max@thingnario.com</t>
        </is>
      </c>
    </row>
    <row r="100">
      <c r="B100" s="207" t="n"/>
      <c r="C100" s="207" t="n"/>
      <c r="D100" s="334" t="n"/>
      <c r="E100" s="334" t="n"/>
      <c r="F100" s="207" t="n"/>
      <c r="G100" s="1493" t="n"/>
      <c r="I100" s="868" t="n"/>
    </row>
    <row r="101">
      <c r="B101" s="5" t="inlineStr">
        <is>
          <t>雲端系統+Dreams系統</t>
        </is>
      </c>
      <c r="F101" s="302" t="n"/>
    </row>
    <row r="102">
      <c r="B102" s="1509" t="inlineStr">
        <is>
          <t>廠商</t>
        </is>
      </c>
      <c r="C102" s="1509" t="inlineStr">
        <is>
          <t>規格</t>
        </is>
      </c>
      <c r="D102" s="1509" t="inlineStr">
        <is>
          <t>報價(台幣)</t>
        </is>
      </c>
      <c r="E102" s="1509" t="inlineStr">
        <is>
          <t>KW</t>
        </is>
      </c>
      <c r="F102" s="1509" t="inlineStr">
        <is>
          <t>報價時間</t>
        </is>
      </c>
      <c r="G102" s="1509" t="inlineStr">
        <is>
          <t>NOTE</t>
        </is>
      </c>
      <c r="H102" s="1509" t="inlineStr">
        <is>
          <t>聯絡人</t>
        </is>
      </c>
      <c r="I102" s="1509" t="inlineStr">
        <is>
          <t>聯絡方式</t>
        </is>
      </c>
      <c r="J102" s="1509" t="inlineStr">
        <is>
          <t>Email</t>
        </is>
      </c>
      <c r="K102" s="207" t="n"/>
    </row>
    <row r="103" customFormat="1" s="884">
      <c r="B103" s="885" t="inlineStr">
        <is>
          <t>沅碁</t>
        </is>
      </c>
      <c r="C103" s="885" t="inlineStr">
        <is>
          <t>沅碁網站監控</t>
        </is>
      </c>
      <c r="D103" s="886" t="n"/>
      <c r="E103" s="886" t="inlineStr">
        <is>
          <t>500~1MW</t>
        </is>
      </c>
      <c r="F103" s="885" t="inlineStr">
        <is>
          <t>2021/9月</t>
        </is>
      </c>
      <c r="G103" s="1521" t="inlineStr">
        <is>
          <t>5年</t>
        </is>
      </c>
      <c r="H103" s="887" t="inlineStr">
        <is>
          <t>王振城</t>
        </is>
      </c>
      <c r="I103" s="888" t="inlineStr">
        <is>
          <t>0928-225-333</t>
        </is>
      </c>
      <c r="J103" s="887" t="inlineStr">
        <is>
          <t>max@sunedge.com.tw</t>
        </is>
      </c>
      <c r="K103" s="891" t="n"/>
    </row>
    <row r="104" customFormat="1" s="884">
      <c r="B104" s="885" t="inlineStr">
        <is>
          <t>沅碁</t>
        </is>
      </c>
      <c r="C104" s="885" t="inlineStr">
        <is>
          <t>沅碁網站監控</t>
        </is>
      </c>
      <c r="D104" s="886" t="n">
        <v>92000</v>
      </c>
      <c r="E104" s="886" t="inlineStr">
        <is>
          <t>500~1MW</t>
        </is>
      </c>
      <c r="F104" s="885" t="inlineStr">
        <is>
          <t>2021/9月</t>
        </is>
      </c>
      <c r="G104" s="1521" t="inlineStr">
        <is>
          <t>5年+4G SIM卡</t>
        </is>
      </c>
      <c r="H104" s="887" t="inlineStr">
        <is>
          <t>王振城</t>
        </is>
      </c>
      <c r="I104" s="888" t="inlineStr">
        <is>
          <t>0928-225-333</t>
        </is>
      </c>
      <c r="J104" s="887" t="inlineStr">
        <is>
          <t>max@sunedge.com.tw</t>
        </is>
      </c>
      <c r="K104" s="891" t="n"/>
    </row>
    <row r="105" customFormat="1" s="884">
      <c r="B105" s="885" t="inlineStr">
        <is>
          <t>沅碁</t>
        </is>
      </c>
      <c r="C105" s="885" t="inlineStr">
        <is>
          <t>沅碁網站監控</t>
        </is>
      </c>
      <c r="D105" s="886" t="n"/>
      <c r="E105" s="886" t="inlineStr">
        <is>
          <t>500~1MW</t>
        </is>
      </c>
      <c r="F105" s="885" t="inlineStr">
        <is>
          <t>2021/9月</t>
        </is>
      </c>
      <c r="G105" s="1521" t="inlineStr">
        <is>
          <t>20年</t>
        </is>
      </c>
      <c r="H105" s="887" t="inlineStr">
        <is>
          <t>王振城</t>
        </is>
      </c>
      <c r="I105" s="888" t="inlineStr">
        <is>
          <t>0928-225-333</t>
        </is>
      </c>
      <c r="J105" s="887" t="inlineStr">
        <is>
          <t>max@sunedge.com.tw</t>
        </is>
      </c>
      <c r="K105" s="891" t="n"/>
    </row>
    <row r="106" customFormat="1" s="884">
      <c r="B106" s="885" t="inlineStr">
        <is>
          <t>沅碁</t>
        </is>
      </c>
      <c r="C106" s="885" t="inlineStr">
        <is>
          <t>沅碁網站監控</t>
        </is>
      </c>
      <c r="D106" s="886" t="n">
        <v>308800</v>
      </c>
      <c r="E106" s="886" t="inlineStr">
        <is>
          <t>500~1MW</t>
        </is>
      </c>
      <c r="F106" s="885" t="inlineStr">
        <is>
          <t>2021/9月</t>
        </is>
      </c>
      <c r="G106" s="1521" t="inlineStr">
        <is>
          <t>20年+4G SIM卡</t>
        </is>
      </c>
      <c r="H106" s="887" t="inlineStr">
        <is>
          <t>王振城</t>
        </is>
      </c>
      <c r="I106" s="888" t="inlineStr">
        <is>
          <t>0928-225-333</t>
        </is>
      </c>
      <c r="J106" s="887" t="inlineStr">
        <is>
          <t>max@sunedge.com.tw</t>
        </is>
      </c>
      <c r="K106" s="891" t="n"/>
    </row>
    <row r="107" customFormat="1" s="884">
      <c r="B107" s="885" t="inlineStr">
        <is>
          <t>沅碁</t>
        </is>
      </c>
      <c r="C107" s="885" t="inlineStr">
        <is>
          <t>沅碁網站監控</t>
        </is>
      </c>
      <c r="D107" s="886" t="n"/>
      <c r="E107" s="886" t="inlineStr">
        <is>
          <t>1~2MW</t>
        </is>
      </c>
      <c r="F107" s="885" t="inlineStr">
        <is>
          <t>2021/9月</t>
        </is>
      </c>
      <c r="G107" s="1521" t="inlineStr">
        <is>
          <t>5年</t>
        </is>
      </c>
      <c r="H107" s="887" t="inlineStr">
        <is>
          <t>王振城</t>
        </is>
      </c>
      <c r="I107" s="888" t="inlineStr">
        <is>
          <t>0928-225-333</t>
        </is>
      </c>
      <c r="J107" s="887" t="inlineStr">
        <is>
          <t>max@sunedge.com.tw</t>
        </is>
      </c>
      <c r="K107" s="891" t="n"/>
    </row>
    <row r="108" customFormat="1" s="884">
      <c r="B108" s="885" t="inlineStr">
        <is>
          <t>沅碁</t>
        </is>
      </c>
      <c r="C108" s="885" t="inlineStr">
        <is>
          <t>沅碁網站監控</t>
        </is>
      </c>
      <c r="D108" s="886" t="n">
        <v>180000</v>
      </c>
      <c r="E108" s="886" t="inlineStr">
        <is>
          <t>1~2MW</t>
        </is>
      </c>
      <c r="F108" s="885" t="inlineStr">
        <is>
          <t>2021/9月</t>
        </is>
      </c>
      <c r="G108" s="1521" t="inlineStr">
        <is>
          <t>5年+4G SIM卡</t>
        </is>
      </c>
      <c r="H108" s="887" t="inlineStr">
        <is>
          <t>王振城</t>
        </is>
      </c>
      <c r="I108" s="888" t="inlineStr">
        <is>
          <t>0928-225-333</t>
        </is>
      </c>
      <c r="J108" s="887" t="inlineStr">
        <is>
          <t>max@sunedge.com.tw</t>
        </is>
      </c>
      <c r="K108" s="891" t="n"/>
    </row>
    <row r="109" customFormat="1" s="884">
      <c r="B109" s="885" t="inlineStr">
        <is>
          <t>沅碁</t>
        </is>
      </c>
      <c r="C109" s="885" t="inlineStr">
        <is>
          <t>沅碁網站監控</t>
        </is>
      </c>
      <c r="D109" s="886" t="n"/>
      <c r="E109" s="886" t="inlineStr">
        <is>
          <t>1~2MW</t>
        </is>
      </c>
      <c r="F109" s="885" t="inlineStr">
        <is>
          <t>2021/9月</t>
        </is>
      </c>
      <c r="G109" s="1521" t="inlineStr">
        <is>
          <t>20年</t>
        </is>
      </c>
      <c r="H109" s="887" t="inlineStr">
        <is>
          <t>王振城</t>
        </is>
      </c>
      <c r="I109" s="888" t="inlineStr">
        <is>
          <t>0928-225-333</t>
        </is>
      </c>
      <c r="J109" s="887" t="inlineStr">
        <is>
          <t>max@sunedge.com.tw</t>
        </is>
      </c>
      <c r="K109" s="891" t="n"/>
    </row>
    <row r="110" customFormat="1" s="884">
      <c r="B110" s="885" t="inlineStr">
        <is>
          <t>沅碁</t>
        </is>
      </c>
      <c r="C110" s="885" t="inlineStr">
        <is>
          <t>沅碁網站監控</t>
        </is>
      </c>
      <c r="D110" s="886" t="n">
        <v>584000</v>
      </c>
      <c r="E110" s="886" t="inlineStr">
        <is>
          <t>1~2MW</t>
        </is>
      </c>
      <c r="F110" s="885" t="inlineStr">
        <is>
          <t>2021/9月</t>
        </is>
      </c>
      <c r="G110" s="1521" t="inlineStr">
        <is>
          <t>20年+4G SIM卡</t>
        </is>
      </c>
      <c r="H110" s="887" t="inlineStr">
        <is>
          <t>王振城</t>
        </is>
      </c>
      <c r="I110" s="888" t="inlineStr">
        <is>
          <t>0928-225-333</t>
        </is>
      </c>
      <c r="J110" s="887" t="inlineStr">
        <is>
          <t>max@sunedge.com.tw</t>
        </is>
      </c>
      <c r="K110" s="891" t="n"/>
    </row>
    <row r="112">
      <c r="B112" s="1509" t="inlineStr">
        <is>
          <t>廠商</t>
        </is>
      </c>
      <c r="C112" s="1509" t="inlineStr">
        <is>
          <t>規格</t>
        </is>
      </c>
      <c r="D112" s="1509" t="inlineStr">
        <is>
          <t>報價(台幣)</t>
        </is>
      </c>
      <c r="E112" s="1509" t="inlineStr">
        <is>
          <t>KW</t>
        </is>
      </c>
      <c r="F112" s="1509" t="inlineStr">
        <is>
          <t>報價時間</t>
        </is>
      </c>
      <c r="G112" s="1509" t="inlineStr">
        <is>
          <t>NOTE</t>
        </is>
      </c>
      <c r="H112" s="1509" t="inlineStr">
        <is>
          <t>聯絡人</t>
        </is>
      </c>
      <c r="I112" s="1509" t="inlineStr">
        <is>
          <t>聯絡方式</t>
        </is>
      </c>
      <c r="J112" s="1509" t="inlineStr">
        <is>
          <t>Email</t>
        </is>
      </c>
      <c r="K112" s="207" t="n"/>
    </row>
    <row r="113">
      <c r="B113" s="1523" t="inlineStr">
        <is>
          <t>慧景</t>
        </is>
      </c>
      <c r="C113" s="1523" t="inlineStr">
        <is>
          <t>慧景網站監控</t>
        </is>
      </c>
      <c r="D113" s="232" t="n">
        <v>200000</v>
      </c>
      <c r="E113" s="232" t="inlineStr">
        <is>
          <t>500~1MW</t>
        </is>
      </c>
      <c r="F113" s="1523" t="inlineStr">
        <is>
          <t>2021/8月</t>
        </is>
      </c>
      <c r="G113" s="209" t="inlineStr">
        <is>
          <t>20年</t>
        </is>
      </c>
      <c r="H113" s="205" t="inlineStr">
        <is>
          <t>詹前鋒</t>
        </is>
      </c>
      <c r="I113" s="312" t="inlineStr">
        <is>
          <t>0937-099-803</t>
        </is>
      </c>
      <c r="J113" s="205" t="inlineStr">
        <is>
          <t>max@thingnario.com</t>
        </is>
      </c>
      <c r="K113" s="879" t="n"/>
    </row>
    <row r="114">
      <c r="B114" s="1523" t="inlineStr">
        <is>
          <t>慧景</t>
        </is>
      </c>
      <c r="C114" s="1523" t="inlineStr">
        <is>
          <t>慧景網站監控</t>
        </is>
      </c>
      <c r="D114" s="232" t="n">
        <v>224000</v>
      </c>
      <c r="E114" s="232" t="inlineStr">
        <is>
          <t>500~1MW</t>
        </is>
      </c>
      <c r="F114" s="1523" t="inlineStr">
        <is>
          <t>2021/8月</t>
        </is>
      </c>
      <c r="G114" s="209" t="inlineStr">
        <is>
          <t>20年+SIM卡</t>
        </is>
      </c>
      <c r="H114" s="205" t="inlineStr">
        <is>
          <t>詹前鋒</t>
        </is>
      </c>
      <c r="I114" s="312" t="inlineStr">
        <is>
          <t>0937-099-803</t>
        </is>
      </c>
      <c r="J114" s="205" t="inlineStr">
        <is>
          <t>max@thingnario.com</t>
        </is>
      </c>
      <c r="K114" s="1493" t="n"/>
    </row>
    <row r="115">
      <c r="B115" s="1523" t="inlineStr">
        <is>
          <t>慧景</t>
        </is>
      </c>
      <c r="C115" s="1523" t="inlineStr">
        <is>
          <t>慧景網站監控</t>
        </is>
      </c>
      <c r="D115" s="232">
        <f>288000-24000</f>
        <v/>
      </c>
      <c r="E115" s="232" t="inlineStr">
        <is>
          <t>1~2MW</t>
        </is>
      </c>
      <c r="F115" s="1523" t="inlineStr">
        <is>
          <t>2021/8月</t>
        </is>
      </c>
      <c r="G115" s="209" t="inlineStr">
        <is>
          <t>20年</t>
        </is>
      </c>
      <c r="H115" s="205" t="inlineStr">
        <is>
          <t>詹前鋒</t>
        </is>
      </c>
      <c r="I115" s="312" t="inlineStr">
        <is>
          <t>0937-099-803</t>
        </is>
      </c>
      <c r="J115" s="205" t="inlineStr">
        <is>
          <t>max@thingnario.com</t>
        </is>
      </c>
    </row>
    <row r="116">
      <c r="B116" s="1523" t="inlineStr">
        <is>
          <t>慧景</t>
        </is>
      </c>
      <c r="C116" s="1523" t="inlineStr">
        <is>
          <t>慧景網站監控</t>
        </is>
      </c>
      <c r="D116" s="232" t="n">
        <v>288000</v>
      </c>
      <c r="E116" s="232" t="inlineStr">
        <is>
          <t>1~2MW</t>
        </is>
      </c>
      <c r="F116" s="1523" t="inlineStr">
        <is>
          <t>2021/8月</t>
        </is>
      </c>
      <c r="G116" s="209" t="inlineStr">
        <is>
          <t>20年+SIM卡</t>
        </is>
      </c>
      <c r="H116" s="205" t="inlineStr">
        <is>
          <t>詹前鋒</t>
        </is>
      </c>
      <c r="I116" s="312" t="inlineStr">
        <is>
          <t>0937-099-803</t>
        </is>
      </c>
      <c r="J116" s="205" t="inlineStr">
        <is>
          <t>max@thingnario.com</t>
        </is>
      </c>
    </row>
    <row r="118">
      <c r="D118" s="5" t="inlineStr">
        <is>
          <t xml:space="preserve"> ～ 499 採級距報價 ， 二期 就採用每kW 純軟體的收費 1.2NT /每月 ； kW*1.2*單月；前提一二期INV位置相同，可共用Logger</t>
        </is>
      </c>
    </row>
  </sheetData>
  <autoFilter ref="B11:G11"/>
  <mergeCells count="7">
    <mergeCell ref="G48:G52"/>
    <mergeCell ref="G43:G47"/>
    <mergeCell ref="G55:G58"/>
    <mergeCell ref="G67:G70"/>
    <mergeCell ref="G63:G66"/>
    <mergeCell ref="G37:G42"/>
    <mergeCell ref="G71:G74"/>
  </mergeCells>
  <hyperlinks>
    <hyperlink xmlns:r="http://schemas.openxmlformats.org/officeDocument/2006/relationships" ref="J21" r:id="rId1"/>
    <hyperlink xmlns:r="http://schemas.openxmlformats.org/officeDocument/2006/relationships" ref="J63" r:id="rId2"/>
    <hyperlink xmlns:r="http://schemas.openxmlformats.org/officeDocument/2006/relationships" ref="J64" r:id="rId3"/>
    <hyperlink xmlns:r="http://schemas.openxmlformats.org/officeDocument/2006/relationships" ref="J65" r:id="rId4"/>
    <hyperlink xmlns:r="http://schemas.openxmlformats.org/officeDocument/2006/relationships" ref="J66" r:id="rId5"/>
    <hyperlink xmlns:r="http://schemas.openxmlformats.org/officeDocument/2006/relationships" ref="J67" r:id="rId6"/>
    <hyperlink xmlns:r="http://schemas.openxmlformats.org/officeDocument/2006/relationships" ref="J68" r:id="rId7"/>
    <hyperlink xmlns:r="http://schemas.openxmlformats.org/officeDocument/2006/relationships" ref="J69" r:id="rId8"/>
    <hyperlink xmlns:r="http://schemas.openxmlformats.org/officeDocument/2006/relationships" ref="J70" r:id="rId9"/>
    <hyperlink xmlns:r="http://schemas.openxmlformats.org/officeDocument/2006/relationships" ref="J71" r:id="rId10"/>
    <hyperlink xmlns:r="http://schemas.openxmlformats.org/officeDocument/2006/relationships" ref="J72" r:id="rId11"/>
    <hyperlink xmlns:r="http://schemas.openxmlformats.org/officeDocument/2006/relationships" ref="J73" r:id="rId12"/>
    <hyperlink xmlns:r="http://schemas.openxmlformats.org/officeDocument/2006/relationships" ref="J74" r:id="rId13"/>
    <hyperlink xmlns:r="http://schemas.openxmlformats.org/officeDocument/2006/relationships" ref="J90" r:id="rId14"/>
    <hyperlink xmlns:r="http://schemas.openxmlformats.org/officeDocument/2006/relationships" ref="J91" r:id="rId15"/>
    <hyperlink xmlns:r="http://schemas.openxmlformats.org/officeDocument/2006/relationships" ref="J94" r:id="rId16"/>
    <hyperlink xmlns:r="http://schemas.openxmlformats.org/officeDocument/2006/relationships" ref="J95" r:id="rId17"/>
    <hyperlink xmlns:r="http://schemas.openxmlformats.org/officeDocument/2006/relationships" ref="J96" r:id="rId18"/>
    <hyperlink xmlns:r="http://schemas.openxmlformats.org/officeDocument/2006/relationships" ref="J97" r:id="rId19"/>
    <hyperlink xmlns:r="http://schemas.openxmlformats.org/officeDocument/2006/relationships" ref="J98" r:id="rId20"/>
    <hyperlink xmlns:r="http://schemas.openxmlformats.org/officeDocument/2006/relationships" ref="J99" r:id="rId21"/>
    <hyperlink xmlns:r="http://schemas.openxmlformats.org/officeDocument/2006/relationships" ref="J113" r:id="rId22"/>
    <hyperlink xmlns:r="http://schemas.openxmlformats.org/officeDocument/2006/relationships" ref="J114" r:id="rId23"/>
    <hyperlink xmlns:r="http://schemas.openxmlformats.org/officeDocument/2006/relationships" ref="J115" r:id="rId24"/>
    <hyperlink xmlns:r="http://schemas.openxmlformats.org/officeDocument/2006/relationships" ref="J116" r:id="rId25"/>
  </hyperlink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M79"/>
  <sheetViews>
    <sheetView showGridLines="0" zoomScale="115" zoomScaleNormal="115" workbookViewId="0">
      <pane ySplit="4" topLeftCell="A5" activePane="bottomLeft" state="frozen"/>
      <selection pane="bottomLeft" activeCell="E3" sqref="E3"/>
    </sheetView>
  </sheetViews>
  <sheetFormatPr baseColWidth="8" defaultColWidth="9" defaultRowHeight="14.25"/>
  <cols>
    <col width="2.75" customWidth="1" style="5" min="1" max="1"/>
    <col width="9.5" bestFit="1" customWidth="1" style="5" min="2" max="2"/>
    <col width="14.125" bestFit="1" customWidth="1" style="5" min="3" max="3"/>
    <col width="10.75" bestFit="1" customWidth="1" style="5" min="4" max="4"/>
    <col width="14.875" bestFit="1" customWidth="1" style="5" min="5" max="5"/>
    <col width="17.75" customWidth="1" style="5" min="6" max="6"/>
    <col width="16.875" bestFit="1" customWidth="1" style="5" min="7" max="7"/>
    <col width="12.875" bestFit="1" customWidth="1" style="5" min="8" max="8"/>
    <col width="24.5" bestFit="1" customWidth="1" style="5" min="9" max="9"/>
    <col width="21.75" customWidth="1" style="5" min="10" max="10"/>
    <col width="11.625" bestFit="1" customWidth="1" style="5" min="11" max="11"/>
    <col width="21.875" bestFit="1" customWidth="1" style="5" min="12" max="12"/>
    <col width="13.375" bestFit="1" customWidth="1" style="5" min="13" max="13"/>
    <col width="9" customWidth="1" style="5" min="14" max="16384"/>
  </cols>
  <sheetData>
    <row r="2" ht="16.5" customHeight="1" s="1643">
      <c r="B2" s="1523" t="inlineStr">
        <is>
          <t>選用廠商</t>
        </is>
      </c>
      <c r="C2" s="1523" t="inlineStr">
        <is>
          <t>型號</t>
        </is>
      </c>
      <c r="D2" s="1523" t="inlineStr">
        <is>
          <t>瓦數/片</t>
        </is>
      </c>
      <c r="E2" s="1523" t="inlineStr">
        <is>
          <t>報價(USD/W)</t>
        </is>
      </c>
      <c r="G2" s="1155" t="inlineStr">
        <is>
          <t>模組型號</t>
        </is>
      </c>
      <c r="H2" s="1498" t="inlineStr">
        <is>
          <t>XS54-CH410</t>
        </is>
      </c>
      <c r="I2" s="1498" t="inlineStr">
        <is>
          <t>*美金利率</t>
        </is>
      </c>
    </row>
    <row r="3" ht="16.5" customHeight="1" s="1643">
      <c r="B3" s="1136" t="inlineStr">
        <is>
          <t>晶科</t>
        </is>
      </c>
      <c r="C3" s="1136" t="n"/>
      <c r="D3" s="1000" t="n">
        <v>550</v>
      </c>
      <c r="E3" s="2127" t="n">
        <v>0.3</v>
      </c>
      <c r="G3" s="1155" t="inlineStr">
        <is>
          <t>模組價格(元/片)</t>
        </is>
      </c>
      <c r="H3" s="1498">
        <f>156.57*32</f>
        <v/>
      </c>
      <c r="I3" s="1498" t="inlineStr">
        <is>
          <t>156.57x32</t>
        </is>
      </c>
    </row>
    <row r="4">
      <c r="B4" s="207" t="n"/>
      <c r="C4" s="207" t="n"/>
      <c r="D4" s="207" t="n"/>
      <c r="E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瓦數/片</t>
        </is>
      </c>
      <c r="E6" s="1523" t="inlineStr">
        <is>
          <t>報價(USD/W)</t>
        </is>
      </c>
      <c r="F6" s="1523" t="inlineStr">
        <is>
          <t>報價時間</t>
        </is>
      </c>
      <c r="G6" s="1523" t="inlineStr">
        <is>
          <t>USD/PCS</t>
        </is>
      </c>
      <c r="H6" s="1523" t="inlineStr">
        <is>
          <t>交期</t>
        </is>
      </c>
      <c r="I6" s="1523" t="inlineStr">
        <is>
          <t>範圍</t>
        </is>
      </c>
      <c r="J6" s="1523" t="inlineStr">
        <is>
          <t>備註</t>
        </is>
      </c>
      <c r="K6" s="1523" t="inlineStr">
        <is>
          <t>聯絡人</t>
        </is>
      </c>
      <c r="L6" s="1124" t="inlineStr">
        <is>
          <t>信箱</t>
        </is>
      </c>
      <c r="M6" s="1124" t="inlineStr">
        <is>
          <t>電話</t>
        </is>
      </c>
    </row>
    <row r="7" hidden="1" s="1643">
      <c r="B7" s="1533" t="inlineStr">
        <is>
          <t>錸德</t>
        </is>
      </c>
      <c r="C7" s="1523" t="inlineStr">
        <is>
          <t>多晶</t>
        </is>
      </c>
      <c r="D7" s="1523" t="n">
        <v>245</v>
      </c>
      <c r="E7" s="1523" t="n">
        <v>0.57</v>
      </c>
      <c r="F7" s="1523" t="n"/>
      <c r="G7" s="205" t="n"/>
      <c r="H7" s="205" t="n"/>
      <c r="I7" s="205" t="n"/>
      <c r="J7" s="205" t="n"/>
      <c r="K7" s="205" t="n"/>
      <c r="L7" s="1124" t="n"/>
      <c r="M7" s="1124" t="n"/>
    </row>
    <row r="8" hidden="1" s="1643">
      <c r="B8" s="1533" t="inlineStr">
        <is>
          <t>錸德</t>
        </is>
      </c>
      <c r="C8" s="1523" t="inlineStr">
        <is>
          <t>多晶</t>
        </is>
      </c>
      <c r="D8" s="1523" t="n">
        <v>245</v>
      </c>
      <c r="E8" s="1523" t="n">
        <v>0.58</v>
      </c>
      <c r="F8" s="1523" t="n"/>
      <c r="G8" s="205" t="n"/>
      <c r="H8" s="205" t="n"/>
      <c r="I8" s="205" t="n"/>
      <c r="J8" s="205" t="n"/>
      <c r="K8" s="205" t="n"/>
      <c r="L8" s="1124" t="n"/>
      <c r="M8" s="1124" t="n"/>
    </row>
    <row r="9" hidden="1" s="1643">
      <c r="B9" s="1523" t="inlineStr">
        <is>
          <t>安集</t>
        </is>
      </c>
      <c r="C9" s="1523" t="inlineStr">
        <is>
          <t>多晶</t>
        </is>
      </c>
      <c r="D9" s="1523" t="n">
        <v>250</v>
      </c>
      <c r="E9" s="1523" t="n">
        <v>0.61</v>
      </c>
      <c r="F9" s="1523" t="n"/>
      <c r="G9" s="205" t="n"/>
      <c r="H9" s="205" t="n"/>
      <c r="I9" s="205" t="n"/>
      <c r="J9" s="205" t="n"/>
      <c r="K9" s="205" t="n"/>
      <c r="L9" s="1124" t="n"/>
      <c r="M9" s="1124" t="n"/>
    </row>
    <row r="10" hidden="1" s="1643">
      <c r="B10" s="1523" t="inlineStr">
        <is>
          <t>安集</t>
        </is>
      </c>
      <c r="C10" s="1523" t="inlineStr">
        <is>
          <t>多晶</t>
        </is>
      </c>
      <c r="D10" s="1523" t="n">
        <v>270</v>
      </c>
      <c r="E10" s="1523" t="n">
        <v>0.64</v>
      </c>
      <c r="F10" s="1523" t="n">
        <v>20160317</v>
      </c>
      <c r="G10" s="205" t="n"/>
      <c r="H10" s="1523" t="inlineStr">
        <is>
          <t>06-5105988</t>
        </is>
      </c>
      <c r="I10" s="205" t="n"/>
      <c r="J10" s="205" t="n"/>
      <c r="K10" s="1523" t="inlineStr">
        <is>
          <t>張小姐</t>
        </is>
      </c>
      <c r="L10" s="1124" t="n"/>
      <c r="M10" s="1124" t="n"/>
    </row>
    <row r="11" hidden="1" s="1643">
      <c r="B11" s="1523" t="inlineStr">
        <is>
          <t>安集</t>
        </is>
      </c>
      <c r="C11" s="1523" t="inlineStr">
        <is>
          <t>單晶</t>
        </is>
      </c>
      <c r="D11" s="1523" t="n">
        <v>285</v>
      </c>
      <c r="E11" s="1523" t="n">
        <v>0.59</v>
      </c>
      <c r="F11" s="1523" t="n">
        <v>20160322</v>
      </c>
      <c r="G11" s="205" t="n"/>
      <c r="H11" s="1523" t="inlineStr">
        <is>
          <t>06-5105988</t>
        </is>
      </c>
      <c r="I11" s="205" t="n"/>
      <c r="J11" s="205" t="n"/>
      <c r="K11" s="1523" t="inlineStr">
        <is>
          <t>張小姐</t>
        </is>
      </c>
      <c r="L11" s="1124" t="n"/>
      <c r="M11" s="1124" t="n"/>
    </row>
    <row r="12" hidden="1" s="1643">
      <c r="B12" s="1523" t="inlineStr">
        <is>
          <t>AUO</t>
        </is>
      </c>
      <c r="C12" s="1523" t="inlineStr">
        <is>
          <t>單晶</t>
        </is>
      </c>
      <c r="D12" s="1523" t="n">
        <v>320</v>
      </c>
      <c r="E12" s="1523" t="n">
        <v>0.92</v>
      </c>
      <c r="F12" s="1523" t="n">
        <v>20160114</v>
      </c>
      <c r="G12" s="1523" t="inlineStr">
        <is>
          <t>翰可經銷商</t>
        </is>
      </c>
      <c r="H12" s="206" t="inlineStr">
        <is>
          <t>0922774818</t>
        </is>
      </c>
      <c r="I12" s="205" t="inlineStr">
        <is>
          <t>wen.pan@skwentex.net</t>
        </is>
      </c>
      <c r="J12" s="205" t="n"/>
      <c r="K12" s="1523" t="inlineStr">
        <is>
          <t>潘先生</t>
        </is>
      </c>
      <c r="L12" s="1124" t="n"/>
      <c r="M12" s="1124" t="n"/>
    </row>
    <row r="13" hidden="1" s="1643">
      <c r="B13" s="1523" t="inlineStr">
        <is>
          <t>AUO</t>
        </is>
      </c>
      <c r="C13" s="1523" t="inlineStr">
        <is>
          <t>單晶</t>
        </is>
      </c>
      <c r="D13" s="1523" t="n">
        <v>325</v>
      </c>
      <c r="E13" s="1523" t="n">
        <v>0.9399999999999999</v>
      </c>
      <c r="F13" s="1523" t="n">
        <v>20160114</v>
      </c>
      <c r="G13" s="1523" t="inlineStr">
        <is>
          <t>翰可經銷商</t>
        </is>
      </c>
      <c r="H13" s="206" t="inlineStr">
        <is>
          <t>0922774818</t>
        </is>
      </c>
      <c r="I13" s="205" t="inlineStr">
        <is>
          <t>wen.pan@skwentex.net</t>
        </is>
      </c>
      <c r="J13" s="205" t="n"/>
      <c r="K13" s="1523" t="inlineStr">
        <is>
          <t>潘先生</t>
        </is>
      </c>
      <c r="L13" s="1124" t="n"/>
      <c r="M13" s="1124" t="n"/>
    </row>
    <row r="14" hidden="1" s="1643">
      <c r="B14" s="1523" t="inlineStr">
        <is>
          <t>AUO</t>
        </is>
      </c>
      <c r="C14" s="1523" t="inlineStr">
        <is>
          <t>單晶</t>
        </is>
      </c>
      <c r="D14" s="1523" t="n">
        <v>327</v>
      </c>
      <c r="E14" s="1523" t="n">
        <v>0.9399999999999999</v>
      </c>
      <c r="F14" s="1523" t="n">
        <v>20160114</v>
      </c>
      <c r="G14" s="1523" t="inlineStr">
        <is>
          <t>翰可經銷商</t>
        </is>
      </c>
      <c r="H14" s="206" t="inlineStr">
        <is>
          <t>0922774818</t>
        </is>
      </c>
      <c r="I14" s="205" t="n"/>
      <c r="J14" s="205" t="n"/>
      <c r="K14" s="1523" t="inlineStr">
        <is>
          <t>潘先生</t>
        </is>
      </c>
      <c r="L14" s="1124" t="n"/>
      <c r="M14" s="1124" t="n"/>
    </row>
    <row r="15" hidden="1" s="1643">
      <c r="B15" s="1523" t="inlineStr">
        <is>
          <t>AUO</t>
        </is>
      </c>
      <c r="C15" s="1523" t="inlineStr">
        <is>
          <t>單晶</t>
        </is>
      </c>
      <c r="D15" s="1523" t="n">
        <v>330</v>
      </c>
      <c r="E15" s="1523" t="n">
        <v>0.95</v>
      </c>
      <c r="F15" s="1523" t="n">
        <v>20160114</v>
      </c>
      <c r="G15" s="1523" t="inlineStr">
        <is>
          <t>翰可經銷商</t>
        </is>
      </c>
      <c r="H15" s="206" t="inlineStr">
        <is>
          <t>0922774818</t>
        </is>
      </c>
      <c r="I15" s="205" t="n"/>
      <c r="J15" s="205" t="n"/>
      <c r="K15" s="1523" t="inlineStr">
        <is>
          <t>潘先生</t>
        </is>
      </c>
      <c r="L15" s="1124" t="n"/>
      <c r="M15" s="1124" t="n"/>
    </row>
    <row r="16" hidden="1" s="1643">
      <c r="B16" s="1523" t="inlineStr">
        <is>
          <t>元晶</t>
        </is>
      </c>
      <c r="C16" s="1523" t="inlineStr">
        <is>
          <t>單晶</t>
        </is>
      </c>
      <c r="D16" s="1523" t="n">
        <v>285</v>
      </c>
      <c r="E16" s="1523" t="n">
        <v>0.59</v>
      </c>
      <c r="F16" s="1523" t="n">
        <v>20160512</v>
      </c>
      <c r="G16" s="1523" t="n"/>
      <c r="H16" s="206" t="inlineStr">
        <is>
          <t>0905058123</t>
        </is>
      </c>
      <c r="I16" s="205" t="n"/>
      <c r="J16" s="205" t="inlineStr">
        <is>
          <t>499KWbase; 單晶模組; 金能獎</t>
        </is>
      </c>
      <c r="K16" s="1523" t="inlineStr">
        <is>
          <t>游先生</t>
        </is>
      </c>
      <c r="L16" s="1124" t="n"/>
      <c r="M16" s="1124" t="n"/>
    </row>
    <row r="17" hidden="1" s="1643">
      <c r="B17" s="1523" t="inlineStr">
        <is>
          <t>元晶</t>
        </is>
      </c>
      <c r="C17" s="1523" t="inlineStr">
        <is>
          <t>單晶</t>
        </is>
      </c>
      <c r="D17" s="1523" t="n">
        <v>285</v>
      </c>
      <c r="E17" s="1523" t="n">
        <v>0.52</v>
      </c>
      <c r="F17" s="1523" t="n">
        <v>20161006</v>
      </c>
      <c r="G17" s="1523" t="n"/>
      <c r="H17" s="206" t="inlineStr">
        <is>
          <t>0905058123</t>
        </is>
      </c>
      <c r="I17" s="205" t="n"/>
      <c r="J17" s="205" t="inlineStr">
        <is>
          <t>499KWbase; 單晶模組; 金能獎</t>
        </is>
      </c>
      <c r="K17" s="1523" t="inlineStr">
        <is>
          <t>游先生</t>
        </is>
      </c>
      <c r="L17" s="1124" t="n"/>
      <c r="M17" s="1124" t="n"/>
    </row>
    <row r="18" hidden="1" s="1643">
      <c r="B18" s="1523" t="inlineStr">
        <is>
          <t>元晶</t>
        </is>
      </c>
      <c r="C18" s="1523" t="inlineStr">
        <is>
          <t>單晶</t>
        </is>
      </c>
      <c r="D18" s="1523" t="n">
        <v>290</v>
      </c>
      <c r="E18" s="1523" t="n">
        <v>0.5600000000000001</v>
      </c>
      <c r="F18" s="1523" t="n">
        <v>20161106</v>
      </c>
      <c r="G18" s="1523" t="n"/>
      <c r="H18" s="206" t="inlineStr">
        <is>
          <t>0905058123</t>
        </is>
      </c>
      <c r="I18" s="205" t="n"/>
      <c r="J18" s="205" t="inlineStr">
        <is>
          <t>499KWbase; 單晶模組; 標檢</t>
        </is>
      </c>
      <c r="K18" s="1523" t="inlineStr">
        <is>
          <t>游先生</t>
        </is>
      </c>
      <c r="L18" s="1124" t="n"/>
      <c r="M18" s="1124" t="n"/>
    </row>
    <row r="19" hidden="1" s="1643">
      <c r="B19" s="1523" t="inlineStr">
        <is>
          <t>元晶</t>
        </is>
      </c>
      <c r="C19" s="1523" t="inlineStr">
        <is>
          <t>單晶</t>
        </is>
      </c>
      <c r="D19" s="1523" t="n">
        <v>290</v>
      </c>
      <c r="E19" s="1523" t="n">
        <v>0.52</v>
      </c>
      <c r="F19" s="1523" t="n">
        <v>20170209</v>
      </c>
      <c r="G19" s="1523" t="n"/>
      <c r="H19" s="206" t="n"/>
      <c r="I19" s="205" t="n"/>
      <c r="J19" s="205" t="inlineStr">
        <is>
          <t>1000片 / 290W/片</t>
        </is>
      </c>
      <c r="K19" s="1523" t="inlineStr">
        <is>
          <t>Alex</t>
        </is>
      </c>
      <c r="L19" s="1124" t="n"/>
      <c r="M19" s="1124" t="n"/>
    </row>
    <row r="20" hidden="1" s="1643">
      <c r="B20" s="1523" t="inlineStr">
        <is>
          <t>元晶</t>
        </is>
      </c>
      <c r="C20" s="1523" t="inlineStr">
        <is>
          <t>單晶</t>
        </is>
      </c>
      <c r="D20" s="1523" t="n">
        <v>290</v>
      </c>
      <c r="E20" s="1523" t="n">
        <v>0.505</v>
      </c>
      <c r="F20" s="1523" t="n">
        <v>20180101</v>
      </c>
      <c r="G20" s="1523" t="n"/>
      <c r="H20" s="206" t="n"/>
      <c r="I20" s="205" t="n"/>
      <c r="J20" s="205" t="inlineStr">
        <is>
          <t>2M / 290W/片</t>
        </is>
      </c>
      <c r="K20" s="1523" t="inlineStr">
        <is>
          <t>游先生</t>
        </is>
      </c>
      <c r="L20" s="1124" t="n"/>
      <c r="M20" s="1124" t="n"/>
    </row>
    <row r="21" hidden="1" s="1643">
      <c r="B21" s="1523" t="inlineStr">
        <is>
          <t>新日光</t>
        </is>
      </c>
      <c r="C21" s="1523" t="inlineStr">
        <is>
          <t>單晶</t>
        </is>
      </c>
      <c r="D21" s="1523" t="n">
        <v>310</v>
      </c>
      <c r="E21" s="1523" t="n">
        <v>0.5</v>
      </c>
      <c r="F21" s="1523" t="n">
        <v>20180101</v>
      </c>
      <c r="G21" s="1523" t="n"/>
      <c r="H21" s="206" t="n"/>
      <c r="I21" s="205" t="n"/>
      <c r="J21" s="205" t="n"/>
      <c r="K21" s="1523" t="inlineStr">
        <is>
          <t>Josh</t>
        </is>
      </c>
      <c r="L21" s="1124" t="n"/>
      <c r="M21" s="1124" t="n"/>
    </row>
    <row r="22" hidden="1" s="1643">
      <c r="B22" s="1523" t="inlineStr">
        <is>
          <t>AUO</t>
        </is>
      </c>
      <c r="C22" s="1523" t="inlineStr">
        <is>
          <t>單晶</t>
        </is>
      </c>
      <c r="D22" s="1523" t="n">
        <v>295</v>
      </c>
      <c r="E22" s="1523" t="n">
        <v>0.5</v>
      </c>
      <c r="F22" s="1523" t="n">
        <v>20180205</v>
      </c>
      <c r="G22" s="1523" t="n"/>
      <c r="H22" s="206" t="n"/>
      <c r="I22" s="205" t="n"/>
      <c r="J22" s="205" t="n"/>
      <c r="K22" s="1523" t="inlineStr">
        <is>
          <t>Alan</t>
        </is>
      </c>
      <c r="L22" s="1124" t="n"/>
      <c r="M22" s="1124" t="n"/>
    </row>
    <row r="23" hidden="1" s="1643">
      <c r="B23" s="1523" t="inlineStr">
        <is>
          <t>AUO</t>
        </is>
      </c>
      <c r="C23" s="1523" t="inlineStr">
        <is>
          <t>單晶</t>
        </is>
      </c>
      <c r="D23" s="1523" t="n">
        <v>300</v>
      </c>
      <c r="E23" s="1523" t="n">
        <v>0.5</v>
      </c>
      <c r="F23" s="1523" t="n">
        <v>20180205</v>
      </c>
      <c r="G23" s="1523" t="n"/>
      <c r="H23" s="206" t="n"/>
      <c r="I23" s="205" t="n"/>
      <c r="J23" s="205" t="n"/>
      <c r="K23" s="1523" t="inlineStr">
        <is>
          <t>Alan</t>
        </is>
      </c>
      <c r="L23" s="1124" t="n"/>
      <c r="M23" s="1124" t="n"/>
    </row>
    <row r="24" hidden="1" s="1643">
      <c r="B24" s="1523" t="inlineStr">
        <is>
          <t>元晶</t>
        </is>
      </c>
      <c r="C24" s="1523" t="inlineStr">
        <is>
          <t>單晶</t>
        </is>
      </c>
      <c r="D24" s="1523" t="n">
        <v>295</v>
      </c>
      <c r="E24" s="1523" t="n">
        <v>0.46</v>
      </c>
      <c r="F24" s="1523" t="n">
        <v>20180515</v>
      </c>
      <c r="G24" s="1523" t="n"/>
      <c r="H24" s="206" t="n"/>
      <c r="I24" s="205" t="n"/>
      <c r="J24" s="205" t="n"/>
      <c r="K24" s="1523" t="inlineStr">
        <is>
          <t>范小姐</t>
        </is>
      </c>
      <c r="L24" s="1124" t="n"/>
      <c r="M24" s="1124" t="n"/>
    </row>
    <row r="25" hidden="1" s="1643">
      <c r="B25" s="1523" t="inlineStr">
        <is>
          <t>元晶</t>
        </is>
      </c>
      <c r="C25" s="1523" t="inlineStr">
        <is>
          <t>單晶</t>
        </is>
      </c>
      <c r="D25" s="1523" t="n">
        <v>300</v>
      </c>
      <c r="E25" s="1523" t="n">
        <v>0.465</v>
      </c>
      <c r="F25" s="1523" t="n">
        <v>20180515</v>
      </c>
      <c r="G25" s="1523" t="n"/>
      <c r="H25" s="206" t="n"/>
      <c r="I25" s="205" t="n"/>
      <c r="J25" s="205" t="n"/>
      <c r="K25" s="1523" t="inlineStr">
        <is>
          <t>范小姐</t>
        </is>
      </c>
      <c r="L25" s="1124" t="n"/>
      <c r="M25" s="1124" t="n"/>
    </row>
    <row r="26" hidden="1" s="1643">
      <c r="B26" s="1523" t="inlineStr">
        <is>
          <t>昇陽</t>
        </is>
      </c>
      <c r="C26" s="1523" t="inlineStr">
        <is>
          <t>單晶</t>
        </is>
      </c>
      <c r="D26" s="1523" t="n">
        <v>300</v>
      </c>
      <c r="E26" s="1523" t="n">
        <v>0.47</v>
      </c>
      <c r="F26" s="1523" t="n">
        <v>20180515</v>
      </c>
      <c r="G26" s="1523" t="n"/>
      <c r="H26" s="206" t="inlineStr">
        <is>
          <t>0958230080</t>
        </is>
      </c>
      <c r="I26" s="205" t="inlineStr">
        <is>
          <t>joshchiu@solartech-energy.com</t>
        </is>
      </c>
      <c r="J26" s="205" t="n"/>
      <c r="K26" s="1523" t="inlineStr">
        <is>
          <t>邱宗譽</t>
        </is>
      </c>
      <c r="L26" s="1124" t="n"/>
      <c r="M26" s="1124" t="n"/>
    </row>
    <row r="27" hidden="1" s="1643">
      <c r="B27" s="1523" t="inlineStr">
        <is>
          <t>元晶</t>
        </is>
      </c>
      <c r="C27" s="1523" t="inlineStr">
        <is>
          <t>單晶</t>
        </is>
      </c>
      <c r="D27" s="1523" t="n">
        <v>300</v>
      </c>
      <c r="E27" s="1523" t="n">
        <v>0.46</v>
      </c>
      <c r="F27" s="1523" t="n">
        <v>20180605</v>
      </c>
      <c r="G27" s="1523" t="n"/>
      <c r="H27" s="206" t="n"/>
      <c r="I27" s="205" t="n"/>
      <c r="J27" s="205" t="n"/>
      <c r="K27" s="1523" t="inlineStr">
        <is>
          <t>范小姐</t>
        </is>
      </c>
      <c r="L27" s="1124" t="n"/>
      <c r="M27" s="1124" t="n"/>
    </row>
    <row r="28" hidden="1" s="1643">
      <c r="B28" s="1523" t="inlineStr">
        <is>
          <t>新日光</t>
        </is>
      </c>
      <c r="C28" s="1523" t="inlineStr">
        <is>
          <t>單晶</t>
        </is>
      </c>
      <c r="D28" s="1523" t="n">
        <v>310</v>
      </c>
      <c r="E28" s="1523" t="n">
        <v>0.47</v>
      </c>
      <c r="F28" s="1523" t="n">
        <v>20180615</v>
      </c>
      <c r="G28" s="1523" t="n"/>
      <c r="H28" s="206" t="n"/>
      <c r="I28" s="205" t="n"/>
      <c r="J28" s="205" t="n"/>
      <c r="K28" s="1523" t="inlineStr">
        <is>
          <t>Josh</t>
        </is>
      </c>
      <c r="L28" s="1124" t="n"/>
      <c r="M28" s="1124" t="n"/>
    </row>
    <row r="29" hidden="1" s="1643">
      <c r="B29" s="1523" t="inlineStr">
        <is>
          <t>元晶</t>
        </is>
      </c>
      <c r="C29" s="1523" t="inlineStr">
        <is>
          <t>單晶</t>
        </is>
      </c>
      <c r="D29" s="1523" t="n">
        <v>300</v>
      </c>
      <c r="E29" s="1523" t="n">
        <v>0.43</v>
      </c>
      <c r="F29" s="1523" t="n">
        <v>20180709</v>
      </c>
      <c r="G29" s="1523" t="n"/>
      <c r="H29" s="206" t="n"/>
      <c r="I29" s="205" t="n"/>
      <c r="J29" s="205" t="n"/>
      <c r="K29" s="1523" t="inlineStr">
        <is>
          <t>范小姐</t>
        </is>
      </c>
      <c r="L29" s="1124" t="n"/>
      <c r="M29" s="1124" t="n"/>
    </row>
    <row r="30" hidden="1" s="1643">
      <c r="B30" s="1523" t="inlineStr">
        <is>
          <t>安集</t>
        </is>
      </c>
      <c r="C30" s="1523" t="inlineStr">
        <is>
          <t>多晶雙玻</t>
        </is>
      </c>
      <c r="D30" s="1523" t="n">
        <v>275</v>
      </c>
      <c r="E30" s="1523" t="n">
        <v>0.53</v>
      </c>
      <c r="F30" s="1523" t="n">
        <v>20180625</v>
      </c>
      <c r="G30" s="1523" t="n"/>
      <c r="H30" s="206" t="n"/>
      <c r="I30" s="205" t="n"/>
      <c r="J30" s="205" t="n"/>
      <c r="K30" s="1523" t="inlineStr">
        <is>
          <t>張小姐</t>
        </is>
      </c>
      <c r="L30" s="1124" t="n"/>
      <c r="M30" s="1124" t="n"/>
    </row>
    <row r="31" hidden="1" s="1643">
      <c r="B31" s="1523" t="inlineStr">
        <is>
          <t>綠能</t>
        </is>
      </c>
      <c r="C31" s="1523" t="inlineStr">
        <is>
          <t>多晶輕量化</t>
        </is>
      </c>
      <c r="D31" s="1523" t="n">
        <v>280</v>
      </c>
      <c r="E31" s="1523" t="n">
        <v>0.61</v>
      </c>
      <c r="F31" s="1523" t="n">
        <v>20180629</v>
      </c>
      <c r="G31" s="1523" t="n"/>
      <c r="H31" s="206" t="n"/>
      <c r="I31" s="205" t="n"/>
      <c r="J31" s="205" t="inlineStr">
        <is>
          <t>高效</t>
        </is>
      </c>
      <c r="K31" s="1523" t="inlineStr">
        <is>
          <t>彭小姐</t>
        </is>
      </c>
      <c r="L31" s="1124" t="n"/>
      <c r="M31" s="1124" t="n"/>
    </row>
    <row r="32" hidden="1" s="1643">
      <c r="B32" s="1523" t="inlineStr">
        <is>
          <t>元晶</t>
        </is>
      </c>
      <c r="C32" s="1523" t="inlineStr">
        <is>
          <t>單晶</t>
        </is>
      </c>
      <c r="D32" s="1523" t="n">
        <v>300</v>
      </c>
      <c r="E32" s="1523" t="n">
        <v>0.395</v>
      </c>
      <c r="F32" s="1523" t="n">
        <v>20181024</v>
      </c>
      <c r="G32" s="1523" t="n"/>
      <c r="H32" s="206" t="n"/>
      <c r="I32" s="205" t="n"/>
      <c r="J32" s="205" t="n"/>
      <c r="K32" s="1523" t="inlineStr">
        <is>
          <t>施小姐</t>
        </is>
      </c>
      <c r="L32" s="1124" t="n"/>
      <c r="M32" s="1124" t="n"/>
    </row>
    <row r="33" hidden="1" s="1643">
      <c r="B33" s="1523" t="inlineStr">
        <is>
          <t>元晶</t>
        </is>
      </c>
      <c r="C33" s="1523" t="inlineStr">
        <is>
          <t>單晶</t>
        </is>
      </c>
      <c r="D33" s="1523" t="n">
        <v>305</v>
      </c>
      <c r="E33" s="1523" t="n">
        <v>0.38</v>
      </c>
      <c r="F33" s="1523" t="n">
        <v>20190321</v>
      </c>
      <c r="G33" s="1523" t="n"/>
      <c r="H33" s="206" t="n"/>
      <c r="I33" s="205" t="n"/>
      <c r="J33" s="205" t="n"/>
      <c r="K33" s="1523" t="inlineStr">
        <is>
          <t>施小姐</t>
        </is>
      </c>
      <c r="L33" s="1124" t="n"/>
      <c r="M33" s="1124" t="n"/>
    </row>
    <row r="34" hidden="1" s="1643">
      <c r="B34" s="1523" t="inlineStr">
        <is>
          <t>元晶</t>
        </is>
      </c>
      <c r="C34" s="1523" t="inlineStr">
        <is>
          <t>單晶</t>
        </is>
      </c>
      <c r="D34" s="1523" t="n">
        <v>310</v>
      </c>
      <c r="E34" s="1523" t="n">
        <v>0.38</v>
      </c>
      <c r="F34" s="1523" t="n">
        <v>20190321</v>
      </c>
      <c r="G34" s="1523" t="n"/>
      <c r="H34" s="206" t="n"/>
      <c r="I34" s="205" t="n"/>
      <c r="J34" s="205" t="n"/>
      <c r="K34" s="1523" t="inlineStr">
        <is>
          <t>施小姐</t>
        </is>
      </c>
      <c r="L34" s="1124" t="n"/>
      <c r="M34" s="1124" t="n"/>
    </row>
    <row r="35" hidden="1" s="1643">
      <c r="B35" s="1523" t="inlineStr">
        <is>
          <t>新日光</t>
        </is>
      </c>
      <c r="C35" s="1523" t="inlineStr">
        <is>
          <t>單晶</t>
        </is>
      </c>
      <c r="D35" s="1523" t="n">
        <v>310</v>
      </c>
      <c r="E35" s="1523" t="n">
        <v>0.37</v>
      </c>
      <c r="F35" s="1523" t="n">
        <v>20190515</v>
      </c>
      <c r="G35" s="1523" t="n"/>
      <c r="H35" s="206" t="n"/>
      <c r="I35" s="205" t="n"/>
      <c r="J35" s="205" t="n"/>
      <c r="K35" s="1523" t="inlineStr">
        <is>
          <t>Josh</t>
        </is>
      </c>
      <c r="L35" s="1124" t="n"/>
      <c r="M35" s="1124" t="n"/>
    </row>
    <row r="36" hidden="1" s="1643">
      <c r="B36" s="1523" t="inlineStr">
        <is>
          <t>元晶</t>
        </is>
      </c>
      <c r="C36" s="1523" t="inlineStr">
        <is>
          <t>單晶</t>
        </is>
      </c>
      <c r="D36" s="1523" t="n">
        <v>305</v>
      </c>
      <c r="E36" s="1523" t="n">
        <v>0.365</v>
      </c>
      <c r="F36" s="1523" t="n">
        <v>20190523</v>
      </c>
      <c r="G36" s="1523" t="n"/>
      <c r="H36" s="206" t="n"/>
      <c r="I36" s="205" t="n"/>
      <c r="J36" s="205" t="n"/>
      <c r="K36" s="1523" t="inlineStr">
        <is>
          <t>施小姐</t>
        </is>
      </c>
      <c r="L36" s="1124" t="n"/>
      <c r="M36" s="1124" t="n"/>
    </row>
    <row r="37" hidden="1" s="1643">
      <c r="B37" s="1523" t="inlineStr">
        <is>
          <t>元晶</t>
        </is>
      </c>
      <c r="C37" s="1523" t="inlineStr">
        <is>
          <t>單晶</t>
        </is>
      </c>
      <c r="D37" s="1523" t="n">
        <v>305</v>
      </c>
      <c r="E37" s="1523" t="n">
        <v>0.36</v>
      </c>
      <c r="F37" s="1523" t="n">
        <v>20190523</v>
      </c>
      <c r="G37" s="1523" t="n"/>
      <c r="H37" s="206" t="n"/>
      <c r="I37" s="205" t="n"/>
      <c r="J37" s="205" t="n"/>
      <c r="K37" s="1523" t="inlineStr">
        <is>
          <t>施小姐</t>
        </is>
      </c>
      <c r="L37" s="1124" t="n"/>
      <c r="M37" s="1124" t="n"/>
    </row>
    <row r="38" hidden="1" s="1643">
      <c r="B38" s="1523" t="inlineStr">
        <is>
          <t>元晶</t>
        </is>
      </c>
      <c r="C38" s="1523" t="inlineStr">
        <is>
          <t>單晶</t>
        </is>
      </c>
      <c r="D38" s="1523" t="n">
        <v>305</v>
      </c>
      <c r="E38" s="1523" t="n">
        <v>0.35</v>
      </c>
      <c r="F38" s="1523" t="n">
        <v>20191017</v>
      </c>
      <c r="G38" s="1523" t="n"/>
      <c r="H38" s="206" t="n"/>
      <c r="I38" s="364" t="n">
        <v>305310315</v>
      </c>
      <c r="J38" s="205" t="inlineStr">
        <is>
          <t>1.2m加價0.015USD/W</t>
        </is>
      </c>
      <c r="K38" s="1523" t="inlineStr">
        <is>
          <t>施小姐</t>
        </is>
      </c>
      <c r="L38" s="1124" t="n"/>
      <c r="M38" s="1124" t="n"/>
    </row>
    <row r="39" hidden="1" s="1643">
      <c r="B39" s="1523" t="inlineStr">
        <is>
          <t>元晶</t>
        </is>
      </c>
      <c r="C39" s="1523" t="inlineStr">
        <is>
          <t>單晶</t>
        </is>
      </c>
      <c r="D39" s="1523" t="n">
        <v>310</v>
      </c>
      <c r="E39" s="1523" t="n">
        <v>0.35</v>
      </c>
      <c r="F39" s="1523" t="n">
        <v>20191017</v>
      </c>
      <c r="G39" s="1523" t="n"/>
      <c r="H39" s="206" t="n"/>
      <c r="I39" s="364" t="n">
        <v>305310315</v>
      </c>
      <c r="J39" s="205" t="inlineStr">
        <is>
          <t>一個月前告知</t>
        </is>
      </c>
      <c r="K39" s="1523" t="inlineStr">
        <is>
          <t>施小姐</t>
        </is>
      </c>
      <c r="L39" s="1124" t="n"/>
      <c r="M39" s="1124" t="n"/>
    </row>
    <row r="40" hidden="1" s="1643">
      <c r="B40" s="1523" t="inlineStr">
        <is>
          <t>元晶</t>
        </is>
      </c>
      <c r="C40" s="1523" t="inlineStr">
        <is>
          <t>單晶</t>
        </is>
      </c>
      <c r="D40" s="1523" t="n">
        <v>315</v>
      </c>
      <c r="E40" s="1523" t="n">
        <v>0.35</v>
      </c>
      <c r="F40" s="1523" t="n">
        <v>20191017</v>
      </c>
      <c r="G40" s="1523" t="n"/>
      <c r="H40" s="206" t="n"/>
      <c r="I40" s="364" t="n">
        <v>305310315</v>
      </c>
      <c r="J40" s="205" t="n"/>
      <c r="K40" s="1523" t="inlineStr">
        <is>
          <t>施小姐</t>
        </is>
      </c>
      <c r="L40" s="1124" t="n"/>
      <c r="M40" s="1124" t="n"/>
    </row>
    <row r="41" hidden="1" s="1643">
      <c r="B41" s="1523" t="inlineStr">
        <is>
          <t>有成</t>
        </is>
      </c>
      <c r="C41" s="1523" t="inlineStr">
        <is>
          <t>單晶</t>
        </is>
      </c>
      <c r="D41" s="1523" t="n">
        <v>310</v>
      </c>
      <c r="E41" s="1523" t="n">
        <v>0.35</v>
      </c>
      <c r="F41" s="1523" t="n">
        <v>20191031</v>
      </c>
      <c r="G41" s="1523" t="n"/>
      <c r="H41" s="206" t="n"/>
      <c r="I41" s="364" t="n">
        <v>300305310</v>
      </c>
      <c r="J41" s="205" t="n"/>
      <c r="K41" s="1523" t="inlineStr">
        <is>
          <t>陳思豪</t>
        </is>
      </c>
      <c r="L41" s="1124" t="n"/>
      <c r="M41" s="1124" t="n"/>
    </row>
    <row r="42" hidden="1" s="1643">
      <c r="B42" s="1523" t="inlineStr">
        <is>
          <t>有成</t>
        </is>
      </c>
      <c r="C42" s="1523" t="inlineStr">
        <is>
          <t>單晶</t>
        </is>
      </c>
      <c r="D42" s="1523" t="n">
        <v>330</v>
      </c>
      <c r="E42" s="1523" t="n">
        <v>0.37</v>
      </c>
      <c r="F42" s="1523" t="n">
        <v>20191031</v>
      </c>
      <c r="G42" s="1523" t="n"/>
      <c r="H42" s="206" t="n"/>
      <c r="I42" s="364" t="n">
        <v>330340</v>
      </c>
      <c r="J42" s="205" t="n"/>
      <c r="K42" s="1523" t="inlineStr">
        <is>
          <t>陳思豪</t>
        </is>
      </c>
      <c r="L42" s="1124" t="n"/>
      <c r="M42" s="1124" t="n"/>
    </row>
    <row r="43" hidden="1" s="1643">
      <c r="B43" s="1523" t="inlineStr">
        <is>
          <t>元晶</t>
        </is>
      </c>
      <c r="C43" s="1523" t="inlineStr">
        <is>
          <t>單晶</t>
        </is>
      </c>
      <c r="D43" s="1523" t="n">
        <v>315</v>
      </c>
      <c r="E43" s="1523" t="n">
        <v>0.34</v>
      </c>
      <c r="F43" s="1523" t="n">
        <v>20200114</v>
      </c>
      <c r="G43" s="1523" t="n"/>
      <c r="H43" s="206" t="n"/>
      <c r="I43" s="364" t="n">
        <v>305310315320</v>
      </c>
      <c r="J43" s="205" t="inlineStr">
        <is>
          <t>M2電池片，MC4</t>
        </is>
      </c>
      <c r="K43" s="1523" t="inlineStr">
        <is>
          <t>施小姐</t>
        </is>
      </c>
      <c r="L43" s="1124" t="n"/>
      <c r="M43" s="1124" t="n"/>
    </row>
    <row r="44" hidden="1" s="1643">
      <c r="B44" s="1523" t="inlineStr">
        <is>
          <t>元晶</t>
        </is>
      </c>
      <c r="C44" s="1523" t="inlineStr">
        <is>
          <t>單晶</t>
        </is>
      </c>
      <c r="D44" s="1523" t="n">
        <v>320</v>
      </c>
      <c r="E44" s="1523" t="n">
        <v>0.34</v>
      </c>
      <c r="F44" s="1523" t="n">
        <v>20200114</v>
      </c>
      <c r="G44" s="1523" t="n"/>
      <c r="H44" s="206" t="n"/>
      <c r="I44" s="364" t="n">
        <v>305310315320</v>
      </c>
      <c r="J44" s="205" t="inlineStr">
        <is>
          <t>M2電池片，MC4</t>
        </is>
      </c>
      <c r="K44" s="1523" t="inlineStr">
        <is>
          <t>施小姐</t>
        </is>
      </c>
      <c r="L44" s="1124" t="n"/>
      <c r="M44" s="1124" t="n"/>
    </row>
    <row r="45" hidden="1" s="1643">
      <c r="B45" s="1523" t="inlineStr">
        <is>
          <t>聯合(全片)</t>
        </is>
      </c>
      <c r="C45" s="1523" t="inlineStr">
        <is>
          <t>單晶</t>
        </is>
      </c>
      <c r="D45" s="1523" t="n">
        <v>310</v>
      </c>
      <c r="E45" s="1523" t="n">
        <v>0.345</v>
      </c>
      <c r="F45" s="1523" t="n">
        <v>20200114</v>
      </c>
      <c r="G45" s="1523" t="n"/>
      <c r="H45" s="206" t="n"/>
      <c r="I45" s="364" t="n">
        <v>310315</v>
      </c>
      <c r="J45" s="205" t="inlineStr">
        <is>
          <t>M2電池片，MC4</t>
        </is>
      </c>
      <c r="K45" s="1523" t="inlineStr">
        <is>
          <t>Josh</t>
        </is>
      </c>
      <c r="L45" s="1124" t="n"/>
      <c r="M45" s="1124" t="n"/>
    </row>
    <row r="46" hidden="1" s="1643">
      <c r="B46" s="1523" t="inlineStr">
        <is>
          <t>聯合(半切)</t>
        </is>
      </c>
      <c r="C46" s="1523" t="inlineStr">
        <is>
          <t>單晶</t>
        </is>
      </c>
      <c r="D46" s="1523" t="n">
        <v>320</v>
      </c>
      <c r="E46" s="1523" t="n">
        <v>0.34</v>
      </c>
      <c r="F46" s="1523" t="n">
        <v>20200114</v>
      </c>
      <c r="G46" s="1523" t="n"/>
      <c r="H46" s="206" t="n"/>
      <c r="I46" s="364" t="n">
        <v>320325</v>
      </c>
      <c r="J46" s="205" t="inlineStr">
        <is>
          <t>M2電池片，MC4</t>
        </is>
      </c>
      <c r="K46" s="1523" t="inlineStr">
        <is>
          <t>Josh</t>
        </is>
      </c>
      <c r="L46" s="1124" t="n"/>
      <c r="M46" s="1124" t="n"/>
    </row>
    <row r="47" hidden="1" s="1643">
      <c r="B47" s="1523" t="inlineStr">
        <is>
          <t>友達(半切)</t>
        </is>
      </c>
      <c r="C47" s="1523" t="inlineStr">
        <is>
          <t>單晶</t>
        </is>
      </c>
      <c r="D47" s="1523" t="n">
        <v>350</v>
      </c>
      <c r="E47" s="1523" t="n">
        <v>0.35</v>
      </c>
      <c r="F47" s="1523" t="n">
        <v>20200113</v>
      </c>
      <c r="G47" s="1523" t="inlineStr">
        <is>
          <t>翰可經銷商</t>
        </is>
      </c>
      <c r="H47" s="206" t="inlineStr">
        <is>
          <t>難產中</t>
        </is>
      </c>
      <c r="I47" s="364" t="n">
        <v>340345350</v>
      </c>
      <c r="J47" s="205" t="inlineStr">
        <is>
          <t>M4電池片</t>
        </is>
      </c>
      <c r="K47" s="1523" t="inlineStr">
        <is>
          <t>徐珮甄</t>
        </is>
      </c>
      <c r="L47" s="1124" t="n"/>
      <c r="M47" s="1124" t="n"/>
    </row>
    <row r="48" hidden="1" s="1643">
      <c r="B48" s="1523" t="inlineStr">
        <is>
          <t>有成</t>
        </is>
      </c>
      <c r="C48" s="1523" t="inlineStr">
        <is>
          <t>單晶</t>
        </is>
      </c>
      <c r="D48" s="1523" t="n">
        <v>340</v>
      </c>
      <c r="E48" s="1523" t="n">
        <v>0.35</v>
      </c>
      <c r="F48" s="1523" t="n">
        <v>20200114</v>
      </c>
      <c r="G48" s="1523" t="n"/>
      <c r="H48" s="206" t="n"/>
      <c r="I48" s="364" t="n">
        <v>330340</v>
      </c>
      <c r="J48" s="205" t="inlineStr">
        <is>
          <t>M4電池片，MC4</t>
        </is>
      </c>
      <c r="K48" s="1523" t="inlineStr">
        <is>
          <t>陳思豪</t>
        </is>
      </c>
      <c r="L48" s="1124" t="n"/>
      <c r="M48" s="1124" t="n"/>
    </row>
    <row r="49" hidden="1" s="1643">
      <c r="B49" s="1523" t="inlineStr">
        <is>
          <t>有成</t>
        </is>
      </c>
      <c r="C49" s="1523" t="inlineStr">
        <is>
          <t>單晶</t>
        </is>
      </c>
      <c r="D49" s="1523" t="n">
        <v>330</v>
      </c>
      <c r="E49" s="1523" t="n">
        <v>0.33</v>
      </c>
      <c r="F49" s="1523" t="n">
        <v>20201120</v>
      </c>
      <c r="G49" s="1523" t="n">
        <v>33</v>
      </c>
      <c r="H49" s="206" t="n"/>
      <c r="I49" s="364" t="n">
        <v>325330</v>
      </c>
      <c r="J49" s="205" t="inlineStr">
        <is>
          <t>G1電池片，MC4</t>
        </is>
      </c>
      <c r="K49" s="1523" t="inlineStr">
        <is>
          <t>陳思豪</t>
        </is>
      </c>
      <c r="L49" s="1124" t="n"/>
      <c r="M49" s="1124" t="n"/>
    </row>
    <row r="50" hidden="1" s="1643">
      <c r="B50" s="1523" t="inlineStr">
        <is>
          <t>元晶</t>
        </is>
      </c>
      <c r="C50" s="1523" t="inlineStr">
        <is>
          <t>單晶</t>
        </is>
      </c>
      <c r="D50" s="1523" t="n">
        <v>330</v>
      </c>
      <c r="E50" s="1523" t="n">
        <v>0.33</v>
      </c>
      <c r="F50" s="1523" t="n">
        <v>20201026</v>
      </c>
      <c r="G50" s="1523" t="n">
        <v>32</v>
      </c>
      <c r="H50" s="206" t="n"/>
      <c r="I50" s="364" t="n">
        <v>325330</v>
      </c>
      <c r="J50" s="205" t="inlineStr">
        <is>
          <t>G1電池片，MC4(一般型R)</t>
        </is>
      </c>
      <c r="K50" s="1523" t="inlineStr">
        <is>
          <t>施小姐</t>
        </is>
      </c>
      <c r="L50" s="1124" t="n"/>
      <c r="M50" s="1124" t="n"/>
    </row>
    <row r="51" hidden="1" s="1643">
      <c r="B51" s="1523" t="inlineStr">
        <is>
          <t>元晶(M)</t>
        </is>
      </c>
      <c r="C51" s="1523" t="inlineStr">
        <is>
          <t>單晶</t>
        </is>
      </c>
      <c r="D51" s="1523" t="n">
        <v>330</v>
      </c>
      <c r="E51" s="1523" t="n">
        <v>0.33</v>
      </c>
      <c r="F51" s="1523" t="n">
        <v>20201026</v>
      </c>
      <c r="G51" s="1523" t="n">
        <v>325</v>
      </c>
      <c r="H51" s="206" t="n"/>
      <c r="I51" s="364" t="n">
        <v>325330</v>
      </c>
      <c r="J51" s="205" t="inlineStr">
        <is>
          <t>G1電池片，MC4(鹽灘型M)</t>
        </is>
      </c>
      <c r="K51" s="1523" t="inlineStr">
        <is>
          <t>施小姐</t>
        </is>
      </c>
      <c r="L51" s="1124" t="n"/>
      <c r="M51" s="1124" t="n"/>
    </row>
    <row r="52" hidden="1" s="1643">
      <c r="B52" s="1523" t="inlineStr">
        <is>
          <t>元晶(半切)</t>
        </is>
      </c>
      <c r="C52" s="1523" t="inlineStr">
        <is>
          <t>單晶</t>
        </is>
      </c>
      <c r="D52" s="1523" t="n">
        <v>335</v>
      </c>
      <c r="E52" s="1523" t="n">
        <v>0.33</v>
      </c>
      <c r="F52" s="1523" t="n">
        <v>20201201</v>
      </c>
      <c r="G52" s="1523" t="n">
        <v>32</v>
      </c>
      <c r="H52" s="206" t="n"/>
      <c r="I52" s="364" t="n">
        <v>330335</v>
      </c>
      <c r="J52" s="205" t="inlineStr">
        <is>
          <t>G1電池片，MC4(一般型R)</t>
        </is>
      </c>
      <c r="K52" s="1523" t="inlineStr">
        <is>
          <t>施小姐</t>
        </is>
      </c>
      <c r="L52" s="1124" t="n"/>
      <c r="M52" s="1124" t="n"/>
    </row>
    <row r="53" hidden="1" s="1643">
      <c r="B53" s="1523" t="inlineStr">
        <is>
          <t>聯合(全片)</t>
        </is>
      </c>
      <c r="C53" s="1523" t="inlineStr">
        <is>
          <t>單晶</t>
        </is>
      </c>
      <c r="D53" s="1523" t="n">
        <v>330</v>
      </c>
      <c r="E53" s="1523" t="n">
        <v>0.33</v>
      </c>
      <c r="F53" s="1523" t="n">
        <v>20201023</v>
      </c>
      <c r="G53" s="1523" t="n"/>
      <c r="H53" s="206" t="n"/>
      <c r="I53" s="364" t="n">
        <v>350</v>
      </c>
      <c r="J53" s="205" t="inlineStr">
        <is>
          <t>G1電池片，MC4</t>
        </is>
      </c>
      <c r="K53" s="1523" t="inlineStr">
        <is>
          <t>Josh</t>
        </is>
      </c>
      <c r="L53" s="1124" t="n"/>
      <c r="M53" s="1124" t="n"/>
    </row>
    <row r="54" hidden="1" s="1643">
      <c r="B54" s="1523" t="inlineStr">
        <is>
          <t>聯合(半切)</t>
        </is>
      </c>
      <c r="C54" s="1523" t="inlineStr">
        <is>
          <t>單晶</t>
        </is>
      </c>
      <c r="D54" s="1523" t="n">
        <v>340</v>
      </c>
      <c r="E54" s="1523" t="n">
        <v>0.33</v>
      </c>
      <c r="F54" s="1523" t="n">
        <v>20201023</v>
      </c>
      <c r="G54" s="1523" t="n">
        <v>32</v>
      </c>
      <c r="H54" s="206" t="n"/>
      <c r="I54" s="364" t="n">
        <v>350</v>
      </c>
      <c r="J54" s="205" t="inlineStr">
        <is>
          <t>G1電池片，MC4</t>
        </is>
      </c>
      <c r="K54" s="1523" t="inlineStr">
        <is>
          <t>Josh</t>
        </is>
      </c>
      <c r="L54" s="1124" t="n"/>
      <c r="M54" s="1124" t="n"/>
    </row>
    <row r="55" hidden="1" s="1643">
      <c r="B55" s="1523" t="inlineStr">
        <is>
          <t>有成</t>
        </is>
      </c>
      <c r="C55" s="1523" t="inlineStr">
        <is>
          <t>單晶</t>
        </is>
      </c>
      <c r="D55" s="1523" t="n">
        <v>340</v>
      </c>
      <c r="E55" s="1523" t="n">
        <v>0.44</v>
      </c>
      <c r="F55" s="1523" t="n">
        <v>20210609</v>
      </c>
      <c r="G55" s="1523" t="n"/>
      <c r="H55" s="206" t="n"/>
      <c r="I55" s="364" t="n">
        <v>330340</v>
      </c>
      <c r="J55" s="205" t="inlineStr">
        <is>
          <t>M4電池片，MC4</t>
        </is>
      </c>
      <c r="K55" s="1523" t="inlineStr">
        <is>
          <t>陳思豪</t>
        </is>
      </c>
      <c r="L55" s="1124" t="n"/>
      <c r="M55" s="1124" t="n"/>
    </row>
    <row r="56" hidden="1" s="1643">
      <c r="B56" s="1523" t="inlineStr">
        <is>
          <t>元晶</t>
        </is>
      </c>
      <c r="C56" s="1523" t="inlineStr">
        <is>
          <t>單晶</t>
        </is>
      </c>
      <c r="D56" s="1523" t="n">
        <v>330</v>
      </c>
      <c r="E56" s="1523" t="n">
        <v>0.41</v>
      </c>
      <c r="F56" s="1523" t="n">
        <v>20210609</v>
      </c>
      <c r="G56" s="1523" t="n"/>
      <c r="H56" s="206" t="n"/>
      <c r="I56" s="364" t="n">
        <v>325330</v>
      </c>
      <c r="J56" s="205" t="inlineStr">
        <is>
          <t>G1電池片，MC4(一般型R)</t>
        </is>
      </c>
      <c r="K56" s="1523" t="inlineStr">
        <is>
          <t>施小姐</t>
        </is>
      </c>
      <c r="L56" s="1124" t="n"/>
      <c r="M56" s="1124" t="n"/>
    </row>
    <row r="57" hidden="1" s="1643">
      <c r="B57" s="1509" t="inlineStr">
        <is>
          <t>元晶</t>
        </is>
      </c>
      <c r="C57" s="1509" t="inlineStr">
        <is>
          <t>單晶</t>
        </is>
      </c>
      <c r="D57" s="1509" t="n">
        <v>330</v>
      </c>
      <c r="E57" s="1509" t="n">
        <v>0.407</v>
      </c>
      <c r="F57" s="1509" t="n">
        <v>20210726</v>
      </c>
      <c r="G57" s="1509" t="n"/>
      <c r="H57" s="844" t="n"/>
      <c r="I57" s="847" t="n">
        <v>325330</v>
      </c>
      <c r="J57" s="843" t="inlineStr">
        <is>
          <t>G1電池片，EVO2(一般型R)</t>
        </is>
      </c>
      <c r="K57" s="1509" t="inlineStr">
        <is>
          <t>施小姐</t>
        </is>
      </c>
      <c r="L57" s="1124" t="n"/>
      <c r="M57" s="1124" t="n"/>
    </row>
    <row r="58" hidden="1" ht="16.5" customHeight="1" s="1643">
      <c r="A58" s="0" t="n"/>
      <c r="B58" s="1509" t="inlineStr">
        <is>
          <t>元晶(半切)</t>
        </is>
      </c>
      <c r="C58" s="1509" t="inlineStr">
        <is>
          <t>單晶</t>
        </is>
      </c>
      <c r="D58" s="1509" t="n">
        <v>340</v>
      </c>
      <c r="E58" s="1509" t="n">
        <v>0.41</v>
      </c>
      <c r="F58" s="1509" t="n">
        <v>20210726</v>
      </c>
      <c r="G58" s="1509" t="n"/>
      <c r="H58" s="844" t="n"/>
      <c r="I58" s="847" t="n">
        <v>335340</v>
      </c>
      <c r="J58" s="843" t="inlineStr">
        <is>
          <t>G1電池片，EVO2(一般型R)</t>
        </is>
      </c>
      <c r="K58" s="1509" t="inlineStr">
        <is>
          <t>施小姐</t>
        </is>
      </c>
      <c r="L58" s="1124" t="n"/>
      <c r="M58" s="1124" t="n"/>
    </row>
    <row r="59" hidden="1" ht="16.5" customHeight="1" s="1643">
      <c r="A59" s="0" t="n"/>
      <c r="B59" s="1509" t="inlineStr">
        <is>
          <t>元晶(半切)</t>
        </is>
      </c>
      <c r="C59" s="1509" t="inlineStr">
        <is>
          <t>單晶</t>
        </is>
      </c>
      <c r="D59" s="1509" t="n">
        <v>360</v>
      </c>
      <c r="E59" s="2128">
        <f>G59/D59/#REF!</f>
        <v/>
      </c>
      <c r="F59" s="1509" t="n">
        <v>20211217</v>
      </c>
      <c r="G59" s="1509" t="n">
        <v>4792</v>
      </c>
      <c r="H59" s="844" t="n"/>
      <c r="I59" s="847" t="n">
        <v>360365370375</v>
      </c>
      <c r="J59" s="843" t="inlineStr">
        <is>
          <t>M6電池片，佳明(一般型R)</t>
        </is>
      </c>
      <c r="K59" s="1509" t="inlineStr">
        <is>
          <t>施小姐</t>
        </is>
      </c>
      <c r="L59" s="1124" t="n"/>
      <c r="M59" s="1124" t="n"/>
    </row>
    <row r="60" hidden="1" ht="16.5" customHeight="1" s="1643">
      <c r="A60" s="0" t="n"/>
      <c r="B60" s="1509" t="inlineStr">
        <is>
          <t>元晶(半切)</t>
        </is>
      </c>
      <c r="C60" s="1509" t="inlineStr">
        <is>
          <t>單晶</t>
        </is>
      </c>
      <c r="D60" s="1509" t="n">
        <v>365</v>
      </c>
      <c r="E60" s="2128">
        <f>G60/D60/#REF!</f>
        <v/>
      </c>
      <c r="F60" s="1509" t="n">
        <v>20211217</v>
      </c>
      <c r="G60" s="1509" t="n">
        <v>4810</v>
      </c>
      <c r="H60" s="844" t="n"/>
      <c r="I60" s="847" t="n">
        <v>360365370375</v>
      </c>
      <c r="J60" s="843" t="inlineStr">
        <is>
          <t>M6電池片，佳明(一般型R)</t>
        </is>
      </c>
      <c r="K60" s="1509" t="inlineStr">
        <is>
          <t>施小姐</t>
        </is>
      </c>
      <c r="L60" s="1124" t="n"/>
      <c r="M60" s="1124" t="n"/>
    </row>
    <row r="61" hidden="1" ht="16.5" customHeight="1" s="1643">
      <c r="A61" s="0" t="n"/>
      <c r="B61" s="1509" t="inlineStr">
        <is>
          <t>元晶(半切)</t>
        </is>
      </c>
      <c r="C61" s="1509" t="inlineStr">
        <is>
          <t>單晶</t>
        </is>
      </c>
      <c r="D61" s="1509" t="n">
        <v>370</v>
      </c>
      <c r="E61" s="2128">
        <f>G61/D61/#REF!</f>
        <v/>
      </c>
      <c r="F61" s="1509" t="n">
        <v>20211217</v>
      </c>
      <c r="G61" s="1509" t="n">
        <v>4928</v>
      </c>
      <c r="H61" s="844" t="n"/>
      <c r="I61" s="847" t="n">
        <v>360365370375</v>
      </c>
      <c r="J61" s="843" t="inlineStr">
        <is>
          <t>M6電池片，佳明(一般型R)</t>
        </is>
      </c>
      <c r="K61" s="1509" t="inlineStr">
        <is>
          <t>施小姐</t>
        </is>
      </c>
      <c r="L61" s="1124" t="n"/>
      <c r="M61" s="1124" t="n"/>
    </row>
    <row r="62" hidden="1" ht="16.5" customHeight="1" s="1643">
      <c r="A62" s="0" t="n"/>
      <c r="B62" s="1509" t="inlineStr">
        <is>
          <t>有成(半切)</t>
        </is>
      </c>
      <c r="C62" s="1509" t="inlineStr">
        <is>
          <t>單晶</t>
        </is>
      </c>
      <c r="D62" s="1509" t="n">
        <v>375</v>
      </c>
      <c r="E62" s="2128" t="n">
        <v>0.49</v>
      </c>
      <c r="F62" s="1509" t="n">
        <v>20211231</v>
      </c>
      <c r="G62" s="1509" t="n">
        <v>4928</v>
      </c>
      <c r="H62" s="844" t="n"/>
      <c r="I62" s="847" t="n">
        <v>375</v>
      </c>
      <c r="J62" s="843" t="inlineStr">
        <is>
          <t>M6電池片，QC4</t>
        </is>
      </c>
      <c r="K62" s="1523" t="inlineStr">
        <is>
          <t>陳思豪</t>
        </is>
      </c>
      <c r="L62" s="1124" t="n"/>
      <c r="M62" s="1124" t="n"/>
    </row>
    <row r="63" hidden="1" ht="16.5" customHeight="1" s="1643">
      <c r="A63" s="0" t="n"/>
      <c r="B63" s="1509" t="inlineStr">
        <is>
          <t>同昱(半切)</t>
        </is>
      </c>
      <c r="C63" s="1509" t="inlineStr">
        <is>
          <t>單晶</t>
        </is>
      </c>
      <c r="D63" s="1509" t="n">
        <v>370</v>
      </c>
      <c r="E63" s="2128">
        <f>G63/D63/#REF!</f>
        <v/>
      </c>
      <c r="F63" s="1509" t="n">
        <v>20220302</v>
      </c>
      <c r="G63" s="1509" t="n">
        <v>5000</v>
      </c>
      <c r="H63" s="844" t="n"/>
      <c r="I63" s="847" t="n">
        <v>370375380</v>
      </c>
      <c r="J63" s="843" t="inlineStr">
        <is>
          <t>M6電池片，PV-CO02</t>
        </is>
      </c>
      <c r="K63" s="1509" t="inlineStr">
        <is>
          <t>唐先生</t>
        </is>
      </c>
      <c r="L63" s="1124" t="n"/>
      <c r="M63" s="1124" t="n"/>
    </row>
    <row r="64" hidden="1" ht="16.5" customHeight="1" s="1643">
      <c r="A64" s="0" t="n"/>
      <c r="B64" s="1509" t="inlineStr">
        <is>
          <t>茂迪(半切)</t>
        </is>
      </c>
      <c r="C64" s="1509" t="inlineStr">
        <is>
          <t>單晶</t>
        </is>
      </c>
      <c r="D64" s="1509" t="n">
        <v>370</v>
      </c>
      <c r="E64" s="2128">
        <f>G64/D64/#REF!</f>
        <v/>
      </c>
      <c r="F64" s="1509" t="n">
        <v>20220324</v>
      </c>
      <c r="G64" s="1509" t="n">
        <v>5112</v>
      </c>
      <c r="H64" s="844" t="inlineStr">
        <is>
          <t>雙面</t>
        </is>
      </c>
      <c r="I64" s="847" t="n">
        <v>370375380</v>
      </c>
      <c r="J64" s="843" t="inlineStr">
        <is>
          <t>M6電池片，輝朗</t>
        </is>
      </c>
      <c r="K64" s="1509" t="inlineStr">
        <is>
          <t>劉小姐</t>
        </is>
      </c>
      <c r="L64" s="1124" t="n"/>
      <c r="M64" s="1124" t="n"/>
    </row>
    <row r="65" hidden="1" ht="18.75" customHeight="1" s="1643">
      <c r="A65" s="0" t="n"/>
      <c r="B65" s="1509" t="inlineStr">
        <is>
          <t>茂迪(半切)</t>
        </is>
      </c>
      <c r="C65" s="1509" t="inlineStr">
        <is>
          <t>單晶</t>
        </is>
      </c>
      <c r="D65" s="1509" t="n">
        <v>370</v>
      </c>
      <c r="E65" s="2128">
        <f>G65/D65/#REF!</f>
        <v/>
      </c>
      <c r="F65" s="1509" t="n">
        <v>20220324</v>
      </c>
      <c r="G65" s="1509" t="n">
        <v>5006</v>
      </c>
      <c r="H65" s="844" t="inlineStr">
        <is>
          <t>單面</t>
        </is>
      </c>
      <c r="I65" s="847" t="n">
        <v>370375380</v>
      </c>
      <c r="J65" s="843" t="inlineStr">
        <is>
          <t>M6電池片，輝朗</t>
        </is>
      </c>
      <c r="K65" s="1509" t="inlineStr">
        <is>
          <t>劉小姐</t>
        </is>
      </c>
      <c r="L65" s="1124" t="n"/>
      <c r="M65" s="1124" t="n"/>
    </row>
    <row r="66" hidden="1" ht="16.5" customHeight="1" s="1643">
      <c r="A66" s="849" t="n"/>
      <c r="B66" s="1509" t="inlineStr">
        <is>
          <t>元晶(半切)</t>
        </is>
      </c>
      <c r="C66" s="1509" t="inlineStr">
        <is>
          <t>單晶</t>
        </is>
      </c>
      <c r="D66" s="1509" t="n">
        <v>370</v>
      </c>
      <c r="E66" s="2128">
        <f>G66/D66/#REF!</f>
        <v/>
      </c>
      <c r="F66" s="1509" t="n">
        <v>20220622</v>
      </c>
      <c r="G66" s="1509" t="n">
        <v>5300</v>
      </c>
      <c r="H66" s="844" t="n"/>
      <c r="I66" s="847" t="n">
        <v>360365370375</v>
      </c>
      <c r="J66" s="843" t="inlineStr">
        <is>
          <t>M6電池片，佳明(一般型R)</t>
        </is>
      </c>
      <c r="K66" s="1509" t="inlineStr">
        <is>
          <t>施小姐</t>
        </is>
      </c>
      <c r="L66" s="1124" t="n"/>
      <c r="M66" s="1124" t="n"/>
    </row>
    <row r="67" hidden="1" ht="16.5" customHeight="1" s="1643">
      <c r="A67" s="849" t="n"/>
      <c r="B67" s="1509" t="inlineStr">
        <is>
          <t>有成(半切)</t>
        </is>
      </c>
      <c r="C67" s="1509" t="inlineStr">
        <is>
          <t>單晶</t>
        </is>
      </c>
      <c r="D67" s="1509" t="n">
        <v>375</v>
      </c>
      <c r="E67" s="2128" t="n">
        <v>0.5</v>
      </c>
      <c r="F67" s="1509" t="n">
        <v>20220621</v>
      </c>
      <c r="G67" s="1509">
        <f>E67*29.72*375</f>
        <v/>
      </c>
      <c r="H67" s="844" t="inlineStr">
        <is>
          <t>WSP(抗颱框)</t>
        </is>
      </c>
      <c r="I67" s="847" t="n">
        <v>375</v>
      </c>
      <c r="J67" s="843" t="inlineStr">
        <is>
          <t>M6電池片，QC4</t>
        </is>
      </c>
      <c r="K67" s="1523" t="inlineStr">
        <is>
          <t>陳思豪</t>
        </is>
      </c>
      <c r="L67" s="1124" t="n"/>
      <c r="M67" s="1124" t="n"/>
    </row>
    <row r="68" hidden="1" ht="16.5" customHeight="1" s="1643">
      <c r="A68" s="849" t="n"/>
      <c r="B68" s="1509" t="inlineStr">
        <is>
          <t>有成(半切)</t>
        </is>
      </c>
      <c r="C68" s="1509" t="inlineStr">
        <is>
          <t>單晶</t>
        </is>
      </c>
      <c r="D68" s="1509" t="n">
        <v>375</v>
      </c>
      <c r="E68" s="2128" t="n">
        <v>0.49</v>
      </c>
      <c r="F68" s="1509" t="n">
        <v>20220621</v>
      </c>
      <c r="G68" s="1509">
        <f>E68*29.72*375</f>
        <v/>
      </c>
      <c r="H68" s="844" t="inlineStr">
        <is>
          <t>WST(一般框)</t>
        </is>
      </c>
      <c r="I68" s="847" t="n">
        <v>375</v>
      </c>
      <c r="J68" s="843" t="inlineStr">
        <is>
          <t>M6電池片，QC4</t>
        </is>
      </c>
      <c r="K68" s="1523" t="inlineStr">
        <is>
          <t>陳思豪</t>
        </is>
      </c>
      <c r="L68" s="1124" t="n"/>
      <c r="M68" s="1124" t="n"/>
    </row>
    <row r="69" hidden="1" ht="16.5" customHeight="1" s="1643">
      <c r="A69" s="849" t="n"/>
      <c r="B69" s="1509" t="inlineStr">
        <is>
          <t>有成(半切)</t>
        </is>
      </c>
      <c r="C69" s="1509" t="inlineStr">
        <is>
          <t>單晶</t>
        </is>
      </c>
      <c r="D69" s="1509" t="n">
        <v>375</v>
      </c>
      <c r="E69" s="2128" t="n">
        <v>0.49</v>
      </c>
      <c r="F69" s="1509" t="n">
        <v>20220621</v>
      </c>
      <c r="G69" s="1509">
        <f>E69*29.72*375</f>
        <v/>
      </c>
      <c r="H69" s="844" t="inlineStr">
        <is>
          <t>WST(一般框)</t>
        </is>
      </c>
      <c r="I69" s="847" t="n">
        <v>376</v>
      </c>
      <c r="J69" s="843" t="inlineStr">
        <is>
          <t>M6電池片，QC5</t>
        </is>
      </c>
      <c r="K69" s="1523" t="inlineStr">
        <is>
          <t>陳思豪</t>
        </is>
      </c>
      <c r="L69" s="1124" t="n"/>
      <c r="M69" s="1124" t="n"/>
    </row>
    <row r="70" hidden="1" ht="16.5" customHeight="1" s="1643">
      <c r="A70" s="849" t="n"/>
      <c r="B70" s="1509" t="inlineStr">
        <is>
          <t>有成(半切)</t>
        </is>
      </c>
      <c r="C70" s="1509" t="inlineStr">
        <is>
          <t>單晶</t>
        </is>
      </c>
      <c r="D70" s="1509" t="n">
        <v>375</v>
      </c>
      <c r="E70" s="2128" t="n">
        <v>0.49</v>
      </c>
      <c r="F70" s="1509" t="n">
        <v>20220621</v>
      </c>
      <c r="G70" s="1509">
        <f>E70*29.72*375</f>
        <v/>
      </c>
      <c r="H70" s="844" t="inlineStr">
        <is>
          <t>WST(一般框)</t>
        </is>
      </c>
      <c r="I70" s="847" t="n">
        <v>377</v>
      </c>
      <c r="J70" s="843" t="inlineStr">
        <is>
          <t>M6電池片，QC6</t>
        </is>
      </c>
      <c r="K70" s="1523" t="inlineStr">
        <is>
          <t>陳思豪</t>
        </is>
      </c>
      <c r="L70" s="1124" t="n"/>
      <c r="M70" s="1124" t="n"/>
    </row>
    <row r="71" hidden="1" ht="16.5" customHeight="1" s="1643">
      <c r="A71" s="849" t="n"/>
      <c r="B71" s="1509" t="inlineStr">
        <is>
          <t>有成(半切)</t>
        </is>
      </c>
      <c r="C71" s="1509" t="inlineStr">
        <is>
          <t>單晶</t>
        </is>
      </c>
      <c r="D71" s="1509" t="n">
        <v>375</v>
      </c>
      <c r="E71" s="2128" t="n">
        <v>0.49</v>
      </c>
      <c r="F71" s="1509" t="n">
        <v>20220621</v>
      </c>
      <c r="G71" s="1509">
        <f>E71*29.72*375</f>
        <v/>
      </c>
      <c r="H71" s="844" t="inlineStr">
        <is>
          <t>WST(一般框)</t>
        </is>
      </c>
      <c r="I71" s="847" t="n">
        <v>378</v>
      </c>
      <c r="J71" s="843" t="inlineStr">
        <is>
          <t>M6電池片，QC7</t>
        </is>
      </c>
      <c r="K71" s="1523" t="inlineStr">
        <is>
          <t>陳思豪</t>
        </is>
      </c>
      <c r="L71" s="1124" t="n"/>
      <c r="M71" s="1124" t="n"/>
    </row>
    <row r="72" hidden="1" ht="16.5" customHeight="1" s="1643">
      <c r="A72" s="849" t="n"/>
      <c r="B72" s="1509" t="inlineStr">
        <is>
          <t>有成(半切)</t>
        </is>
      </c>
      <c r="C72" s="1509" t="inlineStr">
        <is>
          <t>單晶</t>
        </is>
      </c>
      <c r="D72" s="1509" t="n">
        <v>375</v>
      </c>
      <c r="E72" s="2128" t="n">
        <v>0.49</v>
      </c>
      <c r="F72" s="1509" t="n">
        <v>20220621</v>
      </c>
      <c r="G72" s="1509">
        <f>E72*29.72*375</f>
        <v/>
      </c>
      <c r="H72" s="844" t="inlineStr">
        <is>
          <t>WST(一般框)</t>
        </is>
      </c>
      <c r="I72" s="847" t="n">
        <v>379</v>
      </c>
      <c r="J72" s="843" t="inlineStr">
        <is>
          <t>M6電池片，QC8</t>
        </is>
      </c>
      <c r="K72" s="1523" t="inlineStr">
        <is>
          <t>陳思豪</t>
        </is>
      </c>
      <c r="L72" s="1124" t="n"/>
      <c r="M72" s="1124" t="n"/>
    </row>
    <row r="73" hidden="1" ht="16.5" customHeight="1" s="1643">
      <c r="A73" s="849" t="n"/>
      <c r="B73" s="1509" t="inlineStr">
        <is>
          <t>有成(半切)</t>
        </is>
      </c>
      <c r="C73" s="1509" t="inlineStr">
        <is>
          <t>單晶</t>
        </is>
      </c>
      <c r="D73" s="1509" t="n">
        <v>375</v>
      </c>
      <c r="E73" s="2128" t="n">
        <v>0.49</v>
      </c>
      <c r="F73" s="1509" t="n">
        <v>20220621</v>
      </c>
      <c r="G73" s="1509">
        <f>E73*29.72*375</f>
        <v/>
      </c>
      <c r="H73" s="844" t="inlineStr">
        <is>
          <t>WST(一般框)</t>
        </is>
      </c>
      <c r="I73" s="847" t="n">
        <v>380</v>
      </c>
      <c r="J73" s="843" t="inlineStr">
        <is>
          <t>M6電池片，QC9</t>
        </is>
      </c>
      <c r="K73" s="1523" t="inlineStr">
        <is>
          <t>陳思豪</t>
        </is>
      </c>
      <c r="L73" s="1124" t="n"/>
      <c r="M73" s="1124" t="n"/>
    </row>
    <row r="74" hidden="1" ht="16.5" customHeight="1" s="1643">
      <c r="A74" s="849" t="n"/>
      <c r="B74" s="1509" t="inlineStr">
        <is>
          <t>有成(半切)</t>
        </is>
      </c>
      <c r="C74" s="1509" t="inlineStr">
        <is>
          <t>單晶</t>
        </is>
      </c>
      <c r="D74" s="1509" t="n">
        <v>375</v>
      </c>
      <c r="E74" s="2128" t="n">
        <v>0.49</v>
      </c>
      <c r="F74" s="1509" t="n">
        <v>20220621</v>
      </c>
      <c r="G74" s="1509">
        <f>E74*29.72*375</f>
        <v/>
      </c>
      <c r="H74" s="844" t="inlineStr">
        <is>
          <t>WST(一般框)</t>
        </is>
      </c>
      <c r="I74" s="847" t="n">
        <v>381</v>
      </c>
      <c r="J74" s="843" t="inlineStr">
        <is>
          <t>M6電池片，QC10</t>
        </is>
      </c>
      <c r="K74" s="1523" t="inlineStr">
        <is>
          <t>陳思豪</t>
        </is>
      </c>
      <c r="L74" s="1124" t="n"/>
      <c r="M74" s="1124" t="n"/>
    </row>
    <row r="75" ht="15" customHeight="1" s="1643">
      <c r="B75" s="1509" t="inlineStr">
        <is>
          <t>茂迪</t>
        </is>
      </c>
      <c r="C75" s="1509" t="inlineStr">
        <is>
          <t>XS60CD</t>
        </is>
      </c>
      <c r="D75" s="1509" t="n">
        <v>380</v>
      </c>
      <c r="E75" s="2128">
        <f>184.3/D75</f>
        <v/>
      </c>
      <c r="F75" s="2129" t="n">
        <v>44889</v>
      </c>
      <c r="G75" s="1509">
        <f>E75*D75</f>
        <v/>
      </c>
      <c r="H75" s="844" t="inlineStr">
        <is>
          <t>2023年Q2</t>
        </is>
      </c>
      <c r="I75" s="847" t="n">
        <v>370375380385</v>
      </c>
      <c r="J75" s="843" t="inlineStr">
        <is>
          <t>M6電池片</t>
        </is>
      </c>
      <c r="K75" s="1523" t="inlineStr">
        <is>
          <t>鄭雅君</t>
        </is>
      </c>
      <c r="L75" s="1129" t="inlineStr">
        <is>
          <t>ann_cheng@motech.com.tw</t>
        </is>
      </c>
      <c r="M75" s="1124" t="inlineStr">
        <is>
          <t>06-505-0789#0452</t>
        </is>
      </c>
    </row>
    <row r="76" ht="15" customHeight="1" s="1643">
      <c r="B76" s="1509" t="inlineStr">
        <is>
          <t>茂迪</t>
        </is>
      </c>
      <c r="C76" s="1509" t="inlineStr">
        <is>
          <t>XN60CD-B</t>
        </is>
      </c>
      <c r="D76" s="1509" t="n">
        <v>390</v>
      </c>
      <c r="E76" s="2128">
        <f>210.6/D76</f>
        <v/>
      </c>
      <c r="F76" s="2129" t="n">
        <v>44889</v>
      </c>
      <c r="G76" s="1509">
        <f>E76*D76</f>
        <v/>
      </c>
      <c r="H76" s="844" t="inlineStr">
        <is>
          <t>2023年Q2</t>
        </is>
      </c>
      <c r="I76" s="847" t="n">
        <v>370375380386</v>
      </c>
      <c r="J76" s="843" t="inlineStr">
        <is>
          <t>M6電池片，雙面(TOPCon)</t>
        </is>
      </c>
      <c r="K76" s="1523" t="inlineStr">
        <is>
          <t>鄭雅君</t>
        </is>
      </c>
      <c r="L76" s="1129" t="inlineStr">
        <is>
          <t>ann_cheng@motech.com.tw</t>
        </is>
      </c>
      <c r="M76" s="1124" t="inlineStr">
        <is>
          <t>06-505-0789#0452</t>
        </is>
      </c>
    </row>
    <row r="77" ht="15" customHeight="1" s="1643">
      <c r="B77" s="1509" t="inlineStr">
        <is>
          <t>元晶</t>
        </is>
      </c>
      <c r="C77" s="1124" t="inlineStr">
        <is>
          <t>TS54-BMH-*** H1</t>
        </is>
      </c>
      <c r="D77" s="1509" t="n">
        <v>405</v>
      </c>
      <c r="E77" s="1124" t="n"/>
      <c r="F77" s="1124" t="n"/>
      <c r="G77" s="1124" t="n"/>
      <c r="H77" s="844" t="inlineStr">
        <is>
          <t>2023年Q1</t>
        </is>
      </c>
      <c r="I77" s="1128" t="n">
        <v>390395400405410</v>
      </c>
      <c r="J77" s="1124" t="inlineStr">
        <is>
          <t>M10電池片，108P</t>
        </is>
      </c>
      <c r="K77" s="1494" t="inlineStr">
        <is>
          <t>施旭芳</t>
        </is>
      </c>
      <c r="L77" s="1129" t="inlineStr">
        <is>
          <t>suifang.shih@tsecpv.com</t>
        </is>
      </c>
      <c r="M77" s="1124" t="inlineStr">
        <is>
          <t>0928-810-056</t>
        </is>
      </c>
    </row>
    <row r="78" ht="15" customHeight="1" s="1643">
      <c r="B78" s="1509" t="inlineStr">
        <is>
          <t>元晶</t>
        </is>
      </c>
      <c r="C78" s="1124" t="inlineStr">
        <is>
          <t>TS60-BMH-*** H1</t>
        </is>
      </c>
      <c r="D78" s="1494" t="n">
        <v>455</v>
      </c>
      <c r="E78" s="1124" t="n"/>
      <c r="F78" s="1124" t="n"/>
      <c r="G78" s="1124" t="n"/>
      <c r="H78" s="844" t="inlineStr">
        <is>
          <t>2023年Q2</t>
        </is>
      </c>
      <c r="I78" s="1131" t="inlineStr">
        <is>
          <t>435,440,445,450,455 ,460</t>
        </is>
      </c>
      <c r="J78" s="1124" t="inlineStr">
        <is>
          <t>M10電池片，120P</t>
        </is>
      </c>
      <c r="K78" s="1494" t="inlineStr">
        <is>
          <t>施旭芳</t>
        </is>
      </c>
      <c r="L78" s="1129" t="inlineStr">
        <is>
          <t>suifang.shih@tsecpv.com</t>
        </is>
      </c>
      <c r="M78" s="1124" t="inlineStr">
        <is>
          <t>0928-810-056</t>
        </is>
      </c>
    </row>
    <row r="79" ht="15" customHeight="1" s="1643">
      <c r="B79" s="1509" t="inlineStr">
        <is>
          <t>有成</t>
        </is>
      </c>
      <c r="C79" s="1494" t="inlineStr">
        <is>
          <t>WST-375MGL</t>
        </is>
      </c>
      <c r="D79" s="1494" t="n">
        <v>375</v>
      </c>
      <c r="E79" s="1494" t="n">
        <v>0.475</v>
      </c>
      <c r="F79" s="2129" t="n">
        <v>44893</v>
      </c>
      <c r="G79" s="1494">
        <f>E79*D79</f>
        <v/>
      </c>
      <c r="H79" s="844" t="inlineStr">
        <is>
          <t>2023年Q1</t>
        </is>
      </c>
      <c r="I79" s="1131" t="n">
        <v>375</v>
      </c>
      <c r="J79" s="1124" t="inlineStr">
        <is>
          <t>M6電池片，120P</t>
        </is>
      </c>
      <c r="K79" s="1494" t="inlineStr">
        <is>
          <t>陳思豪</t>
        </is>
      </c>
      <c r="L79" s="1129" t="inlineStr">
        <is>
          <t>j.chen@winaico.com</t>
        </is>
      </c>
      <c r="M79" s="1124" t="inlineStr">
        <is>
          <t>0921-756-757</t>
        </is>
      </c>
    </row>
  </sheetData>
  <autoFilter ref="B6:G15"/>
  <hyperlinks>
    <hyperlink xmlns:r="http://schemas.openxmlformats.org/officeDocument/2006/relationships" ref="I26" r:id="rId1"/>
    <hyperlink xmlns:r="http://schemas.openxmlformats.org/officeDocument/2006/relationships" ref="L75" r:id="rId2"/>
    <hyperlink xmlns:r="http://schemas.openxmlformats.org/officeDocument/2006/relationships" ref="L76" r:id="rId3"/>
    <hyperlink xmlns:r="http://schemas.openxmlformats.org/officeDocument/2006/relationships" ref="L77" r:id="rId4"/>
    <hyperlink xmlns:r="http://schemas.openxmlformats.org/officeDocument/2006/relationships" ref="L78" r:id="rId5"/>
    <hyperlink xmlns:r="http://schemas.openxmlformats.org/officeDocument/2006/relationships" ref="L79" r:id="rId6"/>
  </hyperlink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7"/>
  <sheetViews>
    <sheetView workbookViewId="0">
      <pane ySplit="4" topLeftCell="A6" activePane="bottomLeft" state="frozen"/>
      <selection pane="bottomLeft" activeCell="J25" sqref="J24:J25"/>
    </sheetView>
  </sheetViews>
  <sheetFormatPr baseColWidth="8" defaultColWidth="9" defaultRowHeight="14.25"/>
  <cols>
    <col width="3.125" customWidth="1" style="5" min="1" max="1"/>
    <col width="10.875" bestFit="1" customWidth="1" style="5" min="2" max="2"/>
    <col width="15.625" bestFit="1" customWidth="1" style="5" min="3" max="3"/>
    <col width="14.5" bestFit="1" customWidth="1" style="5" min="4" max="4"/>
    <col width="17.375" bestFit="1" customWidth="1" style="5" min="5" max="5"/>
    <col width="13.5" bestFit="1" customWidth="1" style="5" min="6" max="6"/>
    <col width="17.75" customWidth="1" style="5" min="7" max="7"/>
    <col width="20.875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規格(W)</t>
        </is>
      </c>
      <c r="E2" s="1523" t="inlineStr">
        <is>
          <t>報價(USD/台)</t>
        </is>
      </c>
    </row>
    <row r="3">
      <c r="B3" s="1523">
        <f>B13</f>
        <v/>
      </c>
      <c r="C3" s="1523">
        <f>C13</f>
        <v/>
      </c>
      <c r="D3" s="1523">
        <f>D13</f>
        <v/>
      </c>
      <c r="E3" s="1523">
        <f>E13</f>
        <v/>
      </c>
    </row>
    <row r="4">
      <c r="B4" s="207" t="n"/>
      <c r="C4" s="207" t="n"/>
      <c r="D4" s="207" t="n"/>
      <c r="E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規格(W)</t>
        </is>
      </c>
      <c r="E6" s="1523" t="inlineStr">
        <is>
          <t>報價(USD/台)</t>
        </is>
      </c>
      <c r="F6" s="1523" t="inlineStr">
        <is>
          <t>報價時間</t>
        </is>
      </c>
      <c r="G6" s="1523" t="inlineStr">
        <is>
          <t>NOTE</t>
        </is>
      </c>
      <c r="H6" s="1523" t="inlineStr">
        <is>
          <t>聯絡人</t>
        </is>
      </c>
      <c r="I6" s="1523" t="inlineStr">
        <is>
          <t>聯絡方式</t>
        </is>
      </c>
      <c r="J6" s="1523" t="inlineStr">
        <is>
          <t>Email</t>
        </is>
      </c>
    </row>
    <row r="7">
      <c r="B7" s="1523" t="inlineStr">
        <is>
          <t>SolarBridge</t>
        </is>
      </c>
      <c r="C7" s="1523" t="inlineStr">
        <is>
          <t>P250LV-208/240</t>
        </is>
      </c>
      <c r="D7" s="1523" t="n">
        <v>250</v>
      </c>
      <c r="E7" s="1523" t="n">
        <v>135</v>
      </c>
      <c r="F7" s="1523" t="n">
        <v>2014</v>
      </c>
      <c r="G7" s="1523" t="inlineStr">
        <is>
          <t>1DC in; 含運+廠商組裝</t>
        </is>
      </c>
      <c r="H7" s="205" t="n"/>
      <c r="I7" s="205" t="n"/>
      <c r="J7" s="205" t="n"/>
    </row>
    <row r="8">
      <c r="B8" s="1523" t="inlineStr">
        <is>
          <t>APS</t>
        </is>
      </c>
      <c r="C8" s="1523" t="n"/>
      <c r="D8" s="1523" t="n">
        <v>500</v>
      </c>
      <c r="E8" s="1523" t="n">
        <v>190</v>
      </c>
      <c r="F8" s="1523" t="n">
        <v>2015</v>
      </c>
      <c r="G8" s="1523" t="inlineStr">
        <is>
          <t>2DC in; 含運+廠商組裝</t>
        </is>
      </c>
      <c r="H8" s="205" t="n"/>
      <c r="I8" s="205" t="n"/>
      <c r="J8" s="205" t="n"/>
    </row>
    <row r="9">
      <c r="B9" s="1523" t="inlineStr">
        <is>
          <t>APS</t>
        </is>
      </c>
      <c r="C9" s="1523" t="inlineStr">
        <is>
          <t>YC500</t>
        </is>
      </c>
      <c r="D9" s="1523" t="n">
        <v>500</v>
      </c>
      <c r="E9" s="1523" t="n">
        <v>155</v>
      </c>
      <c r="F9" s="1523" t="n">
        <v>2017</v>
      </c>
      <c r="G9" s="1523" t="n"/>
      <c r="H9" s="1523" t="inlineStr">
        <is>
          <t>Charles更正</t>
        </is>
      </c>
      <c r="I9" s="205" t="n"/>
      <c r="J9" s="205" t="n"/>
    </row>
    <row r="10">
      <c r="B10" s="1523" t="inlineStr">
        <is>
          <t>APS</t>
        </is>
      </c>
      <c r="C10" s="1523" t="inlineStr">
        <is>
          <t>YC1000</t>
        </is>
      </c>
      <c r="D10" s="1523" t="n">
        <v>1000</v>
      </c>
      <c r="E10" s="1523" t="n">
        <v>252</v>
      </c>
      <c r="F10" s="1523" t="n">
        <v>2018</v>
      </c>
      <c r="G10" s="205" t="inlineStr">
        <is>
          <t>一台220+4mT接頭32</t>
        </is>
      </c>
      <c r="H10" s="1523" t="inlineStr">
        <is>
          <t>Charles</t>
        </is>
      </c>
      <c r="I10" s="205" t="n"/>
      <c r="J10" s="205" t="n"/>
    </row>
    <row r="11">
      <c r="B11" s="1523" t="inlineStr">
        <is>
          <t>APS</t>
        </is>
      </c>
      <c r="C11" s="1523" t="inlineStr">
        <is>
          <t>QS1</t>
        </is>
      </c>
      <c r="D11" s="1523" t="n">
        <v>1200</v>
      </c>
      <c r="E11" s="1523" t="n">
        <v>222</v>
      </c>
      <c r="F11" s="1523" t="n">
        <v>2019</v>
      </c>
      <c r="G11" s="205" t="inlineStr">
        <is>
          <t>一台189+總線1T1012.5/150=6.75+1.02+2.33+2.93</t>
        </is>
      </c>
      <c r="H11" s="1523" t="inlineStr">
        <is>
          <t>麗芳</t>
        </is>
      </c>
      <c r="I11" s="205" t="n"/>
      <c r="J11" s="205" t="n"/>
    </row>
    <row r="12">
      <c r="B12" s="1523" t="inlineStr">
        <is>
          <t>APS</t>
        </is>
      </c>
      <c r="C12" s="1523" t="inlineStr">
        <is>
          <t>QS1</t>
        </is>
      </c>
      <c r="D12" s="1523" t="n">
        <v>1200</v>
      </c>
      <c r="E12" s="1523" t="n">
        <v>210</v>
      </c>
      <c r="F12" s="1523" t="n">
        <v>2019</v>
      </c>
      <c r="G12" s="205" t="inlineStr">
        <is>
          <t>一台199+總線1T1012.5/150=6.75+1.02+((2.33+2.93)/3)</t>
        </is>
      </c>
      <c r="H12" s="1523" t="inlineStr">
        <is>
          <t>麗芳</t>
        </is>
      </c>
      <c r="I12" s="205" t="n"/>
      <c r="J12" s="205" t="n"/>
    </row>
    <row r="13">
      <c r="B13" s="1523" t="inlineStr">
        <is>
          <t>APS</t>
        </is>
      </c>
      <c r="C13" s="1523" t="inlineStr">
        <is>
          <t>QS1</t>
        </is>
      </c>
      <c r="D13" s="1523" t="n">
        <v>1200</v>
      </c>
      <c r="E13" s="1523" t="n">
        <v>233</v>
      </c>
      <c r="F13" s="1523" t="n">
        <v>2023</v>
      </c>
      <c r="G13" s="205" t="inlineStr">
        <is>
          <t>一台222+總線1T1120/150=7.47+1.02+((2.33+2.93)/3)</t>
        </is>
      </c>
      <c r="H13" s="1523" t="inlineStr">
        <is>
          <t>麗芳</t>
        </is>
      </c>
      <c r="I13" s="205" t="n"/>
      <c r="J13" s="205" t="n"/>
    </row>
    <row r="20">
      <c r="C20" s="302" t="inlineStr">
        <is>
          <t>更新</t>
        </is>
      </c>
    </row>
    <row r="21">
      <c r="D21" s="5" t="inlineStr">
        <is>
          <t>199/台(2020/1)</t>
        </is>
      </c>
    </row>
    <row r="22">
      <c r="C22" s="5">
        <f>6.75+1.02+((2.33+2.93)/3)+199</f>
        <v/>
      </c>
    </row>
    <row r="23">
      <c r="D23" s="5">
        <f>1012.5/150</f>
        <v/>
      </c>
    </row>
    <row r="26">
      <c r="H26" s="5" t="n">
        <v>202.03</v>
      </c>
    </row>
    <row r="27">
      <c r="H27" s="5" t="inlineStr">
        <is>
          <t>一台189+總線1T1012.5/150=6.75+1.02+2.33+2.93</t>
        </is>
      </c>
    </row>
    <row r="35">
      <c r="D35" s="1132" t="n">
        <v>44944</v>
      </c>
    </row>
    <row r="36">
      <c r="C36" s="5">
        <f>7.47+1.02+((2.33+2.93)/3)+222</f>
        <v/>
      </c>
    </row>
    <row r="37">
      <c r="D37" s="1133">
        <f>1120/150</f>
        <v/>
      </c>
    </row>
  </sheetData>
  <autoFilter ref="B6:G6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filterMode="1">
    <outlinePr summaryBelow="1" summaryRight="1"/>
    <pageSetUpPr/>
  </sheetPr>
  <dimension ref="A2:O221"/>
  <sheetViews>
    <sheetView zoomScaleNormal="100" workbookViewId="0">
      <pane ySplit="9" topLeftCell="A153" activePane="bottomLeft" state="frozen"/>
      <selection pane="bottomLeft" activeCell="G8" sqref="G8"/>
    </sheetView>
  </sheetViews>
  <sheetFormatPr baseColWidth="8" defaultColWidth="9" defaultRowHeight="14.25"/>
  <cols>
    <col width="3.125" customWidth="1" style="5" min="1" max="1"/>
    <col width="8" bestFit="1" customWidth="1" style="5" min="2" max="2"/>
    <col width="16.25" bestFit="1" customWidth="1" style="5" min="3" max="3"/>
    <col width="14.5" bestFit="1" customWidth="1" style="5" min="4" max="4"/>
    <col width="17.375" bestFit="1" customWidth="1" style="5" min="5" max="5"/>
    <col width="17.625" bestFit="1" customWidth="1" style="5" min="6" max="6"/>
    <col width="12" bestFit="1" customWidth="1" style="5" min="7" max="7"/>
    <col width="22.125" bestFit="1" customWidth="1" style="5" min="8" max="8"/>
    <col width="13.75" bestFit="1" customWidth="1" style="5" min="9" max="9"/>
    <col width="10.625" customWidth="1" style="5" min="10" max="10"/>
    <col width="26.5" bestFit="1" customWidth="1" style="5" min="11" max="11"/>
    <col width="21.25" bestFit="1" customWidth="1" style="5" min="12" max="12"/>
    <col width="14.5" bestFit="1" customWidth="1" style="5" min="13" max="13"/>
    <col width="9" customWidth="1" style="5" min="14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規格(KW)</t>
        </is>
      </c>
      <c r="E2" s="1523" t="inlineStr">
        <is>
          <t>報價(台幣/KW)</t>
        </is>
      </c>
      <c r="F2" s="1523" t="inlineStr">
        <is>
          <t>總報價 (台幣/台)</t>
        </is>
      </c>
      <c r="G2" s="1523" t="inlineStr">
        <is>
          <t>台</t>
        </is>
      </c>
      <c r="I2" s="1523" t="inlineStr">
        <is>
          <t>選用廠商</t>
        </is>
      </c>
      <c r="J2" s="1523" t="inlineStr">
        <is>
          <t>型號</t>
        </is>
      </c>
      <c r="K2" s="1523" t="inlineStr">
        <is>
          <t>規格(KW)</t>
        </is>
      </c>
      <c r="L2" s="1523" t="inlineStr">
        <is>
          <t>報價(台幣/KW)</t>
        </is>
      </c>
      <c r="M2" s="1523" t="inlineStr">
        <is>
          <t>總報價 (台幣/台)</t>
        </is>
      </c>
      <c r="N2" s="1523" t="inlineStr">
        <is>
          <t>台</t>
        </is>
      </c>
    </row>
    <row r="3" ht="16.5" customHeight="1" s="1643">
      <c r="B3" s="1523">
        <f>B168</f>
        <v/>
      </c>
      <c r="C3" s="1523">
        <f>C168</f>
        <v/>
      </c>
      <c r="D3" s="1523">
        <f>D168</f>
        <v/>
      </c>
      <c r="E3" s="1228">
        <f>E168</f>
        <v/>
      </c>
      <c r="F3" s="1523">
        <f>F168</f>
        <v/>
      </c>
      <c r="G3" s="1000" t="n">
        <v>1</v>
      </c>
      <c r="H3" s="207" t="n"/>
      <c r="I3" s="1523" t="inlineStr">
        <is>
          <t>碩天</t>
        </is>
      </c>
      <c r="J3" s="1523" t="inlineStr">
        <is>
          <t xml:space="preserve">CPSPV120KETL </t>
        </is>
      </c>
      <c r="K3" s="1523" t="n">
        <v>120</v>
      </c>
      <c r="L3" s="1523">
        <f>M3/K3</f>
        <v/>
      </c>
      <c r="M3" s="1523" t="n">
        <v>130800</v>
      </c>
      <c r="N3" s="1000" t="n">
        <v>3</v>
      </c>
    </row>
    <row r="4" ht="16.5" customHeight="1" s="1643">
      <c r="B4" s="1523">
        <f>B176</f>
        <v/>
      </c>
      <c r="C4" s="1523">
        <f>C176</f>
        <v/>
      </c>
      <c r="D4" s="1523">
        <f>D176</f>
        <v/>
      </c>
      <c r="E4" s="1523">
        <f>E176</f>
        <v/>
      </c>
      <c r="F4" s="1523">
        <f>F176</f>
        <v/>
      </c>
      <c r="G4" s="1000">
        <f>4+7</f>
        <v/>
      </c>
      <c r="I4" s="1523" t="inlineStr">
        <is>
          <t>碩天</t>
        </is>
      </c>
      <c r="J4" s="1523" t="inlineStr">
        <is>
          <t>CPSPV22000ETLA</t>
        </is>
      </c>
      <c r="K4" s="1523" t="n">
        <v>22</v>
      </c>
      <c r="L4" s="1523">
        <f>M4/K4</f>
        <v/>
      </c>
      <c r="M4" s="1523" t="n">
        <v>48720</v>
      </c>
      <c r="N4" s="1000" t="n">
        <v>2</v>
      </c>
    </row>
    <row r="5" ht="16.5" customHeight="1" s="1643">
      <c r="B5" s="1523" t="n"/>
      <c r="C5" s="1523" t="n"/>
      <c r="D5" s="1523" t="n"/>
      <c r="E5" s="1523" t="n"/>
      <c r="F5" s="1523" t="n"/>
      <c r="G5" s="1000" t="n"/>
      <c r="I5" s="1523" t="n"/>
      <c r="J5" s="1523" t="n"/>
      <c r="K5" s="1523" t="n"/>
      <c r="L5" s="1523" t="n"/>
      <c r="M5" s="1523" t="n"/>
      <c r="N5" s="1000" t="n"/>
    </row>
    <row r="6">
      <c r="B6" s="1523" t="n"/>
      <c r="C6" s="1523" t="n"/>
      <c r="D6" s="1523" t="n"/>
      <c r="E6" s="1523" t="n"/>
      <c r="F6" s="1523" t="n"/>
      <c r="G6" s="1523" t="n"/>
      <c r="I6" s="1523" t="n"/>
      <c r="J6" s="1523" t="n"/>
      <c r="K6" s="1523" t="n"/>
      <c r="L6" s="1523" t="n"/>
      <c r="M6" s="1523" t="n"/>
      <c r="N6" s="1523" t="n"/>
    </row>
    <row r="7">
      <c r="B7" s="1523" t="n"/>
      <c r="C7" s="1523" t="n"/>
      <c r="D7" s="1523" t="n"/>
      <c r="E7" s="1523" t="n"/>
      <c r="F7" s="1523" t="n"/>
      <c r="G7" s="1523" t="n"/>
      <c r="I7" s="1523" t="n"/>
      <c r="J7" s="1523" t="n"/>
      <c r="K7" s="1523" t="n"/>
      <c r="L7" s="1523" t="n"/>
      <c r="M7" s="1523" t="n"/>
      <c r="N7" s="1523" t="n"/>
    </row>
    <row r="8">
      <c r="B8" s="1494" t="inlineStr">
        <is>
          <t>總價</t>
        </is>
      </c>
      <c r="C8" s="1687" t="n"/>
      <c r="D8" s="1687" t="n"/>
      <c r="E8" s="1688" t="n"/>
      <c r="F8" s="2130">
        <f>(F3*G3)+(F4*G4)+(F5*G5)+(F6*G6)+(F7*G7)</f>
        <v/>
      </c>
      <c r="G8" s="1523" t="n"/>
      <c r="I8" s="1494" t="inlineStr">
        <is>
          <t>總價</t>
        </is>
      </c>
      <c r="J8" s="1687" t="n"/>
      <c r="K8" s="1687" t="n"/>
      <c r="L8" s="1688" t="n"/>
      <c r="M8" s="2130">
        <f>(M3*N3)+(M4*N4)+(M5*N5)+(M6*N6)+(M7*N7)</f>
        <v/>
      </c>
      <c r="N8" s="1523" t="n"/>
    </row>
    <row r="9">
      <c r="B9" s="207" t="n"/>
      <c r="C9" s="207" t="n"/>
      <c r="D9" s="207" t="n"/>
      <c r="E9" s="207" t="n"/>
      <c r="F9" s="2131" t="n"/>
    </row>
    <row r="11">
      <c r="B11" s="1523" t="inlineStr">
        <is>
          <t>廠商</t>
        </is>
      </c>
      <c r="C11" s="1523" t="inlineStr">
        <is>
          <t>型號</t>
        </is>
      </c>
      <c r="D11" s="1523" t="inlineStr">
        <is>
          <t>規格(KW)</t>
        </is>
      </c>
      <c r="E11" s="1523" t="inlineStr">
        <is>
          <t>報價(台幣/KW)</t>
        </is>
      </c>
      <c r="F11" s="1523" t="inlineStr">
        <is>
          <t>總報價 (台幣/台)</t>
        </is>
      </c>
      <c r="G11" s="1523" t="inlineStr">
        <is>
          <t>報價時間</t>
        </is>
      </c>
      <c r="H11" s="1523" t="inlineStr">
        <is>
          <t>NOTE</t>
        </is>
      </c>
      <c r="I11" s="1523" t="inlineStr">
        <is>
          <t>聯絡人</t>
        </is>
      </c>
      <c r="J11" s="1523" t="inlineStr">
        <is>
          <t>聯絡方式</t>
        </is>
      </c>
      <c r="K11" s="1523" t="inlineStr">
        <is>
          <t>Email</t>
        </is>
      </c>
    </row>
    <row r="12" hidden="1" ht="16.5" customHeight="1" s="1643">
      <c r="B12" s="203" t="inlineStr">
        <is>
          <t>碩天</t>
        </is>
      </c>
      <c r="C12" s="1523" t="inlineStr">
        <is>
          <t>CPSPV10000ETL-S</t>
        </is>
      </c>
      <c r="D12" s="1523" t="n">
        <v>10</v>
      </c>
      <c r="E12" s="2132">
        <f>F12/D12</f>
        <v/>
      </c>
      <c r="F12" s="2132" t="n">
        <v>29650</v>
      </c>
      <c r="G12" s="2133" t="n">
        <v>20200116</v>
      </c>
      <c r="H12" s="205" t="inlineStr">
        <is>
          <t>5年保固</t>
        </is>
      </c>
      <c r="I12" s="205" t="inlineStr">
        <is>
          <t>許照陽 Aaron Hsu</t>
        </is>
      </c>
      <c r="J12" s="205" t="inlineStr">
        <is>
          <t>0972-981383</t>
        </is>
      </c>
      <c r="K12" s="122" t="inlineStr">
        <is>
          <t>Aaron.Hsu@cyberpower.com</t>
        </is>
      </c>
    </row>
    <row r="13" hidden="1" ht="16.5" customHeight="1" s="1643">
      <c r="B13" s="203" t="inlineStr">
        <is>
          <t>碩天</t>
        </is>
      </c>
      <c r="C13" s="1523" t="inlineStr">
        <is>
          <t>CPSPV10000ETL-S</t>
        </is>
      </c>
      <c r="D13" s="1523" t="n">
        <v>10</v>
      </c>
      <c r="E13" s="2132">
        <f>F13/D13</f>
        <v/>
      </c>
      <c r="F13" s="2132" t="n">
        <v>37063</v>
      </c>
      <c r="G13" s="2133" t="n">
        <v>20200116</v>
      </c>
      <c r="H13" s="205" t="inlineStr">
        <is>
          <t>10年保固</t>
        </is>
      </c>
      <c r="I13" s="205" t="inlineStr">
        <is>
          <t>許照陽 Aaron Hsu</t>
        </is>
      </c>
      <c r="J13" s="205" t="inlineStr">
        <is>
          <t>0972-981383</t>
        </is>
      </c>
      <c r="K13" s="122" t="inlineStr">
        <is>
          <t>Aaron.Hsu@cyberpower.com</t>
        </is>
      </c>
    </row>
    <row r="14" hidden="1" ht="16.5" customHeight="1" s="1643">
      <c r="B14" s="203" t="inlineStr">
        <is>
          <t>碩天</t>
        </is>
      </c>
      <c r="C14" s="1523" t="inlineStr">
        <is>
          <t>CPSPV10000ETL-S</t>
        </is>
      </c>
      <c r="D14" s="1523" t="n">
        <v>10</v>
      </c>
      <c r="E14" s="2132">
        <f>F14/D14</f>
        <v/>
      </c>
      <c r="F14" s="2132" t="n">
        <v>59300</v>
      </c>
      <c r="G14" s="2133" t="n">
        <v>20200116</v>
      </c>
      <c r="H14" s="335" t="inlineStr">
        <is>
          <t>20年保固</t>
        </is>
      </c>
      <c r="I14" s="205" t="inlineStr">
        <is>
          <t>許照陽 Aaron Hsu</t>
        </is>
      </c>
      <c r="J14" s="205" t="inlineStr">
        <is>
          <t>0972-981383</t>
        </is>
      </c>
      <c r="K14" s="122" t="inlineStr">
        <is>
          <t>Aaron.Hsu@cyberpower.com</t>
        </is>
      </c>
    </row>
    <row r="15" hidden="1" ht="16.5" customHeight="1" s="1643">
      <c r="B15" s="203" t="inlineStr">
        <is>
          <t>碩天</t>
        </is>
      </c>
      <c r="C15" s="1523" t="inlineStr">
        <is>
          <t>CPSPV20000ETL</t>
        </is>
      </c>
      <c r="D15" s="1523" t="n">
        <v>20</v>
      </c>
      <c r="E15" s="2132">
        <f>F15/D15</f>
        <v/>
      </c>
      <c r="F15" s="2132" t="n">
        <v>52100</v>
      </c>
      <c r="G15" s="2133" t="n">
        <v>20200116</v>
      </c>
      <c r="H15" s="205" t="inlineStr">
        <is>
          <t>5年保固</t>
        </is>
      </c>
      <c r="I15" s="205" t="inlineStr">
        <is>
          <t>許照陽 Aaron Hsu</t>
        </is>
      </c>
      <c r="J15" s="205" t="inlineStr">
        <is>
          <t>0972-981383</t>
        </is>
      </c>
      <c r="K15" s="122" t="inlineStr">
        <is>
          <t>Aaron.Hsu@cyberpower.com</t>
        </is>
      </c>
    </row>
    <row r="16" hidden="1" ht="16.5" customHeight="1" s="1643">
      <c r="B16" s="203" t="inlineStr">
        <is>
          <t>碩天</t>
        </is>
      </c>
      <c r="C16" s="1523" t="inlineStr">
        <is>
          <t>CPSPV20000ETL</t>
        </is>
      </c>
      <c r="D16" s="1523" t="n">
        <v>20</v>
      </c>
      <c r="E16" s="2132">
        <f>F16/D16</f>
        <v/>
      </c>
      <c r="F16" s="2132" t="n">
        <v>65125</v>
      </c>
      <c r="G16" s="2133" t="n">
        <v>20200116</v>
      </c>
      <c r="H16" s="205" t="inlineStr">
        <is>
          <t>10年保固</t>
        </is>
      </c>
      <c r="I16" s="205" t="inlineStr">
        <is>
          <t>許照陽 Aaron Hsu</t>
        </is>
      </c>
      <c r="J16" s="205" t="inlineStr">
        <is>
          <t>0972-981383</t>
        </is>
      </c>
      <c r="K16" s="122" t="inlineStr">
        <is>
          <t>Aaron.Hsu@cyberpower.com</t>
        </is>
      </c>
    </row>
    <row r="17" hidden="1" ht="16.5" customHeight="1" s="1643">
      <c r="B17" s="203" t="inlineStr">
        <is>
          <t>碩天</t>
        </is>
      </c>
      <c r="C17" s="1523" t="inlineStr">
        <is>
          <t>CPSPV20000ETL</t>
        </is>
      </c>
      <c r="D17" s="1523" t="n">
        <v>20</v>
      </c>
      <c r="E17" s="2132">
        <f>F17/D17</f>
        <v/>
      </c>
      <c r="F17" s="2132" t="n">
        <v>104200</v>
      </c>
      <c r="G17" s="2133" t="n">
        <v>20200116</v>
      </c>
      <c r="H17" s="335" t="inlineStr">
        <is>
          <t>20年保固</t>
        </is>
      </c>
      <c r="I17" s="205" t="inlineStr">
        <is>
          <t>許照陽 Aaron Hsu</t>
        </is>
      </c>
      <c r="J17" s="205" t="inlineStr">
        <is>
          <t>0972-981383</t>
        </is>
      </c>
      <c r="K17" s="122" t="inlineStr">
        <is>
          <t>Aaron.Hsu@cyberpower.com</t>
        </is>
      </c>
    </row>
    <row r="18" hidden="1" ht="16.5" customHeight="1" s="1643">
      <c r="B18" s="203" t="inlineStr">
        <is>
          <t>碩天</t>
        </is>
      </c>
      <c r="C18" s="1523" t="inlineStr">
        <is>
          <t>CPSPV30000ETL</t>
        </is>
      </c>
      <c r="D18" s="1523" t="n">
        <v>30</v>
      </c>
      <c r="E18" s="2132">
        <f>F18/D18</f>
        <v/>
      </c>
      <c r="F18" s="2132" t="n">
        <v>59550</v>
      </c>
      <c r="G18" s="2133" t="n">
        <v>20200116</v>
      </c>
      <c r="H18" s="205" t="inlineStr">
        <is>
          <t>5年保固</t>
        </is>
      </c>
      <c r="I18" s="205" t="inlineStr">
        <is>
          <t>許照陽 Aaron Hsu</t>
        </is>
      </c>
      <c r="J18" s="205" t="inlineStr">
        <is>
          <t>0972-981383</t>
        </is>
      </c>
      <c r="K18" s="122" t="inlineStr">
        <is>
          <t>Aaron.Hsu@cyberpower.com</t>
        </is>
      </c>
    </row>
    <row r="19" hidden="1" ht="16.5" customHeight="1" s="1643">
      <c r="B19" s="203" t="inlineStr">
        <is>
          <t>碩天</t>
        </is>
      </c>
      <c r="C19" s="1523" t="inlineStr">
        <is>
          <t>CPSPV30000ETL</t>
        </is>
      </c>
      <c r="D19" s="1523" t="n">
        <v>30</v>
      </c>
      <c r="E19" s="2132">
        <f>F19/D19</f>
        <v/>
      </c>
      <c r="F19" s="2132" t="n">
        <v>74438</v>
      </c>
      <c r="G19" s="2133" t="n">
        <v>20200116</v>
      </c>
      <c r="H19" s="205" t="inlineStr">
        <is>
          <t>10年保固</t>
        </is>
      </c>
      <c r="I19" s="205" t="inlineStr">
        <is>
          <t>許照陽 Aaron Hsu</t>
        </is>
      </c>
      <c r="J19" s="205" t="inlineStr">
        <is>
          <t>0972-981383</t>
        </is>
      </c>
      <c r="K19" s="122" t="inlineStr">
        <is>
          <t>Aaron.Hsu@cyberpower.com</t>
        </is>
      </c>
    </row>
    <row r="20" hidden="1" ht="16.5" customHeight="1" s="1643">
      <c r="B20" s="203" t="inlineStr">
        <is>
          <t>碩天</t>
        </is>
      </c>
      <c r="C20" s="1523" t="inlineStr">
        <is>
          <t>CPSPV30000ETL</t>
        </is>
      </c>
      <c r="D20" s="1523" t="n">
        <v>30</v>
      </c>
      <c r="E20" s="2132">
        <f>F20/D20</f>
        <v/>
      </c>
      <c r="F20" s="2132" t="n">
        <v>119100</v>
      </c>
      <c r="G20" s="2133" t="n">
        <v>20200116</v>
      </c>
      <c r="H20" s="335" t="inlineStr">
        <is>
          <t>20年保固</t>
        </is>
      </c>
      <c r="I20" s="205" t="inlineStr">
        <is>
          <t>許照陽 Aaron Hsu</t>
        </is>
      </c>
      <c r="J20" s="205" t="inlineStr">
        <is>
          <t>0972-981383</t>
        </is>
      </c>
      <c r="K20" s="122" t="inlineStr">
        <is>
          <t>Aaron.Hsu@cyberpower.com</t>
        </is>
      </c>
    </row>
    <row r="21" hidden="1" ht="16.5" customHeight="1" s="1643">
      <c r="B21" s="203" t="inlineStr">
        <is>
          <t>碩天</t>
        </is>
      </c>
      <c r="C21" s="1523" t="inlineStr">
        <is>
          <t>CPSPV33000ETL</t>
        </is>
      </c>
      <c r="D21" s="1523" t="n">
        <v>33</v>
      </c>
      <c r="E21" s="2132">
        <f>F21/D21</f>
        <v/>
      </c>
      <c r="F21" s="2132" t="n">
        <v>63855</v>
      </c>
      <c r="G21" s="2133" t="n">
        <v>20200116</v>
      </c>
      <c r="H21" s="205" t="inlineStr">
        <is>
          <t>5年保固</t>
        </is>
      </c>
      <c r="I21" s="205" t="inlineStr">
        <is>
          <t>許照陽 Aaron Hsu</t>
        </is>
      </c>
      <c r="J21" s="205" t="inlineStr">
        <is>
          <t>0972-981383</t>
        </is>
      </c>
      <c r="K21" s="122" t="inlineStr">
        <is>
          <t>Aaron.Hsu@cyberpower.com</t>
        </is>
      </c>
    </row>
    <row r="22" hidden="1" ht="16.5" customHeight="1" s="1643">
      <c r="B22" s="203" t="inlineStr">
        <is>
          <t>碩天</t>
        </is>
      </c>
      <c r="C22" s="1523" t="inlineStr">
        <is>
          <t>CPSPV33000ETL</t>
        </is>
      </c>
      <c r="D22" s="1523" t="n">
        <v>33</v>
      </c>
      <c r="E22" s="2132">
        <f>F22/D22</f>
        <v/>
      </c>
      <c r="F22" s="2132" t="n">
        <v>79819</v>
      </c>
      <c r="G22" s="2133" t="n">
        <v>20200116</v>
      </c>
      <c r="H22" s="205" t="inlineStr">
        <is>
          <t>10年保固</t>
        </is>
      </c>
      <c r="I22" s="205" t="inlineStr">
        <is>
          <t>許照陽 Aaron Hsu</t>
        </is>
      </c>
      <c r="J22" s="205" t="inlineStr">
        <is>
          <t>0972-981383</t>
        </is>
      </c>
      <c r="K22" s="122" t="inlineStr">
        <is>
          <t>Aaron.Hsu@cyberpower.com</t>
        </is>
      </c>
    </row>
    <row r="23" hidden="1" ht="16.5" customHeight="1" s="1643">
      <c r="B23" s="203" t="inlineStr">
        <is>
          <t>碩天</t>
        </is>
      </c>
      <c r="C23" s="1523" t="inlineStr">
        <is>
          <t>CPSPV33000ETL</t>
        </is>
      </c>
      <c r="D23" s="1523" t="n">
        <v>33</v>
      </c>
      <c r="E23" s="2132">
        <f>F23/D23</f>
        <v/>
      </c>
      <c r="F23" s="2132" t="n">
        <v>127710</v>
      </c>
      <c r="G23" s="2133" t="n">
        <v>20200116</v>
      </c>
      <c r="H23" s="335" t="inlineStr">
        <is>
          <t>20年保固</t>
        </is>
      </c>
      <c r="I23" s="205" t="inlineStr">
        <is>
          <t>許照陽 Aaron Hsu</t>
        </is>
      </c>
      <c r="J23" s="205" t="inlineStr">
        <is>
          <t>0972-981383</t>
        </is>
      </c>
      <c r="K23" s="122" t="inlineStr">
        <is>
          <t>Aaron.Hsu@cyberpower.com</t>
        </is>
      </c>
    </row>
    <row r="24" hidden="1" ht="16.5" customHeight="1" s="1643">
      <c r="B24" s="203" t="inlineStr">
        <is>
          <t>碩天</t>
        </is>
      </c>
      <c r="C24" s="1523" t="inlineStr">
        <is>
          <t>CPSPV50000ETL-WB</t>
        </is>
      </c>
      <c r="D24" s="399" t="n">
        <v>50</v>
      </c>
      <c r="E24" s="2132">
        <f>F24/D24</f>
        <v/>
      </c>
      <c r="F24" s="2134" t="n">
        <v>86250</v>
      </c>
      <c r="G24" s="2133" t="n">
        <v>20200116</v>
      </c>
      <c r="H24" s="401" t="inlineStr">
        <is>
          <t xml:space="preserve">5年保固 (3Φ220/380V) </t>
        </is>
      </c>
      <c r="I24" s="205" t="inlineStr">
        <is>
          <t>李旻珊 Vivi</t>
        </is>
      </c>
      <c r="J24" s="205" t="inlineStr">
        <is>
          <t>0972-981383</t>
        </is>
      </c>
      <c r="K24" s="122" t="inlineStr">
        <is>
          <t>Aaron.Hsu@cyberpower.com</t>
        </is>
      </c>
    </row>
    <row r="25" hidden="1" ht="16.5" customHeight="1" s="1643">
      <c r="B25" s="203" t="inlineStr">
        <is>
          <t>碩天</t>
        </is>
      </c>
      <c r="C25" s="1523" t="inlineStr">
        <is>
          <t>CPSPV50000ETL-WB</t>
        </is>
      </c>
      <c r="D25" s="399" t="n">
        <v>50</v>
      </c>
      <c r="E25" s="2132">
        <f>F25/D25</f>
        <v/>
      </c>
      <c r="F25" s="2134" t="n">
        <v>107813</v>
      </c>
      <c r="G25" s="2133" t="n">
        <v>20200116</v>
      </c>
      <c r="H25" s="401" t="inlineStr">
        <is>
          <t xml:space="preserve">10年保固 (3Φ220/380V) </t>
        </is>
      </c>
      <c r="I25" s="205" t="inlineStr">
        <is>
          <t>李旻珊 Vivi</t>
        </is>
      </c>
      <c r="J25" s="205" t="inlineStr">
        <is>
          <t>0972-981383</t>
        </is>
      </c>
      <c r="K25" s="122" t="inlineStr">
        <is>
          <t>Aaron.Hsu@cyberpower.com</t>
        </is>
      </c>
    </row>
    <row r="26" hidden="1" ht="16.5" customHeight="1" s="1643">
      <c r="B26" s="203" t="inlineStr">
        <is>
          <t>碩天</t>
        </is>
      </c>
      <c r="C26" s="1523" t="inlineStr">
        <is>
          <t>CPSPV50000ETL-WB</t>
        </is>
      </c>
      <c r="D26" s="399" t="n">
        <v>50</v>
      </c>
      <c r="E26" s="2132">
        <f>F26/D26</f>
        <v/>
      </c>
      <c r="F26" s="2134" t="n">
        <v>172500</v>
      </c>
      <c r="G26" s="2133" t="n">
        <v>20200116</v>
      </c>
      <c r="H26" s="402" t="inlineStr">
        <is>
          <t xml:space="preserve">20年保固 (3Φ220/380V) </t>
        </is>
      </c>
      <c r="I26" s="205" t="inlineStr">
        <is>
          <t>李旻珊 Vivi</t>
        </is>
      </c>
      <c r="J26" s="205" t="inlineStr">
        <is>
          <t>0972-981383</t>
        </is>
      </c>
      <c r="K26" s="122" t="inlineStr">
        <is>
          <t>Aaron.Hsu@cyberpower.com</t>
        </is>
      </c>
    </row>
    <row r="27" hidden="1" ht="16.5" customHeight="1" s="1643">
      <c r="B27" s="203" t="inlineStr">
        <is>
          <t>碩天</t>
        </is>
      </c>
      <c r="C27" s="1523" t="inlineStr">
        <is>
          <t>CPSPV66000ETL-WB</t>
        </is>
      </c>
      <c r="D27" s="399" t="n">
        <v>66</v>
      </c>
      <c r="E27" s="2135">
        <f>F27/66</f>
        <v/>
      </c>
      <c r="F27" s="2135" t="n">
        <v>94710</v>
      </c>
      <c r="G27" s="2133" t="n">
        <v>20200116</v>
      </c>
      <c r="H27" s="401" t="inlineStr">
        <is>
          <t xml:space="preserve">5年保固 (3Φ277/480V) </t>
        </is>
      </c>
      <c r="I27" s="205" t="inlineStr">
        <is>
          <t>李旻珊 Vivi</t>
        </is>
      </c>
      <c r="J27" s="205" t="inlineStr">
        <is>
          <t>0972-981383</t>
        </is>
      </c>
      <c r="K27" s="122" t="inlineStr">
        <is>
          <t>Aaron.Hsu@cyberpower.com</t>
        </is>
      </c>
    </row>
    <row r="28" hidden="1" ht="16.5" customHeight="1" s="1643">
      <c r="B28" s="203" t="inlineStr">
        <is>
          <t>碩天</t>
        </is>
      </c>
      <c r="C28" s="1523" t="inlineStr">
        <is>
          <t>CPSPV66000ETL-WB</t>
        </is>
      </c>
      <c r="D28" s="399" t="n">
        <v>66</v>
      </c>
      <c r="E28" s="2136">
        <f>F28/66</f>
        <v/>
      </c>
      <c r="F28" s="2136" t="n">
        <v>118388</v>
      </c>
      <c r="G28" s="2133" t="n">
        <v>20200116</v>
      </c>
      <c r="H28" s="401" t="inlineStr">
        <is>
          <t>10年保固 (3Φ277/480V)</t>
        </is>
      </c>
      <c r="I28" s="205" t="inlineStr">
        <is>
          <t>李旻珊 Vivi</t>
        </is>
      </c>
      <c r="J28" s="205" t="inlineStr">
        <is>
          <t>0972-981383</t>
        </is>
      </c>
      <c r="K28" s="122" t="inlineStr">
        <is>
          <t>Aaron.Hsu@cyberpower.com</t>
        </is>
      </c>
    </row>
    <row r="29" hidden="1" ht="16.5" customHeight="1" s="1643">
      <c r="B29" s="203" t="inlineStr">
        <is>
          <t>碩天</t>
        </is>
      </c>
      <c r="C29" s="1523" t="inlineStr">
        <is>
          <t>CPSPV66000ETL-WB</t>
        </is>
      </c>
      <c r="D29" s="399" t="n">
        <v>66</v>
      </c>
      <c r="E29" s="2136">
        <f>F29/66</f>
        <v/>
      </c>
      <c r="F29" s="2136" t="n">
        <v>189420</v>
      </c>
      <c r="G29" s="2133" t="n">
        <v>20200116</v>
      </c>
      <c r="H29" s="402" t="inlineStr">
        <is>
          <t>20年保固 (3Φ277/480V)</t>
        </is>
      </c>
      <c r="I29" s="205" t="inlineStr">
        <is>
          <t>李旻珊 Vivi</t>
        </is>
      </c>
      <c r="J29" s="205" t="inlineStr">
        <is>
          <t>0972-981383</t>
        </is>
      </c>
      <c r="K29" s="122" t="inlineStr">
        <is>
          <t>Aaron.Hsu@cyberpower.com</t>
        </is>
      </c>
    </row>
    <row r="30" hidden="1" ht="16.5" customHeight="1" s="1643">
      <c r="B30" s="203" t="inlineStr">
        <is>
          <t>碩天</t>
        </is>
      </c>
      <c r="C30" s="1523" t="inlineStr">
        <is>
          <t>CPSPV50000ETL-WB</t>
        </is>
      </c>
      <c r="D30" s="1523" t="n">
        <v>50</v>
      </c>
      <c r="E30" s="2132">
        <f>F30/D30</f>
        <v/>
      </c>
      <c r="F30" s="2132" t="n">
        <v>82500</v>
      </c>
      <c r="G30" s="2133" t="n">
        <v>20200116</v>
      </c>
      <c r="H30" s="205" t="inlineStr">
        <is>
          <t>5年保固(200M)</t>
        </is>
      </c>
      <c r="I30" s="205" t="inlineStr">
        <is>
          <t>李旻珊 Vivi</t>
        </is>
      </c>
      <c r="J30" s="205" t="inlineStr">
        <is>
          <t>0972-981383</t>
        </is>
      </c>
      <c r="K30" s="122" t="inlineStr">
        <is>
          <t>Aaron.Hsu@cyberpower.com</t>
        </is>
      </c>
    </row>
    <row r="31" hidden="1" ht="16.5" customHeight="1" s="1643">
      <c r="B31" s="203" t="inlineStr">
        <is>
          <t>碩天</t>
        </is>
      </c>
      <c r="C31" s="1523" t="inlineStr">
        <is>
          <t>CPSPV50000ETL-WB</t>
        </is>
      </c>
      <c r="D31" s="1523" t="n">
        <v>50</v>
      </c>
      <c r="E31" s="2132">
        <f>F31/D31</f>
        <v/>
      </c>
      <c r="F31" s="2132" t="n">
        <v>165000</v>
      </c>
      <c r="G31" s="2133" t="n">
        <v>20200116</v>
      </c>
      <c r="H31" s="335" t="inlineStr">
        <is>
          <t>20年保固(200M)</t>
        </is>
      </c>
      <c r="I31" s="205" t="inlineStr">
        <is>
          <t>李旻珊 Vivi</t>
        </is>
      </c>
      <c r="J31" s="205" t="inlineStr">
        <is>
          <t>0972-981383</t>
        </is>
      </c>
      <c r="K31" s="122" t="inlineStr">
        <is>
          <t>Aaron.Hsu@cyberpower.com</t>
        </is>
      </c>
    </row>
    <row r="32" hidden="1" ht="16.5" customHeight="1" s="1643">
      <c r="B32" s="203" t="inlineStr">
        <is>
          <t>碩天</t>
        </is>
      </c>
      <c r="C32" s="1523" t="inlineStr">
        <is>
          <t>CPSPV66000-WB</t>
        </is>
      </c>
      <c r="D32" s="1523" t="n">
        <v>66</v>
      </c>
      <c r="E32" s="2132">
        <f>F32/D32</f>
        <v/>
      </c>
      <c r="F32" s="2132" t="n">
        <v>92334</v>
      </c>
      <c r="G32" s="2133" t="n">
        <v>20200116</v>
      </c>
      <c r="H32" s="205" t="inlineStr">
        <is>
          <t>5年保固(200M)</t>
        </is>
      </c>
      <c r="I32" s="205" t="inlineStr">
        <is>
          <t>李旻珊 Vivi</t>
        </is>
      </c>
      <c r="J32" s="205" t="inlineStr">
        <is>
          <t>0956-805-911</t>
        </is>
      </c>
      <c r="K32" s="122" t="inlineStr">
        <is>
          <t>Aaron.Hsu@cyberpower.com</t>
        </is>
      </c>
    </row>
    <row r="33" hidden="1" ht="16.5" customHeight="1" s="1643">
      <c r="B33" s="203" t="inlineStr">
        <is>
          <t>碩天</t>
        </is>
      </c>
      <c r="C33" s="1523" t="inlineStr">
        <is>
          <t>CPSPV66000-WB</t>
        </is>
      </c>
      <c r="D33" s="1523" t="n">
        <v>66</v>
      </c>
      <c r="E33" s="2132">
        <f>F33/D33</f>
        <v/>
      </c>
      <c r="F33" s="2132" t="n">
        <v>184668</v>
      </c>
      <c r="G33" s="2133" t="n">
        <v>20200116</v>
      </c>
      <c r="H33" s="335" t="inlineStr">
        <is>
          <t>20年保固(200M)</t>
        </is>
      </c>
      <c r="I33" s="205" t="inlineStr">
        <is>
          <t>李旻珊 Vivi</t>
        </is>
      </c>
      <c r="J33" s="205" t="inlineStr">
        <is>
          <t>0956-805-911</t>
        </is>
      </c>
      <c r="K33" s="122" t="inlineStr">
        <is>
          <t>Aaron.Hsu@cyberpower.com</t>
        </is>
      </c>
    </row>
    <row r="34" hidden="1" ht="16.5" customHeight="1" s="1643">
      <c r="A34" s="934" t="n"/>
      <c r="B34" s="203" t="inlineStr">
        <is>
          <t>碩天</t>
        </is>
      </c>
      <c r="C34" s="1523" t="inlineStr">
        <is>
          <t>CPSPV3000ETLA</t>
        </is>
      </c>
      <c r="D34" s="399" t="n">
        <v>3</v>
      </c>
      <c r="E34" s="2132">
        <f>F34/D34</f>
        <v/>
      </c>
      <c r="F34" s="2134" t="n">
        <v>14400</v>
      </c>
      <c r="G34" s="2133" t="n">
        <v>20210628</v>
      </c>
      <c r="H34" s="401" t="inlineStr">
        <is>
          <t xml:space="preserve">5年保固 (1Φ) </t>
        </is>
      </c>
      <c r="I34" s="205" t="inlineStr">
        <is>
          <t>李旻珊 Vivi</t>
        </is>
      </c>
      <c r="J34" s="205" t="inlineStr">
        <is>
          <t>0972-981383</t>
        </is>
      </c>
      <c r="K34" s="841" t="inlineStr">
        <is>
          <t>Vivi.Li@cyberpower.com</t>
        </is>
      </c>
    </row>
    <row r="35" hidden="1" ht="16.5" customHeight="1" s="1643">
      <c r="A35" s="934" t="n"/>
      <c r="B35" s="203" t="inlineStr">
        <is>
          <t>碩天</t>
        </is>
      </c>
      <c r="C35" s="1523" t="inlineStr">
        <is>
          <t>CPSPV3000ETLA</t>
        </is>
      </c>
      <c r="D35" s="399" t="n">
        <v>3</v>
      </c>
      <c r="E35" s="2132">
        <f>F35/D35</f>
        <v/>
      </c>
      <c r="F35" s="2137" t="n">
        <v>18000</v>
      </c>
      <c r="G35" s="2133" t="n">
        <v>20210628</v>
      </c>
      <c r="H35" s="764" t="inlineStr">
        <is>
          <t xml:space="preserve">10年保固 (1Φ) </t>
        </is>
      </c>
      <c r="I35" s="205" t="inlineStr">
        <is>
          <t>李旻珊 Vivi</t>
        </is>
      </c>
      <c r="J35" s="205" t="inlineStr">
        <is>
          <t>0972-981383</t>
        </is>
      </c>
      <c r="K35" s="841" t="inlineStr">
        <is>
          <t>Vivi.Li@cyberpower.com</t>
        </is>
      </c>
    </row>
    <row r="36" hidden="1" ht="16.5" customHeight="1" s="1643">
      <c r="A36" s="934" t="n"/>
      <c r="B36" s="203" t="inlineStr">
        <is>
          <t>碩天</t>
        </is>
      </c>
      <c r="C36" s="1523" t="inlineStr">
        <is>
          <t>CPSPV3600ETLA</t>
        </is>
      </c>
      <c r="D36" s="399" t="n">
        <v>3.6</v>
      </c>
      <c r="E36" s="2132">
        <f>F36/D36</f>
        <v/>
      </c>
      <c r="F36" s="2134" t="n">
        <v>15840</v>
      </c>
      <c r="G36" s="2133" t="n">
        <v>20210628</v>
      </c>
      <c r="H36" s="401" t="inlineStr">
        <is>
          <t xml:space="preserve">5年保固 (1Φ) </t>
        </is>
      </c>
      <c r="I36" s="205" t="inlineStr">
        <is>
          <t>李旻珊 Vivi</t>
        </is>
      </c>
      <c r="J36" s="205" t="inlineStr">
        <is>
          <t>0972-981383</t>
        </is>
      </c>
      <c r="K36" s="841" t="inlineStr">
        <is>
          <t>Vivi.Li@cyberpower.com</t>
        </is>
      </c>
    </row>
    <row r="37" hidden="1" ht="16.5" customHeight="1" s="1643">
      <c r="A37" s="934" t="n"/>
      <c r="B37" s="203" t="inlineStr">
        <is>
          <t>碩天</t>
        </is>
      </c>
      <c r="C37" s="1523" t="inlineStr">
        <is>
          <t>CPSPV3600ETLA</t>
        </is>
      </c>
      <c r="D37" s="399" t="n">
        <v>3.6</v>
      </c>
      <c r="E37" s="2132">
        <f>F37/D37</f>
        <v/>
      </c>
      <c r="F37" s="2137" t="n">
        <v>19800</v>
      </c>
      <c r="G37" s="2133" t="n">
        <v>20210628</v>
      </c>
      <c r="H37" s="764" t="inlineStr">
        <is>
          <t xml:space="preserve">10年保固 (1Φ) </t>
        </is>
      </c>
      <c r="I37" s="205" t="inlineStr">
        <is>
          <t>李旻珊 Vivi</t>
        </is>
      </c>
      <c r="J37" s="205" t="inlineStr">
        <is>
          <t>0972-981383</t>
        </is>
      </c>
      <c r="K37" s="841" t="inlineStr">
        <is>
          <t>Vivi.Li@cyberpower.com</t>
        </is>
      </c>
    </row>
    <row r="38" hidden="1" ht="16.5" customHeight="1" s="1643">
      <c r="A38" s="934" t="n"/>
      <c r="B38" s="203" t="inlineStr">
        <is>
          <t>碩天</t>
        </is>
      </c>
      <c r="C38" s="1523" t="inlineStr">
        <is>
          <t>CPSPV6000ETLA</t>
        </is>
      </c>
      <c r="D38" s="399" t="n">
        <v>6</v>
      </c>
      <c r="E38" s="2132">
        <f>F38/D38</f>
        <v/>
      </c>
      <c r="F38" s="2134" t="n">
        <v>19800</v>
      </c>
      <c r="G38" s="2133" t="n">
        <v>20210628</v>
      </c>
      <c r="H38" s="401" t="inlineStr">
        <is>
          <t xml:space="preserve">5年保固 (1Φ) </t>
        </is>
      </c>
      <c r="I38" s="205" t="inlineStr">
        <is>
          <t>李旻珊 Vivi</t>
        </is>
      </c>
      <c r="J38" s="205" t="inlineStr">
        <is>
          <t>0972-981383</t>
        </is>
      </c>
      <c r="K38" s="841" t="inlineStr">
        <is>
          <t>Vivi.Li@cyberpower.com</t>
        </is>
      </c>
    </row>
    <row r="39" hidden="1" ht="16.5" customHeight="1" s="1643">
      <c r="A39" s="934" t="n"/>
      <c r="B39" s="203" t="inlineStr">
        <is>
          <t>碩天</t>
        </is>
      </c>
      <c r="C39" s="1523" t="inlineStr">
        <is>
          <t>CPSPV6000ETLA</t>
        </is>
      </c>
      <c r="D39" s="399" t="n">
        <v>6</v>
      </c>
      <c r="E39" s="2132">
        <f>F39/D39</f>
        <v/>
      </c>
      <c r="F39" s="2137" t="n">
        <v>24750</v>
      </c>
      <c r="G39" s="2133" t="n">
        <v>20210628</v>
      </c>
      <c r="H39" s="764" t="inlineStr">
        <is>
          <t xml:space="preserve">10年保固 (1Φ) </t>
        </is>
      </c>
      <c r="I39" s="205" t="inlineStr">
        <is>
          <t>李旻珊 Vivi</t>
        </is>
      </c>
      <c r="J39" s="205" t="inlineStr">
        <is>
          <t>0972-981383</t>
        </is>
      </c>
      <c r="K39" s="841" t="inlineStr">
        <is>
          <t>Vivi.Li@cyberpower.com</t>
        </is>
      </c>
    </row>
    <row r="40" hidden="1" ht="16.5" customHeight="1" s="1643">
      <c r="A40" s="848" t="n"/>
      <c r="B40" s="203" t="inlineStr">
        <is>
          <t>碩天</t>
        </is>
      </c>
      <c r="C40" s="1523" t="inlineStr">
        <is>
          <t>CPSPV20000ETL</t>
        </is>
      </c>
      <c r="D40" s="399" t="n">
        <v>20</v>
      </c>
      <c r="E40" s="2132">
        <f>F40/D40</f>
        <v/>
      </c>
      <c r="F40" s="2134" t="n">
        <v>51600</v>
      </c>
      <c r="G40" s="2133" t="n">
        <v>20210628</v>
      </c>
      <c r="H40" s="401" t="inlineStr">
        <is>
          <t xml:space="preserve">5年保固 (3Φ220/380V) </t>
        </is>
      </c>
      <c r="I40" s="205" t="inlineStr">
        <is>
          <t>李旻珊 Vivi</t>
        </is>
      </c>
      <c r="J40" s="205" t="inlineStr">
        <is>
          <t>0972-981383</t>
        </is>
      </c>
      <c r="K40" s="841" t="inlineStr">
        <is>
          <t>Vivi.Li@cyberpower.com</t>
        </is>
      </c>
    </row>
    <row r="41" hidden="1" ht="16.5" customHeight="1" s="1643">
      <c r="A41" s="848" t="n"/>
      <c r="B41" s="203" t="inlineStr">
        <is>
          <t>碩天</t>
        </is>
      </c>
      <c r="C41" s="1523" t="inlineStr">
        <is>
          <t>CPSPV20000ETL</t>
        </is>
      </c>
      <c r="D41" s="399" t="n">
        <v>20</v>
      </c>
      <c r="E41" s="2132">
        <f>F41/D41</f>
        <v/>
      </c>
      <c r="F41" s="2137" t="n">
        <v>64500</v>
      </c>
      <c r="G41" s="2133" t="n">
        <v>20210628</v>
      </c>
      <c r="H41" s="764" t="inlineStr">
        <is>
          <t xml:space="preserve">10年保固 (3Φ220/380V) </t>
        </is>
      </c>
      <c r="I41" s="205" t="inlineStr">
        <is>
          <t>李旻珊 Vivi</t>
        </is>
      </c>
      <c r="J41" s="205" t="inlineStr">
        <is>
          <t>0972-981383</t>
        </is>
      </c>
      <c r="K41" s="841" t="inlineStr">
        <is>
          <t>Vivi.Li@cyberpower.com</t>
        </is>
      </c>
    </row>
    <row r="42" hidden="1" ht="16.5" customHeight="1" s="1643">
      <c r="A42" s="848" t="n"/>
      <c r="B42" s="203" t="inlineStr">
        <is>
          <t>碩天</t>
        </is>
      </c>
      <c r="C42" s="1523" t="inlineStr">
        <is>
          <t>CPSPV30000ETL</t>
        </is>
      </c>
      <c r="D42" s="399" t="n">
        <v>30</v>
      </c>
      <c r="E42" s="2132">
        <f>F42/D42</f>
        <v/>
      </c>
      <c r="F42" s="2134" t="n">
        <v>58500</v>
      </c>
      <c r="G42" s="2133" t="n">
        <v>20210628</v>
      </c>
      <c r="H42" s="401" t="inlineStr">
        <is>
          <t xml:space="preserve">5年保固 (3Φ220/380V) </t>
        </is>
      </c>
      <c r="I42" s="205" t="inlineStr">
        <is>
          <t>李旻珊 Vivi</t>
        </is>
      </c>
      <c r="J42" s="205" t="inlineStr">
        <is>
          <t>0972-981383</t>
        </is>
      </c>
      <c r="K42" s="841" t="inlineStr">
        <is>
          <t>Vivi.Li@cyberpower.com</t>
        </is>
      </c>
    </row>
    <row r="43" hidden="1" ht="16.5" customHeight="1" s="1643">
      <c r="A43" s="848" t="n"/>
      <c r="B43" s="203" t="inlineStr">
        <is>
          <t>碩天</t>
        </is>
      </c>
      <c r="C43" s="1523" t="inlineStr">
        <is>
          <t>CPSPV30000ETL</t>
        </is>
      </c>
      <c r="D43" s="399" t="n">
        <v>30</v>
      </c>
      <c r="E43" s="2132">
        <f>F43/D43</f>
        <v/>
      </c>
      <c r="F43" s="2137" t="n">
        <v>73125</v>
      </c>
      <c r="G43" s="2133" t="n">
        <v>20210628</v>
      </c>
      <c r="H43" s="764" t="inlineStr">
        <is>
          <t xml:space="preserve">10年保固 (3Φ220/380V) </t>
        </is>
      </c>
      <c r="I43" s="205" t="inlineStr">
        <is>
          <t>李旻珊 Vivi</t>
        </is>
      </c>
      <c r="J43" s="205" t="inlineStr">
        <is>
          <t>0972-981383</t>
        </is>
      </c>
      <c r="K43" s="841" t="inlineStr">
        <is>
          <t>Vivi.Li@cyberpower.com</t>
        </is>
      </c>
    </row>
    <row r="44" hidden="1" ht="16.5" customHeight="1" s="1643">
      <c r="A44" s="848" t="n"/>
      <c r="B44" s="203" t="inlineStr">
        <is>
          <t>碩天</t>
        </is>
      </c>
      <c r="C44" s="1523" t="inlineStr">
        <is>
          <t>CPSPV33000ETL</t>
        </is>
      </c>
      <c r="D44" s="399" t="n">
        <v>33</v>
      </c>
      <c r="E44" s="2132">
        <f>F44/D44</f>
        <v/>
      </c>
      <c r="F44" s="2134" t="n">
        <v>62700</v>
      </c>
      <c r="G44" s="2133" t="n">
        <v>20210628</v>
      </c>
      <c r="H44" s="401" t="inlineStr">
        <is>
          <t xml:space="preserve">5年保固 (3Φ220/380V) </t>
        </is>
      </c>
      <c r="I44" s="205" t="inlineStr">
        <is>
          <t>李旻珊 Vivi</t>
        </is>
      </c>
      <c r="J44" s="205" t="inlineStr">
        <is>
          <t>0972-981383</t>
        </is>
      </c>
      <c r="K44" s="841" t="inlineStr">
        <is>
          <t>Vivi.Li@cyberpower.com</t>
        </is>
      </c>
    </row>
    <row r="45" hidden="1" ht="16.5" customHeight="1" s="1643">
      <c r="A45" s="848" t="n"/>
      <c r="B45" s="203" t="inlineStr">
        <is>
          <t>碩天</t>
        </is>
      </c>
      <c r="C45" s="1523" t="inlineStr">
        <is>
          <t>CPSPV33000ETL</t>
        </is>
      </c>
      <c r="D45" s="399" t="n">
        <v>33</v>
      </c>
      <c r="E45" s="2132">
        <f>F45/D45</f>
        <v/>
      </c>
      <c r="F45" s="2137" t="n">
        <v>78375</v>
      </c>
      <c r="G45" s="2133" t="n">
        <v>20210628</v>
      </c>
      <c r="H45" s="764" t="inlineStr">
        <is>
          <t xml:space="preserve">10年保固 (3Φ220/380V) </t>
        </is>
      </c>
      <c r="I45" s="205" t="inlineStr">
        <is>
          <t>李旻珊 Vivi</t>
        </is>
      </c>
      <c r="J45" s="205" t="inlineStr">
        <is>
          <t>0972-981383</t>
        </is>
      </c>
      <c r="K45" s="841" t="inlineStr">
        <is>
          <t>Vivi.Li@cyberpower.com</t>
        </is>
      </c>
    </row>
    <row r="46" hidden="1" ht="16.5" customHeight="1" s="1643">
      <c r="A46" s="779" t="n"/>
      <c r="B46" s="203" t="inlineStr">
        <is>
          <t>碩天</t>
        </is>
      </c>
      <c r="C46" s="1523" t="inlineStr">
        <is>
          <t>CPSPV8000ETL-S</t>
        </is>
      </c>
      <c r="D46" s="399" t="n">
        <v>8</v>
      </c>
      <c r="E46" s="2132">
        <f>F46/D46</f>
        <v/>
      </c>
      <c r="F46" s="2134" t="n">
        <v>27200</v>
      </c>
      <c r="G46" s="2133" t="n">
        <v>20210628</v>
      </c>
      <c r="H46" s="401" t="inlineStr">
        <is>
          <t xml:space="preserve">5年保固 (3Φ220/380V) </t>
        </is>
      </c>
      <c r="I46" s="205" t="inlineStr">
        <is>
          <t>李旻珊 Vivi</t>
        </is>
      </c>
      <c r="J46" s="205" t="inlineStr">
        <is>
          <t>0972-981383</t>
        </is>
      </c>
      <c r="K46" s="841" t="inlineStr">
        <is>
          <t>Vivi.Li@cyberpower.com</t>
        </is>
      </c>
    </row>
    <row r="47" hidden="1" ht="16.5" customHeight="1" s="1643">
      <c r="A47" s="779" t="n"/>
      <c r="B47" s="203" t="inlineStr">
        <is>
          <t>碩天</t>
        </is>
      </c>
      <c r="C47" s="1523" t="inlineStr">
        <is>
          <t>CPSPV8000ETL-S</t>
        </is>
      </c>
      <c r="D47" s="399" t="n">
        <v>8</v>
      </c>
      <c r="E47" s="2132">
        <f>F47/D47</f>
        <v/>
      </c>
      <c r="F47" s="2137" t="n">
        <v>54400</v>
      </c>
      <c r="G47" s="2133" t="n">
        <v>20210628</v>
      </c>
      <c r="H47" s="402" t="inlineStr">
        <is>
          <t xml:space="preserve">20年保固 (3Φ220/380V) </t>
        </is>
      </c>
      <c r="I47" s="205" t="inlineStr">
        <is>
          <t>李旻珊 Vivi</t>
        </is>
      </c>
      <c r="J47" s="205" t="inlineStr">
        <is>
          <t>0972-981383</t>
        </is>
      </c>
      <c r="K47" s="841" t="inlineStr">
        <is>
          <t>Vivi.Li@cyberpower.com</t>
        </is>
      </c>
    </row>
    <row r="48" hidden="1" ht="16.5" customHeight="1" s="1643">
      <c r="A48" s="779" t="n"/>
      <c r="B48" s="203" t="inlineStr">
        <is>
          <t>碩天</t>
        </is>
      </c>
      <c r="C48" s="1523" t="inlineStr">
        <is>
          <t>CPSPV10000ETL-S</t>
        </is>
      </c>
      <c r="D48" s="399" t="n">
        <v>10</v>
      </c>
      <c r="E48" s="2132">
        <f>F48/D48</f>
        <v/>
      </c>
      <c r="F48" s="2134" t="n">
        <v>29500</v>
      </c>
      <c r="G48" s="2133" t="n">
        <v>20210628</v>
      </c>
      <c r="H48" s="401" t="inlineStr">
        <is>
          <t xml:space="preserve">5年保固 (3Φ220/380V) </t>
        </is>
      </c>
      <c r="I48" s="205" t="inlineStr">
        <is>
          <t>李旻珊 Vivi</t>
        </is>
      </c>
      <c r="J48" s="205" t="inlineStr">
        <is>
          <t>0972-981383</t>
        </is>
      </c>
      <c r="K48" s="841" t="inlineStr">
        <is>
          <t>Vivi.Li@cyberpower.com</t>
        </is>
      </c>
    </row>
    <row r="49" hidden="1" ht="16.5" customHeight="1" s="1643">
      <c r="A49" s="779" t="n"/>
      <c r="B49" s="203" t="inlineStr">
        <is>
          <t>碩天</t>
        </is>
      </c>
      <c r="C49" s="1523" t="inlineStr">
        <is>
          <t>CPSPV10000ETL-S</t>
        </is>
      </c>
      <c r="D49" s="399" t="n">
        <v>10</v>
      </c>
      <c r="E49" s="2132">
        <f>F49/D49</f>
        <v/>
      </c>
      <c r="F49" s="2137" t="n">
        <v>59000</v>
      </c>
      <c r="G49" s="2133" t="n">
        <v>20210628</v>
      </c>
      <c r="H49" s="402" t="inlineStr">
        <is>
          <t xml:space="preserve">20年保固 (3Φ220/380V) </t>
        </is>
      </c>
      <c r="I49" s="205" t="inlineStr">
        <is>
          <t>李旻珊 Vivi</t>
        </is>
      </c>
      <c r="J49" s="205" t="inlineStr">
        <is>
          <t>0972-981383</t>
        </is>
      </c>
      <c r="K49" s="841" t="inlineStr">
        <is>
          <t>Vivi.Li@cyberpower.com</t>
        </is>
      </c>
    </row>
    <row r="50" hidden="1" ht="16.5" customHeight="1" s="1643">
      <c r="A50" s="779" t="n"/>
      <c r="B50" s="203" t="inlineStr">
        <is>
          <t>碩天</t>
        </is>
      </c>
      <c r="C50" s="1523" t="inlineStr">
        <is>
          <t>CPSPV12000ETL-S</t>
        </is>
      </c>
      <c r="D50" s="399" t="n">
        <v>12</v>
      </c>
      <c r="E50" s="2132">
        <f>F50/D50</f>
        <v/>
      </c>
      <c r="F50" s="2134" t="n">
        <v>33600</v>
      </c>
      <c r="G50" s="2133" t="n">
        <v>20210628</v>
      </c>
      <c r="H50" s="401" t="inlineStr">
        <is>
          <t xml:space="preserve">5年保固 (3Φ220/380V) </t>
        </is>
      </c>
      <c r="I50" s="205" t="inlineStr">
        <is>
          <t>李旻珊 Vivi</t>
        </is>
      </c>
      <c r="J50" s="205" t="inlineStr">
        <is>
          <t>0972-981383</t>
        </is>
      </c>
      <c r="K50" s="841" t="inlineStr">
        <is>
          <t>Vivi.Li@cyberpower.com</t>
        </is>
      </c>
    </row>
    <row r="51" hidden="1" ht="16.5" customHeight="1" s="1643">
      <c r="A51" s="779" t="n"/>
      <c r="B51" s="203" t="inlineStr">
        <is>
          <t>碩天</t>
        </is>
      </c>
      <c r="C51" s="1523" t="inlineStr">
        <is>
          <t>CPSPV12000ETL-S</t>
        </is>
      </c>
      <c r="D51" s="399" t="n">
        <v>12</v>
      </c>
      <c r="E51" s="2132">
        <f>F51/D51</f>
        <v/>
      </c>
      <c r="F51" s="2137" t="n">
        <v>67200</v>
      </c>
      <c r="G51" s="2133" t="n">
        <v>20210628</v>
      </c>
      <c r="H51" s="402" t="inlineStr">
        <is>
          <t xml:space="preserve">20年保固 (3Φ220/380V) </t>
        </is>
      </c>
      <c r="I51" s="205" t="inlineStr">
        <is>
          <t>李旻珊 Vivi</t>
        </is>
      </c>
      <c r="J51" s="205" t="inlineStr">
        <is>
          <t>0972-981383</t>
        </is>
      </c>
      <c r="K51" s="841" t="inlineStr">
        <is>
          <t>Vivi.Li@cyberpower.com</t>
        </is>
      </c>
    </row>
    <row r="52" hidden="1" ht="16.5" customHeight="1" s="1643">
      <c r="A52" s="779" t="n"/>
      <c r="B52" s="203" t="inlineStr">
        <is>
          <t>碩天</t>
        </is>
      </c>
      <c r="C52" s="1523" t="inlineStr">
        <is>
          <t>CPSPV15000ETL-S</t>
        </is>
      </c>
      <c r="D52" s="399" t="n">
        <v>15</v>
      </c>
      <c r="E52" s="2132">
        <f>F52/D52</f>
        <v/>
      </c>
      <c r="F52" s="2134" t="n">
        <v>39750</v>
      </c>
      <c r="G52" s="2133" t="n">
        <v>20210628</v>
      </c>
      <c r="H52" s="401" t="inlineStr">
        <is>
          <t xml:space="preserve">5年保固 (3Φ220/380V) </t>
        </is>
      </c>
      <c r="I52" s="205" t="inlineStr">
        <is>
          <t>李旻珊 Vivi</t>
        </is>
      </c>
      <c r="J52" s="205" t="inlineStr">
        <is>
          <t>0972-981383</t>
        </is>
      </c>
      <c r="K52" s="841" t="inlineStr">
        <is>
          <t>Vivi.Li@cyberpower.com</t>
        </is>
      </c>
    </row>
    <row r="53" hidden="1" ht="16.5" customHeight="1" s="1643">
      <c r="A53" s="779" t="n"/>
      <c r="B53" s="203" t="inlineStr">
        <is>
          <t>碩天</t>
        </is>
      </c>
      <c r="C53" s="1523" t="inlineStr">
        <is>
          <t>CPSPV15000ETL-S</t>
        </is>
      </c>
      <c r="D53" s="399" t="n">
        <v>15</v>
      </c>
      <c r="E53" s="2132">
        <f>F53/D53</f>
        <v/>
      </c>
      <c r="F53" s="2137" t="n">
        <v>79500</v>
      </c>
      <c r="G53" s="2133" t="n">
        <v>20210628</v>
      </c>
      <c r="H53" s="402" t="inlineStr">
        <is>
          <t xml:space="preserve">20年保固 (3Φ220/380V) </t>
        </is>
      </c>
      <c r="I53" s="205" t="inlineStr">
        <is>
          <t>李旻珊 Vivi</t>
        </is>
      </c>
      <c r="J53" s="205" t="inlineStr">
        <is>
          <t>0972-981383</t>
        </is>
      </c>
      <c r="K53" s="841" t="inlineStr">
        <is>
          <t>Vivi.Li@cyberpower.com</t>
        </is>
      </c>
    </row>
    <row r="54" hidden="1" ht="16.5" customHeight="1" s="1643">
      <c r="A54" s="779" t="n"/>
      <c r="B54" s="203" t="inlineStr">
        <is>
          <t>碩天</t>
        </is>
      </c>
      <c r="C54" s="1523" t="inlineStr">
        <is>
          <t>CPSPV22000ETLA-WB</t>
        </is>
      </c>
      <c r="D54" s="399" t="n">
        <v>22</v>
      </c>
      <c r="E54" s="2132">
        <f>F54/D54</f>
        <v/>
      </c>
      <c r="F54" s="2134" t="n">
        <v>56700</v>
      </c>
      <c r="G54" s="2133" t="n">
        <v>20210628</v>
      </c>
      <c r="H54" s="401" t="inlineStr">
        <is>
          <t xml:space="preserve">5年保固 (3Φ220/380V) </t>
        </is>
      </c>
      <c r="I54" s="205" t="inlineStr">
        <is>
          <t>李旻珊 Vivi</t>
        </is>
      </c>
      <c r="J54" s="205" t="inlineStr">
        <is>
          <t>0972-981383</t>
        </is>
      </c>
      <c r="K54" s="841" t="inlineStr">
        <is>
          <t>Vivi.Li@cyberpower.com</t>
        </is>
      </c>
    </row>
    <row r="55" hidden="1" ht="16.5" customHeight="1" s="1643">
      <c r="A55" s="779" t="n"/>
      <c r="B55" s="203" t="inlineStr">
        <is>
          <t>碩天</t>
        </is>
      </c>
      <c r="C55" s="1523" t="inlineStr">
        <is>
          <t>CPSPV22000ETLA-WB</t>
        </is>
      </c>
      <c r="D55" s="399" t="n">
        <v>22</v>
      </c>
      <c r="E55" s="2132">
        <f>F55/D55</f>
        <v/>
      </c>
      <c r="F55" s="2137" t="n">
        <v>113520</v>
      </c>
      <c r="G55" s="2133" t="n">
        <v>20210628</v>
      </c>
      <c r="H55" s="402" t="inlineStr">
        <is>
          <t xml:space="preserve">20年保固 (3Φ220/380V) </t>
        </is>
      </c>
      <c r="I55" s="205" t="inlineStr">
        <is>
          <t>李旻珊 Vivi</t>
        </is>
      </c>
      <c r="J55" s="205" t="inlineStr">
        <is>
          <t>0972-981383</t>
        </is>
      </c>
      <c r="K55" s="841" t="inlineStr">
        <is>
          <t>Vivi.Li@cyberpower.com</t>
        </is>
      </c>
    </row>
    <row r="56" hidden="1" ht="16.5" customHeight="1" s="1643">
      <c r="A56" s="779" t="n"/>
      <c r="B56" s="1041" t="inlineStr">
        <is>
          <t>碩天</t>
        </is>
      </c>
      <c r="C56" s="1040" t="inlineStr">
        <is>
          <t>CPSPV22000ETLA-WB</t>
        </is>
      </c>
      <c r="D56" s="1043" t="n">
        <v>22</v>
      </c>
      <c r="E56" s="2138" t="n">
        <v>2580</v>
      </c>
      <c r="F56" s="2139" t="n">
        <v>56760</v>
      </c>
      <c r="G56" s="2140" t="n">
        <v>20220930</v>
      </c>
      <c r="H56" s="1044" t="inlineStr">
        <is>
          <t xml:space="preserve">5年保固 (3Φ220/380V) </t>
        </is>
      </c>
      <c r="I56" s="1042" t="inlineStr">
        <is>
          <t>李旻珊 Vivi</t>
        </is>
      </c>
      <c r="J56" s="1047" t="inlineStr">
        <is>
          <t>0956-805911</t>
        </is>
      </c>
      <c r="K56" s="1046" t="inlineStr">
        <is>
          <t>Vivi.Li@cyberpower.com</t>
        </is>
      </c>
    </row>
    <row r="57" hidden="1" ht="16.5" customHeight="1" s="1643">
      <c r="A57" s="779" t="n"/>
      <c r="B57" s="1041" t="inlineStr">
        <is>
          <t>碩天</t>
        </is>
      </c>
      <c r="C57" s="1040" t="inlineStr">
        <is>
          <t>CPSPV22000ETLA-WB</t>
        </is>
      </c>
      <c r="D57" s="1043" t="n">
        <v>22</v>
      </c>
      <c r="E57" s="2138" t="n">
        <v>5418.181818181818</v>
      </c>
      <c r="F57" s="2139" t="n">
        <v>119200</v>
      </c>
      <c r="G57" s="2140" t="n">
        <v>20220930</v>
      </c>
      <c r="H57" s="1045" t="inlineStr">
        <is>
          <t xml:space="preserve">20年保固 (3Φ220/380V) </t>
        </is>
      </c>
      <c r="I57" s="1042" t="inlineStr">
        <is>
          <t>李旻珊 Vivi</t>
        </is>
      </c>
      <c r="J57" s="1047" t="inlineStr">
        <is>
          <t>0956-805911</t>
        </is>
      </c>
      <c r="K57" s="1046" t="inlineStr">
        <is>
          <t>Vivi.Li@cyberpower.com</t>
        </is>
      </c>
    </row>
    <row r="58" hidden="1" ht="16.5" customHeight="1" s="1643">
      <c r="A58" s="779" t="n"/>
      <c r="B58" s="203" t="inlineStr">
        <is>
          <t>碩天</t>
        </is>
      </c>
      <c r="C58" s="1523" t="inlineStr">
        <is>
          <t>CPSPV30000ETLA-WB</t>
        </is>
      </c>
      <c r="D58" s="399" t="n">
        <v>30</v>
      </c>
      <c r="E58" s="2132">
        <f>F58/D58</f>
        <v/>
      </c>
      <c r="F58" s="2134" t="n">
        <v>61500</v>
      </c>
      <c r="G58" s="2133" t="n">
        <v>20210628</v>
      </c>
      <c r="H58" s="401" t="inlineStr">
        <is>
          <t xml:space="preserve">5年保固 (3Φ220/380V) </t>
        </is>
      </c>
      <c r="I58" s="205" t="inlineStr">
        <is>
          <t>李旻珊 Vivi</t>
        </is>
      </c>
      <c r="J58" s="205" t="inlineStr">
        <is>
          <t>0972-981383</t>
        </is>
      </c>
      <c r="K58" s="841" t="inlineStr">
        <is>
          <t>Vivi.Li@cyberpower.com</t>
        </is>
      </c>
    </row>
    <row r="59" hidden="1" ht="16.5" customHeight="1" s="1643">
      <c r="A59" s="779" t="n"/>
      <c r="B59" s="203" t="inlineStr">
        <is>
          <t>碩天</t>
        </is>
      </c>
      <c r="C59" s="1523" t="inlineStr">
        <is>
          <t>CPSPV30000ETLA-WB</t>
        </is>
      </c>
      <c r="D59" s="399" t="n">
        <v>30</v>
      </c>
      <c r="E59" s="2132">
        <f>F59/D59</f>
        <v/>
      </c>
      <c r="F59" s="2137" t="n">
        <v>123000</v>
      </c>
      <c r="G59" s="2133" t="n">
        <v>20210628</v>
      </c>
      <c r="H59" s="402" t="inlineStr">
        <is>
          <t xml:space="preserve">20年保固 (3Φ220/380V) </t>
        </is>
      </c>
      <c r="I59" s="205" t="inlineStr">
        <is>
          <t>李旻珊 Vivi</t>
        </is>
      </c>
      <c r="J59" s="205" t="inlineStr">
        <is>
          <t>0972-981383</t>
        </is>
      </c>
      <c r="K59" s="841" t="inlineStr">
        <is>
          <t>Vivi.Li@cyberpower.com</t>
        </is>
      </c>
    </row>
    <row r="60" hidden="1" ht="16.5" customHeight="1" s="1643">
      <c r="A60" s="779" t="n"/>
      <c r="B60" s="1074" t="inlineStr">
        <is>
          <t>碩天</t>
        </is>
      </c>
      <c r="C60" s="1073" t="inlineStr">
        <is>
          <t>CPSPV30000ETLA-WB</t>
        </is>
      </c>
      <c r="D60" s="1075" t="n">
        <v>30</v>
      </c>
      <c r="E60" s="2141" t="n">
        <v>2050</v>
      </c>
      <c r="F60" s="2142" t="n">
        <v>61500</v>
      </c>
      <c r="G60" s="2143" t="n">
        <v>20220930</v>
      </c>
      <c r="H60" s="1076" t="inlineStr">
        <is>
          <t xml:space="preserve">5年保固 (3Φ220/380V) </t>
        </is>
      </c>
      <c r="I60" s="1069" t="inlineStr">
        <is>
          <t>李旻珊 Vivi</t>
        </is>
      </c>
      <c r="J60" s="1079" t="inlineStr">
        <is>
          <t>0956-805911</t>
        </is>
      </c>
      <c r="K60" s="1078" t="inlineStr">
        <is>
          <t>Vivi.Li@cyberpower.com</t>
        </is>
      </c>
    </row>
    <row r="61" hidden="1" ht="16.5" customHeight="1" s="1643">
      <c r="A61" s="779" t="n"/>
      <c r="B61" s="1074" t="inlineStr">
        <is>
          <t>碩天</t>
        </is>
      </c>
      <c r="C61" s="1073" t="inlineStr">
        <is>
          <t>CPSPV30000ETLA-WB</t>
        </is>
      </c>
      <c r="D61" s="1075" t="n">
        <v>30</v>
      </c>
      <c r="E61" s="2141" t="n">
        <v>4306.666666666667</v>
      </c>
      <c r="F61" s="2142" t="n">
        <v>129200</v>
      </c>
      <c r="G61" s="2143" t="n">
        <v>20220930</v>
      </c>
      <c r="H61" s="1077" t="inlineStr">
        <is>
          <t xml:space="preserve">20年保固 (3Φ220/380V) </t>
        </is>
      </c>
      <c r="I61" s="1069" t="inlineStr">
        <is>
          <t>李旻珊 Vivi</t>
        </is>
      </c>
      <c r="J61" s="1079" t="inlineStr">
        <is>
          <t>0956-805911</t>
        </is>
      </c>
      <c r="K61" s="1078" t="inlineStr">
        <is>
          <t>Vivi.Li@cyberpower.com</t>
        </is>
      </c>
    </row>
    <row r="62" hidden="1" ht="16.5" customHeight="1" s="1643">
      <c r="A62" s="779" t="n"/>
      <c r="B62" s="203" t="inlineStr">
        <is>
          <t>碩天</t>
        </is>
      </c>
      <c r="C62" s="1523" t="inlineStr">
        <is>
          <t>CPSPV33000ETLA-WB</t>
        </is>
      </c>
      <c r="D62" s="399" t="n">
        <v>33</v>
      </c>
      <c r="E62" s="2132">
        <f>F62/D62</f>
        <v/>
      </c>
      <c r="F62" s="2134" t="n">
        <v>66000</v>
      </c>
      <c r="G62" s="2133" t="n">
        <v>20210628</v>
      </c>
      <c r="H62" s="401" t="inlineStr">
        <is>
          <t xml:space="preserve">5年保固 (3Φ220/380V) </t>
        </is>
      </c>
      <c r="I62" s="205" t="inlineStr">
        <is>
          <t>李旻珊 Vivi</t>
        </is>
      </c>
      <c r="J62" s="205" t="inlineStr">
        <is>
          <t>0972-981383</t>
        </is>
      </c>
      <c r="K62" s="841" t="inlineStr">
        <is>
          <t>Vivi.Li@cyberpower.com</t>
        </is>
      </c>
    </row>
    <row r="63" hidden="1" ht="16.5" customHeight="1" s="1643">
      <c r="A63" s="779" t="n"/>
      <c r="B63" s="203" t="inlineStr">
        <is>
          <t>碩天</t>
        </is>
      </c>
      <c r="C63" s="1523" t="inlineStr">
        <is>
          <t>CPSPV33000ETLA-WB</t>
        </is>
      </c>
      <c r="D63" s="399" t="n">
        <v>33</v>
      </c>
      <c r="E63" s="2132">
        <f>F63/D63</f>
        <v/>
      </c>
      <c r="F63" s="2137" t="n">
        <v>132000</v>
      </c>
      <c r="G63" s="2133" t="n">
        <v>20210628</v>
      </c>
      <c r="H63" s="402" t="inlineStr">
        <is>
          <t xml:space="preserve">20年保固 (3Φ220/380V) </t>
        </is>
      </c>
      <c r="I63" s="205" t="inlineStr">
        <is>
          <t>李旻珊 Vivi</t>
        </is>
      </c>
      <c r="J63" s="205" t="inlineStr">
        <is>
          <t>0972-981383</t>
        </is>
      </c>
      <c r="K63" s="841" t="inlineStr">
        <is>
          <t>Vivi.Li@cyberpower.com</t>
        </is>
      </c>
    </row>
    <row r="64" hidden="1" ht="16.5" customHeight="1" s="1643">
      <c r="A64" s="779" t="n"/>
      <c r="B64" s="1052" t="inlineStr">
        <is>
          <t>碩天</t>
        </is>
      </c>
      <c r="C64" s="1051" t="inlineStr">
        <is>
          <t>CPSPV33000ETLA-WB</t>
        </is>
      </c>
      <c r="D64" s="1054" t="n">
        <v>33</v>
      </c>
      <c r="E64" s="2144" t="n">
        <v>2000</v>
      </c>
      <c r="F64" s="2145" t="n">
        <v>66000</v>
      </c>
      <c r="G64" s="2146" t="n">
        <v>20220930</v>
      </c>
      <c r="H64" s="1055" t="inlineStr">
        <is>
          <t xml:space="preserve">5年保固 (3Φ220/380V) </t>
        </is>
      </c>
      <c r="I64" s="1053" t="inlineStr">
        <is>
          <t>李旻珊 Vivi</t>
        </is>
      </c>
      <c r="J64" s="1058" t="inlineStr">
        <is>
          <t>0956-805911</t>
        </is>
      </c>
      <c r="K64" s="1057" t="inlineStr">
        <is>
          <t>Vivi.Li@cyberpower.com</t>
        </is>
      </c>
    </row>
    <row r="65" hidden="1" ht="16.5" customHeight="1" s="1643">
      <c r="A65" s="779" t="n"/>
      <c r="B65" s="1052" t="inlineStr">
        <is>
          <t>碩天</t>
        </is>
      </c>
      <c r="C65" s="1051" t="inlineStr">
        <is>
          <t>CPSPV33000ETLA-WB</t>
        </is>
      </c>
      <c r="D65" s="1054" t="n">
        <v>33</v>
      </c>
      <c r="E65" s="2144" t="n">
        <v>4200</v>
      </c>
      <c r="F65" s="2145" t="n">
        <v>138600</v>
      </c>
      <c r="G65" s="2146" t="n">
        <v>20220930</v>
      </c>
      <c r="H65" s="1056" t="inlineStr">
        <is>
          <t xml:space="preserve">20年保固 (3Φ220/380V) </t>
        </is>
      </c>
      <c r="I65" s="1053" t="inlineStr">
        <is>
          <t>李旻珊 Vivi</t>
        </is>
      </c>
      <c r="J65" s="1058" t="inlineStr">
        <is>
          <t>0956-805911</t>
        </is>
      </c>
      <c r="K65" s="1057" t="inlineStr">
        <is>
          <t>Vivi.Li@cyberpower.com</t>
        </is>
      </c>
    </row>
    <row r="66" hidden="1" ht="16.5" customHeight="1" s="1643">
      <c r="A66" s="779" t="n"/>
      <c r="B66" s="203" t="inlineStr">
        <is>
          <t>碩天</t>
        </is>
      </c>
      <c r="C66" s="1523" t="inlineStr">
        <is>
          <t>CPSPV36000ETLA-WB</t>
        </is>
      </c>
      <c r="D66" s="399" t="n">
        <v>36</v>
      </c>
      <c r="E66" s="2132">
        <f>F66/D66</f>
        <v/>
      </c>
      <c r="F66" s="2134" t="n">
        <v>67680</v>
      </c>
      <c r="G66" s="2133" t="n">
        <v>20210628</v>
      </c>
      <c r="H66" s="401" t="inlineStr">
        <is>
          <t xml:space="preserve">5年保固 (3Φ220/380V) </t>
        </is>
      </c>
      <c r="I66" s="205" t="inlineStr">
        <is>
          <t>李旻珊 Vivi</t>
        </is>
      </c>
      <c r="J66" s="205" t="inlineStr">
        <is>
          <t>0972-981383</t>
        </is>
      </c>
      <c r="K66" s="841" t="inlineStr">
        <is>
          <t>Vivi.Li@cyberpower.com</t>
        </is>
      </c>
    </row>
    <row r="67" hidden="1" ht="16.5" customHeight="1" s="1643">
      <c r="A67" s="779" t="n"/>
      <c r="B67" s="203" t="inlineStr">
        <is>
          <t>碩天</t>
        </is>
      </c>
      <c r="C67" s="1523" t="inlineStr">
        <is>
          <t>CPSPV36000ETLA-WB</t>
        </is>
      </c>
      <c r="D67" s="399" t="n">
        <v>36</v>
      </c>
      <c r="E67" s="2132">
        <f>F67/D67</f>
        <v/>
      </c>
      <c r="F67" s="2137" t="n">
        <v>135360</v>
      </c>
      <c r="G67" s="2133" t="n">
        <v>20210628</v>
      </c>
      <c r="H67" s="402" t="inlineStr">
        <is>
          <t xml:space="preserve">20年保固 (3Φ220/380V) </t>
        </is>
      </c>
      <c r="I67" s="205" t="inlineStr">
        <is>
          <t>李旻珊 Vivi</t>
        </is>
      </c>
      <c r="J67" s="205" t="inlineStr">
        <is>
          <t>0972-981383</t>
        </is>
      </c>
      <c r="K67" s="841" t="inlineStr">
        <is>
          <t>Vivi.Li@cyberpower.com</t>
        </is>
      </c>
    </row>
    <row r="68" hidden="1" ht="16.5" customHeight="1" s="1643">
      <c r="A68" s="779" t="n"/>
      <c r="B68" s="1063" t="inlineStr">
        <is>
          <t>碩天</t>
        </is>
      </c>
      <c r="C68" s="1062" t="inlineStr">
        <is>
          <t>CPSPV36000ETLA-WB</t>
        </is>
      </c>
      <c r="D68" s="1065" t="n">
        <v>36</v>
      </c>
      <c r="E68" s="2147" t="n">
        <v>1880</v>
      </c>
      <c r="F68" s="2148" t="n">
        <v>67680</v>
      </c>
      <c r="G68" s="2149" t="n">
        <v>20220930</v>
      </c>
      <c r="H68" s="1066" t="inlineStr">
        <is>
          <t xml:space="preserve">5年保固 (3Φ220/380V) </t>
        </is>
      </c>
      <c r="I68" s="1064" t="inlineStr">
        <is>
          <t>李旻珊 Vivi</t>
        </is>
      </c>
      <c r="J68" s="1069" t="inlineStr">
        <is>
          <t>0956-805911</t>
        </is>
      </c>
      <c r="K68" s="1068" t="inlineStr">
        <is>
          <t>Vivi.Li@cyberpower.com</t>
        </is>
      </c>
    </row>
    <row r="69" hidden="1" ht="16.5" customHeight="1" s="1643">
      <c r="A69" s="779" t="n"/>
      <c r="B69" s="1063" t="inlineStr">
        <is>
          <t>碩天</t>
        </is>
      </c>
      <c r="C69" s="1062" t="inlineStr">
        <is>
          <t>CPSPV36000ETLA-WB</t>
        </is>
      </c>
      <c r="D69" s="1065" t="n">
        <v>36</v>
      </c>
      <c r="E69" s="2147" t="n">
        <v>3950</v>
      </c>
      <c r="F69" s="2148" t="n">
        <v>142200</v>
      </c>
      <c r="G69" s="2149" t="n">
        <v>20220930</v>
      </c>
      <c r="H69" s="1067" t="inlineStr">
        <is>
          <t xml:space="preserve">20年保固 (3Φ220/380V) </t>
        </is>
      </c>
      <c r="I69" s="1064" t="inlineStr">
        <is>
          <t>李旻珊 Vivi</t>
        </is>
      </c>
      <c r="J69" s="1069" t="inlineStr">
        <is>
          <t>0956-805911</t>
        </is>
      </c>
      <c r="K69" s="1068" t="inlineStr">
        <is>
          <t>Vivi.Li@cyberpower.com</t>
        </is>
      </c>
    </row>
    <row r="70" hidden="1" ht="16.5" customHeight="1" s="1643">
      <c r="A70" s="779" t="n"/>
      <c r="B70" s="203" t="inlineStr">
        <is>
          <t>碩天</t>
        </is>
      </c>
      <c r="C70" s="1523" t="inlineStr">
        <is>
          <t>CPSPV50000ETL-WB</t>
        </is>
      </c>
      <c r="D70" s="399" t="n">
        <v>50</v>
      </c>
      <c r="E70" s="2132">
        <f>F70/D70</f>
        <v/>
      </c>
      <c r="F70" s="2134" t="n">
        <v>79000</v>
      </c>
      <c r="G70" s="2133" t="n">
        <v>20210628</v>
      </c>
      <c r="H70" s="401" t="inlineStr">
        <is>
          <t xml:space="preserve">5年保固 (3Φ220/380V) </t>
        </is>
      </c>
      <c r="I70" s="205" t="inlineStr">
        <is>
          <t>李旻珊 Vivi</t>
        </is>
      </c>
      <c r="J70" s="205" t="inlineStr">
        <is>
          <t>0972-981383</t>
        </is>
      </c>
      <c r="K70" s="841" t="inlineStr">
        <is>
          <t>Vivi.Li@cyberpower.com</t>
        </is>
      </c>
    </row>
    <row r="71" hidden="1" ht="16.5" customHeight="1" s="1643">
      <c r="A71" s="779" t="n"/>
      <c r="B71" s="203" t="inlineStr">
        <is>
          <t>碩天</t>
        </is>
      </c>
      <c r="C71" s="1523" t="inlineStr">
        <is>
          <t>CPSPV50000ETL-WB</t>
        </is>
      </c>
      <c r="D71" s="399" t="n">
        <v>50</v>
      </c>
      <c r="E71" s="2132">
        <f>F71/D71</f>
        <v/>
      </c>
      <c r="F71" s="2137" t="n">
        <v>158000</v>
      </c>
      <c r="G71" s="2133" t="n">
        <v>20210628</v>
      </c>
      <c r="H71" s="402" t="inlineStr">
        <is>
          <t xml:space="preserve">20年保固 (3Φ220/380V) </t>
        </is>
      </c>
      <c r="I71" s="205" t="inlineStr">
        <is>
          <t>李旻珊 Vivi</t>
        </is>
      </c>
      <c r="J71" s="205" t="inlineStr">
        <is>
          <t>0972-981383</t>
        </is>
      </c>
      <c r="K71" s="841" t="inlineStr">
        <is>
          <t>Vivi.Li@cyberpower.com</t>
        </is>
      </c>
    </row>
    <row r="72" hidden="1" ht="16.5" customHeight="1" s="1643">
      <c r="A72" s="779" t="n"/>
      <c r="B72" s="1084" t="inlineStr">
        <is>
          <t>碩天</t>
        </is>
      </c>
      <c r="C72" s="1083" t="inlineStr">
        <is>
          <t>CPSPV50000ETL-WB</t>
        </is>
      </c>
      <c r="D72" s="1085" t="n">
        <v>50</v>
      </c>
      <c r="E72" s="2150" t="n">
        <v>1710</v>
      </c>
      <c r="F72" s="2151" t="n">
        <v>85500</v>
      </c>
      <c r="G72" s="2152" t="n">
        <v>20220930</v>
      </c>
      <c r="H72" s="1086" t="inlineStr">
        <is>
          <t xml:space="preserve">5年保固 (3Φ220/380V) </t>
        </is>
      </c>
      <c r="I72" s="1079" t="inlineStr">
        <is>
          <t>李旻珊 Vivi</t>
        </is>
      </c>
      <c r="J72" s="1089" t="inlineStr">
        <is>
          <t>0956-805911</t>
        </is>
      </c>
      <c r="K72" s="1088" t="inlineStr">
        <is>
          <t>Vivi.Li@cyberpower.com</t>
        </is>
      </c>
    </row>
    <row r="73" hidden="1" ht="16.5" customHeight="1" s="1643">
      <c r="A73" s="779" t="n"/>
      <c r="B73" s="1084" t="inlineStr">
        <is>
          <t>碩天</t>
        </is>
      </c>
      <c r="C73" s="1083" t="inlineStr">
        <is>
          <t>CPSPV50000ETL-WB</t>
        </is>
      </c>
      <c r="D73" s="1085" t="n">
        <v>50</v>
      </c>
      <c r="E73" s="2150" t="n">
        <v>3591</v>
      </c>
      <c r="F73" s="2151" t="n">
        <v>179550</v>
      </c>
      <c r="G73" s="2152" t="n">
        <v>20220930</v>
      </c>
      <c r="H73" s="1087" t="inlineStr">
        <is>
          <t xml:space="preserve">20年保固 (3Φ220/380V) </t>
        </is>
      </c>
      <c r="I73" s="1079" t="inlineStr">
        <is>
          <t>李旻珊 Vivi</t>
        </is>
      </c>
      <c r="J73" s="1089" t="inlineStr">
        <is>
          <t>0956-805911</t>
        </is>
      </c>
      <c r="K73" s="1088" t="inlineStr">
        <is>
          <t>Vivi.Li@cyberpower.com</t>
        </is>
      </c>
    </row>
    <row r="74" hidden="1" ht="16.5" customHeight="1" s="1643">
      <c r="A74" s="779" t="n"/>
      <c r="B74" s="203" t="inlineStr">
        <is>
          <t>碩天</t>
        </is>
      </c>
      <c r="C74" s="1523" t="inlineStr">
        <is>
          <t>CPSPV55000ETL-WB</t>
        </is>
      </c>
      <c r="D74" s="399" t="n">
        <v>55</v>
      </c>
      <c r="E74" s="2132">
        <f>F74/D74</f>
        <v/>
      </c>
      <c r="F74" s="2134" t="n">
        <v>81400</v>
      </c>
      <c r="G74" s="2133" t="n">
        <v>20210628</v>
      </c>
      <c r="H74" s="401" t="inlineStr">
        <is>
          <t xml:space="preserve">5年保固 (3Φ220/380V) </t>
        </is>
      </c>
      <c r="I74" s="205" t="inlineStr">
        <is>
          <t>李旻珊 Vivi</t>
        </is>
      </c>
      <c r="J74" s="205" t="inlineStr">
        <is>
          <t>0972-981383</t>
        </is>
      </c>
      <c r="K74" s="841" t="inlineStr">
        <is>
          <t>Vivi.Li@cyberpower.com</t>
        </is>
      </c>
    </row>
    <row r="75" hidden="1" ht="16.5" customHeight="1" s="1643">
      <c r="A75" s="779" t="n"/>
      <c r="B75" s="203" t="inlineStr">
        <is>
          <t>碩天</t>
        </is>
      </c>
      <c r="C75" s="1523" t="inlineStr">
        <is>
          <t>CPSPV55000ETL-WB</t>
        </is>
      </c>
      <c r="D75" s="399" t="n">
        <v>55</v>
      </c>
      <c r="E75" s="2132">
        <f>F75/D75</f>
        <v/>
      </c>
      <c r="F75" s="2137" t="n">
        <v>162800</v>
      </c>
      <c r="G75" s="2133" t="n">
        <v>20210628</v>
      </c>
      <c r="H75" s="402" t="inlineStr">
        <is>
          <t xml:space="preserve">20年保固 (3Φ220/380V) </t>
        </is>
      </c>
      <c r="I75" s="205" t="inlineStr">
        <is>
          <t>李旻珊 Vivi</t>
        </is>
      </c>
      <c r="J75" s="205" t="inlineStr">
        <is>
          <t>0972-981383</t>
        </is>
      </c>
      <c r="K75" s="841" t="inlineStr">
        <is>
          <t>Vivi.Li@cyberpower.com</t>
        </is>
      </c>
      <c r="L75" s="822" t="inlineStr">
        <is>
          <t>12input、3MPPT(4/4/4)</t>
        </is>
      </c>
    </row>
    <row r="76" hidden="1" ht="16.5" customHeight="1" s="1643">
      <c r="B76" s="213" t="inlineStr">
        <is>
          <t>台達電</t>
        </is>
      </c>
      <c r="C76" s="1523" t="inlineStr">
        <is>
          <t>H3_210</t>
        </is>
      </c>
      <c r="D76" s="1523" t="n">
        <v>3</v>
      </c>
      <c r="E76" s="2132">
        <f>F76/D76</f>
        <v/>
      </c>
      <c r="F76" s="2132" t="n">
        <v>42550</v>
      </c>
      <c r="G76" s="1523" t="n">
        <v>20200130</v>
      </c>
      <c r="H76" s="205" t="inlineStr">
        <is>
          <t>5年保固</t>
        </is>
      </c>
      <c r="I76" s="209" t="inlineStr">
        <is>
          <t>阿潘Chamber</t>
        </is>
      </c>
      <c r="J76" s="205" t="inlineStr">
        <is>
          <t>0938-300-828</t>
        </is>
      </c>
      <c r="K76" s="122" t="inlineStr">
        <is>
          <t>chamber@skwentex.net</t>
        </is>
      </c>
    </row>
    <row r="77" hidden="1" ht="16.5" customHeight="1" s="1643">
      <c r="B77" s="213" t="inlineStr">
        <is>
          <t>台達電</t>
        </is>
      </c>
      <c r="C77" s="1523" t="inlineStr">
        <is>
          <t>H5A_220</t>
        </is>
      </c>
      <c r="D77" s="1523" t="n">
        <v>5</v>
      </c>
      <c r="E77" s="2132">
        <f>F77/D77</f>
        <v/>
      </c>
      <c r="F77" s="2132" t="n">
        <v>48100</v>
      </c>
      <c r="G77" s="1523" t="n">
        <v>20200130</v>
      </c>
      <c r="H77" s="205" t="inlineStr">
        <is>
          <t>5年保固</t>
        </is>
      </c>
      <c r="I77" s="209" t="inlineStr">
        <is>
          <t>阿潘Chamber</t>
        </is>
      </c>
      <c r="J77" s="205" t="inlineStr">
        <is>
          <t>0938-300-828</t>
        </is>
      </c>
      <c r="K77" s="122" t="inlineStr">
        <is>
          <t>chamber@skwentex.net</t>
        </is>
      </c>
    </row>
    <row r="78" hidden="1" ht="16.5" customHeight="1" s="1643">
      <c r="B78" s="213" t="inlineStr">
        <is>
          <t>台達電</t>
        </is>
      </c>
      <c r="C78" s="1523" t="inlineStr">
        <is>
          <t>RPI-H5</t>
        </is>
      </c>
      <c r="D78" s="1523" t="n">
        <v>5</v>
      </c>
      <c r="E78" s="2132">
        <f>F78/D78</f>
        <v/>
      </c>
      <c r="F78" s="2132" t="n">
        <v>27000</v>
      </c>
      <c r="G78" s="1523" t="n">
        <v>20200130</v>
      </c>
      <c r="H78" s="205" t="inlineStr">
        <is>
          <t>5年保固</t>
        </is>
      </c>
      <c r="I78" s="209" t="inlineStr">
        <is>
          <t>阿潘Chamber</t>
        </is>
      </c>
      <c r="J78" s="205" t="inlineStr">
        <is>
          <t>0938-300-828</t>
        </is>
      </c>
      <c r="K78" s="122" t="inlineStr">
        <is>
          <t>chamber@skwentex.net</t>
        </is>
      </c>
    </row>
    <row r="79" hidden="1" ht="16.5" customHeight="1" s="1643">
      <c r="B79" s="213" t="inlineStr">
        <is>
          <t>台達電</t>
        </is>
      </c>
      <c r="C79" s="1523" t="inlineStr">
        <is>
          <t>RPI-M10</t>
        </is>
      </c>
      <c r="D79" s="1523" t="n">
        <v>10.5</v>
      </c>
      <c r="E79" s="2132">
        <f>F79/D79</f>
        <v/>
      </c>
      <c r="F79" s="2132" t="n">
        <v>50000</v>
      </c>
      <c r="G79" s="1523" t="n">
        <v>20200130</v>
      </c>
      <c r="H79" s="205" t="inlineStr">
        <is>
          <t>5年保固</t>
        </is>
      </c>
      <c r="I79" s="209" t="inlineStr">
        <is>
          <t>阿潘Chamber</t>
        </is>
      </c>
      <c r="J79" s="205" t="inlineStr">
        <is>
          <t>0938-300-828</t>
        </is>
      </c>
      <c r="K79" s="122" t="inlineStr">
        <is>
          <t>chamber@skwentex.net</t>
        </is>
      </c>
    </row>
    <row r="80" hidden="1" ht="16.5" customHeight="1" s="1643">
      <c r="B80" s="213" t="inlineStr">
        <is>
          <t>台達電</t>
        </is>
      </c>
      <c r="C80" s="1523" t="inlineStr">
        <is>
          <t>RPI-M10</t>
        </is>
      </c>
      <c r="D80" s="1523" t="n">
        <v>10.5</v>
      </c>
      <c r="E80" s="2132">
        <f>F80/D80</f>
        <v/>
      </c>
      <c r="F80" s="2132" t="n">
        <v>65000</v>
      </c>
      <c r="G80" s="1523" t="n">
        <v>20200130</v>
      </c>
      <c r="H80" s="205" t="inlineStr">
        <is>
          <t>10年保固</t>
        </is>
      </c>
      <c r="I80" s="209" t="inlineStr">
        <is>
          <t>阿潘Chamber</t>
        </is>
      </c>
      <c r="J80" s="205" t="inlineStr">
        <is>
          <t>0938-300-828</t>
        </is>
      </c>
      <c r="K80" s="122" t="inlineStr">
        <is>
          <t>chamber@skwentex.net</t>
        </is>
      </c>
    </row>
    <row r="81" hidden="1" ht="16.5" customHeight="1" s="1643">
      <c r="B81" s="213" t="inlineStr">
        <is>
          <t>台達電</t>
        </is>
      </c>
      <c r="C81" s="1523" t="inlineStr">
        <is>
          <t>RPI-M10</t>
        </is>
      </c>
      <c r="D81" s="1523" t="n">
        <v>10.5</v>
      </c>
      <c r="E81" s="2132">
        <f>F81/D81</f>
        <v/>
      </c>
      <c r="F81" s="2132" t="n">
        <v>102500</v>
      </c>
      <c r="G81" s="1523" t="n">
        <v>20200130</v>
      </c>
      <c r="H81" s="335" t="inlineStr">
        <is>
          <t>20年保固</t>
        </is>
      </c>
      <c r="I81" s="209" t="inlineStr">
        <is>
          <t>阿潘Chamber</t>
        </is>
      </c>
      <c r="J81" s="205" t="inlineStr">
        <is>
          <t>0938-300-828</t>
        </is>
      </c>
      <c r="K81" s="122" t="inlineStr">
        <is>
          <t>chamber@skwentex.net</t>
        </is>
      </c>
    </row>
    <row r="82" hidden="1" ht="16.5" customHeight="1" s="1643">
      <c r="B82" s="213" t="inlineStr">
        <is>
          <t>台達電</t>
        </is>
      </c>
      <c r="C82" s="1523" t="inlineStr">
        <is>
          <t>RPI-M20</t>
        </is>
      </c>
      <c r="D82" s="1523" t="n">
        <v>21</v>
      </c>
      <c r="E82" s="2132">
        <f>F82/D82</f>
        <v/>
      </c>
      <c r="F82" s="2132" t="n">
        <v>64000</v>
      </c>
      <c r="G82" s="1523" t="n">
        <v>20200130</v>
      </c>
      <c r="H82" s="205" t="inlineStr">
        <is>
          <t>5年保固</t>
        </is>
      </c>
      <c r="I82" s="209" t="inlineStr">
        <is>
          <t>阿潘Chamber</t>
        </is>
      </c>
      <c r="J82" s="205" t="inlineStr">
        <is>
          <t>0938-300-828</t>
        </is>
      </c>
      <c r="K82" s="122" t="inlineStr">
        <is>
          <t>chamber@skwentex.net</t>
        </is>
      </c>
    </row>
    <row r="83" hidden="1" ht="16.5" customHeight="1" s="1643">
      <c r="B83" s="213" t="inlineStr">
        <is>
          <t>台達電</t>
        </is>
      </c>
      <c r="C83" s="1523" t="inlineStr">
        <is>
          <t>RPI-M20</t>
        </is>
      </c>
      <c r="D83" s="1523" t="n">
        <v>21</v>
      </c>
      <c r="E83" s="2132">
        <f>F83/D83</f>
        <v/>
      </c>
      <c r="F83" s="2132" t="n">
        <v>83200</v>
      </c>
      <c r="G83" s="1523" t="n">
        <v>20200130</v>
      </c>
      <c r="H83" s="205" t="inlineStr">
        <is>
          <t>10年保固</t>
        </is>
      </c>
      <c r="I83" s="209" t="inlineStr">
        <is>
          <t>阿潘Chamber</t>
        </is>
      </c>
      <c r="J83" s="205" t="inlineStr">
        <is>
          <t>0938-300-828</t>
        </is>
      </c>
      <c r="K83" s="122" t="inlineStr">
        <is>
          <t>chamber@skwentex.net</t>
        </is>
      </c>
    </row>
    <row r="84" hidden="1" ht="16.5" customHeight="1" s="1643">
      <c r="B84" s="213" t="inlineStr">
        <is>
          <t>台達電</t>
        </is>
      </c>
      <c r="C84" s="1523" t="inlineStr">
        <is>
          <t>RPI-M20</t>
        </is>
      </c>
      <c r="D84" s="1523" t="n">
        <v>21</v>
      </c>
      <c r="E84" s="2132">
        <f>F84/D84</f>
        <v/>
      </c>
      <c r="F84" s="2132">
        <f>F82*2.05</f>
        <v/>
      </c>
      <c r="G84" s="1523" t="n">
        <v>20200130</v>
      </c>
      <c r="H84" s="335" t="inlineStr">
        <is>
          <t>20年保固</t>
        </is>
      </c>
      <c r="I84" s="209" t="inlineStr">
        <is>
          <t>阿潘Chamber</t>
        </is>
      </c>
      <c r="J84" s="205" t="inlineStr">
        <is>
          <t>0938-300-828</t>
        </is>
      </c>
      <c r="K84" s="122" t="inlineStr">
        <is>
          <t>chamber@skwentex.net</t>
        </is>
      </c>
    </row>
    <row r="85" hidden="1" ht="16.5" customHeight="1" s="1643">
      <c r="B85" s="213" t="inlineStr">
        <is>
          <t>台達電</t>
        </is>
      </c>
      <c r="C85" s="1523" t="inlineStr">
        <is>
          <t>RPI-M30_121</t>
        </is>
      </c>
      <c r="D85" s="1523" t="n">
        <v>33</v>
      </c>
      <c r="E85" s="2132">
        <f>F85/D85</f>
        <v/>
      </c>
      <c r="F85" s="1523" t="n">
        <v>72000</v>
      </c>
      <c r="G85" s="1523" t="n">
        <v>20200130</v>
      </c>
      <c r="H85" s="205" t="inlineStr">
        <is>
          <t>5年保固</t>
        </is>
      </c>
      <c r="I85" s="209" t="inlineStr">
        <is>
          <t>阿潘Chamber</t>
        </is>
      </c>
      <c r="J85" s="205" t="inlineStr">
        <is>
          <t>0938-300-828</t>
        </is>
      </c>
      <c r="K85" s="122" t="inlineStr">
        <is>
          <t>chamber@skwentex.net</t>
        </is>
      </c>
    </row>
    <row r="86" hidden="1" ht="16.5" customHeight="1" s="1643">
      <c r="B86" s="213" t="inlineStr">
        <is>
          <t>台達電</t>
        </is>
      </c>
      <c r="C86" s="1523" t="inlineStr">
        <is>
          <t>RPI-M30_121</t>
        </is>
      </c>
      <c r="D86" s="1523" t="n">
        <v>33</v>
      </c>
      <c r="E86" s="2132">
        <f>F86/D86</f>
        <v/>
      </c>
      <c r="F86" s="1523" t="n">
        <v>93600</v>
      </c>
      <c r="G86" s="1523" t="n">
        <v>20200130</v>
      </c>
      <c r="H86" s="205" t="inlineStr">
        <is>
          <t>10年保固</t>
        </is>
      </c>
      <c r="I86" s="209" t="inlineStr">
        <is>
          <t>阿潘Chamber</t>
        </is>
      </c>
      <c r="J86" s="205" t="inlineStr">
        <is>
          <t>0938-300-828</t>
        </is>
      </c>
      <c r="K86" s="122" t="inlineStr">
        <is>
          <t>chamber@skwentex.net</t>
        </is>
      </c>
    </row>
    <row r="87" hidden="1" ht="16.5" customHeight="1" s="1643">
      <c r="B87" s="213" t="inlineStr">
        <is>
          <t>台達電</t>
        </is>
      </c>
      <c r="C87" s="1523" t="inlineStr">
        <is>
          <t>RPI-M30_121</t>
        </is>
      </c>
      <c r="D87" s="1523" t="n">
        <v>33</v>
      </c>
      <c r="E87" s="2132">
        <f>F87/D87</f>
        <v/>
      </c>
      <c r="F87" s="1523">
        <f>F85*2.05</f>
        <v/>
      </c>
      <c r="G87" s="1523" t="n">
        <v>20200130</v>
      </c>
      <c r="H87" s="335" t="inlineStr">
        <is>
          <t>20年保固</t>
        </is>
      </c>
      <c r="I87" s="209" t="inlineStr">
        <is>
          <t>阿潘Chamber</t>
        </is>
      </c>
      <c r="J87" s="205" t="inlineStr">
        <is>
          <t>0938-300-828</t>
        </is>
      </c>
      <c r="K87" s="122" t="inlineStr">
        <is>
          <t>chamber@skwentex.net</t>
        </is>
      </c>
    </row>
    <row r="88" hidden="1" ht="16.5" customHeight="1" s="1643">
      <c r="B88" s="213" t="inlineStr">
        <is>
          <t>台達電</t>
        </is>
      </c>
      <c r="C88" s="1523" t="inlineStr">
        <is>
          <t>M70A_262</t>
        </is>
      </c>
      <c r="D88" s="1523" t="n">
        <v>70</v>
      </c>
      <c r="E88" s="2132">
        <f>F88/D88</f>
        <v/>
      </c>
      <c r="F88" s="1523" t="n">
        <v>150000</v>
      </c>
      <c r="G88" s="1523" t="n">
        <v>20200917</v>
      </c>
      <c r="H88" s="205" t="inlineStr">
        <is>
          <t xml:space="preserve">5年保固 (3Φ220/380V) </t>
        </is>
      </c>
      <c r="I88" s="209" t="inlineStr">
        <is>
          <t>阿潘Chamber</t>
        </is>
      </c>
      <c r="J88" s="205" t="inlineStr">
        <is>
          <t>0938-300-828</t>
        </is>
      </c>
      <c r="K88" s="841" t="inlineStr">
        <is>
          <t>chamber@skwentex.net</t>
        </is>
      </c>
      <c r="L88" s="207" t="n"/>
      <c r="M88" s="207" t="n"/>
      <c r="N88" s="207" t="n"/>
      <c r="O88" s="207" t="n"/>
    </row>
    <row r="89" hidden="1" ht="16.5" customHeight="1" s="1643">
      <c r="B89" s="213" t="inlineStr">
        <is>
          <t>台達電</t>
        </is>
      </c>
      <c r="C89" s="1523" t="inlineStr">
        <is>
          <t>M70A_262</t>
        </is>
      </c>
      <c r="D89" s="1523" t="n">
        <v>70</v>
      </c>
      <c r="E89" s="2132">
        <f>F89/D89</f>
        <v/>
      </c>
      <c r="F89" s="1523">
        <f>F88*1.95</f>
        <v/>
      </c>
      <c r="G89" s="1523" t="n">
        <v>20200917</v>
      </c>
      <c r="H89" s="335" t="inlineStr">
        <is>
          <t xml:space="preserve">20年保固  (3Φ220/380V) </t>
        </is>
      </c>
      <c r="I89" s="209" t="inlineStr">
        <is>
          <t>阿潘Chamber</t>
        </is>
      </c>
      <c r="J89" s="205" t="inlineStr">
        <is>
          <t>0938-300-828</t>
        </is>
      </c>
      <c r="K89" s="841" t="inlineStr">
        <is>
          <t>chamber@skwentex.net</t>
        </is>
      </c>
      <c r="L89" s="207" t="n"/>
      <c r="M89" s="207" t="n"/>
      <c r="N89" s="207" t="n"/>
      <c r="O89" s="207" t="n"/>
    </row>
    <row r="90" hidden="1" ht="16.5" customHeight="1" s="1643">
      <c r="B90" s="213" t="inlineStr">
        <is>
          <t>台達電</t>
        </is>
      </c>
      <c r="C90" s="1523" t="inlineStr">
        <is>
          <t>RPI-M88_122</t>
        </is>
      </c>
      <c r="D90" s="1523" t="n">
        <v>88</v>
      </c>
      <c r="E90" s="2132">
        <f>F90/D90</f>
        <v/>
      </c>
      <c r="F90" s="1523" t="n">
        <v>155000</v>
      </c>
      <c r="G90" s="1523" t="n">
        <v>20200107</v>
      </c>
      <c r="H90" s="205" t="inlineStr">
        <is>
          <t>5年保固(1~200M)</t>
        </is>
      </c>
      <c r="I90" s="209" t="inlineStr">
        <is>
          <t>阿潘Chamber</t>
        </is>
      </c>
      <c r="J90" s="205" t="inlineStr">
        <is>
          <t>0938-300-828</t>
        </is>
      </c>
      <c r="K90" s="122" t="inlineStr">
        <is>
          <t>chamber@skwentex.net</t>
        </is>
      </c>
    </row>
    <row r="91" hidden="1" ht="16.5" customHeight="1" s="1643">
      <c r="B91" s="213" t="inlineStr">
        <is>
          <t>台達電</t>
        </is>
      </c>
      <c r="C91" s="1523" t="inlineStr">
        <is>
          <t>RPI-M88_122</t>
        </is>
      </c>
      <c r="D91" s="1523" t="n">
        <v>88</v>
      </c>
      <c r="E91" s="2132">
        <f>F91/D91</f>
        <v/>
      </c>
      <c r="F91" s="1523">
        <f>F90*2</f>
        <v/>
      </c>
      <c r="G91" s="1523" t="n">
        <v>20200107</v>
      </c>
      <c r="H91" s="335" t="inlineStr">
        <is>
          <t>20年保固(1~200M)</t>
        </is>
      </c>
      <c r="I91" s="209" t="inlineStr">
        <is>
          <t>阿潘Chamber</t>
        </is>
      </c>
      <c r="J91" s="205" t="inlineStr">
        <is>
          <t>0938-300-828</t>
        </is>
      </c>
      <c r="K91" s="122" t="inlineStr">
        <is>
          <t>chamber@skwentex.net</t>
        </is>
      </c>
    </row>
    <row r="92" hidden="1" ht="16.5" customHeight="1" s="1643">
      <c r="B92" s="213" t="inlineStr">
        <is>
          <t>台達電</t>
        </is>
      </c>
      <c r="C92" s="1523" t="inlineStr">
        <is>
          <t>RPI-M100</t>
        </is>
      </c>
      <c r="D92" s="1523" t="n">
        <v>100</v>
      </c>
      <c r="E92" s="2132">
        <f>F92/D92</f>
        <v/>
      </c>
      <c r="F92" s="1523" t="n">
        <v>160000</v>
      </c>
      <c r="G92" s="1523" t="n">
        <v>20200107</v>
      </c>
      <c r="H92" s="205" t="inlineStr">
        <is>
          <t>5年保固(1~200M)</t>
        </is>
      </c>
      <c r="I92" s="209" t="inlineStr">
        <is>
          <t>阿潘Chamber</t>
        </is>
      </c>
      <c r="J92" s="205" t="inlineStr">
        <is>
          <t>0938-300-828</t>
        </is>
      </c>
      <c r="K92" s="122" t="inlineStr">
        <is>
          <t>chamber@skwentex.net</t>
        </is>
      </c>
    </row>
    <row r="93" hidden="1" ht="16.5" customHeight="1" s="1643">
      <c r="B93" s="213" t="inlineStr">
        <is>
          <t>台達電</t>
        </is>
      </c>
      <c r="C93" s="1523" t="inlineStr">
        <is>
          <t>RPI-M100</t>
        </is>
      </c>
      <c r="D93" s="1523" t="n">
        <v>100</v>
      </c>
      <c r="E93" s="2132">
        <f>F93/D93</f>
        <v/>
      </c>
      <c r="F93" s="1523">
        <f>F92*2</f>
        <v/>
      </c>
      <c r="G93" s="1523" t="n">
        <v>20200107</v>
      </c>
      <c r="H93" s="335" t="inlineStr">
        <is>
          <t>20年保固(1~200M)</t>
        </is>
      </c>
      <c r="I93" s="209" t="inlineStr">
        <is>
          <t>阿潘Chamber</t>
        </is>
      </c>
      <c r="J93" s="205" t="inlineStr">
        <is>
          <t>0938-300-828</t>
        </is>
      </c>
      <c r="K93" s="122" t="inlineStr">
        <is>
          <t>chamber@skwentex.net</t>
        </is>
      </c>
    </row>
    <row r="94" hidden="1" ht="16.5" customHeight="1" s="1643">
      <c r="A94" s="779" t="n"/>
      <c r="B94" s="1095" t="inlineStr">
        <is>
          <t>碩天</t>
        </is>
      </c>
      <c r="C94" s="1094" t="inlineStr">
        <is>
          <t>CPSPV55000ETL-WB</t>
        </is>
      </c>
      <c r="D94" s="1098" t="n">
        <v>55</v>
      </c>
      <c r="E94" s="2153" t="n">
        <v>1614.545454545455</v>
      </c>
      <c r="F94" s="2154" t="n">
        <v>88800</v>
      </c>
      <c r="G94" s="2155" t="n">
        <v>20220930</v>
      </c>
      <c r="H94" s="1099" t="inlineStr">
        <is>
          <t xml:space="preserve">5年保固 (3Φ220/380V) </t>
        </is>
      </c>
      <c r="I94" s="1096" t="inlineStr">
        <is>
          <t>李旻珊 Vivi</t>
        </is>
      </c>
      <c r="J94" s="1096" t="inlineStr">
        <is>
          <t>0956-805911</t>
        </is>
      </c>
      <c r="K94" s="1093" t="inlineStr">
        <is>
          <t>Vivi.Li@cyberpower.com</t>
        </is>
      </c>
    </row>
    <row r="95" hidden="1" ht="16.5" customHeight="1" s="1643">
      <c r="A95" s="779" t="n"/>
      <c r="B95" s="1095" t="inlineStr">
        <is>
          <t>碩天</t>
        </is>
      </c>
      <c r="C95" s="1094" t="inlineStr">
        <is>
          <t>CPSPV55000ETL-WB</t>
        </is>
      </c>
      <c r="D95" s="1098" t="n">
        <v>55</v>
      </c>
      <c r="E95" s="2153" t="n">
        <v>3390.909090909091</v>
      </c>
      <c r="F95" s="2154" t="n">
        <v>186500</v>
      </c>
      <c r="G95" s="2155" t="n">
        <v>20220930</v>
      </c>
      <c r="H95" s="1100" t="inlineStr">
        <is>
          <t xml:space="preserve">20年保固 (3Φ220/380V) </t>
        </is>
      </c>
      <c r="I95" s="1096" t="inlineStr">
        <is>
          <t>李旻珊 Vivi</t>
        </is>
      </c>
      <c r="J95" s="1096" t="inlineStr">
        <is>
          <t>0956-805911</t>
        </is>
      </c>
      <c r="K95" s="1093" t="inlineStr">
        <is>
          <t>Vivi.Li@cyberpower.com</t>
        </is>
      </c>
    </row>
    <row r="96" hidden="1" ht="16.5" customHeight="1" s="1643">
      <c r="A96" s="938" t="n"/>
      <c r="B96" s="203" t="inlineStr">
        <is>
          <t>碩天</t>
        </is>
      </c>
      <c r="C96" s="1523" t="inlineStr">
        <is>
          <t>CPSPV66000ETL-WB</t>
        </is>
      </c>
      <c r="D96" s="399" t="n">
        <v>66</v>
      </c>
      <c r="E96" s="2132">
        <f>F96/D96</f>
        <v/>
      </c>
      <c r="F96" s="2134" t="n">
        <v>89100</v>
      </c>
      <c r="G96" s="2133" t="n">
        <v>20210628</v>
      </c>
      <c r="H96" s="401" t="inlineStr">
        <is>
          <t xml:space="preserve">5年保固 (3Φ277/480V) </t>
        </is>
      </c>
      <c r="I96" s="205" t="inlineStr">
        <is>
          <t>李旻珊 Vivi</t>
        </is>
      </c>
      <c r="J96" s="205" t="inlineStr">
        <is>
          <t>0972-981383</t>
        </is>
      </c>
      <c r="K96" s="841" t="inlineStr">
        <is>
          <t>Vivi.Li@cyberpower.com</t>
        </is>
      </c>
    </row>
    <row r="97" hidden="1" ht="16.5" customHeight="1" s="1643">
      <c r="A97" s="938" t="n"/>
      <c r="B97" s="203" t="inlineStr">
        <is>
          <t>碩天</t>
        </is>
      </c>
      <c r="C97" s="1523" t="inlineStr">
        <is>
          <t>CPSPV66000ETL-WB</t>
        </is>
      </c>
      <c r="D97" s="399" t="n">
        <v>66</v>
      </c>
      <c r="E97" s="2132">
        <f>F97/D97</f>
        <v/>
      </c>
      <c r="F97" s="2137" t="n">
        <v>178200</v>
      </c>
      <c r="G97" s="2133" t="n">
        <v>20210628</v>
      </c>
      <c r="H97" s="402" t="inlineStr">
        <is>
          <t xml:space="preserve">20年保固 (3Φ277/480V) </t>
        </is>
      </c>
      <c r="I97" s="205" t="inlineStr">
        <is>
          <t>李旻珊 Vivi</t>
        </is>
      </c>
      <c r="J97" s="205" t="inlineStr">
        <is>
          <t>0972-981383</t>
        </is>
      </c>
      <c r="K97" s="841" t="inlineStr">
        <is>
          <t>Vivi.Li@cyberpower.com</t>
        </is>
      </c>
      <c r="L97" s="822" t="inlineStr">
        <is>
          <t>12input、3MPPT(4/4/4)</t>
        </is>
      </c>
    </row>
    <row r="98" hidden="1" ht="16.5" customHeight="1" s="1643">
      <c r="A98" s="938" t="n"/>
      <c r="B98" s="1095" t="inlineStr">
        <is>
          <t>碩天</t>
        </is>
      </c>
      <c r="C98" s="1094" t="inlineStr">
        <is>
          <t>CPSPV66000ETL-WB</t>
        </is>
      </c>
      <c r="D98" s="1098" t="n">
        <v>66</v>
      </c>
      <c r="E98" s="2150" t="n">
        <v>1457.575757575758</v>
      </c>
      <c r="F98" s="2151" t="n">
        <v>96200</v>
      </c>
      <c r="G98" s="2152" t="n">
        <v>20220930</v>
      </c>
      <c r="H98" s="1099" t="inlineStr">
        <is>
          <t xml:space="preserve">5年保固 (3Φ277/480V) </t>
        </is>
      </c>
      <c r="I98" s="1096" t="inlineStr">
        <is>
          <t>李旻珊 Vivi</t>
        </is>
      </c>
      <c r="J98" s="1089" t="inlineStr">
        <is>
          <t>0956-805911</t>
        </is>
      </c>
      <c r="K98" s="1088" t="inlineStr">
        <is>
          <t>Vivi.Li@cyberpower.com</t>
        </is>
      </c>
      <c r="L98" s="1103" t="n"/>
    </row>
    <row r="99" hidden="1" ht="16.5" customHeight="1" s="1643">
      <c r="A99" s="938" t="n"/>
      <c r="B99" s="1095" t="inlineStr">
        <is>
          <t>碩天</t>
        </is>
      </c>
      <c r="C99" s="1094" t="inlineStr">
        <is>
          <t>CPSPV66000ETL-WB</t>
        </is>
      </c>
      <c r="D99" s="1098" t="n">
        <v>66</v>
      </c>
      <c r="E99" s="2150" t="n">
        <v>3062.121212121212</v>
      </c>
      <c r="F99" s="2151" t="n">
        <v>202100</v>
      </c>
      <c r="G99" s="2152" t="n">
        <v>20220930</v>
      </c>
      <c r="H99" s="1100" t="inlineStr">
        <is>
          <t xml:space="preserve">20年保固 (3Φ277/480V) </t>
        </is>
      </c>
      <c r="I99" s="1096" t="inlineStr">
        <is>
          <t>李旻珊 Vivi</t>
        </is>
      </c>
      <c r="J99" s="1089" t="inlineStr">
        <is>
          <t>0956-805911</t>
        </is>
      </c>
      <c r="K99" s="1088" t="inlineStr">
        <is>
          <t>Vivi.Li@cyberpower.com</t>
        </is>
      </c>
      <c r="L99" s="1103" t="n"/>
    </row>
    <row r="100" hidden="1" ht="16.5" customHeight="1" s="1643">
      <c r="A100" s="1023" t="n"/>
      <c r="B100" s="213" t="inlineStr">
        <is>
          <t>台達電</t>
        </is>
      </c>
      <c r="C100" s="1523" t="inlineStr">
        <is>
          <t>H3_210</t>
        </is>
      </c>
      <c r="D100" s="1523" t="n">
        <v>3</v>
      </c>
      <c r="E100" s="2132">
        <f>F100/D100</f>
        <v/>
      </c>
      <c r="F100" s="2134" t="n">
        <v>23000</v>
      </c>
      <c r="G100" s="1523" t="n">
        <v>20210625</v>
      </c>
      <c r="H100" s="205" t="inlineStr">
        <is>
          <t xml:space="preserve">5年保固 (1Φ220V) </t>
        </is>
      </c>
      <c r="I100" s="209" t="inlineStr">
        <is>
          <t>阿潘Chamber</t>
        </is>
      </c>
      <c r="J100" s="205" t="inlineStr">
        <is>
          <t>0938-300-828</t>
        </is>
      </c>
      <c r="K100" s="841" t="inlineStr">
        <is>
          <t>chamber@skwentex.net</t>
        </is>
      </c>
      <c r="L100" s="207" t="n"/>
      <c r="M100" s="207" t="n"/>
      <c r="N100" s="207" t="n"/>
      <c r="O100" s="207" t="n"/>
    </row>
    <row r="101" hidden="1" ht="16.5" customHeight="1" s="1643">
      <c r="A101" s="1023" t="n"/>
      <c r="B101" s="213" t="inlineStr">
        <is>
          <t>台達電</t>
        </is>
      </c>
      <c r="C101" s="1523" t="inlineStr">
        <is>
          <t>H3_210</t>
        </is>
      </c>
      <c r="D101" s="1523" t="n">
        <v>3</v>
      </c>
      <c r="E101" s="2132">
        <f>F101/D101</f>
        <v/>
      </c>
      <c r="F101" s="2134" t="n">
        <v>42550</v>
      </c>
      <c r="G101" s="1523" t="n">
        <v>20210625</v>
      </c>
      <c r="H101" s="335" t="inlineStr">
        <is>
          <t xml:space="preserve">20年保固  (1Φ220V) </t>
        </is>
      </c>
      <c r="I101" s="209" t="inlineStr">
        <is>
          <t>阿潘Chamber</t>
        </is>
      </c>
      <c r="J101" s="205" t="inlineStr">
        <is>
          <t>0938-300-828</t>
        </is>
      </c>
      <c r="K101" s="841" t="inlineStr">
        <is>
          <t>chamber@skwentex.net</t>
        </is>
      </c>
      <c r="L101" s="207" t="n"/>
      <c r="M101" s="207" t="n"/>
      <c r="N101" s="207" t="n"/>
      <c r="O101" s="207" t="n"/>
    </row>
    <row r="102" hidden="1" ht="16.5" customHeight="1" s="1643">
      <c r="A102" s="1023" t="n"/>
      <c r="B102" s="213" t="inlineStr">
        <is>
          <t>台達電</t>
        </is>
      </c>
      <c r="C102" s="1523" t="inlineStr">
        <is>
          <t>H5A_220</t>
        </is>
      </c>
      <c r="D102" s="1523" t="n">
        <v>5</v>
      </c>
      <c r="E102" s="2132">
        <f>F102/D102</f>
        <v/>
      </c>
      <c r="F102" s="2134" t="n">
        <v>26000</v>
      </c>
      <c r="G102" s="1523" t="n">
        <v>20210625</v>
      </c>
      <c r="H102" s="205" t="inlineStr">
        <is>
          <t xml:space="preserve">5年保固 (1Φ220V) </t>
        </is>
      </c>
      <c r="I102" s="209" t="inlineStr">
        <is>
          <t>阿潘Chamber</t>
        </is>
      </c>
      <c r="J102" s="205" t="inlineStr">
        <is>
          <t>0938-300-828</t>
        </is>
      </c>
      <c r="K102" s="841" t="inlineStr">
        <is>
          <t>chamber@skwentex.net</t>
        </is>
      </c>
      <c r="L102" s="207" t="n"/>
      <c r="M102" s="207" t="n"/>
      <c r="N102" s="207" t="n"/>
      <c r="O102" s="207" t="n"/>
    </row>
    <row r="103" hidden="1" ht="16.5" customHeight="1" s="1643">
      <c r="A103" s="1023" t="n"/>
      <c r="B103" s="213" t="inlineStr">
        <is>
          <t>台達電</t>
        </is>
      </c>
      <c r="C103" s="1523" t="inlineStr">
        <is>
          <t>H5A_220</t>
        </is>
      </c>
      <c r="D103" s="1523" t="n">
        <v>5</v>
      </c>
      <c r="E103" s="2132">
        <f>F103/D103</f>
        <v/>
      </c>
      <c r="F103" s="2134" t="n">
        <v>48100</v>
      </c>
      <c r="G103" s="1523" t="n">
        <v>20210625</v>
      </c>
      <c r="H103" s="335" t="inlineStr">
        <is>
          <t xml:space="preserve">20年保固  (1Φ220V) </t>
        </is>
      </c>
      <c r="I103" s="209" t="inlineStr">
        <is>
          <t>阿潘Chamber</t>
        </is>
      </c>
      <c r="J103" s="205" t="inlineStr">
        <is>
          <t>0938-300-828</t>
        </is>
      </c>
      <c r="K103" s="841" t="inlineStr">
        <is>
          <t>chamber@skwentex.net</t>
        </is>
      </c>
      <c r="L103" s="207" t="n"/>
      <c r="M103" s="207" t="n"/>
      <c r="N103" s="207" t="n"/>
      <c r="O103" s="207" t="n"/>
    </row>
    <row r="104" hidden="1" ht="16.5" customHeight="1" s="1643">
      <c r="A104" s="1022" t="n"/>
      <c r="B104" s="213" t="inlineStr">
        <is>
          <t>台達電</t>
        </is>
      </c>
      <c r="C104" s="1523" t="inlineStr">
        <is>
          <t>RPI-M10A</t>
        </is>
      </c>
      <c r="D104" s="1523" t="n">
        <v>10</v>
      </c>
      <c r="E104" s="2132">
        <f>F104/D104</f>
        <v/>
      </c>
      <c r="F104" s="2134" t="n">
        <v>48000</v>
      </c>
      <c r="G104" s="1523" t="n">
        <v>20210625</v>
      </c>
      <c r="H104" s="205" t="inlineStr">
        <is>
          <t xml:space="preserve">5年保固 (3Φ220/380V) </t>
        </is>
      </c>
      <c r="I104" s="209" t="inlineStr">
        <is>
          <t>阿潘Chamber</t>
        </is>
      </c>
      <c r="J104" s="205" t="inlineStr">
        <is>
          <t>0938-300-828</t>
        </is>
      </c>
      <c r="K104" s="841" t="inlineStr">
        <is>
          <t>chamber@skwentex.net</t>
        </is>
      </c>
      <c r="L104" s="207" t="n"/>
      <c r="M104" s="207" t="n"/>
      <c r="N104" s="207" t="n"/>
      <c r="O104" s="207" t="n"/>
    </row>
    <row r="105" hidden="1" ht="16.5" customHeight="1" s="1643">
      <c r="A105" s="1022" t="n"/>
      <c r="B105" s="213" t="inlineStr">
        <is>
          <t>台達電</t>
        </is>
      </c>
      <c r="C105" s="1523" t="inlineStr">
        <is>
          <t>RPI-M10A</t>
        </is>
      </c>
      <c r="D105" s="1523" t="n">
        <v>10</v>
      </c>
      <c r="E105" s="2132">
        <f>F105/D105</f>
        <v/>
      </c>
      <c r="F105" s="2134" t="n">
        <v>88800</v>
      </c>
      <c r="G105" s="1523" t="n">
        <v>20210625</v>
      </c>
      <c r="H105" s="335" t="inlineStr">
        <is>
          <t xml:space="preserve">20年保固  (3Φ220/380V) </t>
        </is>
      </c>
      <c r="I105" s="209" t="inlineStr">
        <is>
          <t>阿潘Chamber</t>
        </is>
      </c>
      <c r="J105" s="205" t="inlineStr">
        <is>
          <t>0938-300-828</t>
        </is>
      </c>
      <c r="K105" s="841" t="inlineStr">
        <is>
          <t>chamber@skwentex.net</t>
        </is>
      </c>
      <c r="L105" s="207" t="n"/>
      <c r="M105" s="207" t="n"/>
      <c r="N105" s="207" t="n"/>
      <c r="O105" s="207" t="n"/>
    </row>
    <row r="106" hidden="1" ht="16.5" customHeight="1" s="1643">
      <c r="A106" s="1022" t="n"/>
      <c r="B106" s="213" t="inlineStr">
        <is>
          <t>台達電</t>
        </is>
      </c>
      <c r="C106" s="1523" t="inlineStr">
        <is>
          <t>M20A_220</t>
        </is>
      </c>
      <c r="D106" s="1523" t="n">
        <v>20</v>
      </c>
      <c r="E106" s="2132">
        <f>F106/D106</f>
        <v/>
      </c>
      <c r="F106" s="2134" t="n">
        <v>58000</v>
      </c>
      <c r="G106" s="1523" t="n">
        <v>20210625</v>
      </c>
      <c r="H106" s="205" t="inlineStr">
        <is>
          <t xml:space="preserve">5年保固 (3Φ220/380V) </t>
        </is>
      </c>
      <c r="I106" s="209" t="inlineStr">
        <is>
          <t>阿潘Chamber</t>
        </is>
      </c>
      <c r="J106" s="205" t="inlineStr">
        <is>
          <t>0938-300-828</t>
        </is>
      </c>
      <c r="K106" s="841" t="inlineStr">
        <is>
          <t>chamber@skwentex.net</t>
        </is>
      </c>
      <c r="L106" s="207" t="n"/>
      <c r="M106" s="207" t="n"/>
      <c r="N106" s="207" t="n"/>
      <c r="O106" s="207" t="n"/>
    </row>
    <row r="107" hidden="1" ht="16.5" customHeight="1" s="1643">
      <c r="A107" s="1022" t="n"/>
      <c r="B107" s="213" t="inlineStr">
        <is>
          <t>台達電</t>
        </is>
      </c>
      <c r="C107" s="1523" t="inlineStr">
        <is>
          <t>M20A_220</t>
        </is>
      </c>
      <c r="D107" s="1523" t="n">
        <v>20</v>
      </c>
      <c r="E107" s="2132">
        <f>F107/D107</f>
        <v/>
      </c>
      <c r="F107" s="2134" t="n">
        <v>107300</v>
      </c>
      <c r="G107" s="1523" t="n">
        <v>20210625</v>
      </c>
      <c r="H107" s="335" t="inlineStr">
        <is>
          <t xml:space="preserve">20年保固  (3Φ220/380V) </t>
        </is>
      </c>
      <c r="I107" s="209" t="inlineStr">
        <is>
          <t>阿潘Chamber</t>
        </is>
      </c>
      <c r="J107" s="205" t="inlineStr">
        <is>
          <t>0938-300-828</t>
        </is>
      </c>
      <c r="K107" s="841" t="inlineStr">
        <is>
          <t>chamber@skwentex.net</t>
        </is>
      </c>
      <c r="L107" s="207" t="n"/>
      <c r="M107" s="207" t="n"/>
      <c r="N107" s="207" t="n"/>
      <c r="O107" s="207" t="n"/>
    </row>
    <row r="108" hidden="1" ht="16.5" customHeight="1" s="1643">
      <c r="A108" s="1022" t="n"/>
      <c r="B108" s="1107" t="inlineStr">
        <is>
          <t>台達電</t>
        </is>
      </c>
      <c r="C108" s="1104" t="inlineStr">
        <is>
          <t>M20A_220</t>
        </is>
      </c>
      <c r="D108" s="1104" t="n">
        <v>20</v>
      </c>
      <c r="E108" s="2156" t="n">
        <v>3400</v>
      </c>
      <c r="F108" s="2157" t="n">
        <v>68000</v>
      </c>
      <c r="G108" s="1110" t="n">
        <v>20220927</v>
      </c>
      <c r="H108" s="1105" t="inlineStr">
        <is>
          <t xml:space="preserve">5年保固 (3Φ220/380V) </t>
        </is>
      </c>
      <c r="I108" s="1106" t="inlineStr">
        <is>
          <t>阿潘Chamber</t>
        </is>
      </c>
      <c r="J108" s="1105" t="inlineStr">
        <is>
          <t>0938-300-828</t>
        </is>
      </c>
      <c r="K108" s="1109" t="inlineStr">
        <is>
          <t>chamber@skwentex.net</t>
        </is>
      </c>
      <c r="L108" s="207" t="n"/>
      <c r="M108" s="207" t="n"/>
      <c r="N108" s="207" t="n"/>
      <c r="O108" s="207" t="n"/>
    </row>
    <row r="109" hidden="1" ht="16.5" customHeight="1" s="1643">
      <c r="A109" s="1022" t="n"/>
      <c r="B109" s="1107" t="inlineStr">
        <is>
          <t>台達電</t>
        </is>
      </c>
      <c r="C109" s="1104" t="inlineStr">
        <is>
          <t>M20A_220</t>
        </is>
      </c>
      <c r="D109" s="1104" t="n">
        <v>20</v>
      </c>
      <c r="E109" s="2156" t="n">
        <v>6800</v>
      </c>
      <c r="F109" s="2157" t="n">
        <v>136000</v>
      </c>
      <c r="G109" s="1110" t="n">
        <v>20220927</v>
      </c>
      <c r="H109" s="1108" t="inlineStr">
        <is>
          <t xml:space="preserve">20年保固  (3Φ220/380V) </t>
        </is>
      </c>
      <c r="I109" s="1106" t="inlineStr">
        <is>
          <t>阿潘Chamber</t>
        </is>
      </c>
      <c r="J109" s="1105" t="inlineStr">
        <is>
          <t>0938-300-828</t>
        </is>
      </c>
      <c r="K109" s="1109" t="inlineStr">
        <is>
          <t>chamber@skwentex.net</t>
        </is>
      </c>
      <c r="L109" s="207" t="n"/>
      <c r="M109" s="207" t="n"/>
      <c r="N109" s="207" t="n"/>
      <c r="O109" s="207" t="n"/>
    </row>
    <row r="110" hidden="1" ht="16.5" customHeight="1" s="1643">
      <c r="A110" s="1022" t="n"/>
      <c r="B110" s="213" t="inlineStr">
        <is>
          <t>台達電</t>
        </is>
      </c>
      <c r="C110" s="1523" t="inlineStr">
        <is>
          <t>M30A_230</t>
        </is>
      </c>
      <c r="D110" s="1523" t="n">
        <v>30</v>
      </c>
      <c r="E110" s="2132">
        <f>F110/D110</f>
        <v/>
      </c>
      <c r="F110" s="2134" t="n">
        <v>64000</v>
      </c>
      <c r="G110" s="1523" t="n">
        <v>20210625</v>
      </c>
      <c r="H110" s="205" t="inlineStr">
        <is>
          <t xml:space="preserve">5年保固 (3Φ220/380V) </t>
        </is>
      </c>
      <c r="I110" s="209" t="inlineStr">
        <is>
          <t>阿潘Chamber</t>
        </is>
      </c>
      <c r="J110" s="205" t="inlineStr">
        <is>
          <t>0938-300-828</t>
        </is>
      </c>
      <c r="K110" s="841" t="inlineStr">
        <is>
          <t>chamber@skwentex.net</t>
        </is>
      </c>
      <c r="L110" s="207" t="n"/>
      <c r="M110" s="207" t="n"/>
      <c r="N110" s="207" t="n"/>
      <c r="O110" s="207" t="n"/>
    </row>
    <row r="111" hidden="1" ht="16.5" customHeight="1" s="1643">
      <c r="A111" s="1022" t="n"/>
      <c r="B111" s="213" t="inlineStr">
        <is>
          <t>台達電</t>
        </is>
      </c>
      <c r="C111" s="1523" t="inlineStr">
        <is>
          <t>M30A_230</t>
        </is>
      </c>
      <c r="D111" s="1523" t="n">
        <v>30</v>
      </c>
      <c r="E111" s="2132">
        <f>F111/D111</f>
        <v/>
      </c>
      <c r="F111" s="2134" t="n">
        <v>118400</v>
      </c>
      <c r="G111" s="1523" t="n">
        <v>20210625</v>
      </c>
      <c r="H111" s="335" t="inlineStr">
        <is>
          <t xml:space="preserve">20年保固  (3Φ220/380V) </t>
        </is>
      </c>
      <c r="I111" s="209" t="inlineStr">
        <is>
          <t>阿潘Chamber</t>
        </is>
      </c>
      <c r="J111" s="205" t="inlineStr">
        <is>
          <t>0938-300-828</t>
        </is>
      </c>
      <c r="K111" s="841" t="inlineStr">
        <is>
          <t>chamber@skwentex.net</t>
        </is>
      </c>
      <c r="L111" s="207" t="n"/>
      <c r="M111" s="207" t="n"/>
      <c r="N111" s="207" t="n"/>
      <c r="O111" s="207" t="n"/>
    </row>
    <row r="112" hidden="1" ht="16.5" customHeight="1" s="1643">
      <c r="A112" s="1022" t="n"/>
      <c r="B112" s="1116" t="inlineStr">
        <is>
          <t>台達電</t>
        </is>
      </c>
      <c r="C112" s="1113" t="inlineStr">
        <is>
          <t>M30A_230</t>
        </is>
      </c>
      <c r="D112" s="1113" t="n">
        <v>30</v>
      </c>
      <c r="E112" s="2156" t="n">
        <v>2466.666666666667</v>
      </c>
      <c r="F112" s="2157" t="n">
        <v>74000</v>
      </c>
      <c r="G112" s="1110" t="n">
        <v>20220927</v>
      </c>
      <c r="H112" s="1114" t="inlineStr">
        <is>
          <t xml:space="preserve">5年保固 (3Φ220/380V) </t>
        </is>
      </c>
      <c r="I112" s="1115" t="inlineStr">
        <is>
          <t>阿潘Chamber</t>
        </is>
      </c>
      <c r="J112" s="1114" t="inlineStr">
        <is>
          <t>0938-300-828</t>
        </is>
      </c>
      <c r="K112" s="1109" t="inlineStr">
        <is>
          <t>chamber@skwentex.net</t>
        </is>
      </c>
      <c r="L112" s="207" t="n"/>
      <c r="M112" s="207" t="n"/>
      <c r="N112" s="207" t="n"/>
      <c r="O112" s="207" t="n"/>
    </row>
    <row r="113" hidden="1" ht="16.5" customHeight="1" s="1643">
      <c r="A113" s="1022" t="n"/>
      <c r="B113" s="1116" t="inlineStr">
        <is>
          <t>台達電</t>
        </is>
      </c>
      <c r="C113" s="1113" t="inlineStr">
        <is>
          <t>M30A_230</t>
        </is>
      </c>
      <c r="D113" s="1113" t="n">
        <v>30</v>
      </c>
      <c r="E113" s="2156" t="n">
        <v>4933.333333333333</v>
      </c>
      <c r="F113" s="2157" t="n">
        <v>148000</v>
      </c>
      <c r="G113" s="1110" t="n">
        <v>20220927</v>
      </c>
      <c r="H113" s="1117" t="inlineStr">
        <is>
          <t xml:space="preserve">20年保固  (3Φ220/380V) </t>
        </is>
      </c>
      <c r="I113" s="1115" t="inlineStr">
        <is>
          <t>阿潘Chamber</t>
        </is>
      </c>
      <c r="J113" s="1114" t="inlineStr">
        <is>
          <t>0938-300-828</t>
        </is>
      </c>
      <c r="K113" s="1109" t="inlineStr">
        <is>
          <t>chamber@skwentex.net</t>
        </is>
      </c>
      <c r="L113" s="207" t="n"/>
      <c r="M113" s="207" t="n"/>
      <c r="N113" s="207" t="n"/>
      <c r="O113" s="207" t="n"/>
    </row>
    <row r="114" hidden="1" ht="16.5" customHeight="1" s="1643">
      <c r="A114" s="1022" t="n"/>
      <c r="B114" s="213" t="inlineStr">
        <is>
          <t>台達電</t>
        </is>
      </c>
      <c r="C114" s="1523" t="inlineStr">
        <is>
          <t>M70A_262</t>
        </is>
      </c>
      <c r="D114" s="1523" t="n">
        <v>70</v>
      </c>
      <c r="E114" s="2132">
        <f>F114/D114</f>
        <v/>
      </c>
      <c r="F114" s="2134" t="n">
        <v>140000</v>
      </c>
      <c r="G114" s="1523" t="n">
        <v>20210625</v>
      </c>
      <c r="H114" s="205" t="inlineStr">
        <is>
          <t xml:space="preserve">5年保固 (3Φ220/380V) </t>
        </is>
      </c>
      <c r="I114" s="209" t="inlineStr">
        <is>
          <t>阿潘Chamber</t>
        </is>
      </c>
      <c r="J114" s="205" t="inlineStr">
        <is>
          <t>0938-300-828</t>
        </is>
      </c>
      <c r="K114" s="841" t="inlineStr">
        <is>
          <t>chamber@skwentex.net</t>
        </is>
      </c>
      <c r="L114" s="207" t="n"/>
      <c r="M114" s="207" t="n"/>
      <c r="N114" s="207" t="n"/>
      <c r="O114" s="207" t="n"/>
    </row>
    <row r="115" hidden="1" ht="16.5" customHeight="1" s="1643">
      <c r="A115" s="1022" t="n"/>
      <c r="B115" s="213" t="inlineStr">
        <is>
          <t>台達電</t>
        </is>
      </c>
      <c r="C115" s="1523" t="inlineStr">
        <is>
          <t>M70A_262</t>
        </is>
      </c>
      <c r="D115" s="1523" t="n">
        <v>70</v>
      </c>
      <c r="E115" s="2132">
        <f>F115/D115</f>
        <v/>
      </c>
      <c r="F115" s="2134">
        <f>F114*1.85</f>
        <v/>
      </c>
      <c r="G115" s="1523" t="n">
        <v>20210625</v>
      </c>
      <c r="H115" s="335" t="inlineStr">
        <is>
          <t xml:space="preserve">20年保固  (3Φ220/380V) </t>
        </is>
      </c>
      <c r="I115" s="209" t="inlineStr">
        <is>
          <t>阿潘Chamber</t>
        </is>
      </c>
      <c r="J115" s="205" t="inlineStr">
        <is>
          <t>0938-300-828</t>
        </is>
      </c>
      <c r="K115" s="841" t="inlineStr">
        <is>
          <t>chamber@skwentex.net</t>
        </is>
      </c>
      <c r="L115" s="207" t="n"/>
      <c r="M115" s="207" t="n"/>
      <c r="N115" s="207" t="n"/>
      <c r="O115" s="207" t="n"/>
    </row>
    <row r="116" hidden="1" ht="16.5" customHeight="1" s="1643">
      <c r="A116" s="1022" t="n"/>
      <c r="B116" s="1116" t="inlineStr">
        <is>
          <t>台達電</t>
        </is>
      </c>
      <c r="C116" s="1113" t="inlineStr">
        <is>
          <t>M70A_263</t>
        </is>
      </c>
      <c r="D116" s="1113" t="n">
        <v>70</v>
      </c>
      <c r="E116" s="2158" t="n">
        <v>2142.857142857143</v>
      </c>
      <c r="F116" s="2159" t="n">
        <v>150000</v>
      </c>
      <c r="G116" s="1494" t="n">
        <v>20220927</v>
      </c>
      <c r="H116" s="1114" t="inlineStr">
        <is>
          <t xml:space="preserve">5年保固 (3Φ220/380V) </t>
        </is>
      </c>
      <c r="I116" s="1115" t="inlineStr">
        <is>
          <t>阿潘Chamber</t>
        </is>
      </c>
      <c r="J116" s="1114" t="inlineStr">
        <is>
          <t>0938-300-828</t>
        </is>
      </c>
      <c r="K116" s="1119" t="inlineStr">
        <is>
          <t>chamber@skwentex.net</t>
        </is>
      </c>
      <c r="L116" s="207" t="n"/>
      <c r="M116" s="207" t="n"/>
      <c r="N116" s="207" t="n"/>
      <c r="O116" s="207" t="n"/>
    </row>
    <row r="117" hidden="1" ht="16.5" customHeight="1" s="1643">
      <c r="A117" s="1022" t="n"/>
      <c r="B117" s="1116" t="inlineStr">
        <is>
          <t>台達電</t>
        </is>
      </c>
      <c r="C117" s="1113" t="inlineStr">
        <is>
          <t>M70A_263</t>
        </is>
      </c>
      <c r="D117" s="1113" t="n">
        <v>70</v>
      </c>
      <c r="E117" s="2158" t="n">
        <v>4285.714285714285</v>
      </c>
      <c r="F117" s="2159" t="n">
        <v>300000</v>
      </c>
      <c r="G117" s="1494" t="n">
        <v>20220927</v>
      </c>
      <c r="H117" s="1117" t="inlineStr">
        <is>
          <t xml:space="preserve">20年保固  (3Φ220/380V) </t>
        </is>
      </c>
      <c r="I117" s="1115" t="inlineStr">
        <is>
          <t>阿潘Chamber</t>
        </is>
      </c>
      <c r="J117" s="1114" t="inlineStr">
        <is>
          <t>0938-300-828</t>
        </is>
      </c>
      <c r="K117" s="1119" t="inlineStr">
        <is>
          <t>chamber@skwentex.net</t>
        </is>
      </c>
      <c r="L117" s="207" t="n"/>
      <c r="M117" s="207" t="n"/>
      <c r="N117" s="207" t="n"/>
      <c r="O117" s="207" t="n"/>
    </row>
    <row r="118" hidden="1" ht="16.5" customHeight="1" s="1643">
      <c r="A118" s="1022" t="n"/>
      <c r="B118" s="213" t="inlineStr">
        <is>
          <t>台達電</t>
        </is>
      </c>
      <c r="C118" s="1523" t="inlineStr">
        <is>
          <t>M100_210</t>
        </is>
      </c>
      <c r="D118" s="1523" t="n">
        <v>100</v>
      </c>
      <c r="E118" s="2132">
        <f>F118/D118</f>
        <v/>
      </c>
      <c r="F118" s="2134" t="n">
        <v>145000</v>
      </c>
      <c r="G118" s="1523" t="n">
        <v>20210625</v>
      </c>
      <c r="H118" s="205" t="inlineStr">
        <is>
          <t xml:space="preserve">5年保固 (3Φ380V) </t>
        </is>
      </c>
      <c r="I118" s="209" t="inlineStr">
        <is>
          <t>阿潘Chamber</t>
        </is>
      </c>
      <c r="J118" s="205" t="inlineStr">
        <is>
          <t>0938-300-828</t>
        </is>
      </c>
      <c r="K118" s="841" t="inlineStr">
        <is>
          <t>chamber@skwentex.net</t>
        </is>
      </c>
      <c r="L118" s="207" t="n"/>
      <c r="M118" s="207" t="n"/>
      <c r="N118" s="207" t="n"/>
      <c r="O118" s="207" t="n"/>
    </row>
    <row r="119" hidden="1" ht="16.5" customHeight="1" s="1643">
      <c r="A119" s="1022" t="n"/>
      <c r="B119" s="213" t="inlineStr">
        <is>
          <t>台達電</t>
        </is>
      </c>
      <c r="C119" s="1523" t="inlineStr">
        <is>
          <t>M100_210</t>
        </is>
      </c>
      <c r="D119" s="1523" t="n">
        <v>100</v>
      </c>
      <c r="E119" s="2132">
        <f>F119/D119</f>
        <v/>
      </c>
      <c r="F119" s="2134" t="n">
        <v>268250</v>
      </c>
      <c r="G119" s="1523" t="n">
        <v>20210625</v>
      </c>
      <c r="H119" s="335" t="inlineStr">
        <is>
          <t xml:space="preserve">20年保固  (3Φ380V) </t>
        </is>
      </c>
      <c r="I119" s="209" t="inlineStr">
        <is>
          <t>阿潘Chamber</t>
        </is>
      </c>
      <c r="J119" s="205" t="inlineStr">
        <is>
          <t>0938-300-828</t>
        </is>
      </c>
      <c r="K119" s="841" t="inlineStr">
        <is>
          <t>chamber@skwentex.net</t>
        </is>
      </c>
      <c r="L119" s="207" t="n"/>
      <c r="M119" s="207" t="n"/>
      <c r="N119" s="207" t="n"/>
      <c r="O119" s="207" t="n"/>
    </row>
    <row r="120" hidden="1" ht="16.5" customHeight="1" s="1643">
      <c r="B120" s="212" t="inlineStr">
        <is>
          <t>ABB</t>
        </is>
      </c>
      <c r="C120" s="1523" t="inlineStr">
        <is>
          <t>TRIO.27.6</t>
        </is>
      </c>
      <c r="D120" s="1523" t="n">
        <v>27.6</v>
      </c>
      <c r="E120" s="2132">
        <f>F120/D120</f>
        <v/>
      </c>
      <c r="F120" s="2134" t="n">
        <v>120000</v>
      </c>
      <c r="G120" s="1523" t="n">
        <v>20180403</v>
      </c>
      <c r="H120" s="205" t="inlineStr">
        <is>
          <t>5年保固</t>
        </is>
      </c>
      <c r="I120" s="209" t="inlineStr">
        <is>
          <t>黃俐瑋rebecca</t>
        </is>
      </c>
      <c r="J120" s="205" t="inlineStr">
        <is>
          <t>0939-880-771</t>
        </is>
      </c>
      <c r="K120" s="122" t="inlineStr">
        <is>
          <t>rebecca@kysolar.com.tw</t>
        </is>
      </c>
    </row>
    <row r="121" hidden="1" ht="16.5" customHeight="1" s="1643">
      <c r="B121" s="212" t="inlineStr">
        <is>
          <t>ABB</t>
        </is>
      </c>
      <c r="C121" s="1523" t="inlineStr">
        <is>
          <t>TRIO.27.6</t>
        </is>
      </c>
      <c r="D121" s="1523" t="n">
        <v>27.6</v>
      </c>
      <c r="E121" s="2132">
        <f>F121/D121</f>
        <v/>
      </c>
      <c r="F121" s="2134" t="n">
        <v>126000</v>
      </c>
      <c r="G121" s="1523" t="n">
        <v>20180403</v>
      </c>
      <c r="H121" s="205" t="inlineStr">
        <is>
          <t>10年保固</t>
        </is>
      </c>
      <c r="I121" s="209" t="inlineStr">
        <is>
          <t>黃俐瑋rebecca</t>
        </is>
      </c>
      <c r="J121" s="205" t="inlineStr">
        <is>
          <t>0939-880-771</t>
        </is>
      </c>
      <c r="K121" s="122" t="inlineStr">
        <is>
          <t>rebecca@kysolar.com.tw</t>
        </is>
      </c>
    </row>
    <row r="122" hidden="1" ht="16.5" customHeight="1" s="1643">
      <c r="B122" s="212" t="inlineStr">
        <is>
          <t>ABB</t>
        </is>
      </c>
      <c r="C122" s="1523" t="inlineStr">
        <is>
          <t>TRIO 50 #1</t>
        </is>
      </c>
      <c r="D122" s="1523" t="n">
        <v>50</v>
      </c>
      <c r="E122" s="2132">
        <f>F122/D122</f>
        <v/>
      </c>
      <c r="F122" s="2134" t="n">
        <v>150000</v>
      </c>
      <c r="G122" s="1523" t="n">
        <v>20201102</v>
      </c>
      <c r="H122" s="205" t="inlineStr">
        <is>
          <t xml:space="preserve">5年保固 (3Φ400V±20%) </t>
        </is>
      </c>
      <c r="I122" s="209" t="inlineStr">
        <is>
          <t>Gina Lu 呂釩庭</t>
        </is>
      </c>
      <c r="J122" s="205" t="inlineStr">
        <is>
          <t>0931-039-380</t>
        </is>
      </c>
      <c r="K122" s="122" t="inlineStr">
        <is>
          <t>gina.lu@fimer.com</t>
        </is>
      </c>
    </row>
    <row r="123" hidden="1" ht="16.5" customHeight="1" s="1643">
      <c r="B123" s="212" t="inlineStr">
        <is>
          <t>ABB</t>
        </is>
      </c>
      <c r="C123" s="1523" t="inlineStr">
        <is>
          <t>TRIO 50 #1</t>
        </is>
      </c>
      <c r="D123" s="1523" t="n">
        <v>50</v>
      </c>
      <c r="E123" s="2132">
        <f>F123/D123</f>
        <v/>
      </c>
      <c r="F123" s="2134">
        <f>150000+25000</f>
        <v/>
      </c>
      <c r="G123" s="1523" t="n">
        <v>20201102</v>
      </c>
      <c r="H123" s="764" t="inlineStr">
        <is>
          <t xml:space="preserve">10年保固 (3Φ400V±20%) </t>
        </is>
      </c>
      <c r="I123" s="209" t="inlineStr">
        <is>
          <t>Gina Lu 呂釩庭</t>
        </is>
      </c>
      <c r="J123" s="205" t="inlineStr">
        <is>
          <t>0931-039-380</t>
        </is>
      </c>
      <c r="K123" s="122" t="inlineStr">
        <is>
          <t>gina.lu@fimer.com</t>
        </is>
      </c>
    </row>
    <row r="124" hidden="1" ht="16.5" customHeight="1" s="1643">
      <c r="B124" s="212" t="inlineStr">
        <is>
          <t>ABB</t>
        </is>
      </c>
      <c r="C124" s="1523" t="inlineStr">
        <is>
          <t>TRIO 50 #3</t>
        </is>
      </c>
      <c r="D124" s="1523" t="n">
        <v>50</v>
      </c>
      <c r="E124" s="2132">
        <f>F124/D124</f>
        <v/>
      </c>
      <c r="F124" s="2134" t="n">
        <v>130000</v>
      </c>
      <c r="G124" s="1523" t="n">
        <v>20201117</v>
      </c>
      <c r="H124" s="205" t="inlineStr">
        <is>
          <t xml:space="preserve">5年保固 (3Φ400V±20%) </t>
        </is>
      </c>
      <c r="I124" s="209" t="inlineStr">
        <is>
          <t>Gina Lu 呂釩庭</t>
        </is>
      </c>
      <c r="J124" s="205" t="inlineStr">
        <is>
          <t>0931-039-380</t>
        </is>
      </c>
      <c r="K124" s="122" t="inlineStr">
        <is>
          <t>gina.lu@fimer.com</t>
        </is>
      </c>
    </row>
    <row r="125" hidden="1" ht="16.5" customHeight="1" s="1643">
      <c r="B125" s="212" t="inlineStr">
        <is>
          <t>ABB</t>
        </is>
      </c>
      <c r="C125" s="1523" t="inlineStr">
        <is>
          <t>TRIO 50 #3</t>
        </is>
      </c>
      <c r="D125" s="1523" t="n">
        <v>50</v>
      </c>
      <c r="E125" s="2132">
        <f>F125/D125</f>
        <v/>
      </c>
      <c r="F125" s="2134">
        <f>154900+25000</f>
        <v/>
      </c>
      <c r="G125" s="1523" t="n">
        <v>20201112</v>
      </c>
      <c r="H125" s="764" t="inlineStr">
        <is>
          <t xml:space="preserve">10年保固  (3Φ400V±20%) </t>
        </is>
      </c>
      <c r="I125" s="209" t="inlineStr">
        <is>
          <t>Gina Lu 呂釩庭</t>
        </is>
      </c>
      <c r="J125" s="205" t="inlineStr">
        <is>
          <t>0931-039-380</t>
        </is>
      </c>
      <c r="K125" s="122" t="inlineStr">
        <is>
          <t>gina.lu@fimer.com</t>
        </is>
      </c>
    </row>
    <row r="126" hidden="1" ht="16.5" customHeight="1" s="1643">
      <c r="B126" s="212" t="inlineStr">
        <is>
          <t>ABB</t>
        </is>
      </c>
      <c r="C126" s="1523" t="inlineStr">
        <is>
          <t>TRIO 60 #1</t>
        </is>
      </c>
      <c r="D126" s="1523" t="n">
        <v>60</v>
      </c>
      <c r="E126" s="2132">
        <f>F126/D126</f>
        <v/>
      </c>
      <c r="F126" s="2134" t="n">
        <v>132900</v>
      </c>
      <c r="G126" s="1523" t="n">
        <v>20201102</v>
      </c>
      <c r="H126" s="205" t="inlineStr">
        <is>
          <t xml:space="preserve">5年保固 (3Φ480V±20%) </t>
        </is>
      </c>
      <c r="I126" s="209" t="inlineStr">
        <is>
          <t>Gina Lu 呂釩庭</t>
        </is>
      </c>
      <c r="J126" s="205" t="inlineStr">
        <is>
          <t>0931-039-380</t>
        </is>
      </c>
      <c r="K126" s="122" t="inlineStr">
        <is>
          <t>gina.lu@fimer.com</t>
        </is>
      </c>
    </row>
    <row r="127" hidden="1" ht="16.5" customHeight="1" s="1643">
      <c r="B127" s="212" t="inlineStr">
        <is>
          <t>ABB</t>
        </is>
      </c>
      <c r="C127" s="1523" t="inlineStr">
        <is>
          <t>TRIO 60 #1</t>
        </is>
      </c>
      <c r="D127" s="1523" t="n">
        <v>60</v>
      </c>
      <c r="E127" s="2132">
        <f>F127/D127</f>
        <v/>
      </c>
      <c r="F127" s="2134">
        <f>132900+30000</f>
        <v/>
      </c>
      <c r="G127" s="1523" t="n">
        <v>20201102</v>
      </c>
      <c r="H127" s="764" t="inlineStr">
        <is>
          <t xml:space="preserve">10年保固 (3Φ480V±20%) </t>
        </is>
      </c>
      <c r="I127" s="209" t="inlineStr">
        <is>
          <t>Gina Lu 呂釩庭</t>
        </is>
      </c>
      <c r="J127" s="205" t="inlineStr">
        <is>
          <t>0931-039-380</t>
        </is>
      </c>
      <c r="K127" s="122" t="inlineStr">
        <is>
          <t>gina.lu@fimer.com</t>
        </is>
      </c>
    </row>
    <row r="128" hidden="1" ht="16.5" customHeight="1" s="1643">
      <c r="B128" s="212" t="inlineStr">
        <is>
          <t>ABB</t>
        </is>
      </c>
      <c r="C128" s="1523" t="inlineStr">
        <is>
          <t>PVS 100</t>
        </is>
      </c>
      <c r="D128" s="1523" t="n">
        <v>100</v>
      </c>
      <c r="E128" s="2132">
        <f>F128/D128</f>
        <v/>
      </c>
      <c r="F128" s="2134" t="n">
        <v>220000</v>
      </c>
      <c r="G128" s="1523" t="n">
        <v>20201102</v>
      </c>
      <c r="H128" s="205" t="inlineStr">
        <is>
          <t>5年保固</t>
        </is>
      </c>
      <c r="I128" s="209" t="inlineStr">
        <is>
          <t>Gina Lu 呂釩庭</t>
        </is>
      </c>
      <c r="J128" s="205" t="inlineStr">
        <is>
          <t>0931-039-380</t>
        </is>
      </c>
      <c r="K128" s="122" t="inlineStr">
        <is>
          <t>gina.lu@fimer.com</t>
        </is>
      </c>
    </row>
    <row r="129" hidden="1" ht="16.5" customHeight="1" s="1643">
      <c r="B129" s="212" t="inlineStr">
        <is>
          <t>ABB</t>
        </is>
      </c>
      <c r="C129" s="1523" t="inlineStr">
        <is>
          <t>PVS 100</t>
        </is>
      </c>
      <c r="D129" s="1523" t="n">
        <v>100</v>
      </c>
      <c r="E129" s="2132">
        <f>F129/D129</f>
        <v/>
      </c>
      <c r="F129" s="2134">
        <f>220000+50000</f>
        <v/>
      </c>
      <c r="G129" s="1523" t="n">
        <v>20201102</v>
      </c>
      <c r="H129" s="764" t="inlineStr">
        <is>
          <t>10年保固</t>
        </is>
      </c>
      <c r="I129" s="209" t="inlineStr">
        <is>
          <t>Gina Lu 呂釩庭</t>
        </is>
      </c>
      <c r="J129" s="205" t="inlineStr">
        <is>
          <t>0931-039-380</t>
        </is>
      </c>
      <c r="K129" s="122" t="inlineStr">
        <is>
          <t>gina.lu@fimer.com</t>
        </is>
      </c>
    </row>
    <row r="130" hidden="1" ht="16.5" customHeight="1" s="1643">
      <c r="B130" s="212" t="inlineStr">
        <is>
          <t>ABB</t>
        </is>
      </c>
      <c r="C130" s="1523" t="inlineStr">
        <is>
          <t>PVS 120</t>
        </is>
      </c>
      <c r="D130" s="1523" t="n">
        <v>120</v>
      </c>
      <c r="E130" s="2132">
        <f>F130/D130</f>
        <v/>
      </c>
      <c r="F130" s="2134" t="n">
        <v>264000</v>
      </c>
      <c r="G130" s="1523" t="n">
        <v>20201102</v>
      </c>
      <c r="H130" s="205" t="inlineStr">
        <is>
          <t>5年保固</t>
        </is>
      </c>
      <c r="I130" s="209" t="inlineStr">
        <is>
          <t>Gina Lu 呂釩庭</t>
        </is>
      </c>
      <c r="J130" s="205" t="inlineStr">
        <is>
          <t>0931-039-380</t>
        </is>
      </c>
      <c r="K130" s="122" t="inlineStr">
        <is>
          <t>gina.lu@fimer.com</t>
        </is>
      </c>
    </row>
    <row r="131" hidden="1" ht="16.5" customHeight="1" s="1643">
      <c r="B131" s="212" t="inlineStr">
        <is>
          <t>ABB</t>
        </is>
      </c>
      <c r="C131" s="1523" t="inlineStr">
        <is>
          <t>PVS 120</t>
        </is>
      </c>
      <c r="D131" s="1523" t="n">
        <v>120</v>
      </c>
      <c r="E131" s="2132">
        <f>F131/D131</f>
        <v/>
      </c>
      <c r="F131" s="2134">
        <f>264000+60000</f>
        <v/>
      </c>
      <c r="G131" s="1523" t="n">
        <v>20201102</v>
      </c>
      <c r="H131" s="764" t="inlineStr">
        <is>
          <t>10年保固</t>
        </is>
      </c>
      <c r="I131" s="209" t="inlineStr">
        <is>
          <t>Gina Lu 呂釩庭</t>
        </is>
      </c>
      <c r="J131" s="205" t="inlineStr">
        <is>
          <t>0931-039-380</t>
        </is>
      </c>
      <c r="K131" s="122" t="inlineStr">
        <is>
          <t>gina.lu@fimer.com</t>
        </is>
      </c>
    </row>
    <row r="132" ht="16.5" customHeight="1" s="1643">
      <c r="B132" s="1137" t="inlineStr">
        <is>
          <t>新望</t>
        </is>
      </c>
      <c r="C132" s="1494" t="inlineStr">
        <is>
          <t>PV-10000T-U</t>
        </is>
      </c>
      <c r="D132" s="1494" t="n">
        <v>10</v>
      </c>
      <c r="E132" s="2160">
        <f>F132/D132</f>
        <v/>
      </c>
      <c r="F132" s="2159" t="n">
        <v>28000</v>
      </c>
      <c r="G132" s="1494" t="n">
        <v>20180726</v>
      </c>
      <c r="H132" s="205" t="inlineStr">
        <is>
          <t>5年保固</t>
        </is>
      </c>
      <c r="I132" s="209" t="inlineStr">
        <is>
          <t>黃琬如Ann</t>
        </is>
      </c>
      <c r="J132" s="209" t="n"/>
      <c r="K132" s="122" t="inlineStr">
        <is>
          <t>AnnHuang@apd.com.tw</t>
        </is>
      </c>
    </row>
    <row r="133" ht="16.5" customHeight="1" s="1643">
      <c r="B133" s="1137" t="inlineStr">
        <is>
          <t>新望</t>
        </is>
      </c>
      <c r="C133" s="1494" t="inlineStr">
        <is>
          <t>PV-10000T-U</t>
        </is>
      </c>
      <c r="D133" s="1494" t="n">
        <v>10</v>
      </c>
      <c r="E133" s="2160">
        <f>F133/D133</f>
        <v/>
      </c>
      <c r="F133" s="2159" t="n">
        <v>36400</v>
      </c>
      <c r="G133" s="1494" t="n">
        <v>20180726</v>
      </c>
      <c r="H133" s="205" t="inlineStr">
        <is>
          <t>10年保固</t>
        </is>
      </c>
      <c r="I133" s="209" t="inlineStr">
        <is>
          <t>黃琬如Ann</t>
        </is>
      </c>
      <c r="J133" s="209" t="n"/>
      <c r="K133" s="122" t="inlineStr">
        <is>
          <t>AnnHuang@apd.com.tw</t>
        </is>
      </c>
    </row>
    <row r="134" ht="16.5" customHeight="1" s="1643">
      <c r="B134" s="1137" t="inlineStr">
        <is>
          <t>新望</t>
        </is>
      </c>
      <c r="C134" s="1494" t="inlineStr">
        <is>
          <t>PV-10000T-U</t>
        </is>
      </c>
      <c r="D134" s="1494" t="n">
        <v>10</v>
      </c>
      <c r="E134" s="2160">
        <f>F134/D134</f>
        <v/>
      </c>
      <c r="F134" s="2159" t="n">
        <v>58800</v>
      </c>
      <c r="G134" s="1494" t="n">
        <v>20180726</v>
      </c>
      <c r="H134" s="335" t="inlineStr">
        <is>
          <t>20年保固</t>
        </is>
      </c>
      <c r="I134" s="209" t="inlineStr">
        <is>
          <t>黃琬如Ann</t>
        </is>
      </c>
      <c r="J134" s="209" t="n"/>
      <c r="K134" s="122" t="inlineStr">
        <is>
          <t>AnnHuang@apd.com.tw</t>
        </is>
      </c>
    </row>
    <row r="135" ht="16.5" customHeight="1" s="1643">
      <c r="B135" s="1137" t="inlineStr">
        <is>
          <t>新望</t>
        </is>
      </c>
      <c r="C135" s="1494" t="inlineStr">
        <is>
          <t>PV-20000T-U</t>
        </is>
      </c>
      <c r="D135" s="1494" t="n">
        <v>20</v>
      </c>
      <c r="E135" s="2160">
        <f>F135/D135</f>
        <v/>
      </c>
      <c r="F135" s="2159" t="n">
        <v>54000</v>
      </c>
      <c r="G135" s="1494" t="n">
        <v>20180726</v>
      </c>
      <c r="H135" s="205" t="inlineStr">
        <is>
          <t>5年保固</t>
        </is>
      </c>
      <c r="I135" s="209" t="inlineStr">
        <is>
          <t>黃琬如Ann</t>
        </is>
      </c>
      <c r="J135" s="209" t="n"/>
      <c r="K135" s="122" t="inlineStr">
        <is>
          <t>AnnHuang@apd.com.tw</t>
        </is>
      </c>
    </row>
    <row r="136" ht="16.5" customHeight="1" s="1643">
      <c r="B136" s="1137" t="inlineStr">
        <is>
          <t>新望</t>
        </is>
      </c>
      <c r="C136" s="1494" t="inlineStr">
        <is>
          <t>PV-20000T-U</t>
        </is>
      </c>
      <c r="D136" s="1494" t="n">
        <v>20</v>
      </c>
      <c r="E136" s="2160">
        <f>F136/D136</f>
        <v/>
      </c>
      <c r="F136" s="2159" t="n">
        <v>70200</v>
      </c>
      <c r="G136" s="1494" t="n">
        <v>20180726</v>
      </c>
      <c r="H136" s="205" t="inlineStr">
        <is>
          <t>10年保固</t>
        </is>
      </c>
      <c r="I136" s="209" t="inlineStr">
        <is>
          <t>黃琬如Ann</t>
        </is>
      </c>
      <c r="J136" s="209" t="n"/>
      <c r="K136" s="122" t="inlineStr">
        <is>
          <t>AnnHuang@apd.com.tw</t>
        </is>
      </c>
    </row>
    <row r="137" ht="16.5" customHeight="1" s="1643">
      <c r="B137" s="1137" t="inlineStr">
        <is>
          <t>新望</t>
        </is>
      </c>
      <c r="C137" s="1494" t="inlineStr">
        <is>
          <t>PV-20000T-U</t>
        </is>
      </c>
      <c r="D137" s="1494" t="n">
        <v>20</v>
      </c>
      <c r="E137" s="2160">
        <f>F137/D137</f>
        <v/>
      </c>
      <c r="F137" s="2159" t="n">
        <v>113400</v>
      </c>
      <c r="G137" s="1494" t="n">
        <v>20180726</v>
      </c>
      <c r="H137" s="335" t="inlineStr">
        <is>
          <t>20年保固</t>
        </is>
      </c>
      <c r="I137" s="209" t="inlineStr">
        <is>
          <t>黃琬如Ann</t>
        </is>
      </c>
      <c r="J137" s="209" t="n"/>
      <c r="K137" s="122" t="inlineStr">
        <is>
          <t>AnnHuang@apd.com.tw</t>
        </is>
      </c>
    </row>
    <row r="138" ht="16.5" customHeight="1" s="1643">
      <c r="B138" s="1137" t="inlineStr">
        <is>
          <t>新望</t>
        </is>
      </c>
      <c r="C138" s="1494" t="inlineStr">
        <is>
          <t>PV-30000T-U</t>
        </is>
      </c>
      <c r="D138" s="1494" t="n">
        <v>30</v>
      </c>
      <c r="E138" s="2160">
        <f>F138/D138</f>
        <v/>
      </c>
      <c r="F138" s="2159" t="n">
        <v>75000</v>
      </c>
      <c r="G138" s="1494" t="n">
        <v>20180726</v>
      </c>
      <c r="H138" s="205" t="inlineStr">
        <is>
          <t>5年保固</t>
        </is>
      </c>
      <c r="I138" s="209" t="inlineStr">
        <is>
          <t>黃琬如Ann</t>
        </is>
      </c>
      <c r="J138" s="209" t="n"/>
      <c r="K138" s="122" t="inlineStr">
        <is>
          <t>AnnHuang@apd.com.tw</t>
        </is>
      </c>
    </row>
    <row r="139" ht="16.5" customHeight="1" s="1643">
      <c r="B139" s="1137" t="inlineStr">
        <is>
          <t>新望</t>
        </is>
      </c>
      <c r="C139" s="1494" t="inlineStr">
        <is>
          <t>PV-30000T-U</t>
        </is>
      </c>
      <c r="D139" s="1494" t="n">
        <v>30</v>
      </c>
      <c r="E139" s="2160">
        <f>F139/D139</f>
        <v/>
      </c>
      <c r="F139" s="2159" t="n">
        <v>97500</v>
      </c>
      <c r="G139" s="1494" t="n">
        <v>20180726</v>
      </c>
      <c r="H139" s="205" t="inlineStr">
        <is>
          <t>10年保固</t>
        </is>
      </c>
      <c r="I139" s="209" t="inlineStr">
        <is>
          <t>黃琬如Ann</t>
        </is>
      </c>
      <c r="J139" s="209" t="n"/>
      <c r="K139" s="122" t="inlineStr">
        <is>
          <t>AnnHuang@apd.com.tw</t>
        </is>
      </c>
    </row>
    <row r="140" ht="16.5" customHeight="1" s="1643">
      <c r="B140" s="1137" t="inlineStr">
        <is>
          <t>新望</t>
        </is>
      </c>
      <c r="C140" s="1494" t="inlineStr">
        <is>
          <t>PV-30000T-U</t>
        </is>
      </c>
      <c r="D140" s="1494" t="n">
        <v>30</v>
      </c>
      <c r="E140" s="2160">
        <f>F140/D140</f>
        <v/>
      </c>
      <c r="F140" s="2159" t="n">
        <v>157500</v>
      </c>
      <c r="G140" s="1494" t="n">
        <v>20180726</v>
      </c>
      <c r="H140" s="335" t="inlineStr">
        <is>
          <t>20年保固</t>
        </is>
      </c>
      <c r="I140" s="209" t="inlineStr">
        <is>
          <t>黃琬如Ann</t>
        </is>
      </c>
      <c r="J140" s="209" t="n"/>
      <c r="K140" s="122" t="inlineStr">
        <is>
          <t>AnnHuang@apd.com.tw</t>
        </is>
      </c>
    </row>
    <row r="141" ht="16.5" customHeight="1" s="1643">
      <c r="A141" s="935" t="n"/>
      <c r="B141" s="1137" t="inlineStr">
        <is>
          <t>新望</t>
        </is>
      </c>
      <c r="C141" s="1494" t="inlineStr">
        <is>
          <t>PV-3000S-V</t>
        </is>
      </c>
      <c r="D141" s="1494" t="n">
        <v>3</v>
      </c>
      <c r="E141" s="2160">
        <f>F141/D141</f>
        <v/>
      </c>
      <c r="F141" s="2159" t="n">
        <v>12500</v>
      </c>
      <c r="G141" s="1494" t="n">
        <v>20230606</v>
      </c>
      <c r="H141" s="205" t="inlineStr">
        <is>
          <t xml:space="preserve">5年保固 (1Φ220V) </t>
        </is>
      </c>
      <c r="I141" s="209" t="inlineStr">
        <is>
          <t>王秀慧Mavis</t>
        </is>
      </c>
      <c r="J141" s="209" t="n"/>
      <c r="K141" s="122" t="inlineStr">
        <is>
          <t>Maviswang@apd.com.tw</t>
        </is>
      </c>
    </row>
    <row r="142" ht="16.5" customHeight="1" s="1643">
      <c r="A142" s="935" t="n"/>
      <c r="B142" s="1137" t="inlineStr">
        <is>
          <t>新望</t>
        </is>
      </c>
      <c r="C142" s="1494" t="inlineStr">
        <is>
          <t>PV-3000S-V</t>
        </is>
      </c>
      <c r="D142" s="1494" t="n">
        <v>3</v>
      </c>
      <c r="E142" s="2160">
        <f>F142/D142</f>
        <v/>
      </c>
      <c r="F142" s="2159">
        <f>F141*1.3</f>
        <v/>
      </c>
      <c r="G142" s="1494" t="n">
        <v>20230606</v>
      </c>
      <c r="H142" s="764" t="inlineStr">
        <is>
          <t xml:space="preserve">10年保固 (1Φ220V) </t>
        </is>
      </c>
      <c r="I142" s="209" t="inlineStr">
        <is>
          <t>王秀慧Mavis</t>
        </is>
      </c>
      <c r="J142" s="209" t="n"/>
      <c r="K142" s="122" t="inlineStr">
        <is>
          <t>Maviswang@apd.com.tw</t>
        </is>
      </c>
    </row>
    <row r="143" ht="16.5" customHeight="1" s="1643">
      <c r="A143" s="935" t="n"/>
      <c r="B143" s="1137" t="inlineStr">
        <is>
          <t>新望</t>
        </is>
      </c>
      <c r="C143" s="1494" t="inlineStr">
        <is>
          <t>PV-3000S-V</t>
        </is>
      </c>
      <c r="D143" s="1494" t="n">
        <v>3</v>
      </c>
      <c r="E143" s="2160">
        <f>F143/D143</f>
        <v/>
      </c>
      <c r="F143" s="2159">
        <f>F141*1.65</f>
        <v/>
      </c>
      <c r="G143" s="1494" t="n">
        <v>20230606</v>
      </c>
      <c r="H143" s="933" t="inlineStr">
        <is>
          <t xml:space="preserve">15年保固 (1Φ220V) </t>
        </is>
      </c>
      <c r="I143" s="209" t="inlineStr">
        <is>
          <t>王秀慧Mavis</t>
        </is>
      </c>
      <c r="J143" s="209" t="n"/>
      <c r="K143" s="122" t="inlineStr">
        <is>
          <t>Maviswang@apd.com.tw</t>
        </is>
      </c>
    </row>
    <row r="144" ht="16.5" customHeight="1" s="1643">
      <c r="A144" s="935" t="n"/>
      <c r="B144" s="1137" t="inlineStr">
        <is>
          <t>新望</t>
        </is>
      </c>
      <c r="C144" s="1494" t="inlineStr">
        <is>
          <t>PV-3000S-V</t>
        </is>
      </c>
      <c r="D144" s="1494" t="n">
        <v>3</v>
      </c>
      <c r="E144" s="2160">
        <f>F144/D144</f>
        <v/>
      </c>
      <c r="F144" s="2159">
        <f>F141*2</f>
        <v/>
      </c>
      <c r="G144" s="1494" t="n">
        <v>20230606</v>
      </c>
      <c r="H144" s="335" t="inlineStr">
        <is>
          <t xml:space="preserve">20年保固 (1Φ220V) </t>
        </is>
      </c>
      <c r="I144" s="209" t="inlineStr">
        <is>
          <t>王秀慧Mavis</t>
        </is>
      </c>
      <c r="J144" s="209" t="n"/>
      <c r="K144" s="122" t="inlineStr">
        <is>
          <t>Maviswang@apd.com.tw</t>
        </is>
      </c>
    </row>
    <row r="145" ht="16.5" customHeight="1" s="1643">
      <c r="A145" s="935" t="n"/>
      <c r="B145" s="1137" t="inlineStr">
        <is>
          <t>新望</t>
        </is>
      </c>
      <c r="C145" s="1494" t="inlineStr">
        <is>
          <t>PV-3600S-V</t>
        </is>
      </c>
      <c r="D145" s="1494" t="n">
        <v>3.6</v>
      </c>
      <c r="E145" s="2160">
        <f>F145/D145</f>
        <v/>
      </c>
      <c r="F145" s="2159" t="n">
        <v>13500</v>
      </c>
      <c r="G145" s="1494" t="n">
        <v>20230606</v>
      </c>
      <c r="H145" s="205" t="inlineStr">
        <is>
          <t xml:space="preserve">5年保固 (1Φ220V) </t>
        </is>
      </c>
      <c r="I145" s="209" t="inlineStr">
        <is>
          <t>王秀慧Mavis</t>
        </is>
      </c>
      <c r="J145" s="209" t="n"/>
      <c r="K145" s="122" t="inlineStr">
        <is>
          <t>Maviswang@apd.com.tw</t>
        </is>
      </c>
    </row>
    <row r="146" ht="16.5" customHeight="1" s="1643">
      <c r="A146" s="935" t="n"/>
      <c r="B146" s="1137" t="inlineStr">
        <is>
          <t>新望</t>
        </is>
      </c>
      <c r="C146" s="1494" t="inlineStr">
        <is>
          <t>PV-3600S-V</t>
        </is>
      </c>
      <c r="D146" s="1494" t="n">
        <v>3.6</v>
      </c>
      <c r="E146" s="2160">
        <f>F146/D146</f>
        <v/>
      </c>
      <c r="F146" s="2159">
        <f>F145*1.3</f>
        <v/>
      </c>
      <c r="G146" s="1494" t="n">
        <v>20230606</v>
      </c>
      <c r="H146" s="764" t="inlineStr">
        <is>
          <t xml:space="preserve">10年保固 (1Φ220V) </t>
        </is>
      </c>
      <c r="I146" s="209" t="inlineStr">
        <is>
          <t>王秀慧Mavis</t>
        </is>
      </c>
      <c r="J146" s="209" t="n"/>
      <c r="K146" s="122" t="inlineStr">
        <is>
          <t>Maviswang@apd.com.tw</t>
        </is>
      </c>
    </row>
    <row r="147" ht="16.5" customHeight="1" s="1643">
      <c r="A147" s="935" t="n"/>
      <c r="B147" s="1137" t="inlineStr">
        <is>
          <t>新望</t>
        </is>
      </c>
      <c r="C147" s="1494" t="inlineStr">
        <is>
          <t>PV-3600S-V</t>
        </is>
      </c>
      <c r="D147" s="1494" t="n">
        <v>3.6</v>
      </c>
      <c r="E147" s="2160">
        <f>F147/D147</f>
        <v/>
      </c>
      <c r="F147" s="2159">
        <f>F145*1.65</f>
        <v/>
      </c>
      <c r="G147" s="1494" t="n">
        <v>20230606</v>
      </c>
      <c r="H147" s="933" t="inlineStr">
        <is>
          <t xml:space="preserve">15年保固 (1Φ220V) </t>
        </is>
      </c>
      <c r="I147" s="209" t="inlineStr">
        <is>
          <t>王秀慧Mavis</t>
        </is>
      </c>
      <c r="J147" s="209" t="n"/>
      <c r="K147" s="122" t="inlineStr">
        <is>
          <t>Maviswang@apd.com.tw</t>
        </is>
      </c>
    </row>
    <row r="148" ht="16.5" customHeight="1" s="1643">
      <c r="A148" s="935" t="n"/>
      <c r="B148" s="1137" t="inlineStr">
        <is>
          <t>新望</t>
        </is>
      </c>
      <c r="C148" s="1494" t="inlineStr">
        <is>
          <t>PV-3600S-V</t>
        </is>
      </c>
      <c r="D148" s="1494" t="n">
        <v>3.6</v>
      </c>
      <c r="E148" s="2160">
        <f>F148/D148</f>
        <v/>
      </c>
      <c r="F148" s="2159">
        <f>F145*2</f>
        <v/>
      </c>
      <c r="G148" s="1494" t="n">
        <v>20230606</v>
      </c>
      <c r="H148" s="335" t="inlineStr">
        <is>
          <t xml:space="preserve">20年保固 (1Φ220V) </t>
        </is>
      </c>
      <c r="I148" s="209" t="inlineStr">
        <is>
          <t>王秀慧Mavis</t>
        </is>
      </c>
      <c r="J148" s="209" t="n"/>
      <c r="K148" s="122" t="inlineStr">
        <is>
          <t>Maviswang@apd.com.tw</t>
        </is>
      </c>
    </row>
    <row r="149" ht="16.5" customHeight="1" s="1643">
      <c r="A149" s="935" t="n"/>
      <c r="B149" s="1137" t="inlineStr">
        <is>
          <t>新望</t>
        </is>
      </c>
      <c r="C149" s="1494" t="inlineStr">
        <is>
          <t>PV-5000S-V</t>
        </is>
      </c>
      <c r="D149" s="1494" t="n">
        <v>5</v>
      </c>
      <c r="E149" s="2160">
        <f>F149/D149</f>
        <v/>
      </c>
      <c r="F149" s="2159" t="n">
        <v>16800</v>
      </c>
      <c r="G149" s="1494" t="n">
        <v>20230606</v>
      </c>
      <c r="H149" s="205" t="inlineStr">
        <is>
          <t xml:space="preserve">5年保固 (1Φ220V) </t>
        </is>
      </c>
      <c r="I149" s="209" t="inlineStr">
        <is>
          <t>王秀慧Mavis</t>
        </is>
      </c>
      <c r="J149" s="209" t="n"/>
      <c r="K149" s="122" t="inlineStr">
        <is>
          <t>Maviswang@apd.com.tw</t>
        </is>
      </c>
    </row>
    <row r="150" ht="16.5" customHeight="1" s="1643">
      <c r="A150" s="935" t="n"/>
      <c r="B150" s="1137" t="inlineStr">
        <is>
          <t>新望</t>
        </is>
      </c>
      <c r="C150" s="1494" t="inlineStr">
        <is>
          <t>PV-5000S-V</t>
        </is>
      </c>
      <c r="D150" s="1494" t="n">
        <v>5</v>
      </c>
      <c r="E150" s="2160">
        <f>F150/D150</f>
        <v/>
      </c>
      <c r="F150" s="2159">
        <f>F149*1.3</f>
        <v/>
      </c>
      <c r="G150" s="1494" t="n">
        <v>20230606</v>
      </c>
      <c r="H150" s="764" t="inlineStr">
        <is>
          <t xml:space="preserve">10年保固 (1Φ220V) </t>
        </is>
      </c>
      <c r="I150" s="209" t="inlineStr">
        <is>
          <t>王秀慧Mavis</t>
        </is>
      </c>
      <c r="J150" s="209" t="n"/>
      <c r="K150" s="122" t="inlineStr">
        <is>
          <t>Maviswang@apd.com.tw</t>
        </is>
      </c>
    </row>
    <row r="151" ht="16.5" customHeight="1" s="1643">
      <c r="A151" s="935" t="n"/>
      <c r="B151" s="1137" t="inlineStr">
        <is>
          <t>新望</t>
        </is>
      </c>
      <c r="C151" s="1494" t="inlineStr">
        <is>
          <t>PV-5000S-V</t>
        </is>
      </c>
      <c r="D151" s="1494" t="n">
        <v>5</v>
      </c>
      <c r="E151" s="2160">
        <f>F151/D151</f>
        <v/>
      </c>
      <c r="F151" s="2159">
        <f>F149*1.65</f>
        <v/>
      </c>
      <c r="G151" s="1494" t="n">
        <v>20230606</v>
      </c>
      <c r="H151" s="933" t="inlineStr">
        <is>
          <t xml:space="preserve">15年保固 (1Φ220V) </t>
        </is>
      </c>
      <c r="I151" s="209" t="inlineStr">
        <is>
          <t>王秀慧Mavis</t>
        </is>
      </c>
      <c r="J151" s="209" t="n"/>
      <c r="K151" s="122" t="inlineStr">
        <is>
          <t>Maviswang@apd.com.tw</t>
        </is>
      </c>
    </row>
    <row r="152" ht="16.5" customHeight="1" s="1643">
      <c r="A152" s="935" t="n"/>
      <c r="B152" s="1137" t="inlineStr">
        <is>
          <t>新望</t>
        </is>
      </c>
      <c r="C152" s="1494" t="inlineStr">
        <is>
          <t>PV-5000S-V</t>
        </is>
      </c>
      <c r="D152" s="1494" t="n">
        <v>5</v>
      </c>
      <c r="E152" s="2160">
        <f>F152/D152</f>
        <v/>
      </c>
      <c r="F152" s="2159">
        <f>F149*2</f>
        <v/>
      </c>
      <c r="G152" s="1494" t="n">
        <v>20230606</v>
      </c>
      <c r="H152" s="335" t="inlineStr">
        <is>
          <t xml:space="preserve">20年保固 (1Φ220V) </t>
        </is>
      </c>
      <c r="I152" s="209" t="inlineStr">
        <is>
          <t>王秀慧Mavis</t>
        </is>
      </c>
      <c r="J152" s="209" t="n"/>
      <c r="K152" s="122" t="inlineStr">
        <is>
          <t>Maviswang@apd.com.tw</t>
        </is>
      </c>
    </row>
    <row r="153" ht="16.5" customHeight="1" s="1643">
      <c r="A153" s="935" t="n"/>
      <c r="B153" s="1137" t="inlineStr">
        <is>
          <t>新望</t>
        </is>
      </c>
      <c r="C153" s="1494" t="inlineStr">
        <is>
          <t>PV-5000S-HV</t>
        </is>
      </c>
      <c r="D153" s="1494" t="n">
        <v>5</v>
      </c>
      <c r="E153" s="2160">
        <f>F153/D153</f>
        <v/>
      </c>
      <c r="F153" s="2159" t="n">
        <v>16800</v>
      </c>
      <c r="G153" s="1494" t="n">
        <v>20230606</v>
      </c>
      <c r="H153" s="205" t="inlineStr">
        <is>
          <t xml:space="preserve">5年保固 (1Φ220V) </t>
        </is>
      </c>
      <c r="I153" s="209" t="inlineStr">
        <is>
          <t>王秀慧Mavis</t>
        </is>
      </c>
      <c r="J153" s="209" t="n"/>
      <c r="K153" s="122" t="inlineStr">
        <is>
          <t>Maviswang@apd.com.tw</t>
        </is>
      </c>
    </row>
    <row r="154" ht="16.5" customHeight="1" s="1643">
      <c r="A154" s="935" t="n"/>
      <c r="B154" s="1137" t="inlineStr">
        <is>
          <t>新望</t>
        </is>
      </c>
      <c r="C154" s="1494" t="inlineStr">
        <is>
          <t>PV-5000S-HV</t>
        </is>
      </c>
      <c r="D154" s="1494" t="n">
        <v>5</v>
      </c>
      <c r="E154" s="2160">
        <f>F154/D154</f>
        <v/>
      </c>
      <c r="F154" s="2159">
        <f>F153*1.3</f>
        <v/>
      </c>
      <c r="G154" s="1494" t="n">
        <v>20230606</v>
      </c>
      <c r="H154" s="764" t="inlineStr">
        <is>
          <t xml:space="preserve">10年保固 (1Φ220V) </t>
        </is>
      </c>
      <c r="I154" s="209" t="inlineStr">
        <is>
          <t>王秀慧Mavis</t>
        </is>
      </c>
      <c r="J154" s="209" t="n"/>
      <c r="K154" s="122" t="inlineStr">
        <is>
          <t>Maviswang@apd.com.tw</t>
        </is>
      </c>
    </row>
    <row r="155" ht="16.5" customHeight="1" s="1643">
      <c r="A155" s="935" t="n"/>
      <c r="B155" s="1137" t="inlineStr">
        <is>
          <t>新望</t>
        </is>
      </c>
      <c r="C155" s="1494" t="inlineStr">
        <is>
          <t>PV-5000S-HV</t>
        </is>
      </c>
      <c r="D155" s="1494" t="n">
        <v>5</v>
      </c>
      <c r="E155" s="2160">
        <f>F155/D155</f>
        <v/>
      </c>
      <c r="F155" s="2159">
        <f>F153*1.65</f>
        <v/>
      </c>
      <c r="G155" s="1494" t="n">
        <v>20230606</v>
      </c>
      <c r="H155" s="933" t="inlineStr">
        <is>
          <t xml:space="preserve">15年保固 (1Φ220V) </t>
        </is>
      </c>
      <c r="I155" s="209" t="inlineStr">
        <is>
          <t>王秀慧Mavis</t>
        </is>
      </c>
      <c r="J155" s="209" t="n"/>
      <c r="K155" s="122" t="inlineStr">
        <is>
          <t>Maviswang@apd.com.tw</t>
        </is>
      </c>
    </row>
    <row r="156" ht="16.5" customHeight="1" s="1643">
      <c r="A156" s="935" t="n"/>
      <c r="B156" s="1137" t="inlineStr">
        <is>
          <t>新望</t>
        </is>
      </c>
      <c r="C156" s="1494" t="inlineStr">
        <is>
          <t>PV-5000S-HV</t>
        </is>
      </c>
      <c r="D156" s="1494" t="n">
        <v>5</v>
      </c>
      <c r="E156" s="2160">
        <f>F156/D156</f>
        <v/>
      </c>
      <c r="F156" s="2159">
        <f>F153*2</f>
        <v/>
      </c>
      <c r="G156" s="1494" t="n">
        <v>20230606</v>
      </c>
      <c r="H156" s="335" t="inlineStr">
        <is>
          <t xml:space="preserve">20年保固 (1Φ220V) </t>
        </is>
      </c>
      <c r="I156" s="209" t="inlineStr">
        <is>
          <t>王秀慧Mavis</t>
        </is>
      </c>
      <c r="J156" s="209" t="n"/>
      <c r="K156" s="122" t="inlineStr">
        <is>
          <t>Maviswang@apd.com.tw</t>
        </is>
      </c>
    </row>
    <row r="157" ht="16.5" customHeight="1" s="1643">
      <c r="A157" s="936" t="n"/>
      <c r="B157" s="1137" t="inlineStr">
        <is>
          <t>新望</t>
        </is>
      </c>
      <c r="C157" s="1494" t="inlineStr">
        <is>
          <t>PV-10000 T-U</t>
        </is>
      </c>
      <c r="D157" s="1494" t="n">
        <v>10</v>
      </c>
      <c r="E157" s="2160">
        <f>F157/D157</f>
        <v/>
      </c>
      <c r="F157" s="2159" t="n">
        <v>23500</v>
      </c>
      <c r="G157" s="1494" t="n">
        <v>20230606</v>
      </c>
      <c r="H157" s="205" t="inlineStr">
        <is>
          <t xml:space="preserve">5年保固 (3Φ220/380V) </t>
        </is>
      </c>
      <c r="I157" s="209" t="inlineStr">
        <is>
          <t>王秀慧Mavis</t>
        </is>
      </c>
      <c r="J157" s="209" t="n"/>
      <c r="K157" s="122" t="inlineStr">
        <is>
          <t>Maviswang@apd.com.tw</t>
        </is>
      </c>
    </row>
    <row r="158" ht="16.5" customHeight="1" s="1643">
      <c r="A158" s="936" t="n"/>
      <c r="B158" s="1137" t="inlineStr">
        <is>
          <t>新望</t>
        </is>
      </c>
      <c r="C158" s="1494" t="inlineStr">
        <is>
          <t>PV-10000 T-U</t>
        </is>
      </c>
      <c r="D158" s="1494" t="n">
        <v>10</v>
      </c>
      <c r="E158" s="2160">
        <f>F158/D158</f>
        <v/>
      </c>
      <c r="F158" s="2159">
        <f>F157*1.3</f>
        <v/>
      </c>
      <c r="G158" s="1494" t="n">
        <v>20230606</v>
      </c>
      <c r="H158" s="764" t="inlineStr">
        <is>
          <t xml:space="preserve">10年保固 (3Φ220/380V) </t>
        </is>
      </c>
      <c r="I158" s="209" t="inlineStr">
        <is>
          <t>王秀慧Mavis</t>
        </is>
      </c>
      <c r="J158" s="209" t="n"/>
      <c r="K158" s="122" t="inlineStr">
        <is>
          <t>Maviswang@apd.com.tw</t>
        </is>
      </c>
    </row>
    <row r="159" ht="16.5" customHeight="1" s="1643">
      <c r="A159" s="936" t="n"/>
      <c r="B159" s="1137" t="inlineStr">
        <is>
          <t>新望</t>
        </is>
      </c>
      <c r="C159" s="1494" t="inlineStr">
        <is>
          <t>PV-10000 T-U</t>
        </is>
      </c>
      <c r="D159" s="1494" t="n">
        <v>10</v>
      </c>
      <c r="E159" s="2160">
        <f>F159/D159</f>
        <v/>
      </c>
      <c r="F159" s="2159">
        <f>F157*1.65</f>
        <v/>
      </c>
      <c r="G159" s="1494" t="n">
        <v>20230606</v>
      </c>
      <c r="H159" s="933" t="inlineStr">
        <is>
          <t xml:space="preserve">15年保固 (3Φ220/380V) </t>
        </is>
      </c>
      <c r="I159" s="209" t="inlineStr">
        <is>
          <t>王秀慧Mavis</t>
        </is>
      </c>
      <c r="J159" s="209" t="n"/>
      <c r="K159" s="122" t="inlineStr">
        <is>
          <t>Maviswang@apd.com.tw</t>
        </is>
      </c>
    </row>
    <row r="160" ht="16.5" customHeight="1" s="1643">
      <c r="A160" s="936" t="n"/>
      <c r="B160" s="1137" t="inlineStr">
        <is>
          <t>新望</t>
        </is>
      </c>
      <c r="C160" s="1494" t="inlineStr">
        <is>
          <t>PV-10000 T-U</t>
        </is>
      </c>
      <c r="D160" s="1494" t="n">
        <v>10</v>
      </c>
      <c r="E160" s="2160">
        <f>F160/D160</f>
        <v/>
      </c>
      <c r="F160" s="2159">
        <f>F157*2</f>
        <v/>
      </c>
      <c r="G160" s="1494" t="n">
        <v>20230606</v>
      </c>
      <c r="H160" s="335" t="inlineStr">
        <is>
          <t xml:space="preserve">20年保固 (3Φ220/380V) </t>
        </is>
      </c>
      <c r="I160" s="209" t="inlineStr">
        <is>
          <t>王秀慧Mavis</t>
        </is>
      </c>
      <c r="J160" s="209" t="n"/>
      <c r="K160" s="122" t="inlineStr">
        <is>
          <t>Maviswang@apd.com.tw</t>
        </is>
      </c>
    </row>
    <row r="161" ht="16.5" customHeight="1" s="1643">
      <c r="A161" s="936" t="n"/>
      <c r="B161" s="1137" t="inlineStr">
        <is>
          <t>新望</t>
        </is>
      </c>
      <c r="C161" s="1494" t="inlineStr">
        <is>
          <t>PV-15000 T-U</t>
        </is>
      </c>
      <c r="D161" s="1494" t="n">
        <v>15</v>
      </c>
      <c r="E161" s="2160">
        <f>F161/D161</f>
        <v/>
      </c>
      <c r="F161" s="2159" t="n">
        <v>34500</v>
      </c>
      <c r="G161" s="1494" t="n">
        <v>20230606</v>
      </c>
      <c r="H161" s="205" t="inlineStr">
        <is>
          <t xml:space="preserve">5年保固 (3Φ220/380V) </t>
        </is>
      </c>
      <c r="I161" s="209" t="inlineStr">
        <is>
          <t>王秀慧Mavis</t>
        </is>
      </c>
      <c r="J161" s="209" t="n"/>
      <c r="K161" s="122" t="inlineStr">
        <is>
          <t>Maviswang@apd.com.tw</t>
        </is>
      </c>
    </row>
    <row r="162" ht="16.5" customHeight="1" s="1643">
      <c r="A162" s="936" t="n"/>
      <c r="B162" s="1137" t="inlineStr">
        <is>
          <t>新望</t>
        </is>
      </c>
      <c r="C162" s="1494" t="inlineStr">
        <is>
          <t>PV-15000 T-U</t>
        </is>
      </c>
      <c r="D162" s="1494" t="n">
        <v>15</v>
      </c>
      <c r="E162" s="2160">
        <f>F162/D162</f>
        <v/>
      </c>
      <c r="F162" s="2159">
        <f>F161*1.3</f>
        <v/>
      </c>
      <c r="G162" s="1494" t="n">
        <v>20230606</v>
      </c>
      <c r="H162" s="764" t="inlineStr">
        <is>
          <t xml:space="preserve">10年保固 (3Φ220/380V) </t>
        </is>
      </c>
      <c r="I162" s="209" t="inlineStr">
        <is>
          <t>王秀慧Mavis</t>
        </is>
      </c>
      <c r="J162" s="209" t="n"/>
      <c r="K162" s="122" t="inlineStr">
        <is>
          <t>Maviswang@apd.com.tw</t>
        </is>
      </c>
    </row>
    <row r="163" ht="16.5" customHeight="1" s="1643">
      <c r="A163" s="936" t="n"/>
      <c r="B163" s="1137" t="inlineStr">
        <is>
          <t>新望</t>
        </is>
      </c>
      <c r="C163" s="1494" t="inlineStr">
        <is>
          <t>PV-15000 T-U</t>
        </is>
      </c>
      <c r="D163" s="1494" t="n">
        <v>15</v>
      </c>
      <c r="E163" s="2160">
        <f>F163/D163</f>
        <v/>
      </c>
      <c r="F163" s="2159">
        <f>F161*1.65</f>
        <v/>
      </c>
      <c r="G163" s="1494" t="n">
        <v>20230606</v>
      </c>
      <c r="H163" s="933" t="inlineStr">
        <is>
          <t xml:space="preserve">15年保固 (3Φ220/380V) </t>
        </is>
      </c>
      <c r="I163" s="209" t="inlineStr">
        <is>
          <t>王秀慧Mavis</t>
        </is>
      </c>
      <c r="J163" s="209" t="n"/>
      <c r="K163" s="122" t="inlineStr">
        <is>
          <t>Maviswang@apd.com.tw</t>
        </is>
      </c>
      <c r="M163" s="2161" t="n"/>
    </row>
    <row r="164" ht="16.5" customHeight="1" s="1643">
      <c r="A164" s="936" t="n"/>
      <c r="B164" s="1137" t="inlineStr">
        <is>
          <t>新望</t>
        </is>
      </c>
      <c r="C164" s="1494" t="inlineStr">
        <is>
          <t>PV-15000 T-U</t>
        </is>
      </c>
      <c r="D164" s="1494" t="n">
        <v>15</v>
      </c>
      <c r="E164" s="2160">
        <f>F164/D164</f>
        <v/>
      </c>
      <c r="F164" s="2159">
        <f>F161*2</f>
        <v/>
      </c>
      <c r="G164" s="1494" t="n">
        <v>20230606</v>
      </c>
      <c r="H164" s="335" t="inlineStr">
        <is>
          <t xml:space="preserve">20年保固 (3Φ220/380V) </t>
        </is>
      </c>
      <c r="I164" s="209" t="inlineStr">
        <is>
          <t>王秀慧Mavis</t>
        </is>
      </c>
      <c r="J164" s="209" t="n"/>
      <c r="K164" s="122" t="inlineStr">
        <is>
          <t>Maviswang@apd.com.tw</t>
        </is>
      </c>
    </row>
    <row r="165" ht="16.5" customHeight="1" s="1643">
      <c r="A165" s="936" t="n"/>
      <c r="B165" s="1137" t="inlineStr">
        <is>
          <t>新望</t>
        </is>
      </c>
      <c r="C165" s="1494" t="inlineStr">
        <is>
          <t>PV-22000 S-U</t>
        </is>
      </c>
      <c r="D165" s="1494" t="n">
        <v>22</v>
      </c>
      <c r="E165" s="2160">
        <f>F165/D165</f>
        <v/>
      </c>
      <c r="F165" s="2159" t="n">
        <v>45000</v>
      </c>
      <c r="G165" s="1494" t="n">
        <v>20230606</v>
      </c>
      <c r="H165" s="205" t="inlineStr">
        <is>
          <t xml:space="preserve">5年保固 (3Φ220/380V) </t>
        </is>
      </c>
      <c r="I165" s="209" t="inlineStr">
        <is>
          <t>王秀慧Mavis</t>
        </is>
      </c>
      <c r="J165" s="209" t="n"/>
      <c r="K165" s="122" t="inlineStr">
        <is>
          <t>Maviswang@apd.com.tw</t>
        </is>
      </c>
    </row>
    <row r="166" ht="16.5" customHeight="1" s="1643">
      <c r="A166" s="936" t="n"/>
      <c r="B166" s="1137" t="inlineStr">
        <is>
          <t>新望</t>
        </is>
      </c>
      <c r="C166" s="1494" t="inlineStr">
        <is>
          <t>PV-22000 S-U</t>
        </is>
      </c>
      <c r="D166" s="1494" t="n">
        <v>22</v>
      </c>
      <c r="E166" s="2160">
        <f>F166/D166</f>
        <v/>
      </c>
      <c r="F166" s="2159">
        <f>F165*1.3</f>
        <v/>
      </c>
      <c r="G166" s="1494" t="n">
        <v>20230606</v>
      </c>
      <c r="H166" s="764" t="inlineStr">
        <is>
          <t xml:space="preserve">10年保固 (3Φ220/380V) </t>
        </is>
      </c>
      <c r="I166" s="209" t="inlineStr">
        <is>
          <t>王秀慧Mavis</t>
        </is>
      </c>
      <c r="J166" s="209" t="n"/>
      <c r="K166" s="122" t="inlineStr">
        <is>
          <t>Maviswang@apd.com.tw</t>
        </is>
      </c>
    </row>
    <row r="167" ht="16.5" customHeight="1" s="1643">
      <c r="A167" s="936" t="n"/>
      <c r="B167" s="1137" t="inlineStr">
        <is>
          <t>新望</t>
        </is>
      </c>
      <c r="C167" s="1494" t="inlineStr">
        <is>
          <t>PV-22000 S-U</t>
        </is>
      </c>
      <c r="D167" s="1494" t="n">
        <v>22</v>
      </c>
      <c r="E167" s="2160">
        <f>F167/D167</f>
        <v/>
      </c>
      <c r="F167" s="2159">
        <f>F165*1.65</f>
        <v/>
      </c>
      <c r="G167" s="1494" t="n">
        <v>20230606</v>
      </c>
      <c r="H167" s="933" t="inlineStr">
        <is>
          <t xml:space="preserve">15年保固 (3Φ220/380V) </t>
        </is>
      </c>
      <c r="I167" s="209" t="inlineStr">
        <is>
          <t>王秀慧Mavis</t>
        </is>
      </c>
      <c r="J167" s="209" t="n"/>
      <c r="K167" s="122" t="inlineStr">
        <is>
          <t>Maviswang@apd.com.tw</t>
        </is>
      </c>
    </row>
    <row r="168" ht="16.5" customHeight="1" s="1643">
      <c r="A168" s="936" t="n"/>
      <c r="B168" s="1137" t="inlineStr">
        <is>
          <t>新望</t>
        </is>
      </c>
      <c r="C168" s="1494" t="inlineStr">
        <is>
          <t>PV-22000 S-U</t>
        </is>
      </c>
      <c r="D168" s="1494" t="n">
        <v>22</v>
      </c>
      <c r="E168" s="2160">
        <f>F168/D168</f>
        <v/>
      </c>
      <c r="F168" s="2159">
        <f>F165*2</f>
        <v/>
      </c>
      <c r="G168" s="1494" t="n">
        <v>20230606</v>
      </c>
      <c r="H168" s="335" t="inlineStr">
        <is>
          <t xml:space="preserve">20年保固 (3Φ220/380V) </t>
        </is>
      </c>
      <c r="I168" s="209" t="inlineStr">
        <is>
          <t>王秀慧Mavis</t>
        </is>
      </c>
      <c r="J168" s="209" t="n"/>
      <c r="K168" s="122" t="inlineStr">
        <is>
          <t>Maviswang@apd.com.tw</t>
        </is>
      </c>
    </row>
    <row r="169" ht="16.5" customHeight="1" s="1643">
      <c r="A169" s="936" t="n"/>
      <c r="B169" s="1137" t="inlineStr">
        <is>
          <t>新望</t>
        </is>
      </c>
      <c r="C169" s="1494" t="inlineStr">
        <is>
          <t>PV-30000 S-U</t>
        </is>
      </c>
      <c r="D169" s="1494" t="n">
        <v>30</v>
      </c>
      <c r="E169" s="2160">
        <f>F169/D169</f>
        <v/>
      </c>
      <c r="F169" s="2159" t="n">
        <v>49800</v>
      </c>
      <c r="G169" s="1494" t="n">
        <v>20230606</v>
      </c>
      <c r="H169" s="205" t="inlineStr">
        <is>
          <t xml:space="preserve">5年保固 (3Φ220/380V) </t>
        </is>
      </c>
      <c r="I169" s="209" t="inlineStr">
        <is>
          <t>王秀慧Mavis</t>
        </is>
      </c>
      <c r="J169" s="209" t="n"/>
      <c r="K169" s="122" t="inlineStr">
        <is>
          <t>Maviswang@apd.com.tw</t>
        </is>
      </c>
    </row>
    <row r="170" ht="16.5" customHeight="1" s="1643">
      <c r="A170" s="936" t="n"/>
      <c r="B170" s="1137" t="inlineStr">
        <is>
          <t>新望</t>
        </is>
      </c>
      <c r="C170" s="1494" t="inlineStr">
        <is>
          <t>PV-30000 S-U</t>
        </is>
      </c>
      <c r="D170" s="1494" t="n">
        <v>30</v>
      </c>
      <c r="E170" s="2160">
        <f>F170/D170</f>
        <v/>
      </c>
      <c r="F170" s="2159">
        <f>F169*1.3</f>
        <v/>
      </c>
      <c r="G170" s="1494" t="n">
        <v>20230606</v>
      </c>
      <c r="H170" s="764" t="inlineStr">
        <is>
          <t xml:space="preserve">10年保固 (3Φ220/380V) </t>
        </is>
      </c>
      <c r="I170" s="209" t="inlineStr">
        <is>
          <t>王秀慧Mavis</t>
        </is>
      </c>
      <c r="J170" s="209" t="n"/>
      <c r="K170" s="122" t="inlineStr">
        <is>
          <t>Maviswang@apd.com.tw</t>
        </is>
      </c>
    </row>
    <row r="171" ht="16.5" customHeight="1" s="1643">
      <c r="A171" s="936" t="n"/>
      <c r="B171" s="1137" t="inlineStr">
        <is>
          <t>新望</t>
        </is>
      </c>
      <c r="C171" s="1494" t="inlineStr">
        <is>
          <t>PV-30000 S-U</t>
        </is>
      </c>
      <c r="D171" s="1494" t="n">
        <v>30</v>
      </c>
      <c r="E171" s="2160">
        <f>F171/D171</f>
        <v/>
      </c>
      <c r="F171" s="2159">
        <f>F169*1.65</f>
        <v/>
      </c>
      <c r="G171" s="1494" t="n">
        <v>20230606</v>
      </c>
      <c r="H171" s="933" t="inlineStr">
        <is>
          <t xml:space="preserve">15年保固 (3Φ220/380V) </t>
        </is>
      </c>
      <c r="I171" s="209" t="inlineStr">
        <is>
          <t>王秀慧Mavis</t>
        </is>
      </c>
      <c r="J171" s="209" t="n"/>
      <c r="K171" s="122" t="inlineStr">
        <is>
          <t>Maviswang@apd.com.tw</t>
        </is>
      </c>
    </row>
    <row r="172" ht="16.5" customHeight="1" s="1643">
      <c r="A172" s="936" t="n"/>
      <c r="B172" s="1137" t="inlineStr">
        <is>
          <t>新望</t>
        </is>
      </c>
      <c r="C172" s="1494" t="inlineStr">
        <is>
          <t>PV-30000 S-U</t>
        </is>
      </c>
      <c r="D172" s="1494" t="n">
        <v>30</v>
      </c>
      <c r="E172" s="2160">
        <f>F172/D172</f>
        <v/>
      </c>
      <c r="F172" s="2159">
        <f>F169*2</f>
        <v/>
      </c>
      <c r="G172" s="1494" t="n">
        <v>20230606</v>
      </c>
      <c r="H172" s="335" t="inlineStr">
        <is>
          <t xml:space="preserve">20年保固 (3Φ220/380V) </t>
        </is>
      </c>
      <c r="I172" s="209" t="inlineStr">
        <is>
          <t>王秀慧Mavis</t>
        </is>
      </c>
      <c r="J172" s="209" t="n"/>
      <c r="K172" s="122" t="inlineStr">
        <is>
          <t>Maviswang@apd.com.tw</t>
        </is>
      </c>
    </row>
    <row r="173" ht="16.5" customHeight="1" s="1643">
      <c r="A173" s="936" t="n"/>
      <c r="B173" s="1137" t="inlineStr">
        <is>
          <t>新望</t>
        </is>
      </c>
      <c r="C173" s="1494" t="inlineStr">
        <is>
          <t>PV-60000 T-U</t>
        </is>
      </c>
      <c r="D173" s="1494" t="n">
        <v>60</v>
      </c>
      <c r="E173" s="2160">
        <f>F173/D173</f>
        <v/>
      </c>
      <c r="F173" s="2159" t="n">
        <v>81600</v>
      </c>
      <c r="G173" s="1494" t="n">
        <v>20230606</v>
      </c>
      <c r="H173" s="205" t="inlineStr">
        <is>
          <t xml:space="preserve">5年保固 (3Φ220/380V) </t>
        </is>
      </c>
      <c r="I173" s="209" t="inlineStr">
        <is>
          <t>王秀慧Mavis</t>
        </is>
      </c>
      <c r="J173" s="209" t="n"/>
      <c r="K173" s="122" t="inlineStr">
        <is>
          <t>Maviswang@apd.com.tw</t>
        </is>
      </c>
    </row>
    <row r="174" ht="16.5" customHeight="1" s="1643">
      <c r="A174" s="936" t="n"/>
      <c r="B174" s="1137" t="inlineStr">
        <is>
          <t>新望</t>
        </is>
      </c>
      <c r="C174" s="1494" t="inlineStr">
        <is>
          <t>PV-60000 T-U</t>
        </is>
      </c>
      <c r="D174" s="1494" t="n">
        <v>60</v>
      </c>
      <c r="E174" s="2160">
        <f>F174/D174</f>
        <v/>
      </c>
      <c r="F174" s="2159">
        <f>F173*1.3</f>
        <v/>
      </c>
      <c r="G174" s="1494" t="n">
        <v>20230606</v>
      </c>
      <c r="H174" s="764" t="inlineStr">
        <is>
          <t xml:space="preserve">10年保固 (3Φ220/380V) </t>
        </is>
      </c>
      <c r="I174" s="209" t="inlineStr">
        <is>
          <t>王秀慧Mavis</t>
        </is>
      </c>
      <c r="J174" s="209" t="n"/>
      <c r="K174" s="122" t="inlineStr">
        <is>
          <t>Maviswang@apd.com.tw</t>
        </is>
      </c>
    </row>
    <row r="175" ht="16.5" customHeight="1" s="1643">
      <c r="A175" s="936" t="n"/>
      <c r="B175" s="1137" t="inlineStr">
        <is>
          <t>新望</t>
        </is>
      </c>
      <c r="C175" s="1494" t="inlineStr">
        <is>
          <t>PV-60000 T-U</t>
        </is>
      </c>
      <c r="D175" s="1494" t="n">
        <v>60</v>
      </c>
      <c r="E175" s="2160">
        <f>F175/D175</f>
        <v/>
      </c>
      <c r="F175" s="2159">
        <f>F173*1.65</f>
        <v/>
      </c>
      <c r="G175" s="1494" t="n">
        <v>20230606</v>
      </c>
      <c r="H175" s="933" t="inlineStr">
        <is>
          <t xml:space="preserve">15年保固 (3Φ220/380V) </t>
        </is>
      </c>
      <c r="I175" s="209" t="inlineStr">
        <is>
          <t>王秀慧Mavis</t>
        </is>
      </c>
      <c r="J175" s="209" t="n"/>
      <c r="K175" s="122" t="inlineStr">
        <is>
          <t>Maviswang@apd.com.tw</t>
        </is>
      </c>
    </row>
    <row r="176" ht="16.5" customHeight="1" s="1643">
      <c r="A176" s="936" t="n"/>
      <c r="B176" s="1137" t="inlineStr">
        <is>
          <t>新望</t>
        </is>
      </c>
      <c r="C176" s="1494" t="inlineStr">
        <is>
          <t>PV-60000 T-U</t>
        </is>
      </c>
      <c r="D176" s="1494" t="n">
        <v>60</v>
      </c>
      <c r="E176" s="2160">
        <f>F176/D176</f>
        <v/>
      </c>
      <c r="F176" s="2159">
        <f>F173*2</f>
        <v/>
      </c>
      <c r="G176" s="1494" t="n">
        <v>20230606</v>
      </c>
      <c r="H176" s="335" t="inlineStr">
        <is>
          <t xml:space="preserve">20年保固 (3Φ220/380V) </t>
        </is>
      </c>
      <c r="I176" s="209" t="inlineStr">
        <is>
          <t>王秀慧Mavis</t>
        </is>
      </c>
      <c r="J176" s="209" t="n"/>
      <c r="K176" s="122" t="inlineStr">
        <is>
          <t>Maviswang@apd.com.tw</t>
        </is>
      </c>
    </row>
    <row r="177" ht="16.5" customHeight="1" s="1643">
      <c r="A177" s="937" t="n"/>
      <c r="B177" s="1137" t="inlineStr">
        <is>
          <t>新望</t>
        </is>
      </c>
      <c r="C177" s="1494" t="inlineStr">
        <is>
          <t>PV-75000 T-U</t>
        </is>
      </c>
      <c r="D177" s="1494" t="n">
        <v>75</v>
      </c>
      <c r="E177" s="2160">
        <f>F177/D177</f>
        <v/>
      </c>
      <c r="F177" s="2159" t="n">
        <v>94500</v>
      </c>
      <c r="G177" s="1494" t="n">
        <v>20230606</v>
      </c>
      <c r="H177" s="205" t="inlineStr">
        <is>
          <t xml:space="preserve">5年保固 (3Φ480V) </t>
        </is>
      </c>
      <c r="I177" s="209" t="inlineStr">
        <is>
          <t>王秀慧Mavis</t>
        </is>
      </c>
      <c r="J177" s="209" t="n"/>
      <c r="K177" s="122" t="inlineStr">
        <is>
          <t>Maviswang@apd.com.tw</t>
        </is>
      </c>
    </row>
    <row r="178" ht="16.5" customHeight="1" s="1643">
      <c r="A178" s="937" t="n"/>
      <c r="B178" s="1137" t="inlineStr">
        <is>
          <t>新望</t>
        </is>
      </c>
      <c r="C178" s="1494" t="inlineStr">
        <is>
          <t>PV-75000 T-U</t>
        </is>
      </c>
      <c r="D178" s="1494" t="n">
        <v>75</v>
      </c>
      <c r="E178" s="2160">
        <f>F178/D178</f>
        <v/>
      </c>
      <c r="F178" s="2159">
        <f>F177*1.3</f>
        <v/>
      </c>
      <c r="G178" s="1494" t="n">
        <v>20230606</v>
      </c>
      <c r="H178" s="764" t="inlineStr">
        <is>
          <t xml:space="preserve">10年保固 (3Φ480V)  </t>
        </is>
      </c>
      <c r="I178" s="209" t="inlineStr">
        <is>
          <t>王秀慧Mavis</t>
        </is>
      </c>
      <c r="J178" s="209" t="n"/>
      <c r="K178" s="122" t="inlineStr">
        <is>
          <t>Maviswang@apd.com.tw</t>
        </is>
      </c>
    </row>
    <row r="179" ht="16.5" customHeight="1" s="1643">
      <c r="A179" s="937" t="n"/>
      <c r="B179" s="1137" t="inlineStr">
        <is>
          <t>新望</t>
        </is>
      </c>
      <c r="C179" s="1494" t="inlineStr">
        <is>
          <t>PV-75000 T-U</t>
        </is>
      </c>
      <c r="D179" s="1494" t="n">
        <v>75</v>
      </c>
      <c r="E179" s="2160">
        <f>F179/D179</f>
        <v/>
      </c>
      <c r="F179" s="2159">
        <f>F177*1.65</f>
        <v/>
      </c>
      <c r="G179" s="1494" t="n">
        <v>20230606</v>
      </c>
      <c r="H179" s="933" t="inlineStr">
        <is>
          <t xml:space="preserve">15年保固 (3Φ480V)  </t>
        </is>
      </c>
      <c r="I179" s="209" t="inlineStr">
        <is>
          <t>王秀慧Mavis</t>
        </is>
      </c>
      <c r="J179" s="209" t="n"/>
      <c r="K179" s="122" t="inlineStr">
        <is>
          <t>Maviswang@apd.com.tw</t>
        </is>
      </c>
    </row>
    <row r="180" ht="16.5" customHeight="1" s="1643">
      <c r="A180" s="937" t="n"/>
      <c r="B180" s="1137" t="inlineStr">
        <is>
          <t>新望</t>
        </is>
      </c>
      <c r="C180" s="1494" t="inlineStr">
        <is>
          <t>PV-75000 T-U</t>
        </is>
      </c>
      <c r="D180" s="1494" t="n">
        <v>75</v>
      </c>
      <c r="E180" s="2160">
        <f>F180/D180</f>
        <v/>
      </c>
      <c r="F180" s="2159">
        <f>F177*2</f>
        <v/>
      </c>
      <c r="G180" s="1494" t="n">
        <v>20230606</v>
      </c>
      <c r="H180" s="335" t="inlineStr">
        <is>
          <t xml:space="preserve">20年保固 (3Φ480V) </t>
        </is>
      </c>
      <c r="I180" s="209" t="inlineStr">
        <is>
          <t>王秀慧Mavis</t>
        </is>
      </c>
      <c r="J180" s="209" t="n"/>
      <c r="K180" s="122" t="inlineStr">
        <is>
          <t>Maviswang@apd.com.tw</t>
        </is>
      </c>
    </row>
    <row r="181" ht="16.5" customHeight="1" s="1643">
      <c r="A181" s="937" t="n"/>
      <c r="B181" s="1137" t="inlineStr">
        <is>
          <t>新望</t>
        </is>
      </c>
      <c r="C181" s="1494" t="inlineStr">
        <is>
          <t>PV-110KH-U</t>
        </is>
      </c>
      <c r="D181" s="1494" t="n">
        <v>110</v>
      </c>
      <c r="E181" s="2160">
        <f>F181/D181</f>
        <v/>
      </c>
      <c r="F181" s="2159" t="n">
        <v>136400</v>
      </c>
      <c r="G181" s="1494" t="n">
        <v>20230606</v>
      </c>
      <c r="H181" s="1124" t="inlineStr">
        <is>
          <t xml:space="preserve">5年保固 (3Φ380V) </t>
        </is>
      </c>
      <c r="I181" s="1140" t="inlineStr">
        <is>
          <t>王秀慧Mavis</t>
        </is>
      </c>
      <c r="J181" s="1140" t="n"/>
      <c r="K181" s="1119" t="inlineStr">
        <is>
          <t>Maviswang@apd.com.tw</t>
        </is>
      </c>
    </row>
    <row r="182" ht="16.5" customHeight="1" s="1643">
      <c r="A182" s="937" t="n"/>
      <c r="B182" s="1137" t="inlineStr">
        <is>
          <t>新望</t>
        </is>
      </c>
      <c r="C182" s="1494" t="inlineStr">
        <is>
          <t>PV-110KH-U</t>
        </is>
      </c>
      <c r="D182" s="1494" t="n">
        <v>110</v>
      </c>
      <c r="E182" s="2160">
        <f>F182/D182</f>
        <v/>
      </c>
      <c r="F182" s="2159">
        <f>F181*1.3</f>
        <v/>
      </c>
      <c r="G182" s="1494" t="n">
        <v>20230606</v>
      </c>
      <c r="H182" s="1141" t="inlineStr">
        <is>
          <t xml:space="preserve">10年保固 (3Φ380V)  </t>
        </is>
      </c>
      <c r="I182" s="1140" t="inlineStr">
        <is>
          <t>王秀慧Mavis</t>
        </is>
      </c>
      <c r="J182" s="1140" t="n"/>
      <c r="K182" s="1119" t="inlineStr">
        <is>
          <t>Maviswang@apd.com.tw</t>
        </is>
      </c>
    </row>
    <row r="183" ht="16.5" customHeight="1" s="1643">
      <c r="A183" s="937" t="n"/>
      <c r="B183" s="1137" t="inlineStr">
        <is>
          <t>新望</t>
        </is>
      </c>
      <c r="C183" s="1494" t="inlineStr">
        <is>
          <t>PV-110KH-U</t>
        </is>
      </c>
      <c r="D183" s="1494" t="n">
        <v>110</v>
      </c>
      <c r="E183" s="2160">
        <f>F183/D183</f>
        <v/>
      </c>
      <c r="F183" s="2159">
        <f>F181*1.65</f>
        <v/>
      </c>
      <c r="G183" s="1494" t="n">
        <v>20230606</v>
      </c>
      <c r="H183" s="1142" t="inlineStr">
        <is>
          <t xml:space="preserve">15年保固 (3Φ380V)  </t>
        </is>
      </c>
      <c r="I183" s="1140" t="inlineStr">
        <is>
          <t>王秀慧Mavis</t>
        </is>
      </c>
      <c r="J183" s="1140" t="n"/>
      <c r="K183" s="1119" t="inlineStr">
        <is>
          <t>Maviswang@apd.com.tw</t>
        </is>
      </c>
    </row>
    <row r="184" ht="16.5" customHeight="1" s="1643">
      <c r="A184" s="937" t="n"/>
      <c r="B184" s="1137" t="inlineStr">
        <is>
          <t>新望</t>
        </is>
      </c>
      <c r="C184" s="1494" t="inlineStr">
        <is>
          <t>PV-110KH-U</t>
        </is>
      </c>
      <c r="D184" s="1494" t="n">
        <v>110</v>
      </c>
      <c r="E184" s="2160">
        <f>F184/D184</f>
        <v/>
      </c>
      <c r="F184" s="2159">
        <f>F181*2</f>
        <v/>
      </c>
      <c r="G184" s="1494" t="n">
        <v>20230606</v>
      </c>
      <c r="H184" s="1139" t="inlineStr">
        <is>
          <t xml:space="preserve">20年保固 (3Φ380V) </t>
        </is>
      </c>
      <c r="I184" s="1140" t="inlineStr">
        <is>
          <t>王秀慧Mavis</t>
        </is>
      </c>
      <c r="J184" s="1140" t="n"/>
      <c r="K184" s="1119" t="inlineStr">
        <is>
          <t>Maviswang@apd.com.tw</t>
        </is>
      </c>
    </row>
    <row r="185" ht="16.5" customHeight="1" s="1643">
      <c r="A185" s="937" t="n"/>
      <c r="B185" s="1137" t="inlineStr">
        <is>
          <t>新望</t>
        </is>
      </c>
      <c r="C185" s="1494" t="inlineStr">
        <is>
          <t>PV-125KH-U</t>
        </is>
      </c>
      <c r="D185" s="1494" t="n">
        <v>125</v>
      </c>
      <c r="E185" s="2160">
        <f>F185/D185</f>
        <v/>
      </c>
      <c r="F185" s="2159" t="n">
        <v>153750</v>
      </c>
      <c r="G185" s="1494" t="n">
        <v>20230606</v>
      </c>
      <c r="H185" s="1124" t="inlineStr">
        <is>
          <t xml:space="preserve">5年保固 (3Φ480V) </t>
        </is>
      </c>
      <c r="I185" s="1140" t="inlineStr">
        <is>
          <t>王秀慧Mavis</t>
        </is>
      </c>
      <c r="J185" s="1140" t="n"/>
      <c r="K185" s="1119" t="inlineStr">
        <is>
          <t>Maviswang@apd.com.tw</t>
        </is>
      </c>
    </row>
    <row r="186" ht="16.5" customHeight="1" s="1643">
      <c r="A186" s="937" t="n"/>
      <c r="B186" s="1137" t="inlineStr">
        <is>
          <t>新望</t>
        </is>
      </c>
      <c r="C186" s="1494" t="inlineStr">
        <is>
          <t>PV-125KH-U</t>
        </is>
      </c>
      <c r="D186" s="1494" t="n">
        <v>125</v>
      </c>
      <c r="E186" s="2160">
        <f>F186/D186</f>
        <v/>
      </c>
      <c r="F186" s="2159">
        <f>F185*1.3</f>
        <v/>
      </c>
      <c r="G186" s="1494" t="n">
        <v>20230606</v>
      </c>
      <c r="H186" s="1141" t="inlineStr">
        <is>
          <t xml:space="preserve">10年保固 (3Φ480V)  </t>
        </is>
      </c>
      <c r="I186" s="1140" t="inlineStr">
        <is>
          <t>王秀慧Mavis</t>
        </is>
      </c>
      <c r="J186" s="1140" t="n"/>
      <c r="K186" s="1119" t="inlineStr">
        <is>
          <t>Maviswang@apd.com.tw</t>
        </is>
      </c>
    </row>
    <row r="187" ht="16.5" customHeight="1" s="1643">
      <c r="A187" s="937" t="n"/>
      <c r="B187" s="1137" t="inlineStr">
        <is>
          <t>新望</t>
        </is>
      </c>
      <c r="C187" s="1494" t="inlineStr">
        <is>
          <t>PV-125KH-U</t>
        </is>
      </c>
      <c r="D187" s="1494" t="n">
        <v>125</v>
      </c>
      <c r="E187" s="2160">
        <f>F187/D187</f>
        <v/>
      </c>
      <c r="F187" s="2159">
        <f>F185*1.65</f>
        <v/>
      </c>
      <c r="G187" s="1494" t="n">
        <v>20230606</v>
      </c>
      <c r="H187" s="1142" t="inlineStr">
        <is>
          <t xml:space="preserve">15年保固 (3Φ480V)  </t>
        </is>
      </c>
      <c r="I187" s="1140" t="inlineStr">
        <is>
          <t>王秀慧Mavis</t>
        </is>
      </c>
      <c r="J187" s="1140" t="n"/>
      <c r="K187" s="1119" t="inlineStr">
        <is>
          <t>Maviswang@apd.com.tw</t>
        </is>
      </c>
    </row>
    <row r="188" ht="16.5" customHeight="1" s="1643">
      <c r="A188" s="937" t="n"/>
      <c r="B188" s="1137" t="inlineStr">
        <is>
          <t>新望</t>
        </is>
      </c>
      <c r="C188" s="1494" t="inlineStr">
        <is>
          <t>PV-125KH-U</t>
        </is>
      </c>
      <c r="D188" s="1494" t="n">
        <v>125</v>
      </c>
      <c r="E188" s="2160">
        <f>F188/D188</f>
        <v/>
      </c>
      <c r="F188" s="2159">
        <f>F185*2</f>
        <v/>
      </c>
      <c r="G188" s="1494" t="n">
        <v>20230606</v>
      </c>
      <c r="H188" s="1139" t="inlineStr">
        <is>
          <t xml:space="preserve">20年保固 (3Φ480V) </t>
        </is>
      </c>
      <c r="I188" s="1140" t="inlineStr">
        <is>
          <t>王秀慧Mavis</t>
        </is>
      </c>
      <c r="J188" s="1140" t="n"/>
      <c r="K188" s="1119" t="inlineStr">
        <is>
          <t>Maviswang@apd.com.tw</t>
        </is>
      </c>
    </row>
    <row r="189" ht="16.5" customHeight="1" s="1643">
      <c r="B189" s="362" t="inlineStr">
        <is>
          <t>盈正</t>
        </is>
      </c>
      <c r="C189" s="1523" t="inlineStr">
        <is>
          <t>ES 7200HC</t>
        </is>
      </c>
      <c r="D189" s="1523" t="n">
        <v>7.2</v>
      </c>
      <c r="E189" s="2132">
        <f>F189/D189</f>
        <v/>
      </c>
      <c r="F189" s="2134" t="n">
        <v>28000</v>
      </c>
      <c r="G189" s="1523" t="n">
        <v>20190515</v>
      </c>
      <c r="H189" s="205" t="inlineStr">
        <is>
          <t>5年保固</t>
        </is>
      </c>
      <c r="I189" s="209" t="inlineStr">
        <is>
          <t>林岱明</t>
        </is>
      </c>
      <c r="J189" s="209" t="inlineStr">
        <is>
          <t>0916-877-705</t>
        </is>
      </c>
      <c r="K189" s="122" t="n"/>
    </row>
    <row r="190" ht="16.5" customHeight="1" s="1643">
      <c r="B190" s="362" t="inlineStr">
        <is>
          <t>盈正</t>
        </is>
      </c>
      <c r="C190" s="1523" t="inlineStr">
        <is>
          <t>ES 52000HC</t>
        </is>
      </c>
      <c r="D190" s="1523" t="n">
        <v>52</v>
      </c>
      <c r="E190" s="2132">
        <f>F190/D190</f>
        <v/>
      </c>
      <c r="F190" s="2134" t="n">
        <v>117000</v>
      </c>
      <c r="G190" s="1523" t="n">
        <v>20190515</v>
      </c>
      <c r="H190" s="205" t="inlineStr">
        <is>
          <t>5年保固</t>
        </is>
      </c>
      <c r="I190" s="209" t="inlineStr">
        <is>
          <t>林岱明</t>
        </is>
      </c>
      <c r="J190" s="209" t="inlineStr">
        <is>
          <t>0916-877-705</t>
        </is>
      </c>
      <c r="K190" s="122" t="n"/>
    </row>
    <row r="191" ht="16.5" customHeight="1" s="1643">
      <c r="B191" s="365" t="inlineStr">
        <is>
          <t>古瑞瓦特</t>
        </is>
      </c>
      <c r="C191" s="1523" t="inlineStr">
        <is>
          <t>3K TL-X</t>
        </is>
      </c>
      <c r="D191" s="1523" t="n">
        <v>3</v>
      </c>
      <c r="E191" s="2132">
        <f>F191/D191</f>
        <v/>
      </c>
      <c r="F191" s="2134" t="n">
        <v>14400</v>
      </c>
      <c r="G191" s="1523" t="n">
        <v>20191111</v>
      </c>
      <c r="H191" s="205" t="inlineStr">
        <is>
          <t>10年保固</t>
        </is>
      </c>
      <c r="I191" s="209" t="inlineStr">
        <is>
          <t>郭曜誠</t>
        </is>
      </c>
      <c r="J191" s="209" t="inlineStr">
        <is>
          <t>0975-515-112</t>
        </is>
      </c>
      <c r="K191" s="122" t="inlineStr">
        <is>
          <t>chance.kuo@vgwatt.com</t>
        </is>
      </c>
    </row>
    <row r="192" ht="16.5" customHeight="1" s="1643">
      <c r="B192" s="365" t="inlineStr">
        <is>
          <t>古瑞瓦特</t>
        </is>
      </c>
      <c r="C192" s="1523" t="inlineStr">
        <is>
          <t>5K TL-X</t>
        </is>
      </c>
      <c r="D192" s="1523" t="n">
        <v>5</v>
      </c>
      <c r="E192" s="2132">
        <f>F192/D192</f>
        <v/>
      </c>
      <c r="F192" s="2134" t="n">
        <v>20000</v>
      </c>
      <c r="G192" s="1523" t="n">
        <v>20191111</v>
      </c>
      <c r="H192" s="205" t="inlineStr">
        <is>
          <t>10年保固</t>
        </is>
      </c>
      <c r="I192" s="209" t="inlineStr">
        <is>
          <t>郭曜誠</t>
        </is>
      </c>
      <c r="J192" s="209" t="inlineStr">
        <is>
          <t>0975-515-112</t>
        </is>
      </c>
      <c r="K192" s="122" t="inlineStr">
        <is>
          <t>chance.kuo@vgwatt.com</t>
        </is>
      </c>
    </row>
    <row r="193" ht="16.5" customHeight="1" s="1643">
      <c r="B193" s="365" t="inlineStr">
        <is>
          <t>古瑞瓦特</t>
        </is>
      </c>
      <c r="C193" s="1523" t="inlineStr">
        <is>
          <t>6K TL-X</t>
        </is>
      </c>
      <c r="D193" s="1523" t="n">
        <v>6</v>
      </c>
      <c r="E193" s="2132">
        <f>F193/D193</f>
        <v/>
      </c>
      <c r="F193" s="2134" t="n">
        <v>22800</v>
      </c>
      <c r="G193" s="1523" t="n">
        <v>20191111</v>
      </c>
      <c r="H193" s="205" t="inlineStr">
        <is>
          <t>10年保固</t>
        </is>
      </c>
      <c r="I193" s="209" t="inlineStr">
        <is>
          <t>郭曜誠</t>
        </is>
      </c>
      <c r="J193" s="209" t="inlineStr">
        <is>
          <t>0975-515-112</t>
        </is>
      </c>
      <c r="K193" s="122" t="inlineStr">
        <is>
          <t>chance.kuo@vgwatt.com</t>
        </is>
      </c>
    </row>
    <row r="194" ht="16.5" customHeight="1" s="1643">
      <c r="B194" s="365" t="inlineStr">
        <is>
          <t>古瑞瓦特</t>
        </is>
      </c>
      <c r="C194" s="1523" t="inlineStr">
        <is>
          <t>50K TL3-X</t>
        </is>
      </c>
      <c r="D194" s="1523" t="n">
        <v>50</v>
      </c>
      <c r="E194" s="2132">
        <f>F194/D194</f>
        <v/>
      </c>
      <c r="F194" s="2134" t="n">
        <v>105000</v>
      </c>
      <c r="G194" s="1523" t="n">
        <v>20191111</v>
      </c>
      <c r="H194" s="205" t="inlineStr">
        <is>
          <t>10年保固 (3Φ220/380V)</t>
        </is>
      </c>
      <c r="I194" s="209" t="inlineStr">
        <is>
          <t>郭曜誠</t>
        </is>
      </c>
      <c r="J194" s="209" t="inlineStr">
        <is>
          <t>0975-515-112</t>
        </is>
      </c>
      <c r="K194" s="122" t="inlineStr">
        <is>
          <t>chance.kuo@vgwatt.com</t>
        </is>
      </c>
    </row>
    <row r="195" ht="16.5" customHeight="1" s="1643">
      <c r="B195" s="365" t="inlineStr">
        <is>
          <t>古瑞瓦特</t>
        </is>
      </c>
      <c r="C195" s="1523" t="inlineStr">
        <is>
          <t>60K TL3-X</t>
        </is>
      </c>
      <c r="D195" s="1523" t="n">
        <v>60</v>
      </c>
      <c r="E195" s="2132">
        <f>F195/D195</f>
        <v/>
      </c>
      <c r="F195" s="2134" t="n">
        <v>120000</v>
      </c>
      <c r="G195" s="1523" t="n">
        <v>20191111</v>
      </c>
      <c r="H195" s="205" t="inlineStr">
        <is>
          <t>10年保固 (3Φ220/380V)</t>
        </is>
      </c>
      <c r="I195" s="209" t="inlineStr">
        <is>
          <t>郭曜誠</t>
        </is>
      </c>
      <c r="J195" s="209" t="inlineStr">
        <is>
          <t>0975-515-112</t>
        </is>
      </c>
      <c r="K195" s="122" t="inlineStr">
        <is>
          <t>chance.kuo@vgwatt.com</t>
        </is>
      </c>
    </row>
    <row r="196" ht="16.5" customHeight="1" s="1643">
      <c r="B196" s="365" t="inlineStr">
        <is>
          <t>古瑞瓦特</t>
        </is>
      </c>
      <c r="C196" s="366" t="inlineStr">
        <is>
          <t>5K TL-HVM-P</t>
        </is>
      </c>
      <c r="D196" s="1523" t="n">
        <v>5</v>
      </c>
      <c r="E196" s="2132">
        <f>F196/D196</f>
        <v/>
      </c>
      <c r="F196" s="2134" t="n">
        <v>25000</v>
      </c>
      <c r="G196" s="1523" t="n">
        <v>20191111</v>
      </c>
      <c r="H196" s="205" t="inlineStr">
        <is>
          <t>2年保固(儲能型)</t>
        </is>
      </c>
      <c r="I196" s="209" t="inlineStr">
        <is>
          <t>郭曜誠</t>
        </is>
      </c>
      <c r="J196" s="209" t="inlineStr">
        <is>
          <t>0975-515-112</t>
        </is>
      </c>
      <c r="K196" s="122" t="inlineStr">
        <is>
          <t>chance.kuo@vgwatt.com</t>
        </is>
      </c>
    </row>
    <row r="197" ht="16.5" customHeight="1" s="1643">
      <c r="A197" s="939" t="n"/>
      <c r="B197" s="365" t="inlineStr">
        <is>
          <t>古瑞瓦特</t>
        </is>
      </c>
      <c r="C197" s="1523" t="inlineStr">
        <is>
          <t>SPF 5000 ES</t>
        </is>
      </c>
      <c r="D197" s="1523" t="n">
        <v>5</v>
      </c>
      <c r="E197" s="2132">
        <f>F197/D197</f>
        <v/>
      </c>
      <c r="F197" s="2134" t="n">
        <v>30000</v>
      </c>
      <c r="G197" s="1523" t="n">
        <v>20210703</v>
      </c>
      <c r="H197" s="205" t="inlineStr">
        <is>
          <t>2年保固 (離網/儲能機)</t>
        </is>
      </c>
      <c r="I197" s="209" t="inlineStr">
        <is>
          <t>郭曜誠</t>
        </is>
      </c>
      <c r="J197" s="209" t="inlineStr">
        <is>
          <t>0975-515-112</t>
        </is>
      </c>
      <c r="K197" s="122" t="inlineStr">
        <is>
          <t>chance.kuo@vgwatt.com</t>
        </is>
      </c>
    </row>
    <row r="198" ht="16.5" customHeight="1" s="1643">
      <c r="A198" s="939" t="n"/>
      <c r="B198" s="365" t="inlineStr">
        <is>
          <t>古瑞瓦特</t>
        </is>
      </c>
      <c r="C198" s="1523" t="inlineStr">
        <is>
          <t>MIN3000TL-X</t>
        </is>
      </c>
      <c r="D198" s="1523" t="n">
        <v>3</v>
      </c>
      <c r="E198" s="2132">
        <f>F198/D198</f>
        <v/>
      </c>
      <c r="F198" s="2134" t="n">
        <v>13500</v>
      </c>
      <c r="G198" s="1523" t="n">
        <v>20210703</v>
      </c>
      <c r="H198" s="401" t="inlineStr">
        <is>
          <t xml:space="preserve">5年保固 (1Φ) </t>
        </is>
      </c>
      <c r="I198" s="209" t="inlineStr">
        <is>
          <t>郭曜誠</t>
        </is>
      </c>
      <c r="J198" s="209" t="inlineStr">
        <is>
          <t>0975-515-112</t>
        </is>
      </c>
      <c r="K198" s="122" t="inlineStr">
        <is>
          <t>chance.kuo@vgwatt.com</t>
        </is>
      </c>
    </row>
    <row r="199" ht="16.5" customHeight="1" s="1643">
      <c r="A199" s="939" t="n"/>
      <c r="B199" s="365" t="inlineStr">
        <is>
          <t>古瑞瓦特</t>
        </is>
      </c>
      <c r="C199" s="1523" t="inlineStr">
        <is>
          <t>MIN3000TL-X</t>
        </is>
      </c>
      <c r="D199" s="1523" t="n">
        <v>3</v>
      </c>
      <c r="E199" s="2132">
        <f>F199/D199</f>
        <v/>
      </c>
      <c r="F199" s="2134" t="n">
        <v>19000</v>
      </c>
      <c r="G199" s="1523" t="n">
        <v>20210703</v>
      </c>
      <c r="H199" s="764" t="inlineStr">
        <is>
          <t xml:space="preserve">10年保固 (1Φ) </t>
        </is>
      </c>
      <c r="I199" s="209" t="inlineStr">
        <is>
          <t>郭曜誠</t>
        </is>
      </c>
      <c r="J199" s="209" t="inlineStr">
        <is>
          <t>0975-515-112</t>
        </is>
      </c>
      <c r="K199" s="122" t="inlineStr">
        <is>
          <t>chance.kuo@vgwatt.com</t>
        </is>
      </c>
    </row>
    <row r="200" ht="16.5" customHeight="1" s="1643">
      <c r="A200" s="939" t="n"/>
      <c r="B200" s="365" t="inlineStr">
        <is>
          <t>古瑞瓦特</t>
        </is>
      </c>
      <c r="C200" s="1523" t="inlineStr">
        <is>
          <t>MIN3000TL-X</t>
        </is>
      </c>
      <c r="D200" s="1523" t="n">
        <v>3</v>
      </c>
      <c r="E200" s="2132">
        <f>F200/D200</f>
        <v/>
      </c>
      <c r="F200" s="2134" t="n">
        <v>37000</v>
      </c>
      <c r="G200" s="1523" t="n">
        <v>20210703</v>
      </c>
      <c r="H200" s="335" t="inlineStr">
        <is>
          <t xml:space="preserve">20年保固 (1Φ) </t>
        </is>
      </c>
      <c r="I200" s="209" t="inlineStr">
        <is>
          <t>郭曜誠</t>
        </is>
      </c>
      <c r="J200" s="209" t="inlineStr">
        <is>
          <t>0975-515-112</t>
        </is>
      </c>
      <c r="K200" s="122" t="inlineStr">
        <is>
          <t>chance.kuo@vgwatt.com</t>
        </is>
      </c>
    </row>
    <row r="201" ht="16.5" customHeight="1" s="1643">
      <c r="A201" s="939" t="n"/>
      <c r="B201" s="365" t="inlineStr">
        <is>
          <t>古瑞瓦特</t>
        </is>
      </c>
      <c r="C201" s="1523" t="inlineStr">
        <is>
          <t>MIN5000TL-X</t>
        </is>
      </c>
      <c r="D201" s="1523" t="n">
        <v>5</v>
      </c>
      <c r="E201" s="2132">
        <f>F201/D201</f>
        <v/>
      </c>
      <c r="F201" s="2134" t="n">
        <v>15000</v>
      </c>
      <c r="G201" s="1523" t="n">
        <v>20210703</v>
      </c>
      <c r="H201" s="401" t="inlineStr">
        <is>
          <t xml:space="preserve">5年保固 (1Φ) </t>
        </is>
      </c>
      <c r="I201" s="209" t="inlineStr">
        <is>
          <t>郭曜誠</t>
        </is>
      </c>
      <c r="J201" s="209" t="inlineStr">
        <is>
          <t>0975-515-112</t>
        </is>
      </c>
      <c r="K201" s="122" t="inlineStr">
        <is>
          <t>chance.kuo@vgwatt.com</t>
        </is>
      </c>
    </row>
    <row r="202" ht="16.5" customHeight="1" s="1643">
      <c r="A202" s="939" t="n"/>
      <c r="B202" s="365" t="inlineStr">
        <is>
          <t>古瑞瓦特</t>
        </is>
      </c>
      <c r="C202" s="1523" t="inlineStr">
        <is>
          <t>MIN5000TL-X</t>
        </is>
      </c>
      <c r="D202" s="1523" t="n">
        <v>5</v>
      </c>
      <c r="E202" s="2132">
        <f>F202/D202</f>
        <v/>
      </c>
      <c r="F202" s="2134" t="n">
        <v>21000</v>
      </c>
      <c r="G202" s="1523" t="n">
        <v>20210703</v>
      </c>
      <c r="H202" s="764" t="inlineStr">
        <is>
          <t xml:space="preserve">10年保固 (1Φ) </t>
        </is>
      </c>
      <c r="I202" s="209" t="inlineStr">
        <is>
          <t>郭曜誠</t>
        </is>
      </c>
      <c r="J202" s="209" t="inlineStr">
        <is>
          <t>0975-515-112</t>
        </is>
      </c>
      <c r="K202" s="122" t="inlineStr">
        <is>
          <t>chance.kuo@vgwatt.com</t>
        </is>
      </c>
    </row>
    <row r="203" ht="16.5" customHeight="1" s="1643">
      <c r="A203" s="939" t="n"/>
      <c r="B203" s="365" t="inlineStr">
        <is>
          <t>古瑞瓦特</t>
        </is>
      </c>
      <c r="C203" s="1523" t="inlineStr">
        <is>
          <t>MIN5000TL-X</t>
        </is>
      </c>
      <c r="D203" s="1523" t="n">
        <v>5</v>
      </c>
      <c r="E203" s="2132">
        <f>F203/D203</f>
        <v/>
      </c>
      <c r="F203" s="2134" t="n">
        <v>41000</v>
      </c>
      <c r="G203" s="1523" t="n">
        <v>20210703</v>
      </c>
      <c r="H203" s="335" t="inlineStr">
        <is>
          <t xml:space="preserve">20年保固 (1Φ) </t>
        </is>
      </c>
      <c r="I203" s="209" t="inlineStr">
        <is>
          <t>郭曜誠</t>
        </is>
      </c>
      <c r="J203" s="209" t="inlineStr">
        <is>
          <t>0975-515-112</t>
        </is>
      </c>
      <c r="K203" s="122" t="inlineStr">
        <is>
          <t>chance.kuo@vgwatt.com</t>
        </is>
      </c>
    </row>
    <row r="204" ht="16.5" customHeight="1" s="1643">
      <c r="A204" s="939" t="n"/>
      <c r="B204" s="365" t="inlineStr">
        <is>
          <t>古瑞瓦特</t>
        </is>
      </c>
      <c r="C204" s="1523" t="inlineStr">
        <is>
          <t>MIN6000TL-X</t>
        </is>
      </c>
      <c r="D204" s="1523" t="n">
        <v>6</v>
      </c>
      <c r="E204" s="2132">
        <f>F204/D204</f>
        <v/>
      </c>
      <c r="F204" s="2134" t="n">
        <v>17000</v>
      </c>
      <c r="G204" s="1523" t="n">
        <v>20210703</v>
      </c>
      <c r="H204" s="401" t="inlineStr">
        <is>
          <t xml:space="preserve">5年保固 (1Φ) </t>
        </is>
      </c>
      <c r="I204" s="209" t="inlineStr">
        <is>
          <t>郭曜誠</t>
        </is>
      </c>
      <c r="J204" s="209" t="inlineStr">
        <is>
          <t>0975-515-112</t>
        </is>
      </c>
      <c r="K204" s="122" t="inlineStr">
        <is>
          <t>chance.kuo@vgwatt.com</t>
        </is>
      </c>
    </row>
    <row r="205" ht="16.5" customHeight="1" s="1643">
      <c r="A205" s="939" t="n"/>
      <c r="B205" s="365" t="inlineStr">
        <is>
          <t>古瑞瓦特</t>
        </is>
      </c>
      <c r="C205" s="1523" t="inlineStr">
        <is>
          <t>MIN6000TL-X</t>
        </is>
      </c>
      <c r="D205" s="1523" t="n">
        <v>6</v>
      </c>
      <c r="E205" s="2132">
        <f>F205/D205</f>
        <v/>
      </c>
      <c r="F205" s="2134" t="n">
        <v>24000</v>
      </c>
      <c r="G205" s="1523" t="n">
        <v>20210703</v>
      </c>
      <c r="H205" s="764" t="inlineStr">
        <is>
          <t xml:space="preserve">10年保固 (1Φ) </t>
        </is>
      </c>
      <c r="I205" s="209" t="inlineStr">
        <is>
          <t>郭曜誠</t>
        </is>
      </c>
      <c r="J205" s="209" t="inlineStr">
        <is>
          <t>0975-515-112</t>
        </is>
      </c>
      <c r="K205" s="122" t="inlineStr">
        <is>
          <t>chance.kuo@vgwatt.com</t>
        </is>
      </c>
    </row>
    <row r="206" ht="16.5" customHeight="1" s="1643">
      <c r="A206" s="939" t="n"/>
      <c r="B206" s="365" t="inlineStr">
        <is>
          <t>古瑞瓦特</t>
        </is>
      </c>
      <c r="C206" s="1523" t="inlineStr">
        <is>
          <t>MIN6000TL-X</t>
        </is>
      </c>
      <c r="D206" s="1523" t="n">
        <v>6</v>
      </c>
      <c r="E206" s="2132">
        <f>F206/D206</f>
        <v/>
      </c>
      <c r="F206" s="2134" t="n">
        <v>47000</v>
      </c>
      <c r="G206" s="1523" t="n">
        <v>20210703</v>
      </c>
      <c r="H206" s="335" t="inlineStr">
        <is>
          <t xml:space="preserve">20年保固 (1Φ) </t>
        </is>
      </c>
      <c r="I206" s="209" t="inlineStr">
        <is>
          <t>郭曜誠</t>
        </is>
      </c>
      <c r="J206" s="209" t="inlineStr">
        <is>
          <t>0975-515-112</t>
        </is>
      </c>
      <c r="K206" s="122" t="inlineStr">
        <is>
          <t>chance.kuo@vgwatt.com</t>
        </is>
      </c>
    </row>
    <row r="207" ht="16.5" customHeight="1" s="1643">
      <c r="A207" s="800" t="n"/>
      <c r="B207" s="365" t="inlineStr">
        <is>
          <t>古瑞瓦特</t>
        </is>
      </c>
      <c r="C207" s="1523" t="inlineStr">
        <is>
          <t>MAC40K TL3-X</t>
        </is>
      </c>
      <c r="D207" s="1523" t="n">
        <v>40</v>
      </c>
      <c r="E207" s="2132">
        <f>F207/D207</f>
        <v/>
      </c>
      <c r="F207" s="2134" t="n">
        <v>70000</v>
      </c>
      <c r="G207" s="1523" t="n">
        <v>20210703</v>
      </c>
      <c r="H207" s="401" t="inlineStr">
        <is>
          <t xml:space="preserve">5年保固 (3Φ220/380V) </t>
        </is>
      </c>
      <c r="I207" s="209" t="inlineStr">
        <is>
          <t>郭曜誠</t>
        </is>
      </c>
      <c r="J207" s="209" t="inlineStr">
        <is>
          <t>0975-515-112</t>
        </is>
      </c>
      <c r="K207" s="122" t="inlineStr">
        <is>
          <t>chance.kuo@vgwatt.com</t>
        </is>
      </c>
    </row>
    <row r="208" ht="16.5" customHeight="1" s="1643">
      <c r="A208" s="800" t="n"/>
      <c r="B208" s="365" t="inlineStr">
        <is>
          <t>古瑞瓦特</t>
        </is>
      </c>
      <c r="C208" s="1523" t="inlineStr">
        <is>
          <t>MAC40K TL3-X</t>
        </is>
      </c>
      <c r="D208" s="1523" t="n">
        <v>40</v>
      </c>
      <c r="E208" s="2132">
        <f>F208/D208</f>
        <v/>
      </c>
      <c r="F208" s="2134" t="n">
        <v>88000</v>
      </c>
      <c r="G208" s="1523" t="n">
        <v>20210703</v>
      </c>
      <c r="H208" s="764" t="inlineStr">
        <is>
          <t xml:space="preserve">10年保固 (3Φ220/380V)  </t>
        </is>
      </c>
      <c r="I208" s="209" t="inlineStr">
        <is>
          <t>郭曜誠</t>
        </is>
      </c>
      <c r="J208" s="209" t="inlineStr">
        <is>
          <t>0975-515-112</t>
        </is>
      </c>
      <c r="K208" s="122" t="inlineStr">
        <is>
          <t>chance.kuo@vgwatt.com</t>
        </is>
      </c>
    </row>
    <row r="209" ht="16.5" customHeight="1" s="1643">
      <c r="A209" s="800" t="n"/>
      <c r="B209" s="365" t="inlineStr">
        <is>
          <t>古瑞瓦特</t>
        </is>
      </c>
      <c r="C209" s="1523" t="inlineStr">
        <is>
          <t>MAC40K TL3-X</t>
        </is>
      </c>
      <c r="D209" s="1523" t="n">
        <v>40</v>
      </c>
      <c r="E209" s="2132">
        <f>F209/D209</f>
        <v/>
      </c>
      <c r="F209" s="2134" t="n">
        <v>145000</v>
      </c>
      <c r="G209" s="1523" t="n">
        <v>20210703</v>
      </c>
      <c r="H209" s="335" t="inlineStr">
        <is>
          <t xml:space="preserve">20年保固 (3Φ220/380V) </t>
        </is>
      </c>
      <c r="I209" s="209" t="inlineStr">
        <is>
          <t>郭曜誠</t>
        </is>
      </c>
      <c r="J209" s="209" t="inlineStr">
        <is>
          <t>0975-515-112</t>
        </is>
      </c>
      <c r="K209" s="122" t="inlineStr">
        <is>
          <t>chance.kuo@vgwatt.com</t>
        </is>
      </c>
    </row>
    <row r="210" ht="16.5" customHeight="1" s="1643">
      <c r="A210" s="800" t="n"/>
      <c r="B210" s="365" t="inlineStr">
        <is>
          <t>古瑞瓦特</t>
        </is>
      </c>
      <c r="C210" s="1523" t="inlineStr">
        <is>
          <t>MAC50K TL3-X</t>
        </is>
      </c>
      <c r="D210" s="1523" t="n">
        <v>50</v>
      </c>
      <c r="E210" s="2132">
        <f>F210/D210</f>
        <v/>
      </c>
      <c r="F210" s="2134" t="n">
        <v>75000</v>
      </c>
      <c r="G210" s="1523" t="n">
        <v>20210703</v>
      </c>
      <c r="H210" s="401" t="inlineStr">
        <is>
          <t xml:space="preserve">5年保固 (3Φ220/380V) </t>
        </is>
      </c>
      <c r="I210" s="209" t="inlineStr">
        <is>
          <t>郭曜誠</t>
        </is>
      </c>
      <c r="J210" s="209" t="inlineStr">
        <is>
          <t>0975-515-112</t>
        </is>
      </c>
      <c r="K210" s="122" t="inlineStr">
        <is>
          <t>chance.kuo@vgwatt.com</t>
        </is>
      </c>
    </row>
    <row r="211" ht="16.5" customHeight="1" s="1643">
      <c r="A211" s="800" t="n"/>
      <c r="B211" s="365" t="inlineStr">
        <is>
          <t>古瑞瓦特</t>
        </is>
      </c>
      <c r="C211" s="1523" t="inlineStr">
        <is>
          <t>MAC50K TL3-X</t>
        </is>
      </c>
      <c r="D211" s="1523" t="n">
        <v>50</v>
      </c>
      <c r="E211" s="2132">
        <f>F211/D211</f>
        <v/>
      </c>
      <c r="F211" s="2134" t="n">
        <v>103000</v>
      </c>
      <c r="G211" s="1523" t="n">
        <v>20210703</v>
      </c>
      <c r="H211" s="764" t="inlineStr">
        <is>
          <t xml:space="preserve">10年保固 (3Φ220/380V)  </t>
        </is>
      </c>
      <c r="I211" s="209" t="inlineStr">
        <is>
          <t>郭曜誠</t>
        </is>
      </c>
      <c r="J211" s="209" t="inlineStr">
        <is>
          <t>0975-515-112</t>
        </is>
      </c>
      <c r="K211" s="122" t="inlineStr">
        <is>
          <t>chance.kuo@vgwatt.com</t>
        </is>
      </c>
    </row>
    <row r="212" ht="16.5" customHeight="1" s="1643">
      <c r="A212" s="800" t="n"/>
      <c r="B212" s="365" t="inlineStr">
        <is>
          <t>古瑞瓦特</t>
        </is>
      </c>
      <c r="C212" s="1523" t="inlineStr">
        <is>
          <t>MAC50K TL3-X</t>
        </is>
      </c>
      <c r="D212" s="1523" t="n">
        <v>50</v>
      </c>
      <c r="E212" s="2132">
        <f>F212/D212</f>
        <v/>
      </c>
      <c r="F212" s="2134" t="n">
        <v>172000</v>
      </c>
      <c r="G212" s="1523" t="n">
        <v>20210703</v>
      </c>
      <c r="H212" s="335" t="inlineStr">
        <is>
          <t xml:space="preserve">20年保固 (3Φ220/380V) </t>
        </is>
      </c>
      <c r="I212" s="209" t="inlineStr">
        <is>
          <t>郭曜誠</t>
        </is>
      </c>
      <c r="J212" s="209" t="inlineStr">
        <is>
          <t>0975-515-112</t>
        </is>
      </c>
      <c r="K212" s="122" t="inlineStr">
        <is>
          <t>chance.kuo@vgwatt.com</t>
        </is>
      </c>
    </row>
    <row r="213" ht="16.5" customHeight="1" s="1643">
      <c r="A213" s="800" t="n"/>
      <c r="B213" s="365" t="inlineStr">
        <is>
          <t>古瑞瓦特</t>
        </is>
      </c>
      <c r="C213" s="1523" t="inlineStr">
        <is>
          <t>MAC60K TL3-X</t>
        </is>
      </c>
      <c r="D213" s="1523" t="n">
        <v>60</v>
      </c>
      <c r="E213" s="2132">
        <f>F213/D213</f>
        <v/>
      </c>
      <c r="F213" s="2134" t="n">
        <v>82000</v>
      </c>
      <c r="G213" s="1523" t="n">
        <v>20210703</v>
      </c>
      <c r="H213" s="401" t="inlineStr">
        <is>
          <t xml:space="preserve">5年保固 (3Φ220/380V) </t>
        </is>
      </c>
      <c r="I213" s="209" t="inlineStr">
        <is>
          <t>郭曜誠</t>
        </is>
      </c>
      <c r="J213" s="209" t="inlineStr">
        <is>
          <t>0975-515-112</t>
        </is>
      </c>
      <c r="K213" s="122" t="inlineStr">
        <is>
          <t>chance.kuo@vgwatt.com</t>
        </is>
      </c>
    </row>
    <row r="214" ht="16.5" customHeight="1" s="1643">
      <c r="A214" s="800" t="n"/>
      <c r="B214" s="365" t="inlineStr">
        <is>
          <t>古瑞瓦特</t>
        </is>
      </c>
      <c r="C214" s="1523" t="inlineStr">
        <is>
          <t>MAC60K TL3-X</t>
        </is>
      </c>
      <c r="D214" s="1523" t="n">
        <v>60</v>
      </c>
      <c r="E214" s="2132">
        <f>F214/D214</f>
        <v/>
      </c>
      <c r="F214" s="2134" t="n">
        <v>115000</v>
      </c>
      <c r="G214" s="1523" t="n">
        <v>20210703</v>
      </c>
      <c r="H214" s="764" t="inlineStr">
        <is>
          <t xml:space="preserve">10年保固 (3Φ220/380V)  </t>
        </is>
      </c>
      <c r="I214" s="209" t="inlineStr">
        <is>
          <t>郭曜誠</t>
        </is>
      </c>
      <c r="J214" s="209" t="inlineStr">
        <is>
          <t>0975-515-112</t>
        </is>
      </c>
      <c r="K214" s="122" t="inlineStr">
        <is>
          <t>chance.kuo@vgwatt.com</t>
        </is>
      </c>
    </row>
    <row r="215" ht="16.5" customHeight="1" s="1643">
      <c r="A215" s="800" t="n"/>
      <c r="B215" s="365" t="inlineStr">
        <is>
          <t>古瑞瓦特</t>
        </is>
      </c>
      <c r="C215" s="1523" t="inlineStr">
        <is>
          <t>MAC60K TL3-X</t>
        </is>
      </c>
      <c r="D215" s="1523" t="n">
        <v>60</v>
      </c>
      <c r="E215" s="2132">
        <f>F215/D215</f>
        <v/>
      </c>
      <c r="F215" s="2134" t="n">
        <v>192000</v>
      </c>
      <c r="G215" s="1523" t="n">
        <v>20210703</v>
      </c>
      <c r="H215" s="335" t="inlineStr">
        <is>
          <t xml:space="preserve">20年保固 (3Φ220/380V) </t>
        </is>
      </c>
      <c r="I215" s="209" t="inlineStr">
        <is>
          <t>郭曜誠</t>
        </is>
      </c>
      <c r="J215" s="209" t="inlineStr">
        <is>
          <t>0975-515-112</t>
        </is>
      </c>
      <c r="K215" s="122" t="inlineStr">
        <is>
          <t>chance.kuo@vgwatt.com</t>
        </is>
      </c>
    </row>
    <row r="216" ht="16.5" customHeight="1" s="1643">
      <c r="B216" s="763" t="inlineStr">
        <is>
          <t>SMA</t>
        </is>
      </c>
      <c r="C216" s="366" t="inlineStr">
        <is>
          <t>STP50-40</t>
        </is>
      </c>
      <c r="D216" s="1523" t="n">
        <v>50</v>
      </c>
      <c r="E216" s="2132">
        <f>F216/D216</f>
        <v/>
      </c>
      <c r="F216" s="2134" t="n">
        <v>143000</v>
      </c>
      <c r="G216" s="1523" t="n">
        <v>20201014</v>
      </c>
      <c r="H216" s="205" t="inlineStr">
        <is>
          <t>5年保固 (3Φ220/380V)</t>
        </is>
      </c>
      <c r="I216" s="209" t="inlineStr">
        <is>
          <t>James Lee</t>
        </is>
      </c>
      <c r="J216" s="209" t="inlineStr">
        <is>
          <t>0975-703-858</t>
        </is>
      </c>
      <c r="K216" s="122" t="inlineStr">
        <is>
          <t>james.lee@acebusinesscorp.com</t>
        </is>
      </c>
    </row>
    <row r="217" ht="16.5" customHeight="1" s="1643">
      <c r="B217" s="763" t="inlineStr">
        <is>
          <t>SMA</t>
        </is>
      </c>
      <c r="C217" s="366" t="inlineStr">
        <is>
          <t>STP50-40</t>
        </is>
      </c>
      <c r="D217" s="1523" t="n">
        <v>50</v>
      </c>
      <c r="E217" s="2132">
        <f>F217/D217</f>
        <v/>
      </c>
      <c r="F217" s="2134" t="n">
        <v>210000</v>
      </c>
      <c r="G217" s="1523" t="n">
        <v>20201014</v>
      </c>
      <c r="H217" s="335" t="inlineStr">
        <is>
          <t xml:space="preserve">20年保固  (3Φ220/380V) </t>
        </is>
      </c>
      <c r="I217" s="209" t="inlineStr">
        <is>
          <t>James Lee</t>
        </is>
      </c>
      <c r="J217" s="209" t="inlineStr">
        <is>
          <t>0975-703-858</t>
        </is>
      </c>
      <c r="K217" s="122" t="inlineStr">
        <is>
          <t>james.lee@acebusinesscorp.com</t>
        </is>
      </c>
    </row>
    <row r="218" ht="16.5" customHeight="1" s="1643">
      <c r="B218" s="763" t="inlineStr">
        <is>
          <t>SMA</t>
        </is>
      </c>
      <c r="C218" s="366" t="inlineStr">
        <is>
          <t>SHP100-20</t>
        </is>
      </c>
      <c r="D218" s="1523" t="n">
        <v>100</v>
      </c>
      <c r="E218" s="2132">
        <f>F218/D218</f>
        <v/>
      </c>
      <c r="F218" s="2134" t="n">
        <v>188000</v>
      </c>
      <c r="G218" s="1523" t="n">
        <v>20201014</v>
      </c>
      <c r="H218" s="205" t="inlineStr">
        <is>
          <t>5年保固 (3Φ400V)</t>
        </is>
      </c>
      <c r="I218" s="209" t="inlineStr">
        <is>
          <t>James Lee</t>
        </is>
      </c>
      <c r="J218" s="209" t="inlineStr">
        <is>
          <t>0975-703-858</t>
        </is>
      </c>
      <c r="K218" s="122" t="inlineStr">
        <is>
          <t>james.lee@acebusinesscorp.com</t>
        </is>
      </c>
    </row>
    <row r="219" ht="16.5" customHeight="1" s="1643">
      <c r="B219" s="763" t="inlineStr">
        <is>
          <t>SMA</t>
        </is>
      </c>
      <c r="C219" s="366" t="inlineStr">
        <is>
          <t>SHP100-20</t>
        </is>
      </c>
      <c r="D219" s="1523" t="n">
        <v>100</v>
      </c>
      <c r="E219" s="2132">
        <f>F219/D219</f>
        <v/>
      </c>
      <c r="F219" s="2134" t="n">
        <v>286000</v>
      </c>
      <c r="G219" s="1523" t="n">
        <v>20201014</v>
      </c>
      <c r="H219" s="335" t="inlineStr">
        <is>
          <t xml:space="preserve">20年保固  (3Φ400V) </t>
        </is>
      </c>
      <c r="I219" s="209" t="inlineStr">
        <is>
          <t>James Lee</t>
        </is>
      </c>
      <c r="J219" s="209" t="inlineStr">
        <is>
          <t>0975-703-858</t>
        </is>
      </c>
      <c r="K219" s="122" t="inlineStr">
        <is>
          <t>james.lee@acebusinesscorp.com</t>
        </is>
      </c>
    </row>
    <row r="220">
      <c r="B220" s="789" t="inlineStr">
        <is>
          <t>SolarEdge</t>
        </is>
      </c>
      <c r="C220" s="366" t="inlineStr">
        <is>
          <t>SE82.8K</t>
        </is>
      </c>
      <c r="D220" s="366" t="n">
        <v>82.8</v>
      </c>
      <c r="E220" s="787">
        <f>F220/D220</f>
        <v/>
      </c>
      <c r="F220" s="2134" t="n">
        <v>144000</v>
      </c>
      <c r="G220" s="366" t="n">
        <v>20210511</v>
      </c>
      <c r="H220" s="788" t="inlineStr">
        <is>
          <t xml:space="preserve">20年保固  (3Φ220/380V) </t>
        </is>
      </c>
      <c r="I220" s="782" t="inlineStr">
        <is>
          <t>Jerry Chen</t>
        </is>
      </c>
      <c r="J220" s="782" t="inlineStr">
        <is>
          <t>0989-374-665</t>
        </is>
      </c>
      <c r="K220" s="782" t="inlineStr">
        <is>
          <t>Jerry.Chen@solaredge.com</t>
        </is>
      </c>
    </row>
    <row r="221">
      <c r="B221" s="789" t="inlineStr">
        <is>
          <t>SolarEdge</t>
        </is>
      </c>
      <c r="C221" s="366" t="inlineStr">
        <is>
          <t>P701 (1對2)</t>
        </is>
      </c>
      <c r="D221" s="366" t="n">
        <v>70</v>
      </c>
      <c r="E221" s="787">
        <f>F221/D221</f>
        <v/>
      </c>
      <c r="F221" s="2134" t="n">
        <v>1400</v>
      </c>
      <c r="G221" s="366" t="n">
        <v>20210511</v>
      </c>
      <c r="H221" s="782" t="inlineStr">
        <is>
          <t>25年保固 (優化器)</t>
        </is>
      </c>
      <c r="I221" s="782" t="inlineStr">
        <is>
          <t>Jerry Chen</t>
        </is>
      </c>
      <c r="J221" s="782" t="inlineStr">
        <is>
          <t>0989-374-665</t>
        </is>
      </c>
      <c r="K221" s="782" t="inlineStr">
        <is>
          <t>Jerry.Chen@solaredge.com</t>
        </is>
      </c>
    </row>
  </sheetData>
  <autoFilter ref="B11:K221">
    <filterColumn colId="0" hiddenButton="0" showButton="1">
      <filters>
        <filter val="新望"/>
      </filters>
    </filterColumn>
  </autoFilter>
  <mergeCells count="2">
    <mergeCell ref="I8:L8"/>
    <mergeCell ref="B8:E8"/>
  </mergeCells>
  <hyperlinks>
    <hyperlink xmlns:r="http://schemas.openxmlformats.org/officeDocument/2006/relationships" ref="K34" display="Vivi.Li@cyberpower.com" r:id="rId1"/>
    <hyperlink xmlns:r="http://schemas.openxmlformats.org/officeDocument/2006/relationships" ref="K35" display="Vivi.Li@cyberpower.com" r:id="rId2"/>
    <hyperlink xmlns:r="http://schemas.openxmlformats.org/officeDocument/2006/relationships" ref="K36" display="Vivi.Li@cyberpower.com" r:id="rId3"/>
    <hyperlink xmlns:r="http://schemas.openxmlformats.org/officeDocument/2006/relationships" ref="K37" display="Vivi.Li@cyberpower.com" r:id="rId4"/>
    <hyperlink xmlns:r="http://schemas.openxmlformats.org/officeDocument/2006/relationships" ref="K38" display="Vivi.Li@cyberpower.com" r:id="rId5"/>
    <hyperlink xmlns:r="http://schemas.openxmlformats.org/officeDocument/2006/relationships" ref="K39" display="Vivi.Li@cyberpower.com" r:id="rId6"/>
    <hyperlink xmlns:r="http://schemas.openxmlformats.org/officeDocument/2006/relationships" ref="K40" display="Vivi.Li@cyberpower.com" r:id="rId7"/>
    <hyperlink xmlns:r="http://schemas.openxmlformats.org/officeDocument/2006/relationships" ref="K41" display="Vivi.Li@cyberpower.com" r:id="rId8"/>
    <hyperlink xmlns:r="http://schemas.openxmlformats.org/officeDocument/2006/relationships" ref="K42" display="Vivi.Li@cyberpower.com" r:id="rId9"/>
    <hyperlink xmlns:r="http://schemas.openxmlformats.org/officeDocument/2006/relationships" ref="K43" display="Vivi.Li@cyberpower.com" r:id="rId10"/>
    <hyperlink xmlns:r="http://schemas.openxmlformats.org/officeDocument/2006/relationships" ref="K44" display="Vivi.Li@cyberpower.com" r:id="rId11"/>
    <hyperlink xmlns:r="http://schemas.openxmlformats.org/officeDocument/2006/relationships" ref="K45" display="Vivi.Li@cyberpower.com" r:id="rId12"/>
    <hyperlink xmlns:r="http://schemas.openxmlformats.org/officeDocument/2006/relationships" ref="K46" display="Vivi.Li@cyberpower.com" r:id="rId13"/>
    <hyperlink xmlns:r="http://schemas.openxmlformats.org/officeDocument/2006/relationships" ref="K47" display="Vivi.Li@cyberpower.com" r:id="rId14"/>
    <hyperlink xmlns:r="http://schemas.openxmlformats.org/officeDocument/2006/relationships" ref="K48" display="Vivi.Li@cyberpower.com" r:id="rId15"/>
    <hyperlink xmlns:r="http://schemas.openxmlformats.org/officeDocument/2006/relationships" ref="K49" display="Vivi.Li@cyberpower.com" r:id="rId16"/>
    <hyperlink xmlns:r="http://schemas.openxmlformats.org/officeDocument/2006/relationships" ref="K50" display="Vivi.Li@cyberpower.com" r:id="rId17"/>
    <hyperlink xmlns:r="http://schemas.openxmlformats.org/officeDocument/2006/relationships" ref="K51" display="Vivi.Li@cyberpower.com" r:id="rId18"/>
    <hyperlink xmlns:r="http://schemas.openxmlformats.org/officeDocument/2006/relationships" ref="K52" display="Vivi.Li@cyberpower.com" r:id="rId19"/>
    <hyperlink xmlns:r="http://schemas.openxmlformats.org/officeDocument/2006/relationships" ref="K53" display="Vivi.Li@cyberpower.com" r:id="rId20"/>
    <hyperlink xmlns:r="http://schemas.openxmlformats.org/officeDocument/2006/relationships" ref="K54" display="Vivi.Li@cyberpower.com" r:id="rId21"/>
    <hyperlink xmlns:r="http://schemas.openxmlformats.org/officeDocument/2006/relationships" ref="K55" display="Vivi.Li@cyberpower.com" r:id="rId22"/>
    <hyperlink xmlns:r="http://schemas.openxmlformats.org/officeDocument/2006/relationships" ref="K56" display="Vivi.Li@cyberpower.com" r:id="rId23"/>
    <hyperlink xmlns:r="http://schemas.openxmlformats.org/officeDocument/2006/relationships" ref="K57" display="Vivi.Li@cyberpower.com" r:id="rId24"/>
    <hyperlink xmlns:r="http://schemas.openxmlformats.org/officeDocument/2006/relationships" ref="K58" display="Vivi.Li@cyberpower.com" r:id="rId25"/>
    <hyperlink xmlns:r="http://schemas.openxmlformats.org/officeDocument/2006/relationships" ref="K59" display="Vivi.Li@cyberpower.com" r:id="rId26"/>
    <hyperlink xmlns:r="http://schemas.openxmlformats.org/officeDocument/2006/relationships" ref="K60" display="Vivi.Li@cyberpower.com" r:id="rId27"/>
    <hyperlink xmlns:r="http://schemas.openxmlformats.org/officeDocument/2006/relationships" ref="K61" display="Vivi.Li@cyberpower.com" r:id="rId28"/>
    <hyperlink xmlns:r="http://schemas.openxmlformats.org/officeDocument/2006/relationships" ref="K62" display="Vivi.Li@cyberpower.com" r:id="rId29"/>
    <hyperlink xmlns:r="http://schemas.openxmlformats.org/officeDocument/2006/relationships" ref="K63" display="Vivi.Li@cyberpower.com" r:id="rId30"/>
    <hyperlink xmlns:r="http://schemas.openxmlformats.org/officeDocument/2006/relationships" ref="K64" display="Vivi.Li@cyberpower.com" r:id="rId31"/>
    <hyperlink xmlns:r="http://schemas.openxmlformats.org/officeDocument/2006/relationships" ref="K65" display="Vivi.Li@cyberpower.com" r:id="rId32"/>
    <hyperlink xmlns:r="http://schemas.openxmlformats.org/officeDocument/2006/relationships" ref="K66" display="Vivi.Li@cyberpower.com" r:id="rId33"/>
    <hyperlink xmlns:r="http://schemas.openxmlformats.org/officeDocument/2006/relationships" ref="K67" display="Vivi.Li@cyberpower.com" r:id="rId34"/>
    <hyperlink xmlns:r="http://schemas.openxmlformats.org/officeDocument/2006/relationships" ref="K68" display="Vivi.Li@cyberpower.com" r:id="rId35"/>
    <hyperlink xmlns:r="http://schemas.openxmlformats.org/officeDocument/2006/relationships" ref="K69" display="Vivi.Li@cyberpower.com" r:id="rId36"/>
    <hyperlink xmlns:r="http://schemas.openxmlformats.org/officeDocument/2006/relationships" ref="K70" display="Vivi.Li@cyberpower.com" r:id="rId37"/>
    <hyperlink xmlns:r="http://schemas.openxmlformats.org/officeDocument/2006/relationships" ref="K71" display="Vivi.Li@cyberpower.com" r:id="rId38"/>
    <hyperlink xmlns:r="http://schemas.openxmlformats.org/officeDocument/2006/relationships" ref="K72" display="Vivi.Li@cyberpower.com" r:id="rId39"/>
    <hyperlink xmlns:r="http://schemas.openxmlformats.org/officeDocument/2006/relationships" ref="K73" display="Vivi.Li@cyberpower.com" r:id="rId40"/>
    <hyperlink xmlns:r="http://schemas.openxmlformats.org/officeDocument/2006/relationships" ref="K74" display="Vivi.Li@cyberpower.com" r:id="rId41"/>
    <hyperlink xmlns:r="http://schemas.openxmlformats.org/officeDocument/2006/relationships" ref="K75" r:id="rId42"/>
    <hyperlink xmlns:r="http://schemas.openxmlformats.org/officeDocument/2006/relationships" ref="K76" display="Aaron.Hsu@cyberpower.com" r:id="rId43"/>
    <hyperlink xmlns:r="http://schemas.openxmlformats.org/officeDocument/2006/relationships" ref="K77" display="Aaron.Hsu@cyberpower.com" r:id="rId44"/>
    <hyperlink xmlns:r="http://schemas.openxmlformats.org/officeDocument/2006/relationships" ref="K78" display="Aaron.Hsu@cyberpower.com" r:id="rId45"/>
    <hyperlink xmlns:r="http://schemas.openxmlformats.org/officeDocument/2006/relationships" ref="K79" display="Aaron.Hsu@cyberpower.com" r:id="rId46"/>
    <hyperlink xmlns:r="http://schemas.openxmlformats.org/officeDocument/2006/relationships" ref="K80" display="Aaron.Hsu@cyberpower.com" r:id="rId47"/>
    <hyperlink xmlns:r="http://schemas.openxmlformats.org/officeDocument/2006/relationships" ref="K81" display="Aaron.Hsu@cyberpower.com" r:id="rId48"/>
    <hyperlink xmlns:r="http://schemas.openxmlformats.org/officeDocument/2006/relationships" ref="K86" display="Aaron.Hsu@cyberpower.com" r:id="rId49"/>
    <hyperlink xmlns:r="http://schemas.openxmlformats.org/officeDocument/2006/relationships" ref="K87" display="Aaron.Hsu@cyberpower.com" r:id="rId50"/>
    <hyperlink xmlns:r="http://schemas.openxmlformats.org/officeDocument/2006/relationships" ref="K88" display="Aaron.Hsu@cyberpower.com" r:id="rId51"/>
    <hyperlink xmlns:r="http://schemas.openxmlformats.org/officeDocument/2006/relationships" ref="K89" display="Aaron.Hsu@cyberpower.com" r:id="rId52"/>
    <hyperlink xmlns:r="http://schemas.openxmlformats.org/officeDocument/2006/relationships" ref="K90" display="Aaron.Hsu@cyberpower.com" r:id="rId53"/>
    <hyperlink xmlns:r="http://schemas.openxmlformats.org/officeDocument/2006/relationships" ref="K91" display="Aaron.Hsu@cyberpower.com" r:id="rId54"/>
    <hyperlink xmlns:r="http://schemas.openxmlformats.org/officeDocument/2006/relationships" ref="K92" display="Aaron.Hsu@cyberpower.com" r:id="rId55"/>
    <hyperlink xmlns:r="http://schemas.openxmlformats.org/officeDocument/2006/relationships" ref="K93" display="Aaron.Hsu@cyberpower.com" r:id="rId56"/>
    <hyperlink xmlns:r="http://schemas.openxmlformats.org/officeDocument/2006/relationships" ref="K96" r:id="rId57"/>
    <hyperlink xmlns:r="http://schemas.openxmlformats.org/officeDocument/2006/relationships" ref="K97" r:id="rId58"/>
    <hyperlink xmlns:r="http://schemas.openxmlformats.org/officeDocument/2006/relationships" ref="K100" display="Aaron.Hsu@cyberpower.com" r:id="rId59"/>
    <hyperlink xmlns:r="http://schemas.openxmlformats.org/officeDocument/2006/relationships" ref="K101" display="Aaron.Hsu@cyberpower.com" r:id="rId60"/>
    <hyperlink xmlns:r="http://schemas.openxmlformats.org/officeDocument/2006/relationships" ref="K102" display="Aaron.Hsu@cyberpower.com" r:id="rId61"/>
    <hyperlink xmlns:r="http://schemas.openxmlformats.org/officeDocument/2006/relationships" ref="K103" display="Aaron.Hsu@cyberpower.com" r:id="rId62"/>
    <hyperlink xmlns:r="http://schemas.openxmlformats.org/officeDocument/2006/relationships" ref="K104" display="Aaron.Hsu@cyberpower.com" r:id="rId63"/>
    <hyperlink xmlns:r="http://schemas.openxmlformats.org/officeDocument/2006/relationships" ref="K105" display="Aaron.Hsu@cyberpower.com" r:id="rId64"/>
    <hyperlink xmlns:r="http://schemas.openxmlformats.org/officeDocument/2006/relationships" ref="K106" display="Aaron.Hsu@cyberpower.com" r:id="rId65"/>
    <hyperlink xmlns:r="http://schemas.openxmlformats.org/officeDocument/2006/relationships" ref="K107" display="Aaron.Hsu@cyberpower.com" r:id="rId66"/>
    <hyperlink xmlns:r="http://schemas.openxmlformats.org/officeDocument/2006/relationships" ref="K108" display="Aaron.Hsu@cyberpower.com" r:id="rId67"/>
    <hyperlink xmlns:r="http://schemas.openxmlformats.org/officeDocument/2006/relationships" ref="K109" display="Aaron.Hsu@cyberpower.com" r:id="rId68"/>
    <hyperlink xmlns:r="http://schemas.openxmlformats.org/officeDocument/2006/relationships" ref="K110" display="Aaron.Hsu@cyberpower.com" r:id="rId69"/>
    <hyperlink xmlns:r="http://schemas.openxmlformats.org/officeDocument/2006/relationships" ref="K111" display="Aaron.Hsu@cyberpower.com" r:id="rId70"/>
    <hyperlink xmlns:r="http://schemas.openxmlformats.org/officeDocument/2006/relationships" ref="K112" display="Aaron.Hsu@cyberpower.com" r:id="rId71"/>
    <hyperlink xmlns:r="http://schemas.openxmlformats.org/officeDocument/2006/relationships" ref="K113" display="Aaron.Hsu@cyberpower.com" r:id="rId72"/>
    <hyperlink xmlns:r="http://schemas.openxmlformats.org/officeDocument/2006/relationships" ref="K114" display="Aaron.Hsu@cyberpower.com" r:id="rId73"/>
    <hyperlink xmlns:r="http://schemas.openxmlformats.org/officeDocument/2006/relationships" ref="K115" display="Aaron.Hsu@cyberpower.com" r:id="rId74"/>
    <hyperlink xmlns:r="http://schemas.openxmlformats.org/officeDocument/2006/relationships" ref="K116" display="Aaron.Hsu@cyberpower.com" r:id="rId75"/>
    <hyperlink xmlns:r="http://schemas.openxmlformats.org/officeDocument/2006/relationships" ref="K117" display="Aaron.Hsu@cyberpower.com" r:id="rId76"/>
    <hyperlink xmlns:r="http://schemas.openxmlformats.org/officeDocument/2006/relationships" ref="K118" display="Aaron.Hsu@cyberpower.com" r:id="rId77"/>
    <hyperlink xmlns:r="http://schemas.openxmlformats.org/officeDocument/2006/relationships" ref="K119" display="Aaron.Hsu@cyberpower.com" r:id="rId78"/>
    <hyperlink xmlns:r="http://schemas.openxmlformats.org/officeDocument/2006/relationships" ref="K122" r:id="rId79"/>
    <hyperlink xmlns:r="http://schemas.openxmlformats.org/officeDocument/2006/relationships" ref="K123" r:id="rId80"/>
    <hyperlink xmlns:r="http://schemas.openxmlformats.org/officeDocument/2006/relationships" ref="K124" r:id="rId81"/>
    <hyperlink xmlns:r="http://schemas.openxmlformats.org/officeDocument/2006/relationships" ref="K125" r:id="rId82"/>
    <hyperlink xmlns:r="http://schemas.openxmlformats.org/officeDocument/2006/relationships" ref="K126" r:id="rId83"/>
    <hyperlink xmlns:r="http://schemas.openxmlformats.org/officeDocument/2006/relationships" ref="K127" r:id="rId84"/>
    <hyperlink xmlns:r="http://schemas.openxmlformats.org/officeDocument/2006/relationships" ref="K128" r:id="rId85"/>
    <hyperlink xmlns:r="http://schemas.openxmlformats.org/officeDocument/2006/relationships" ref="K129" r:id="rId86"/>
    <hyperlink xmlns:r="http://schemas.openxmlformats.org/officeDocument/2006/relationships" ref="K130" r:id="rId87"/>
    <hyperlink xmlns:r="http://schemas.openxmlformats.org/officeDocument/2006/relationships" ref="K131" r:id="rId88"/>
    <hyperlink xmlns:r="http://schemas.openxmlformats.org/officeDocument/2006/relationships" ref="K132" display="Vivi.Li@cyberpower.com" r:id="rId89"/>
    <hyperlink xmlns:r="http://schemas.openxmlformats.org/officeDocument/2006/relationships" ref="K133" display="Vivi.Li@cyberpower.com" r:id="rId90"/>
    <hyperlink xmlns:r="http://schemas.openxmlformats.org/officeDocument/2006/relationships" ref="K141" r:id="rId91"/>
    <hyperlink xmlns:r="http://schemas.openxmlformats.org/officeDocument/2006/relationships" ref="K142" r:id="rId92"/>
    <hyperlink xmlns:r="http://schemas.openxmlformats.org/officeDocument/2006/relationships" ref="K143" r:id="rId93"/>
    <hyperlink xmlns:r="http://schemas.openxmlformats.org/officeDocument/2006/relationships" ref="K144" r:id="rId94"/>
    <hyperlink xmlns:r="http://schemas.openxmlformats.org/officeDocument/2006/relationships" ref="K145" r:id="rId95"/>
    <hyperlink xmlns:r="http://schemas.openxmlformats.org/officeDocument/2006/relationships" ref="K146" r:id="rId96"/>
    <hyperlink xmlns:r="http://schemas.openxmlformats.org/officeDocument/2006/relationships" ref="K147" r:id="rId97"/>
    <hyperlink xmlns:r="http://schemas.openxmlformats.org/officeDocument/2006/relationships" ref="K148" r:id="rId98"/>
    <hyperlink xmlns:r="http://schemas.openxmlformats.org/officeDocument/2006/relationships" ref="K149" r:id="rId99"/>
    <hyperlink xmlns:r="http://schemas.openxmlformats.org/officeDocument/2006/relationships" ref="K150" r:id="rId100"/>
    <hyperlink xmlns:r="http://schemas.openxmlformats.org/officeDocument/2006/relationships" ref="K151" r:id="rId101"/>
    <hyperlink xmlns:r="http://schemas.openxmlformats.org/officeDocument/2006/relationships" ref="K152" r:id="rId102"/>
    <hyperlink xmlns:r="http://schemas.openxmlformats.org/officeDocument/2006/relationships" ref="K153" r:id="rId103"/>
    <hyperlink xmlns:r="http://schemas.openxmlformats.org/officeDocument/2006/relationships" ref="K154" r:id="rId104"/>
    <hyperlink xmlns:r="http://schemas.openxmlformats.org/officeDocument/2006/relationships" ref="K155" r:id="rId105"/>
    <hyperlink xmlns:r="http://schemas.openxmlformats.org/officeDocument/2006/relationships" ref="K156" r:id="rId106"/>
    <hyperlink xmlns:r="http://schemas.openxmlformats.org/officeDocument/2006/relationships" ref="K157" r:id="rId107"/>
    <hyperlink xmlns:r="http://schemas.openxmlformats.org/officeDocument/2006/relationships" ref="K158" r:id="rId108"/>
    <hyperlink xmlns:r="http://schemas.openxmlformats.org/officeDocument/2006/relationships" ref="K159" r:id="rId109"/>
    <hyperlink xmlns:r="http://schemas.openxmlformats.org/officeDocument/2006/relationships" ref="K160" r:id="rId110"/>
    <hyperlink xmlns:r="http://schemas.openxmlformats.org/officeDocument/2006/relationships" ref="K161" r:id="rId111"/>
    <hyperlink xmlns:r="http://schemas.openxmlformats.org/officeDocument/2006/relationships" ref="K162" r:id="rId112"/>
    <hyperlink xmlns:r="http://schemas.openxmlformats.org/officeDocument/2006/relationships" ref="K163" r:id="rId113"/>
    <hyperlink xmlns:r="http://schemas.openxmlformats.org/officeDocument/2006/relationships" ref="K164" r:id="rId114"/>
    <hyperlink xmlns:r="http://schemas.openxmlformats.org/officeDocument/2006/relationships" ref="K165" r:id="rId115"/>
    <hyperlink xmlns:r="http://schemas.openxmlformats.org/officeDocument/2006/relationships" ref="K166" r:id="rId116"/>
    <hyperlink xmlns:r="http://schemas.openxmlformats.org/officeDocument/2006/relationships" ref="K167" r:id="rId117"/>
    <hyperlink xmlns:r="http://schemas.openxmlformats.org/officeDocument/2006/relationships" ref="K168" r:id="rId118"/>
    <hyperlink xmlns:r="http://schemas.openxmlformats.org/officeDocument/2006/relationships" ref="K169" r:id="rId119"/>
    <hyperlink xmlns:r="http://schemas.openxmlformats.org/officeDocument/2006/relationships" ref="K170" r:id="rId120"/>
    <hyperlink xmlns:r="http://schemas.openxmlformats.org/officeDocument/2006/relationships" ref="K171" r:id="rId121"/>
    <hyperlink xmlns:r="http://schemas.openxmlformats.org/officeDocument/2006/relationships" ref="K172" r:id="rId122"/>
    <hyperlink xmlns:r="http://schemas.openxmlformats.org/officeDocument/2006/relationships" ref="K173" r:id="rId123"/>
    <hyperlink xmlns:r="http://schemas.openxmlformats.org/officeDocument/2006/relationships" ref="K174" r:id="rId124"/>
    <hyperlink xmlns:r="http://schemas.openxmlformats.org/officeDocument/2006/relationships" ref="K175" r:id="rId125"/>
    <hyperlink xmlns:r="http://schemas.openxmlformats.org/officeDocument/2006/relationships" ref="K176" r:id="rId126"/>
    <hyperlink xmlns:r="http://schemas.openxmlformats.org/officeDocument/2006/relationships" ref="K177" r:id="rId127"/>
    <hyperlink xmlns:r="http://schemas.openxmlformats.org/officeDocument/2006/relationships" ref="K178" r:id="rId128"/>
    <hyperlink xmlns:r="http://schemas.openxmlformats.org/officeDocument/2006/relationships" ref="K179" r:id="rId129"/>
    <hyperlink xmlns:r="http://schemas.openxmlformats.org/officeDocument/2006/relationships" ref="K180" r:id="rId130"/>
    <hyperlink xmlns:r="http://schemas.openxmlformats.org/officeDocument/2006/relationships" ref="K181" r:id="rId131"/>
    <hyperlink xmlns:r="http://schemas.openxmlformats.org/officeDocument/2006/relationships" ref="K182" r:id="rId132"/>
    <hyperlink xmlns:r="http://schemas.openxmlformats.org/officeDocument/2006/relationships" ref="K183" r:id="rId133"/>
    <hyperlink xmlns:r="http://schemas.openxmlformats.org/officeDocument/2006/relationships" ref="K184" r:id="rId134"/>
    <hyperlink xmlns:r="http://schemas.openxmlformats.org/officeDocument/2006/relationships" ref="K185" r:id="rId135"/>
    <hyperlink xmlns:r="http://schemas.openxmlformats.org/officeDocument/2006/relationships" ref="K186" r:id="rId136"/>
    <hyperlink xmlns:r="http://schemas.openxmlformats.org/officeDocument/2006/relationships" ref="K187" r:id="rId137"/>
    <hyperlink xmlns:r="http://schemas.openxmlformats.org/officeDocument/2006/relationships" ref="K188" r:id="rId138"/>
    <hyperlink xmlns:r="http://schemas.openxmlformats.org/officeDocument/2006/relationships" ref="K191" r:id="rId139"/>
    <hyperlink xmlns:r="http://schemas.openxmlformats.org/officeDocument/2006/relationships" ref="K192" display="chance.kuo@vgwatt.com" r:id="rId140"/>
    <hyperlink xmlns:r="http://schemas.openxmlformats.org/officeDocument/2006/relationships" ref="K193" display="chance.kuo@vgwatt.com" r:id="rId141"/>
    <hyperlink xmlns:r="http://schemas.openxmlformats.org/officeDocument/2006/relationships" ref="K194" display="chance.kuo@vgwatt.com" r:id="rId142"/>
    <hyperlink xmlns:r="http://schemas.openxmlformats.org/officeDocument/2006/relationships" ref="K195" display="chance.kuo@vgwatt.com" r:id="rId143"/>
    <hyperlink xmlns:r="http://schemas.openxmlformats.org/officeDocument/2006/relationships" ref="K196" r:id="rId144"/>
    <hyperlink xmlns:r="http://schemas.openxmlformats.org/officeDocument/2006/relationships" ref="K197" r:id="rId145"/>
    <hyperlink xmlns:r="http://schemas.openxmlformats.org/officeDocument/2006/relationships" ref="K198" r:id="rId146"/>
    <hyperlink xmlns:r="http://schemas.openxmlformats.org/officeDocument/2006/relationships" ref="K199" r:id="rId147"/>
    <hyperlink xmlns:r="http://schemas.openxmlformats.org/officeDocument/2006/relationships" ref="K200" r:id="rId148"/>
    <hyperlink xmlns:r="http://schemas.openxmlformats.org/officeDocument/2006/relationships" ref="K201" r:id="rId149"/>
    <hyperlink xmlns:r="http://schemas.openxmlformats.org/officeDocument/2006/relationships" ref="K202" r:id="rId150"/>
    <hyperlink xmlns:r="http://schemas.openxmlformats.org/officeDocument/2006/relationships" ref="K203" r:id="rId151"/>
    <hyperlink xmlns:r="http://schemas.openxmlformats.org/officeDocument/2006/relationships" ref="K204" r:id="rId152"/>
    <hyperlink xmlns:r="http://schemas.openxmlformats.org/officeDocument/2006/relationships" ref="K205" r:id="rId153"/>
    <hyperlink xmlns:r="http://schemas.openxmlformats.org/officeDocument/2006/relationships" ref="K206" r:id="rId154"/>
    <hyperlink xmlns:r="http://schemas.openxmlformats.org/officeDocument/2006/relationships" ref="K207" r:id="rId155"/>
    <hyperlink xmlns:r="http://schemas.openxmlformats.org/officeDocument/2006/relationships" ref="K208" r:id="rId156"/>
    <hyperlink xmlns:r="http://schemas.openxmlformats.org/officeDocument/2006/relationships" ref="K209" r:id="rId157"/>
    <hyperlink xmlns:r="http://schemas.openxmlformats.org/officeDocument/2006/relationships" ref="K210" r:id="rId158"/>
    <hyperlink xmlns:r="http://schemas.openxmlformats.org/officeDocument/2006/relationships" ref="K211" r:id="rId159"/>
    <hyperlink xmlns:r="http://schemas.openxmlformats.org/officeDocument/2006/relationships" ref="K212" r:id="rId160"/>
    <hyperlink xmlns:r="http://schemas.openxmlformats.org/officeDocument/2006/relationships" ref="K213" r:id="rId161"/>
    <hyperlink xmlns:r="http://schemas.openxmlformats.org/officeDocument/2006/relationships" ref="K214" r:id="rId162"/>
    <hyperlink xmlns:r="http://schemas.openxmlformats.org/officeDocument/2006/relationships" ref="K215" r:id="rId163"/>
  </hyperlinks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42"/>
  <sheetViews>
    <sheetView workbookViewId="0">
      <pane ySplit="4" topLeftCell="A9" activePane="bottomLeft" state="frozen"/>
      <selection pane="bottomLeft" activeCell="D41" sqref="D41"/>
    </sheetView>
  </sheetViews>
  <sheetFormatPr baseColWidth="8" defaultColWidth="9" defaultRowHeight="14.25"/>
  <cols>
    <col width="1.25" customWidth="1" style="5" min="1" max="1"/>
    <col width="9.5" bestFit="1" customWidth="1" style="5" min="2" max="2"/>
    <col width="11.625" bestFit="1" customWidth="1" style="5" min="3" max="3"/>
    <col width="12.375" bestFit="1" customWidth="1" style="5" min="4" max="4"/>
    <col width="12.125" customWidth="1" style="5" min="5" max="5"/>
    <col width="12.25" customWidth="1" style="5" min="6" max="6"/>
    <col width="12" bestFit="1" customWidth="1" style="5" min="7" max="7"/>
    <col width="29.375" customWidth="1" style="5" min="8" max="8"/>
    <col width="6.375" bestFit="1" customWidth="1" style="5" min="9" max="9"/>
    <col width="9.5" bestFit="1" customWidth="1" style="5" min="10" max="10"/>
    <col width="26.375" bestFit="1" customWidth="1" style="5" min="11" max="11"/>
    <col width="21.25" bestFit="1" customWidth="1" style="5" min="12" max="12"/>
    <col width="9" customWidth="1" style="5" min="13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規格(KW)</t>
        </is>
      </c>
      <c r="E2" s="1523" t="inlineStr">
        <is>
          <t>報價(台幣/W)</t>
        </is>
      </c>
      <c r="F2" s="1523" t="inlineStr">
        <is>
          <t>總報價 (台幣)</t>
        </is>
      </c>
    </row>
    <row r="3">
      <c r="B3" s="1523">
        <f>B7</f>
        <v/>
      </c>
      <c r="C3" s="1523">
        <f>C7</f>
        <v/>
      </c>
      <c r="D3" s="1523">
        <f>D7</f>
        <v/>
      </c>
      <c r="E3" s="1523">
        <f>E7</f>
        <v/>
      </c>
      <c r="F3" s="1523">
        <f>F7</f>
        <v/>
      </c>
    </row>
    <row r="4">
      <c r="B4" s="207" t="n"/>
      <c r="C4" s="207" t="n"/>
      <c r="D4" s="207" t="n"/>
      <c r="E4" s="207" t="n"/>
      <c r="F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規格(KW)</t>
        </is>
      </c>
      <c r="E6" s="1523" t="inlineStr">
        <is>
          <t>報價(台幣/W)</t>
        </is>
      </c>
      <c r="F6" s="1523" t="inlineStr">
        <is>
          <t>總報價 (台幣)</t>
        </is>
      </c>
      <c r="G6" s="1523" t="inlineStr">
        <is>
          <t>報價時間</t>
        </is>
      </c>
      <c r="H6" s="1523" t="inlineStr">
        <is>
          <t>NOTE</t>
        </is>
      </c>
      <c r="I6" s="1523" t="inlineStr">
        <is>
          <t>聯絡人</t>
        </is>
      </c>
      <c r="J6" s="1523" t="inlineStr">
        <is>
          <t>聯絡方式</t>
        </is>
      </c>
      <c r="K6" s="1523" t="inlineStr">
        <is>
          <t>Email</t>
        </is>
      </c>
    </row>
    <row r="7" ht="28.5" customHeight="1" s="1643">
      <c r="B7" s="1523" t="inlineStr">
        <is>
          <t>先啟</t>
        </is>
      </c>
      <c r="C7" s="1523" t="inlineStr">
        <is>
          <t xml:space="preserve">SP-10000 </t>
        </is>
      </c>
      <c r="D7" s="1523" t="n">
        <v>10</v>
      </c>
      <c r="E7" s="1523">
        <f>F7/D7/1000</f>
        <v/>
      </c>
      <c r="F7" s="2132" t="n">
        <v>95000</v>
      </c>
      <c r="G7" s="1523" t="inlineStr">
        <is>
          <t>2016/2月</t>
        </is>
      </c>
      <c r="H7" s="229" t="inlineStr">
        <is>
          <t>1.SP-10000 premium hybrid inverter 220vac 3P
2.產品保固2年</t>
        </is>
      </c>
      <c r="I7" s="205" t="inlineStr">
        <is>
          <t>蘇子雲</t>
        </is>
      </c>
      <c r="J7" s="205" t="inlineStr">
        <is>
          <t>0930-599834</t>
        </is>
      </c>
      <c r="K7" s="230" t="inlineStr">
        <is>
          <t>soeasy@prospect-technology.com</t>
        </is>
      </c>
    </row>
    <row r="8" ht="43.5" customHeight="1" s="1643">
      <c r="B8" s="1523" t="inlineStr">
        <is>
          <t>先啟</t>
        </is>
      </c>
      <c r="C8" s="1523" t="inlineStr">
        <is>
          <t>SP3000-Brilliant</t>
        </is>
      </c>
      <c r="D8" s="1523" t="n">
        <v>3</v>
      </c>
      <c r="E8" s="1523">
        <f>F8/D8/1000</f>
        <v/>
      </c>
      <c r="F8" s="1523" t="n">
        <v>30000</v>
      </c>
      <c r="G8" s="1523" t="inlineStr">
        <is>
          <t>2016/4月</t>
        </is>
      </c>
      <c r="H8" s="310" t="inlineStr">
        <is>
          <t>1.220V負載
2.無市電混合</t>
        </is>
      </c>
      <c r="I8" s="1523" t="n"/>
      <c r="J8" s="1523" t="n"/>
      <c r="K8" s="1523" t="n"/>
    </row>
    <row r="9" ht="44.25" customHeight="1" s="1643">
      <c r="B9" s="1523" t="inlineStr">
        <is>
          <t>先啟</t>
        </is>
      </c>
      <c r="C9" s="1523" t="inlineStr">
        <is>
          <t>Pxxx</t>
        </is>
      </c>
      <c r="D9" s="1523" t="n">
        <v>3</v>
      </c>
      <c r="E9" s="2162">
        <f>F9/D9/1000</f>
        <v/>
      </c>
      <c r="F9" s="1523" t="n">
        <v>38000</v>
      </c>
      <c r="G9" s="1523" t="inlineStr">
        <is>
          <t>2016/4月</t>
        </is>
      </c>
      <c r="H9" s="310" t="inlineStr">
        <is>
          <t>1.220V負載
2.市電混合
3.待確定規格</t>
        </is>
      </c>
      <c r="I9" s="1523" t="n"/>
      <c r="J9" s="1523" t="n"/>
      <c r="K9" s="1523" t="n"/>
    </row>
    <row r="10">
      <c r="B10" s="1523" t="inlineStr">
        <is>
          <t>盈正</t>
        </is>
      </c>
      <c r="C10" s="1523" t="inlineStr">
        <is>
          <t>ESS-5000</t>
        </is>
      </c>
      <c r="D10" s="1523" t="n">
        <v>5</v>
      </c>
      <c r="E10" s="2162">
        <f>F10/D10/1000</f>
        <v/>
      </c>
      <c r="F10" s="1523" t="n">
        <v>260000</v>
      </c>
      <c r="G10" s="1523" t="inlineStr">
        <is>
          <t>2019/5月</t>
        </is>
      </c>
      <c r="H10" s="310" t="inlineStr">
        <is>
          <t>使用6度電 48Vdc 鋰三元電池</t>
        </is>
      </c>
      <c r="I10" s="1523" t="inlineStr">
        <is>
          <t>林岱明</t>
        </is>
      </c>
      <c r="J10" s="1523" t="n">
        <v>916877705</v>
      </c>
      <c r="K10" s="1523" t="n"/>
    </row>
    <row r="17">
      <c r="H17" s="5" t="inlineStr">
        <is>
          <t> </t>
        </is>
      </c>
    </row>
    <row r="32">
      <c r="C32" s="5" t="inlineStr">
        <is>
          <t>(電池)</t>
        </is>
      </c>
      <c r="D32" s="5" t="inlineStr">
        <is>
          <t>(放電深度)</t>
        </is>
      </c>
      <c r="E32" s="5" t="inlineStr">
        <is>
          <t>(價格)</t>
        </is>
      </c>
      <c r="F32" s="5" t="inlineStr">
        <is>
          <t>(壽命)</t>
        </is>
      </c>
    </row>
    <row r="33">
      <c r="C33" s="5" t="inlineStr">
        <is>
          <t>鋰鐵</t>
        </is>
      </c>
      <c r="D33" s="5" t="inlineStr">
        <is>
          <t>放淺10~20%</t>
        </is>
      </c>
    </row>
    <row r="35">
      <c r="C35" s="5" t="inlineStr">
        <is>
          <t>鉛酸</t>
        </is>
      </c>
      <c r="D35" s="5" t="inlineStr">
        <is>
          <t>放50%</t>
        </is>
      </c>
      <c r="E35" s="2163" t="n">
        <v>4000</v>
      </c>
      <c r="F35" s="207" t="inlineStr">
        <is>
          <t>2年</t>
        </is>
      </c>
    </row>
    <row r="36">
      <c r="B36" s="302" t="inlineStr">
        <is>
          <t>(進階)</t>
        </is>
      </c>
      <c r="C36" s="5" t="inlineStr">
        <is>
          <t>深循環</t>
        </is>
      </c>
      <c r="D36" s="5" t="inlineStr">
        <is>
          <t>放50%</t>
        </is>
      </c>
      <c r="E36" s="2163" t="n">
        <v>7000</v>
      </c>
      <c r="F36" s="207" t="inlineStr">
        <is>
          <t>4年</t>
        </is>
      </c>
    </row>
    <row r="37">
      <c r="E37" s="207" t="n"/>
      <c r="F37" s="207" t="n"/>
    </row>
    <row r="38">
      <c r="C38" s="5" t="inlineStr">
        <is>
          <t>鋰酸鋰鐵</t>
        </is>
      </c>
      <c r="D38" s="5" t="inlineStr">
        <is>
          <t>放80%</t>
        </is>
      </c>
      <c r="E38" s="2163" t="n">
        <v>20000</v>
      </c>
      <c r="F38" s="207" t="inlineStr">
        <is>
          <t>5~8年</t>
        </is>
      </c>
    </row>
    <row r="40">
      <c r="C40" s="5" t="inlineStr">
        <is>
          <t>三鋰元</t>
        </is>
      </c>
      <c r="D40" s="5" t="inlineStr">
        <is>
          <t>很容易燒(活性大)、不建議</t>
        </is>
      </c>
    </row>
    <row r="42">
      <c r="C42" s="5" t="inlineStr">
        <is>
          <t>◎感性負載=負載x3</t>
        </is>
      </c>
    </row>
  </sheetData>
  <autoFilter ref="B6:H6"/>
  <hyperlinks>
    <hyperlink xmlns:r="http://schemas.openxmlformats.org/officeDocument/2006/relationships" ref="K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Q41"/>
  <sheetViews>
    <sheetView zoomScaleNormal="100" workbookViewId="0">
      <pane ySplit="9" topLeftCell="A40" activePane="bottomLeft" state="frozen"/>
      <selection pane="bottomLeft" activeCell="K56" sqref="K56"/>
    </sheetView>
  </sheetViews>
  <sheetFormatPr baseColWidth="8" defaultColWidth="9" defaultRowHeight="14.25"/>
  <cols>
    <col width="3.125" customWidth="1" style="5" min="1" max="1"/>
    <col width="8.375" customWidth="1" style="5" min="2" max="2"/>
    <col width="11.75" customWidth="1" style="5" min="3" max="3"/>
    <col width="13" customWidth="1" style="5" min="4" max="4"/>
    <col width="12.125" customWidth="1" style="5" min="5" max="5"/>
    <col width="12.25" customWidth="1" style="5" min="6" max="6"/>
    <col width="10.375" bestFit="1" customWidth="1" style="5" min="7" max="7"/>
    <col width="12.125" customWidth="1" style="5" min="8" max="8"/>
    <col width="9.625" bestFit="1" customWidth="1" style="5" min="9" max="9"/>
    <col width="12.375" customWidth="1" style="5" min="10" max="10"/>
    <col width="42.25" bestFit="1" customWidth="1" style="5" min="11" max="11"/>
    <col width="5.375" customWidth="1" style="5" min="12" max="12"/>
    <col width="8" bestFit="1" customWidth="1" style="5" min="13" max="13"/>
    <col width="13.125" bestFit="1" customWidth="1" style="5" min="14" max="14"/>
    <col width="8.75" bestFit="1" customWidth="1" style="5" min="15" max="15"/>
    <col width="12.25" bestFit="1" customWidth="1" style="5" min="16" max="16"/>
    <col width="9" customWidth="1" style="5" min="17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235" t="inlineStr">
        <is>
          <t>平貼-規格(KW)</t>
        </is>
      </c>
      <c r="E2" s="1523" t="inlineStr">
        <is>
          <t>報價(台幣/片)</t>
        </is>
      </c>
      <c r="F2" s="207" t="n"/>
      <c r="G2" s="1523" t="inlineStr">
        <is>
          <t>選用廠商</t>
        </is>
      </c>
      <c r="H2" s="1523" t="inlineStr">
        <is>
          <t>型號</t>
        </is>
      </c>
      <c r="I2" s="235" t="inlineStr">
        <is>
          <t>平貼</t>
        </is>
      </c>
      <c r="J2" s="1523" t="inlineStr">
        <is>
          <t>報價</t>
        </is>
      </c>
      <c r="M2" s="1523" t="inlineStr">
        <is>
          <t>選用廠商</t>
        </is>
      </c>
      <c r="N2" s="1523" t="inlineStr">
        <is>
          <t>型號</t>
        </is>
      </c>
      <c r="O2" s="235" t="inlineStr">
        <is>
          <t>規格</t>
        </is>
      </c>
      <c r="P2" s="1523" t="inlineStr">
        <is>
          <t>報價</t>
        </is>
      </c>
    </row>
    <row r="3">
      <c r="B3" s="1523">
        <f>B35</f>
        <v/>
      </c>
      <c r="C3" s="1523">
        <f>C35</f>
        <v/>
      </c>
      <c r="D3" s="1523">
        <f>D35</f>
        <v/>
      </c>
      <c r="E3" s="1523">
        <f>E35</f>
        <v/>
      </c>
      <c r="F3" s="2164" t="n"/>
      <c r="G3" s="1523" t="inlineStr">
        <is>
          <t>璟元</t>
        </is>
      </c>
      <c r="H3" s="1523" t="inlineStr">
        <is>
          <t>防水支架(一代)</t>
        </is>
      </c>
      <c r="I3" s="1523" t="inlineStr">
        <is>
          <t>(台幣/KW)</t>
        </is>
      </c>
      <c r="J3" s="1523" t="inlineStr">
        <is>
          <t>4000~4300</t>
        </is>
      </c>
      <c r="K3" s="5" t="inlineStr">
        <is>
          <t>不含鋼骨，實際報價依圖面；跨距2m</t>
        </is>
      </c>
      <c r="M3" s="1523" t="inlineStr">
        <is>
          <t>璟元</t>
        </is>
      </c>
      <c r="N3" s="1523" t="inlineStr">
        <is>
          <t>魚鱗式(40*40)</t>
        </is>
      </c>
      <c r="O3" s="1523" t="inlineStr">
        <is>
          <t>(台幣/KW)</t>
        </is>
      </c>
      <c r="P3" s="1523" t="n">
        <v>5000</v>
      </c>
      <c r="Q3" s="5" t="inlineStr">
        <is>
          <t>高點1米，斜度10度；支架含螺絲(不含牙條)</t>
        </is>
      </c>
    </row>
    <row r="4">
      <c r="B4" s="1523" t="inlineStr">
        <is>
          <t>選用廠商</t>
        </is>
      </c>
      <c r="C4" s="1523" t="inlineStr">
        <is>
          <t>型號</t>
        </is>
      </c>
      <c r="D4" s="212" t="inlineStr">
        <is>
          <t>仰角-規格(KW)</t>
        </is>
      </c>
      <c r="E4" s="1523" t="inlineStr">
        <is>
          <t>報價(台幣/片)</t>
        </is>
      </c>
      <c r="F4" s="1493" t="n"/>
      <c r="G4" s="1523" t="inlineStr">
        <is>
          <t>璟元</t>
        </is>
      </c>
      <c r="H4" s="1523" t="inlineStr">
        <is>
          <t>防水支架(二代)</t>
        </is>
      </c>
      <c r="I4" s="1523" t="inlineStr">
        <is>
          <t>(台幣/KW)</t>
        </is>
      </c>
      <c r="J4" s="1523" t="inlineStr">
        <is>
          <t>4600~4800</t>
        </is>
      </c>
      <c r="K4" s="5" t="inlineStr">
        <is>
          <t>不含鋼骨，實際報價依圖面；跨距3.8m~4m</t>
        </is>
      </c>
      <c r="M4" s="1523" t="inlineStr">
        <is>
          <t>璟元</t>
        </is>
      </c>
      <c r="N4" s="1523" t="inlineStr">
        <is>
          <t>魚鱗式(80*80)</t>
        </is>
      </c>
      <c r="O4" s="1523" t="inlineStr">
        <is>
          <t>(台幣/KW)</t>
        </is>
      </c>
      <c r="P4" s="1523" t="n">
        <v>5300</v>
      </c>
      <c r="Q4" s="5" t="inlineStr">
        <is>
          <t>高點1米，斜度10度；支架含螺絲(不含牙條)</t>
        </is>
      </c>
    </row>
    <row r="5">
      <c r="B5" s="1523">
        <f>B32</f>
        <v/>
      </c>
      <c r="C5" s="1523">
        <f>C32</f>
        <v/>
      </c>
      <c r="D5" s="1523">
        <f>D32</f>
        <v/>
      </c>
      <c r="E5" s="1523">
        <f>E32</f>
        <v/>
      </c>
      <c r="F5" s="1493" t="n"/>
      <c r="G5" s="1523" t="inlineStr">
        <is>
          <t>雅唐</t>
        </is>
      </c>
      <c r="H5" s="1523" t="inlineStr">
        <is>
          <t>防水支架</t>
        </is>
      </c>
      <c r="I5" s="1523" t="inlineStr">
        <is>
          <t>(台幣/坪)</t>
        </is>
      </c>
      <c r="J5" s="1523" t="n">
        <v>14000</v>
      </c>
      <c r="K5" s="5" t="inlineStr">
        <is>
          <t>不含鋼骨，含工帶料</t>
        </is>
      </c>
      <c r="M5" s="1523" t="inlineStr">
        <is>
          <t>璟元</t>
        </is>
      </c>
      <c r="N5" s="1523" t="inlineStr">
        <is>
          <t>矮棚(100*100)</t>
        </is>
      </c>
      <c r="O5" s="1523" t="inlineStr">
        <is>
          <t>(台幣/KW)</t>
        </is>
      </c>
      <c r="P5" s="1523" t="inlineStr">
        <is>
          <t>6000-6500</t>
        </is>
      </c>
      <c r="Q5" s="5" t="inlineStr">
        <is>
          <t>高點2米，跨距3.5米；支架含螺絲(不含牙條)</t>
        </is>
      </c>
    </row>
    <row r="6">
      <c r="B6" s="1523" t="inlineStr">
        <is>
          <t>選用廠商</t>
        </is>
      </c>
      <c r="C6" s="1523" t="inlineStr">
        <is>
          <t>型號</t>
        </is>
      </c>
      <c r="D6" s="213" t="inlineStr">
        <is>
          <t>棚架-規格(KW)</t>
        </is>
      </c>
      <c r="E6" s="1523" t="inlineStr">
        <is>
          <t>報價(台幣/片)</t>
        </is>
      </c>
      <c r="F6" s="1493" t="n"/>
      <c r="G6" s="1523" t="inlineStr">
        <is>
          <t>選用廠商</t>
        </is>
      </c>
      <c r="H6" s="1523" t="inlineStr">
        <is>
          <t>型號</t>
        </is>
      </c>
      <c r="I6" s="213" t="inlineStr">
        <is>
          <t>棚架</t>
        </is>
      </c>
      <c r="J6" s="1523" t="inlineStr">
        <is>
          <t>報價(台幣/KW)</t>
        </is>
      </c>
      <c r="M6" s="1523" t="inlineStr">
        <is>
          <t>選用廠商</t>
        </is>
      </c>
      <c r="N6" s="1523" t="inlineStr">
        <is>
          <t>型號</t>
        </is>
      </c>
      <c r="O6" s="213" t="inlineStr">
        <is>
          <t>規格</t>
        </is>
      </c>
      <c r="P6" s="1523" t="inlineStr">
        <is>
          <t>報價(台幣/KW)</t>
        </is>
      </c>
    </row>
    <row r="7">
      <c r="B7" s="1523">
        <f>B24</f>
        <v/>
      </c>
      <c r="C7" s="1523">
        <f>C24</f>
        <v/>
      </c>
      <c r="D7" s="1523">
        <f>D24</f>
        <v/>
      </c>
      <c r="E7" s="1523">
        <f>E24</f>
        <v/>
      </c>
      <c r="F7" s="1493" t="n"/>
      <c r="G7" s="1523" t="inlineStr">
        <is>
          <t>聯美營造</t>
        </is>
      </c>
      <c r="H7" s="1523" t="inlineStr">
        <is>
          <t>防水系統總工程</t>
        </is>
      </c>
      <c r="I7" s="1523" t="inlineStr">
        <is>
          <t>套餐</t>
        </is>
      </c>
      <c r="J7" s="1523" t="n">
        <v>75000</v>
      </c>
      <c r="K7" s="5" t="inlineStr">
        <is>
          <t>總工程造價 套餐1KW 7~8萬，防水保固3年，H沒熱浸</t>
        </is>
      </c>
      <c r="M7" s="1523" t="inlineStr">
        <is>
          <t>旭東</t>
        </is>
      </c>
      <c r="N7" s="1523" t="inlineStr">
        <is>
          <t>浮筒</t>
        </is>
      </c>
      <c r="O7" s="1523" t="inlineStr">
        <is>
          <t>一島(12片)</t>
        </is>
      </c>
      <c r="P7" s="1523" t="n">
        <v>3850</v>
      </c>
      <c r="Q7" s="5" t="inlineStr">
        <is>
          <t>含浮台、支架鐵件，不含安裝及固定方式</t>
        </is>
      </c>
    </row>
    <row r="8">
      <c r="G8" s="207" t="n"/>
    </row>
    <row r="9">
      <c r="B9" s="1523" t="inlineStr">
        <is>
          <t>廠商</t>
        </is>
      </c>
      <c r="C9" s="1523" t="inlineStr">
        <is>
          <t>型號</t>
        </is>
      </c>
      <c r="D9" s="1523" t="inlineStr">
        <is>
          <t>規格(KW)</t>
        </is>
      </c>
      <c r="E9" s="1523" t="inlineStr">
        <is>
          <t>報價(台幣/片)</t>
        </is>
      </c>
      <c r="F9" s="1523" t="inlineStr">
        <is>
          <t>總報價 (台幣)</t>
        </is>
      </c>
      <c r="G9" s="1523" t="inlineStr">
        <is>
          <t>總片數</t>
        </is>
      </c>
      <c r="H9" s="1523" t="inlineStr">
        <is>
          <t>報價時間</t>
        </is>
      </c>
      <c r="I9" s="1523" t="inlineStr">
        <is>
          <t>案件</t>
        </is>
      </c>
      <c r="J9" s="1523" t="inlineStr">
        <is>
          <t>案場概述</t>
        </is>
      </c>
      <c r="K9" s="1523" t="inlineStr">
        <is>
          <t>詳細規格</t>
        </is>
      </c>
    </row>
    <row r="10" ht="54" customHeight="1" s="1643">
      <c r="B10" s="1523" t="inlineStr">
        <is>
          <t>推進</t>
        </is>
      </c>
      <c r="C10" s="1523" t="inlineStr">
        <is>
          <t>50 x 25mm</t>
        </is>
      </c>
      <c r="D10" s="235" t="inlineStr">
        <is>
          <t>平貼</t>
        </is>
      </c>
      <c r="E10" s="1523">
        <f>ROUNDUP((F10/G10),0)</f>
        <v/>
      </c>
      <c r="F10" s="2132" t="n">
        <v>107000</v>
      </c>
      <c r="G10" s="1523" t="n">
        <v>172</v>
      </c>
      <c r="H10" s="1523" t="n"/>
      <c r="I10" s="205" t="inlineStr">
        <is>
          <t>唐絹案</t>
        </is>
      </c>
      <c r="J10" s="205" t="n"/>
      <c r="K10" s="194" t="inlineStr">
        <is>
          <t>1.含壓塊及封口蓋
2.搭配配彈簧華司及自攻螺絲
3.單孔L KEY
4.表面處理10um陽極+10um壓克力</t>
        </is>
      </c>
    </row>
    <row r="11" ht="54" customHeight="1" s="1643">
      <c r="B11" s="1523" t="inlineStr">
        <is>
          <t>推進</t>
        </is>
      </c>
      <c r="C11" s="1523" t="inlineStr">
        <is>
          <t>50 x 25mm</t>
        </is>
      </c>
      <c r="D11" s="235" t="inlineStr">
        <is>
          <t>平貼</t>
        </is>
      </c>
      <c r="E11" s="1523">
        <f>ROUNDUP((F11/G11),0)</f>
        <v/>
      </c>
      <c r="F11" s="2132" t="n">
        <v>130000</v>
      </c>
      <c r="G11" s="1523" t="n">
        <v>200</v>
      </c>
      <c r="H11" s="1523" t="n"/>
      <c r="I11" s="205" t="inlineStr">
        <is>
          <t>偉昌案</t>
        </is>
      </c>
      <c r="J11" s="205" t="n"/>
      <c r="K11" s="194" t="inlineStr">
        <is>
          <t>1.含壓塊及封口蓋
2.搭配配彈簧華司及自攻螺絲
3.單孔L KEY
4.表面處理10um陽極+10um壓克力</t>
        </is>
      </c>
    </row>
    <row r="12" ht="54" customHeight="1" s="1643">
      <c r="B12" s="1523" t="inlineStr">
        <is>
          <t>推進</t>
        </is>
      </c>
      <c r="C12" s="1523" t="inlineStr">
        <is>
          <t>50 x 25mm</t>
        </is>
      </c>
      <c r="D12" s="235" t="inlineStr">
        <is>
          <t>平貼</t>
        </is>
      </c>
      <c r="E12" s="1523">
        <f>ROUNDUP((F12/G12),0)</f>
        <v/>
      </c>
      <c r="F12" s="2132" t="n">
        <v>76000</v>
      </c>
      <c r="G12" s="1523" t="n">
        <v>122</v>
      </c>
      <c r="H12" s="1523" t="n"/>
      <c r="I12" s="205" t="inlineStr">
        <is>
          <t>振邦案</t>
        </is>
      </c>
      <c r="J12" s="205" t="n"/>
      <c r="K12" s="194" t="inlineStr">
        <is>
          <t>1.含壓塊及封口蓋
2.搭配配彈簧華司及自攻螺絲
3.單孔L KEY
4.表面處理10um陽極+10um壓克力</t>
        </is>
      </c>
    </row>
    <row r="13" ht="54" customHeight="1" s="1643">
      <c r="B13" s="1523" t="inlineStr">
        <is>
          <t>推進</t>
        </is>
      </c>
      <c r="C13" s="1523" t="inlineStr">
        <is>
          <t>50 x 25mm</t>
        </is>
      </c>
      <c r="D13" s="235" t="inlineStr">
        <is>
          <t>平貼</t>
        </is>
      </c>
      <c r="E13" s="1523">
        <f>ROUNDUP((F13/G13),0)</f>
        <v/>
      </c>
      <c r="F13" s="2132" t="n">
        <v>114450</v>
      </c>
      <c r="G13" s="1523" t="n">
        <v>190</v>
      </c>
      <c r="H13" s="1523" t="n"/>
      <c r="I13" s="205" t="inlineStr">
        <is>
          <t>苗強案</t>
        </is>
      </c>
      <c r="J13" s="205" t="n"/>
      <c r="K13" s="194" t="inlineStr">
        <is>
          <t>1.含壓塊及封口蓋
2.搭配配彈簧華司及自攻螺絲
3.單孔L KEY
4.表面處理10um陽極+10um壓克力</t>
        </is>
      </c>
    </row>
    <row r="14" ht="54" customHeight="1" s="1643">
      <c r="B14" s="1523" t="inlineStr">
        <is>
          <t>推進</t>
        </is>
      </c>
      <c r="C14" s="1523" t="inlineStr">
        <is>
          <t>50 x 25mm</t>
        </is>
      </c>
      <c r="D14" s="235" t="inlineStr">
        <is>
          <t>平貼</t>
        </is>
      </c>
      <c r="E14" s="1523">
        <f>ROUNDUP((F14/G14),0)</f>
        <v/>
      </c>
      <c r="F14" s="2132" t="n">
        <v>79000</v>
      </c>
      <c r="G14" s="1523" t="n">
        <v>122</v>
      </c>
      <c r="H14" s="1523" t="n"/>
      <c r="I14" s="205" t="inlineStr">
        <is>
          <t>優群案</t>
        </is>
      </c>
      <c r="J14" s="205" t="n"/>
      <c r="K14" s="194" t="inlineStr">
        <is>
          <t>1.含壓塊及封口蓋
2.搭配配彈簧華司及自攻螺絲
3.單孔L KEY
4.表面處理10um陽極+10um壓克力</t>
        </is>
      </c>
    </row>
    <row r="15" ht="54" customHeight="1" s="1643">
      <c r="B15" s="1523" t="inlineStr">
        <is>
          <t>推進</t>
        </is>
      </c>
      <c r="C15" s="1523" t="inlineStr">
        <is>
          <t>50 x 25mm</t>
        </is>
      </c>
      <c r="D15" s="235" t="inlineStr">
        <is>
          <t>平貼</t>
        </is>
      </c>
      <c r="E15" s="1523">
        <f>ROUNDUP((F15/G15),0)</f>
        <v/>
      </c>
      <c r="F15" s="2132" t="n">
        <v>197000</v>
      </c>
      <c r="G15" s="1523" t="n">
        <v>200</v>
      </c>
      <c r="H15" s="1523" t="n"/>
      <c r="I15" s="205" t="inlineStr">
        <is>
          <t>昱盛案</t>
        </is>
      </c>
      <c r="J15" s="205" t="n"/>
      <c r="K15" s="194" t="inlineStr">
        <is>
          <t>1.含壓塊及封口蓋
2.搭配配彈簧華司及自攻螺絲
3.扣件夾具
4.表面處理10um陽極+10um壓克力</t>
        </is>
      </c>
    </row>
    <row r="16" ht="54" customHeight="1" s="1643">
      <c r="B16" s="1523" t="inlineStr">
        <is>
          <t>推進</t>
        </is>
      </c>
      <c r="C16" s="1523" t="inlineStr">
        <is>
          <t>50 x 25mm</t>
        </is>
      </c>
      <c r="D16" s="235" t="inlineStr">
        <is>
          <t>平貼</t>
        </is>
      </c>
      <c r="E16" s="1523">
        <f>ROUNDUP((F16/G16),0)</f>
        <v/>
      </c>
      <c r="F16" s="2132" t="n">
        <v>80300</v>
      </c>
      <c r="G16" s="1523" t="n">
        <v>80</v>
      </c>
      <c r="H16" s="1523" t="n"/>
      <c r="I16" s="205" t="inlineStr">
        <is>
          <t>西拉雅案</t>
        </is>
      </c>
      <c r="J16" s="205" t="n"/>
      <c r="K16" s="194" t="inlineStr">
        <is>
          <t>1.含壓塊及封口蓋
2.搭配配彈簧華司及自攻螺絲
3.扣件夾具
4.表面處理10um陽極+10um壓克力</t>
        </is>
      </c>
    </row>
    <row r="17" ht="54" customHeight="1" s="1643">
      <c r="B17" s="1523" t="inlineStr">
        <is>
          <t>推進</t>
        </is>
      </c>
      <c r="C17" s="1523" t="inlineStr">
        <is>
          <t>70 x 40mm</t>
        </is>
      </c>
      <c r="D17" s="235" t="inlineStr">
        <is>
          <t>平貼</t>
        </is>
      </c>
      <c r="E17" s="1523">
        <f>ROUNDUP((F17/G17),0)</f>
        <v/>
      </c>
      <c r="F17" s="2132" t="n">
        <v>52800</v>
      </c>
      <c r="G17" s="1523" t="n">
        <v>80</v>
      </c>
      <c r="H17" s="1523" t="n"/>
      <c r="I17" s="205" t="inlineStr">
        <is>
          <t>長榮商標案</t>
        </is>
      </c>
      <c r="J17" s="205" t="n"/>
      <c r="K17" s="194" t="inlineStr">
        <is>
          <t>1.含壓塊及封口蓋
2.搭配配彈簧華司及自攻螺絲
3.單孔L KEY
4.表面處理10um陽極+10um壓克力</t>
        </is>
      </c>
    </row>
    <row r="18" ht="54" customHeight="1" s="1643">
      <c r="B18" s="1523" t="inlineStr">
        <is>
          <t>推進</t>
        </is>
      </c>
      <c r="C18" s="1523" t="inlineStr">
        <is>
          <t>80 x 40mm</t>
        </is>
      </c>
      <c r="D18" s="235" t="inlineStr">
        <is>
          <t>平貼</t>
        </is>
      </c>
      <c r="E18" s="1523">
        <f>ROUNDUP((F18/G18),0)</f>
        <v/>
      </c>
      <c r="F18" s="2132" t="n">
        <v>19950</v>
      </c>
      <c r="G18" s="1523" t="n">
        <v>30</v>
      </c>
      <c r="H18" s="1523" t="n"/>
      <c r="I18" s="205" t="inlineStr">
        <is>
          <t>葉月菊案</t>
        </is>
      </c>
      <c r="J18" s="205" t="n"/>
      <c r="K18" s="194" t="inlineStr">
        <is>
          <t>1.含壓塊及封口蓋
2.搭配配彈簧華司及自攻螺絲
3.單孔L KEY
4.表面處理10um陽極+10um壓克力</t>
        </is>
      </c>
    </row>
    <row r="19" ht="54" customHeight="1" s="1643">
      <c r="B19" s="1523" t="inlineStr">
        <is>
          <t>推進</t>
        </is>
      </c>
      <c r="C19" s="1523" t="inlineStr">
        <is>
          <t>50 x 25mm</t>
        </is>
      </c>
      <c r="D19" s="235" t="inlineStr">
        <is>
          <t>平貼</t>
        </is>
      </c>
      <c r="E19" s="1523">
        <f>ROUNDUP((F19/G19),0)</f>
        <v/>
      </c>
      <c r="F19" s="2132" t="n">
        <v>107000</v>
      </c>
      <c r="G19" s="1523" t="n">
        <v>172</v>
      </c>
      <c r="H19" s="1523" t="n"/>
      <c r="I19" s="205" t="inlineStr">
        <is>
          <t>梁仁勳案</t>
        </is>
      </c>
      <c r="J19" s="205" t="n"/>
      <c r="K19" s="194" t="inlineStr">
        <is>
          <t>1.含壓塊及封口蓋
2.搭配配彈簧華司及自攻螺絲
3.單孔L KEY
4.表面處理10um陽極+10um壓克力</t>
        </is>
      </c>
    </row>
    <row r="20">
      <c r="B20" s="1523" t="inlineStr">
        <is>
          <t>模冠</t>
        </is>
      </c>
      <c r="C20" s="209" t="inlineStr">
        <is>
          <t>80 x 40mm</t>
        </is>
      </c>
      <c r="D20" s="235" t="inlineStr">
        <is>
          <t>平貼</t>
        </is>
      </c>
      <c r="E20" s="1523" t="inlineStr">
        <is>
          <t>-</t>
        </is>
      </c>
      <c r="F20" s="2132" t="inlineStr">
        <is>
          <t>570/m</t>
        </is>
      </c>
      <c r="G20" s="1523" t="inlineStr">
        <is>
          <t>-</t>
        </is>
      </c>
      <c r="H20" s="1523" t="n"/>
      <c r="I20" s="205" t="n"/>
      <c r="J20" s="205" t="n"/>
      <c r="K20" s="194" t="inlineStr">
        <is>
          <t>1.結構鋁擠</t>
        </is>
      </c>
    </row>
    <row r="21" ht="54" customHeight="1" s="1643">
      <c r="B21" s="1523" t="inlineStr">
        <is>
          <t>推進</t>
        </is>
      </c>
      <c r="C21" s="209" t="inlineStr">
        <is>
          <t>50 x 50mm+5025</t>
        </is>
      </c>
      <c r="D21" s="212" t="inlineStr">
        <is>
          <t>仰角</t>
        </is>
      </c>
      <c r="E21" s="1523">
        <f>ROUNDUP((F21/G21),0)</f>
        <v/>
      </c>
      <c r="F21" s="2132" t="n">
        <v>47000</v>
      </c>
      <c r="G21" s="1523" t="n">
        <v>40</v>
      </c>
      <c r="H21" s="1523" t="n"/>
      <c r="I21" s="205" t="inlineStr">
        <is>
          <t>謝志堅案</t>
        </is>
      </c>
      <c r="J21" s="205" t="n"/>
      <c r="K21" s="194" t="inlineStr">
        <is>
          <t>1.含壓塊及封口蓋
2.搭配配彈簧華司及自攻螺絲
3.單孔L KEY
4.表面處理10um陽極+10um壓克力</t>
        </is>
      </c>
    </row>
    <row r="22" ht="54" customHeight="1" s="1643">
      <c r="B22" s="1523" t="inlineStr">
        <is>
          <t>推進</t>
        </is>
      </c>
      <c r="C22" s="209" t="inlineStr">
        <is>
          <t>50 x 50mm+5025</t>
        </is>
      </c>
      <c r="D22" s="212" t="inlineStr">
        <is>
          <t>仰角</t>
        </is>
      </c>
      <c r="E22" s="1523">
        <f>ROUNDUP((F22/G22),0)</f>
        <v/>
      </c>
      <c r="F22" s="2132" t="n">
        <v>42400</v>
      </c>
      <c r="G22" s="1523" t="n">
        <v>28</v>
      </c>
      <c r="H22" s="1523" t="n"/>
      <c r="I22" s="205" t="inlineStr">
        <is>
          <t>唐絹案</t>
        </is>
      </c>
      <c r="J22" s="205" t="n"/>
      <c r="K22" s="194" t="inlineStr">
        <is>
          <t>1.含壓塊及封口蓋
2.搭配配彈簧華司及自攻螺絲
3.單孔L KEY
4.表面處理10um陽極+10um壓克力</t>
        </is>
      </c>
    </row>
    <row r="23" ht="54" customHeight="1" s="1643">
      <c r="B23" s="1523" t="inlineStr">
        <is>
          <t>推進</t>
        </is>
      </c>
      <c r="C23" s="209" t="inlineStr">
        <is>
          <t>70 x 70mm-4080</t>
        </is>
      </c>
      <c r="D23" s="213" t="inlineStr">
        <is>
          <t>棚架</t>
        </is>
      </c>
      <c r="E23" s="1523">
        <f>ROUNDUP((F23/G23),0)</f>
        <v/>
      </c>
      <c r="F23" s="2132" t="n">
        <v>55650</v>
      </c>
      <c r="G23" s="1523" t="n">
        <v>24</v>
      </c>
      <c r="H23" s="1523" t="n"/>
      <c r="I23" s="205" t="inlineStr">
        <is>
          <t>網語案</t>
        </is>
      </c>
      <c r="J23" s="205" t="n"/>
      <c r="K23" s="194" t="inlineStr">
        <is>
          <t>1.含壓塊及封口蓋
2.搭配配彈簧華司及自攻螺絲
3.單孔L KEY
4.表面處理10um陽極+10um壓克力</t>
        </is>
      </c>
    </row>
    <row r="24" ht="54" customHeight="1" s="1643">
      <c r="B24" s="1523" t="inlineStr">
        <is>
          <t>推進</t>
        </is>
      </c>
      <c r="C24" s="209" t="inlineStr">
        <is>
          <t>70 x 70mm-4080</t>
        </is>
      </c>
      <c r="D24" s="213" t="inlineStr">
        <is>
          <t>棚架</t>
        </is>
      </c>
      <c r="E24" s="1523">
        <f>ROUNDUP((F24/G24),0)</f>
        <v/>
      </c>
      <c r="F24" s="2132" t="n">
        <v>206000</v>
      </c>
      <c r="G24" s="1523" t="n">
        <v>80</v>
      </c>
      <c r="H24" s="1523" t="n"/>
      <c r="I24" s="205" t="inlineStr">
        <is>
          <t>長榮商標案</t>
        </is>
      </c>
      <c r="J24" s="205" t="n"/>
      <c r="K24" s="194" t="inlineStr">
        <is>
          <t>1.含壓塊及封口蓋
2.搭配配彈簧華司及自攻螺絲
3.單孔L KEY
4.表面處理10um陽極+10um壓克力</t>
        </is>
      </c>
    </row>
    <row r="25" ht="54" customHeight="1" s="1643">
      <c r="B25" s="1523" t="inlineStr">
        <is>
          <t>受興</t>
        </is>
      </c>
      <c r="C25" s="209" t="inlineStr">
        <is>
          <t>40 x 70mm-4080</t>
        </is>
      </c>
      <c r="D25" s="235" t="inlineStr">
        <is>
          <t>平鋪</t>
        </is>
      </c>
      <c r="E25" s="1523">
        <f>ROUNDUP((F25/G25),0)</f>
        <v/>
      </c>
      <c r="F25" s="2132" t="n">
        <v>383205</v>
      </c>
      <c r="G25" s="1523" t="n">
        <v>300</v>
      </c>
      <c r="H25" s="1523" t="n"/>
      <c r="I25" s="205" t="inlineStr">
        <is>
          <t>信邦工廠案</t>
        </is>
      </c>
      <c r="J25" s="205" t="inlineStr">
        <is>
          <t>三支鋁擠</t>
        </is>
      </c>
      <c r="K25" s="194" t="inlineStr">
        <is>
          <t>1.含壓塊及封口蓋
2.搭配配彈簧華司及自攻螺絲
3.單孔L KEY
4.表面處理10um陽極+10um壓克力</t>
        </is>
      </c>
    </row>
    <row r="26" ht="54" customHeight="1" s="1643">
      <c r="B26" s="1523" t="inlineStr">
        <is>
          <t>受興</t>
        </is>
      </c>
      <c r="C26" s="209" t="inlineStr">
        <is>
          <t>40 x 70mm-4080</t>
        </is>
      </c>
      <c r="D26" s="235" t="inlineStr">
        <is>
          <t>平鋪</t>
        </is>
      </c>
      <c r="E26" s="1523">
        <f>ROUNDUP((F26/G26),0)</f>
        <v/>
      </c>
      <c r="F26" s="2132" t="n">
        <v>396256</v>
      </c>
      <c r="G26" s="1523" t="n">
        <v>448</v>
      </c>
      <c r="H26" s="1523" t="n"/>
      <c r="I26" s="205" t="inlineStr">
        <is>
          <t>美福案</t>
        </is>
      </c>
      <c r="J26" s="205" t="inlineStr">
        <is>
          <t>兩支鋁擠</t>
        </is>
      </c>
      <c r="K26" s="194" t="inlineStr">
        <is>
          <t>1.含壓塊及封口蓋
2.搭配配彈簧華司及自攻螺絲
3.單孔L KEY
4.表面處理10um陽極+10um壓克力</t>
        </is>
      </c>
    </row>
    <row r="27" ht="54" customHeight="1" s="1643">
      <c r="B27" s="1523" t="inlineStr">
        <is>
          <t>受興</t>
        </is>
      </c>
      <c r="C27" s="209" t="inlineStr">
        <is>
          <t>40 x 70mm-4080</t>
        </is>
      </c>
      <c r="D27" s="212" t="inlineStr">
        <is>
          <t>仰角</t>
        </is>
      </c>
      <c r="E27" s="1523">
        <f>ROUNDUP((F27/G27),0)</f>
        <v/>
      </c>
      <c r="F27" s="2132" t="n">
        <v>2261130</v>
      </c>
      <c r="G27" s="1523" t="n">
        <v>1130</v>
      </c>
      <c r="H27" s="1523" t="n"/>
      <c r="I27" s="205" t="inlineStr">
        <is>
          <t>美福案</t>
        </is>
      </c>
      <c r="J27" s="205" t="inlineStr">
        <is>
          <t>每跨距都有斜撐</t>
        </is>
      </c>
      <c r="K27" s="194" t="inlineStr">
        <is>
          <t>1.含壓塊及封口蓋
2.搭配配彈簧華司及自攻螺絲
3.單孔L KEY
4.表面處理10um陽極+10um壓克力</t>
        </is>
      </c>
    </row>
    <row r="28" ht="54" customHeight="1" s="1643">
      <c r="B28" s="1523" t="inlineStr">
        <is>
          <t>推進</t>
        </is>
      </c>
      <c r="C28" s="1523" t="inlineStr">
        <is>
          <t>50 x 25mm</t>
        </is>
      </c>
      <c r="D28" s="235" t="inlineStr">
        <is>
          <t>平貼</t>
        </is>
      </c>
      <c r="E28" s="1523">
        <f>ROUNDUP((F28/G28),0)</f>
        <v/>
      </c>
      <c r="F28" s="2132" t="n">
        <v>785000</v>
      </c>
      <c r="G28" s="1523" t="n">
        <v>1204</v>
      </c>
      <c r="H28" s="1523" t="n"/>
      <c r="I28" s="205" t="inlineStr">
        <is>
          <t>大宇紗筒案</t>
        </is>
      </c>
      <c r="J28" s="205" t="n"/>
      <c r="K28" s="194" t="inlineStr">
        <is>
          <t>1.含壓塊及封口蓋
2.搭配配彈簧華司及自攻螺絲
3.雙孔H KEY
4.表面處理10um陽極+10um壓克力</t>
        </is>
      </c>
    </row>
    <row r="29" ht="54" customHeight="1" s="1643">
      <c r="B29" s="1523" t="inlineStr">
        <is>
          <t>推進</t>
        </is>
      </c>
      <c r="C29" s="1523" t="inlineStr">
        <is>
          <t>50 x 25mm</t>
        </is>
      </c>
      <c r="D29" s="212" t="inlineStr">
        <is>
          <t>仰角</t>
        </is>
      </c>
      <c r="E29" s="1523">
        <f>ROUNDUP((F29/G29),0)</f>
        <v/>
      </c>
      <c r="F29" s="2132" t="n">
        <v>892000</v>
      </c>
      <c r="G29" s="1523" t="n">
        <v>550</v>
      </c>
      <c r="H29" s="1523" t="n"/>
      <c r="I29" s="205" t="inlineStr">
        <is>
          <t>大宇紗筒案</t>
        </is>
      </c>
      <c r="J29" s="205" t="n"/>
      <c r="K29" s="194" t="inlineStr">
        <is>
          <t>1.含壓塊及封口蓋
2.搭配配彈簧華司及自攻螺絲
3.雙孔H KEY
4.表面處理10um陽極+10um壓克力</t>
        </is>
      </c>
    </row>
    <row r="30" ht="54" customHeight="1" s="1643">
      <c r="B30" s="377" t="inlineStr">
        <is>
          <t>培興</t>
        </is>
      </c>
      <c r="C30" s="1523" t="inlineStr">
        <is>
          <t>40 x 60mm</t>
        </is>
      </c>
      <c r="D30" s="235" t="inlineStr">
        <is>
          <t>平貼</t>
        </is>
      </c>
      <c r="E30" s="1523">
        <f>ROUNDUP((F30/G30),0)</f>
        <v/>
      </c>
      <c r="F30" s="2132" t="n">
        <v>485000</v>
      </c>
      <c r="G30" s="1523" t="n">
        <v>837</v>
      </c>
      <c r="H30" s="1523" t="n"/>
      <c r="I30" s="205" t="inlineStr">
        <is>
          <t>振邦二期案</t>
        </is>
      </c>
      <c r="J30" s="205" t="inlineStr">
        <is>
          <t>兩支鋁擠</t>
        </is>
      </c>
      <c r="K30" s="194" t="inlineStr">
        <is>
          <t>1.含壓塊及封口蓋
2.搭配配彈簧華司及自攻螺絲
3.雙孔H KEY
4.表面處理15um陽極+10um壓克力</t>
        </is>
      </c>
    </row>
    <row r="31" ht="54" customHeight="1" s="1643">
      <c r="B31" s="376" t="inlineStr">
        <is>
          <t>璟元</t>
        </is>
      </c>
      <c r="C31" s="1523" t="inlineStr">
        <is>
          <t>40 x 40mm</t>
        </is>
      </c>
      <c r="D31" s="235" t="inlineStr">
        <is>
          <t>平貼</t>
        </is>
      </c>
      <c r="E31" s="1523">
        <f>ROUNDUP((F31/G31),0)</f>
        <v/>
      </c>
      <c r="F31" s="2132" t="n">
        <v>2224735</v>
      </c>
      <c r="G31" s="1523" t="n">
        <v>3332</v>
      </c>
      <c r="H31" s="339" t="n">
        <v>43460</v>
      </c>
      <c r="I31" s="205" t="inlineStr">
        <is>
          <t>金明玻璃案</t>
        </is>
      </c>
      <c r="J31" s="205" t="inlineStr">
        <is>
          <t>兩支鋁擠</t>
        </is>
      </c>
      <c r="K31" s="194" t="inlineStr">
        <is>
          <t>1.含壓塊及封口蓋
2.搭配配彈簧華司及自攻螺絲
3.架高20CM
4.表面處理10um陽極+10um壓克力</t>
        </is>
      </c>
    </row>
    <row r="32" ht="54" customHeight="1" s="1643">
      <c r="B32" s="376" t="inlineStr">
        <is>
          <t>璟元</t>
        </is>
      </c>
      <c r="C32" s="1523" t="inlineStr">
        <is>
          <t>40 x 40mm</t>
        </is>
      </c>
      <c r="D32" s="212" t="inlineStr">
        <is>
          <t>仰角</t>
        </is>
      </c>
      <c r="E32" s="1523" t="n">
        <v>1500</v>
      </c>
      <c r="F32" s="2132" t="n"/>
      <c r="G32" s="1523" t="n"/>
      <c r="H32" s="339" t="n">
        <v>43425</v>
      </c>
      <c r="I32" s="205" t="n"/>
      <c r="J32" s="205" t="n"/>
      <c r="K32" s="194" t="inlineStr">
        <is>
          <t>1.含壓塊及封口蓋
2.搭配配彈簧華司及自攻螺絲
3.架高100CM以下
4.表面處理10um陽極+10um壓克力</t>
        </is>
      </c>
    </row>
    <row r="33" ht="54" customHeight="1" s="1643">
      <c r="B33" s="376" t="inlineStr">
        <is>
          <t>璟元</t>
        </is>
      </c>
      <c r="C33" s="1523" t="inlineStr">
        <is>
          <t>40 x 40mm</t>
        </is>
      </c>
      <c r="D33" s="235" t="inlineStr">
        <is>
          <t>平貼</t>
        </is>
      </c>
      <c r="E33" s="1523">
        <f>ROUNDUP((F33/G33),0)</f>
        <v/>
      </c>
      <c r="F33" s="2132" t="n">
        <v>771424</v>
      </c>
      <c r="G33" s="1523" t="n">
        <v>1051</v>
      </c>
      <c r="H33" s="339" t="n">
        <v>43240</v>
      </c>
      <c r="I33" s="205" t="inlineStr">
        <is>
          <t>銘誠水電案</t>
        </is>
      </c>
      <c r="J33" s="229" t="inlineStr">
        <is>
          <t>三支鋁擠 腳座式
(未議價)</t>
        </is>
      </c>
      <c r="K33" s="194" t="inlineStr">
        <is>
          <t>1.不含自攻牙及封口蓋
2.搭配平彈簧華司及壓塊
3.架高20CM
4.表面處理10um陽極+10um壓克力</t>
        </is>
      </c>
    </row>
    <row r="34" ht="54" customHeight="1" s="1643">
      <c r="B34" s="377" t="inlineStr">
        <is>
          <t>培興</t>
        </is>
      </c>
      <c r="C34" s="1523" t="inlineStr">
        <is>
          <t>40 x 60mm</t>
        </is>
      </c>
      <c r="D34" s="235" t="inlineStr">
        <is>
          <t>平貼</t>
        </is>
      </c>
      <c r="E34" s="1523" t="n">
        <v>1000</v>
      </c>
      <c r="F34" s="2132" t="n"/>
      <c r="G34" s="1523" t="n"/>
      <c r="H34" s="339" t="inlineStr">
        <is>
          <t>預抓</t>
        </is>
      </c>
      <c r="I34" s="205" t="n"/>
      <c r="J34" s="205" t="inlineStr">
        <is>
          <t>三支鋁擠 夾具式</t>
        </is>
      </c>
      <c r="K34" s="194" t="inlineStr">
        <is>
          <t>1.含壓塊及封口蓋
2.搭配配彈簧華司及自攻螺絲
3.雙孔H KEY
4.表面處理15um陽極+10um壓克力</t>
        </is>
      </c>
    </row>
    <row r="35" ht="54" customHeight="1" s="1643">
      <c r="B35" s="376" t="inlineStr">
        <is>
          <t>璟元</t>
        </is>
      </c>
      <c r="C35" s="1523" t="inlineStr">
        <is>
          <t>40 x 40mm</t>
        </is>
      </c>
      <c r="D35" s="235" t="inlineStr">
        <is>
          <t>平貼(100kW↑)</t>
        </is>
      </c>
      <c r="E35" s="1523" t="n">
        <v>700</v>
      </c>
      <c r="F35" s="2132" t="n"/>
      <c r="G35" s="1523" t="n"/>
      <c r="H35" s="339" t="inlineStr">
        <is>
          <t>預抓</t>
        </is>
      </c>
      <c r="I35" s="205" t="n"/>
      <c r="J35" s="205" t="inlineStr">
        <is>
          <t>兩支鋁擠(C=85)</t>
        </is>
      </c>
      <c r="K35" s="194" t="inlineStr">
        <is>
          <t>1.含壓塊及封口蓋
2.搭配配彈簧華司及自攻螺絲
3.架高20CM
4.表面處理10um陽極+10um壓克力</t>
        </is>
      </c>
    </row>
    <row r="36" ht="54" customHeight="1" s="1643">
      <c r="B36" s="376" t="inlineStr">
        <is>
          <t>璟元</t>
        </is>
      </c>
      <c r="C36" s="1523" t="inlineStr">
        <is>
          <t>40 x 40mm</t>
        </is>
      </c>
      <c r="D36" s="235" t="inlineStr">
        <is>
          <t>平貼(100kW↓)</t>
        </is>
      </c>
      <c r="E36" s="1523" t="n">
        <v>730</v>
      </c>
      <c r="F36" s="2132" t="n"/>
      <c r="G36" s="1523" t="n"/>
      <c r="H36" s="339" t="inlineStr">
        <is>
          <t>預抓</t>
        </is>
      </c>
      <c r="I36" s="205" t="n"/>
      <c r="J36" s="205" t="inlineStr">
        <is>
          <t>兩支鋁擠(C=80)</t>
        </is>
      </c>
      <c r="K36" s="194" t="inlineStr">
        <is>
          <t>1.含壓塊及封口蓋
2.搭配配彈簧華司及自攻螺絲
3.架高20CM
4.表面處理10um陽極+11um壓克力</t>
        </is>
      </c>
    </row>
    <row r="39">
      <c r="C39" s="5" t="inlineStr">
        <is>
          <t>腳座</t>
        </is>
      </c>
      <c r="D39" s="5" t="inlineStr">
        <is>
          <t>兩鋁擠</t>
        </is>
      </c>
    </row>
    <row r="40">
      <c r="C40" s="5" t="inlineStr">
        <is>
          <t>夾具</t>
        </is>
      </c>
      <c r="D40" s="5" t="inlineStr">
        <is>
          <t>三鋁擠</t>
        </is>
      </c>
    </row>
    <row r="41">
      <c r="D41" s="5" t="inlineStr">
        <is>
          <t>棚架</t>
        </is>
      </c>
      <c r="E41" s="5" t="n">
        <v>6500</v>
      </c>
      <c r="F41" s="5" t="inlineStr">
        <is>
          <t>x1.2</t>
        </is>
      </c>
    </row>
  </sheetData>
  <autoFilter ref="B9:H24"/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4" topLeftCell="A5" activePane="bottomLeft" state="frozen"/>
      <selection pane="bottomLeft" activeCell="D19" sqref="D19"/>
    </sheetView>
  </sheetViews>
  <sheetFormatPr baseColWidth="8" defaultColWidth="9" defaultRowHeight="14.25"/>
  <cols>
    <col width="3.125" customWidth="1" style="5" min="1" max="1"/>
    <col width="9.5" bestFit="1" customWidth="1" style="5" min="2" max="2"/>
    <col width="14.5" bestFit="1" customWidth="1" style="5" min="3" max="3"/>
    <col width="17.375" bestFit="1" customWidth="1" style="5" min="4" max="4"/>
    <col width="17.625" bestFit="1" customWidth="1" style="5" min="5" max="5"/>
    <col width="13.5" bestFit="1" customWidth="1" style="5" min="6" max="6"/>
    <col width="13" customWidth="1" style="5" min="7" max="7"/>
    <col width="20.875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選用廠商</t>
        </is>
      </c>
      <c r="C2" s="1523" t="inlineStr">
        <is>
          <t>規格(KW)</t>
        </is>
      </c>
      <c r="D2" s="1523" t="inlineStr">
        <is>
          <t>報價(台幣/米)</t>
        </is>
      </c>
      <c r="E2" s="207" t="n"/>
    </row>
    <row r="3">
      <c r="B3" s="1523">
        <f>B7</f>
        <v/>
      </c>
      <c r="C3" s="1523">
        <f>C7</f>
        <v/>
      </c>
      <c r="D3" s="203">
        <f>D7</f>
        <v/>
      </c>
      <c r="E3" s="2131" t="n"/>
    </row>
    <row r="4">
      <c r="B4" s="207" t="n"/>
      <c r="C4" s="207" t="n"/>
      <c r="D4" s="207" t="n"/>
      <c r="E4" s="2131" t="n"/>
    </row>
    <row r="6">
      <c r="B6" s="1523" t="inlineStr">
        <is>
          <t>廠商</t>
        </is>
      </c>
      <c r="C6" s="1523" t="inlineStr">
        <is>
          <t>規格(KW)</t>
        </is>
      </c>
      <c r="D6" s="1523" t="inlineStr">
        <is>
          <t>報價(台幣/米)</t>
        </is>
      </c>
      <c r="E6" s="1523" t="inlineStr">
        <is>
          <t>總報價 (台幣)</t>
        </is>
      </c>
      <c r="F6" s="1523" t="inlineStr">
        <is>
          <t>報價時間</t>
        </is>
      </c>
      <c r="G6" s="1523" t="inlineStr">
        <is>
          <t>NOTE</t>
        </is>
      </c>
      <c r="H6" s="1523" t="inlineStr">
        <is>
          <t>聯絡人</t>
        </is>
      </c>
      <c r="I6" s="1523" t="inlineStr">
        <is>
          <t>聯絡方式</t>
        </is>
      </c>
      <c r="J6" s="1523" t="inlineStr">
        <is>
          <t>Email</t>
        </is>
      </c>
    </row>
    <row r="7">
      <c r="B7" s="1523" t="inlineStr">
        <is>
          <t>推進</t>
        </is>
      </c>
      <c r="C7" s="1523" t="inlineStr">
        <is>
          <t>50x50mm</t>
        </is>
      </c>
      <c r="D7" s="1523" t="n">
        <v>160</v>
      </c>
      <c r="E7" s="2132" t="n">
        <v>480</v>
      </c>
      <c r="F7" s="1523" t="inlineStr">
        <is>
          <t>2016/2月</t>
        </is>
      </c>
      <c r="G7" s="205" t="inlineStr">
        <is>
          <t>3米為一單位</t>
        </is>
      </c>
      <c r="H7" s="205" t="n"/>
      <c r="I7" s="205" t="n"/>
      <c r="J7" s="205" t="n"/>
    </row>
    <row r="8">
      <c r="B8" s="1523" t="inlineStr">
        <is>
          <t>推進</t>
        </is>
      </c>
      <c r="C8" s="1523" t="inlineStr">
        <is>
          <t>100*100mm</t>
        </is>
      </c>
      <c r="D8" s="1523" t="n">
        <v>297</v>
      </c>
      <c r="E8" s="2132" t="n">
        <v>890</v>
      </c>
      <c r="F8" s="1523" t="n"/>
      <c r="G8" s="205" t="inlineStr">
        <is>
          <t>3米</t>
        </is>
      </c>
      <c r="H8" s="205" t="n">
        <v>6063</v>
      </c>
      <c r="I8" s="205" t="n"/>
      <c r="J8" s="205" t="n"/>
    </row>
    <row r="9">
      <c r="B9" s="1523" t="inlineStr">
        <is>
          <t>推進</t>
        </is>
      </c>
      <c r="C9" s="1523" t="inlineStr">
        <is>
          <t>100*100mm</t>
        </is>
      </c>
      <c r="D9" s="1523" t="n">
        <v>330</v>
      </c>
      <c r="E9" s="2132" t="n">
        <v>930</v>
      </c>
      <c r="F9" s="1523" t="n"/>
      <c r="G9" s="205" t="inlineStr">
        <is>
          <t>3米</t>
        </is>
      </c>
      <c r="H9" s="205" t="n">
        <v>6005</v>
      </c>
      <c r="I9" s="205" t="inlineStr">
        <is>
          <t>3週下單</t>
        </is>
      </c>
      <c r="J9" s="205" t="inlineStr">
        <is>
          <t>耐鹼耐酸之電著塗料ED</t>
        </is>
      </c>
    </row>
    <row r="10">
      <c r="B10" s="1523" t="inlineStr">
        <is>
          <t>推進</t>
        </is>
      </c>
      <c r="C10" s="1523" t="inlineStr">
        <is>
          <t>100*100mm</t>
        </is>
      </c>
      <c r="D10" s="1523" t="n">
        <v>326</v>
      </c>
      <c r="E10" s="2132" t="n">
        <v>980</v>
      </c>
      <c r="F10" s="1523" t="n"/>
      <c r="G10" s="205" t="inlineStr">
        <is>
          <t>3米</t>
        </is>
      </c>
      <c r="H10" s="205" t="n">
        <v>6005</v>
      </c>
      <c r="I10" s="205" t="inlineStr">
        <is>
          <t>3週下單</t>
        </is>
      </c>
      <c r="J10" s="205" t="inlineStr">
        <is>
          <t>耐鹼耐酸之電著塗料ED(壓克力樹脂)</t>
        </is>
      </c>
    </row>
    <row r="11">
      <c r="B11" s="1523" t="n"/>
      <c r="C11" s="1523" t="n"/>
      <c r="D11" s="1523" t="n"/>
      <c r="E11" s="2132" t="n"/>
      <c r="F11" s="1523" t="n"/>
      <c r="G11" s="205" t="n"/>
      <c r="H11" s="205" t="n"/>
      <c r="I11" s="205" t="n"/>
      <c r="J11" s="205" t="n"/>
    </row>
    <row r="13">
      <c r="B13" s="1523" t="inlineStr">
        <is>
          <t>廠商</t>
        </is>
      </c>
      <c r="C13" s="1523" t="inlineStr">
        <is>
          <t>規格(KW)</t>
        </is>
      </c>
      <c r="D13" s="1523" t="inlineStr">
        <is>
          <t>報價(台幣/米)</t>
        </is>
      </c>
      <c r="E13" s="1523" t="inlineStr">
        <is>
          <t>總報價 (台幣)</t>
        </is>
      </c>
      <c r="F13" s="1523" t="inlineStr">
        <is>
          <t>報價時間</t>
        </is>
      </c>
      <c r="G13" s="1523" t="inlineStr">
        <is>
          <t>NOTE</t>
        </is>
      </c>
      <c r="H13" s="1523" t="inlineStr">
        <is>
          <t>聯絡人</t>
        </is>
      </c>
      <c r="I13" s="1523" t="inlineStr">
        <is>
          <t>聯絡方式</t>
        </is>
      </c>
      <c r="J13" s="1523" t="inlineStr">
        <is>
          <t>Email</t>
        </is>
      </c>
    </row>
    <row r="14">
      <c r="B14" s="1523" t="inlineStr">
        <is>
          <t>受興</t>
        </is>
      </c>
      <c r="C14" s="1523" t="inlineStr">
        <is>
          <t>中壓(FV347-70)</t>
        </is>
      </c>
      <c r="D14" s="1523" t="n"/>
      <c r="E14" s="2132" t="n">
        <v>30</v>
      </c>
      <c r="F14" s="1523" t="inlineStr">
        <is>
          <t>2018/3月</t>
        </is>
      </c>
      <c r="G14" s="205" t="inlineStr">
        <is>
          <t>平平彈</t>
        </is>
      </c>
      <c r="H14" s="205" t="n"/>
      <c r="I14" s="205" t="n"/>
      <c r="J14" s="205" t="inlineStr">
        <is>
          <t>陽極10u</t>
        </is>
      </c>
    </row>
    <row r="15">
      <c r="B15" s="1523" t="inlineStr">
        <is>
          <t>受興</t>
        </is>
      </c>
      <c r="C15" s="1523" t="inlineStr">
        <is>
          <t>側壓(FJ507-70)</t>
        </is>
      </c>
      <c r="D15" s="1523" t="n"/>
      <c r="E15" s="2132" t="n">
        <v>30</v>
      </c>
      <c r="F15" s="1523" t="inlineStr">
        <is>
          <t>2018/3月</t>
        </is>
      </c>
      <c r="G15" s="205" t="inlineStr">
        <is>
          <t>平平彈</t>
        </is>
      </c>
      <c r="H15" s="205" t="n"/>
      <c r="I15" s="205" t="n"/>
      <c r="J15" s="205" t="inlineStr">
        <is>
          <t>陽極10u</t>
        </is>
      </c>
    </row>
    <row r="16">
      <c r="B16" s="1523" t="inlineStr">
        <is>
          <t>東野精機</t>
        </is>
      </c>
      <c r="C16" s="1523" t="inlineStr">
        <is>
          <t>4080A</t>
        </is>
      </c>
      <c r="D16" s="1523" t="n">
        <v>534</v>
      </c>
      <c r="E16" s="2132" t="n"/>
      <c r="F16" s="1523" t="n"/>
      <c r="G16" s="205" t="n"/>
      <c r="H16" s="205" t="n"/>
      <c r="I16" s="205" t="n"/>
      <c r="J16" s="205" t="n"/>
    </row>
    <row r="17">
      <c r="B17" s="1523" t="inlineStr">
        <is>
          <t>東野精機</t>
        </is>
      </c>
      <c r="C17" s="1523" t="inlineStr">
        <is>
          <t>4080A連結片</t>
        </is>
      </c>
      <c r="D17" s="1523" t="n">
        <v>106</v>
      </c>
      <c r="E17" s="2132" t="n"/>
      <c r="F17" s="1523" t="n"/>
      <c r="G17" s="205" t="n"/>
      <c r="H17" s="205" t="n"/>
      <c r="I17" s="205" t="n"/>
      <c r="J17" s="205" t="n"/>
    </row>
  </sheetData>
  <autoFilter ref="B6:G6"/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I30"/>
  <sheetViews>
    <sheetView zoomScale="85" zoomScaleNormal="85" workbookViewId="0">
      <selection activeCell="J35" sqref="J35"/>
    </sheetView>
  </sheetViews>
  <sheetFormatPr baseColWidth="8" defaultColWidth="9" defaultRowHeight="16.5"/>
  <cols>
    <col width="9.5" bestFit="1" customWidth="1" style="1643" min="2" max="2"/>
    <col width="31.625" bestFit="1" customWidth="1" style="1643" min="3" max="3"/>
    <col width="12.125" bestFit="1" customWidth="1" style="1643" min="4" max="4"/>
    <col width="15.75" customWidth="1" style="1643" min="5" max="9"/>
  </cols>
  <sheetData>
    <row r="2">
      <c r="B2" s="1321" t="inlineStr">
        <is>
          <t>低壓</t>
        </is>
      </c>
    </row>
    <row r="3">
      <c r="B3" s="825" t="inlineStr">
        <is>
          <t>容量kVA</t>
        </is>
      </c>
      <c r="C3" s="825" t="inlineStr">
        <is>
          <t>一次側電壓</t>
        </is>
      </c>
      <c r="D3" s="825" t="inlineStr">
        <is>
          <t>二次側電壓</t>
        </is>
      </c>
      <c r="E3" s="2165" t="inlineStr">
        <is>
          <t>士林電機</t>
        </is>
      </c>
      <c r="F3" s="1687" t="n"/>
      <c r="G3" s="1866" t="n"/>
      <c r="H3" s="825" t="inlineStr">
        <is>
          <t>大同</t>
        </is>
      </c>
      <c r="I3" s="825" t="inlineStr">
        <is>
          <t>巧力</t>
        </is>
      </c>
    </row>
    <row r="4">
      <c r="B4" s="825" t="n"/>
      <c r="C4" s="1527" t="n"/>
      <c r="D4" s="1527" t="n"/>
      <c r="E4" s="1530" t="n"/>
      <c r="F4" s="825" t="inlineStr">
        <is>
          <t>2021.10.06</t>
        </is>
      </c>
      <c r="G4" s="825" t="inlineStr">
        <is>
          <t>2022.02.24</t>
        </is>
      </c>
      <c r="H4" s="825" t="n"/>
      <c r="I4" s="825" t="n"/>
    </row>
    <row r="5">
      <c r="B5" s="825" t="n">
        <v>10</v>
      </c>
      <c r="C5" s="2166" t="inlineStr">
        <is>
          <t>3相4線380V
(巧力為3相3線380V)</t>
        </is>
      </c>
      <c r="D5" s="2167" t="inlineStr">
        <is>
          <t>3相3線220V</t>
        </is>
      </c>
      <c r="E5" s="2168" t="n">
        <v>26500</v>
      </c>
      <c r="F5" s="2168">
        <f>E5*1.775</f>
        <v/>
      </c>
      <c r="G5" s="2168" t="n">
        <v>33000</v>
      </c>
      <c r="H5" s="2168" t="n">
        <v>30000</v>
      </c>
      <c r="I5" s="2168" t="n">
        <v>28500</v>
      </c>
    </row>
    <row r="6">
      <c r="B6" s="825" t="n">
        <v>20</v>
      </c>
      <c r="C6" s="1977" t="n"/>
      <c r="D6" s="1977" t="n"/>
      <c r="E6" s="2168" t="n">
        <v>35000</v>
      </c>
      <c r="F6" s="2168">
        <f>E6*1.775</f>
        <v/>
      </c>
      <c r="G6" s="2168" t="n">
        <v>45000</v>
      </c>
      <c r="H6" s="2168" t="n">
        <v>36000</v>
      </c>
      <c r="I6" s="2168" t="n">
        <v>43100</v>
      </c>
    </row>
    <row r="7">
      <c r="B7" s="825" t="n">
        <v>30</v>
      </c>
      <c r="C7" s="1977" t="n"/>
      <c r="D7" s="1977" t="n"/>
      <c r="E7" s="2168" t="n">
        <v>40000</v>
      </c>
      <c r="F7" s="2168">
        <f>E7*1.775</f>
        <v/>
      </c>
      <c r="G7" s="2168" t="n">
        <v>51000</v>
      </c>
      <c r="H7" s="2168" t="n">
        <v>40000</v>
      </c>
      <c r="I7" s="2168" t="n">
        <v>55400</v>
      </c>
    </row>
    <row r="8">
      <c r="B8" s="825" t="n">
        <v>37.5</v>
      </c>
      <c r="C8" s="1977" t="n"/>
      <c r="D8" s="1977" t="n"/>
      <c r="E8" s="2168" t="n">
        <v>44000</v>
      </c>
      <c r="F8" s="2168">
        <f>E8*1.775</f>
        <v/>
      </c>
      <c r="G8" s="2168" t="n">
        <v>53000</v>
      </c>
      <c r="H8" s="2168" t="n">
        <v>44000</v>
      </c>
      <c r="I8" s="2168" t="n">
        <v>66800</v>
      </c>
    </row>
    <row r="9">
      <c r="B9" s="825" t="n">
        <v>40</v>
      </c>
      <c r="C9" s="1977" t="n"/>
      <c r="D9" s="1977" t="n"/>
      <c r="E9" s="2169" t="inlineStr">
        <is>
          <t>X</t>
        </is>
      </c>
      <c r="F9" s="2169" t="inlineStr">
        <is>
          <t>X</t>
        </is>
      </c>
      <c r="G9" s="2169" t="inlineStr">
        <is>
          <t>X</t>
        </is>
      </c>
      <c r="H9" s="824" t="inlineStr">
        <is>
          <t>X</t>
        </is>
      </c>
      <c r="I9" s="824" t="inlineStr">
        <is>
          <t>X</t>
        </is>
      </c>
    </row>
    <row r="10">
      <c r="B10" s="825" t="n">
        <v>50</v>
      </c>
      <c r="C10" s="1977" t="n"/>
      <c r="D10" s="1977" t="n"/>
      <c r="E10" s="2168" t="n">
        <v>48000</v>
      </c>
      <c r="F10" s="2168">
        <f>E10*1.775</f>
        <v/>
      </c>
      <c r="G10" s="2168" t="n">
        <v>61000</v>
      </c>
      <c r="H10" s="2168" t="n">
        <v>52000</v>
      </c>
      <c r="I10" s="2168" t="n">
        <v>87000</v>
      </c>
    </row>
    <row r="11">
      <c r="B11" s="825" t="n">
        <v>60</v>
      </c>
      <c r="C11" s="1977" t="n"/>
      <c r="D11" s="1977" t="n"/>
      <c r="E11" s="2169" t="inlineStr">
        <is>
          <t>X</t>
        </is>
      </c>
      <c r="F11" s="2169" t="inlineStr">
        <is>
          <t>X</t>
        </is>
      </c>
      <c r="G11" s="2169" t="inlineStr">
        <is>
          <t>X</t>
        </is>
      </c>
      <c r="H11" s="2168" t="n">
        <v>60000</v>
      </c>
      <c r="I11" s="825" t="inlineStr">
        <is>
          <t>X</t>
        </is>
      </c>
    </row>
    <row r="12">
      <c r="B12" s="825" t="n">
        <v>70</v>
      </c>
      <c r="C12" s="1977" t="n"/>
      <c r="D12" s="1977" t="n"/>
      <c r="E12" s="2169" t="inlineStr">
        <is>
          <t>X</t>
        </is>
      </c>
      <c r="F12" s="2169" t="inlineStr">
        <is>
          <t>X</t>
        </is>
      </c>
      <c r="G12" s="2169" t="inlineStr">
        <is>
          <t>X</t>
        </is>
      </c>
      <c r="H12" s="2168" t="n">
        <v>68800</v>
      </c>
      <c r="I12" s="825" t="inlineStr">
        <is>
          <t>X</t>
        </is>
      </c>
    </row>
    <row r="13">
      <c r="B13" s="825" t="n">
        <v>75</v>
      </c>
      <c r="C13" s="1977" t="n"/>
      <c r="D13" s="1977" t="n"/>
      <c r="E13" s="2168" t="n">
        <v>62000</v>
      </c>
      <c r="F13" s="2168">
        <f>E13*1.775</f>
        <v/>
      </c>
      <c r="G13" s="2170" t="n">
        <v>78000</v>
      </c>
      <c r="H13" s="856" t="inlineStr">
        <is>
          <t>X</t>
        </is>
      </c>
      <c r="I13" s="2168" t="n">
        <v>116700</v>
      </c>
    </row>
    <row r="14">
      <c r="B14" s="825" t="n">
        <v>80</v>
      </c>
      <c r="C14" s="1977" t="n"/>
      <c r="D14" s="1977" t="n"/>
      <c r="E14" s="2169" t="inlineStr">
        <is>
          <t>X</t>
        </is>
      </c>
      <c r="F14" s="2169" t="inlineStr">
        <is>
          <t>X</t>
        </is>
      </c>
      <c r="G14" s="2169" t="inlineStr">
        <is>
          <t>X</t>
        </is>
      </c>
      <c r="H14" s="2168" t="n">
        <v>78000</v>
      </c>
      <c r="I14" s="825" t="inlineStr">
        <is>
          <t>X</t>
        </is>
      </c>
    </row>
    <row r="15">
      <c r="B15" s="825" t="n">
        <v>90</v>
      </c>
      <c r="C15" s="1977" t="n"/>
      <c r="D15" s="1977" t="n"/>
      <c r="E15" s="2169" t="inlineStr">
        <is>
          <t>X</t>
        </is>
      </c>
      <c r="F15" s="2169" t="inlineStr">
        <is>
          <t>X</t>
        </is>
      </c>
      <c r="G15" s="2169" t="inlineStr">
        <is>
          <t>X</t>
        </is>
      </c>
      <c r="H15" s="2168" t="n">
        <v>88000</v>
      </c>
      <c r="I15" s="825" t="inlineStr">
        <is>
          <t>X</t>
        </is>
      </c>
    </row>
    <row r="16">
      <c r="B16" s="825" t="n">
        <v>100</v>
      </c>
      <c r="C16" s="1977" t="n"/>
      <c r="D16" s="1977" t="n"/>
      <c r="E16" s="2168" t="n">
        <v>80000</v>
      </c>
      <c r="F16" s="2168">
        <f>E16*1.775</f>
        <v/>
      </c>
      <c r="G16" s="2168" t="n">
        <v>96500</v>
      </c>
      <c r="H16" s="2168" t="n">
        <v>98000</v>
      </c>
      <c r="I16" s="2168" t="n">
        <v>134000</v>
      </c>
    </row>
    <row r="17">
      <c r="B17" s="825" t="n">
        <v>200</v>
      </c>
      <c r="C17" s="1977" t="n"/>
      <c r="D17" s="1977" t="n"/>
      <c r="E17" s="2168" t="n">
        <v>125000</v>
      </c>
      <c r="F17" s="2168">
        <f>E17*1.775</f>
        <v/>
      </c>
      <c r="G17" s="2168" t="n">
        <v>155000</v>
      </c>
      <c r="H17" s="2168" t="n">
        <v>140000</v>
      </c>
      <c r="I17" s="2168" t="n">
        <v>237000</v>
      </c>
    </row>
    <row r="18">
      <c r="B18" s="825" t="n">
        <v>300</v>
      </c>
      <c r="C18" s="1977" t="n"/>
      <c r="D18" s="1977" t="n"/>
      <c r="E18" s="2168" t="n">
        <v>165000</v>
      </c>
      <c r="F18" s="2168">
        <f>E18*1.775</f>
        <v/>
      </c>
      <c r="G18" s="2168" t="n">
        <v>188000</v>
      </c>
      <c r="H18" s="2168" t="n">
        <v>190000</v>
      </c>
      <c r="I18" s="2168" t="n">
        <v>331200</v>
      </c>
    </row>
    <row r="19">
      <c r="B19" s="825" t="n">
        <v>400</v>
      </c>
      <c r="C19" s="1977" t="n"/>
      <c r="D19" s="1977" t="n"/>
      <c r="E19" s="2168" t="n">
        <v>200000</v>
      </c>
      <c r="F19" s="2168" t="n">
        <v>355000</v>
      </c>
      <c r="G19" s="2168" t="n">
        <v>315000</v>
      </c>
      <c r="H19" s="2168" t="n">
        <v>230000</v>
      </c>
      <c r="I19" s="2168" t="n">
        <v>455700</v>
      </c>
    </row>
    <row r="20">
      <c r="B20" s="825" t="n">
        <v>500</v>
      </c>
      <c r="C20" s="1977" t="n"/>
      <c r="D20" s="1977" t="n"/>
      <c r="E20" s="2168" t="n">
        <v>250000</v>
      </c>
      <c r="F20" s="2168">
        <f>E20*1.775</f>
        <v/>
      </c>
      <c r="G20" s="2168" t="n">
        <v>360000</v>
      </c>
      <c r="H20" s="2168" t="n">
        <v>270000</v>
      </c>
      <c r="I20" s="2168" t="n">
        <v>537500</v>
      </c>
    </row>
    <row r="21">
      <c r="B21" s="825" t="n">
        <v>600</v>
      </c>
      <c r="C21" s="1979" t="n"/>
      <c r="D21" s="1979" t="n"/>
      <c r="E21" s="2169" t="inlineStr">
        <is>
          <t>X</t>
        </is>
      </c>
      <c r="F21" s="2169" t="inlineStr">
        <is>
          <t>X</t>
        </is>
      </c>
      <c r="G21" s="2169" t="inlineStr">
        <is>
          <t>X</t>
        </is>
      </c>
      <c r="H21" s="2168" t="n">
        <v>340000</v>
      </c>
      <c r="I21" s="2168" t="n">
        <v>584500</v>
      </c>
    </row>
    <row r="22" ht="66" customHeight="1" s="1643">
      <c r="B22" s="825" t="inlineStr">
        <is>
          <t>付款條件</t>
        </is>
      </c>
      <c r="C22" s="826" t="n"/>
      <c r="D22" s="826" t="n"/>
      <c r="E22" s="851" t="inlineStr">
        <is>
          <t>訂金30%(票期15天)，
交貨70%(票期60天)</t>
        </is>
      </c>
      <c r="F22" s="851" t="n"/>
      <c r="G22" s="851" t="n"/>
      <c r="H22" s="851" t="inlineStr">
        <is>
          <t>發票日90天兌現貨款</t>
        </is>
      </c>
      <c r="I22" s="851" t="inlineStr">
        <is>
          <t>首次交易須先付款才出貨</t>
        </is>
      </c>
    </row>
    <row r="23">
      <c r="B23" s="825" t="inlineStr">
        <is>
          <t>交期</t>
        </is>
      </c>
      <c r="C23" s="840" t="n"/>
      <c r="D23" s="840" t="n"/>
      <c r="E23" s="825" t="inlineStr">
        <is>
          <t>60天</t>
        </is>
      </c>
      <c r="F23" s="851" t="n"/>
      <c r="G23" s="851" t="n"/>
      <c r="H23" s="825" t="inlineStr">
        <is>
          <t>30~60天</t>
        </is>
      </c>
      <c r="I23" s="825" t="inlineStr">
        <is>
          <t>30天</t>
        </is>
      </c>
    </row>
    <row r="24">
      <c r="F24" s="825" t="n"/>
      <c r="G24" s="856" t="n"/>
    </row>
    <row r="26">
      <c r="B26" s="1321" t="inlineStr">
        <is>
          <t>高壓</t>
        </is>
      </c>
    </row>
    <row r="27">
      <c r="B27" s="825" t="inlineStr">
        <is>
          <t>容量kVA</t>
        </is>
      </c>
      <c r="C27" s="825" t="inlineStr">
        <is>
          <t>一次側電壓</t>
        </is>
      </c>
      <c r="D27" s="825" t="inlineStr">
        <is>
          <t>二次側電壓</t>
        </is>
      </c>
      <c r="E27" s="825" t="inlineStr">
        <is>
          <t>華城電機</t>
        </is>
      </c>
    </row>
    <row r="28">
      <c r="B28" s="846" t="n">
        <v>6000</v>
      </c>
      <c r="C28" s="846" t="inlineStr">
        <is>
          <t>22.8kV</t>
        </is>
      </c>
      <c r="D28" s="846" t="inlineStr">
        <is>
          <t>380V</t>
        </is>
      </c>
      <c r="E28" s="864" t="n">
        <v>4714300</v>
      </c>
      <c r="F28" s="856" t="n"/>
      <c r="G28" s="856" t="n"/>
    </row>
    <row r="29">
      <c r="B29" s="846" t="n">
        <v>5000</v>
      </c>
      <c r="C29" s="846" t="inlineStr">
        <is>
          <t>22.8KV</t>
        </is>
      </c>
      <c r="D29" s="846" t="inlineStr">
        <is>
          <t>380V</t>
        </is>
      </c>
      <c r="E29" s="864" t="n">
        <v>4003900</v>
      </c>
      <c r="F29" s="914" t="n"/>
      <c r="G29" s="914" t="n"/>
    </row>
    <row r="30">
      <c r="F30" s="914" t="n"/>
      <c r="G30" s="914" t="n"/>
    </row>
  </sheetData>
  <mergeCells count="3">
    <mergeCell ref="D5:D21"/>
    <mergeCell ref="C5:C21"/>
    <mergeCell ref="E3:G3"/>
  </mergeCells>
  <pageMargins left="0.7" right="0.7" top="0.75" bottom="0.75" header="0.3" footer="0.3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Q40"/>
  <sheetViews>
    <sheetView topLeftCell="I1" zoomScaleNormal="100" workbookViewId="0">
      <pane ySplit="9" topLeftCell="A10" activePane="bottomLeft" state="frozen"/>
      <selection pane="bottomLeft" activeCell="H12" sqref="H12"/>
    </sheetView>
  </sheetViews>
  <sheetFormatPr baseColWidth="8" defaultColWidth="9" defaultRowHeight="14.25"/>
  <cols>
    <col width="3.125" customWidth="1" style="5" min="1" max="1"/>
    <col width="10.625" customWidth="1" style="5" min="2" max="3"/>
    <col width="12.625" customWidth="1" style="5" min="4" max="4"/>
    <col width="10.625" customWidth="1" style="5" min="5" max="5"/>
    <col width="12.625" customWidth="1" style="5" min="6" max="6"/>
    <col width="10.625" customWidth="1" style="5" min="7" max="7"/>
    <col width="12.625" customWidth="1" style="5" min="8" max="8"/>
    <col width="11.625" customWidth="1" style="5" min="9" max="9"/>
    <col width="12.625" customWidth="1" style="5" min="10" max="10"/>
    <col width="10.625" customWidth="1" style="5" min="11" max="11"/>
    <col width="12.625" customWidth="1" style="5" min="12" max="12"/>
    <col width="10.625" customWidth="1" style="5" min="13" max="13"/>
    <col width="12.625" customWidth="1" style="5" min="14" max="14"/>
    <col width="10.625" customWidth="1" style="5" min="15" max="15"/>
    <col width="12.625" customWidth="1" style="5" min="16" max="16"/>
    <col width="9" customWidth="1" style="5" min="17" max="16384"/>
  </cols>
  <sheetData>
    <row r="2" ht="15" customHeight="1" s="1643">
      <c r="B2" s="1523">
        <f>B9</f>
        <v/>
      </c>
      <c r="C2" s="1523">
        <f>C9</f>
        <v/>
      </c>
      <c r="D2" s="1523">
        <f>D9</f>
        <v/>
      </c>
      <c r="E2" s="1523">
        <f>E9</f>
        <v/>
      </c>
      <c r="F2" s="1523">
        <f>F9</f>
        <v/>
      </c>
      <c r="G2" s="1523">
        <f>G9</f>
        <v/>
      </c>
      <c r="H2" s="1523">
        <f>H9</f>
        <v/>
      </c>
      <c r="I2" s="1523">
        <f>I9</f>
        <v/>
      </c>
      <c r="J2" s="1523">
        <f>J9</f>
        <v/>
      </c>
      <c r="K2" s="1523">
        <f>K9</f>
        <v/>
      </c>
      <c r="L2" s="1523">
        <f>L9</f>
        <v/>
      </c>
      <c r="M2" s="1523">
        <f>M9</f>
        <v/>
      </c>
      <c r="N2" s="1523">
        <f>N9</f>
        <v/>
      </c>
      <c r="O2" s="1523">
        <f>O9</f>
        <v/>
      </c>
      <c r="P2" s="1523">
        <f>P9</f>
        <v/>
      </c>
    </row>
    <row r="3" ht="15" customHeight="1" s="1643">
      <c r="B3" s="1523">
        <f>B12</f>
        <v/>
      </c>
      <c r="C3" s="1523">
        <f>C12</f>
        <v/>
      </c>
      <c r="D3" s="1523">
        <f>D12</f>
        <v/>
      </c>
      <c r="E3" s="1523">
        <f>E12</f>
        <v/>
      </c>
      <c r="F3" s="1523">
        <f>F12</f>
        <v/>
      </c>
      <c r="G3" s="1523">
        <f>G12</f>
        <v/>
      </c>
      <c r="H3" s="1523">
        <f>H12</f>
        <v/>
      </c>
      <c r="I3" s="1523">
        <f>I12</f>
        <v/>
      </c>
      <c r="J3" s="1523">
        <f>J12</f>
        <v/>
      </c>
      <c r="K3" s="1523">
        <f>K12</f>
        <v/>
      </c>
      <c r="L3" s="1523">
        <f>L12</f>
        <v/>
      </c>
      <c r="M3" s="1523">
        <f>M12</f>
        <v/>
      </c>
      <c r="N3" s="1523">
        <f>N12</f>
        <v/>
      </c>
      <c r="O3" s="1523">
        <f>O12</f>
        <v/>
      </c>
      <c r="P3" s="1523">
        <f>P12</f>
        <v/>
      </c>
    </row>
    <row r="4" ht="15" customHeight="1" s="1643">
      <c r="B4" s="1523">
        <f>B9</f>
        <v/>
      </c>
      <c r="C4" s="1523">
        <f>C9</f>
        <v/>
      </c>
      <c r="D4" s="1523">
        <f>D9</f>
        <v/>
      </c>
      <c r="E4" s="1523">
        <f>E9</f>
        <v/>
      </c>
      <c r="F4" s="1523">
        <f>F9</f>
        <v/>
      </c>
      <c r="G4" s="1523">
        <f>G9</f>
        <v/>
      </c>
      <c r="H4" s="1523">
        <f>H9</f>
        <v/>
      </c>
      <c r="I4" s="1523">
        <f>I9</f>
        <v/>
      </c>
      <c r="J4" s="1523">
        <f>J9</f>
        <v/>
      </c>
      <c r="K4" s="1523">
        <f>K9</f>
        <v/>
      </c>
      <c r="L4" s="1523">
        <f>L9</f>
        <v/>
      </c>
      <c r="M4" s="1523">
        <f>M9</f>
        <v/>
      </c>
      <c r="N4" s="1523">
        <f>N9</f>
        <v/>
      </c>
      <c r="O4" s="1523">
        <f>O9</f>
        <v/>
      </c>
      <c r="P4" s="1523">
        <f>P9</f>
        <v/>
      </c>
    </row>
    <row r="5" ht="15" customHeight="1" s="1643">
      <c r="B5" s="1523" t="n"/>
      <c r="C5" s="1523" t="n"/>
      <c r="D5" s="235" t="n"/>
      <c r="E5" s="1523" t="n"/>
      <c r="F5" s="235" t="n"/>
      <c r="G5" s="1523" t="n"/>
      <c r="H5" s="235" t="n"/>
      <c r="I5" s="1523" t="n"/>
      <c r="J5" s="235" t="n"/>
      <c r="K5" s="1523" t="n"/>
      <c r="L5" s="235" t="n"/>
      <c r="M5" s="1523" t="n"/>
      <c r="N5" s="235" t="n"/>
      <c r="O5" s="1523" t="n"/>
      <c r="P5" s="235">
        <f>#REF!</f>
        <v/>
      </c>
    </row>
    <row r="6" ht="15" customHeight="1" s="1643">
      <c r="B6" s="1523">
        <f>B9</f>
        <v/>
      </c>
      <c r="C6" s="1523">
        <f>C9</f>
        <v/>
      </c>
      <c r="D6" s="1523">
        <f>D9</f>
        <v/>
      </c>
      <c r="E6" s="1523">
        <f>E9</f>
        <v/>
      </c>
      <c r="F6" s="1523">
        <f>F9</f>
        <v/>
      </c>
      <c r="G6" s="1523">
        <f>G9</f>
        <v/>
      </c>
      <c r="H6" s="1523">
        <f>H9</f>
        <v/>
      </c>
      <c r="I6" s="1523">
        <f>I9</f>
        <v/>
      </c>
      <c r="J6" s="1523">
        <f>J9</f>
        <v/>
      </c>
      <c r="K6" s="1523">
        <f>K9</f>
        <v/>
      </c>
      <c r="L6" s="1523">
        <f>L9</f>
        <v/>
      </c>
      <c r="M6" s="1523">
        <f>M9</f>
        <v/>
      </c>
      <c r="N6" s="1523">
        <f>N9</f>
        <v/>
      </c>
      <c r="O6" s="1523">
        <f>O9</f>
        <v/>
      </c>
      <c r="P6" s="1523">
        <f>P9</f>
        <v/>
      </c>
    </row>
    <row r="7" ht="15" customHeight="1" s="1643">
      <c r="B7" s="1523" t="n"/>
      <c r="C7" s="1523" t="n"/>
      <c r="D7" s="235" t="n"/>
      <c r="E7" s="1523" t="n"/>
      <c r="F7" s="235" t="n"/>
      <c r="G7" s="1523" t="n"/>
      <c r="H7" s="235" t="n"/>
      <c r="I7" s="1523" t="n"/>
      <c r="J7" s="235" t="n"/>
      <c r="K7" s="1523" t="n"/>
      <c r="L7" s="235" t="n"/>
      <c r="M7" s="1523" t="n"/>
      <c r="N7" s="235" t="n"/>
      <c r="O7" s="1523" t="n"/>
      <c r="P7" s="235">
        <f>#REF!</f>
        <v/>
      </c>
    </row>
    <row r="8" ht="15" customHeight="1" s="1643"/>
    <row r="9" ht="15" customHeight="1" s="1643">
      <c r="B9" s="1523" t="inlineStr">
        <is>
          <t>廠商</t>
        </is>
      </c>
      <c r="C9" s="1523" t="inlineStr">
        <is>
          <t>型號</t>
        </is>
      </c>
      <c r="D9" s="209" t="inlineStr">
        <is>
          <t>報價(台幣/kg)</t>
        </is>
      </c>
      <c r="E9" s="1523" t="inlineStr">
        <is>
          <t>型號</t>
        </is>
      </c>
      <c r="F9" s="209" t="inlineStr">
        <is>
          <t>報價(台幣/kg)</t>
        </is>
      </c>
      <c r="G9" s="1523" t="inlineStr">
        <is>
          <t>型號</t>
        </is>
      </c>
      <c r="H9" s="209" t="inlineStr">
        <is>
          <t>報價(台幣/kg)</t>
        </is>
      </c>
      <c r="I9" s="1523" t="inlineStr">
        <is>
          <t>型號</t>
        </is>
      </c>
      <c r="J9" s="209" t="inlineStr">
        <is>
          <t>報價(台幣/kg)</t>
        </is>
      </c>
      <c r="K9" s="1523" t="inlineStr">
        <is>
          <t>型號</t>
        </is>
      </c>
      <c r="L9" s="209" t="inlineStr">
        <is>
          <t>報價(台幣/柱)</t>
        </is>
      </c>
      <c r="M9" s="1523" t="inlineStr">
        <is>
          <t>型號</t>
        </is>
      </c>
      <c r="N9" s="209" t="inlineStr">
        <is>
          <t>報價(台幣/柱)</t>
        </is>
      </c>
      <c r="O9" s="1523" t="inlineStr">
        <is>
          <t>型號</t>
        </is>
      </c>
      <c r="P9" s="209" t="inlineStr">
        <is>
          <t>報價(台幣)</t>
        </is>
      </c>
    </row>
    <row r="10" ht="15" customHeight="1" s="1643">
      <c r="B10" s="1523" t="inlineStr">
        <is>
          <t>宏勝工程行</t>
        </is>
      </c>
      <c r="C10" s="1523" t="inlineStr">
        <is>
          <t>H型鋼</t>
        </is>
      </c>
      <c r="D10" s="235">
        <f>45-22</f>
        <v/>
      </c>
      <c r="E10" s="1523" t="inlineStr">
        <is>
          <t>C型鋼</t>
        </is>
      </c>
      <c r="F10" s="235">
        <f>50-23</f>
        <v/>
      </c>
      <c r="G10" s="1523" t="inlineStr">
        <is>
          <t>熱浸鍍鋅</t>
        </is>
      </c>
      <c r="H10" s="235" t="n">
        <v>15</v>
      </c>
      <c r="I10" s="1523" t="inlineStr">
        <is>
          <t>五金另料+人工</t>
        </is>
      </c>
      <c r="J10" s="235" t="n">
        <v>40</v>
      </c>
      <c r="K10" s="1523" t="inlineStr">
        <is>
          <t>水泥基礎</t>
        </is>
      </c>
      <c r="L10" s="235" t="n">
        <v>2220</v>
      </c>
      <c r="M10" s="1523" t="inlineStr">
        <is>
          <t>吊運費</t>
        </is>
      </c>
      <c r="N10" s="235" t="n">
        <v>4</v>
      </c>
      <c r="O10" s="1523" t="inlineStr">
        <is>
          <t>管理費</t>
        </is>
      </c>
      <c r="P10" s="337" t="inlineStr">
        <is>
          <t>總造價10%</t>
        </is>
      </c>
      <c r="Q10" s="302" t="inlineStr">
        <is>
          <t>107/03</t>
        </is>
      </c>
    </row>
    <row r="11" ht="15" customHeight="1" s="1643">
      <c r="B11" s="336" t="inlineStr">
        <is>
          <t>伍陽鋼構</t>
        </is>
      </c>
      <c r="C11" s="1523" t="inlineStr">
        <is>
          <t>H型鋼</t>
        </is>
      </c>
      <c r="D11" s="235" t="n">
        <v>23</v>
      </c>
      <c r="E11" s="1523" t="inlineStr">
        <is>
          <t>C型鋼</t>
        </is>
      </c>
      <c r="F11" s="235" t="n">
        <v>27</v>
      </c>
      <c r="G11" s="1523" t="inlineStr">
        <is>
          <t>熱浸鍍鋅</t>
        </is>
      </c>
      <c r="H11" s="235" t="n">
        <v>15</v>
      </c>
      <c r="I11" s="1523" t="inlineStr">
        <is>
          <t>五金另料+人工</t>
        </is>
      </c>
      <c r="J11" s="235" t="n">
        <v>29</v>
      </c>
      <c r="K11" s="1523" t="inlineStr">
        <is>
          <t>水泥基座</t>
        </is>
      </c>
      <c r="L11" s="235" t="n">
        <v>1200</v>
      </c>
      <c r="M11" s="1523" t="inlineStr">
        <is>
          <t>吊運費</t>
        </is>
      </c>
      <c r="N11" s="235" t="n">
        <v>4</v>
      </c>
      <c r="O11" s="1523" t="inlineStr">
        <is>
          <t>管理費</t>
        </is>
      </c>
      <c r="P11" s="337" t="inlineStr">
        <is>
          <t>總造價10%</t>
        </is>
      </c>
      <c r="Q11" s="302" t="inlineStr">
        <is>
          <t>107/11</t>
        </is>
      </c>
    </row>
    <row r="12" ht="15" customHeight="1" s="1643">
      <c r="B12" s="1523" t="inlineStr">
        <is>
          <t>尚鴻工程</t>
        </is>
      </c>
      <c r="C12" s="1523" t="inlineStr">
        <is>
          <t>H型鋼</t>
        </is>
      </c>
      <c r="D12" s="235">
        <f>45-22</f>
        <v/>
      </c>
      <c r="E12" s="1523" t="inlineStr">
        <is>
          <t>C型鋼</t>
        </is>
      </c>
      <c r="F12" s="235">
        <f>50-23</f>
        <v/>
      </c>
      <c r="G12" s="1523" t="inlineStr">
        <is>
          <t>熱浸鍍鋅</t>
        </is>
      </c>
      <c r="H12" s="235" t="n">
        <v>15</v>
      </c>
      <c r="I12" s="1523" t="inlineStr">
        <is>
          <t>五金另料+人工</t>
        </is>
      </c>
      <c r="J12" s="235" t="n">
        <v>30</v>
      </c>
      <c r="K12" s="1523" t="inlineStr">
        <is>
          <t>水泥基礎</t>
        </is>
      </c>
      <c r="L12" s="235" t="n">
        <v>2220</v>
      </c>
      <c r="M12" s="1523" t="inlineStr">
        <is>
          <t>吊運費</t>
        </is>
      </c>
      <c r="N12" s="235" t="n">
        <v>4</v>
      </c>
      <c r="O12" s="1523" t="inlineStr">
        <is>
          <t>管理費</t>
        </is>
      </c>
      <c r="P12" s="337" t="inlineStr">
        <is>
          <t>總造價10%</t>
        </is>
      </c>
      <c r="Q12" s="302" t="inlineStr">
        <is>
          <t>108/10</t>
        </is>
      </c>
    </row>
    <row r="13" ht="15" customHeight="1" s="1643">
      <c r="B13" s="1523" t="n"/>
      <c r="C13" s="1523" t="inlineStr">
        <is>
          <t>H型鋼</t>
        </is>
      </c>
      <c r="D13" s="235" t="n"/>
      <c r="E13" s="1523" t="inlineStr">
        <is>
          <t>C型鋼</t>
        </is>
      </c>
      <c r="F13" s="235" t="n"/>
      <c r="G13" s="1523" t="inlineStr">
        <is>
          <t>熱浸鍍鋅</t>
        </is>
      </c>
      <c r="H13" s="235" t="n"/>
      <c r="I13" s="1523" t="inlineStr">
        <is>
          <t>五金另料+人工</t>
        </is>
      </c>
      <c r="J13" s="235" t="n"/>
      <c r="K13" s="1523" t="inlineStr">
        <is>
          <t>水泥基礎</t>
        </is>
      </c>
      <c r="L13" s="235" t="n"/>
      <c r="M13" s="1523" t="inlineStr">
        <is>
          <t>吊運費</t>
        </is>
      </c>
      <c r="N13" s="235" t="n"/>
      <c r="O13" s="1523" t="inlineStr">
        <is>
          <t>管理費</t>
        </is>
      </c>
      <c r="P13" s="337" t="n"/>
    </row>
    <row r="14" ht="15" customHeight="1" s="1643">
      <c r="B14" s="1523" t="n"/>
      <c r="C14" s="1523" t="inlineStr">
        <is>
          <t>H型鋼</t>
        </is>
      </c>
      <c r="D14" s="235" t="n"/>
      <c r="E14" s="1523" t="inlineStr">
        <is>
          <t>C型鋼</t>
        </is>
      </c>
      <c r="F14" s="235" t="n"/>
      <c r="G14" s="1523" t="inlineStr">
        <is>
          <t>熱浸鍍鋅</t>
        </is>
      </c>
      <c r="H14" s="235" t="n"/>
      <c r="I14" s="1523" t="inlineStr">
        <is>
          <t>五金另料+人工</t>
        </is>
      </c>
      <c r="J14" s="235" t="n"/>
      <c r="K14" s="1523" t="inlineStr">
        <is>
          <t>水泥基礎</t>
        </is>
      </c>
      <c r="L14" s="235" t="n"/>
      <c r="M14" s="1523" t="inlineStr">
        <is>
          <t>吊運費</t>
        </is>
      </c>
      <c r="N14" s="235" t="n"/>
      <c r="O14" s="1523" t="inlineStr">
        <is>
          <t>管理費</t>
        </is>
      </c>
      <c r="P14" s="337" t="n"/>
    </row>
    <row r="15" ht="15" customHeight="1" s="1643">
      <c r="B15" s="1523" t="n"/>
      <c r="C15" s="1523" t="inlineStr">
        <is>
          <t>H型鋼</t>
        </is>
      </c>
      <c r="D15" s="235" t="n"/>
      <c r="E15" s="1523" t="inlineStr">
        <is>
          <t>C型鋼</t>
        </is>
      </c>
      <c r="F15" s="235" t="n"/>
      <c r="G15" s="1523" t="inlineStr">
        <is>
          <t>熱浸鍍鋅</t>
        </is>
      </c>
      <c r="H15" s="235" t="n"/>
      <c r="I15" s="1523" t="inlineStr">
        <is>
          <t>五金另料+人工</t>
        </is>
      </c>
      <c r="J15" s="235" t="n"/>
      <c r="K15" s="1523" t="inlineStr">
        <is>
          <t>水泥基礎</t>
        </is>
      </c>
      <c r="L15" s="235" t="n"/>
      <c r="M15" s="1523" t="inlineStr">
        <is>
          <t>吊運費</t>
        </is>
      </c>
      <c r="N15" s="235" t="n"/>
      <c r="O15" s="1523" t="inlineStr">
        <is>
          <t>管理費</t>
        </is>
      </c>
      <c r="P15" s="337" t="n"/>
    </row>
    <row r="16" ht="15" customHeight="1" s="1643">
      <c r="B16" s="1523" t="n"/>
      <c r="C16" s="1523" t="inlineStr">
        <is>
          <t>H型鋼</t>
        </is>
      </c>
      <c r="D16" s="235" t="n"/>
      <c r="E16" s="1523" t="inlineStr">
        <is>
          <t>C型鋼</t>
        </is>
      </c>
      <c r="F16" s="235" t="n"/>
      <c r="G16" s="1523" t="inlineStr">
        <is>
          <t>熱浸鍍鋅</t>
        </is>
      </c>
      <c r="H16" s="235" t="n"/>
      <c r="I16" s="1523" t="inlineStr">
        <is>
          <t>五金另料+人工</t>
        </is>
      </c>
      <c r="J16" s="235" t="n"/>
      <c r="K16" s="1523" t="inlineStr">
        <is>
          <t>水泥基礎</t>
        </is>
      </c>
      <c r="L16" s="235" t="n"/>
      <c r="M16" s="1523" t="inlineStr">
        <is>
          <t>吊運費</t>
        </is>
      </c>
      <c r="N16" s="235" t="n"/>
      <c r="O16" s="1523" t="inlineStr">
        <is>
          <t>管理費</t>
        </is>
      </c>
      <c r="P16" s="337" t="n"/>
    </row>
    <row r="20" ht="15" customHeight="1" s="1643">
      <c r="B20" s="336" t="inlineStr">
        <is>
          <t>創炘工業</t>
        </is>
      </c>
      <c r="C20" s="1523" t="inlineStr">
        <is>
          <t>H型鋼</t>
        </is>
      </c>
      <c r="D20" s="235" t="n">
        <v>72.90000000000001</v>
      </c>
      <c r="E20" s="1523" t="inlineStr">
        <is>
          <t>C型鋼</t>
        </is>
      </c>
      <c r="F20" s="235" t="n">
        <v>58.05</v>
      </c>
      <c r="G20" s="1523" t="inlineStr">
        <is>
          <t>熱浸鍍鋅</t>
        </is>
      </c>
      <c r="H20" s="235" t="n"/>
      <c r="I20" s="1523" t="inlineStr">
        <is>
          <t>五金另料+人工</t>
        </is>
      </c>
      <c r="J20" s="235" t="n"/>
      <c r="K20" s="1523" t="inlineStr">
        <is>
          <t>水泥基礎</t>
        </is>
      </c>
      <c r="L20" s="235" t="n"/>
      <c r="M20" s="1523" t="inlineStr">
        <is>
          <t>吊運費</t>
        </is>
      </c>
      <c r="N20" s="235" t="n"/>
      <c r="O20" s="1523" t="inlineStr">
        <is>
          <t>管理費</t>
        </is>
      </c>
      <c r="P20" s="337" t="n"/>
    </row>
    <row r="24">
      <c r="B24" s="207" t="inlineStr">
        <is>
          <t>石中劍</t>
        </is>
      </c>
      <c r="C24" s="207" t="inlineStr">
        <is>
          <t>方管</t>
        </is>
      </c>
      <c r="D24" s="207" t="inlineStr">
        <is>
          <t>$3800 /kW</t>
        </is>
      </c>
    </row>
    <row r="25">
      <c r="C25" s="207" t="inlineStr">
        <is>
          <t>HC型鋼</t>
        </is>
      </c>
      <c r="D25" s="207" t="inlineStr">
        <is>
          <t>$4800 /kW</t>
        </is>
      </c>
    </row>
    <row r="26">
      <c r="D26" s="5" t="inlineStr">
        <is>
          <t>(高度1.5m內，4x3片)</t>
        </is>
      </c>
    </row>
    <row r="28">
      <c r="B28" s="5" t="inlineStr">
        <is>
          <t>尚鴻</t>
        </is>
      </c>
      <c r="F28" s="5" t="inlineStr">
        <is>
          <t>(未稅)</t>
        </is>
      </c>
    </row>
    <row r="29">
      <c r="B29" s="5" t="inlineStr">
        <is>
          <t>鋼構工程  H型鋼(鍍鋅)工料</t>
        </is>
      </c>
      <c r="F29" s="5" t="inlineStr">
        <is>
          <t>54/kg</t>
        </is>
      </c>
    </row>
    <row r="30">
      <c r="B30" s="5" t="inlineStr">
        <is>
          <t>鋼構工程  H型鋼(噴砂+一底一度漆)工料</t>
        </is>
      </c>
      <c r="F30" s="5" t="inlineStr">
        <is>
          <t>48/kg</t>
        </is>
      </c>
    </row>
    <row r="31">
      <c r="B31" s="5" t="inlineStr">
        <is>
          <t>土+點銲鋼絲網(1層)+水泥(3000psi、厚10~12cm)+表面粉光</t>
        </is>
      </c>
      <c r="F31" s="5" t="inlineStr">
        <is>
          <t>$1000~1100/m2</t>
        </is>
      </c>
      <c r="G31" s="5" t="inlineStr">
        <is>
          <t>§ 重車經過：點銲鋼絲網(2層)+水泥(4000psi、20cm)</t>
        </is>
      </c>
    </row>
    <row r="32">
      <c r="B32" s="5" t="inlineStr">
        <is>
          <t>土+夯實+AC(厚5~8cm)</t>
        </is>
      </c>
      <c r="F32" s="5" t="inlineStr">
        <is>
          <t>$800/m2</t>
        </is>
      </c>
    </row>
    <row r="33">
      <c r="B33" s="5" t="inlineStr">
        <is>
          <t>RC</t>
        </is>
      </c>
      <c r="C33" s="5" t="inlineStr">
        <is>
          <t>3000psi</t>
        </is>
      </c>
      <c r="D33" s="1493" t="inlineStr">
        <is>
          <t>輸送</t>
        </is>
      </c>
      <c r="F33" s="5" t="inlineStr">
        <is>
          <t>$3000/m3</t>
        </is>
      </c>
    </row>
    <row r="34">
      <c r="B34" s="5" t="inlineStr">
        <is>
          <t>RC</t>
        </is>
      </c>
      <c r="C34" s="5" t="inlineStr">
        <is>
          <t>4000psi</t>
        </is>
      </c>
      <c r="F34" s="5" t="inlineStr">
        <is>
          <t>$3200/m3</t>
        </is>
      </c>
    </row>
    <row r="36">
      <c r="B36" s="5" t="inlineStr">
        <is>
          <t>地面型PC樁</t>
        </is>
      </c>
      <c r="C36" s="5" t="inlineStr">
        <is>
          <t>6米/支</t>
        </is>
      </c>
      <c r="D36" s="2171" t="n">
        <v>3000</v>
      </c>
    </row>
    <row r="37">
      <c r="C37" s="5" t="inlineStr">
        <is>
          <t>9米/支</t>
        </is>
      </c>
      <c r="D37" s="2171" t="n">
        <v>4500</v>
      </c>
    </row>
    <row r="39">
      <c r="B39" s="5" t="inlineStr">
        <is>
          <t>2甲地</t>
        </is>
      </c>
    </row>
    <row r="40">
      <c r="B40" s="5" t="inlineStr">
        <is>
          <t>地貌改變 44萬+修整 5萬</t>
        </is>
      </c>
    </row>
  </sheetData>
  <autoFilter ref="B9:P16"/>
  <mergeCells count="1">
    <mergeCell ref="D33:D34"/>
  </mergeCells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3:F18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4" sqref="F24"/>
    </sheetView>
  </sheetViews>
  <sheetFormatPr baseColWidth="8" defaultColWidth="9" defaultRowHeight="14.25"/>
  <cols>
    <col width="9" customWidth="1" style="5" min="1" max="1"/>
    <col width="35.625" bestFit="1" customWidth="1" style="5" min="2" max="2"/>
    <col width="9" customWidth="1" style="207" min="3" max="4"/>
    <col width="9" customWidth="1" style="5" min="5" max="16384"/>
  </cols>
  <sheetData>
    <row r="3">
      <c r="B3" s="865" t="inlineStr">
        <is>
          <t>品名</t>
        </is>
      </c>
      <c r="C3" s="865" t="inlineStr">
        <is>
          <t>單位</t>
        </is>
      </c>
      <c r="D3" s="865" t="inlineStr">
        <is>
          <t>費用</t>
        </is>
      </c>
      <c r="E3" s="865" t="inlineStr">
        <is>
          <t>規格</t>
        </is>
      </c>
    </row>
    <row r="4">
      <c r="B4" s="5" t="inlineStr">
        <is>
          <t>監控電腦含22吋以上螢幕</t>
        </is>
      </c>
      <c r="C4" s="207" t="inlineStr">
        <is>
          <t>式</t>
        </is>
      </c>
      <c r="D4" s="207" t="n">
        <v>22990</v>
      </c>
    </row>
    <row r="5">
      <c r="B5" s="5" t="inlineStr">
        <is>
          <t>75"以上LCD螢幕4K</t>
        </is>
      </c>
      <c r="C5" s="207" t="inlineStr">
        <is>
          <t>式</t>
        </is>
      </c>
      <c r="D5" s="207" t="n">
        <v>79900</v>
      </c>
    </row>
    <row r="6">
      <c r="B6" s="5" t="inlineStr">
        <is>
          <t>不銹鋼車牙管清洗管線含施工/配電/加壓馬達</t>
        </is>
      </c>
      <c r="C6" s="207" t="inlineStr">
        <is>
          <t>m</t>
        </is>
      </c>
      <c r="D6" s="207" t="n">
        <v>500</v>
      </c>
    </row>
    <row r="7">
      <c r="B7" s="5" t="inlineStr">
        <is>
          <t>PVC管清洗管線含施工/配電/加壓馬達</t>
        </is>
      </c>
      <c r="C7" s="207" t="inlineStr">
        <is>
          <t>m</t>
        </is>
      </c>
      <c r="D7" s="207" t="n">
        <v>200</v>
      </c>
    </row>
    <row r="8">
      <c r="B8" s="5" t="inlineStr">
        <is>
          <t>採光罩防墜安全網</t>
        </is>
      </c>
      <c r="C8" s="207" t="inlineStr">
        <is>
          <t>元/m2</t>
        </is>
      </c>
      <c r="D8" s="207" t="n">
        <v>400</v>
      </c>
    </row>
    <row r="9">
      <c r="B9" s="5" t="inlineStr">
        <is>
          <t>箱體掛牆(含安裝鋼構材料)</t>
        </is>
      </c>
      <c r="C9" s="207" t="inlineStr">
        <is>
          <t>組</t>
        </is>
      </c>
      <c r="D9" s="207" t="n">
        <v>3000</v>
      </c>
    </row>
    <row r="10">
      <c r="B10" s="5" t="inlineStr">
        <is>
          <t>高壓設備增設圍籬</t>
        </is>
      </c>
      <c r="C10" s="207" t="inlineStr">
        <is>
          <t>m</t>
        </is>
      </c>
      <c r="D10" s="207" t="n">
        <v>5000</v>
      </c>
    </row>
    <row r="11" ht="15" customHeight="1" s="1643">
      <c r="B11" s="5" t="inlineStr">
        <is>
          <t>滅火器(環保)</t>
        </is>
      </c>
      <c r="C11" s="207" t="inlineStr">
        <is>
          <t>支</t>
        </is>
      </c>
      <c r="D11" s="207" t="n">
        <v>3200</v>
      </c>
      <c r="E11" s="207" t="inlineStr">
        <is>
          <t>保固10年</t>
        </is>
      </c>
      <c r="F11" s="341" t="inlineStr">
        <is>
          <t>https://24h.pchome.com.tw/prod/QFAP18-A900AF8MO</t>
        </is>
      </c>
    </row>
    <row r="12">
      <c r="B12" s="5" t="inlineStr">
        <is>
          <t>滅火器(乾粉)</t>
        </is>
      </c>
      <c r="C12" s="207" t="inlineStr">
        <is>
          <t>支</t>
        </is>
      </c>
      <c r="D12" s="207" t="n">
        <v>800</v>
      </c>
    </row>
    <row r="17">
      <c r="B17" s="5" t="inlineStr">
        <is>
          <t>結構技師現勘費</t>
        </is>
      </c>
      <c r="C17" s="207" t="inlineStr">
        <is>
          <t>次</t>
        </is>
      </c>
      <c r="D17" s="207" t="n">
        <v>8000</v>
      </c>
      <c r="E17" s="5" t="inlineStr">
        <is>
          <t>苗栗</t>
        </is>
      </c>
    </row>
    <row r="18">
      <c r="B18" s="5" t="inlineStr">
        <is>
          <t>超音波測量廠商</t>
        </is>
      </c>
      <c r="C18" s="207" t="inlineStr">
        <is>
          <t>出一次</t>
        </is>
      </c>
      <c r="D18" s="207" t="inlineStr">
        <is>
          <t>20000-30000</t>
        </is>
      </c>
      <c r="E18" s="5" t="inlineStr">
        <is>
          <t>未含後續分析</t>
        </is>
      </c>
    </row>
  </sheetData>
  <hyperlinks>
    <hyperlink xmlns:r="http://schemas.openxmlformats.org/officeDocument/2006/relationships" ref="F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I26" sqref="I26"/>
    </sheetView>
  </sheetViews>
  <sheetFormatPr baseColWidth="8" defaultColWidth="9" defaultRowHeight="14.25"/>
  <cols>
    <col width="3.125" customWidth="1" style="5" min="1" max="1"/>
    <col width="11.375" bestFit="1" customWidth="1" style="5" min="2" max="2"/>
    <col width="19.125" bestFit="1" customWidth="1" style="5" min="3" max="3"/>
    <col width="19.125" customWidth="1" style="5" min="4" max="4"/>
    <col width="17.375" bestFit="1" customWidth="1" style="5" min="5" max="5"/>
    <col width="13.5" bestFit="1" customWidth="1" style="5" min="6" max="6"/>
    <col width="11.75" customWidth="1" style="5" min="7" max="7"/>
    <col width="11.375" bestFit="1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DC線廠商</t>
        </is>
      </c>
      <c r="C2" s="1523" t="inlineStr">
        <is>
          <t>型號</t>
        </is>
      </c>
      <c r="D2" s="1523" t="inlineStr">
        <is>
          <t>規格</t>
        </is>
      </c>
      <c r="E2" s="1523" t="inlineStr">
        <is>
          <t>報價(台幣/M)</t>
        </is>
      </c>
      <c r="F2" s="1523" t="inlineStr">
        <is>
          <t>報價時間</t>
        </is>
      </c>
      <c r="G2" s="1523" t="inlineStr">
        <is>
          <t>NOTE</t>
        </is>
      </c>
      <c r="H2" s="1523" t="inlineStr">
        <is>
          <t>聯絡人</t>
        </is>
      </c>
      <c r="I2" s="1523" t="inlineStr">
        <is>
          <t>聯絡方式</t>
        </is>
      </c>
      <c r="J2" s="1523" t="inlineStr">
        <is>
          <t>Email</t>
        </is>
      </c>
    </row>
    <row r="3">
      <c r="B3" s="1523" t="inlineStr">
        <is>
          <t>適發工業科技</t>
        </is>
      </c>
      <c r="C3" s="1523" t="inlineStr">
        <is>
          <t>LEON_ STUDER 2248U3</t>
        </is>
      </c>
      <c r="D3" s="1523" t="inlineStr">
        <is>
          <t>4mm2(TUV)</t>
        </is>
      </c>
      <c r="E3" s="1523" t="n">
        <v>23.5</v>
      </c>
      <c r="F3" s="1523" t="inlineStr">
        <is>
          <t>2013/10月</t>
        </is>
      </c>
      <c r="G3" s="205" t="inlineStr">
        <is>
          <t>外徑6.05</t>
        </is>
      </c>
      <c r="H3" s="205" t="inlineStr">
        <is>
          <t>適發工業科技</t>
        </is>
      </c>
      <c r="I3" s="206" t="inlineStr">
        <is>
          <t>0227924360</t>
        </is>
      </c>
      <c r="J3" s="205" t="n"/>
    </row>
    <row r="4">
      <c r="B4" s="1523" t="inlineStr">
        <is>
          <t>華新</t>
        </is>
      </c>
      <c r="C4" s="1523" t="inlineStr">
        <is>
          <t>OD(完成外徑)7.5mm</t>
        </is>
      </c>
      <c r="D4" s="1523" t="inlineStr">
        <is>
          <t>4mm2(UL)</t>
        </is>
      </c>
      <c r="E4" s="1523" t="n">
        <v>21.2</v>
      </c>
      <c r="F4" s="1523" t="inlineStr">
        <is>
          <t>2018/6月</t>
        </is>
      </c>
      <c r="G4" s="205" t="inlineStr">
        <is>
          <t>外徑7.5mm2</t>
        </is>
      </c>
      <c r="H4" s="205" t="n"/>
      <c r="I4" s="206" t="n"/>
      <c r="J4" s="205" t="n"/>
    </row>
    <row r="5">
      <c r="B5" s="1523" t="inlineStr">
        <is>
          <t>華新</t>
        </is>
      </c>
      <c r="C5" s="1523" t="inlineStr">
        <is>
          <t>OD(完成外徑)6.4mm</t>
        </is>
      </c>
      <c r="D5" s="1523" t="inlineStr">
        <is>
          <t>4mm2(TUV)</t>
        </is>
      </c>
      <c r="E5" s="1523" t="n">
        <v>20.2</v>
      </c>
      <c r="F5" s="1523" t="inlineStr">
        <is>
          <t>2018/6月</t>
        </is>
      </c>
      <c r="G5" s="205" t="inlineStr">
        <is>
          <t>外徑6.4mm2</t>
        </is>
      </c>
      <c r="H5" s="205" t="n"/>
      <c r="I5" s="206" t="n"/>
      <c r="J5" s="205" t="n"/>
    </row>
    <row r="6">
      <c r="B6" s="1523" t="inlineStr">
        <is>
          <t>華新</t>
        </is>
      </c>
      <c r="C6" s="1523" t="inlineStr">
        <is>
          <t>OD(完成外徑)5.8mm</t>
        </is>
      </c>
      <c r="D6" s="1523" t="inlineStr">
        <is>
          <t>4mm2(EN)</t>
        </is>
      </c>
      <c r="E6" s="1523" t="n">
        <v>18.9</v>
      </c>
      <c r="F6" s="1523" t="inlineStr">
        <is>
          <t>2018/6月</t>
        </is>
      </c>
      <c r="G6" s="205" t="inlineStr">
        <is>
          <t>外徑5.8mm2</t>
        </is>
      </c>
      <c r="H6" s="205" t="n"/>
      <c r="I6" s="206" t="n"/>
      <c r="J6" s="205" t="n"/>
    </row>
    <row r="7">
      <c r="B7" s="1523" t="inlineStr">
        <is>
          <t>經緯</t>
        </is>
      </c>
      <c r="C7" s="1523" t="inlineStr">
        <is>
          <t>OD(完成外徑)5.9mm</t>
        </is>
      </c>
      <c r="D7" s="1523" t="inlineStr">
        <is>
          <t>4mm2(TUV)</t>
        </is>
      </c>
      <c r="E7" s="1523" t="n">
        <v>19.3</v>
      </c>
      <c r="F7" s="1523" t="inlineStr">
        <is>
          <t>2018/6月</t>
        </is>
      </c>
      <c r="G7" s="205" t="inlineStr">
        <is>
          <t>外徑5.9mm2</t>
        </is>
      </c>
      <c r="H7" s="205" t="n"/>
      <c r="I7" s="206" t="n"/>
      <c r="J7" s="205" t="n"/>
    </row>
    <row r="8">
      <c r="B8" s="1523" t="inlineStr">
        <is>
          <t>泰科</t>
        </is>
      </c>
      <c r="C8" s="1523" t="inlineStr">
        <is>
          <t>OD(完成外徑)6.35mm</t>
        </is>
      </c>
      <c r="D8" s="1523" t="inlineStr">
        <is>
          <t>4mm2(TUV&amp;UL)</t>
        </is>
      </c>
      <c r="E8" s="1523" t="n">
        <v>20</v>
      </c>
      <c r="F8" s="1523" t="inlineStr">
        <is>
          <t>2018/6月</t>
        </is>
      </c>
      <c r="G8" s="205" t="inlineStr">
        <is>
          <t>外徑6.35mm2</t>
        </is>
      </c>
      <c r="H8" s="205" t="n"/>
      <c r="I8" s="206" t="n"/>
      <c r="J8" s="205" t="n"/>
    </row>
    <row r="10">
      <c r="B10" s="1523" t="inlineStr">
        <is>
          <t>AC線廠商</t>
        </is>
      </c>
      <c r="C10" s="1523" t="inlineStr">
        <is>
          <t>型號</t>
        </is>
      </c>
      <c r="D10" s="1523" t="inlineStr">
        <is>
          <t>規格</t>
        </is>
      </c>
      <c r="E10" s="1523" t="inlineStr">
        <is>
          <t>報價(台幣/M)</t>
        </is>
      </c>
      <c r="F10" s="1523" t="inlineStr">
        <is>
          <t>報價時間</t>
        </is>
      </c>
      <c r="G10" s="1523" t="inlineStr">
        <is>
          <t>NOTE</t>
        </is>
      </c>
      <c r="H10" s="1523" t="inlineStr">
        <is>
          <t>聯絡人</t>
        </is>
      </c>
      <c r="I10" s="1523" t="inlineStr">
        <is>
          <t>聯絡方式</t>
        </is>
      </c>
      <c r="J10" s="1523" t="inlineStr">
        <is>
          <t>Email</t>
        </is>
      </c>
    </row>
    <row r="11">
      <c r="B11" s="1523" t="inlineStr">
        <is>
          <t>太平洋</t>
        </is>
      </c>
      <c r="C11" s="1523" t="inlineStr">
        <is>
          <t>PVC3.5mm2</t>
        </is>
      </c>
      <c r="D11" s="1523" t="n"/>
      <c r="E11" s="1523" t="n">
        <v>8</v>
      </c>
      <c r="F11" s="1523" t="n"/>
      <c r="G11" s="205" t="n"/>
      <c r="H11" s="205" t="n"/>
      <c r="I11" s="206" t="n"/>
      <c r="J11" s="205" t="n"/>
    </row>
    <row r="12">
      <c r="B12" s="1523" t="inlineStr">
        <is>
          <t>太平洋</t>
        </is>
      </c>
      <c r="C12" s="1523" t="inlineStr">
        <is>
          <t>PVC5.5mm2</t>
        </is>
      </c>
      <c r="D12" s="1523" t="n"/>
      <c r="E12" s="1523" t="n">
        <v>12</v>
      </c>
      <c r="F12" s="1523" t="n"/>
      <c r="G12" s="205" t="n"/>
      <c r="H12" s="205" t="n"/>
      <c r="I12" s="206" t="n"/>
      <c r="J12" s="205" t="n"/>
    </row>
    <row r="13">
      <c r="B13" s="1523" t="inlineStr">
        <is>
          <t>太平洋</t>
        </is>
      </c>
      <c r="C13" s="1523" t="inlineStr">
        <is>
          <t>PVC8mm2</t>
        </is>
      </c>
      <c r="D13" s="1523" t="n"/>
      <c r="E13" s="1523" t="n">
        <v>17</v>
      </c>
      <c r="F13" s="1523" t="n"/>
      <c r="G13" s="205" t="n"/>
      <c r="H13" s="205" t="n"/>
      <c r="I13" s="206" t="n"/>
      <c r="J13" s="205" t="n"/>
    </row>
    <row r="14">
      <c r="B14" s="1523" t="inlineStr">
        <is>
          <t>太平洋</t>
        </is>
      </c>
      <c r="C14" s="1523" t="inlineStr">
        <is>
          <t>PVC14mm2</t>
        </is>
      </c>
      <c r="D14" s="1523" t="n"/>
      <c r="E14" s="1523" t="n">
        <v>30</v>
      </c>
      <c r="F14" s="1523" t="n"/>
      <c r="G14" s="205" t="n"/>
      <c r="H14" s="205" t="n"/>
      <c r="I14" s="206" t="n"/>
      <c r="J14" s="205" t="n"/>
    </row>
    <row r="15">
      <c r="B15" s="1523" t="inlineStr">
        <is>
          <t>華新</t>
        </is>
      </c>
      <c r="C15" s="1523" t="inlineStr">
        <is>
          <t>XPVC5.5mm2</t>
        </is>
      </c>
      <c r="D15" s="1523" t="n"/>
      <c r="E15" s="1523" t="n">
        <v>19</v>
      </c>
      <c r="F15" s="1523" t="n"/>
      <c r="G15" s="205" t="n"/>
      <c r="H15" s="205" t="n"/>
      <c r="I15" s="206" t="n"/>
      <c r="J15" s="205" t="n"/>
    </row>
    <row r="16">
      <c r="B16" s="1523" t="inlineStr">
        <is>
          <t>華新</t>
        </is>
      </c>
      <c r="C16" s="1523" t="inlineStr">
        <is>
          <t>XPVC22mm2</t>
        </is>
      </c>
      <c r="D16" s="1523" t="n"/>
      <c r="E16" s="1523" t="n">
        <v>62</v>
      </c>
      <c r="F16" s="1523" t="n"/>
      <c r="G16" s="205" t="n"/>
      <c r="H16" s="205" t="n"/>
      <c r="I16" s="206" t="n"/>
      <c r="J16" s="205" t="n"/>
    </row>
    <row r="17">
      <c r="B17" s="1523" t="inlineStr">
        <is>
          <t>華新</t>
        </is>
      </c>
      <c r="C17" s="1523" t="inlineStr">
        <is>
          <t>XPVC50mm2</t>
        </is>
      </c>
      <c r="D17" s="1523" t="n"/>
      <c r="E17" s="1523" t="n">
        <v>130</v>
      </c>
      <c r="F17" s="1523" t="n"/>
      <c r="G17" s="205" t="n"/>
      <c r="H17" s="205" t="n"/>
      <c r="I17" s="206" t="n"/>
      <c r="J17" s="205" t="n"/>
    </row>
    <row r="18">
      <c r="B18" s="1523" t="inlineStr">
        <is>
          <t>華新</t>
        </is>
      </c>
      <c r="C18" s="1523" t="inlineStr">
        <is>
          <t>XPVC250mm2</t>
        </is>
      </c>
      <c r="D18" s="1523" t="n"/>
      <c r="E18" s="1523" t="n">
        <v>640</v>
      </c>
      <c r="F18" s="1523" t="n"/>
      <c r="G18" s="205" t="n"/>
      <c r="H18" s="205" t="n"/>
      <c r="I18" s="206" t="n"/>
      <c r="J18" s="205" t="n"/>
    </row>
    <row r="20">
      <c r="B20" s="1523" t="inlineStr">
        <is>
          <t>DC接頭廠商</t>
        </is>
      </c>
      <c r="C20" s="1523" t="inlineStr">
        <is>
          <t>型號</t>
        </is>
      </c>
      <c r="D20" s="1523" t="inlineStr">
        <is>
          <t>規格</t>
        </is>
      </c>
      <c r="E20" s="1523" t="inlineStr">
        <is>
          <t>報價(台幣/組)</t>
        </is>
      </c>
      <c r="F20" s="1523" t="inlineStr">
        <is>
          <t>報價時間</t>
        </is>
      </c>
      <c r="G20" s="1523" t="inlineStr">
        <is>
          <t>NOTE</t>
        </is>
      </c>
      <c r="H20" s="1523" t="inlineStr">
        <is>
          <t>聯絡人</t>
        </is>
      </c>
      <c r="I20" s="1523" t="inlineStr">
        <is>
          <t>聯絡方式</t>
        </is>
      </c>
      <c r="J20" s="1523" t="inlineStr">
        <is>
          <t>Email</t>
        </is>
      </c>
    </row>
    <row r="21">
      <c r="B21" s="1523" t="inlineStr">
        <is>
          <t>MC4</t>
        </is>
      </c>
      <c r="C21" s="1523" t="inlineStr">
        <is>
          <t>PV-KBT4/6II-UR</t>
        </is>
      </c>
      <c r="D21" s="1523" t="inlineStr">
        <is>
          <t>A:5.9-8.8</t>
        </is>
      </c>
      <c r="E21" s="1494" t="inlineStr">
        <is>
          <t>58元</t>
        </is>
      </c>
      <c r="F21" s="1523" t="inlineStr">
        <is>
          <t>2018/6月</t>
        </is>
      </c>
      <c r="G21" s="205" t="inlineStr">
        <is>
          <t>塑膠尖的</t>
        </is>
      </c>
      <c r="H21" s="205" t="n"/>
      <c r="I21" s="206" t="n"/>
      <c r="J21" s="205" t="n"/>
    </row>
    <row r="22">
      <c r="B22" s="1523" t="inlineStr">
        <is>
          <t>MC4</t>
        </is>
      </c>
      <c r="C22" s="1523" t="inlineStr">
        <is>
          <t>PV-KST4/6II-UR</t>
        </is>
      </c>
      <c r="D22" s="1523" t="inlineStr">
        <is>
          <t>A:5.9-8.8</t>
        </is>
      </c>
      <c r="E22" s="1979" t="n"/>
      <c r="F22" s="1523" t="inlineStr">
        <is>
          <t>2018/6月</t>
        </is>
      </c>
      <c r="G22" s="205" t="inlineStr">
        <is>
          <t>塑膠凹的</t>
        </is>
      </c>
      <c r="H22" s="205" t="n"/>
      <c r="I22" s="206" t="n"/>
      <c r="J22" s="205" t="n"/>
    </row>
  </sheetData>
  <mergeCells count="1">
    <mergeCell ref="E21:E22"/>
  </mergeCells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R20"/>
  <sheetViews>
    <sheetView workbookViewId="0">
      <pane ySplit="2" topLeftCell="A3" activePane="bottomLeft" state="frozen"/>
      <selection pane="bottomLeft" activeCell="M20" sqref="M20"/>
    </sheetView>
  </sheetViews>
  <sheetFormatPr baseColWidth="8" defaultColWidth="9" defaultRowHeight="14.25"/>
  <cols>
    <col width="1.125" customWidth="1" style="215" min="1" max="1"/>
    <col width="4.75" bestFit="1" customWidth="1" style="215" min="2" max="2"/>
    <col width="16.875" bestFit="1" customWidth="1" style="215" min="3" max="3"/>
    <col width="8" bestFit="1" customWidth="1" style="215" min="4" max="4"/>
    <col width="4.75" bestFit="1" customWidth="1" style="215" min="5" max="6"/>
    <col width="5.75" customWidth="1" style="215" min="7" max="7"/>
    <col width="4.75" bestFit="1" customWidth="1" style="215" min="8" max="8"/>
    <col width="22.25" bestFit="1" customWidth="1" style="215" min="9" max="9"/>
    <col width="8" bestFit="1" customWidth="1" style="215" min="10" max="10"/>
    <col width="4.75" bestFit="1" customWidth="1" style="215" min="11" max="11"/>
    <col width="5.25" bestFit="1" customWidth="1" style="215" min="12" max="12"/>
    <col width="6.125" customWidth="1" style="215" min="13" max="13"/>
    <col width="10" customWidth="1" style="215" min="14" max="14"/>
    <col width="25" bestFit="1" customWidth="1" style="215" min="15" max="15"/>
    <col width="9" customWidth="1" style="215" min="16" max="16384"/>
  </cols>
  <sheetData>
    <row r="1" ht="7.5" customHeight="1" s="1643" thickBot="1"/>
    <row r="2" ht="15" customHeight="1" s="1643" thickBot="1">
      <c r="B2" s="2172" t="inlineStr">
        <is>
          <t>DC箱</t>
        </is>
      </c>
      <c r="C2" s="1710" t="n"/>
      <c r="D2" s="1710" t="n"/>
      <c r="E2" s="1710" t="n"/>
      <c r="F2" s="1711" t="n"/>
      <c r="H2" s="2172" t="inlineStr">
        <is>
          <t>AC箱</t>
        </is>
      </c>
      <c r="I2" s="1710" t="n"/>
      <c r="J2" s="1710" t="n"/>
      <c r="K2" s="1710" t="n"/>
      <c r="L2" s="1711" t="n"/>
      <c r="N2" s="2172" t="inlineStr">
        <is>
          <t>躉售電錶箱</t>
        </is>
      </c>
      <c r="O2" s="1710" t="n"/>
      <c r="P2" s="1710" t="n"/>
      <c r="Q2" s="1710" t="n"/>
      <c r="R2" s="1711" t="n"/>
    </row>
    <row r="3" ht="15" customHeight="1" s="1643" thickBot="1"/>
    <row r="4">
      <c r="B4" s="197" t="inlineStr">
        <is>
          <t>廠商</t>
        </is>
      </c>
      <c r="C4" s="198" t="inlineStr">
        <is>
          <t>規格</t>
        </is>
      </c>
      <c r="D4" s="198" t="inlineStr">
        <is>
          <t>單位報價</t>
        </is>
      </c>
      <c r="E4" s="198" t="inlineStr">
        <is>
          <t>數量</t>
        </is>
      </c>
      <c r="F4" s="199" t="inlineStr">
        <is>
          <t>小計</t>
        </is>
      </c>
      <c r="H4" s="197" t="inlineStr">
        <is>
          <t>廠商</t>
        </is>
      </c>
      <c r="I4" s="198" t="inlineStr">
        <is>
          <t>規格</t>
        </is>
      </c>
      <c r="J4" s="198" t="inlineStr">
        <is>
          <t>單位報價</t>
        </is>
      </c>
      <c r="K4" s="198" t="inlineStr">
        <is>
          <t>數量</t>
        </is>
      </c>
      <c r="L4" s="199" t="inlineStr">
        <is>
          <t>小計</t>
        </is>
      </c>
      <c r="N4" s="197" t="inlineStr">
        <is>
          <t>廠商</t>
        </is>
      </c>
      <c r="O4" s="198" t="inlineStr">
        <is>
          <t>規格</t>
        </is>
      </c>
      <c r="P4" s="198" t="inlineStr">
        <is>
          <t>單位報價</t>
        </is>
      </c>
      <c r="Q4" s="198" t="inlineStr">
        <is>
          <t>數量</t>
        </is>
      </c>
      <c r="R4" s="199" t="inlineStr">
        <is>
          <t>小計</t>
        </is>
      </c>
    </row>
    <row r="5">
      <c r="B5" s="1534" t="inlineStr">
        <is>
          <t>立駱</t>
        </is>
      </c>
      <c r="C5" s="196" t="inlineStr">
        <is>
          <t>Fuse 15A 2個</t>
        </is>
      </c>
      <c r="D5" s="359" t="n">
        <v>185</v>
      </c>
      <c r="E5" s="359" t="n">
        <v>2</v>
      </c>
      <c r="F5" s="360">
        <f>D5*E5</f>
        <v/>
      </c>
      <c r="H5" s="1534" t="inlineStr">
        <is>
          <t>立駱</t>
        </is>
      </c>
      <c r="I5" s="216" t="inlineStr">
        <is>
          <t>Breaker   1組 2P 30AT/100AF</t>
        </is>
      </c>
      <c r="J5" s="359" t="n">
        <v>190</v>
      </c>
      <c r="K5" s="359" t="n">
        <v>1</v>
      </c>
      <c r="L5" s="200">
        <f>J5*K5</f>
        <v/>
      </c>
      <c r="N5" s="1534" t="inlineStr">
        <is>
          <t>立駱</t>
        </is>
      </c>
      <c r="O5" s="196" t="inlineStr">
        <is>
          <t>KS   1組 2P 100A</t>
        </is>
      </c>
      <c r="P5" s="196" t="n">
        <v>650</v>
      </c>
      <c r="Q5" s="196" t="n">
        <v>1</v>
      </c>
      <c r="R5" s="200">
        <f>P5*Q5</f>
        <v/>
      </c>
    </row>
    <row r="6">
      <c r="B6" s="1667" t="n"/>
      <c r="C6" s="196" t="inlineStr">
        <is>
          <t>突波吸收器 2個</t>
        </is>
      </c>
      <c r="D6" s="359" t="n">
        <v>180</v>
      </c>
      <c r="E6" s="359" t="n">
        <v>2</v>
      </c>
      <c r="F6" s="360">
        <f>D6*E6</f>
        <v/>
      </c>
      <c r="H6" s="1667" t="n"/>
      <c r="I6" s="216" t="inlineStr">
        <is>
          <t>Case 250x300x150 1.2t sus304</t>
        </is>
      </c>
      <c r="J6" s="359" t="n">
        <v>2200</v>
      </c>
      <c r="K6" s="359" t="n">
        <v>1</v>
      </c>
      <c r="L6" s="200">
        <f>J6*K6</f>
        <v/>
      </c>
      <c r="N6" s="1667" t="n"/>
      <c r="O6" s="196" t="inlineStr">
        <is>
          <t>Breaker 1組 2P 50AT/100AF 10KA</t>
        </is>
      </c>
      <c r="P6" s="196" t="n">
        <v>200</v>
      </c>
      <c r="Q6" s="196" t="n">
        <v>1</v>
      </c>
      <c r="R6" s="200">
        <f>P6*Q6</f>
        <v/>
      </c>
    </row>
    <row r="7">
      <c r="B7" s="1667" t="n"/>
      <c r="C7" s="196" t="inlineStr">
        <is>
          <t>Case 250x350x150 IP66</t>
        </is>
      </c>
      <c r="D7" s="359" t="n">
        <v>2130</v>
      </c>
      <c r="E7" s="359" t="n">
        <v>1</v>
      </c>
      <c r="F7" s="360">
        <f>D7*E7</f>
        <v/>
      </c>
      <c r="H7" s="1667" t="n"/>
      <c r="I7" s="216" t="inlineStr">
        <is>
          <t>另料</t>
        </is>
      </c>
      <c r="J7" s="359" t="n">
        <v>710</v>
      </c>
      <c r="K7" s="359" t="n">
        <v>1</v>
      </c>
      <c r="L7" s="200">
        <f>J7*K7</f>
        <v/>
      </c>
      <c r="N7" s="1667" t="n"/>
      <c r="O7" s="196" t="inlineStr">
        <is>
          <t>Case 1050x350x250 1.5t</t>
        </is>
      </c>
      <c r="P7" s="196" t="n">
        <v>11213</v>
      </c>
      <c r="Q7" s="196" t="n">
        <v>1</v>
      </c>
      <c r="R7" s="200">
        <f>P7*Q7</f>
        <v/>
      </c>
    </row>
    <row r="8">
      <c r="B8" s="1667" t="n"/>
      <c r="C8" s="196" t="inlineStr">
        <is>
          <t>直流開關 16A</t>
        </is>
      </c>
      <c r="D8" s="359" t="n">
        <v>950</v>
      </c>
      <c r="E8" s="359" t="n">
        <v>1</v>
      </c>
      <c r="F8" s="360">
        <f>D8*E8</f>
        <v/>
      </c>
      <c r="H8" s="1667" t="n"/>
      <c r="I8" s="216" t="inlineStr">
        <is>
          <t>組立工資</t>
        </is>
      </c>
      <c r="J8" s="359" t="n">
        <v>800</v>
      </c>
      <c r="K8" s="359" t="n">
        <v>1</v>
      </c>
      <c r="L8" s="200">
        <f>J8*K8</f>
        <v/>
      </c>
      <c r="N8" s="1667" t="n"/>
      <c r="O8" s="196" t="inlineStr">
        <is>
          <t>另料</t>
        </is>
      </c>
      <c r="P8" s="196" t="n">
        <v>700</v>
      </c>
      <c r="Q8" s="196" t="n">
        <v>1</v>
      </c>
      <c r="R8" s="200">
        <f>P8*Q8</f>
        <v/>
      </c>
    </row>
    <row r="9">
      <c r="B9" s="1667" t="n"/>
      <c r="C9" s="196" t="inlineStr">
        <is>
          <t>組立工資</t>
        </is>
      </c>
      <c r="D9" s="359" t="n">
        <v>1550</v>
      </c>
      <c r="E9" s="359" t="n">
        <v>1</v>
      </c>
      <c r="F9" s="360">
        <f>D9*E9</f>
        <v/>
      </c>
      <c r="H9" s="1667" t="n"/>
      <c r="I9" s="196" t="n"/>
      <c r="J9" s="196" t="n"/>
      <c r="K9" s="196" t="n"/>
      <c r="L9" s="200" t="n"/>
      <c r="N9" s="1667" t="n"/>
      <c r="O9" s="196" t="inlineStr">
        <is>
          <t>組立工資</t>
        </is>
      </c>
      <c r="P9" s="196" t="n">
        <v>700</v>
      </c>
      <c r="Q9" s="196" t="n">
        <v>1</v>
      </c>
      <c r="R9" s="200">
        <f>P9*Q9</f>
        <v/>
      </c>
    </row>
    <row r="10">
      <c r="B10" s="1668" t="n"/>
      <c r="C10" s="196" t="n"/>
      <c r="D10" s="196" t="n"/>
      <c r="E10" s="196" t="n"/>
      <c r="F10" s="200" t="n"/>
      <c r="H10" s="1668" t="n"/>
      <c r="I10" s="196" t="n"/>
      <c r="J10" s="196" t="n"/>
      <c r="K10" s="196" t="n"/>
      <c r="L10" s="200" t="n"/>
      <c r="N10" s="1668" t="n"/>
      <c r="O10" s="196" t="n"/>
      <c r="P10" s="196" t="n"/>
      <c r="Q10" s="196" t="n"/>
      <c r="R10" s="200" t="n"/>
    </row>
    <row r="11" ht="15" customHeight="1" s="1643" thickBot="1">
      <c r="B11" s="2173" t="inlineStr">
        <is>
          <t>總報價</t>
        </is>
      </c>
      <c r="C11" s="1888" t="n"/>
      <c r="D11" s="1888" t="n"/>
      <c r="E11" s="1889" t="n"/>
      <c r="F11" s="201">
        <f>SUM(F5:F9)</f>
        <v/>
      </c>
      <c r="H11" s="2173" t="inlineStr">
        <is>
          <t>總報價</t>
        </is>
      </c>
      <c r="I11" s="1888" t="n"/>
      <c r="J11" s="1888" t="n"/>
      <c r="K11" s="1889" t="n"/>
      <c r="L11" s="201">
        <f>SUM(L5:L8)</f>
        <v/>
      </c>
      <c r="N11" s="2173" t="inlineStr">
        <is>
          <t>總報價</t>
        </is>
      </c>
      <c r="O11" s="1888" t="n"/>
      <c r="P11" s="1888" t="n"/>
      <c r="Q11" s="1889" t="n"/>
      <c r="R11" s="201">
        <f>SUM(R5:R9)</f>
        <v/>
      </c>
    </row>
    <row r="12" ht="15" customHeight="1" s="1643" thickBot="1">
      <c r="B12" s="195" t="n"/>
      <c r="C12" s="195" t="n"/>
    </row>
    <row r="13">
      <c r="H13" s="197" t="inlineStr">
        <is>
          <t>廠商</t>
        </is>
      </c>
      <c r="I13" s="198" t="inlineStr">
        <is>
          <t>規格</t>
        </is>
      </c>
      <c r="J13" s="198" t="inlineStr">
        <is>
          <t>單位報價</t>
        </is>
      </c>
      <c r="K13" s="198" t="inlineStr">
        <is>
          <t>數量</t>
        </is>
      </c>
      <c r="L13" s="199" t="inlineStr">
        <is>
          <t>小計</t>
        </is>
      </c>
      <c r="N13" s="197" t="inlineStr">
        <is>
          <t>廠商</t>
        </is>
      </c>
      <c r="O13" s="198" t="inlineStr">
        <is>
          <t>規格</t>
        </is>
      </c>
      <c r="P13" s="198" t="inlineStr">
        <is>
          <t>單位報價</t>
        </is>
      </c>
      <c r="Q13" s="198" t="inlineStr">
        <is>
          <t>數量</t>
        </is>
      </c>
      <c r="R13" s="199" t="inlineStr">
        <is>
          <t>小計</t>
        </is>
      </c>
    </row>
    <row r="14">
      <c r="H14" s="1534" t="inlineStr">
        <is>
          <t>立駱</t>
        </is>
      </c>
      <c r="I14" s="196" t="inlineStr">
        <is>
          <t>Breaker   3組 2P 20AT/100AF</t>
        </is>
      </c>
      <c r="J14" s="359" t="n">
        <v>200</v>
      </c>
      <c r="K14" s="359" t="n">
        <v>3</v>
      </c>
      <c r="L14" s="360">
        <f>J14*K14</f>
        <v/>
      </c>
      <c r="N14" s="1534" t="inlineStr">
        <is>
          <t>立駱</t>
        </is>
      </c>
      <c r="O14" s="216" t="inlineStr">
        <is>
          <t>KS   1組 2P 100A</t>
        </is>
      </c>
      <c r="P14" s="217" t="n">
        <v>680</v>
      </c>
      <c r="Q14" s="359" t="n">
        <v>1</v>
      </c>
      <c r="R14" s="200">
        <f>P14*Q14</f>
        <v/>
      </c>
    </row>
    <row r="15">
      <c r="H15" s="1667" t="n"/>
      <c r="I15" s="196" t="inlineStr">
        <is>
          <t>總Breaker 1組 2P 50AT/100AF</t>
        </is>
      </c>
      <c r="J15" s="359" t="n">
        <v>200</v>
      </c>
      <c r="K15" s="359" t="n">
        <v>1</v>
      </c>
      <c r="L15" s="360">
        <f>J15*K15</f>
        <v/>
      </c>
      <c r="N15" s="1667" t="n"/>
      <c r="O15" s="216" t="inlineStr">
        <is>
          <t>Breaker 1組 2P 30AT/100AF 10KA</t>
        </is>
      </c>
      <c r="P15" s="217" t="n">
        <v>190</v>
      </c>
      <c r="Q15" s="359" t="n">
        <v>1</v>
      </c>
      <c r="R15" s="200">
        <f>P15*Q15</f>
        <v/>
      </c>
    </row>
    <row r="16">
      <c r="H16" s="1667" t="n"/>
      <c r="I16" s="196" t="inlineStr">
        <is>
          <t>Case 550x500x200 1.2t sus304</t>
        </is>
      </c>
      <c r="J16" s="359" t="n">
        <v>7450</v>
      </c>
      <c r="K16" s="359" t="n">
        <v>1</v>
      </c>
      <c r="L16" s="360">
        <f>J16*K16</f>
        <v/>
      </c>
      <c r="N16" s="1667" t="n"/>
      <c r="O16" s="216" t="inlineStr">
        <is>
          <t>Case 1050x350x300 1.5t</t>
        </is>
      </c>
      <c r="P16" s="217" t="n">
        <v>11996</v>
      </c>
      <c r="Q16" s="359" t="n">
        <v>1</v>
      </c>
      <c r="R16" s="200">
        <f>P16*Q16</f>
        <v/>
      </c>
    </row>
    <row r="17">
      <c r="H17" s="1667" t="n"/>
      <c r="I17" s="196" t="inlineStr">
        <is>
          <t>另料</t>
        </is>
      </c>
      <c r="J17" s="359" t="n">
        <v>710</v>
      </c>
      <c r="K17" s="359" t="n">
        <v>1</v>
      </c>
      <c r="L17" s="360">
        <f>J17*K17</f>
        <v/>
      </c>
      <c r="N17" s="1667" t="n"/>
      <c r="O17" s="216" t="inlineStr">
        <is>
          <t>另料</t>
        </is>
      </c>
      <c r="P17" s="217" t="n">
        <v>750</v>
      </c>
      <c r="Q17" s="359" t="n">
        <v>1</v>
      </c>
      <c r="R17" s="200">
        <f>P17*Q17</f>
        <v/>
      </c>
    </row>
    <row r="18">
      <c r="H18" s="1667" t="n"/>
      <c r="I18" s="196" t="inlineStr">
        <is>
          <t>組立工資</t>
        </is>
      </c>
      <c r="J18" s="359" t="n">
        <v>1550</v>
      </c>
      <c r="K18" s="359" t="n">
        <v>1</v>
      </c>
      <c r="L18" s="360">
        <f>J18*K18</f>
        <v/>
      </c>
      <c r="N18" s="1667" t="n"/>
      <c r="O18" s="216" t="inlineStr">
        <is>
          <t>組立工資</t>
        </is>
      </c>
      <c r="P18" s="217" t="n">
        <v>750</v>
      </c>
      <c r="Q18" s="359" t="n">
        <v>1</v>
      </c>
      <c r="R18" s="200">
        <f>P18*Q18</f>
        <v/>
      </c>
    </row>
    <row r="19">
      <c r="H19" s="1668" t="n"/>
      <c r="I19" s="196" t="n"/>
      <c r="J19" s="196" t="n"/>
      <c r="K19" s="196" t="n"/>
      <c r="L19" s="200" t="n"/>
      <c r="N19" s="1668" t="n"/>
      <c r="O19" s="196" t="n"/>
      <c r="P19" s="196" t="n"/>
      <c r="Q19" s="196" t="n"/>
      <c r="R19" s="200" t="n"/>
    </row>
    <row r="20" ht="15" customHeight="1" s="1643" thickBot="1">
      <c r="H20" s="2173" t="inlineStr">
        <is>
          <t>總報價</t>
        </is>
      </c>
      <c r="I20" s="1888" t="n"/>
      <c r="J20" s="1888" t="n"/>
      <c r="K20" s="1889" t="n"/>
      <c r="L20" s="201">
        <f>SUM(L14:L18)</f>
        <v/>
      </c>
      <c r="N20" s="2173" t="inlineStr">
        <is>
          <t>總報價</t>
        </is>
      </c>
      <c r="O20" s="1888" t="n"/>
      <c r="P20" s="1888" t="n"/>
      <c r="Q20" s="1889" t="n"/>
      <c r="R20" s="201">
        <f>SUM(R14:R18)</f>
        <v/>
      </c>
    </row>
  </sheetData>
  <mergeCells count="13">
    <mergeCell ref="H5:H10"/>
    <mergeCell ref="N14:N19"/>
    <mergeCell ref="H2:L2"/>
    <mergeCell ref="B2:F2"/>
    <mergeCell ref="H11:K11"/>
    <mergeCell ref="N2:R2"/>
    <mergeCell ref="N11:Q11"/>
    <mergeCell ref="N20:Q20"/>
    <mergeCell ref="H20:K20"/>
    <mergeCell ref="B11:E11"/>
    <mergeCell ref="B5:B10"/>
    <mergeCell ref="H14:H19"/>
    <mergeCell ref="N5:N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V28"/>
  <sheetViews>
    <sheetView workbookViewId="0">
      <selection activeCell="I28" sqref="I28"/>
    </sheetView>
  </sheetViews>
  <sheetFormatPr baseColWidth="8" defaultRowHeight="16.5"/>
  <cols>
    <col width="2.625" customWidth="1" style="1643" min="1" max="1"/>
    <col width="27.625" bestFit="1" customWidth="1" style="1643" min="2" max="2"/>
    <col width="11.625" bestFit="1" customWidth="1" style="1643" min="8" max="8"/>
    <col width="29.25" customWidth="1" style="1643" min="10" max="10"/>
    <col width="12.125" customWidth="1" style="1643" min="11" max="11"/>
    <col width="14.625" customWidth="1" style="1643" min="12" max="12"/>
    <col width="13.875" customWidth="1" style="1643" min="13" max="13"/>
    <col width="18" customWidth="1" style="1643" min="14" max="14"/>
    <col width="9.5" bestFit="1" customWidth="1" style="1643" min="15" max="15"/>
    <col width="32.375" bestFit="1" customWidth="1" style="1643" min="17" max="17"/>
    <col width="17.5" bestFit="1" customWidth="1" style="1643" min="22" max="22"/>
  </cols>
  <sheetData>
    <row r="2">
      <c r="B2" s="1541" t="inlineStr">
        <is>
          <t>廠商名稱:浤大企業有限公司</t>
        </is>
      </c>
      <c r="G2" s="850" t="n"/>
      <c r="H2" s="850" t="n"/>
      <c r="J2" s="1541" t="inlineStr">
        <is>
          <t>廠商名稱:大友高空實業股份有限公司</t>
        </is>
      </c>
      <c r="Q2" s="1541" t="inlineStr">
        <is>
          <t>廠商名稱:磐石企業有限公司</t>
        </is>
      </c>
    </row>
    <row r="3">
      <c r="B3" s="1541" t="inlineStr">
        <is>
          <t>地址:台中市烏日區溪南路三段418巷251號</t>
        </is>
      </c>
      <c r="G3" s="850" t="n"/>
      <c r="H3" s="850" t="n"/>
      <c r="J3" s="1543" t="inlineStr">
        <is>
          <t>地址:嘉義縣太保市埤鄉里埤麻腳29-2號</t>
        </is>
      </c>
      <c r="Q3" s="1541" t="inlineStr">
        <is>
          <t>地址:高雄市岡山區聖森路168號對面(工礦技師公會對面)</t>
        </is>
      </c>
    </row>
    <row r="4">
      <c r="B4" s="1541" t="inlineStr">
        <is>
          <t>電話:04-23358655/傳真:04-23351978</t>
        </is>
      </c>
      <c r="G4" s="850" t="n"/>
      <c r="H4" s="850" t="n"/>
      <c r="J4" s="1541" t="inlineStr">
        <is>
          <t>電話:05-2385797/傳真:05-2385795</t>
        </is>
      </c>
      <c r="Q4" s="1541" t="inlineStr">
        <is>
          <t>電話:07-6235799/傳真:07-2635139</t>
        </is>
      </c>
    </row>
    <row r="5">
      <c r="B5" s="1541" t="inlineStr">
        <is>
          <t>報價日期:110/06/16 報價有效期限:15天</t>
        </is>
      </c>
      <c r="G5" s="850" t="n"/>
      <c r="H5" s="850" t="n"/>
      <c r="J5" s="1541" t="inlineStr">
        <is>
          <t>報價日期:110/06/17</t>
        </is>
      </c>
      <c r="Q5" s="1541" t="inlineStr">
        <is>
          <t>報價日期:110/06/23</t>
        </is>
      </c>
    </row>
    <row r="6">
      <c r="B6" s="1541" t="inlineStr">
        <is>
          <t>業務人員:蘇小姐</t>
        </is>
      </c>
      <c r="G6" s="850" t="n"/>
      <c r="H6" s="850" t="n"/>
      <c r="J6" s="1541" t="inlineStr">
        <is>
          <t>業務人員:施雅珠，電話:05-2385797#211</t>
        </is>
      </c>
      <c r="Q6" s="1541" t="inlineStr">
        <is>
          <t>業務人員:joel</t>
        </is>
      </c>
    </row>
    <row r="8">
      <c r="B8" s="825" t="inlineStr">
        <is>
          <t>項目名稱</t>
        </is>
      </c>
      <c r="C8" s="825" t="inlineStr">
        <is>
          <t>數量</t>
        </is>
      </c>
      <c r="D8" s="825" t="inlineStr">
        <is>
          <t>單位</t>
        </is>
      </c>
      <c r="E8" s="825" t="inlineStr">
        <is>
          <t>天數</t>
        </is>
      </c>
      <c r="F8" s="825" t="inlineStr">
        <is>
          <t>單價</t>
        </is>
      </c>
      <c r="G8" s="825" t="inlineStr">
        <is>
          <t>總價</t>
        </is>
      </c>
      <c r="H8" s="825" t="inlineStr">
        <is>
          <t>備註</t>
        </is>
      </c>
      <c r="J8" s="825" t="inlineStr">
        <is>
          <t>項目名稱</t>
        </is>
      </c>
      <c r="K8" s="825" t="inlineStr">
        <is>
          <t>數量</t>
        </is>
      </c>
      <c r="L8" s="825" t="inlineStr">
        <is>
          <t>單位</t>
        </is>
      </c>
      <c r="M8" s="825" t="inlineStr">
        <is>
          <t>單價</t>
        </is>
      </c>
      <c r="N8" s="825" t="inlineStr">
        <is>
          <t>總價</t>
        </is>
      </c>
      <c r="O8" s="825" t="inlineStr">
        <is>
          <t>備註</t>
        </is>
      </c>
      <c r="Q8" s="825" t="inlineStr">
        <is>
          <t>項目名稱</t>
        </is>
      </c>
      <c r="R8" s="825" t="inlineStr">
        <is>
          <t>數量</t>
        </is>
      </c>
      <c r="S8" s="825" t="inlineStr">
        <is>
          <t>單位</t>
        </is>
      </c>
      <c r="T8" s="825" t="inlineStr">
        <is>
          <t>單價</t>
        </is>
      </c>
      <c r="U8" s="825" t="inlineStr">
        <is>
          <t>總價</t>
        </is>
      </c>
      <c r="V8" s="825" t="inlineStr">
        <is>
          <t>備註</t>
        </is>
      </c>
    </row>
    <row r="9">
      <c r="B9" s="825" t="inlineStr">
        <is>
          <t>26米-直臂式高空作業車"S85</t>
        </is>
      </c>
      <c r="C9" s="825" t="n">
        <v>1</v>
      </c>
      <c r="D9" s="825" t="inlineStr">
        <is>
          <t>台</t>
        </is>
      </c>
      <c r="E9" s="825" t="inlineStr">
        <is>
          <t>30日/月</t>
        </is>
      </c>
      <c r="F9" s="825" t="n">
        <v>73000</v>
      </c>
      <c r="G9" s="825" t="n">
        <v>73000</v>
      </c>
      <c r="H9" s="2167" t="inlineStr">
        <is>
          <t>月租含運費</t>
        </is>
      </c>
      <c r="J9" s="858" t="inlineStr">
        <is>
          <t>24米高空作業車輪胎直臂式"S80</t>
        </is>
      </c>
      <c r="K9" s="825" t="n">
        <v>1</v>
      </c>
      <c r="L9" s="825" t="inlineStr">
        <is>
          <t>台</t>
        </is>
      </c>
      <c r="M9" s="859" t="n"/>
      <c r="N9" s="859" t="n"/>
      <c r="O9" s="859" t="n"/>
      <c r="Q9" s="863" t="inlineStr">
        <is>
          <t>21米輪胎式高空車JLG 660SJ 21M</t>
        </is>
      </c>
      <c r="R9" s="825" t="n">
        <v>1</v>
      </c>
      <c r="S9" s="825" t="inlineStr">
        <is>
          <t>月</t>
        </is>
      </c>
      <c r="T9" s="861" t="n">
        <v>55000</v>
      </c>
      <c r="U9" s="861" t="n">
        <v>55000</v>
      </c>
      <c r="V9" s="862" t="inlineStr">
        <is>
          <t>含運費</t>
        </is>
      </c>
    </row>
    <row r="10">
      <c r="B10" s="825" t="inlineStr">
        <is>
          <t>26米-直臂式高空作業車"S85</t>
        </is>
      </c>
      <c r="C10" s="825" t="n">
        <v>2</v>
      </c>
      <c r="D10" s="825" t="inlineStr">
        <is>
          <t>台</t>
        </is>
      </c>
      <c r="E10" s="825" t="inlineStr">
        <is>
          <t>30日/月</t>
        </is>
      </c>
      <c r="F10" s="825" t="n">
        <v>70000</v>
      </c>
      <c r="G10" s="825" t="n">
        <v>70000</v>
      </c>
      <c r="H10" s="1979" t="n"/>
      <c r="J10" s="859" t="inlineStr">
        <is>
          <t>起重工程款_日</t>
        </is>
      </c>
      <c r="K10" s="825" t="n">
        <v>1</v>
      </c>
      <c r="L10" s="825" t="inlineStr">
        <is>
          <t>日</t>
        </is>
      </c>
      <c r="M10" s="859" t="n">
        <v>6000</v>
      </c>
      <c r="N10" s="859" t="n">
        <v>6000</v>
      </c>
      <c r="O10" s="859" t="n"/>
      <c r="Q10" s="863" t="inlineStr">
        <is>
          <t>21米輪胎式高空車JLG 660SJ 21M</t>
        </is>
      </c>
      <c r="R10" s="825" t="n">
        <v>1</v>
      </c>
      <c r="S10" s="825" t="inlineStr">
        <is>
          <t>天</t>
        </is>
      </c>
      <c r="T10" s="861" t="n">
        <v>3500</v>
      </c>
      <c r="U10" s="861" t="n">
        <v>3500</v>
      </c>
      <c r="V10" s="862" t="inlineStr">
        <is>
          <t>運費7000元(來回)</t>
        </is>
      </c>
    </row>
    <row r="11" ht="49.5" customHeight="1" s="1643">
      <c r="B11" s="825" t="inlineStr">
        <is>
          <t>26米-直臂式高空作業車"S85</t>
        </is>
      </c>
      <c r="C11" s="825" t="n">
        <v>1</v>
      </c>
      <c r="D11" s="825" t="inlineStr">
        <is>
          <t>台</t>
        </is>
      </c>
      <c r="E11" s="825" t="inlineStr">
        <is>
          <t>1日</t>
        </is>
      </c>
      <c r="F11" s="825" t="n">
        <v>5500</v>
      </c>
      <c r="G11" s="825" t="n">
        <v>5500</v>
      </c>
      <c r="H11" s="851" t="inlineStr">
        <is>
          <t>運費另計，看地點</t>
        </is>
      </c>
      <c r="J11" s="859" t="inlineStr">
        <is>
          <t>運費(來回)</t>
        </is>
      </c>
      <c r="K11" s="825" t="n">
        <v>2</v>
      </c>
      <c r="L11" s="825" t="inlineStr">
        <is>
          <t>趟</t>
        </is>
      </c>
      <c r="M11" s="859" t="n">
        <v>2500</v>
      </c>
      <c r="N11" s="859" t="n">
        <v>5000</v>
      </c>
      <c r="O11" s="858" t="inlineStr">
        <is>
          <t>運台南，其他地方另計</t>
        </is>
      </c>
      <c r="Q11" s="1546" t="inlineStr">
        <is>
          <t>1.未稅價格</t>
        </is>
      </c>
      <c r="R11" s="2070" t="n"/>
      <c r="S11" s="2070" t="n"/>
      <c r="T11" s="2070" t="n"/>
      <c r="U11" s="2070" t="n"/>
      <c r="V11" s="2070" t="n"/>
    </row>
    <row r="12">
      <c r="B12" s="1546" t="inlineStr">
        <is>
          <t>1.以上報價不含5%營業稅。</t>
        </is>
      </c>
      <c r="C12" s="2070" t="n"/>
      <c r="D12" s="2070" t="n"/>
      <c r="E12" s="2070" t="n"/>
      <c r="F12" s="2070" t="n"/>
      <c r="G12" s="2070" t="n"/>
      <c r="H12" s="2070" t="n"/>
      <c r="J12" s="859" t="inlineStr">
        <is>
          <t>起重工程款_日</t>
        </is>
      </c>
      <c r="K12" s="825" t="n">
        <v>15</v>
      </c>
      <c r="L12" s="825" t="inlineStr">
        <is>
          <t>日</t>
        </is>
      </c>
      <c r="M12" s="859" t="n">
        <v>3800</v>
      </c>
      <c r="N12" s="859" t="n">
        <v>57000</v>
      </c>
      <c r="O12" s="859" t="inlineStr">
        <is>
          <t>含運費</t>
        </is>
      </c>
      <c r="Q12" s="1544" t="inlineStr">
        <is>
          <t>2.租車流程：完成合約—預收款項（匯款或收現）--預約司機--巡檢車輛—出車</t>
        </is>
      </c>
    </row>
    <row r="13">
      <c r="B13" s="1541" t="inlineStr">
        <is>
          <t>2.月租機種來回運費由本公司負責。</t>
        </is>
      </c>
      <c r="J13" s="859" t="inlineStr">
        <is>
          <t>起重工程款_月</t>
        </is>
      </c>
      <c r="K13" s="825" t="n">
        <v>1</v>
      </c>
      <c r="L13" s="825" t="inlineStr">
        <is>
          <t>月</t>
        </is>
      </c>
      <c r="M13" s="859" t="n">
        <v>80000</v>
      </c>
      <c r="N13" s="859" t="n">
        <v>80000</v>
      </c>
      <c r="O13" s="859" t="inlineStr">
        <is>
          <t>含運費</t>
        </is>
      </c>
      <c r="Q13" s="1544" t="inlineStr">
        <is>
          <t>3.另車輛流動不一定有現車，若有確定租期，請提前預訂，以備留車</t>
        </is>
      </c>
    </row>
    <row r="14">
      <c r="B14" s="1541" t="inlineStr">
        <is>
          <t>3.若未滿月租之計價方式：日租金*天數*數量+運費。</t>
        </is>
      </c>
      <c r="J14" s="1546" t="inlineStr">
        <is>
          <t>1.報價有效期限：自報價日起算 15天</t>
        </is>
      </c>
      <c r="K14" s="2070" t="n"/>
      <c r="L14" s="2070" t="n"/>
      <c r="M14" s="2070" t="n"/>
      <c r="N14" s="2070" t="n"/>
      <c r="O14" s="2070" t="n"/>
      <c r="Q14" s="1545" t="n"/>
    </row>
    <row r="15">
      <c r="B15" s="1541" t="inlineStr">
        <is>
          <t>4.若未滿月租之計價超過月租金，則個別以月租金計價。</t>
        </is>
      </c>
      <c r="J15" s="1541" t="inlineStr">
        <is>
          <t>2.報價未稅</t>
        </is>
      </c>
      <c r="Q15" s="1543" t="inlineStr">
        <is>
          <t>商品名稱:</t>
        </is>
      </c>
    </row>
    <row r="16">
      <c r="B16" s="1541" t="inlineStr">
        <is>
          <t>5.本公司月租以每月30日為基準，滿月租之超租日租金計算方式：月租金/30日。</t>
        </is>
      </c>
      <c r="J16" s="857" t="n"/>
      <c r="K16" s="856" t="n"/>
      <c r="L16" s="856" t="n"/>
      <c r="M16" s="857" t="n"/>
      <c r="N16" s="857" t="n"/>
      <c r="O16" s="857" t="n"/>
      <c r="Q16" s="1541" t="inlineStr">
        <is>
          <t>JLG  660SJ  21M 輪胎直臂式高空作業車</t>
        </is>
      </c>
    </row>
    <row r="17">
      <c r="B17" s="1541" t="inlineStr">
        <is>
          <t>6.日租價格會隨日租天數增加做調整。</t>
        </is>
      </c>
      <c r="J17" s="853" t="inlineStr">
        <is>
          <t>主要規格</t>
        </is>
      </c>
      <c r="K17" s="856" t="n"/>
      <c r="L17" s="856" t="n"/>
      <c r="M17" s="857" t="n"/>
      <c r="N17" s="857" t="n"/>
      <c r="O17" s="857" t="n"/>
      <c r="Q17" s="1541" t="inlineStr">
        <is>
          <t>規格介紹:</t>
        </is>
      </c>
    </row>
    <row r="18">
      <c r="B18" s="1541" t="inlineStr">
        <is>
          <t>7.首次交易，需預收訂金。煩請傳真基本資料，以利後續作業。</t>
        </is>
      </c>
      <c r="J18" s="860" t="inlineStr">
        <is>
          <t>工作高度：</t>
        </is>
      </c>
      <c r="K18" s="860" t="inlineStr">
        <is>
          <t>平台高度：</t>
        </is>
      </c>
      <c r="L18" s="860" t="inlineStr">
        <is>
          <t>D-貯藏長度：</t>
        </is>
      </c>
      <c r="M18" s="860" t="inlineStr">
        <is>
          <t>E-貯藏寬度：</t>
        </is>
      </c>
      <c r="N18" s="860" t="inlineStr">
        <is>
          <t>C-貯藏高度：</t>
        </is>
      </c>
      <c r="O18" s="857" t="n"/>
      <c r="Q18" s="1541" t="inlineStr">
        <is>
          <t>高空作業車規格:</t>
        </is>
      </c>
    </row>
    <row r="19">
      <c r="B19" s="1541" t="inlineStr">
        <is>
          <t>備 註:付款辦法-匯款或支票 -月結30天</t>
        </is>
      </c>
      <c r="J19" s="852" t="inlineStr">
        <is>
          <t>26.38 m</t>
        </is>
      </c>
      <c r="K19" s="852" t="inlineStr">
        <is>
          <t>24.38 m</t>
        </is>
      </c>
      <c r="L19" s="852" t="inlineStr">
        <is>
          <t>11.23 m</t>
        </is>
      </c>
      <c r="M19" s="852" t="inlineStr">
        <is>
          <t>2.49 m</t>
        </is>
      </c>
      <c r="N19" s="852" t="inlineStr">
        <is>
          <t>2.80 m</t>
        </is>
      </c>
      <c r="O19" s="857" t="n"/>
      <c r="Q19" s="1541" t="inlineStr">
        <is>
          <t>平台高度:20.3M(含人員工作高度:22M)</t>
        </is>
      </c>
    </row>
    <row r="20">
      <c r="J20" s="860" t="inlineStr">
        <is>
          <t>A x B-平台尺寸：</t>
        </is>
      </c>
      <c r="K20" s="860" t="inlineStr">
        <is>
          <t>作業半徑：</t>
        </is>
      </c>
      <c r="L20" s="860" t="inlineStr">
        <is>
          <t>平台轉向：</t>
        </is>
      </c>
      <c r="M20" s="860" t="inlineStr">
        <is>
          <t>平台載重：</t>
        </is>
      </c>
      <c r="N20" s="860" t="inlineStr">
        <is>
          <t>爬坡能力(貯藏)：</t>
        </is>
      </c>
      <c r="O20" s="857" t="n"/>
      <c r="Q20" s="1541" t="inlineStr">
        <is>
          <t>工作半徑:17.3M</t>
        </is>
      </c>
    </row>
    <row r="21">
      <c r="B21" s="854" t="inlineStr">
        <is>
          <t>主要規格</t>
        </is>
      </c>
      <c r="C21" s="850" t="n"/>
      <c r="D21" s="850" t="n"/>
      <c r="E21" s="850" t="n"/>
      <c r="F21" s="850" t="n"/>
      <c r="G21" s="850" t="n"/>
      <c r="H21" s="850" t="n"/>
      <c r="J21" s="852" t="inlineStr">
        <is>
          <t>0.91 m x 2.44 m</t>
        </is>
      </c>
      <c r="K21" s="852" t="inlineStr">
        <is>
          <t>21.79 m</t>
        </is>
      </c>
      <c r="L21" s="852" t="inlineStr">
        <is>
          <t>160°</t>
        </is>
      </c>
      <c r="M21" s="852" t="inlineStr">
        <is>
          <t>227 kg</t>
        </is>
      </c>
      <c r="N21" s="852" t="inlineStr">
        <is>
          <t>30% / 45%</t>
        </is>
      </c>
      <c r="O21" s="857" t="n"/>
      <c r="Q21" s="1541" t="inlineStr">
        <is>
          <t>最高載重:230kg</t>
        </is>
      </c>
    </row>
    <row r="22">
      <c r="B22" s="852" t="inlineStr">
        <is>
          <t>工作高度：27.9m</t>
        </is>
      </c>
      <c r="C22" s="850" t="n"/>
      <c r="D22" s="850" t="n"/>
      <c r="E22" s="850" t="n"/>
      <c r="F22" s="850" t="n"/>
      <c r="G22" s="850" t="n"/>
      <c r="H22" s="850" t="n"/>
      <c r="J22" s="860" t="inlineStr">
        <is>
          <t>車身重量：</t>
        </is>
      </c>
      <c r="K22" s="860" t="inlineStr">
        <is>
          <t>動力來源：</t>
        </is>
      </c>
      <c r="L22" s="856" t="n"/>
      <c r="M22" s="857" t="n"/>
      <c r="N22" s="857" t="n"/>
      <c r="O22" s="857" t="n"/>
      <c r="Q22" s="1541" t="inlineStr">
        <is>
          <t>高空作業車重量:13,550kg</t>
        </is>
      </c>
    </row>
    <row r="23">
      <c r="B23" s="853" t="inlineStr">
        <is>
          <t>平台高度：25.9m</t>
        </is>
      </c>
      <c r="C23" s="850" t="n"/>
      <c r="D23" s="850" t="n"/>
      <c r="E23" s="850" t="n"/>
      <c r="F23" s="850" t="n"/>
      <c r="G23" s="850" t="n"/>
      <c r="H23" s="850" t="n"/>
      <c r="J23" s="852" t="inlineStr">
        <is>
          <t>16,103 kg</t>
        </is>
      </c>
      <c r="K23" s="852" t="inlineStr">
        <is>
          <t>柴油引擎</t>
        </is>
      </c>
      <c r="L23" s="1545" t="n"/>
      <c r="M23" s="850" t="n"/>
      <c r="N23" s="850" t="n"/>
      <c r="O23" s="850" t="n"/>
      <c r="Q23" s="1543" t="inlineStr">
        <is>
          <t>車身尺寸:長10.21M*寬2.56M*高2.4M</t>
        </is>
      </c>
    </row>
    <row r="24">
      <c r="B24" s="853" t="inlineStr">
        <is>
          <t>機器長度：12.2m</t>
        </is>
      </c>
      <c r="C24" s="850" t="n"/>
      <c r="D24" s="850" t="n"/>
      <c r="E24" s="850" t="n"/>
      <c r="F24" s="850" t="n"/>
      <c r="G24" s="850" t="n"/>
      <c r="H24" s="850" t="n"/>
      <c r="Q24" s="1543" t="inlineStr">
        <is>
          <t>工作台尺寸:長2.44M*寬0.91M*高1.83M</t>
        </is>
      </c>
    </row>
    <row r="25">
      <c r="B25" s="853" t="inlineStr">
        <is>
          <t>機器寬度：2.5m</t>
        </is>
      </c>
      <c r="C25" s="850" t="n"/>
      <c r="D25" s="850" t="n"/>
      <c r="E25" s="850" t="n"/>
      <c r="F25" s="850" t="n"/>
      <c r="G25" s="850" t="n"/>
      <c r="H25" s="850" t="n"/>
      <c r="Q25" s="1541" t="inlineStr">
        <is>
          <t>動力來源:柴油引擎</t>
        </is>
      </c>
    </row>
    <row r="26">
      <c r="B26" s="853" t="inlineStr">
        <is>
          <t>機器高度：2.8m</t>
        </is>
      </c>
      <c r="C26" s="850" t="n"/>
      <c r="D26" s="850" t="n"/>
      <c r="E26" s="850" t="n"/>
      <c r="F26" s="850" t="n"/>
      <c r="G26" s="850" t="n"/>
      <c r="H26" s="850" t="n"/>
      <c r="Q26" s="1541" t="inlineStr">
        <is>
          <t>使用燃料:高級柴油(油量:147L)</t>
        </is>
      </c>
    </row>
    <row r="27">
      <c r="B27" s="853" t="inlineStr">
        <is>
          <t>平台載重：227公斤</t>
        </is>
      </c>
      <c r="C27" s="850" t="n"/>
      <c r="D27" s="850" t="n"/>
      <c r="E27" s="850" t="n"/>
      <c r="F27" s="850" t="n"/>
      <c r="G27" s="850" t="n"/>
      <c r="H27" s="850" t="n"/>
      <c r="Q27" s="1541" t="inlineStr">
        <is>
          <t>規格明細:</t>
        </is>
      </c>
    </row>
    <row r="28">
      <c r="B28" s="853" t="inlineStr">
        <is>
          <t>機具總重量：17300公斤</t>
        </is>
      </c>
      <c r="C28" s="850" t="n"/>
      <c r="D28" s="850" t="n"/>
      <c r="E28" s="850" t="n"/>
      <c r="F28" s="850" t="n"/>
      <c r="G28" s="850" t="n"/>
      <c r="H28" s="850" t="n"/>
      <c r="Q28" s="1542" t="inlineStr">
        <is>
          <t>https://s3-ap-northeast-1.amazonaws.com/static.iyp.tw/22019/files/6ba43200-45b2-4e37-b6db-8ab12d9e23cb.pdf</t>
        </is>
      </c>
    </row>
  </sheetData>
  <mergeCells count="44">
    <mergeCell ref="B4:F4"/>
    <mergeCell ref="J15:O15"/>
    <mergeCell ref="Q20:V20"/>
    <mergeCell ref="Q14:V14"/>
    <mergeCell ref="H9:H10"/>
    <mergeCell ref="Q5:V5"/>
    <mergeCell ref="Q23:V23"/>
    <mergeCell ref="Q19:V19"/>
    <mergeCell ref="B3:F3"/>
    <mergeCell ref="Q4:V4"/>
    <mergeCell ref="B15:H15"/>
    <mergeCell ref="Q26:V26"/>
    <mergeCell ref="J4:O4"/>
    <mergeCell ref="Q6:V6"/>
    <mergeCell ref="Q15:V15"/>
    <mergeCell ref="B2:F2"/>
    <mergeCell ref="Q22:V22"/>
    <mergeCell ref="Q27:V27"/>
    <mergeCell ref="B16:H16"/>
    <mergeCell ref="Q17:V17"/>
    <mergeCell ref="J3:O3"/>
    <mergeCell ref="Q11:V11"/>
    <mergeCell ref="Q2:V2"/>
    <mergeCell ref="B18:H18"/>
    <mergeCell ref="J2:O2"/>
    <mergeCell ref="B12:H12"/>
    <mergeCell ref="Q13:V13"/>
    <mergeCell ref="Q16:V16"/>
    <mergeCell ref="Q25:V25"/>
    <mergeCell ref="Q3:V3"/>
    <mergeCell ref="Q21:V21"/>
    <mergeCell ref="Q12:V12"/>
    <mergeCell ref="B14:H14"/>
    <mergeCell ref="J14:O14"/>
    <mergeCell ref="J5:O5"/>
    <mergeCell ref="B6:F6"/>
    <mergeCell ref="B17:H17"/>
    <mergeCell ref="B13:H13"/>
    <mergeCell ref="Q28:V28"/>
    <mergeCell ref="Q24:V24"/>
    <mergeCell ref="Q18:V18"/>
    <mergeCell ref="B5:F5"/>
    <mergeCell ref="B19:H19"/>
    <mergeCell ref="J6:O6"/>
  </mergeCells>
  <hyperlinks>
    <hyperlink xmlns:r="http://schemas.openxmlformats.org/officeDocument/2006/relationships" ref="Q2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M88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3" sqref="A3"/>
      <selection pane="bottomRight" activeCell="H5" sqref="H5"/>
    </sheetView>
  </sheetViews>
  <sheetFormatPr baseColWidth="8" defaultColWidth="9" defaultRowHeight="15.75"/>
  <cols>
    <col width="0.75" customWidth="1" style="19" min="1" max="1"/>
    <col width="20.125" customWidth="1" style="19" min="2" max="2"/>
    <col width="7.875" customWidth="1" style="19" min="3" max="3"/>
    <col width="27" customWidth="1" style="19" min="4" max="4"/>
    <col width="16.375" customWidth="1" style="19" min="5" max="5"/>
    <col width="10" customWidth="1" style="20" min="6" max="6"/>
    <col width="18" customWidth="1" style="20" min="7" max="7"/>
    <col width="20.75" customWidth="1" style="20" min="8" max="8"/>
    <col width="19.875" customWidth="1" style="20" min="9" max="9"/>
    <col width="19.375" bestFit="1" customWidth="1" style="20" min="10" max="10"/>
    <col width="12.25" customWidth="1" style="20" min="11" max="11"/>
    <col width="15" bestFit="1" customWidth="1" style="19" min="12" max="12"/>
    <col width="8.625" customWidth="1" style="19" min="13" max="13"/>
    <col width="9" customWidth="1" style="19" min="14" max="16384"/>
  </cols>
  <sheetData>
    <row r="1" ht="3.75" customHeight="1" s="1643" thickBot="1"/>
    <row r="2" ht="15.75" customHeight="1" s="1643">
      <c r="B2" s="1569" t="n"/>
      <c r="C2" s="1825" t="n"/>
      <c r="D2" s="1825" t="n"/>
      <c r="E2" s="1825" t="n"/>
      <c r="F2" s="1826" t="n"/>
      <c r="G2" s="145" t="inlineStr">
        <is>
          <t>唐絹</t>
        </is>
      </c>
      <c r="H2" s="145" t="inlineStr">
        <is>
          <t>長榮商標</t>
        </is>
      </c>
      <c r="I2" s="145" t="inlineStr">
        <is>
          <t>中興管理中心</t>
        </is>
      </c>
      <c r="J2" s="145" t="inlineStr">
        <is>
          <t>偉昌</t>
        </is>
      </c>
      <c r="K2" s="146" t="n"/>
    </row>
    <row r="3" ht="15.75" customHeight="1" s="1643">
      <c r="B3" s="2174" t="inlineStr">
        <is>
          <t>kW</t>
        </is>
      </c>
      <c r="C3" s="1687" t="n"/>
      <c r="D3" s="1687" t="n"/>
      <c r="E3" s="1687" t="n"/>
      <c r="F3" s="1688" t="n"/>
      <c r="G3" s="157" t="n">
        <v>49.995</v>
      </c>
      <c r="H3" s="157" t="n">
        <v>19.6</v>
      </c>
      <c r="I3" s="157" t="n">
        <v>19.6</v>
      </c>
      <c r="J3" s="157" t="n">
        <v>49.995</v>
      </c>
      <c r="K3" s="158" t="n"/>
    </row>
    <row r="4" ht="16.5" customHeight="1" s="1643">
      <c r="B4" s="1556" t="inlineStr">
        <is>
          <t>業務報價</t>
        </is>
      </c>
      <c r="C4" s="1687" t="n"/>
      <c r="D4" s="1687" t="n"/>
      <c r="E4" s="1687" t="n"/>
      <c r="F4" s="1688" t="n"/>
      <c r="G4" s="2175" t="n">
        <v>3250000</v>
      </c>
      <c r="H4" s="2176">
        <f>2030000/1.05</f>
        <v/>
      </c>
      <c r="I4" s="2175" t="n">
        <v>1723570</v>
      </c>
      <c r="J4" s="2175" t="n">
        <v>3500000</v>
      </c>
      <c r="K4" s="2177" t="n"/>
      <c r="L4" s="2178" t="n"/>
    </row>
    <row r="5" ht="16.5" customHeight="1" s="1643">
      <c r="B5" s="1556" t="inlineStr">
        <is>
          <t>實際總成本</t>
        </is>
      </c>
      <c r="C5" s="1687" t="n"/>
      <c r="D5" s="1687" t="n"/>
      <c r="E5" s="1687" t="n"/>
      <c r="F5" s="1688" t="n"/>
      <c r="G5" s="2175">
        <f>[1]報價及成本分析!$M$73</f>
        <v/>
      </c>
      <c r="H5" s="2175">
        <f>[2]成本分析!$J$43</f>
        <v/>
      </c>
      <c r="I5" s="2175">
        <f>[3]報價及成本分析!$M$73</f>
        <v/>
      </c>
      <c r="J5" s="2175">
        <f>[4]報價及成本分析!$M$73</f>
        <v/>
      </c>
      <c r="K5" s="2177" t="n"/>
    </row>
    <row r="6" ht="16.5" customHeight="1" s="1643">
      <c r="B6" s="1556" t="inlineStr">
        <is>
          <t>利潤%</t>
        </is>
      </c>
      <c r="C6" s="1687" t="n"/>
      <c r="D6" s="1687" t="n"/>
      <c r="E6" s="1687" t="n"/>
      <c r="F6" s="1688" t="n"/>
      <c r="G6" s="144">
        <f>(G4-G5)/G4</f>
        <v/>
      </c>
      <c r="H6" s="144">
        <f>(H4-H5)/H4</f>
        <v/>
      </c>
      <c r="I6" s="144">
        <f>(I4-I5)/I4</f>
        <v/>
      </c>
      <c r="J6" s="144">
        <f>(J4-J5)/J4</f>
        <v/>
      </c>
      <c r="K6" s="2177" t="n"/>
      <c r="L6" s="2178" t="n"/>
    </row>
    <row r="7" ht="16.5" customHeight="1" s="1643" thickBot="1">
      <c r="B7" s="1554" t="inlineStr">
        <is>
          <t>差值</t>
        </is>
      </c>
      <c r="C7" s="1888" t="n"/>
      <c r="D7" s="1888" t="n"/>
      <c r="E7" s="1888" t="n"/>
      <c r="F7" s="1889" t="n"/>
      <c r="G7" s="2179">
        <f>G4-G5</f>
        <v/>
      </c>
      <c r="H7" s="2179">
        <f>H4-H5</f>
        <v/>
      </c>
      <c r="I7" s="2179">
        <f>I4-I5</f>
        <v/>
      </c>
      <c r="J7" s="2179">
        <f>J4-J5</f>
        <v/>
      </c>
      <c r="K7" s="2180" t="n"/>
    </row>
    <row r="8" ht="6" customHeight="1" s="1643" thickBot="1">
      <c r="B8" s="141" t="n"/>
      <c r="C8" s="141" t="n"/>
      <c r="D8" s="141" t="n"/>
      <c r="E8" s="141" t="n"/>
      <c r="F8" s="141" t="n"/>
      <c r="G8" s="2181" t="n"/>
      <c r="H8" s="2181" t="n"/>
      <c r="I8" s="2181" t="n"/>
      <c r="J8" s="2181" t="n"/>
      <c r="K8" s="2182" t="n"/>
    </row>
    <row r="9" ht="16.5" customHeight="1" s="1643">
      <c r="B9" s="1594" t="inlineStr">
        <is>
          <t>電力系統配線</t>
        </is>
      </c>
      <c r="C9" s="1825" t="n"/>
      <c r="D9" s="1825" t="n"/>
      <c r="E9" s="1826" t="n"/>
      <c r="F9" s="2183" t="n"/>
      <c r="G9" s="1547" t="inlineStr">
        <is>
          <t>案件/報價(未稅)</t>
        </is>
      </c>
      <c r="H9" s="1825" t="n"/>
      <c r="I9" s="1825" t="n"/>
      <c r="J9" s="1825" t="n"/>
      <c r="K9" s="1826" t="n"/>
    </row>
    <row r="10" ht="12.95" customHeight="1" s="1643">
      <c r="B10" s="1596" t="inlineStr">
        <is>
          <t>公司名稱</t>
        </is>
      </c>
      <c r="C10" s="2184" t="inlineStr">
        <is>
          <t>聯絡人</t>
        </is>
      </c>
      <c r="D10" s="2184" t="inlineStr">
        <is>
          <t>聯絡方式</t>
        </is>
      </c>
      <c r="E10" s="1167" t="inlineStr">
        <is>
          <t>備註</t>
        </is>
      </c>
      <c r="F10" s="1977" t="n"/>
      <c r="G10" s="1619" t="inlineStr">
        <is>
          <t>唐絹</t>
        </is>
      </c>
      <c r="H10" s="1578" t="inlineStr">
        <is>
          <t>長榮商標</t>
        </is>
      </c>
      <c r="I10" s="1578" t="inlineStr">
        <is>
          <t>中興管理中心</t>
        </is>
      </c>
      <c r="J10" s="1578" t="inlineStr">
        <is>
          <t>偉昌</t>
        </is>
      </c>
      <c r="K10" s="109" t="n"/>
    </row>
    <row r="11" ht="12.95" customHeight="1" s="1643" thickBot="1">
      <c r="B11" s="1668" t="n"/>
      <c r="C11" s="1979" t="n"/>
      <c r="D11" s="1979" t="n"/>
      <c r="E11" s="1979" t="n"/>
      <c r="F11" s="1977" t="n"/>
      <c r="G11" s="104" t="n">
        <v>49.995</v>
      </c>
      <c r="H11" s="1611" t="n">
        <v>19.6</v>
      </c>
      <c r="I11" s="1611" t="n">
        <v>19.6</v>
      </c>
      <c r="J11" s="1611" t="n">
        <v>49.995</v>
      </c>
      <c r="K11" s="112" t="n"/>
    </row>
    <row r="12">
      <c r="B12" s="1562" t="inlineStr">
        <is>
          <t>山毅科技有限公司</t>
        </is>
      </c>
      <c r="C12" s="1563" t="inlineStr">
        <is>
          <t>江進通</t>
        </is>
      </c>
      <c r="D12" s="1564" t="inlineStr">
        <is>
          <t>0923-182970
juddy.jim@gmail.com</t>
        </is>
      </c>
      <c r="E12" s="1565" t="inlineStr">
        <is>
          <t>*未稅</t>
        </is>
      </c>
      <c r="F12" s="1548" t="inlineStr">
        <is>
          <t>第一次</t>
        </is>
      </c>
      <c r="G12" s="2185" t="n">
        <v>798921</v>
      </c>
      <c r="H12" s="2186" t="n">
        <v>323400</v>
      </c>
      <c r="I12" s="2187" t="inlineStr">
        <is>
          <t>未寄資料</t>
        </is>
      </c>
      <c r="J12" s="2187" t="inlineStr">
        <is>
          <t>未寄資料</t>
        </is>
      </c>
      <c r="K12" s="2188" t="n"/>
    </row>
    <row r="13" ht="18.75" customHeight="1" s="1643">
      <c r="B13" s="1667" t="n"/>
      <c r="C13" s="1977" t="n"/>
      <c r="D13" s="1977" t="n"/>
      <c r="E13" s="1977" t="n"/>
      <c r="F13" s="1578" t="inlineStr">
        <is>
          <t>議價1</t>
        </is>
      </c>
      <c r="G13" s="2189" t="n"/>
      <c r="H13" s="2190" t="n"/>
      <c r="I13" s="2190" t="n"/>
      <c r="J13" s="2190" t="n"/>
      <c r="K13" s="2191" t="n"/>
    </row>
    <row r="14" ht="18.75" customHeight="1" s="1643">
      <c r="B14" s="1668" t="n"/>
      <c r="C14" s="1979" t="n"/>
      <c r="D14" s="1979" t="n"/>
      <c r="E14" s="1979" t="n"/>
      <c r="F14" s="1578" t="inlineStr">
        <is>
          <t>議價2</t>
        </is>
      </c>
      <c r="G14" s="2192" t="n"/>
      <c r="H14" s="2190" t="n"/>
      <c r="I14" s="2190" t="n"/>
      <c r="J14" s="2190" t="n"/>
      <c r="K14" s="2191" t="n"/>
    </row>
    <row r="15" ht="15.75" customHeight="1" s="1643">
      <c r="B15" s="1558" t="inlineStr">
        <is>
          <t>瑞發水電行</t>
        </is>
      </c>
      <c r="C15" s="2193" t="inlineStr">
        <is>
          <t>謝先生</t>
        </is>
      </c>
      <c r="D15" s="2194" t="inlineStr">
        <is>
          <t>0972-739372(謝先生)
04-7552226(張小姐 議價)
rf.n410924@msa.hinet.net</t>
        </is>
      </c>
      <c r="E15" s="2195" t="inlineStr">
        <is>
          <t>*未稅</t>
        </is>
      </c>
      <c r="F15" s="1578" t="inlineStr">
        <is>
          <t>第一次</t>
        </is>
      </c>
      <c r="G15" s="2196">
        <f>(714972/1.05)+20000</f>
        <v/>
      </c>
      <c r="H15" s="2197">
        <f>330666/1.05</f>
        <v/>
      </c>
      <c r="I15" s="2198">
        <f>353919/1.05</f>
        <v/>
      </c>
      <c r="J15" s="2199">
        <f>(780830+4200)/1.05</f>
        <v/>
      </c>
      <c r="K15" s="2191" t="n"/>
    </row>
    <row r="16" ht="15.75" customHeight="1" s="1643">
      <c r="B16" s="1667" t="n"/>
      <c r="C16" s="1977" t="n"/>
      <c r="D16" s="1977" t="n"/>
      <c r="E16" s="1977" t="n"/>
      <c r="F16" s="1578" t="inlineStr">
        <is>
          <t>議價1</t>
        </is>
      </c>
      <c r="G16" s="2189">
        <f>G15-10000</f>
        <v/>
      </c>
      <c r="H16" s="98" t="inlineStr">
        <is>
          <t xml:space="preserve"> 供應商無法一次承接四案</t>
        </is>
      </c>
      <c r="I16" s="99" t="inlineStr">
        <is>
          <t xml:space="preserve"> 供應商無法一次承接四案</t>
        </is>
      </c>
      <c r="J16" s="2200">
        <f>J15-10000</f>
        <v/>
      </c>
      <c r="K16" s="2191" t="n"/>
    </row>
    <row r="17" ht="15.75" customHeight="1" s="1643">
      <c r="B17" s="1668" t="n"/>
      <c r="C17" s="1979" t="n"/>
      <c r="D17" s="1979" t="n"/>
      <c r="E17" s="1979" t="n"/>
      <c r="F17" s="1578" t="inlineStr">
        <is>
          <t>議價2</t>
        </is>
      </c>
      <c r="G17" s="2201" t="n">
        <v>670000</v>
      </c>
      <c r="H17" s="2202" t="n"/>
      <c r="I17" s="2202" t="n"/>
      <c r="J17" s="2190" t="n"/>
      <c r="K17" s="2191" t="n"/>
    </row>
    <row r="18">
      <c r="B18" s="1558" t="inlineStr">
        <is>
          <t>網語</t>
        </is>
      </c>
      <c r="C18" s="2193" t="inlineStr">
        <is>
          <t>謝志堅</t>
        </is>
      </c>
      <c r="D18" s="2194" t="inlineStr">
        <is>
          <t>0933151699
calvin.mcse@msa.hinet.net</t>
        </is>
      </c>
      <c r="E18" s="2195" t="n"/>
      <c r="F18" s="1578" t="inlineStr">
        <is>
          <t>第一次</t>
        </is>
      </c>
      <c r="G18" s="2203" t="inlineStr">
        <is>
          <t>無法施作</t>
        </is>
      </c>
      <c r="H18" s="2204" t="n">
        <v>145060</v>
      </c>
      <c r="I18" s="2205" t="n">
        <v>235410</v>
      </c>
      <c r="J18" s="2206" t="inlineStr">
        <is>
          <t>無法施作</t>
        </is>
      </c>
      <c r="K18" s="2191" t="n"/>
    </row>
    <row r="19">
      <c r="B19" s="1667" t="n"/>
      <c r="C19" s="1977" t="n"/>
      <c r="D19" s="1977" t="n"/>
      <c r="E19" s="1977" t="n"/>
      <c r="F19" s="1578" t="inlineStr">
        <is>
          <t>議價1</t>
        </is>
      </c>
      <c r="G19" s="2192" t="n"/>
      <c r="H19" s="2190" t="n"/>
      <c r="I19" s="2200" t="n">
        <v>190000</v>
      </c>
      <c r="J19" s="2190" t="n"/>
      <c r="K19" s="2191" t="n"/>
    </row>
    <row r="20">
      <c r="B20" s="1668" t="n"/>
      <c r="C20" s="1979" t="n"/>
      <c r="D20" s="1979" t="n"/>
      <c r="E20" s="1979" t="n"/>
      <c r="F20" s="1578" t="inlineStr">
        <is>
          <t>議價2</t>
        </is>
      </c>
      <c r="G20" s="2192" t="n"/>
      <c r="H20" s="2190" t="n"/>
      <c r="I20" s="2190" t="n"/>
      <c r="J20" s="2190" t="n"/>
      <c r="K20" s="2191" t="n"/>
      <c r="M20" s="2178" t="n"/>
    </row>
    <row r="21">
      <c r="B21" s="1586" t="inlineStr">
        <is>
          <t>凱文光電科技有限公司</t>
        </is>
      </c>
      <c r="C21" s="1588" t="inlineStr">
        <is>
          <t>陳先生</t>
        </is>
      </c>
      <c r="D21" s="1568" t="inlineStr">
        <is>
          <t>0933541037
kevin@kevin-solar.com</t>
        </is>
      </c>
      <c r="E21" s="1585" t="inlineStr">
        <is>
          <t>*~2萬/KW</t>
        </is>
      </c>
      <c r="F21" s="1612" t="inlineStr">
        <is>
          <t>第一次</t>
        </is>
      </c>
      <c r="G21" s="2207" t="inlineStr">
        <is>
          <t>已寄資料,尚未取得報價</t>
        </is>
      </c>
      <c r="H21" s="2208" t="inlineStr">
        <is>
          <t>已寄資料,尚未取得報價</t>
        </is>
      </c>
      <c r="I21" s="2208" t="inlineStr">
        <is>
          <t>已寄資料,尚未取得報價</t>
        </is>
      </c>
      <c r="J21" s="2208" t="inlineStr">
        <is>
          <t>已寄資料,尚未取得報價</t>
        </is>
      </c>
      <c r="K21" s="2209" t="n"/>
      <c r="M21" s="2178" t="n"/>
    </row>
    <row r="22">
      <c r="B22" s="1667" t="n"/>
      <c r="C22" s="1977" t="n"/>
      <c r="D22" s="1977" t="n"/>
      <c r="E22" s="1977" t="n"/>
      <c r="F22" s="1578" t="inlineStr">
        <is>
          <t>議價1</t>
        </is>
      </c>
      <c r="G22" s="2192" t="n"/>
      <c r="H22" s="2190" t="n"/>
      <c r="I22" s="2190" t="n"/>
      <c r="J22" s="2190" t="n"/>
      <c r="K22" s="2191" t="n"/>
      <c r="M22" s="2178" t="n"/>
    </row>
    <row r="23">
      <c r="B23" s="1668" t="n"/>
      <c r="C23" s="1979" t="n"/>
      <c r="D23" s="1979" t="n"/>
      <c r="E23" s="1979" t="n"/>
      <c r="F23" s="1578" t="inlineStr">
        <is>
          <t>議價2</t>
        </is>
      </c>
      <c r="G23" s="2192" t="n"/>
      <c r="H23" s="2190" t="n"/>
      <c r="I23" s="2190" t="n"/>
      <c r="J23" s="2190" t="n"/>
      <c r="K23" s="2191" t="n"/>
      <c r="M23" s="2178" t="n"/>
    </row>
    <row r="24">
      <c r="B24" s="1586" t="inlineStr">
        <is>
          <t>翌順水電工程</t>
        </is>
      </c>
      <c r="C24" s="1588" t="inlineStr">
        <is>
          <t>賴先生</t>
        </is>
      </c>
      <c r="D24" s="2210" t="inlineStr">
        <is>
          <t>1. yi.shun@hotmail.com.tw
2. 0937729287</t>
        </is>
      </c>
      <c r="E24" s="1585" t="inlineStr">
        <is>
          <t>*到12月中都無法施作</t>
        </is>
      </c>
      <c r="F24" s="1612" t="inlineStr">
        <is>
          <t>第一次</t>
        </is>
      </c>
      <c r="G24" s="2207" t="inlineStr">
        <is>
          <t>已寄資料,尚未取得報價</t>
        </is>
      </c>
      <c r="H24" s="2208" t="inlineStr">
        <is>
          <t>已寄資料,尚未取得報價</t>
        </is>
      </c>
      <c r="I24" s="2208" t="inlineStr">
        <is>
          <t>已寄資料,尚未取得報價</t>
        </is>
      </c>
      <c r="J24" s="2208" t="inlineStr">
        <is>
          <t>已寄資料,尚未取得報價</t>
        </is>
      </c>
      <c r="K24" s="2209" t="n"/>
    </row>
    <row r="25">
      <c r="B25" s="1667" t="n"/>
      <c r="C25" s="1977" t="n"/>
      <c r="D25" s="1977" t="n"/>
      <c r="E25" s="1977" t="n"/>
      <c r="F25" s="1578" t="inlineStr">
        <is>
          <t>議價1</t>
        </is>
      </c>
      <c r="G25" s="2192" t="n"/>
      <c r="H25" s="2190" t="n"/>
      <c r="I25" s="2190" t="n"/>
      <c r="J25" s="2190" t="n"/>
      <c r="K25" s="2191" t="n"/>
    </row>
    <row r="26" ht="16.5" customHeight="1" s="1643" thickBot="1">
      <c r="B26" s="1668" t="n"/>
      <c r="C26" s="1979" t="n"/>
      <c r="D26" s="2211" t="n"/>
      <c r="E26" s="1979" t="n"/>
      <c r="F26" s="1579" t="inlineStr">
        <is>
          <t>議價2</t>
        </is>
      </c>
      <c r="G26" s="2212" t="n"/>
      <c r="H26" s="2213" t="n"/>
      <c r="I26" s="2213" t="n"/>
      <c r="J26" s="2213" t="n"/>
      <c r="K26" s="2214" t="n"/>
      <c r="M26" s="2178" t="n"/>
    </row>
    <row r="27" ht="15.75" customHeight="1" s="1643" thickBot="1">
      <c r="B27" s="2215" t="inlineStr">
        <is>
          <t>預估機電成本</t>
        </is>
      </c>
      <c r="C27" s="1707" t="n"/>
      <c r="D27" s="1707" t="n"/>
      <c r="E27" s="1707" t="n"/>
      <c r="F27" s="2216" t="n"/>
      <c r="G27" s="2217" t="n">
        <v>760000</v>
      </c>
      <c r="H27" s="2218" t="n">
        <v>245900</v>
      </c>
      <c r="I27" s="2218">
        <f>216200</f>
        <v/>
      </c>
      <c r="J27" s="2218" t="n">
        <v>750000</v>
      </c>
      <c r="K27" s="2219" t="n"/>
    </row>
    <row r="28" ht="8.25" customHeight="1" s="1643" thickBot="1">
      <c r="B28" s="100" t="n"/>
      <c r="C28" s="29" t="n"/>
      <c r="D28" s="100" t="n"/>
      <c r="E28" s="101" t="n"/>
      <c r="F28" s="102" t="n"/>
      <c r="G28" s="2220" t="n"/>
      <c r="H28" s="2220" t="n"/>
      <c r="I28" s="2220" t="n"/>
      <c r="J28" s="2220" t="n"/>
      <c r="K28" s="2220" t="n"/>
      <c r="M28" s="2178" t="n"/>
    </row>
    <row r="29" ht="16.5" customHeight="1" s="1643">
      <c r="B29" s="1600" t="inlineStr">
        <is>
          <t>鋁料結構</t>
        </is>
      </c>
      <c r="C29" s="1825" t="n"/>
      <c r="D29" s="1825" t="n"/>
      <c r="E29" s="1826" t="n"/>
      <c r="F29" s="1548" t="n"/>
      <c r="G29" s="1548" t="inlineStr">
        <is>
          <t>案件/報價(未稅)</t>
        </is>
      </c>
      <c r="H29" s="1825" t="n"/>
      <c r="I29" s="1825" t="n"/>
      <c r="J29" s="1825" t="n"/>
      <c r="K29" s="1826" t="n"/>
    </row>
    <row r="30" ht="12.95" customHeight="1" s="1643">
      <c r="B30" s="1627" t="inlineStr">
        <is>
          <t>公司名稱</t>
        </is>
      </c>
      <c r="C30" s="1167" t="inlineStr">
        <is>
          <t>聯絡人</t>
        </is>
      </c>
      <c r="D30" s="1167" t="inlineStr">
        <is>
          <t>聯絡方式</t>
        </is>
      </c>
      <c r="E30" s="1167" t="inlineStr">
        <is>
          <t>備註</t>
        </is>
      </c>
      <c r="F30" s="1977" t="n"/>
      <c r="G30" s="1578" t="inlineStr">
        <is>
          <t>唐絹</t>
        </is>
      </c>
      <c r="H30" s="1578" t="inlineStr">
        <is>
          <t>長榮商標</t>
        </is>
      </c>
      <c r="I30" s="1578" t="inlineStr">
        <is>
          <t>中興管理中心</t>
        </is>
      </c>
      <c r="J30" s="1578" t="inlineStr">
        <is>
          <t>偉昌</t>
        </is>
      </c>
      <c r="K30" s="109" t="n"/>
    </row>
    <row r="31" ht="12.95" customHeight="1" s="1643" thickBot="1">
      <c r="B31" s="1668" t="n"/>
      <c r="C31" s="1979" t="n"/>
      <c r="D31" s="1979" t="n"/>
      <c r="E31" s="1979" t="n"/>
      <c r="F31" s="1979" t="n"/>
      <c r="G31" s="1579" t="n">
        <v>49.995</v>
      </c>
      <c r="H31" s="1579" t="n">
        <v>19.6</v>
      </c>
      <c r="I31" s="1579" t="n">
        <v>19.6</v>
      </c>
      <c r="J31" s="1579" t="n">
        <v>49.995</v>
      </c>
      <c r="K31" s="110" t="n"/>
    </row>
    <row r="32">
      <c r="B32" s="1620" t="inlineStr">
        <is>
          <t>推進工業有限公司</t>
        </is>
      </c>
      <c r="C32" s="1622" t="inlineStr">
        <is>
          <t>Winnie
許瀞云</t>
        </is>
      </c>
      <c r="D32" s="1622" t="inlineStr">
        <is>
          <t>0921096621
 03 656-3996
winnie@acceloronline.com</t>
        </is>
      </c>
      <c r="E32" s="1585" t="n"/>
      <c r="F32" s="1612" t="inlineStr">
        <is>
          <t>第一次</t>
        </is>
      </c>
      <c r="G32" s="2221" t="n">
        <v>149400</v>
      </c>
      <c r="H32" s="2221" t="n">
        <v>52800</v>
      </c>
      <c r="I32" s="2199" t="n">
        <v>158000</v>
      </c>
      <c r="J32" s="2221" t="n">
        <v>130000</v>
      </c>
      <c r="K32" s="2222" t="n"/>
    </row>
    <row r="33">
      <c r="B33" s="1667" t="n"/>
      <c r="C33" s="1977" t="n"/>
      <c r="D33" s="1977" t="n"/>
      <c r="E33" s="1977" t="n"/>
      <c r="F33" s="1578" t="inlineStr">
        <is>
          <t>議價1</t>
        </is>
      </c>
      <c r="G33" s="2200" t="n">
        <v>130000</v>
      </c>
      <c r="H33" s="2223" t="n">
        <v>49000</v>
      </c>
      <c r="I33" s="2223" t="n">
        <v>143000</v>
      </c>
      <c r="J33" s="2200" t="n">
        <v>114000</v>
      </c>
      <c r="K33" s="2191" t="n"/>
    </row>
    <row r="34">
      <c r="B34" s="1668" t="n"/>
      <c r="C34" s="1979" t="n"/>
      <c r="D34" s="1979" t="n"/>
      <c r="E34" s="1979" t="n"/>
      <c r="F34" s="1578" t="inlineStr">
        <is>
          <t>議價2</t>
        </is>
      </c>
      <c r="G34" s="2190" t="n"/>
      <c r="H34" s="2190" t="n"/>
      <c r="I34" s="2190" t="n"/>
      <c r="J34" s="2190" t="n"/>
      <c r="K34" s="2191" t="n"/>
    </row>
    <row r="35">
      <c r="B35" s="1621" t="inlineStr">
        <is>
          <t>法隆企業有限公司</t>
        </is>
      </c>
      <c r="C35" s="1153" t="inlineStr">
        <is>
          <t>翁小姐</t>
        </is>
      </c>
      <c r="D35" s="2224" t="inlineStr">
        <is>
          <t>06-2736755 #204
falon.co@gmail.com</t>
        </is>
      </c>
      <c r="E35" s="2195" t="n"/>
      <c r="F35" s="1578" t="inlineStr">
        <is>
          <t>第一次</t>
        </is>
      </c>
      <c r="G35" s="2202" t="inlineStr">
        <is>
          <t>已寄資料,尚未取得報價</t>
        </is>
      </c>
      <c r="H35" s="2199" t="n">
        <v>192000</v>
      </c>
      <c r="I35" s="2225" t="inlineStr">
        <is>
          <t>未寄資料</t>
        </is>
      </c>
      <c r="J35" s="2190" t="n"/>
      <c r="K35" s="2191" t="n"/>
    </row>
    <row r="36">
      <c r="B36" s="1667" t="n"/>
      <c r="C36" s="1977" t="n"/>
      <c r="D36" s="1977" t="n"/>
      <c r="E36" s="1977" t="n"/>
      <c r="F36" s="1578" t="inlineStr">
        <is>
          <t>議價1</t>
        </is>
      </c>
      <c r="G36" s="2190" t="n"/>
      <c r="H36" s="2190" t="n"/>
      <c r="I36" s="2190" t="n"/>
      <c r="J36" s="2190" t="n"/>
      <c r="K36" s="2191" t="n"/>
    </row>
    <row r="37">
      <c r="B37" s="1668" t="n"/>
      <c r="C37" s="1979" t="n"/>
      <c r="D37" s="1979" t="n"/>
      <c r="E37" s="1979" t="n"/>
      <c r="F37" s="1578" t="inlineStr">
        <is>
          <t>議價2</t>
        </is>
      </c>
      <c r="G37" s="2190" t="n"/>
      <c r="H37" s="2190" t="n"/>
      <c r="I37" s="2190" t="n"/>
      <c r="J37" s="2190" t="n"/>
      <c r="K37" s="2191" t="n"/>
    </row>
    <row r="38" ht="15.75" customHeight="1" s="1643" thickBot="1">
      <c r="B38" s="1574" t="inlineStr">
        <is>
          <t>預估鋁料成本</t>
        </is>
      </c>
      <c r="C38" s="1888" t="n"/>
      <c r="D38" s="1888" t="n"/>
      <c r="E38" s="1888" t="n"/>
      <c r="F38" s="1889" t="n"/>
      <c r="G38" s="2226" t="n">
        <v>195720</v>
      </c>
      <c r="H38" s="2218" t="n">
        <v>64288</v>
      </c>
      <c r="I38" s="2226" t="n">
        <v>178688</v>
      </c>
      <c r="J38" s="2226" t="n">
        <v>160720</v>
      </c>
      <c r="K38" s="2227" t="n"/>
    </row>
    <row r="39" ht="7.5" customHeight="1" s="1643" thickBot="1">
      <c r="B39" s="102" t="n"/>
      <c r="C39" s="102" t="n"/>
      <c r="D39" s="102" t="n"/>
      <c r="E39" s="102" t="n"/>
      <c r="F39" s="102" t="n"/>
      <c r="G39" s="2228" t="n"/>
      <c r="H39" s="2220" t="n"/>
      <c r="I39" s="2220" t="n"/>
      <c r="J39" s="2228" t="n"/>
      <c r="K39" s="2220" t="n"/>
    </row>
    <row r="40" ht="16.5" customHeight="1" s="1643">
      <c r="B40" s="1576" t="inlineStr">
        <is>
          <t>箱體</t>
        </is>
      </c>
      <c r="C40" s="1825" t="n"/>
      <c r="D40" s="1825" t="n"/>
      <c r="E40" s="1826" t="n"/>
      <c r="F40" s="1548" t="n"/>
      <c r="G40" s="1548" t="inlineStr">
        <is>
          <t>案件/報價(未稅)</t>
        </is>
      </c>
      <c r="H40" s="1825" t="n"/>
      <c r="I40" s="1825" t="n"/>
      <c r="J40" s="1825" t="n"/>
      <c r="K40" s="1826" t="n"/>
    </row>
    <row r="41" ht="12.95" customHeight="1" s="1643">
      <c r="B41" s="1627" t="inlineStr">
        <is>
          <t>公司名稱</t>
        </is>
      </c>
      <c r="C41" s="1167" t="inlineStr">
        <is>
          <t>聯絡人</t>
        </is>
      </c>
      <c r="D41" s="1167" t="inlineStr">
        <is>
          <t>聯絡方式</t>
        </is>
      </c>
      <c r="E41" s="1167" t="inlineStr">
        <is>
          <t>備註</t>
        </is>
      </c>
      <c r="F41" s="1977" t="n"/>
      <c r="G41" s="1578" t="inlineStr">
        <is>
          <t>唐絹</t>
        </is>
      </c>
      <c r="H41" s="1578" t="inlineStr">
        <is>
          <t>長榮商標</t>
        </is>
      </c>
      <c r="I41" s="1578" t="inlineStr">
        <is>
          <t>中興管理中心</t>
        </is>
      </c>
      <c r="J41" s="1578" t="inlineStr">
        <is>
          <t>偉昌</t>
        </is>
      </c>
      <c r="K41" s="109" t="n"/>
    </row>
    <row r="42" ht="12.95" customHeight="1" s="1643" thickBot="1">
      <c r="B42" s="1668" t="n"/>
      <c r="C42" s="1979" t="n"/>
      <c r="D42" s="1979" t="n"/>
      <c r="E42" s="1979" t="n"/>
      <c r="F42" s="1979" t="n"/>
      <c r="G42" s="1579" t="n">
        <v>49.995</v>
      </c>
      <c r="H42" s="1579" t="n">
        <v>19.6</v>
      </c>
      <c r="I42" s="1579" t="n">
        <v>19.6</v>
      </c>
      <c r="J42" s="1579" t="n">
        <v>49.995</v>
      </c>
      <c r="K42" s="110" t="n"/>
    </row>
    <row r="43" ht="15.75" customHeight="1" s="1643">
      <c r="B43" s="1620" t="inlineStr">
        <is>
          <t>立駱</t>
        </is>
      </c>
      <c r="C43" s="1622" t="inlineStr">
        <is>
          <t>陳彥儒</t>
        </is>
      </c>
      <c r="D43" s="1622" t="inlineStr">
        <is>
          <t>0915522403
0915522403@puffer.tw</t>
        </is>
      </c>
      <c r="E43" s="1585" t="inlineStr">
        <is>
          <t>*RD</t>
        </is>
      </c>
      <c r="F43" s="1612" t="inlineStr">
        <is>
          <t>AC BOX</t>
        </is>
      </c>
      <c r="G43" s="2221" t="n"/>
      <c r="H43" s="2221">
        <f>11105+1096+2400+1800+2000</f>
        <v/>
      </c>
      <c r="I43" s="2221">
        <f>12520+1096+3000+2000+3000</f>
        <v/>
      </c>
      <c r="J43" s="2221" t="n"/>
      <c r="K43" s="2222" t="n"/>
    </row>
    <row r="44" ht="16.5" customHeight="1" s="1643">
      <c r="B44" s="1667" t="n"/>
      <c r="C44" s="1977" t="n"/>
      <c r="D44" s="1977" t="n"/>
      <c r="E44" s="1977" t="n"/>
      <c r="F44" s="1578" t="inlineStr">
        <is>
          <t>躉售錶箱</t>
        </is>
      </c>
      <c r="G44" s="2190" t="n"/>
      <c r="H44" s="2199">
        <f>14000+750+1096+750+750</f>
        <v/>
      </c>
      <c r="I44" s="2199">
        <f>14000+750+1096+750+750</f>
        <v/>
      </c>
      <c r="J44" s="2190" t="n"/>
      <c r="K44" s="2191" t="n"/>
    </row>
    <row r="45" ht="16.5" customHeight="1" s="1643">
      <c r="B45" s="1667" t="n"/>
      <c r="C45" s="1977" t="n"/>
      <c r="D45" s="1977" t="n"/>
      <c r="E45" s="1977" t="n"/>
      <c r="F45" s="1578" t="inlineStr">
        <is>
          <t>變壓器</t>
        </is>
      </c>
      <c r="G45" s="2190" t="n"/>
      <c r="H45" s="2199" t="n">
        <v>26000</v>
      </c>
      <c r="I45" s="2199" t="n">
        <v>26000</v>
      </c>
      <c r="J45" s="2190" t="n"/>
      <c r="K45" s="2191" t="n"/>
    </row>
    <row r="46" ht="16.5" customHeight="1" s="1643">
      <c r="B46" s="1667" t="n"/>
      <c r="C46" s="1977" t="n"/>
      <c r="D46" s="1977" t="n"/>
      <c r="E46" s="1977" t="n"/>
      <c r="F46" s="1578" t="inlineStr">
        <is>
          <t>運費</t>
        </is>
      </c>
      <c r="G46" s="2190" t="n"/>
      <c r="H46" s="2199" t="n">
        <v>1300</v>
      </c>
      <c r="I46" s="2199" t="n">
        <v>1300</v>
      </c>
      <c r="J46" s="2190" t="n"/>
      <c r="K46" s="2191" t="n"/>
    </row>
    <row r="47" ht="16.5" customHeight="1" s="1643">
      <c r="B47" s="1667" t="n"/>
      <c r="C47" s="1977" t="n"/>
      <c r="D47" s="1977" t="n"/>
      <c r="E47" s="1977" t="n"/>
      <c r="F47" s="1578" t="inlineStr">
        <is>
          <t>小計(第一次)</t>
        </is>
      </c>
      <c r="G47" s="2190" t="n"/>
      <c r="H47" s="2199">
        <f>SUM(H43:H46)</f>
        <v/>
      </c>
      <c r="I47" s="2199">
        <f>SUM(I43:I46)</f>
        <v/>
      </c>
      <c r="J47" s="2190" t="n"/>
      <c r="K47" s="2191" t="n"/>
    </row>
    <row r="48" ht="16.5" customHeight="1" s="1643">
      <c r="B48" s="1667" t="n"/>
      <c r="C48" s="1977" t="n"/>
      <c r="D48" s="1977" t="n"/>
      <c r="E48" s="1977" t="n"/>
      <c r="F48" s="1578" t="inlineStr">
        <is>
          <t>議價1</t>
        </is>
      </c>
      <c r="G48" s="2190" t="n"/>
      <c r="H48" s="2223" t="n">
        <v>62000</v>
      </c>
      <c r="I48" s="2223" t="n">
        <v>65500</v>
      </c>
      <c r="J48" s="2190" t="n"/>
      <c r="K48" s="2191" t="n"/>
    </row>
    <row r="49" ht="17.25" customHeight="1" s="1643">
      <c r="B49" s="1668" t="n"/>
      <c r="C49" s="1979" t="n"/>
      <c r="D49" s="1979" t="n"/>
      <c r="E49" s="1979" t="n"/>
      <c r="F49" s="1578" t="inlineStr">
        <is>
          <t>議價2</t>
        </is>
      </c>
      <c r="G49" s="2190" t="n"/>
      <c r="H49" s="2190" t="n"/>
      <c r="I49" s="2190" t="n"/>
      <c r="J49" s="2190" t="n"/>
      <c r="K49" s="2191" t="n"/>
    </row>
    <row r="50" ht="15.75" customHeight="1" s="1643" thickBot="1">
      <c r="B50" s="1574" t="inlineStr">
        <is>
          <t>預估箱體成本</t>
        </is>
      </c>
      <c r="C50" s="1888" t="n"/>
      <c r="D50" s="1888" t="n"/>
      <c r="E50" s="1888" t="n"/>
      <c r="F50" s="1889" t="n"/>
      <c r="G50" s="2226" t="n"/>
      <c r="H50" s="2218" t="n">
        <v>70753</v>
      </c>
      <c r="I50" s="2226" t="n">
        <v>93000</v>
      </c>
      <c r="J50" s="2226" t="n"/>
      <c r="K50" s="2227" t="n"/>
    </row>
    <row r="51" ht="6" customHeight="1" s="1643" thickBot="1">
      <c r="B51" s="100" t="n"/>
      <c r="C51" s="29" t="n"/>
      <c r="D51" s="100" t="n"/>
      <c r="E51" s="101" t="n"/>
      <c r="F51" s="102" t="n"/>
      <c r="G51" s="2220" t="n"/>
      <c r="H51" s="2220" t="n"/>
      <c r="I51" s="2220" t="n"/>
      <c r="J51" s="2220" t="n"/>
      <c r="K51" s="2220" t="n"/>
    </row>
    <row r="52" ht="16.5" customHeight="1" s="1643">
      <c r="B52" s="1634" t="inlineStr">
        <is>
          <t>鋼構結構</t>
        </is>
      </c>
      <c r="C52" s="1825" t="n"/>
      <c r="D52" s="1825" t="n"/>
      <c r="E52" s="1826" t="n"/>
      <c r="F52" s="1548" t="n"/>
      <c r="G52" s="1548" t="inlineStr">
        <is>
          <t>案件/報價(未稅)</t>
        </is>
      </c>
      <c r="H52" s="1825" t="n"/>
      <c r="I52" s="1825" t="n"/>
      <c r="J52" s="1825" t="n"/>
      <c r="K52" s="1826" t="n"/>
    </row>
    <row r="53" ht="12.95" customHeight="1" s="1643">
      <c r="B53" s="1627" t="inlineStr">
        <is>
          <t>公司名稱</t>
        </is>
      </c>
      <c r="C53" s="1167" t="inlineStr">
        <is>
          <t>聯絡人</t>
        </is>
      </c>
      <c r="D53" s="1167" t="inlineStr">
        <is>
          <t>聯絡方式</t>
        </is>
      </c>
      <c r="E53" s="1167" t="inlineStr">
        <is>
          <t>備註</t>
        </is>
      </c>
      <c r="F53" s="1977" t="n"/>
      <c r="G53" s="1578" t="inlineStr">
        <is>
          <t>唐絹</t>
        </is>
      </c>
      <c r="H53" s="1578" t="inlineStr">
        <is>
          <t>長榮商標</t>
        </is>
      </c>
      <c r="I53" s="1578" t="inlineStr">
        <is>
          <t>中興管理中心</t>
        </is>
      </c>
      <c r="J53" s="1578" t="inlineStr">
        <is>
          <t>偉昌</t>
        </is>
      </c>
      <c r="K53" s="109" t="n"/>
    </row>
    <row r="54" ht="12.95" customHeight="1" s="1643" thickBot="1">
      <c r="B54" s="1668" t="n"/>
      <c r="C54" s="1979" t="n"/>
      <c r="D54" s="1979" t="n"/>
      <c r="E54" s="1979" t="n"/>
      <c r="F54" s="1979" t="n"/>
      <c r="G54" s="1579" t="n">
        <v>49.995</v>
      </c>
      <c r="H54" s="1579" t="n">
        <v>19.6</v>
      </c>
      <c r="I54" s="1579" t="n">
        <v>19.6</v>
      </c>
      <c r="J54" s="1579" t="n">
        <v>49.995</v>
      </c>
      <c r="K54" s="110" t="n"/>
    </row>
    <row r="55">
      <c r="B55" s="1620" t="n"/>
      <c r="C55" s="1313" t="inlineStr">
        <is>
          <t>陳大哥</t>
        </is>
      </c>
      <c r="D55" s="1631" t="inlineStr">
        <is>
          <t xml:space="preserve">0955100968
</t>
        </is>
      </c>
      <c r="E55" s="1632" t="inlineStr">
        <is>
          <t>*鋼構+鋼浪板
*鋼構材料費(鋼料原物料-得泰鋼鐵, 唐絹)
*含運輸吊掛</t>
        </is>
      </c>
      <c r="F55" s="1612" t="inlineStr">
        <is>
          <t>鋼構</t>
        </is>
      </c>
      <c r="G55" s="2229" t="inlineStr">
        <is>
          <t>鋁擠</t>
        </is>
      </c>
      <c r="H55" s="2221" t="n">
        <v>317240</v>
      </c>
      <c r="I55" s="2229" t="inlineStr">
        <is>
          <t>鋁擠</t>
        </is>
      </c>
      <c r="J55" s="2229" t="inlineStr">
        <is>
          <t>鋁擠</t>
        </is>
      </c>
      <c r="K55" s="2222" t="n"/>
    </row>
    <row r="56">
      <c r="B56" s="1667" t="n"/>
      <c r="C56" s="1977" t="n"/>
      <c r="D56" s="1977" t="n"/>
      <c r="E56" s="1977" t="n"/>
      <c r="F56" s="1578" t="inlineStr">
        <is>
          <t>二次施工</t>
        </is>
      </c>
      <c r="G56" s="2230" t="n"/>
      <c r="H56" s="2199" t="n">
        <v>113356</v>
      </c>
      <c r="I56" s="2230" t="n"/>
      <c r="J56" s="2230" t="n"/>
      <c r="K56" s="2231" t="n"/>
    </row>
    <row r="57">
      <c r="B57" s="1667" t="n"/>
      <c r="C57" s="1977" t="n"/>
      <c r="D57" s="1977" t="n"/>
      <c r="E57" s="1977" t="n"/>
      <c r="F57" s="1578" t="inlineStr">
        <is>
          <t>小計(第一次)</t>
        </is>
      </c>
      <c r="G57" s="2230" t="n"/>
      <c r="H57" s="2199">
        <f>SUM(H55:H56)</f>
        <v/>
      </c>
      <c r="I57" s="2230" t="n"/>
      <c r="J57" s="2230" t="n"/>
      <c r="K57" s="2231" t="n"/>
    </row>
    <row r="58">
      <c r="B58" s="1667" t="n"/>
      <c r="C58" s="1977" t="n"/>
      <c r="D58" s="1977" t="n"/>
      <c r="E58" s="1977" t="n"/>
      <c r="F58" s="1578" t="inlineStr">
        <is>
          <t>議價1</t>
        </is>
      </c>
      <c r="G58" s="2190" t="n"/>
      <c r="H58" s="2223">
        <f>430000/1.05</f>
        <v/>
      </c>
      <c r="I58" s="2190" t="n"/>
      <c r="J58" s="2190" t="n"/>
      <c r="K58" s="2191" t="n"/>
    </row>
    <row r="59">
      <c r="B59" s="1668" t="n"/>
      <c r="C59" s="1979" t="n"/>
      <c r="D59" s="1979" t="n"/>
      <c r="E59" s="1979" t="n"/>
      <c r="F59" s="1578" t="inlineStr">
        <is>
          <t>議價2</t>
        </is>
      </c>
      <c r="G59" s="2190" t="n"/>
      <c r="H59" s="2190" t="n"/>
      <c r="I59" s="2190" t="n"/>
      <c r="J59" s="2190" t="n"/>
      <c r="K59" s="2191" t="n"/>
    </row>
    <row r="60" ht="16.5" customHeight="1" s="1643">
      <c r="B60" s="1621" t="n"/>
      <c r="C60" s="1153" t="n"/>
      <c r="D60" s="2232" t="n"/>
      <c r="E60" s="2195" t="n"/>
      <c r="F60" s="1578" t="inlineStr">
        <is>
          <t>第一次</t>
        </is>
      </c>
      <c r="G60" s="2230" t="inlineStr">
        <is>
          <t>鋁擠</t>
        </is>
      </c>
      <c r="H60" s="122" t="n"/>
      <c r="I60" s="2230" t="inlineStr">
        <is>
          <t>鋁擠</t>
        </is>
      </c>
      <c r="J60" s="2230" t="inlineStr">
        <is>
          <t>鋁擠</t>
        </is>
      </c>
      <c r="K60" s="2231" t="n"/>
    </row>
    <row r="61">
      <c r="B61" s="1667" t="n"/>
      <c r="C61" s="1977" t="n"/>
      <c r="D61" s="1977" t="n"/>
      <c r="E61" s="1977" t="n"/>
      <c r="F61" s="1578" t="inlineStr">
        <is>
          <t>議價1</t>
        </is>
      </c>
      <c r="G61" s="2190" t="n"/>
      <c r="H61" s="2190" t="n"/>
      <c r="I61" s="2190" t="n"/>
      <c r="J61" s="2190" t="n"/>
      <c r="K61" s="2191" t="n"/>
    </row>
    <row r="62">
      <c r="B62" s="1668" t="n"/>
      <c r="C62" s="1979" t="n"/>
      <c r="D62" s="1979" t="n"/>
      <c r="E62" s="1979" t="n"/>
      <c r="F62" s="1578" t="inlineStr">
        <is>
          <t>議價2</t>
        </is>
      </c>
      <c r="G62" s="2190" t="n"/>
      <c r="H62" s="2190" t="n"/>
      <c r="I62" s="2190" t="n"/>
      <c r="J62" s="2190" t="n"/>
      <c r="K62" s="2191" t="n"/>
    </row>
    <row r="63" ht="15.75" customHeight="1" s="1643">
      <c r="B63" s="1609" t="inlineStr">
        <is>
          <t>預估鋼構成本</t>
        </is>
      </c>
      <c r="C63" s="1687" t="n"/>
      <c r="D63" s="1687" t="n"/>
      <c r="E63" s="1687" t="n"/>
      <c r="F63" s="1688" t="n"/>
      <c r="G63" s="2233" t="n"/>
      <c r="H63" s="2233" t="n">
        <v>336000</v>
      </c>
      <c r="I63" s="2234" t="n"/>
      <c r="J63" s="2233" t="n"/>
      <c r="K63" s="2235" t="n"/>
    </row>
    <row r="64" ht="15.75" customHeight="1" s="1643" thickBot="1">
      <c r="B64" s="1574" t="inlineStr">
        <is>
          <t>預估二次施工成本</t>
        </is>
      </c>
      <c r="C64" s="1888" t="n"/>
      <c r="D64" s="1888" t="n"/>
      <c r="E64" s="1888" t="n"/>
      <c r="F64" s="1889" t="n"/>
      <c r="G64" s="2236" t="n"/>
      <c r="H64" s="2226" t="n">
        <v>120000</v>
      </c>
      <c r="I64" s="2237" t="n"/>
      <c r="J64" s="2226" t="n"/>
      <c r="K64" s="2238" t="n"/>
    </row>
    <row r="65" ht="9" customHeight="1" s="1643">
      <c r="B65" s="102" t="n"/>
      <c r="C65" s="102" t="n"/>
      <c r="D65" s="102" t="n"/>
      <c r="E65" s="102" t="n"/>
      <c r="F65" s="102" t="n"/>
      <c r="G65" s="2228" t="n"/>
      <c r="H65" s="2239" t="n"/>
      <c r="I65" s="2220" t="n"/>
      <c r="J65" s="2228" t="n"/>
      <c r="K65" s="2220" t="n"/>
    </row>
    <row r="66" ht="15.75" customHeight="1" s="1643">
      <c r="B66" s="2240" t="inlineStr">
        <is>
          <t>DC BOX箱+配件</t>
        </is>
      </c>
      <c r="C66" s="1687" t="n"/>
      <c r="D66" s="1687" t="n"/>
      <c r="E66" s="1688" t="n"/>
      <c r="F66" s="2241" t="n"/>
      <c r="G66" s="2241" t="inlineStr">
        <is>
          <t>案件/報價(未稅)</t>
        </is>
      </c>
      <c r="H66" s="1687" t="n"/>
      <c r="I66" s="1687" t="n"/>
      <c r="J66" s="1687" t="n"/>
      <c r="K66" s="1688" t="n"/>
    </row>
    <row r="67" ht="12.95" customHeight="1" s="1643">
      <c r="B67" s="1167" t="inlineStr">
        <is>
          <t>公司名稱</t>
        </is>
      </c>
      <c r="C67" s="1167" t="inlineStr">
        <is>
          <t>聯絡人</t>
        </is>
      </c>
      <c r="D67" s="1167" t="inlineStr">
        <is>
          <t>聯絡方式</t>
        </is>
      </c>
      <c r="E67" s="1167" t="inlineStr">
        <is>
          <t>備註</t>
        </is>
      </c>
      <c r="F67" s="1977" t="n"/>
      <c r="G67" s="2241" t="inlineStr">
        <is>
          <t>澎湖獨立型</t>
        </is>
      </c>
      <c r="H67" s="1578" t="n"/>
      <c r="I67" s="1578" t="n"/>
      <c r="J67" s="1578" t="n"/>
      <c r="K67" s="1578" t="n"/>
    </row>
    <row r="68" ht="12.95" customHeight="1" s="1643">
      <c r="B68" s="1979" t="n"/>
      <c r="C68" s="1979" t="n"/>
      <c r="D68" s="1979" t="n"/>
      <c r="E68" s="1979" t="n"/>
      <c r="F68" s="1979" t="n"/>
      <c r="G68" s="1979" t="n"/>
      <c r="H68" s="1578" t="n"/>
      <c r="I68" s="1578" t="n"/>
      <c r="J68" s="1578" t="n"/>
      <c r="K68" s="1578" t="n"/>
    </row>
    <row r="69">
      <c r="B69" s="2224" t="inlineStr">
        <is>
          <t>日煬</t>
        </is>
      </c>
      <c r="C69" s="2224" t="inlineStr">
        <is>
          <t>沈小姐</t>
        </is>
      </c>
      <c r="D69" s="2224" t="inlineStr">
        <is>
          <t>02-2595-9780 #15
claire@jdauspice.com</t>
        </is>
      </c>
      <c r="E69" s="2195" t="n"/>
      <c r="F69" s="1578" t="inlineStr">
        <is>
          <t>第一次</t>
        </is>
      </c>
      <c r="G69" s="2199" t="n">
        <v>12780</v>
      </c>
      <c r="H69" s="2242" t="n"/>
      <c r="I69" s="2242" t="n"/>
      <c r="J69" s="2242" t="n"/>
      <c r="K69" s="2242" t="n"/>
    </row>
    <row r="70">
      <c r="B70" s="1977" t="n"/>
      <c r="C70" s="1977" t="n"/>
      <c r="D70" s="1977" t="n"/>
      <c r="E70" s="1977" t="n"/>
      <c r="F70" s="1578" t="inlineStr">
        <is>
          <t>議價1</t>
        </is>
      </c>
      <c r="G70" s="2190" t="n"/>
      <c r="H70" s="2190" t="n"/>
      <c r="I70" s="2190" t="n"/>
      <c r="J70" s="2190" t="n"/>
      <c r="K70" s="2190" t="n"/>
    </row>
    <row r="71">
      <c r="B71" s="1979" t="n"/>
      <c r="C71" s="1979" t="n"/>
      <c r="D71" s="1979" t="n"/>
      <c r="E71" s="1979" t="n"/>
      <c r="F71" s="1578" t="inlineStr">
        <is>
          <t>議價2</t>
        </is>
      </c>
      <c r="G71" s="2190" t="n"/>
      <c r="H71" s="2190" t="n"/>
      <c r="I71" s="2190" t="n"/>
      <c r="J71" s="2190" t="n"/>
      <c r="K71" s="2190" t="n"/>
    </row>
    <row r="73" ht="15.75" customHeight="1" s="1643">
      <c r="B73" s="2243" t="inlineStr">
        <is>
          <t>電池</t>
        </is>
      </c>
      <c r="C73" s="1687" t="n"/>
      <c r="D73" s="1687" t="n"/>
      <c r="E73" s="1688" t="n"/>
      <c r="F73" s="2241" t="n"/>
      <c r="G73" s="2241" t="inlineStr">
        <is>
          <t>案件/報價</t>
        </is>
      </c>
      <c r="H73" s="1687" t="n"/>
      <c r="I73" s="1687" t="n"/>
      <c r="J73" s="1687" t="n"/>
      <c r="K73" s="1688" t="n"/>
    </row>
    <row r="74" ht="12.95" customHeight="1" s="1643">
      <c r="B74" s="1167" t="inlineStr">
        <is>
          <t>公司名稱</t>
        </is>
      </c>
      <c r="C74" s="1167" t="inlineStr">
        <is>
          <t>聯絡人</t>
        </is>
      </c>
      <c r="D74" s="1167" t="inlineStr">
        <is>
          <t>聯絡方式</t>
        </is>
      </c>
      <c r="E74" s="1167" t="inlineStr">
        <is>
          <t>備註</t>
        </is>
      </c>
      <c r="F74" s="1977" t="n"/>
      <c r="G74" s="2241" t="inlineStr">
        <is>
          <t>澎湖獨立型/顆</t>
        </is>
      </c>
      <c r="H74" s="1578" t="n"/>
      <c r="I74" s="1578" t="n"/>
      <c r="J74" s="1578" t="n"/>
      <c r="K74" s="1578" t="n"/>
    </row>
    <row r="75" ht="12.95" customHeight="1" s="1643">
      <c r="B75" s="1979" t="n"/>
      <c r="C75" s="1979" t="n"/>
      <c r="D75" s="1979" t="n"/>
      <c r="E75" s="1979" t="n"/>
      <c r="F75" s="1979" t="n"/>
      <c r="G75" s="1979" t="n"/>
      <c r="H75" s="1578" t="n"/>
      <c r="I75" s="1578" t="n"/>
      <c r="J75" s="1578" t="n"/>
      <c r="K75" s="1578" t="n"/>
    </row>
    <row r="76">
      <c r="B76" s="2224" t="inlineStr">
        <is>
          <t>蘭陽能源</t>
        </is>
      </c>
      <c r="C76" s="2224" t="inlineStr">
        <is>
          <t>林淑玲</t>
        </is>
      </c>
      <c r="D76" s="2224" t="inlineStr">
        <is>
          <t>03-2706565#222
0915-991883
sales@lynopower.com</t>
        </is>
      </c>
      <c r="E76" s="2195" t="inlineStr">
        <is>
          <t>250AH 48V</t>
        </is>
      </c>
      <c r="F76" s="1578" t="inlineStr">
        <is>
          <t>第一次</t>
        </is>
      </c>
      <c r="G76" s="2242" t="n">
        <v>395000</v>
      </c>
      <c r="H76" s="2242" t="n"/>
      <c r="I76" s="2242" t="n"/>
      <c r="J76" s="2242" t="n"/>
      <c r="K76" s="2242" t="n"/>
    </row>
    <row r="77">
      <c r="B77" s="1977" t="n"/>
      <c r="C77" s="1977" t="n"/>
      <c r="D77" s="1977" t="n"/>
      <c r="E77" s="1977" t="n"/>
      <c r="F77" s="1578" t="inlineStr">
        <is>
          <t>議價1</t>
        </is>
      </c>
      <c r="G77" s="2190" t="n"/>
      <c r="H77" s="2190" t="n"/>
      <c r="I77" s="2190" t="n"/>
      <c r="J77" s="2190" t="n"/>
      <c r="K77" s="2190" t="n"/>
    </row>
    <row r="78">
      <c r="B78" s="1979" t="n"/>
      <c r="C78" s="1979" t="n"/>
      <c r="D78" s="1979" t="n"/>
      <c r="E78" s="1979" t="n"/>
      <c r="F78" s="1578" t="inlineStr">
        <is>
          <t>議價2</t>
        </is>
      </c>
      <c r="G78" s="2190" t="n"/>
      <c r="H78" s="2190" t="n"/>
      <c r="I78" s="2190" t="n"/>
      <c r="J78" s="2190" t="n"/>
      <c r="K78" s="2190" t="n"/>
    </row>
    <row r="79">
      <c r="B79" s="2224" t="inlineStr">
        <is>
          <t>進翔科技
股份有限公司</t>
        </is>
      </c>
      <c r="C79" s="2224" t="inlineStr">
        <is>
          <t>桂慧齡</t>
        </is>
      </c>
      <c r="D79" s="2224" t="inlineStr">
        <is>
          <t xml:space="preserve">03-2631212 #135
0939-007908
veronique.kuei@amitatech.com </t>
        </is>
      </c>
      <c r="E79" s="2195" t="inlineStr">
        <is>
          <t>250AH 48V</t>
        </is>
      </c>
      <c r="F79" s="1578" t="inlineStr">
        <is>
          <t>第一次</t>
        </is>
      </c>
      <c r="G79" s="2202" t="inlineStr">
        <is>
          <t>已寄資料,尚未取得報價</t>
        </is>
      </c>
      <c r="H79" s="2242" t="n"/>
      <c r="I79" s="2242" t="n"/>
      <c r="J79" s="2242" t="n"/>
      <c r="K79" s="2242" t="n"/>
    </row>
    <row r="80">
      <c r="B80" s="1977" t="n"/>
      <c r="C80" s="1977" t="n"/>
      <c r="D80" s="1977" t="n"/>
      <c r="E80" s="1977" t="n"/>
      <c r="F80" s="1578" t="inlineStr">
        <is>
          <t>議價1</t>
        </is>
      </c>
      <c r="G80" s="2190" t="n"/>
      <c r="H80" s="2190" t="n"/>
      <c r="I80" s="2190" t="n"/>
      <c r="J80" s="2190" t="n"/>
      <c r="K80" s="2190" t="n"/>
    </row>
    <row r="81">
      <c r="B81" s="1979" t="n"/>
      <c r="C81" s="1979" t="n"/>
      <c r="D81" s="1979" t="n"/>
      <c r="E81" s="1979" t="n"/>
      <c r="F81" s="1578" t="inlineStr">
        <is>
          <t>議價2</t>
        </is>
      </c>
      <c r="G81" s="2190" t="n"/>
      <c r="H81" s="2190" t="n"/>
      <c r="I81" s="2190" t="n"/>
      <c r="J81" s="2190" t="n"/>
      <c r="K81" s="2190" t="n"/>
    </row>
    <row r="82" ht="15" customHeight="1" s="1643"/>
    <row r="83" ht="16.5" customHeight="1" s="1643">
      <c r="B83" s="2244" t="inlineStr">
        <is>
          <t>獨立型逆變器</t>
        </is>
      </c>
      <c r="C83" s="1687" t="n"/>
      <c r="D83" s="1687" t="n"/>
      <c r="E83" s="1688" t="n"/>
      <c r="F83" s="2241" t="n"/>
      <c r="G83" s="2241" t="inlineStr">
        <is>
          <t>案件/報價</t>
        </is>
      </c>
      <c r="H83" s="1687" t="n"/>
      <c r="I83" s="1687" t="n"/>
      <c r="J83" s="1687" t="n"/>
      <c r="K83" s="1688" t="n"/>
    </row>
    <row r="84" ht="12.95" customHeight="1" s="1643">
      <c r="B84" s="1167" t="inlineStr">
        <is>
          <t>公司名稱</t>
        </is>
      </c>
      <c r="C84" s="1167" t="inlineStr">
        <is>
          <t>聯絡人</t>
        </is>
      </c>
      <c r="D84" s="1167" t="inlineStr">
        <is>
          <t>聯絡方式</t>
        </is>
      </c>
      <c r="E84" s="1167" t="inlineStr">
        <is>
          <t>備註</t>
        </is>
      </c>
      <c r="F84" s="1977" t="n"/>
      <c r="G84" s="1578" t="inlineStr">
        <is>
          <t>澎湖獨立型</t>
        </is>
      </c>
      <c r="H84" s="1578" t="n"/>
      <c r="I84" s="1578" t="n"/>
      <c r="J84" s="1578" t="n"/>
      <c r="K84" s="1578" t="n"/>
    </row>
    <row r="85" ht="12.95" customHeight="1" s="1643">
      <c r="B85" s="1979" t="n"/>
      <c r="C85" s="1979" t="n"/>
      <c r="D85" s="1979" t="n"/>
      <c r="E85" s="1979" t="n"/>
      <c r="F85" s="1979" t="n"/>
      <c r="G85" s="1578" t="inlineStr">
        <is>
          <t>10KW-3台</t>
        </is>
      </c>
      <c r="H85" s="1578" t="n"/>
      <c r="I85" s="1578" t="n"/>
      <c r="J85" s="1578" t="n"/>
      <c r="K85" s="1578" t="n"/>
    </row>
    <row r="86">
      <c r="B86" s="2224" t="inlineStr">
        <is>
          <t>先啟科技</t>
        </is>
      </c>
      <c r="C86" s="2224" t="inlineStr">
        <is>
          <t>蘇子雲</t>
        </is>
      </c>
      <c r="D86" s="2224" t="inlineStr">
        <is>
          <t>0930-599834
soeasy@prospect-technology.com</t>
        </is>
      </c>
      <c r="E86" s="2195" t="n"/>
      <c r="F86" s="1578" t="inlineStr">
        <is>
          <t>第一次</t>
        </is>
      </c>
      <c r="G86" s="2199" t="n">
        <v>285000</v>
      </c>
      <c r="H86" s="2242" t="n"/>
      <c r="I86" s="2242" t="n"/>
      <c r="J86" s="2242" t="n"/>
      <c r="K86" s="2242" t="n"/>
    </row>
    <row r="87">
      <c r="B87" s="1977" t="n"/>
      <c r="C87" s="1977" t="n"/>
      <c r="D87" s="1977" t="n"/>
      <c r="E87" s="1977" t="n"/>
      <c r="F87" s="1578" t="inlineStr">
        <is>
          <t>議價1</t>
        </is>
      </c>
      <c r="G87" s="2190" t="n"/>
      <c r="H87" s="2190" t="n"/>
      <c r="I87" s="2190" t="n"/>
      <c r="J87" s="2190" t="n"/>
      <c r="K87" s="2190" t="n"/>
    </row>
    <row r="88">
      <c r="B88" s="1979" t="n"/>
      <c r="C88" s="1979" t="n"/>
      <c r="D88" s="1979" t="n"/>
      <c r="E88" s="1979" t="n"/>
      <c r="F88" s="1578" t="inlineStr">
        <is>
          <t>議價2</t>
        </is>
      </c>
      <c r="G88" s="2190" t="n"/>
      <c r="H88" s="2190" t="n"/>
      <c r="I88" s="2190" t="n"/>
      <c r="J88" s="2190" t="n"/>
      <c r="K88" s="2190" t="n"/>
    </row>
  </sheetData>
  <mergeCells count="118">
    <mergeCell ref="C30:C31"/>
    <mergeCell ref="C21:C23"/>
    <mergeCell ref="B7:F7"/>
    <mergeCell ref="B3:F3"/>
    <mergeCell ref="C10:C11"/>
    <mergeCell ref="C32:C34"/>
    <mergeCell ref="E10:E11"/>
    <mergeCell ref="E32:E34"/>
    <mergeCell ref="B27:F27"/>
    <mergeCell ref="F9:F11"/>
    <mergeCell ref="D43:D49"/>
    <mergeCell ref="B2:F2"/>
    <mergeCell ref="E74:E75"/>
    <mergeCell ref="C41:C42"/>
    <mergeCell ref="D55:D59"/>
    <mergeCell ref="G74:G75"/>
    <mergeCell ref="F29:F31"/>
    <mergeCell ref="C24:C26"/>
    <mergeCell ref="C18:C20"/>
    <mergeCell ref="E18:E20"/>
    <mergeCell ref="B12:B14"/>
    <mergeCell ref="B21:B23"/>
    <mergeCell ref="D21:D23"/>
    <mergeCell ref="E60:E62"/>
    <mergeCell ref="E41:E42"/>
    <mergeCell ref="C35:C37"/>
    <mergeCell ref="G73:K73"/>
    <mergeCell ref="E35:E37"/>
    <mergeCell ref="D10:D11"/>
    <mergeCell ref="B6:F6"/>
    <mergeCell ref="F66:F68"/>
    <mergeCell ref="C55:C59"/>
    <mergeCell ref="G9:K9"/>
    <mergeCell ref="B40:E40"/>
    <mergeCell ref="G52:K52"/>
    <mergeCell ref="C12:C14"/>
    <mergeCell ref="E86:E88"/>
    <mergeCell ref="F52:F54"/>
    <mergeCell ref="B67:B68"/>
    <mergeCell ref="B35:B37"/>
    <mergeCell ref="C69:C71"/>
    <mergeCell ref="D35:D37"/>
    <mergeCell ref="E12:E14"/>
    <mergeCell ref="E21:E23"/>
    <mergeCell ref="B76:B78"/>
    <mergeCell ref="B53:B54"/>
    <mergeCell ref="B84:B85"/>
    <mergeCell ref="B66:E66"/>
    <mergeCell ref="D53:D54"/>
    <mergeCell ref="D69:D71"/>
    <mergeCell ref="C15:C17"/>
    <mergeCell ref="E24:E26"/>
    <mergeCell ref="C79:C81"/>
    <mergeCell ref="E79:E81"/>
    <mergeCell ref="B30:B31"/>
    <mergeCell ref="D30:D31"/>
    <mergeCell ref="D86:D88"/>
    <mergeCell ref="B43:B49"/>
    <mergeCell ref="C74:C75"/>
    <mergeCell ref="B5:F5"/>
    <mergeCell ref="B29:E29"/>
    <mergeCell ref="D32:D34"/>
    <mergeCell ref="E67:E68"/>
    <mergeCell ref="B4:F4"/>
    <mergeCell ref="G67:G68"/>
    <mergeCell ref="B15:B17"/>
    <mergeCell ref="E76:E78"/>
    <mergeCell ref="B24:B26"/>
    <mergeCell ref="D24:D26"/>
    <mergeCell ref="D18:D20"/>
    <mergeCell ref="C84:C85"/>
    <mergeCell ref="E84:E85"/>
    <mergeCell ref="C43:C49"/>
    <mergeCell ref="F73:F75"/>
    <mergeCell ref="D60:D62"/>
    <mergeCell ref="G66:K66"/>
    <mergeCell ref="D41:D42"/>
    <mergeCell ref="C86:C88"/>
    <mergeCell ref="E30:E31"/>
    <mergeCell ref="G83:K83"/>
    <mergeCell ref="E43:E49"/>
    <mergeCell ref="B52:E52"/>
    <mergeCell ref="E55:E59"/>
    <mergeCell ref="G29:K29"/>
    <mergeCell ref="B86:B88"/>
    <mergeCell ref="B63:F63"/>
    <mergeCell ref="E15:E17"/>
    <mergeCell ref="B50:F50"/>
    <mergeCell ref="C60:C62"/>
    <mergeCell ref="G40:K40"/>
    <mergeCell ref="B9:E9"/>
    <mergeCell ref="D15:D17"/>
    <mergeCell ref="B83:E83"/>
    <mergeCell ref="D12:D14"/>
    <mergeCell ref="C76:C78"/>
    <mergeCell ref="B55:B59"/>
    <mergeCell ref="B79:B81"/>
    <mergeCell ref="B10:B11"/>
    <mergeCell ref="B32:B34"/>
    <mergeCell ref="D79:D81"/>
    <mergeCell ref="C67:C68"/>
    <mergeCell ref="F40:F42"/>
    <mergeCell ref="B38:F38"/>
    <mergeCell ref="B74:B75"/>
    <mergeCell ref="D74:D75"/>
    <mergeCell ref="D67:D68"/>
    <mergeCell ref="B18:B20"/>
    <mergeCell ref="C53:C54"/>
    <mergeCell ref="E53:E54"/>
    <mergeCell ref="F83:F85"/>
    <mergeCell ref="E69:E71"/>
    <mergeCell ref="B64:F64"/>
    <mergeCell ref="B73:E73"/>
    <mergeCell ref="B60:B62"/>
    <mergeCell ref="D76:D78"/>
    <mergeCell ref="B41:B42"/>
    <mergeCell ref="B69:B71"/>
    <mergeCell ref="D84:D85"/>
  </mergeCells>
  <hyperlinks>
    <hyperlink xmlns:r="http://schemas.openxmlformats.org/officeDocument/2006/relationships" ref="G4" display="苗栗-唐絹\唐絹-完整用印合約.pdf" r:id="rId1"/>
    <hyperlink xmlns:r="http://schemas.openxmlformats.org/officeDocument/2006/relationships" ref="I4" display="苗栗-中興工業區管理中心\管理中心-完整用印合約.pdf" r:id="rId2"/>
    <hyperlink xmlns:r="http://schemas.openxmlformats.org/officeDocument/2006/relationships" ref="J4" display="苗栗-偉昌\偉昌-完整用印合約.pdf" r:id="rId3"/>
    <hyperlink xmlns:r="http://schemas.openxmlformats.org/officeDocument/2006/relationships" ref="G5" display="苗栗-唐絹\系統分析V3(實際發生)_(唐娟50KW_V0)_ by Joey20151008_Release.xlsx" r:id="rId4"/>
    <hyperlink xmlns:r="http://schemas.openxmlformats.org/officeDocument/2006/relationships" ref="H5" display="新竹-長榮商標\新竹-長榮商標\長榮商標(實際發生) ACPV投報分析 19.6KW 20150316_V0 by brook.xlsx" r:id="rId5"/>
    <hyperlink xmlns:r="http://schemas.openxmlformats.org/officeDocument/2006/relationships" ref="I5" display="苗栗-中興工業區管理中心\系統分析V2(實際發生)_(苗栗中心工業區管理中心V2_245W_19.6KW)_ by Joey20150427.xlsx" r:id="rId6"/>
    <hyperlink xmlns:r="http://schemas.openxmlformats.org/officeDocument/2006/relationships" ref="J5" display="苗栗-偉昌\20150818_偉昌機電by Joey\系統分析V3(實際發生)_(偉昌50KW_平鋪式_V0)_ by Joey20151008_Release.xlsx" r:id="rId7"/>
    <hyperlink xmlns:r="http://schemas.openxmlformats.org/officeDocument/2006/relationships" ref="G12" display="苗栗-唐絹\山毅電力系統施作報價\山毅-唐絹公司49.995KW系統設備及施工報價單.pdf" r:id="rId8"/>
    <hyperlink xmlns:r="http://schemas.openxmlformats.org/officeDocument/2006/relationships" ref="H12" display="新竹-長榮商標\山毅_電力系統施作報價\山毅-長榮商標19.6KW系統設備及施工報價單.pdf" r:id="rId9"/>
    <hyperlink xmlns:r="http://schemas.openxmlformats.org/officeDocument/2006/relationships" ref="G15" display="苗栗-唐絹\瑞發電力系統報價\唐娟及偉昌報價單20151008.pdf" r:id="rId10"/>
    <hyperlink xmlns:r="http://schemas.openxmlformats.org/officeDocument/2006/relationships" ref="H15" display="新竹-長榮商標\瑞發_電力系統報價\新竹長榮商標太陽光電機報價單1040921.pdf" r:id="rId11"/>
    <hyperlink xmlns:r="http://schemas.openxmlformats.org/officeDocument/2006/relationships" ref="J15" display="苗栗-偉昌\瑞發機電工程報價\唐娟及偉昌報價單20151008.pdf" r:id="rId12"/>
    <hyperlink xmlns:r="http://schemas.openxmlformats.org/officeDocument/2006/relationships" ref="H18" display="已寄資料,尚未取得報價" r:id="rId13"/>
    <hyperlink xmlns:r="http://schemas.openxmlformats.org/officeDocument/2006/relationships" ref="I18" display="已寄資料,尚未取得報價" r:id="rId14"/>
    <hyperlink xmlns:r="http://schemas.openxmlformats.org/officeDocument/2006/relationships" ref="G27" display="苗栗-唐絹\系統分析V3_(唐娟50KW_V0)_ by Joey20150814_Release.xlsx" r:id="rId15"/>
    <hyperlink xmlns:r="http://schemas.openxmlformats.org/officeDocument/2006/relationships" ref="H27" display="新竹-長榮商標\新竹-長榮商標\長榮商標 ACPV投報分析 19.6KW 20150316_V0 by brook.xlsx" r:id="rId16"/>
    <hyperlink xmlns:r="http://schemas.openxmlformats.org/officeDocument/2006/relationships" ref="I27" display="苗栗-中興工業區管理中心\系統分析V2_(苗栗中心工業區管理中心V2_245W_19.6KW)_ by Joey20150427.xlsx" r:id="rId17"/>
    <hyperlink xmlns:r="http://schemas.openxmlformats.org/officeDocument/2006/relationships" ref="J27" display="苗栗-偉昌\20150818_偉昌機電by Joey\系統分析V3_(偉昌50KW_平鋪式_V0)_ by Joey20150818_Release.xlsx" r:id="rId18"/>
    <hyperlink xmlns:r="http://schemas.openxmlformats.org/officeDocument/2006/relationships" ref="G32" display="苗栗-唐絹\結構資料\推進_結構圖及報價_Final_20150915\PI15100801_AT370_唐捐.pdf" r:id="rId19"/>
    <hyperlink xmlns:r="http://schemas.openxmlformats.org/officeDocument/2006/relationships" ref="H32" display="新竹-長榮商標\結構\鋼構\PI15102204_AT370_長榮商標.pdf" r:id="rId20"/>
    <hyperlink xmlns:r="http://schemas.openxmlformats.org/officeDocument/2006/relationships" ref="I32" display="苗栗-中興工業區管理中心\推進結構資料\PI15102305_AT370_中興工業區管理中心.pdf" r:id="rId21"/>
    <hyperlink xmlns:r="http://schemas.openxmlformats.org/officeDocument/2006/relationships" ref="J32" display="苗栗-偉昌\20151007_推進結構圖\PI15100802_AT370_偉昌電氣.pdf" r:id="rId22"/>
    <hyperlink xmlns:r="http://schemas.openxmlformats.org/officeDocument/2006/relationships" ref="H33" display="新竹-長榮商標\結構\鋁擠報價回簽.pdf" r:id="rId23"/>
    <hyperlink xmlns:r="http://schemas.openxmlformats.org/officeDocument/2006/relationships" ref="I33" display="苗栗-中興工業區管理中心\推進結構資料\報價回簽.pdf" r:id="rId24"/>
    <hyperlink xmlns:r="http://schemas.openxmlformats.org/officeDocument/2006/relationships" ref="H35" display="新竹-長榮商標\結構\Falon_長榮商標結構及報價\150923長榮商標鋁棚報價單.pdf" r:id="rId25"/>
    <hyperlink xmlns:r="http://schemas.openxmlformats.org/officeDocument/2006/relationships" ref="G38" display="苗栗-唐絹\系統分析V3_(唐娟50KW_V0)_ by Joey20150814_Release.xlsx" r:id="rId26"/>
    <hyperlink xmlns:r="http://schemas.openxmlformats.org/officeDocument/2006/relationships" ref="H38" display="新竹-長榮商標\新竹-長榮商標\長榮商標 ACPV投報分析 19.6KW 20150316_V0 by brook.xlsx" r:id="rId27"/>
    <hyperlink xmlns:r="http://schemas.openxmlformats.org/officeDocument/2006/relationships" ref="I38" display="苗栗-中興工業區管理中心\系統分析V2_(苗栗中心工業區管理中心V2_245W_19.6KW)_ by Joey20150427.xlsx" r:id="rId28"/>
    <hyperlink xmlns:r="http://schemas.openxmlformats.org/officeDocument/2006/relationships" ref="J38" display="苗栗-偉昌\20150818_偉昌機電by Joey\系統分析V3_(偉昌50KW_平鋪式_V0)_ by Joey20150818_Release.xlsx" r:id="rId29"/>
    <hyperlink xmlns:r="http://schemas.openxmlformats.org/officeDocument/2006/relationships" ref="H43" display="新竹-長榮商標\箱體報價\信邦電子-新竹長榮商標案 1041020.pdf" r:id="rId30"/>
    <hyperlink xmlns:r="http://schemas.openxmlformats.org/officeDocument/2006/relationships" ref="I43" display="苗栗-中興工業區管理中心\箱體報價\信邦電子-中興工業區管理中心案 1041020.pdf" r:id="rId31"/>
    <hyperlink xmlns:r="http://schemas.openxmlformats.org/officeDocument/2006/relationships" ref="H44" display="新竹-長榮商標\箱體報價\信邦電子-新竹長榮商標案 1041020.pdf" r:id="rId32"/>
    <hyperlink xmlns:r="http://schemas.openxmlformats.org/officeDocument/2006/relationships" ref="I44" display="苗栗-中興工業區管理中心\箱體報價\信邦電子-中興工業區管理中心案 1041020.pdf" r:id="rId33"/>
    <hyperlink xmlns:r="http://schemas.openxmlformats.org/officeDocument/2006/relationships" ref="H45" display="新竹-長榮商標\箱體報價\信邦電子-新竹長榮商標案 1041020.pdf" r:id="rId34"/>
    <hyperlink xmlns:r="http://schemas.openxmlformats.org/officeDocument/2006/relationships" ref="I45" display="苗栗-中興工業區管理中心\箱體報價\信邦電子-中興工業區管理中心案 1041020.pdf" r:id="rId35"/>
    <hyperlink xmlns:r="http://schemas.openxmlformats.org/officeDocument/2006/relationships" ref="H46" display="新竹-長榮商標\箱體報價\信邦電子-新竹長榮商標案 1041020.pdf" r:id="rId36"/>
    <hyperlink xmlns:r="http://schemas.openxmlformats.org/officeDocument/2006/relationships" ref="I46" display="苗栗-中興工業區管理中心\箱體報價\信邦電子-中興工業區管理中心案 1041020.pdf" r:id="rId37"/>
    <hyperlink xmlns:r="http://schemas.openxmlformats.org/officeDocument/2006/relationships" ref="H48" display="新竹-長榮商標\箱體報價\報價回簽.pdf" r:id="rId38"/>
    <hyperlink xmlns:r="http://schemas.openxmlformats.org/officeDocument/2006/relationships" ref="I48" display="苗栗-中興工業區管理中心\箱體報價\報價回簽.pdf" r:id="rId39"/>
    <hyperlink xmlns:r="http://schemas.openxmlformats.org/officeDocument/2006/relationships" ref="H50" display="新竹-長榮商標\新竹-長榮商標\長榮商標 ACPV投報分析 19.6KW 20150316_V0 by brook.xlsx" r:id="rId40"/>
    <hyperlink xmlns:r="http://schemas.openxmlformats.org/officeDocument/2006/relationships" ref="I50" display="苗栗-中興工業區管理中心\系統分析V2_(苗栗中心工業區管理中心V2_245W_19.6KW)_%20by%20Joey20150427.xlsx" r:id="rId41"/>
    <hyperlink xmlns:r="http://schemas.openxmlformats.org/officeDocument/2006/relationships" ref="H55" display="新竹-長榮商標\結構\鋼構\長隆鋼構報價1.pdf" r:id="rId42"/>
    <hyperlink xmlns:r="http://schemas.openxmlformats.org/officeDocument/2006/relationships" ref="H56" display="新竹-長榮商標\結構\鋼構\img-X21154110.pdf" r:id="rId43"/>
    <hyperlink xmlns:r="http://schemas.openxmlformats.org/officeDocument/2006/relationships" ref="H58" display="新竹-長榮商標\結構\鋼構\報價回傳.pdf" r:id="rId44"/>
    <hyperlink xmlns:r="http://schemas.openxmlformats.org/officeDocument/2006/relationships" ref="H63" display="新竹-長榮商標\新竹-長榮商標\長榮商標 ACPV投報分析 19.6KW 20150316_V0 by brook.xlsx" r:id="rId45"/>
    <hyperlink xmlns:r="http://schemas.openxmlformats.org/officeDocument/2006/relationships" ref="G69" display="澎湖-力城桶盤嶼\日煬_DC BOX報價\桶盤嶼信邦電子報價單104.09.17-.pdf" r:id="rId46"/>
    <hyperlink xmlns:r="http://schemas.openxmlformats.org/officeDocument/2006/relationships" ref="G86" display="澎湖-力城桶盤嶼\先啟科技_獨立型逆變器報價\澎湖獨立型_獨立型逆變器SP10000.pdf" r:id="rId47"/>
  </hyperlinks>
  <pageMargins left="0.7" right="0.7" top="0.75" bottom="0.75" header="0.3" footer="0.3"/>
  <pageSetup orientation="portrait" paperSize="9" scale="50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28"/>
  <sheetViews>
    <sheetView zoomScale="70" zoomScaleNormal="70" workbookViewId="0">
      <selection activeCell="D10" sqref="D10"/>
    </sheetView>
  </sheetViews>
  <sheetFormatPr baseColWidth="8" defaultRowHeight="16.5"/>
  <cols>
    <col width="13" bestFit="1" customWidth="1" style="1643" min="1" max="1"/>
    <col width="6.5" bestFit="1" customWidth="1" style="1643" min="2" max="2"/>
    <col width="5.5" bestFit="1" customWidth="1" style="1643" min="3" max="3"/>
    <col width="9.5" bestFit="1" customWidth="1" style="1321" min="4" max="4"/>
    <col width="8.5" bestFit="1" customWidth="1" style="1643" min="5" max="5"/>
    <col width="15.375" bestFit="1" customWidth="1" style="1643" min="6" max="6"/>
    <col width="1.25" customWidth="1" style="1643" min="7" max="7"/>
    <col width="5.5" bestFit="1" customWidth="1" style="1643" min="8" max="10"/>
    <col width="8.5" bestFit="1" customWidth="1" style="1643" min="12" max="12"/>
    <col width="15.375" bestFit="1" customWidth="1" style="1643" min="13" max="13"/>
    <col width="1" customWidth="1" style="1643" min="14" max="14"/>
    <col width="7.5" bestFit="1" customWidth="1" style="1643" min="15" max="15"/>
    <col width="1" customWidth="1" style="1643" min="17" max="17"/>
    <col width="7.5" bestFit="1" customWidth="1" style="1643" min="18" max="18"/>
    <col width="6.5" bestFit="1" customWidth="1" style="1643" min="19" max="19"/>
    <col width="5.5" bestFit="1" customWidth="1" style="1643" min="20" max="20"/>
    <col width="9.5" bestFit="1" customWidth="1" style="1643" min="21" max="21"/>
    <col width="12.25" bestFit="1" customWidth="1" style="1643" min="23" max="23"/>
  </cols>
  <sheetData>
    <row r="1">
      <c r="A1" s="0" t="inlineStr">
        <is>
          <t>尺寸</t>
        </is>
      </c>
      <c r="B1" s="0" t="inlineStr">
        <is>
          <t>kg/m</t>
        </is>
      </c>
    </row>
    <row r="2">
      <c r="A2" s="0" t="inlineStr">
        <is>
          <t>H200*100</t>
        </is>
      </c>
      <c r="B2" s="0" t="n">
        <v>20.9</v>
      </c>
    </row>
    <row r="3">
      <c r="A3" s="0" t="inlineStr">
        <is>
          <t>H150*75</t>
        </is>
      </c>
      <c r="B3" s="0" t="n">
        <v>14</v>
      </c>
    </row>
    <row r="4">
      <c r="A4" s="0" t="inlineStr">
        <is>
          <t>C150*65*3.2t</t>
        </is>
      </c>
      <c r="B4" s="0" t="n">
        <v>7.51</v>
      </c>
    </row>
    <row r="5">
      <c r="A5" s="0" t="inlineStr">
        <is>
          <t>C150*65*2.3t</t>
        </is>
      </c>
      <c r="B5" s="0" t="n">
        <v>5.5</v>
      </c>
    </row>
    <row r="7">
      <c r="A7" s="1014" t="inlineStr">
        <is>
          <t>H鋼</t>
        </is>
      </c>
      <c r="B7" s="2245">
        <f>A3</f>
        <v/>
      </c>
      <c r="C7" s="1647" t="n"/>
      <c r="D7" s="1647" t="n"/>
      <c r="E7" s="1647" t="n"/>
      <c r="F7" s="1648" t="n"/>
      <c r="G7" s="1321" t="n"/>
      <c r="H7" s="1014" t="inlineStr">
        <is>
          <t>C鋼</t>
        </is>
      </c>
      <c r="I7" s="2245">
        <f>A5</f>
        <v/>
      </c>
      <c r="J7" s="1647" t="n"/>
      <c r="K7" s="1647" t="n"/>
      <c r="L7" s="1647" t="n"/>
      <c r="M7" s="1648" t="n"/>
      <c r="N7" s="1321" t="n"/>
      <c r="O7" s="1014" t="inlineStr">
        <is>
          <t>水泥墩</t>
        </is>
      </c>
      <c r="P7" s="1639" t="n"/>
      <c r="Q7" s="1321" t="n"/>
      <c r="R7" s="1015" t="inlineStr">
        <is>
          <t>菱形網</t>
        </is>
      </c>
      <c r="S7" s="2245" t="n"/>
      <c r="T7" s="1647" t="n"/>
      <c r="U7" s="1647" t="n"/>
      <c r="V7" s="1648" t="n"/>
      <c r="W7" s="1639" t="inlineStr">
        <is>
          <t>400*2400</t>
        </is>
      </c>
    </row>
    <row r="8">
      <c r="A8" s="1014" t="n"/>
      <c r="B8" s="1016" t="inlineStr">
        <is>
          <t>長度</t>
        </is>
      </c>
      <c r="C8" s="1016" t="inlineStr">
        <is>
          <t>數量</t>
        </is>
      </c>
      <c r="D8" s="1017" t="inlineStr">
        <is>
          <t>單位重量</t>
        </is>
      </c>
      <c r="E8" s="1639" t="inlineStr">
        <is>
          <t>總重量</t>
        </is>
      </c>
      <c r="F8" s="1639" t="inlineStr">
        <is>
          <t>全部總和(重量)</t>
        </is>
      </c>
      <c r="G8" s="1321" t="n"/>
      <c r="H8" s="1014" t="n"/>
      <c r="I8" s="1016" t="inlineStr">
        <is>
          <t>長度</t>
        </is>
      </c>
      <c r="J8" s="1016" t="inlineStr">
        <is>
          <t>數量</t>
        </is>
      </c>
      <c r="K8" s="1017" t="inlineStr">
        <is>
          <t>單位重量</t>
        </is>
      </c>
      <c r="L8" s="1639" t="inlineStr">
        <is>
          <t>總重量</t>
        </is>
      </c>
      <c r="M8" s="1639" t="inlineStr">
        <is>
          <t>全部總和(重量)</t>
        </is>
      </c>
      <c r="N8" s="1321" t="n"/>
      <c r="O8" s="1014" t="n"/>
      <c r="P8" s="1639" t="inlineStr">
        <is>
          <t>數量</t>
        </is>
      </c>
      <c r="Q8" s="1321" t="n"/>
      <c r="R8" s="1015" t="n"/>
      <c r="S8" s="1639" t="inlineStr">
        <is>
          <t>長度</t>
        </is>
      </c>
      <c r="T8" s="1639" t="inlineStr">
        <is>
          <t>數量</t>
        </is>
      </c>
      <c r="U8" s="1639" t="inlineStr">
        <is>
          <t>總數長度</t>
        </is>
      </c>
      <c r="V8" s="1639" t="inlineStr">
        <is>
          <t>總和</t>
        </is>
      </c>
      <c r="W8" s="1639" t="inlineStr">
        <is>
          <t>張數</t>
        </is>
      </c>
    </row>
    <row r="9">
      <c r="A9" s="1018" t="inlineStr">
        <is>
          <t>#001</t>
        </is>
      </c>
      <c r="B9" s="1009" t="n">
        <v>3.5</v>
      </c>
      <c r="C9" s="1010" t="n">
        <v>258</v>
      </c>
      <c r="D9" s="1500" t="n">
        <v>14</v>
      </c>
      <c r="E9" s="1009">
        <f>B9*C9*D9</f>
        <v/>
      </c>
      <c r="F9" s="2111">
        <f>SUM(E9:E28)</f>
        <v/>
      </c>
      <c r="G9" s="1321" t="n"/>
      <c r="H9" s="1014" t="inlineStr">
        <is>
          <t>#001</t>
        </is>
      </c>
      <c r="I9" s="1010" t="n">
        <v>8.300000000000001</v>
      </c>
      <c r="J9" s="1010" t="n">
        <v>586</v>
      </c>
      <c r="K9" s="976" t="n">
        <v>5.5</v>
      </c>
      <c r="L9" s="1009">
        <f>I9*J9*K9</f>
        <v/>
      </c>
      <c r="M9" s="2111">
        <f>SUM(L9:L12)</f>
        <v/>
      </c>
      <c r="N9" s="1321" t="n"/>
      <c r="O9" s="1014" t="inlineStr">
        <is>
          <t>#001</t>
        </is>
      </c>
      <c r="P9" s="1010">
        <f>SUM(C9:C11)</f>
        <v/>
      </c>
      <c r="Q9" s="1321" t="n"/>
      <c r="R9" s="1015" t="inlineStr">
        <is>
          <t>#001</t>
        </is>
      </c>
      <c r="S9" s="1010" t="n">
        <v>32.2</v>
      </c>
      <c r="T9" s="1010" t="n">
        <v>1</v>
      </c>
      <c r="U9" s="1010">
        <f>S9*T9</f>
        <v/>
      </c>
      <c r="V9" s="2111">
        <f>SUM(U9:U19)</f>
        <v/>
      </c>
      <c r="W9" s="1020">
        <f>ROUNDUP(U9/2.4,0)+1</f>
        <v/>
      </c>
    </row>
    <row r="10">
      <c r="A10" s="1018" t="inlineStr">
        <is>
          <t>#002</t>
        </is>
      </c>
      <c r="B10" s="1009" t="n">
        <v>3.9</v>
      </c>
      <c r="C10" s="1010" t="n">
        <v>356</v>
      </c>
      <c r="D10" s="1500" t="n">
        <v>14</v>
      </c>
      <c r="E10" s="1009">
        <f>B10*C10*D10</f>
        <v/>
      </c>
      <c r="F10" s="2098" t="n"/>
      <c r="G10" s="1321" t="n"/>
      <c r="H10" s="1014" t="inlineStr">
        <is>
          <t>#002</t>
        </is>
      </c>
      <c r="I10" s="1010" t="n">
        <v>7.8</v>
      </c>
      <c r="J10" s="1010" t="n">
        <v>518</v>
      </c>
      <c r="K10" s="976" t="n">
        <v>5.5</v>
      </c>
      <c r="L10" s="1009">
        <f>I10*J10*K10</f>
        <v/>
      </c>
      <c r="M10" s="2098" t="n"/>
      <c r="N10" s="1321" t="n"/>
      <c r="O10" s="1321" t="n"/>
      <c r="P10" s="1321" t="n"/>
      <c r="Q10" s="1321" t="n"/>
      <c r="R10" s="1015" t="inlineStr">
        <is>
          <t>#002</t>
        </is>
      </c>
      <c r="S10" s="1010" t="n">
        <v>12</v>
      </c>
      <c r="T10" s="1010" t="n">
        <v>1</v>
      </c>
      <c r="U10" s="1010">
        <f>S10*T10</f>
        <v/>
      </c>
      <c r="V10" s="2098" t="n"/>
      <c r="W10" s="1020">
        <f>ROUNDUP(U10/2.4,0)+1</f>
        <v/>
      </c>
    </row>
    <row r="11">
      <c r="A11" s="1018" t="inlineStr">
        <is>
          <t>#003</t>
        </is>
      </c>
      <c r="B11" s="1009" t="n">
        <v>4.2</v>
      </c>
      <c r="C11" s="1010" t="n">
        <v>196</v>
      </c>
      <c r="D11" s="1500" t="n">
        <v>14</v>
      </c>
      <c r="E11" s="1009">
        <f>B11*C11*D11</f>
        <v/>
      </c>
      <c r="F11" s="2098" t="n"/>
      <c r="G11" s="1321" t="n"/>
      <c r="H11" s="1014" t="inlineStr">
        <is>
          <t>#003</t>
        </is>
      </c>
      <c r="I11" s="1010" t="n">
        <v>4.5</v>
      </c>
      <c r="J11" s="1010" t="n">
        <v>12</v>
      </c>
      <c r="K11" s="976" t="n">
        <v>5.5</v>
      </c>
      <c r="L11" s="1009">
        <f>I11*J11*K11</f>
        <v/>
      </c>
      <c r="M11" s="2098" t="n"/>
      <c r="N11" s="1321" t="n"/>
      <c r="O11" s="1321" t="n"/>
      <c r="P11" s="1321" t="n"/>
      <c r="Q11" s="1321" t="n"/>
      <c r="R11" s="1015" t="inlineStr">
        <is>
          <t>#003</t>
        </is>
      </c>
      <c r="S11" s="1010" t="n">
        <v>73.59999999999999</v>
      </c>
      <c r="T11" s="1010" t="n">
        <v>1</v>
      </c>
      <c r="U11" s="1010">
        <f>S11*T11</f>
        <v/>
      </c>
      <c r="V11" s="2098" t="n"/>
      <c r="W11" s="1020">
        <f>ROUNDUP(U11/2.4,0)+1</f>
        <v/>
      </c>
    </row>
    <row r="12">
      <c r="A12" s="1014" t="inlineStr">
        <is>
          <t>#004</t>
        </is>
      </c>
      <c r="B12" s="1009" t="n">
        <v>31.7</v>
      </c>
      <c r="C12" s="1010" t="n">
        <v>6</v>
      </c>
      <c r="D12" s="1500" t="n">
        <v>14</v>
      </c>
      <c r="E12" s="1009">
        <f>B12*C12*D12</f>
        <v/>
      </c>
      <c r="F12" s="2098" t="n"/>
      <c r="G12" s="1321" t="n"/>
      <c r="H12" s="1014" t="inlineStr">
        <is>
          <t>#004</t>
        </is>
      </c>
      <c r="I12" s="1010" t="n">
        <v>9.5</v>
      </c>
      <c r="J12" s="1010" t="n">
        <v>39</v>
      </c>
      <c r="K12" s="1013" t="n">
        <v>5.5</v>
      </c>
      <c r="L12" s="1009">
        <f>I12*J12*K12</f>
        <v/>
      </c>
      <c r="M12" s="1684" t="n"/>
      <c r="N12" s="1321" t="n"/>
      <c r="O12" s="1321" t="n"/>
      <c r="P12" s="1321" t="n"/>
      <c r="Q12" s="1321" t="n"/>
      <c r="R12" s="1015" t="inlineStr">
        <is>
          <t>#004</t>
        </is>
      </c>
      <c r="S12" s="1010" t="n">
        <v>57.5</v>
      </c>
      <c r="T12" s="1010" t="n">
        <v>1</v>
      </c>
      <c r="U12" s="1010">
        <f>S12*T12</f>
        <v/>
      </c>
      <c r="V12" s="2098" t="n"/>
      <c r="W12" s="1020">
        <f>ROUNDUP(U12/2.4,0)+1</f>
        <v/>
      </c>
    </row>
    <row r="13">
      <c r="A13" s="1014" t="inlineStr">
        <is>
          <t>#005</t>
        </is>
      </c>
      <c r="B13" s="1009" t="n">
        <v>15.7</v>
      </c>
      <c r="C13" s="1010" t="n">
        <v>3</v>
      </c>
      <c r="D13" s="1500" t="n">
        <v>14</v>
      </c>
      <c r="E13" s="1009">
        <f>B13*C13*D13</f>
        <v/>
      </c>
      <c r="F13" s="2098" t="n"/>
      <c r="G13" s="1321" t="n"/>
      <c r="H13" s="1321" t="n"/>
      <c r="I13" s="1321" t="n"/>
      <c r="J13" s="1321" t="n"/>
      <c r="K13" s="1321" t="n"/>
      <c r="L13" s="1321" t="n"/>
      <c r="M13" s="1321" t="n"/>
      <c r="N13" s="1321" t="n"/>
      <c r="O13" s="1321" t="n"/>
      <c r="P13" s="1321" t="n"/>
      <c r="Q13" s="1321" t="n"/>
      <c r="R13" s="1015" t="inlineStr">
        <is>
          <t>#005</t>
        </is>
      </c>
      <c r="S13" s="1010" t="n">
        <v>13.8</v>
      </c>
      <c r="T13" s="1010" t="n">
        <v>1</v>
      </c>
      <c r="U13" s="1010">
        <f>S13*T13</f>
        <v/>
      </c>
      <c r="V13" s="2098" t="n"/>
      <c r="W13" s="1020">
        <f>ROUNDUP(U13/2.4,0)+1</f>
        <v/>
      </c>
    </row>
    <row r="14">
      <c r="A14" s="1014" t="inlineStr">
        <is>
          <t>#006</t>
        </is>
      </c>
      <c r="B14" s="1009" t="n">
        <v>12.1</v>
      </c>
      <c r="C14" s="1010" t="n">
        <v>1</v>
      </c>
      <c r="D14" s="1500" t="n">
        <v>14</v>
      </c>
      <c r="E14" s="1009">
        <f>B14*C14*D14</f>
        <v/>
      </c>
      <c r="F14" s="2098" t="n"/>
      <c r="G14" s="1321" t="n"/>
      <c r="H14" s="1321" t="n"/>
      <c r="I14" s="1321" t="n"/>
      <c r="J14" s="1321" t="n"/>
      <c r="K14" s="1321" t="n"/>
      <c r="L14" s="1321" t="n"/>
      <c r="M14" s="1321" t="n"/>
      <c r="N14" s="1321" t="n"/>
      <c r="O14" s="1321" t="n"/>
      <c r="P14" s="1321" t="n"/>
      <c r="Q14" s="1321" t="n"/>
      <c r="R14" s="1015" t="inlineStr">
        <is>
          <t>#006</t>
        </is>
      </c>
      <c r="S14" s="1010" t="n">
        <v>34.5</v>
      </c>
      <c r="T14" s="1010" t="n">
        <v>1</v>
      </c>
      <c r="U14" s="1010">
        <f>S14*T14</f>
        <v/>
      </c>
      <c r="V14" s="2098" t="n"/>
      <c r="W14" s="1020">
        <f>ROUNDUP(U14/2.4,0)+1</f>
        <v/>
      </c>
    </row>
    <row r="15">
      <c r="A15" s="1014" t="inlineStr">
        <is>
          <t>#007</t>
        </is>
      </c>
      <c r="B15" s="1009" t="n">
        <v>43.1</v>
      </c>
      <c r="C15" s="1010" t="n">
        <v>2</v>
      </c>
      <c r="D15" s="1500" t="n">
        <v>14</v>
      </c>
      <c r="E15" s="1009">
        <f>B15*C15*D15</f>
        <v/>
      </c>
      <c r="F15" s="2098" t="n"/>
      <c r="G15" s="1321" t="n"/>
      <c r="H15" s="1321" t="n"/>
      <c r="I15" s="1321" t="n"/>
      <c r="J15" s="1321" t="n"/>
      <c r="K15" s="1321" t="n"/>
      <c r="L15" s="1321" t="n"/>
      <c r="M15" s="1321" t="n"/>
      <c r="N15" s="1321" t="n"/>
      <c r="O15" s="1321" t="n"/>
      <c r="P15" s="1321" t="n"/>
      <c r="Q15" s="1321" t="n"/>
      <c r="R15" s="1015" t="inlineStr">
        <is>
          <t>#007</t>
        </is>
      </c>
      <c r="S15" s="1010" t="n">
        <v>97.90000000000001</v>
      </c>
      <c r="T15" s="1010" t="n">
        <v>1</v>
      </c>
      <c r="U15" s="1010">
        <f>S15*T15</f>
        <v/>
      </c>
      <c r="V15" s="2098" t="n"/>
      <c r="W15" s="1020">
        <f>ROUNDUP(U15/2.4,0)+1</f>
        <v/>
      </c>
    </row>
    <row r="16">
      <c r="A16" s="1014" t="inlineStr">
        <is>
          <t>#008</t>
        </is>
      </c>
      <c r="B16" s="1009" t="n">
        <v>97.90000000000001</v>
      </c>
      <c r="C16" s="1010" t="n">
        <v>1</v>
      </c>
      <c r="D16" s="1500" t="n">
        <v>14</v>
      </c>
      <c r="E16" s="1009">
        <f>B16*C16*D16</f>
        <v/>
      </c>
      <c r="F16" s="2098" t="n"/>
      <c r="G16" s="1321" t="n"/>
      <c r="H16" s="1321" t="n"/>
      <c r="I16" s="1321" t="n"/>
      <c r="J16" s="1321" t="n"/>
      <c r="K16" s="1321" t="n"/>
      <c r="L16" s="1321" t="n"/>
      <c r="M16" s="1321" t="n"/>
      <c r="N16" s="1321" t="n"/>
      <c r="O16" s="1321" t="n"/>
      <c r="P16" s="1321" t="n"/>
      <c r="Q16" s="1321" t="n"/>
      <c r="R16" s="1015" t="inlineStr">
        <is>
          <t>#008</t>
        </is>
      </c>
      <c r="S16" s="1010" t="n">
        <v>107.1</v>
      </c>
      <c r="T16" s="1010" t="n">
        <v>3</v>
      </c>
      <c r="U16" s="1010">
        <f>S16*T16</f>
        <v/>
      </c>
      <c r="V16" s="2098" t="n"/>
      <c r="W16" s="1020">
        <f>ROUNDUP(U16/2.4,0)+1</f>
        <v/>
      </c>
    </row>
    <row r="17">
      <c r="A17" s="1014" t="inlineStr">
        <is>
          <t>#009</t>
        </is>
      </c>
      <c r="B17" s="1009" t="n">
        <v>73.90000000000001</v>
      </c>
      <c r="C17" s="1010" t="n">
        <v>3</v>
      </c>
      <c r="D17" s="1500" t="n">
        <v>14</v>
      </c>
      <c r="E17" s="1009">
        <f>B17*C17*D17</f>
        <v/>
      </c>
      <c r="F17" s="2098" t="n"/>
      <c r="G17" s="1321" t="n"/>
      <c r="H17" s="1321" t="n"/>
      <c r="I17" s="1321" t="n"/>
      <c r="J17" s="1321" t="n"/>
      <c r="K17" s="1321" t="n"/>
      <c r="L17" s="1321" t="n"/>
      <c r="M17" s="1321" t="n"/>
      <c r="N17" s="1321" t="n"/>
      <c r="O17" s="1321" t="n"/>
      <c r="P17" s="1321" t="n"/>
      <c r="Q17" s="1321" t="n"/>
      <c r="R17" s="1015" t="inlineStr">
        <is>
          <t>#009</t>
        </is>
      </c>
      <c r="S17" s="1010" t="n">
        <v>63.4</v>
      </c>
      <c r="T17" s="1010" t="n">
        <v>1</v>
      </c>
      <c r="U17" s="1010">
        <f>S17*T17</f>
        <v/>
      </c>
      <c r="V17" s="2098" t="n"/>
      <c r="W17" s="1020">
        <f>ROUNDUP(U17/2.4,0)+1</f>
        <v/>
      </c>
    </row>
    <row r="18">
      <c r="A18" s="1014" t="inlineStr">
        <is>
          <t>#010</t>
        </is>
      </c>
      <c r="B18" s="1010" t="n">
        <v>58.3</v>
      </c>
      <c r="C18" s="1010" t="n">
        <v>6</v>
      </c>
      <c r="D18" s="1500" t="n">
        <v>14</v>
      </c>
      <c r="E18" s="1009">
        <f>B18*C18*D18</f>
        <v/>
      </c>
      <c r="F18" s="2098" t="n"/>
      <c r="G18" s="1321" t="n"/>
      <c r="H18" s="1321" t="n"/>
      <c r="I18" s="1321" t="n"/>
      <c r="J18" s="1321" t="n"/>
      <c r="K18" s="1321" t="n"/>
      <c r="L18" s="1321" t="n"/>
      <c r="M18" s="1321" t="n"/>
      <c r="N18" s="1321" t="n"/>
      <c r="O18" s="1321" t="n"/>
      <c r="P18" s="1321" t="n"/>
      <c r="Q18" s="1321" t="n"/>
      <c r="R18" s="1015" t="inlineStr">
        <is>
          <t>#010</t>
        </is>
      </c>
      <c r="S18" s="1010" t="n">
        <v>8.1</v>
      </c>
      <c r="T18" s="1010" t="n">
        <v>8</v>
      </c>
      <c r="U18" s="1010">
        <f>S18*T18</f>
        <v/>
      </c>
      <c r="V18" s="2098" t="n"/>
      <c r="W18" s="1020">
        <f>ROUNDUP(U18/2.4,0)+1</f>
        <v/>
      </c>
    </row>
    <row r="19">
      <c r="A19" s="1014" t="inlineStr">
        <is>
          <t>#011</t>
        </is>
      </c>
      <c r="B19" s="1010" t="n">
        <v>58.3</v>
      </c>
      <c r="C19" s="1010" t="n">
        <v>2</v>
      </c>
      <c r="D19" s="1500" t="n">
        <v>14</v>
      </c>
      <c r="E19" s="1009">
        <f>B19*C19*D19</f>
        <v/>
      </c>
      <c r="F19" s="2098" t="n"/>
      <c r="G19" s="1321" t="n"/>
      <c r="H19" s="1321" t="n"/>
      <c r="I19" s="1321" t="n"/>
      <c r="J19" s="1321" t="n"/>
      <c r="K19" s="1321" t="n"/>
      <c r="L19" s="1321" t="n"/>
      <c r="M19" s="1321" t="n"/>
      <c r="N19" s="1321" t="n"/>
      <c r="O19" s="1321" t="n"/>
      <c r="P19" s="1321" t="n"/>
      <c r="Q19" s="1321" t="n"/>
      <c r="R19" s="1015" t="inlineStr">
        <is>
          <t>#011</t>
        </is>
      </c>
      <c r="S19" s="1010" t="n">
        <v>7.3</v>
      </c>
      <c r="T19" s="1010" t="n">
        <v>7</v>
      </c>
      <c r="U19" s="1010">
        <f>S19*T19</f>
        <v/>
      </c>
      <c r="V19" s="1684" t="n"/>
      <c r="W19" s="1020">
        <f>ROUNDUP(U19/2.4,0)+1</f>
        <v/>
      </c>
    </row>
    <row r="20">
      <c r="A20" s="1014" t="inlineStr">
        <is>
          <t>#012</t>
        </is>
      </c>
      <c r="B20" s="1010" t="n">
        <v>46.5</v>
      </c>
      <c r="C20" s="1010" t="n">
        <v>1</v>
      </c>
      <c r="D20" s="1500" t="n">
        <v>14</v>
      </c>
      <c r="E20" s="1009">
        <f>B20*C20*D20</f>
        <v/>
      </c>
      <c r="F20" s="2098" t="n"/>
      <c r="G20" s="1321" t="n"/>
      <c r="H20" s="1321" t="n"/>
      <c r="I20" s="1321" t="n"/>
      <c r="J20" s="1321" t="n"/>
      <c r="K20" s="1321" t="n"/>
      <c r="L20" s="1321" t="n"/>
      <c r="M20" s="1321" t="n"/>
      <c r="N20" s="1321" t="n"/>
      <c r="O20" s="1321" t="n"/>
      <c r="P20" s="1321" t="n"/>
      <c r="Q20" s="1321" t="n"/>
      <c r="R20" s="1321" t="n"/>
      <c r="S20" s="1321" t="n"/>
      <c r="T20" s="1321" t="n"/>
      <c r="U20" s="1321" t="n"/>
      <c r="V20" s="1321" t="inlineStr">
        <is>
          <t>總和</t>
        </is>
      </c>
      <c r="W20" s="1021">
        <f>SUM(W9:W19)</f>
        <v/>
      </c>
    </row>
    <row r="21">
      <c r="A21" s="1014" t="inlineStr">
        <is>
          <t>#013</t>
        </is>
      </c>
      <c r="B21" s="1010" t="n">
        <v>36.5</v>
      </c>
      <c r="C21" s="1010" t="n">
        <v>3</v>
      </c>
      <c r="D21" s="1500" t="n">
        <v>14</v>
      </c>
      <c r="E21" s="1009">
        <f>B21*C21*D21</f>
        <v/>
      </c>
      <c r="F21" s="2098" t="n"/>
      <c r="G21" s="1321" t="n"/>
      <c r="H21" s="1321" t="n"/>
      <c r="I21" s="1321" t="n"/>
      <c r="J21" s="1321" t="n"/>
      <c r="K21" s="1321" t="n"/>
      <c r="L21" s="1321" t="n"/>
      <c r="M21" s="1321" t="n"/>
      <c r="N21" s="1321" t="n"/>
      <c r="O21" s="1321" t="n"/>
      <c r="P21" s="1321" t="n"/>
      <c r="Q21" s="1321" t="n"/>
      <c r="R21" s="1321" t="n"/>
      <c r="S21" s="1321" t="n"/>
      <c r="T21" s="1321" t="n"/>
      <c r="U21" s="1321" t="n"/>
      <c r="V21" s="1321" t="n"/>
    </row>
    <row r="22">
      <c r="A22" s="1014" t="inlineStr">
        <is>
          <t>#014</t>
        </is>
      </c>
      <c r="B22" s="1010" t="n">
        <v>99.09999999999999</v>
      </c>
      <c r="C22" s="1010" t="n">
        <v>6</v>
      </c>
      <c r="D22" s="1500" t="n">
        <v>14</v>
      </c>
      <c r="E22" s="1009">
        <f>B22*C22*D22</f>
        <v/>
      </c>
      <c r="F22" s="2098" t="n"/>
      <c r="G22" s="1321" t="n"/>
      <c r="H22" s="1321" t="n"/>
      <c r="I22" s="1321" t="n"/>
      <c r="J22" s="1321" t="n"/>
      <c r="K22" s="1321" t="n"/>
      <c r="L22" s="1321" t="n"/>
      <c r="M22" s="1321" t="n"/>
      <c r="N22" s="1321" t="n"/>
      <c r="O22" s="1321" t="n"/>
      <c r="P22" s="1321" t="n"/>
      <c r="Q22" s="1321" t="n"/>
      <c r="R22" s="1321" t="n"/>
      <c r="S22" s="1321" t="n"/>
      <c r="T22" s="1321" t="n"/>
      <c r="U22" s="1321" t="n"/>
      <c r="V22" s="1321" t="n"/>
    </row>
    <row r="23">
      <c r="A23" s="1014" t="inlineStr">
        <is>
          <t>#015</t>
        </is>
      </c>
      <c r="B23" s="1010" t="n">
        <v>108.1</v>
      </c>
      <c r="C23" s="1010" t="n">
        <v>18</v>
      </c>
      <c r="D23" s="1500" t="n">
        <v>14</v>
      </c>
      <c r="E23" s="1009">
        <f>B23*C23*D23</f>
        <v/>
      </c>
      <c r="F23" s="2098" t="n"/>
      <c r="G23" s="1321" t="n"/>
      <c r="H23" s="1321" t="n"/>
      <c r="I23" s="1321" t="n"/>
      <c r="J23" s="1321" t="n"/>
      <c r="K23" s="1321" t="n"/>
      <c r="L23" s="1321" t="n"/>
      <c r="M23" s="1321" t="n"/>
      <c r="N23" s="1321" t="n"/>
      <c r="O23" s="1321" t="n"/>
      <c r="P23" s="1321" t="n"/>
      <c r="Q23" s="1321" t="n"/>
      <c r="R23" s="1321" t="n"/>
      <c r="S23" s="1321" t="n"/>
      <c r="T23" s="1321" t="n"/>
      <c r="U23" s="1321" t="n"/>
      <c r="V23" s="1321" t="n"/>
    </row>
    <row r="24">
      <c r="A24" s="1014" t="inlineStr">
        <is>
          <t>#016</t>
        </is>
      </c>
      <c r="B24" s="1010" t="n">
        <v>64.09999999999999</v>
      </c>
      <c r="C24" s="1010" t="n">
        <v>3</v>
      </c>
      <c r="D24" s="1500" t="n">
        <v>14</v>
      </c>
      <c r="E24" s="1009">
        <f>B24*C24*D24</f>
        <v/>
      </c>
      <c r="F24" s="2098" t="n"/>
      <c r="G24" s="1321" t="n"/>
      <c r="H24" s="1321" t="n"/>
      <c r="I24" s="1321" t="n"/>
      <c r="J24" s="1321" t="n"/>
      <c r="K24" s="1321" t="n"/>
      <c r="L24" s="1321" t="n"/>
      <c r="M24" s="1321" t="n"/>
      <c r="N24" s="1321" t="n"/>
      <c r="O24" s="1321" t="n"/>
      <c r="P24" s="1321" t="n"/>
      <c r="Q24" s="1321" t="n"/>
      <c r="R24" s="1321" t="n"/>
      <c r="S24" s="1321" t="n"/>
      <c r="T24" s="1321" t="n"/>
      <c r="U24" s="1321" t="n"/>
      <c r="V24" s="1321" t="n"/>
    </row>
    <row r="25">
      <c r="A25" s="1014" t="inlineStr">
        <is>
          <t>#017</t>
        </is>
      </c>
      <c r="B25" s="1010" t="n">
        <v>8.1</v>
      </c>
      <c r="C25" s="1010" t="n">
        <v>314</v>
      </c>
      <c r="D25" s="1500" t="n">
        <v>14</v>
      </c>
      <c r="E25" s="1009">
        <f>B25*C25*D25</f>
        <v/>
      </c>
      <c r="F25" s="2098" t="n"/>
      <c r="G25" s="1321" t="n"/>
      <c r="H25" s="1321" t="n"/>
      <c r="I25" s="1321" t="n"/>
      <c r="J25" s="1321" t="n"/>
      <c r="K25" s="1321" t="n"/>
      <c r="L25" s="1321" t="n"/>
      <c r="M25" s="1321" t="n"/>
      <c r="N25" s="1321" t="n"/>
      <c r="O25" s="1321" t="n"/>
      <c r="P25" s="1321" t="n"/>
      <c r="Q25" s="1321" t="n"/>
      <c r="R25" s="1321" t="n"/>
      <c r="S25" s="1321" t="n"/>
      <c r="T25" s="1321" t="n"/>
      <c r="U25" s="1321" t="n"/>
      <c r="V25" s="1321" t="n"/>
    </row>
    <row r="26">
      <c r="A26" s="1014" t="inlineStr">
        <is>
          <t>#018</t>
        </is>
      </c>
      <c r="B26" s="1010" t="n">
        <v>9.699999999999999</v>
      </c>
      <c r="C26" s="1010" t="n">
        <v>13</v>
      </c>
      <c r="D26" s="1500" t="n">
        <v>14</v>
      </c>
      <c r="E26" s="1009">
        <f>B26*C26*D26</f>
        <v/>
      </c>
      <c r="F26" s="2098" t="n"/>
      <c r="G26" s="1321" t="n"/>
      <c r="H26" s="1321" t="n"/>
      <c r="I26" s="1321" t="n"/>
      <c r="J26" s="1321" t="n"/>
      <c r="K26" s="1321" t="n"/>
      <c r="L26" s="1321" t="n"/>
      <c r="M26" s="1321" t="n"/>
      <c r="N26" s="1321" t="n"/>
      <c r="O26" s="1321" t="n"/>
      <c r="P26" s="1321" t="n"/>
      <c r="Q26" s="1321" t="n"/>
      <c r="R26" s="1321" t="n"/>
      <c r="S26" s="1321" t="n"/>
      <c r="T26" s="1321" t="n"/>
      <c r="U26" s="1321" t="n"/>
      <c r="V26" s="1321" t="n"/>
    </row>
    <row r="27">
      <c r="A27" s="1014" t="inlineStr">
        <is>
          <t>#019</t>
        </is>
      </c>
      <c r="B27" s="1010" t="n">
        <v>8.300000000000001</v>
      </c>
      <c r="C27" s="1010" t="n">
        <v>20</v>
      </c>
      <c r="D27" s="1500" t="n">
        <v>14</v>
      </c>
      <c r="E27" s="1009">
        <f>B27*C27*D27</f>
        <v/>
      </c>
      <c r="F27" s="2098" t="n"/>
      <c r="G27" s="1321" t="n"/>
      <c r="H27" s="1321" t="n"/>
      <c r="I27" s="1321" t="n"/>
      <c r="J27" s="1321" t="n"/>
      <c r="K27" s="1321" t="n"/>
      <c r="L27" s="1321" t="n"/>
      <c r="M27" s="1321" t="n"/>
      <c r="N27" s="1321" t="n"/>
      <c r="O27" s="1321" t="n"/>
      <c r="P27" s="1321" t="n"/>
      <c r="Q27" s="1321" t="n"/>
      <c r="R27" s="1321" t="n"/>
      <c r="S27" s="1321" t="n"/>
      <c r="T27" s="1321" t="n"/>
      <c r="U27" s="1321" t="n"/>
      <c r="V27" s="1321" t="n"/>
    </row>
    <row r="28">
      <c r="A28" s="1014" t="inlineStr">
        <is>
          <t>#020</t>
        </is>
      </c>
      <c r="B28" s="1010" t="n">
        <v>4.3</v>
      </c>
      <c r="C28" s="1010" t="n">
        <v>4</v>
      </c>
      <c r="D28" s="1010" t="n">
        <v>14</v>
      </c>
      <c r="E28" s="1009">
        <f>B28*C28*D28</f>
        <v/>
      </c>
      <c r="F28" s="1684" t="n"/>
      <c r="G28" s="1321" t="n"/>
      <c r="H28" s="1321" t="n"/>
      <c r="I28" s="1321" t="n"/>
      <c r="J28" s="1321" t="n"/>
      <c r="K28" s="1321" t="n"/>
      <c r="L28" s="1321" t="n"/>
      <c r="M28" s="1321" t="n"/>
      <c r="N28" s="1321" t="n"/>
      <c r="O28" s="1321" t="n"/>
      <c r="P28" s="1321" t="n"/>
      <c r="Q28" s="1321" t="n"/>
      <c r="R28" s="1321" t="n"/>
      <c r="S28" s="1321" t="n"/>
      <c r="T28" s="1321" t="n"/>
      <c r="U28" s="1321" t="n"/>
      <c r="V28" s="1321" t="n"/>
    </row>
  </sheetData>
  <mergeCells count="6">
    <mergeCell ref="M9:M12"/>
    <mergeCell ref="B7:F7"/>
    <mergeCell ref="F9:F28"/>
    <mergeCell ref="I7:M7"/>
    <mergeCell ref="V9:V19"/>
    <mergeCell ref="S7:V7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I32" sqref="I32"/>
    </sheetView>
  </sheetViews>
  <sheetFormatPr baseColWidth="8" defaultRowHeight="16.5"/>
  <cols>
    <col width="10.125" bestFit="1" customWidth="1" style="1643" min="7" max="7"/>
  </cols>
  <sheetData>
    <row r="1">
      <c r="A1" s="1024" t="n"/>
      <c r="B1" s="2246" t="inlineStr">
        <is>
          <t>華新麗華股份有限公司</t>
        </is>
      </c>
      <c r="C1" s="1024" t="n"/>
      <c r="D1" s="2247" t="n"/>
      <c r="E1" s="2247" t="n"/>
      <c r="F1" s="2248" t="inlineStr">
        <is>
          <t>報價日</t>
        </is>
      </c>
      <c r="G1" s="2249" t="n">
        <v>20220930</v>
      </c>
    </row>
    <row r="2">
      <c r="A2" s="1024" t="n"/>
      <c r="B2" s="2250" t="inlineStr">
        <is>
          <t>600V XLP (交連PE)電力電纜</t>
        </is>
      </c>
      <c r="C2" s="1024" t="n"/>
      <c r="D2" s="2247" t="n"/>
      <c r="E2" s="2247" t="n"/>
      <c r="F2" s="2251" t="inlineStr">
        <is>
          <t>CNS 2655</t>
        </is>
      </c>
      <c r="G2" s="2247" t="n"/>
    </row>
    <row r="3">
      <c r="A3" s="1024" t="n"/>
      <c r="B3" s="1024" t="n"/>
      <c r="C3" s="1024" t="n"/>
      <c r="D3" s="2247" t="n"/>
      <c r="E3" s="2247" t="n"/>
      <c r="F3" s="2251" t="inlineStr">
        <is>
          <t>JISC 3606</t>
        </is>
      </c>
      <c r="G3" s="2247" t="n"/>
    </row>
    <row r="4">
      <c r="A4" s="2252" t="inlineStr">
        <is>
          <t xml:space="preserve"> 規格</t>
        </is>
      </c>
      <c r="B4" s="2253" t="inlineStr">
        <is>
          <t>構成</t>
        </is>
      </c>
      <c r="C4" s="2253" t="inlineStr">
        <is>
          <t>單位</t>
        </is>
      </c>
      <c r="D4" s="2254" t="inlineStr">
        <is>
          <t>一芯</t>
        </is>
      </c>
      <c r="E4" s="2254" t="inlineStr">
        <is>
          <t>二芯</t>
        </is>
      </c>
      <c r="F4" s="2254" t="inlineStr">
        <is>
          <t>三芯</t>
        </is>
      </c>
      <c r="G4" s="2255" t="inlineStr">
        <is>
          <t>四芯</t>
        </is>
      </c>
    </row>
    <row r="5">
      <c r="A5" s="1684" t="n"/>
      <c r="B5" s="1684" t="n"/>
      <c r="C5" s="1684" t="n"/>
      <c r="D5" s="1031" t="inlineStr">
        <is>
          <t>牌價</t>
        </is>
      </c>
      <c r="E5" s="1031" t="inlineStr">
        <is>
          <t>牌價</t>
        </is>
      </c>
      <c r="F5" s="1031" t="inlineStr">
        <is>
          <t>牌價</t>
        </is>
      </c>
      <c r="G5" s="1031" t="inlineStr">
        <is>
          <t>牌價</t>
        </is>
      </c>
    </row>
    <row r="6">
      <c r="A6" s="1032" t="inlineStr">
        <is>
          <t>2.0 mm2</t>
        </is>
      </c>
      <c r="B6" s="1032" t="inlineStr">
        <is>
          <t>7/0.6 mm</t>
        </is>
      </c>
      <c r="C6" s="1033" t="inlineStr">
        <is>
          <t>公尺</t>
        </is>
      </c>
      <c r="D6" s="2256" t="n">
        <v>8.699999999999999</v>
      </c>
      <c r="E6" s="2257" t="n">
        <v>20.5</v>
      </c>
      <c r="F6" s="2257" t="n">
        <v>26.5</v>
      </c>
      <c r="G6" s="2257" t="n">
        <v>33.7</v>
      </c>
    </row>
    <row r="7">
      <c r="A7" s="1032" t="inlineStr">
        <is>
          <t>3.5 mm2</t>
        </is>
      </c>
      <c r="B7" s="1032" t="inlineStr">
        <is>
          <t>7/0.8 mm</t>
        </is>
      </c>
      <c r="C7" s="1036" t="inlineStr">
        <is>
          <t>"</t>
        </is>
      </c>
      <c r="D7" s="2256" t="n">
        <v>12.5</v>
      </c>
      <c r="E7" s="2257" t="n">
        <v>28.5</v>
      </c>
      <c r="F7" s="2257" t="n">
        <v>39.5</v>
      </c>
      <c r="G7" s="2257" t="n">
        <v>48.5</v>
      </c>
    </row>
    <row r="8">
      <c r="A8" s="1032" t="inlineStr">
        <is>
          <t xml:space="preserve">5.5 mm2 </t>
        </is>
      </c>
      <c r="B8" s="1032" t="inlineStr">
        <is>
          <t>7/1.0 mm</t>
        </is>
      </c>
      <c r="C8" s="1036" t="inlineStr">
        <is>
          <t>"</t>
        </is>
      </c>
      <c r="D8" s="2256" t="n">
        <v>18.3</v>
      </c>
      <c r="E8" s="2257" t="n">
        <v>42.5</v>
      </c>
      <c r="F8" s="2257" t="n">
        <v>57.5</v>
      </c>
      <c r="G8" s="2257" t="n">
        <v>73.5</v>
      </c>
    </row>
    <row r="9">
      <c r="A9" s="1032" t="inlineStr">
        <is>
          <t xml:space="preserve"> 8 mm2</t>
        </is>
      </c>
      <c r="B9" s="1032" t="inlineStr">
        <is>
          <t>7/1.2 mm</t>
        </is>
      </c>
      <c r="C9" s="1036" t="inlineStr">
        <is>
          <t>"</t>
        </is>
      </c>
      <c r="D9" s="2256" t="n">
        <v>24.2</v>
      </c>
      <c r="E9" s="2257" t="n">
        <v>56</v>
      </c>
      <c r="F9" s="2257" t="n">
        <v>76.5</v>
      </c>
      <c r="G9" s="2257" t="n">
        <v>98.5</v>
      </c>
    </row>
    <row r="10">
      <c r="A10" s="1032" t="inlineStr">
        <is>
          <t>14 mm2</t>
        </is>
      </c>
      <c r="B10" s="1032" t="inlineStr">
        <is>
          <t>7/1.6 mm</t>
        </is>
      </c>
      <c r="C10" s="1036" t="inlineStr">
        <is>
          <t>"</t>
        </is>
      </c>
      <c r="D10" s="2256" t="n">
        <v>38.8</v>
      </c>
      <c r="E10" s="2257" t="n">
        <v>86.2</v>
      </c>
      <c r="F10" s="2257" t="n">
        <v>121.5</v>
      </c>
      <c r="G10" s="2257" t="n">
        <v>159</v>
      </c>
    </row>
    <row r="11">
      <c r="A11" s="1032" t="inlineStr">
        <is>
          <t>22 mm2</t>
        </is>
      </c>
      <c r="B11" s="1032" t="inlineStr">
        <is>
          <t>7/2.0 mm</t>
        </is>
      </c>
      <c r="C11" s="1036" t="inlineStr">
        <is>
          <t>"</t>
        </is>
      </c>
      <c r="D11" s="2256" t="n">
        <v>58.6</v>
      </c>
      <c r="E11" s="2257" t="n">
        <v>131.7</v>
      </c>
      <c r="F11" s="2257" t="n">
        <v>185.3</v>
      </c>
      <c r="G11" s="2257" t="n">
        <v>243</v>
      </c>
    </row>
    <row r="12">
      <c r="A12" s="1032" t="inlineStr">
        <is>
          <t>30 mm2</t>
        </is>
      </c>
      <c r="B12" s="1032" t="inlineStr">
        <is>
          <t>7/2.3 mm</t>
        </is>
      </c>
      <c r="C12" s="1036" t="inlineStr">
        <is>
          <t>"</t>
        </is>
      </c>
      <c r="D12" s="2256" t="n">
        <v>75.59999999999999</v>
      </c>
      <c r="E12" s="2257" t="n">
        <v>168.9</v>
      </c>
      <c r="F12" s="2257" t="n">
        <v>240.3</v>
      </c>
      <c r="G12" s="2257" t="n">
        <v>315.5</v>
      </c>
    </row>
    <row r="13">
      <c r="A13" s="1032" t="inlineStr">
        <is>
          <t>38 mm2</t>
        </is>
      </c>
      <c r="B13" s="1032" t="inlineStr">
        <is>
          <t>7/2.6 mm</t>
        </is>
      </c>
      <c r="C13" s="1036" t="inlineStr">
        <is>
          <t>"</t>
        </is>
      </c>
      <c r="D13" s="2256" t="n">
        <v>94.59999999999999</v>
      </c>
      <c r="E13" s="2257" t="n">
        <v>211.2</v>
      </c>
      <c r="F13" s="2257" t="n">
        <v>301.3</v>
      </c>
      <c r="G13" s="2257" t="n">
        <v>395.8</v>
      </c>
    </row>
    <row r="14">
      <c r="A14" s="1032" t="inlineStr">
        <is>
          <t>50 mm2</t>
        </is>
      </c>
      <c r="B14" s="1032" t="inlineStr">
        <is>
          <t>19/1.8 mm</t>
        </is>
      </c>
      <c r="C14" s="1036" t="inlineStr">
        <is>
          <t>"</t>
        </is>
      </c>
      <c r="D14" s="2256" t="n">
        <v>123.5</v>
      </c>
      <c r="E14" s="2256" t="n">
        <v>273.1</v>
      </c>
      <c r="F14" s="2256" t="n">
        <v>390.3</v>
      </c>
      <c r="G14" s="2256" t="n">
        <v>512.7</v>
      </c>
    </row>
    <row r="15">
      <c r="A15" s="1032" t="inlineStr">
        <is>
          <t>60 mm2</t>
        </is>
      </c>
      <c r="B15" s="1032" t="inlineStr">
        <is>
          <t>19/2.0 mm</t>
        </is>
      </c>
      <c r="C15" s="1036" t="inlineStr">
        <is>
          <t>"</t>
        </is>
      </c>
      <c r="D15" s="2256" t="n">
        <v>149.5</v>
      </c>
      <c r="E15" s="2256" t="n">
        <v>329.9</v>
      </c>
      <c r="F15" s="2256" t="n">
        <v>474.5</v>
      </c>
      <c r="G15" s="2256" t="n">
        <v>622.3</v>
      </c>
    </row>
    <row r="16">
      <c r="A16" s="1032" t="inlineStr">
        <is>
          <t>80 mm2</t>
        </is>
      </c>
      <c r="B16" s="1032" t="inlineStr">
        <is>
          <t>19/2.3 mm</t>
        </is>
      </c>
      <c r="C16" s="1036" t="inlineStr">
        <is>
          <t>"</t>
        </is>
      </c>
      <c r="D16" s="2256" t="n">
        <v>194.8</v>
      </c>
      <c r="E16" s="2257" t="n">
        <v>431.8</v>
      </c>
      <c r="F16" s="2257" t="n">
        <v>607.2</v>
      </c>
      <c r="G16" s="2257" t="n">
        <v>812.1</v>
      </c>
    </row>
    <row r="17">
      <c r="A17" s="1032" t="inlineStr">
        <is>
          <t>100 mm2</t>
        </is>
      </c>
      <c r="B17" s="1032" t="inlineStr">
        <is>
          <t>19/2.6 mm</t>
        </is>
      </c>
      <c r="C17" s="1036" t="inlineStr">
        <is>
          <t>"</t>
        </is>
      </c>
      <c r="D17" s="2256" t="n">
        <v>249.4</v>
      </c>
      <c r="E17" s="2257" t="n">
        <v>554.9</v>
      </c>
      <c r="F17" s="2257" t="n">
        <v>793.4</v>
      </c>
      <c r="G17" s="2257" t="n">
        <v>1047.7</v>
      </c>
    </row>
    <row r="18">
      <c r="A18" s="1032" t="inlineStr">
        <is>
          <t xml:space="preserve">125 mm2 </t>
        </is>
      </c>
      <c r="B18" s="1032" t="inlineStr">
        <is>
          <t>19/2.9 mm</t>
        </is>
      </c>
      <c r="C18" s="1036" t="inlineStr">
        <is>
          <t>"</t>
        </is>
      </c>
      <c r="D18" s="2258" t="n">
        <v>306</v>
      </c>
      <c r="E18" s="2258" t="n">
        <v>679.6</v>
      </c>
      <c r="F18" s="2258" t="n">
        <v>977.1</v>
      </c>
      <c r="G18" s="2258" t="n">
        <v>1287.8</v>
      </c>
    </row>
    <row r="19">
      <c r="A19" s="1032" t="inlineStr">
        <is>
          <t>150 mm2</t>
        </is>
      </c>
      <c r="B19" s="1032" t="inlineStr">
        <is>
          <t>37/2.3 mm</t>
        </is>
      </c>
      <c r="C19" s="1036" t="inlineStr">
        <is>
          <t>"</t>
        </is>
      </c>
      <c r="D19" s="2258" t="n">
        <v>369.7</v>
      </c>
      <c r="E19" s="2258" t="n">
        <v>820.5</v>
      </c>
      <c r="F19" s="2258" t="n">
        <v>1179.9</v>
      </c>
      <c r="G19" s="2258" t="n">
        <v>1563.5</v>
      </c>
    </row>
    <row r="20">
      <c r="A20" s="1032" t="inlineStr">
        <is>
          <t>200 mm2</t>
        </is>
      </c>
      <c r="B20" s="1032" t="inlineStr">
        <is>
          <t>37/2.6 mm</t>
        </is>
      </c>
      <c r="C20" s="1036" t="inlineStr">
        <is>
          <t>"</t>
        </is>
      </c>
      <c r="D20" s="2258" t="n">
        <v>478.6</v>
      </c>
      <c r="E20" s="2258" t="n">
        <v>1065</v>
      </c>
      <c r="F20" s="2258" t="n">
        <v>1537.7</v>
      </c>
      <c r="G20" s="2258" t="n">
        <v>2019.4</v>
      </c>
    </row>
    <row r="21">
      <c r="A21" s="1032" t="inlineStr">
        <is>
          <t>250 mm2</t>
        </is>
      </c>
      <c r="B21" s="1032" t="inlineStr">
        <is>
          <t>61/2.3 mm</t>
        </is>
      </c>
      <c r="C21" s="1036" t="inlineStr">
        <is>
          <t>"</t>
        </is>
      </c>
      <c r="D21" s="2258" t="n">
        <v>608.8</v>
      </c>
      <c r="E21" s="2258" t="n">
        <v>1356.1</v>
      </c>
      <c r="F21" s="2258" t="n">
        <v>1947</v>
      </c>
      <c r="G21" s="2258" t="n">
        <v>2580.6</v>
      </c>
    </row>
    <row r="22">
      <c r="A22" s="1032" t="inlineStr">
        <is>
          <t>325 mm2</t>
        </is>
      </c>
      <c r="B22" s="1032" t="inlineStr">
        <is>
          <t>61/2.6 mm</t>
        </is>
      </c>
      <c r="C22" s="1036" t="inlineStr">
        <is>
          <t>"</t>
        </is>
      </c>
      <c r="D22" s="2258" t="n">
        <v>769.6</v>
      </c>
      <c r="E22" s="2258" t="n">
        <v>1711.8</v>
      </c>
      <c r="F22" s="2258" t="n">
        <v>2464.9</v>
      </c>
      <c r="G22" s="2257" t="n"/>
    </row>
    <row r="23">
      <c r="A23" s="1032" t="inlineStr">
        <is>
          <t>400 mm2</t>
        </is>
      </c>
      <c r="B23" s="1032" t="inlineStr">
        <is>
          <t>61/2.9 mm</t>
        </is>
      </c>
      <c r="C23" s="1036" t="inlineStr">
        <is>
          <t>"</t>
        </is>
      </c>
      <c r="D23" s="2258" t="n">
        <v>958.2</v>
      </c>
      <c r="E23" s="2257" t="n"/>
      <c r="F23" s="2257" t="n"/>
      <c r="G23" s="2257" t="n"/>
    </row>
    <row r="24">
      <c r="A24" s="1032" t="inlineStr">
        <is>
          <t>500 mm2</t>
        </is>
      </c>
      <c r="B24" s="1032" t="inlineStr">
        <is>
          <t>61/3.2 mm</t>
        </is>
      </c>
      <c r="C24" s="1036" t="inlineStr">
        <is>
          <t>"</t>
        </is>
      </c>
      <c r="D24" s="2258" t="n">
        <v>1168.7</v>
      </c>
      <c r="E24" s="2257" t="n"/>
      <c r="F24" s="2257" t="n"/>
      <c r="G24" s="2257" t="n"/>
    </row>
    <row r="25">
      <c r="A25" s="1032" t="inlineStr">
        <is>
          <t>600 mm2</t>
        </is>
      </c>
      <c r="B25" s="1032" t="inlineStr">
        <is>
          <t>91/2.9 mm</t>
        </is>
      </c>
      <c r="C25" s="1036" t="inlineStr">
        <is>
          <t>"</t>
        </is>
      </c>
      <c r="D25" s="2258" t="n">
        <v>1427.4</v>
      </c>
      <c r="E25" s="2257" t="n"/>
      <c r="F25" s="2257" t="n"/>
      <c r="G25" s="2257" t="n"/>
    </row>
    <row r="26">
      <c r="A26" s="1036" t="inlineStr">
        <is>
          <t>725 mm2</t>
        </is>
      </c>
      <c r="B26" s="1032" t="inlineStr">
        <is>
          <t>91/3.2 mm</t>
        </is>
      </c>
      <c r="C26" s="1036" t="inlineStr">
        <is>
          <t>"</t>
        </is>
      </c>
      <c r="D26" s="2258" t="n">
        <v>1728.6</v>
      </c>
      <c r="E26" s="2257" t="n"/>
      <c r="F26" s="2257" t="n"/>
      <c r="G26" s="2257" t="n"/>
    </row>
    <row r="27">
      <c r="A27" s="1036" t="inlineStr">
        <is>
          <t>850 mm2</t>
        </is>
      </c>
      <c r="B27" s="1032" t="inlineStr">
        <is>
          <t>127/2.9 mm</t>
        </is>
      </c>
      <c r="C27" s="1036" t="inlineStr">
        <is>
          <t>"</t>
        </is>
      </c>
      <c r="D27" s="2258" t="n">
        <v>1987.1</v>
      </c>
      <c r="E27" s="2257" t="n"/>
      <c r="F27" s="2257" t="n"/>
      <c r="G27" s="2257" t="n"/>
    </row>
    <row r="28">
      <c r="A28" s="1036" t="inlineStr">
        <is>
          <t>1000 mm2</t>
        </is>
      </c>
      <c r="B28" s="1032" t="inlineStr">
        <is>
          <t>127/3.2 mm</t>
        </is>
      </c>
      <c r="C28" s="1036" t="inlineStr">
        <is>
          <t>"</t>
        </is>
      </c>
      <c r="D28" s="2258" t="n">
        <v>2405.7</v>
      </c>
      <c r="E28" s="2257" t="n"/>
      <c r="F28" s="2257" t="n"/>
      <c r="G28" s="2257" t="n"/>
    </row>
  </sheetData>
  <mergeCells count="3">
    <mergeCell ref="C4:C5"/>
    <mergeCell ref="A4:A5"/>
    <mergeCell ref="B4:B5"/>
  </mergeCells>
  <pageMargins left="0.7" right="0.7" top="0.75" bottom="0.75" header="0.3" footer="0.3"/>
  <pageSetup orientation="portrait" paperSize="9"/>
</worksheet>
</file>

<file path=xl/worksheets/sheet33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第1次滾算摘要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29500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4.46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11.07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第1次滾算，減少 500 元 - 現金模式，每次減少 500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29500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4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第2次滾算摘要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29000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4.63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11.74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第2次滾算，減少 500 元 - 現金模式，每次減少 500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29000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5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第3次滾算摘要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28500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4.8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12.44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第3次滾算，減少 500 元 - 現金模式，每次減少 500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28500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6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第4次滾算摘要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28000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4.98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13.18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第4次滾算，減少 500 元 - 現金模式，每次減少 500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28000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7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第5次滾算摘要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27500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5.16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13.95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第5次滾算，減少 500 元 - 現金模式，每次減少 500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27500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8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第6次滾算摘要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27000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5.35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14.77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第6次滾算，減少 500 元 - 現金模式，每次減少 500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27000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9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第7次滾算摘要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26500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5.54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15.63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第7次滾算，減少 500 元 - 現金模式，每次減少 500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26500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0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第8次滾算摘要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26000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5.74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16.54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第8次滾算，減少 500 元 - 現金模式，每次減少 500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26000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1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第9次滾算摘要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25500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5.94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17.51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第9次滾算，減少 500 元 - 現金模式，每次減少 500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25500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2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第10次滾算摘要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25000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6.15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18.54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第10次滾算，減少 500 元 - 現金模式，每次減少 500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25000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brook</dc:creator>
  <dcterms:created xsi:type="dcterms:W3CDTF">2013-07-17T01:36:52Z</dcterms:created>
  <dcterms:modified xsi:type="dcterms:W3CDTF">2026-01-17T16:25:29Z</dcterms:modified>
  <cp:lastModifiedBy>劉桓宇</cp:lastModifiedBy>
  <cp:lastPrinted>2022-03-14T09:00:18Z</cp:lastPrinted>
</cp:coreProperties>
</file>