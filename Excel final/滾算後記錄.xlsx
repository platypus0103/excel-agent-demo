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code\信邦\ai_agent2\Excel final\"/>
    </mc:Choice>
  </mc:AlternateContent>
  <xr:revisionPtr revIDLastSave="0" documentId="13_ncr:1_{5662B9E5-03EF-454C-9DF0-AF5B0D2230D7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滾算紀錄單(總紀錄)" sheetId="7" r:id="rId1"/>
    <sheet name="滾算紀錄單(使用者記錄)" sheetId="8" r:id="rId2"/>
    <sheet name="滾算紀錄1" sheetId="9" r:id="rId3"/>
  </sheets>
  <definedNames>
    <definedName name="ret_tlt0" localSheetId="2">#REF!</definedName>
    <definedName name="ret_tlt0">#REF!</definedName>
    <definedName name="ss" localSheetId="2">#REF!</definedName>
    <definedName name="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9" l="1"/>
  <c r="I67" i="9" l="1"/>
  <c r="J67" i="9"/>
  <c r="K67" i="9"/>
  <c r="L67" i="9"/>
  <c r="M67" i="9"/>
  <c r="M86" i="9" s="1"/>
  <c r="N67" i="9"/>
  <c r="O67" i="9"/>
  <c r="P67" i="9"/>
  <c r="Q67" i="9"/>
  <c r="R67" i="9"/>
  <c r="S67" i="9"/>
  <c r="T67" i="9"/>
  <c r="U67" i="9"/>
  <c r="V67" i="9"/>
  <c r="W67" i="9"/>
  <c r="D67" i="9"/>
  <c r="D86" i="9" s="1"/>
  <c r="D92" i="9"/>
  <c r="C44" i="9"/>
  <c r="E67" i="9" s="1"/>
  <c r="E86" i="9" s="1"/>
  <c r="M41" i="9"/>
  <c r="M64" i="9" s="1"/>
  <c r="M54" i="9" s="1"/>
  <c r="N41" i="9"/>
  <c r="N64" i="9" s="1"/>
  <c r="O41" i="9"/>
  <c r="O64" i="9" s="1"/>
  <c r="P41" i="9"/>
  <c r="P64" i="9" s="1"/>
  <c r="Q41" i="9"/>
  <c r="R41" i="9"/>
  <c r="S41" i="9"/>
  <c r="T41" i="9"/>
  <c r="T64" i="9" s="1"/>
  <c r="U41" i="9"/>
  <c r="U64" i="9" s="1"/>
  <c r="V41" i="9"/>
  <c r="V64" i="9" s="1"/>
  <c r="W41" i="9"/>
  <c r="W64" i="9" s="1"/>
  <c r="D41" i="9"/>
  <c r="W40" i="9"/>
  <c r="V40" i="9"/>
  <c r="V63" i="9" s="1"/>
  <c r="U40" i="9"/>
  <c r="U63" i="9" s="1"/>
  <c r="T40" i="9"/>
  <c r="S40" i="9"/>
  <c r="R40" i="9"/>
  <c r="Q40" i="9"/>
  <c r="P40" i="9"/>
  <c r="O40" i="9"/>
  <c r="N40" i="9"/>
  <c r="M40" i="9"/>
  <c r="L40" i="9"/>
  <c r="L41" i="9" s="1"/>
  <c r="L64" i="9" s="1"/>
  <c r="K40" i="9"/>
  <c r="K63" i="9" s="1"/>
  <c r="J40" i="9"/>
  <c r="J41" i="9" s="1"/>
  <c r="J64" i="9" s="1"/>
  <c r="J76" i="9" s="1"/>
  <c r="J77" i="9" s="1"/>
  <c r="J78" i="9" s="1"/>
  <c r="J85" i="9" s="1"/>
  <c r="I40" i="9"/>
  <c r="I63" i="9" s="1"/>
  <c r="H40" i="9"/>
  <c r="H63" i="9" s="1"/>
  <c r="G40" i="9"/>
  <c r="G63" i="9" s="1"/>
  <c r="F40" i="9"/>
  <c r="F41" i="9" s="1"/>
  <c r="F64" i="9" s="1"/>
  <c r="E40" i="9"/>
  <c r="E63" i="9" s="1"/>
  <c r="D40" i="9"/>
  <c r="D63" i="9" s="1"/>
  <c r="P63" i="9"/>
  <c r="Q64" i="9"/>
  <c r="R64" i="9"/>
  <c r="S64" i="9"/>
  <c r="W63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E60" i="9"/>
  <c r="D82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D60" i="9"/>
  <c r="D100" i="9"/>
  <c r="D89" i="9"/>
  <c r="D94" i="9" s="1"/>
  <c r="D104" i="9" s="1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D73" i="9"/>
  <c r="D72" i="9"/>
  <c r="D71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D68" i="9"/>
  <c r="L63" i="9"/>
  <c r="M63" i="9"/>
  <c r="N63" i="9"/>
  <c r="O63" i="9"/>
  <c r="D64" i="9"/>
  <c r="D54" i="9" s="1"/>
  <c r="X76" i="9"/>
  <c r="X77" i="9" s="1"/>
  <c r="C55" i="9"/>
  <c r="K95" i="9" l="1"/>
  <c r="J106" i="9"/>
  <c r="T54" i="9"/>
  <c r="T86" i="9"/>
  <c r="V54" i="9"/>
  <c r="V86" i="9"/>
  <c r="W54" i="9"/>
  <c r="W86" i="9"/>
  <c r="Q54" i="9"/>
  <c r="Q86" i="9"/>
  <c r="O54" i="9"/>
  <c r="O86" i="9"/>
  <c r="H41" i="9"/>
  <c r="H64" i="9" s="1"/>
  <c r="H76" i="9" s="1"/>
  <c r="J54" i="9"/>
  <c r="J55" i="9" s="1"/>
  <c r="J86" i="9"/>
  <c r="R54" i="9"/>
  <c r="R86" i="9"/>
  <c r="N54" i="9"/>
  <c r="N55" i="9" s="1"/>
  <c r="N86" i="9"/>
  <c r="F63" i="9"/>
  <c r="G41" i="9"/>
  <c r="G64" i="9" s="1"/>
  <c r="G54" i="9" s="1"/>
  <c r="E41" i="9"/>
  <c r="E64" i="9" s="1"/>
  <c r="E54" i="9" s="1"/>
  <c r="I54" i="9"/>
  <c r="I55" i="9" s="1"/>
  <c r="I86" i="9"/>
  <c r="S54" i="9"/>
  <c r="S86" i="9"/>
  <c r="J63" i="9"/>
  <c r="K41" i="9"/>
  <c r="K64" i="9" s="1"/>
  <c r="I41" i="9"/>
  <c r="I64" i="9" s="1"/>
  <c r="I76" i="9" s="1"/>
  <c r="K54" i="9"/>
  <c r="K86" i="9"/>
  <c r="H67" i="9"/>
  <c r="G67" i="9"/>
  <c r="G86" i="9" s="1"/>
  <c r="P54" i="9"/>
  <c r="P55" i="9" s="1"/>
  <c r="P86" i="9"/>
  <c r="X78" i="9"/>
  <c r="F67" i="9"/>
  <c r="F86" i="9" s="1"/>
  <c r="U54" i="9"/>
  <c r="U86" i="9"/>
  <c r="L54" i="9"/>
  <c r="L55" i="9" s="1"/>
  <c r="L86" i="9"/>
  <c r="P76" i="9"/>
  <c r="O76" i="9"/>
  <c r="O77" i="9" s="1"/>
  <c r="O78" i="9" s="1"/>
  <c r="O85" i="9" s="1"/>
  <c r="K76" i="9"/>
  <c r="K77" i="9" s="1"/>
  <c r="K78" i="9" s="1"/>
  <c r="K85" i="9" s="1"/>
  <c r="D55" i="9"/>
  <c r="S63" i="9"/>
  <c r="R63" i="9"/>
  <c r="Q63" i="9"/>
  <c r="T63" i="9"/>
  <c r="M76" i="9"/>
  <c r="Q76" i="9"/>
  <c r="N76" i="9"/>
  <c r="N77" i="9" s="1"/>
  <c r="N78" i="9" s="1"/>
  <c r="N85" i="9" s="1"/>
  <c r="D109" i="9"/>
  <c r="E109" i="9" s="1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D76" i="9"/>
  <c r="D77" i="9" s="1"/>
  <c r="T55" i="9"/>
  <c r="S55" i="9"/>
  <c r="W55" i="9"/>
  <c r="R55" i="9"/>
  <c r="V55" i="9"/>
  <c r="U55" i="9"/>
  <c r="Q55" i="9"/>
  <c r="O55" i="9"/>
  <c r="M55" i="9"/>
  <c r="W76" i="9"/>
  <c r="W77" i="9" s="1"/>
  <c r="W78" i="9" s="1"/>
  <c r="W85" i="9" s="1"/>
  <c r="W106" i="9" s="1"/>
  <c r="R76" i="9"/>
  <c r="S76" i="9"/>
  <c r="S77" i="9" s="1"/>
  <c r="U76" i="9"/>
  <c r="L76" i="9"/>
  <c r="L77" i="9" s="1"/>
  <c r="L78" i="9" s="1"/>
  <c r="L85" i="9" s="1"/>
  <c r="T76" i="9"/>
  <c r="V76" i="9"/>
  <c r="K104" i="9"/>
  <c r="P77" i="9"/>
  <c r="P78" i="9" s="1"/>
  <c r="P85" i="9" s="1"/>
  <c r="L95" i="9" l="1"/>
  <c r="K106" i="9"/>
  <c r="M95" i="9"/>
  <c r="L106" i="9"/>
  <c r="G55" i="9"/>
  <c r="M104" i="9"/>
  <c r="H54" i="9"/>
  <c r="H55" i="9" s="1"/>
  <c r="H86" i="9"/>
  <c r="P95" i="9"/>
  <c r="P104" i="9" s="1"/>
  <c r="O106" i="9"/>
  <c r="O95" i="9"/>
  <c r="O104" i="9" s="1"/>
  <c r="N106" i="9"/>
  <c r="E55" i="9"/>
  <c r="G76" i="9"/>
  <c r="P106" i="9"/>
  <c r="Q95" i="9"/>
  <c r="Q104" i="9" s="1"/>
  <c r="F76" i="9"/>
  <c r="E76" i="9"/>
  <c r="E104" i="9" s="1"/>
  <c r="K55" i="9"/>
  <c r="F54" i="9"/>
  <c r="F55" i="9" s="1"/>
  <c r="D56" i="9"/>
  <c r="D57" i="9" s="1"/>
  <c r="D78" i="9"/>
  <c r="D85" i="9" s="1"/>
  <c r="E95" i="9" s="1"/>
  <c r="D87" i="9"/>
  <c r="D99" i="9" s="1"/>
  <c r="D101" i="9" s="1"/>
  <c r="E100" i="9" s="1"/>
  <c r="Q77" i="9"/>
  <c r="Q78" i="9" s="1"/>
  <c r="Q85" i="9" s="1"/>
  <c r="M77" i="9"/>
  <c r="M78" i="9" s="1"/>
  <c r="M85" i="9" s="1"/>
  <c r="I77" i="9"/>
  <c r="I78" i="9" s="1"/>
  <c r="I85" i="9" s="1"/>
  <c r="M87" i="9"/>
  <c r="M99" i="9" s="1"/>
  <c r="W87" i="9"/>
  <c r="W99" i="9" s="1"/>
  <c r="U77" i="9"/>
  <c r="U78" i="9" s="1"/>
  <c r="U85" i="9" s="1"/>
  <c r="L104" i="9"/>
  <c r="V77" i="9"/>
  <c r="V78" i="9" s="1"/>
  <c r="V85" i="9" s="1"/>
  <c r="H77" i="9"/>
  <c r="H78" i="9" s="1"/>
  <c r="H85" i="9" s="1"/>
  <c r="T77" i="9"/>
  <c r="T78" i="9" s="1"/>
  <c r="T85" i="9" s="1"/>
  <c r="S78" i="9"/>
  <c r="S85" i="9" s="1"/>
  <c r="R77" i="9"/>
  <c r="R78" i="9" s="1"/>
  <c r="R85" i="9" s="1"/>
  <c r="K87" i="9"/>
  <c r="K99" i="9" s="1"/>
  <c r="T87" i="9"/>
  <c r="T99" i="9" s="1"/>
  <c r="J87" i="9"/>
  <c r="J99" i="9" s="1"/>
  <c r="N87" i="9"/>
  <c r="N99" i="9" s="1"/>
  <c r="P87" i="9"/>
  <c r="P99" i="9" s="1"/>
  <c r="Q87" i="9"/>
  <c r="Q99" i="9" s="1"/>
  <c r="O87" i="9"/>
  <c r="O99" i="9" s="1"/>
  <c r="D106" i="9"/>
  <c r="G77" i="9" l="1"/>
  <c r="G78" i="9" s="1"/>
  <c r="G85" i="9" s="1"/>
  <c r="J95" i="9"/>
  <c r="J104" i="9" s="1"/>
  <c r="I106" i="9"/>
  <c r="Q106" i="9"/>
  <c r="R95" i="9"/>
  <c r="R104" i="9" s="1"/>
  <c r="V106" i="9"/>
  <c r="W95" i="9"/>
  <c r="E77" i="9"/>
  <c r="E78" i="9" s="1"/>
  <c r="E85" i="9" s="1"/>
  <c r="F77" i="9"/>
  <c r="F78" i="9" s="1"/>
  <c r="F85" i="9" s="1"/>
  <c r="V87" i="9"/>
  <c r="V99" i="9" s="1"/>
  <c r="I87" i="9"/>
  <c r="I99" i="9" s="1"/>
  <c r="R106" i="9"/>
  <c r="S95" i="9"/>
  <c r="S104" i="9" s="1"/>
  <c r="R87" i="9"/>
  <c r="R99" i="9" s="1"/>
  <c r="E56" i="9"/>
  <c r="I95" i="9"/>
  <c r="I104" i="9" s="1"/>
  <c r="H106" i="9"/>
  <c r="U106" i="9"/>
  <c r="V95" i="9"/>
  <c r="V104" i="9" s="1"/>
  <c r="N95" i="9"/>
  <c r="N104" i="9" s="1"/>
  <c r="M106" i="9"/>
  <c r="U87" i="9"/>
  <c r="U99" i="9" s="1"/>
  <c r="S106" i="9"/>
  <c r="T95" i="9"/>
  <c r="T104" i="9" s="1"/>
  <c r="H87" i="9"/>
  <c r="H99" i="9" s="1"/>
  <c r="T106" i="9"/>
  <c r="U95" i="9"/>
  <c r="U104" i="9" s="1"/>
  <c r="L87" i="9"/>
  <c r="L99" i="9" s="1"/>
  <c r="X95" i="9"/>
  <c r="W104" i="9"/>
  <c r="S87" i="9"/>
  <c r="S99" i="9" s="1"/>
  <c r="C107" i="9"/>
  <c r="F106" i="9" l="1"/>
  <c r="G95" i="9"/>
  <c r="G104" i="9" s="1"/>
  <c r="F87" i="9"/>
  <c r="F99" i="9" s="1"/>
  <c r="E57" i="9"/>
  <c r="F56" i="9"/>
  <c r="F95" i="9"/>
  <c r="F104" i="9" s="1"/>
  <c r="E87" i="9"/>
  <c r="E99" i="9" s="1"/>
  <c r="E101" i="9" s="1"/>
  <c r="F100" i="9" s="1"/>
  <c r="F101" i="9" s="1"/>
  <c r="G100" i="9" s="1"/>
  <c r="E106" i="9"/>
  <c r="H95" i="9"/>
  <c r="H104" i="9" s="1"/>
  <c r="G106" i="9"/>
  <c r="G87" i="9"/>
  <c r="G99" i="9" s="1"/>
  <c r="G101" i="9" s="1"/>
  <c r="H100" i="9" s="1"/>
  <c r="H101" i="9" s="1"/>
  <c r="I100" i="9" s="1"/>
  <c r="I101" i="9" s="1"/>
  <c r="J100" i="9" s="1"/>
  <c r="J101" i="9" s="1"/>
  <c r="K100" i="9" s="1"/>
  <c r="K101" i="9" s="1"/>
  <c r="L100" i="9" s="1"/>
  <c r="L101" i="9" s="1"/>
  <c r="M100" i="9" s="1"/>
  <c r="M101" i="9" s="1"/>
  <c r="N100" i="9" s="1"/>
  <c r="N101" i="9" s="1"/>
  <c r="O100" i="9" s="1"/>
  <c r="O101" i="9" s="1"/>
  <c r="P100" i="9" s="1"/>
  <c r="P101" i="9" s="1"/>
  <c r="Q100" i="9" s="1"/>
  <c r="Q101" i="9" s="1"/>
  <c r="R100" i="9" s="1"/>
  <c r="R101" i="9" s="1"/>
  <c r="S100" i="9" s="1"/>
  <c r="S101" i="9" s="1"/>
  <c r="T100" i="9" s="1"/>
  <c r="T101" i="9" s="1"/>
  <c r="U100" i="9" s="1"/>
  <c r="U101" i="9" s="1"/>
  <c r="V100" i="9" s="1"/>
  <c r="V101" i="9" s="1"/>
  <c r="W100" i="9" s="1"/>
  <c r="W101" i="9" s="1"/>
  <c r="X96" i="9" s="1"/>
  <c r="X104" i="9" s="1"/>
  <c r="C105" i="9" s="1"/>
  <c r="G56" i="9" l="1"/>
  <c r="F57" i="9"/>
  <c r="H56" i="9" l="1"/>
  <c r="G57" i="9"/>
  <c r="I56" i="9" l="1"/>
  <c r="H57" i="9"/>
  <c r="J56" i="9" l="1"/>
  <c r="I57" i="9"/>
  <c r="J57" i="9" l="1"/>
  <c r="K56" i="9"/>
  <c r="L56" i="9" l="1"/>
  <c r="K57" i="9"/>
  <c r="M56" i="9" l="1"/>
  <c r="L57" i="9"/>
  <c r="N56" i="9" l="1"/>
  <c r="M57" i="9"/>
  <c r="O56" i="9" l="1"/>
  <c r="N57" i="9"/>
  <c r="P56" i="9" l="1"/>
  <c r="O57" i="9"/>
  <c r="Q56" i="9" l="1"/>
  <c r="P57" i="9"/>
  <c r="Q57" i="9" l="1"/>
  <c r="R56" i="9"/>
  <c r="S56" i="9" l="1"/>
  <c r="R57" i="9"/>
  <c r="T56" i="9" l="1"/>
  <c r="S57" i="9"/>
  <c r="U56" i="9" l="1"/>
  <c r="T57" i="9"/>
  <c r="V56" i="9" l="1"/>
  <c r="U57" i="9"/>
  <c r="W56" i="9" l="1"/>
  <c r="V57" i="9"/>
  <c r="W57" i="9" l="1"/>
  <c r="X56" i="9"/>
  <c r="X57" i="9" s="1"/>
</calcChain>
</file>

<file path=xl/sharedStrings.xml><?xml version="1.0" encoding="utf-8"?>
<sst xmlns="http://schemas.openxmlformats.org/spreadsheetml/2006/main" count="185" uniqueCount="97">
  <si>
    <t>-</t>
  </si>
  <si>
    <t>年份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</si>
  <si>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</si>
  <si>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</si>
  <si>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</si>
  <si>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</si>
  <si>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</si>
  <si>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</si>
  <si>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</si>
  <si>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</si>
  <si>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</si>
  <si>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</si>
  <si>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</si>
  <si>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</si>
  <si>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</si>
  <si>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</si>
  <si>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</si>
  <si>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</si>
  <si>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</si>
  <si>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</si>
  <si>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</si>
  <si>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回收年限評估</t>
  </si>
  <si>
    <t>貸款成數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</si>
  <si>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</si>
  <si>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</si>
  <si>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</si>
  <si>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</si>
  <si>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</si>
  <si>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</si>
  <si>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</si>
  <si>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</si>
  <si>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</si>
  <si>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</si>
  <si>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</si>
  <si>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</si>
  <si>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</si>
  <si>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</si>
  <si>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</si>
  <si>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</si>
  <si>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</si>
  <si>
    <t>電站基本資料</t>
  </si>
  <si>
    <t>電站名稱</t>
  </si>
  <si>
    <t>電站壽命</t>
  </si>
  <si>
    <t>建置量(kWp)</t>
  </si>
  <si>
    <r>
      <rPr>
        <sz val="12"/>
        <color rgb="FF000000"/>
        <rFont val="微軟正黑體"/>
        <family val="2"/>
      </rPr>
      <t>起始年度</t>
    </r>
  </si>
  <si>
    <r>
      <rPr>
        <sz val="12"/>
        <color rgb="FF000000"/>
        <rFont val="微軟正黑體"/>
        <family val="2"/>
      </rPr>
      <t>結束年度</t>
    </r>
  </si>
  <si>
    <r>
      <rPr>
        <b/>
        <sz val="12"/>
        <color rgb="FFFFFFFF"/>
        <rFont val="微軟正黑體"/>
        <family val="2"/>
      </rPr>
      <t>綜合損益表</t>
    </r>
  </si>
  <si>
    <r>
      <rPr>
        <sz val="12"/>
        <color rgb="FF000000"/>
        <rFont val="微軟正黑體"/>
        <family val="2"/>
      </rPr>
      <t>收入</t>
    </r>
  </si>
  <si>
    <r>
      <rPr>
        <sz val="12"/>
        <color rgb="FF000000"/>
        <rFont val="微軟正黑體"/>
        <family val="2"/>
      </rPr>
      <t>收支項目</t>
    </r>
  </si>
  <si>
    <r>
      <rPr>
        <sz val="12"/>
        <color rgb="FF000000"/>
        <rFont val="微軟正黑體"/>
        <family val="2"/>
      </rPr>
      <t>相關參數</t>
    </r>
  </si>
  <si>
    <r>
      <rPr>
        <sz val="12"/>
        <color rgb="FF000000"/>
        <rFont val="微軟正黑體"/>
        <family val="2"/>
      </rPr>
      <t>參數數值</t>
    </r>
  </si>
  <si>
    <t>年限</t>
  </si>
  <si>
    <r>
      <rPr>
        <sz val="12"/>
        <color rgb="FF000000"/>
        <rFont val="微軟正黑體"/>
        <family val="2"/>
      </rPr>
      <t>電費收入</t>
    </r>
  </si>
  <si>
    <r>
      <rPr>
        <sz val="12"/>
        <color rgb="FF000000"/>
        <rFont val="微軟正黑體"/>
        <family val="2"/>
      </rPr>
      <t>年度</t>
    </r>
    <r>
      <rPr>
        <sz val="12"/>
        <color rgb="FF000000"/>
        <rFont val="新細明體"/>
        <family val="2"/>
        <scheme val="minor"/>
      </rPr>
      <t>AC</t>
    </r>
    <r>
      <rPr>
        <sz val="12"/>
        <color rgb="FF000000"/>
        <rFont val="微軟正黑體"/>
        <family val="2"/>
      </rPr>
      <t>併網總發電量</t>
    </r>
  </si>
  <si>
    <r>
      <rPr>
        <sz val="12"/>
        <color rgb="FF000000"/>
        <rFont val="微軟正黑體"/>
        <family val="2"/>
      </rPr>
      <t>首年衰退率</t>
    </r>
  </si>
  <si>
    <r>
      <rPr>
        <sz val="12"/>
        <color rgb="FF000000"/>
        <rFont val="微軟正黑體"/>
        <family val="2"/>
      </rPr>
      <t>次年衰退率</t>
    </r>
  </si>
  <si>
    <r>
      <rPr>
        <sz val="12"/>
        <color rgb="FF000000"/>
        <rFont val="微軟正黑體"/>
        <family val="2"/>
      </rPr>
      <t>躉售費率</t>
    </r>
    <r>
      <rPr>
        <sz val="12"/>
        <color rgb="FF000000"/>
        <rFont val="新細明體"/>
        <family val="2"/>
        <scheme val="minor"/>
      </rPr>
      <t>(FIT)</t>
    </r>
  </si>
  <si>
    <r>
      <rPr>
        <sz val="12"/>
        <color rgb="FF000000"/>
        <rFont val="微軟正黑體"/>
        <family val="2"/>
      </rPr>
      <t>支出</t>
    </r>
  </si>
  <si>
    <r>
      <rPr>
        <sz val="12"/>
        <color rgb="FF000000"/>
        <rFont val="微軟正黑體"/>
        <family val="2"/>
      </rPr>
      <t>攤提年限</t>
    </r>
  </si>
  <si>
    <r>
      <rPr>
        <sz val="12"/>
        <color rgb="FF000000"/>
        <rFont val="微軟正黑體"/>
        <family val="2"/>
      </rPr>
      <t>設備費用</t>
    </r>
    <r>
      <rPr>
        <sz val="12"/>
        <color rgb="FF000000"/>
        <rFont val="新細明體"/>
        <family val="2"/>
        <scheme val="minor"/>
      </rPr>
      <t>(</t>
    </r>
    <r>
      <rPr>
        <sz val="12"/>
        <color rgb="FF000000"/>
        <rFont val="微軟正黑體"/>
        <family val="2"/>
      </rPr>
      <t>價金</t>
    </r>
    <r>
      <rPr>
        <sz val="12"/>
        <color rgb="FF000000"/>
        <rFont val="新細明體"/>
        <family val="2"/>
        <scheme val="minor"/>
      </rPr>
      <t>)</t>
    </r>
  </si>
  <si>
    <t>每kWp設備成本</t>
  </si>
  <si>
    <r>
      <rPr>
        <sz val="12"/>
        <color rgb="FF000000"/>
        <rFont val="微軟正黑體"/>
        <family val="2"/>
      </rPr>
      <t>信邦利潤率</t>
    </r>
  </si>
  <si>
    <r>
      <rPr>
        <sz val="12"/>
        <color rgb="FF000000"/>
        <rFont val="微軟正黑體"/>
        <family val="2"/>
      </rPr>
      <t>開發費</t>
    </r>
  </si>
  <si>
    <r>
      <rPr>
        <sz val="12"/>
        <color rgb="FF000000"/>
        <rFont val="微軟正黑體"/>
        <family val="2"/>
      </rPr>
      <t>租金費用</t>
    </r>
  </si>
  <si>
    <t>租金計算方式
(1=固定攤提/2=電費抽成)</t>
  </si>
  <si>
    <t>【方式1參數】租金總額</t>
  </si>
  <si>
    <r>
      <rPr>
        <sz val="12"/>
        <color rgb="FF000000"/>
        <rFont val="微軟正黑體"/>
        <family val="2"/>
      </rPr>
      <t>【方式</t>
    </r>
    <r>
      <rPr>
        <sz val="12"/>
        <color rgb="FF000000"/>
        <rFont val="新細明體"/>
        <family val="2"/>
        <scheme val="minor"/>
      </rPr>
      <t>2</t>
    </r>
    <r>
      <rPr>
        <sz val="12"/>
        <color rgb="FF000000"/>
        <rFont val="微軟正黑體"/>
        <family val="2"/>
      </rPr>
      <t>參數】抽成比率</t>
    </r>
  </si>
  <si>
    <r>
      <rPr>
        <sz val="12"/>
        <color rgb="FF000000"/>
        <rFont val="微軟正黑體"/>
        <family val="2"/>
      </rPr>
      <t>運維費用</t>
    </r>
  </si>
  <si>
    <r>
      <rPr>
        <sz val="12"/>
        <color rgb="FF000000"/>
        <rFont val="微軟正黑體"/>
        <family val="2"/>
      </rPr>
      <t>每</t>
    </r>
    <r>
      <rPr>
        <sz val="12"/>
        <color rgb="FF000000"/>
        <rFont val="新細明體"/>
        <family val="2"/>
        <scheme val="minor"/>
      </rPr>
      <t>kw</t>
    </r>
    <r>
      <rPr>
        <sz val="12"/>
        <color rgb="FF000000"/>
        <rFont val="微軟正黑體"/>
        <family val="2"/>
      </rPr>
      <t>運維成本</t>
    </r>
  </si>
  <si>
    <r>
      <rPr>
        <sz val="12"/>
        <color rgb="FF000000"/>
        <rFont val="微軟正黑體"/>
        <family val="2"/>
      </rPr>
      <t>保險費用</t>
    </r>
  </si>
  <si>
    <t>占整體設備費用比例</t>
  </si>
  <si>
    <r>
      <rPr>
        <sz val="12"/>
        <color rgb="FF000000"/>
        <rFont val="微軟正黑體"/>
        <family val="2"/>
      </rPr>
      <t>模組回收費用</t>
    </r>
  </si>
  <si>
    <r>
      <rPr>
        <sz val="12"/>
        <color rgb="FF000000"/>
        <rFont val="微軟正黑體"/>
        <family val="2"/>
      </rPr>
      <t>每</t>
    </r>
    <r>
      <rPr>
        <sz val="12"/>
        <color rgb="FF000000"/>
        <rFont val="新細明體"/>
        <family val="2"/>
        <scheme val="minor"/>
      </rPr>
      <t>kw</t>
    </r>
    <r>
      <rPr>
        <sz val="12"/>
        <color rgb="FF000000"/>
        <rFont val="微軟正黑體"/>
        <family val="2"/>
      </rPr>
      <t>模組回收成本</t>
    </r>
  </si>
  <si>
    <r>
      <rPr>
        <sz val="12"/>
        <color rgb="FF000000"/>
        <rFont val="微軟正黑體"/>
        <family val="2"/>
      </rPr>
      <t>利息費用</t>
    </r>
  </si>
  <si>
    <r>
      <rPr>
        <sz val="12"/>
        <color rgb="FF000000"/>
        <rFont val="微軟正黑體"/>
        <family val="2"/>
      </rPr>
      <t>銀行利率</t>
    </r>
  </si>
  <si>
    <r>
      <rPr>
        <sz val="12"/>
        <color rgb="FF000000"/>
        <rFont val="微軟正黑體"/>
        <family val="2"/>
      </rPr>
      <t>所得稅</t>
    </r>
  </si>
  <si>
    <r>
      <rPr>
        <sz val="12"/>
        <color rgb="FF000000"/>
        <rFont val="微軟正黑體"/>
        <family val="2"/>
      </rPr>
      <t>所得稅率</t>
    </r>
  </si>
  <si>
    <r>
      <rPr>
        <b/>
        <sz val="12"/>
        <color rgb="FFFFFFFF"/>
        <rFont val="微軟正黑體"/>
        <family val="2"/>
      </rPr>
      <t>現金流量表</t>
    </r>
  </si>
  <si>
    <r>
      <rPr>
        <sz val="12"/>
        <color rgb="FF000000"/>
        <rFont val="微軟正黑體"/>
        <family val="2"/>
      </rPr>
      <t>金流項目</t>
    </r>
  </si>
  <si>
    <t>占總設備費用比例</t>
  </si>
  <si>
    <r>
      <rPr>
        <sz val="12"/>
        <color rgb="FF000000"/>
        <rFont val="微軟正黑體"/>
        <family val="2"/>
      </rPr>
      <t>貸款還款</t>
    </r>
  </si>
  <si>
    <r>
      <rPr>
        <sz val="12"/>
        <color rgb="FF000000"/>
        <rFont val="微軟正黑體"/>
        <family val="2"/>
      </rPr>
      <t>攤還期數</t>
    </r>
  </si>
  <si>
    <r>
      <rPr>
        <sz val="12"/>
        <color rgb="FF000000"/>
        <rFont val="微軟正黑體"/>
        <family val="2"/>
      </rPr>
      <t>現金股利</t>
    </r>
  </si>
  <si>
    <r>
      <rPr>
        <sz val="12"/>
        <color rgb="FF000000"/>
        <rFont val="微軟正黑體"/>
        <family val="2"/>
      </rPr>
      <t>股利比率</t>
    </r>
  </si>
  <si>
    <r>
      <rPr>
        <sz val="12"/>
        <color rgb="FF000000"/>
        <rFont val="微軟正黑體"/>
        <family val="2"/>
      </rPr>
      <t>年底減資</t>
    </r>
  </si>
  <si>
    <r>
      <rPr>
        <b/>
        <sz val="12"/>
        <color rgb="FFFFFFFF"/>
        <rFont val="微軟正黑體"/>
        <family val="2"/>
      </rPr>
      <t>價金每</t>
    </r>
    <r>
      <rPr>
        <b/>
        <sz val="12"/>
        <color rgb="FFFFFFFF"/>
        <rFont val="新細明體"/>
        <family val="2"/>
        <scheme val="minor"/>
      </rPr>
      <t>KW</t>
    </r>
  </si>
  <si>
    <r>
      <rPr>
        <b/>
        <sz val="12"/>
        <color rgb="FFFFFFFF"/>
        <rFont val="微軟正黑體"/>
        <family val="2"/>
      </rPr>
      <t>專案法</t>
    </r>
    <r>
      <rPr>
        <b/>
        <sz val="12"/>
        <color rgb="FFFFFFFF"/>
        <rFont val="新細明體"/>
        <family val="2"/>
        <scheme val="minor"/>
      </rPr>
      <t>IRR</t>
    </r>
  </si>
  <si>
    <r>
      <rPr>
        <b/>
        <sz val="12"/>
        <color rgb="FFFFFFFF"/>
        <rFont val="微軟正黑體"/>
        <family val="2"/>
      </rPr>
      <t>權益法</t>
    </r>
    <r>
      <rPr>
        <b/>
        <sz val="12"/>
        <color rgb="FFFFFFFF"/>
        <rFont val="新細明體"/>
        <family val="2"/>
        <scheme val="minor"/>
      </rPr>
      <t>IRR</t>
    </r>
  </si>
  <si>
    <r>
      <rPr>
        <b/>
        <sz val="12"/>
        <color rgb="FFFFFFFF"/>
        <rFont val="微軟正黑體"/>
        <family val="2"/>
      </rPr>
      <t>信邦利潤率</t>
    </r>
  </si>
  <si>
    <r>
      <rPr>
        <b/>
        <sz val="12"/>
        <color rgb="FFFFFFFF"/>
        <rFont val="微軟正黑體"/>
        <family val="2"/>
      </rPr>
      <t>信邦利潤</t>
    </r>
  </si>
  <si>
    <r>
      <rPr>
        <b/>
        <sz val="12"/>
        <color rgb="FFFFFFFF"/>
        <rFont val="微軟正黑體"/>
        <family val="2"/>
      </rPr>
      <t>每</t>
    </r>
    <r>
      <rPr>
        <b/>
        <sz val="12"/>
        <color rgb="FFFFFFFF"/>
        <rFont val="新細明體"/>
        <family val="2"/>
        <scheme val="minor"/>
      </rPr>
      <t>kw</t>
    </r>
    <r>
      <rPr>
        <b/>
        <sz val="12"/>
        <color rgb="FFFFFFFF"/>
        <rFont val="微軟正黑體"/>
        <family val="2"/>
      </rPr>
      <t>信邦利潤</t>
    </r>
  </si>
  <si>
    <r>
      <rPr>
        <b/>
        <sz val="12"/>
        <color rgb="FFFFFFFF"/>
        <rFont val="微軟正黑體"/>
        <family val="2"/>
      </rPr>
      <t>開發費</t>
    </r>
  </si>
  <si>
    <r>
      <rPr>
        <b/>
        <sz val="12"/>
        <color rgb="FFFFFFFF"/>
        <rFont val="微軟正黑體"/>
        <family val="2"/>
      </rPr>
      <t>備註</t>
    </r>
  </si>
  <si>
    <t>專案法IRR</t>
    <phoneticPr fontId="24" type="noConversion"/>
  </si>
  <si>
    <t>稅前淨利</t>
    <phoneticPr fontId="24" type="noConversion"/>
  </si>
  <si>
    <t>稅後淨利</t>
    <phoneticPr fontId="24" type="noConversion"/>
  </si>
  <si>
    <r>
      <t xml:space="preserve">Outflow : </t>
    </r>
    <r>
      <rPr>
        <sz val="12"/>
        <color rgb="FF000000"/>
        <rFont val="細明體"/>
        <family val="2"/>
      </rPr>
      <t>設備</t>
    </r>
    <r>
      <rPr>
        <sz val="12"/>
        <color rgb="FF000000"/>
        <rFont val="Microsoft JhengHei"/>
        <family val="2"/>
      </rPr>
      <t>折舊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</si>
</sst>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76" formatCode="0.00_);[Red]\(0.00\)"/>
    <numFmt numFmtId="177" formatCode="&quot;$&quot;#,##0.00_);[Red]\(&quot;$&quot;#,##0.00\)"/>
    <numFmt numFmtId="178" formatCode="0.000%"/>
    <numFmt numFmtId="179" formatCode="0.0000%"/>
    <numFmt numFmtId="180" formatCode="0.00000%"/>
  </numFmts>
  <fonts count="32">
    <font>
      <sz val="11"/>
      <color theme="1"/>
      <name val="新細明體"/>
      <family val="2"/>
      <scheme val="minor"/>
    </font>
    <font>
      <sz val="12"/>
      <color theme="1"/>
      <name val="新細明體"/>
      <family val="2"/>
    </font>
    <font>
      <b/>
      <sz val="12"/>
      <color theme="1"/>
      <name val="新細明體"/>
      <family val="2"/>
    </font>
    <font>
      <sz val="11"/>
      <color theme="1"/>
      <name val="Calibri"/>
      <family val="2"/>
    </font>
    <font>
      <sz val="12"/>
      <color theme="1"/>
      <name val="微軟正黑體"/>
      <family val="2"/>
    </font>
    <font>
      <sz val="12"/>
      <color rgb="FF000000"/>
      <name val="新細明體"/>
      <family val="2"/>
    </font>
    <font>
      <sz val="10"/>
      <color rgb="FF000000"/>
      <name val="新細明體"/>
      <family val="2"/>
    </font>
    <font>
      <sz val="12"/>
      <color rgb="FFFFFFFF"/>
      <name val="新細明體"/>
      <family val="2"/>
    </font>
    <font>
      <sz val="12"/>
      <color rgb="FF000000"/>
      <name val="Arial"/>
      <family val="2"/>
    </font>
    <font>
      <sz val="12"/>
      <color rgb="FF000000"/>
      <name val="微軟正黑體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b/>
      <sz val="12"/>
      <color rgb="FFFF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theme="1"/>
      <name val="細明體"/>
      <family val="2"/>
    </font>
    <font>
      <b/>
      <sz val="12"/>
      <color rgb="FFFFFFFF"/>
      <name val="微軟正黑體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新細明體"/>
      <family val="2"/>
      <scheme val="minor"/>
    </font>
    <font>
      <b/>
      <sz val="12"/>
      <color rgb="FFFFFFFF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000000"/>
      <name val="細明體"/>
      <family val="3"/>
      <charset val="136"/>
    </font>
    <font>
      <b/>
      <sz val="12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  <scheme val="minor"/>
    </font>
    <font>
      <sz val="12"/>
      <color rgb="FF000000"/>
      <name val="Microsoft JhengHei"/>
      <family val="2"/>
    </font>
    <font>
      <sz val="12"/>
      <color theme="1"/>
      <name val="新細明體"/>
      <family val="2"/>
      <scheme val="minor"/>
    </font>
    <font>
      <sz val="12"/>
      <name val="Arial"/>
      <family val="2"/>
    </font>
    <font>
      <sz val="11"/>
      <color theme="1"/>
      <name val="新細明體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FCC"/>
      </patternFill>
    </fill>
    <fill>
      <patternFill patternType="solid">
        <fgColor rgb="FFDCE6F2"/>
      </patternFill>
    </fill>
    <fill>
      <patternFill patternType="solid">
        <fgColor rgb="FFFFCCCC"/>
      </patternFill>
    </fill>
    <fill>
      <patternFill patternType="solid">
        <fgColor rgb="FF376092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2F75B5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9969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</cellStyleXfs>
  <cellXfs count="133">
    <xf numFmtId="0" fontId="0" fillId="0" borderId="0" xfId="0"/>
    <xf numFmtId="0" fontId="3" fillId="0" borderId="3" xfId="0" applyFont="1" applyBorder="1" applyAlignment="1">
      <alignment horizontal="left"/>
    </xf>
    <xf numFmtId="0" fontId="21" fillId="12" borderId="16" xfId="0" applyFont="1" applyFill="1" applyBorder="1" applyAlignment="1">
      <alignment horizontal="center"/>
    </xf>
    <xf numFmtId="176" fontId="20" fillId="0" borderId="4" xfId="0" applyNumberFormat="1" applyFont="1" applyBorder="1" applyAlignment="1">
      <alignment horizontal="left"/>
    </xf>
    <xf numFmtId="176" fontId="20" fillId="0" borderId="4" xfId="0" applyNumberFormat="1" applyFont="1" applyBorder="1" applyAlignment="1">
      <alignment horizontal="center"/>
    </xf>
    <xf numFmtId="176" fontId="20" fillId="0" borderId="3" xfId="0" applyNumberFormat="1" applyFont="1" applyBorder="1" applyAlignment="1">
      <alignment horizontal="left"/>
    </xf>
    <xf numFmtId="176" fontId="20" fillId="0" borderId="3" xfId="0" applyNumberFormat="1" applyFont="1" applyBorder="1" applyAlignment="1">
      <alignment horizontal="center"/>
    </xf>
    <xf numFmtId="176" fontId="20" fillId="0" borderId="2" xfId="0" applyNumberFormat="1" applyFont="1" applyBorder="1" applyAlignment="1">
      <alignment horizontal="left"/>
    </xf>
    <xf numFmtId="176" fontId="20" fillId="0" borderId="3" xfId="0" applyNumberFormat="1" applyFont="1" applyBorder="1" applyAlignment="1">
      <alignment horizontal="right"/>
    </xf>
    <xf numFmtId="176" fontId="1" fillId="0" borderId="1" xfId="0" applyNumberFormat="1" applyFont="1" applyBorder="1" applyAlignment="1">
      <alignment horizontal="right"/>
    </xf>
    <xf numFmtId="176" fontId="10" fillId="0" borderId="5" xfId="0" applyNumberFormat="1" applyFont="1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176" fontId="0" fillId="0" borderId="0" xfId="0" applyNumberFormat="1"/>
    <xf numFmtId="176" fontId="9" fillId="0" borderId="4" xfId="0" applyNumberFormat="1" applyFont="1" applyBorder="1" applyAlignment="1">
      <alignment horizontal="left"/>
    </xf>
    <xf numFmtId="176" fontId="9" fillId="0" borderId="3" xfId="0" applyNumberFormat="1" applyFont="1" applyBorder="1" applyAlignment="1">
      <alignment horizontal="left"/>
    </xf>
    <xf numFmtId="176" fontId="20" fillId="0" borderId="1" xfId="0" applyNumberFormat="1" applyFont="1" applyBorder="1" applyAlignment="1">
      <alignment horizontal="left"/>
    </xf>
    <xf numFmtId="176" fontId="20" fillId="0" borderId="35" xfId="0" applyNumberFormat="1" applyFont="1" applyBorder="1" applyAlignment="1">
      <alignment horizontal="left"/>
    </xf>
    <xf numFmtId="176" fontId="20" fillId="0" borderId="36" xfId="0" applyNumberFormat="1" applyFont="1" applyBorder="1" applyAlignment="1">
      <alignment horizontal="left"/>
    </xf>
    <xf numFmtId="176" fontId="9" fillId="0" borderId="37" xfId="0" applyNumberFormat="1" applyFont="1" applyBorder="1" applyAlignment="1">
      <alignment horizontal="left"/>
    </xf>
    <xf numFmtId="176" fontId="20" fillId="0" borderId="37" xfId="0" applyNumberFormat="1" applyFont="1" applyBorder="1" applyAlignment="1">
      <alignment horizontal="left"/>
    </xf>
    <xf numFmtId="176" fontId="9" fillId="0" borderId="3" xfId="0" applyNumberFormat="1" applyFont="1" applyBorder="1" applyAlignment="1">
      <alignment horizontal="left" wrapText="1"/>
    </xf>
    <xf numFmtId="176" fontId="3" fillId="0" borderId="1" xfId="0" applyNumberFormat="1" applyFont="1" applyBorder="1" applyAlignment="1">
      <alignment horizontal="left"/>
    </xf>
    <xf numFmtId="176" fontId="1" fillId="0" borderId="1" xfId="0" applyNumberFormat="1" applyFont="1" applyBorder="1" applyAlignment="1">
      <alignment horizontal="left"/>
    </xf>
    <xf numFmtId="176" fontId="11" fillId="0" borderId="20" xfId="0" applyNumberFormat="1" applyFont="1" applyBorder="1" applyAlignment="1">
      <alignment horizontal="right"/>
    </xf>
    <xf numFmtId="176" fontId="12" fillId="0" borderId="7" xfId="0" applyNumberFormat="1" applyFont="1" applyBorder="1" applyAlignment="1">
      <alignment horizontal="left"/>
    </xf>
    <xf numFmtId="176" fontId="12" fillId="0" borderId="21" xfId="0" applyNumberFormat="1" applyFont="1" applyBorder="1" applyAlignment="1">
      <alignment horizontal="left"/>
    </xf>
    <xf numFmtId="176" fontId="4" fillId="0" borderId="19" xfId="0" applyNumberFormat="1" applyFont="1" applyBorder="1" applyAlignment="1">
      <alignment horizontal="left"/>
    </xf>
    <xf numFmtId="176" fontId="1" fillId="0" borderId="21" xfId="0" applyNumberFormat="1" applyFont="1" applyBorder="1" applyAlignment="1">
      <alignment horizontal="left"/>
    </xf>
    <xf numFmtId="176" fontId="1" fillId="0" borderId="19" xfId="0" applyNumberFormat="1" applyFont="1" applyBorder="1" applyAlignment="1">
      <alignment horizontal="center"/>
    </xf>
    <xf numFmtId="176" fontId="1" fillId="0" borderId="22" xfId="0" applyNumberFormat="1" applyFont="1" applyBorder="1" applyAlignment="1">
      <alignment horizontal="left"/>
    </xf>
    <xf numFmtId="176" fontId="8" fillId="0" borderId="24" xfId="0" applyNumberFormat="1" applyFont="1" applyBorder="1" applyAlignment="1">
      <alignment horizontal="right"/>
    </xf>
    <xf numFmtId="176" fontId="10" fillId="4" borderId="10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left"/>
    </xf>
    <xf numFmtId="176" fontId="5" fillId="0" borderId="1" xfId="0" applyNumberFormat="1" applyFont="1" applyBorder="1" applyAlignment="1">
      <alignment horizontal="right"/>
    </xf>
    <xf numFmtId="176" fontId="18" fillId="0" borderId="24" xfId="0" applyNumberFormat="1" applyFont="1" applyBorder="1" applyAlignment="1">
      <alignment horizontal="right"/>
    </xf>
    <xf numFmtId="176" fontId="2" fillId="0" borderId="9" xfId="0" applyNumberFormat="1" applyFont="1" applyBorder="1" applyAlignment="1">
      <alignment horizontal="center"/>
    </xf>
    <xf numFmtId="176" fontId="17" fillId="0" borderId="13" xfId="0" applyNumberFormat="1" applyFont="1" applyBorder="1" applyAlignment="1">
      <alignment horizontal="center"/>
    </xf>
    <xf numFmtId="176" fontId="26" fillId="0" borderId="1" xfId="0" applyNumberFormat="1" applyFont="1" applyBorder="1" applyAlignment="1">
      <alignment horizontal="right"/>
    </xf>
    <xf numFmtId="176" fontId="1" fillId="8" borderId="19" xfId="0" applyNumberFormat="1" applyFont="1" applyFill="1" applyBorder="1" applyAlignment="1">
      <alignment horizontal="center"/>
    </xf>
    <xf numFmtId="176" fontId="17" fillId="0" borderId="14" xfId="0" applyNumberFormat="1" applyFont="1" applyBorder="1" applyAlignment="1">
      <alignment horizontal="center"/>
    </xf>
    <xf numFmtId="176" fontId="8" fillId="0" borderId="1" xfId="0" applyNumberFormat="1" applyFont="1" applyBorder="1" applyAlignment="1">
      <alignment horizontal="left"/>
    </xf>
    <xf numFmtId="176" fontId="6" fillId="0" borderId="1" xfId="0" applyNumberFormat="1" applyFont="1" applyBorder="1" applyAlignment="1">
      <alignment horizontal="left"/>
    </xf>
    <xf numFmtId="0" fontId="10" fillId="0" borderId="8" xfId="0" applyFont="1" applyBorder="1" applyAlignment="1">
      <alignment horizontal="right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10" borderId="16" xfId="0" applyFont="1" applyFill="1" applyBorder="1" applyAlignment="1">
      <alignment horizontal="left"/>
    </xf>
    <xf numFmtId="0" fontId="7" fillId="10" borderId="16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7" borderId="16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77" fontId="8" fillId="9" borderId="25" xfId="0" applyNumberFormat="1" applyFont="1" applyFill="1" applyBorder="1" applyAlignment="1">
      <alignment horizontal="left"/>
    </xf>
    <xf numFmtId="177" fontId="10" fillId="0" borderId="7" xfId="0" applyNumberFormat="1" applyFont="1" applyBorder="1" applyAlignment="1">
      <alignment horizontal="center"/>
    </xf>
    <xf numFmtId="177" fontId="10" fillId="0" borderId="21" xfId="0" applyNumberFormat="1" applyFont="1" applyBorder="1" applyAlignment="1">
      <alignment horizontal="center"/>
    </xf>
    <xf numFmtId="177" fontId="10" fillId="0" borderId="22" xfId="0" applyNumberFormat="1" applyFont="1" applyBorder="1" applyAlignment="1">
      <alignment horizontal="center"/>
    </xf>
    <xf numFmtId="177" fontId="0" fillId="0" borderId="0" xfId="0" applyNumberFormat="1"/>
    <xf numFmtId="177" fontId="8" fillId="9" borderId="26" xfId="0" applyNumberFormat="1" applyFont="1" applyFill="1" applyBorder="1" applyAlignment="1">
      <alignment horizontal="left"/>
    </xf>
    <xf numFmtId="177" fontId="10" fillId="0" borderId="5" xfId="0" applyNumberFormat="1" applyFont="1" applyBorder="1" applyAlignment="1">
      <alignment horizontal="center"/>
    </xf>
    <xf numFmtId="177" fontId="10" fillId="0" borderId="1" xfId="0" applyNumberFormat="1" applyFont="1" applyBorder="1" applyAlignment="1">
      <alignment horizontal="center"/>
    </xf>
    <xf numFmtId="177" fontId="10" fillId="0" borderId="23" xfId="0" applyNumberFormat="1" applyFont="1" applyBorder="1" applyAlignment="1">
      <alignment horizontal="center"/>
    </xf>
    <xf numFmtId="177" fontId="8" fillId="9" borderId="27" xfId="0" applyNumberFormat="1" applyFont="1" applyFill="1" applyBorder="1" applyAlignment="1">
      <alignment horizontal="left"/>
    </xf>
    <xf numFmtId="177" fontId="10" fillId="0" borderId="9" xfId="0" applyNumberFormat="1" applyFont="1" applyBorder="1" applyAlignment="1">
      <alignment horizontal="center"/>
    </xf>
    <xf numFmtId="177" fontId="10" fillId="0" borderId="17" xfId="0" applyNumberFormat="1" applyFont="1" applyBorder="1" applyAlignment="1">
      <alignment horizontal="center"/>
    </xf>
    <xf numFmtId="177" fontId="10" fillId="0" borderId="28" xfId="0" applyNumberFormat="1" applyFont="1" applyBorder="1" applyAlignment="1">
      <alignment horizontal="center"/>
    </xf>
    <xf numFmtId="177" fontId="8" fillId="3" borderId="26" xfId="0" applyNumberFormat="1" applyFont="1" applyFill="1" applyBorder="1" applyAlignment="1">
      <alignment horizontal="left"/>
    </xf>
    <xf numFmtId="177" fontId="10" fillId="2" borderId="16" xfId="0" applyNumberFormat="1" applyFont="1" applyFill="1" applyBorder="1" applyAlignment="1">
      <alignment horizontal="center"/>
    </xf>
    <xf numFmtId="177" fontId="1" fillId="0" borderId="5" xfId="0" applyNumberFormat="1" applyFont="1" applyBorder="1" applyAlignment="1">
      <alignment horizontal="left"/>
    </xf>
    <xf numFmtId="177" fontId="1" fillId="0" borderId="18" xfId="0" applyNumberFormat="1" applyFont="1" applyBorder="1" applyAlignment="1">
      <alignment horizontal="left"/>
    </xf>
    <xf numFmtId="177" fontId="1" fillId="0" borderId="1" xfId="0" applyNumberFormat="1" applyFont="1" applyBorder="1" applyAlignment="1">
      <alignment horizontal="left"/>
    </xf>
    <xf numFmtId="177" fontId="14" fillId="3" borderId="26" xfId="0" applyNumberFormat="1" applyFont="1" applyFill="1" applyBorder="1" applyAlignment="1">
      <alignment horizontal="left"/>
    </xf>
    <xf numFmtId="177" fontId="1" fillId="0" borderId="1" xfId="0" applyNumberFormat="1" applyFont="1" applyBorder="1" applyAlignment="1">
      <alignment horizontal="center"/>
    </xf>
    <xf numFmtId="177" fontId="25" fillId="0" borderId="20" xfId="0" applyNumberFormat="1" applyFont="1" applyBorder="1" applyAlignment="1">
      <alignment horizontal="right"/>
    </xf>
    <xf numFmtId="177" fontId="17" fillId="0" borderId="9" xfId="0" applyNumberFormat="1" applyFont="1" applyBorder="1" applyAlignment="1">
      <alignment horizontal="center"/>
    </xf>
    <xf numFmtId="177" fontId="15" fillId="0" borderId="29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left"/>
    </xf>
    <xf numFmtId="177" fontId="5" fillId="0" borderId="1" xfId="0" applyNumberFormat="1" applyFont="1" applyBorder="1" applyAlignment="1">
      <alignment horizontal="right"/>
    </xf>
    <xf numFmtId="177" fontId="16" fillId="0" borderId="24" xfId="0" applyNumberFormat="1" applyFont="1" applyBorder="1" applyAlignment="1">
      <alignment horizontal="right"/>
    </xf>
    <xf numFmtId="177" fontId="17" fillId="0" borderId="17" xfId="0" applyNumberFormat="1" applyFont="1" applyBorder="1" applyAlignment="1">
      <alignment horizontal="center"/>
    </xf>
    <xf numFmtId="177" fontId="8" fillId="0" borderId="1" xfId="0" applyNumberFormat="1" applyFont="1" applyBorder="1" applyAlignment="1">
      <alignment horizontal="center"/>
    </xf>
    <xf numFmtId="177" fontId="18" fillId="0" borderId="24" xfId="0" applyNumberFormat="1" applyFont="1" applyBorder="1" applyAlignment="1">
      <alignment horizontal="right"/>
    </xf>
    <xf numFmtId="177" fontId="2" fillId="0" borderId="9" xfId="0" applyNumberFormat="1" applyFont="1" applyBorder="1" applyAlignment="1">
      <alignment horizontal="center"/>
    </xf>
    <xf numFmtId="177" fontId="17" fillId="0" borderId="13" xfId="0" applyNumberFormat="1" applyFont="1" applyBorder="1" applyAlignment="1">
      <alignment horizontal="center"/>
    </xf>
    <xf numFmtId="177" fontId="15" fillId="0" borderId="21" xfId="0" applyNumberFormat="1" applyFont="1" applyBorder="1" applyAlignment="1">
      <alignment horizontal="center"/>
    </xf>
    <xf numFmtId="177" fontId="27" fillId="0" borderId="0" xfId="0" applyNumberFormat="1" applyFont="1" applyAlignment="1">
      <alignment horizontal="right"/>
    </xf>
    <xf numFmtId="177" fontId="10" fillId="0" borderId="0" xfId="0" applyNumberFormat="1" applyFont="1" applyAlignment="1">
      <alignment horizontal="center"/>
    </xf>
    <xf numFmtId="177" fontId="17" fillId="0" borderId="28" xfId="0" applyNumberFormat="1" applyFont="1" applyBorder="1" applyAlignment="1">
      <alignment horizontal="center"/>
    </xf>
    <xf numFmtId="177" fontId="9" fillId="0" borderId="1" xfId="0" applyNumberFormat="1" applyFont="1" applyBorder="1" applyAlignment="1">
      <alignment horizontal="left"/>
    </xf>
    <xf numFmtId="177" fontId="9" fillId="0" borderId="1" xfId="0" applyNumberFormat="1" applyFont="1" applyBorder="1" applyAlignment="1">
      <alignment horizontal="center"/>
    </xf>
    <xf numFmtId="177" fontId="9" fillId="0" borderId="6" xfId="0" applyNumberFormat="1" applyFont="1" applyBorder="1" applyAlignment="1">
      <alignment horizontal="center"/>
    </xf>
    <xf numFmtId="177" fontId="8" fillId="0" borderId="1" xfId="0" applyNumberFormat="1" applyFont="1" applyBorder="1" applyAlignment="1">
      <alignment horizontal="right"/>
    </xf>
    <xf numFmtId="177" fontId="9" fillId="0" borderId="1" xfId="0" applyNumberFormat="1" applyFont="1" applyBorder="1" applyAlignment="1">
      <alignment horizontal="right"/>
    </xf>
    <xf numFmtId="177" fontId="8" fillId="0" borderId="1" xfId="0" applyNumberFormat="1" applyFont="1" applyBorder="1" applyAlignment="1">
      <alignment horizontal="left"/>
    </xf>
    <xf numFmtId="177" fontId="9" fillId="0" borderId="12" xfId="0" applyNumberFormat="1" applyFont="1" applyBorder="1" applyAlignment="1">
      <alignment horizontal="left"/>
    </xf>
    <xf numFmtId="177" fontId="9" fillId="0" borderId="12" xfId="0" applyNumberFormat="1" applyFont="1" applyBorder="1" applyAlignment="1">
      <alignment horizontal="right"/>
    </xf>
    <xf numFmtId="177" fontId="9" fillId="0" borderId="12" xfId="0" applyNumberFormat="1" applyFont="1" applyBorder="1" applyAlignment="1">
      <alignment horizontal="center"/>
    </xf>
    <xf numFmtId="177" fontId="9" fillId="0" borderId="15" xfId="0" applyNumberFormat="1" applyFont="1" applyBorder="1" applyAlignment="1">
      <alignment horizontal="left"/>
    </xf>
    <xf numFmtId="177" fontId="9" fillId="0" borderId="15" xfId="0" applyNumberFormat="1" applyFont="1" applyBorder="1" applyAlignment="1">
      <alignment horizontal="right"/>
    </xf>
    <xf numFmtId="177" fontId="29" fillId="0" borderId="0" xfId="0" applyNumberFormat="1" applyFont="1" applyAlignment="1">
      <alignment horizontal="center"/>
    </xf>
    <xf numFmtId="177" fontId="9" fillId="0" borderId="6" xfId="0" applyNumberFormat="1" applyFont="1" applyBorder="1" applyAlignment="1">
      <alignment horizontal="left"/>
    </xf>
    <xf numFmtId="177" fontId="9" fillId="0" borderId="6" xfId="0" applyNumberFormat="1" applyFont="1" applyBorder="1" applyAlignment="1">
      <alignment horizontal="right"/>
    </xf>
    <xf numFmtId="177" fontId="9" fillId="4" borderId="11" xfId="0" applyNumberFormat="1" applyFont="1" applyFill="1" applyBorder="1" applyAlignment="1">
      <alignment horizontal="center"/>
    </xf>
    <xf numFmtId="177" fontId="9" fillId="6" borderId="16" xfId="0" applyNumberFormat="1" applyFont="1" applyFill="1" applyBorder="1" applyAlignment="1">
      <alignment horizontal="center"/>
    </xf>
    <xf numFmtId="178" fontId="9" fillId="2" borderId="16" xfId="1" applyNumberFormat="1" applyFont="1" applyFill="1" applyBorder="1" applyAlignment="1">
      <alignment horizontal="left"/>
    </xf>
    <xf numFmtId="179" fontId="9" fillId="2" borderId="16" xfId="1" applyNumberFormat="1" applyFont="1" applyFill="1" applyBorder="1" applyAlignment="1">
      <alignment horizontal="left"/>
    </xf>
    <xf numFmtId="180" fontId="1" fillId="0" borderId="1" xfId="0" applyNumberFormat="1" applyFont="1" applyBorder="1" applyAlignment="1">
      <alignment horizontal="right"/>
    </xf>
    <xf numFmtId="44" fontId="9" fillId="11" borderId="16" xfId="2" applyFont="1" applyFill="1" applyBorder="1" applyAlignment="1">
      <alignment horizontal="center"/>
    </xf>
    <xf numFmtId="44" fontId="8" fillId="0" borderId="1" xfId="2" applyFont="1" applyBorder="1" applyAlignment="1">
      <alignment horizontal="center"/>
    </xf>
    <xf numFmtId="44" fontId="9" fillId="0" borderId="15" xfId="2" applyFont="1" applyBorder="1" applyAlignment="1">
      <alignment horizontal="right"/>
    </xf>
    <xf numFmtId="44" fontId="9" fillId="0" borderId="15" xfId="2" applyFont="1" applyBorder="1" applyAlignment="1">
      <alignment horizontal="left"/>
    </xf>
    <xf numFmtId="176" fontId="20" fillId="13" borderId="31" xfId="0" applyNumberFormat="1" applyFont="1" applyFill="1" applyBorder="1" applyAlignment="1">
      <alignment horizontal="center"/>
    </xf>
    <xf numFmtId="176" fontId="20" fillId="13" borderId="30" xfId="0" applyNumberFormat="1" applyFont="1" applyFill="1" applyBorder="1" applyAlignment="1">
      <alignment horizontal="center"/>
    </xf>
    <xf numFmtId="176" fontId="20" fillId="13" borderId="32" xfId="0" applyNumberFormat="1" applyFont="1" applyFill="1" applyBorder="1" applyAlignment="1">
      <alignment horizontal="center"/>
    </xf>
    <xf numFmtId="176" fontId="20" fillId="0" borderId="5" xfId="0" applyNumberFormat="1" applyFont="1" applyBorder="1" applyAlignment="1">
      <alignment horizontal="left" vertical="top"/>
    </xf>
    <xf numFmtId="176" fontId="20" fillId="0" borderId="5" xfId="0" applyNumberFormat="1" applyFont="1" applyBorder="1" applyAlignment="1">
      <alignment horizontal="left"/>
    </xf>
    <xf numFmtId="176" fontId="20" fillId="0" borderId="4" xfId="0" applyNumberFormat="1" applyFont="1" applyBorder="1" applyAlignment="1">
      <alignment horizontal="left"/>
    </xf>
    <xf numFmtId="176" fontId="20" fillId="0" borderId="5" xfId="0" applyNumberFormat="1" applyFont="1" applyBorder="1" applyAlignment="1">
      <alignment horizontal="center" vertical="top"/>
    </xf>
    <xf numFmtId="176" fontId="20" fillId="0" borderId="5" xfId="0" applyNumberFormat="1" applyFont="1" applyBorder="1" applyAlignment="1">
      <alignment horizontal="center"/>
    </xf>
    <xf numFmtId="176" fontId="20" fillId="0" borderId="4" xfId="0" applyNumberFormat="1" applyFont="1" applyBorder="1" applyAlignment="1">
      <alignment horizontal="center"/>
    </xf>
    <xf numFmtId="176" fontId="20" fillId="0" borderId="2" xfId="0" applyNumberFormat="1" applyFont="1" applyBorder="1" applyAlignment="1">
      <alignment horizontal="left" vertical="top"/>
    </xf>
    <xf numFmtId="176" fontId="21" fillId="12" borderId="31" xfId="0" applyNumberFormat="1" applyFont="1" applyFill="1" applyBorder="1" applyAlignment="1">
      <alignment horizontal="center"/>
    </xf>
    <xf numFmtId="176" fontId="21" fillId="12" borderId="30" xfId="0" applyNumberFormat="1" applyFont="1" applyFill="1" applyBorder="1" applyAlignment="1">
      <alignment horizontal="center"/>
    </xf>
    <xf numFmtId="176" fontId="21" fillId="12" borderId="32" xfId="0" applyNumberFormat="1" applyFont="1" applyFill="1" applyBorder="1" applyAlignment="1">
      <alignment horizontal="center"/>
    </xf>
    <xf numFmtId="176" fontId="19" fillId="12" borderId="31" xfId="0" applyNumberFormat="1" applyFont="1" applyFill="1" applyBorder="1" applyAlignment="1">
      <alignment horizontal="center"/>
    </xf>
    <xf numFmtId="176" fontId="19" fillId="12" borderId="30" xfId="0" applyNumberFormat="1" applyFont="1" applyFill="1" applyBorder="1" applyAlignment="1">
      <alignment horizontal="center"/>
    </xf>
    <xf numFmtId="176" fontId="19" fillId="12" borderId="32" xfId="0" applyNumberFormat="1" applyFont="1" applyFill="1" applyBorder="1" applyAlignment="1">
      <alignment horizontal="center"/>
    </xf>
    <xf numFmtId="176" fontId="20" fillId="5" borderId="33" xfId="0" applyNumberFormat="1" applyFont="1" applyFill="1" applyBorder="1" applyAlignment="1">
      <alignment horizontal="center"/>
    </xf>
    <xf numFmtId="176" fontId="20" fillId="5" borderId="16" xfId="0" applyNumberFormat="1" applyFont="1" applyFill="1" applyBorder="1" applyAlignment="1">
      <alignment horizontal="center"/>
    </xf>
    <xf numFmtId="176" fontId="20" fillId="5" borderId="34" xfId="0" applyNumberFormat="1" applyFont="1" applyFill="1" applyBorder="1" applyAlignment="1">
      <alignment horizontal="center"/>
    </xf>
  </cellXfs>
  <cellStyles count="3">
    <cellStyle name="一般" xfId="0" builtinId="0"/>
    <cellStyle name="百分比" xfId="1" builtinId="5"/>
    <cellStyle name="貨幣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30"/>
  <sheetViews>
    <sheetView workbookViewId="0"/>
  </sheetViews>
  <sheetFormatPr defaultRowHeight="15"/>
  <cols>
    <col min="1" max="1" width="10.5703125" bestFit="1" customWidth="1"/>
    <col min="2" max="3" width="10.28515625" bestFit="1" customWidth="1"/>
    <col min="4" max="4" width="19.42578125" bestFit="1" customWidth="1"/>
    <col min="5" max="5" width="9.7109375" bestFit="1" customWidth="1"/>
    <col min="6" max="6" width="25.5703125" bestFit="1" customWidth="1"/>
    <col min="7" max="7" width="7.5703125" bestFit="1" customWidth="1"/>
    <col min="8" max="8" width="40.42578125" bestFit="1" customWidth="1"/>
  </cols>
  <sheetData>
    <row r="1" spans="1:8" ht="18.75" customHeight="1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</row>
    <row r="2" spans="1:8" ht="18.75" customHeight="1">
      <c r="A2" s="1"/>
      <c r="B2" s="1"/>
      <c r="C2" s="1"/>
      <c r="D2" s="1"/>
      <c r="E2" s="1"/>
      <c r="F2" s="1"/>
      <c r="G2" s="1"/>
      <c r="H2" s="1"/>
    </row>
    <row r="3" spans="1:8" ht="18.75" customHeight="1">
      <c r="A3" s="1"/>
      <c r="B3" s="1"/>
      <c r="C3" s="1"/>
      <c r="D3" s="1"/>
      <c r="E3" s="1"/>
      <c r="F3" s="1"/>
      <c r="G3" s="1"/>
      <c r="H3" s="1"/>
    </row>
    <row r="4" spans="1:8" ht="18.75" customHeight="1">
      <c r="A4" s="1"/>
      <c r="B4" s="1"/>
      <c r="C4" s="1"/>
      <c r="D4" s="1"/>
      <c r="E4" s="1"/>
      <c r="F4" s="1"/>
      <c r="G4" s="1"/>
      <c r="H4" s="1"/>
    </row>
    <row r="5" spans="1:8" ht="18.75" customHeight="1">
      <c r="A5" s="1"/>
      <c r="B5" s="1"/>
      <c r="C5" s="1"/>
      <c r="D5" s="1"/>
      <c r="E5" s="1"/>
      <c r="F5" s="1"/>
      <c r="G5" s="1"/>
      <c r="H5" s="1"/>
    </row>
    <row r="6" spans="1:8" ht="18.75" customHeight="1">
      <c r="A6" s="1"/>
      <c r="B6" s="1"/>
      <c r="C6" s="1"/>
      <c r="D6" s="1"/>
      <c r="E6" s="1"/>
      <c r="F6" s="1"/>
      <c r="G6" s="1"/>
      <c r="H6" s="1"/>
    </row>
    <row r="7" spans="1:8" ht="18.75" customHeight="1">
      <c r="A7" s="1"/>
      <c r="B7" s="1"/>
      <c r="C7" s="1"/>
      <c r="D7" s="1"/>
      <c r="E7" s="1"/>
      <c r="F7" s="1"/>
      <c r="G7" s="1"/>
      <c r="H7" s="1"/>
    </row>
    <row r="8" spans="1:8" ht="18.75" customHeight="1">
      <c r="A8" s="1"/>
      <c r="B8" s="1"/>
      <c r="C8" s="1"/>
      <c r="D8" s="1"/>
      <c r="E8" s="1"/>
      <c r="F8" s="1"/>
      <c r="G8" s="1"/>
      <c r="H8" s="1"/>
    </row>
    <row r="9" spans="1:8" ht="18.75" customHeight="1">
      <c r="A9" s="1"/>
      <c r="B9" s="1"/>
      <c r="C9" s="1"/>
      <c r="D9" s="1"/>
      <c r="E9" s="1"/>
      <c r="F9" s="1"/>
      <c r="G9" s="1"/>
      <c r="H9" s="1"/>
    </row>
    <row r="10" spans="1:8" ht="18.75" customHeight="1">
      <c r="A10" s="1"/>
      <c r="B10" s="1"/>
      <c r="C10" s="1"/>
      <c r="D10" s="1"/>
      <c r="E10" s="1"/>
      <c r="F10" s="1"/>
      <c r="G10" s="1"/>
      <c r="H10" s="1"/>
    </row>
    <row r="11" spans="1:8" ht="18.75" customHeight="1">
      <c r="A11" s="1"/>
      <c r="B11" s="1"/>
      <c r="C11" s="1"/>
      <c r="D11" s="1"/>
      <c r="E11" s="1"/>
      <c r="F11" s="1"/>
      <c r="G11" s="1"/>
      <c r="H11" s="1"/>
    </row>
    <row r="12" spans="1:8" ht="18.75" customHeight="1">
      <c r="A12" s="1"/>
      <c r="B12" s="1"/>
      <c r="C12" s="1"/>
      <c r="D12" s="1"/>
      <c r="E12" s="1"/>
      <c r="F12" s="1"/>
      <c r="G12" s="1"/>
      <c r="H12" s="1"/>
    </row>
    <row r="13" spans="1:8" ht="18.75" customHeight="1">
      <c r="A13" s="1"/>
      <c r="B13" s="1"/>
      <c r="C13" s="1"/>
      <c r="D13" s="1"/>
      <c r="E13" s="1"/>
      <c r="F13" s="1"/>
      <c r="G13" s="1"/>
      <c r="H13" s="1"/>
    </row>
    <row r="14" spans="1:8" ht="18.75" customHeight="1">
      <c r="A14" s="1"/>
      <c r="B14" s="1"/>
      <c r="C14" s="1"/>
      <c r="D14" s="1"/>
      <c r="E14" s="1"/>
      <c r="F14" s="1"/>
      <c r="G14" s="1"/>
      <c r="H14" s="1"/>
    </row>
    <row r="15" spans="1:8" ht="18.75" customHeight="1">
      <c r="A15" s="1"/>
      <c r="B15" s="1"/>
      <c r="C15" s="1"/>
      <c r="D15" s="1"/>
      <c r="E15" s="1"/>
      <c r="F15" s="1"/>
      <c r="G15" s="1"/>
      <c r="H15" s="1"/>
    </row>
    <row r="16" spans="1:8" ht="18.75" customHeight="1">
      <c r="A16" s="1"/>
      <c r="B16" s="1"/>
      <c r="C16" s="1"/>
      <c r="D16" s="1"/>
      <c r="E16" s="1"/>
      <c r="F16" s="1"/>
      <c r="G16" s="1"/>
      <c r="H16" s="1"/>
    </row>
    <row r="17" spans="1:8" ht="18.75" customHeight="1">
      <c r="A17" s="1"/>
      <c r="B17" s="1"/>
      <c r="C17" s="1"/>
      <c r="D17" s="1"/>
      <c r="E17" s="1"/>
      <c r="F17" s="1"/>
      <c r="G17" s="1"/>
      <c r="H17" s="1"/>
    </row>
    <row r="18" spans="1:8" ht="18.75" customHeight="1">
      <c r="A18" s="1"/>
      <c r="B18" s="1"/>
      <c r="C18" s="1"/>
      <c r="D18" s="1"/>
      <c r="E18" s="1"/>
      <c r="F18" s="1"/>
      <c r="G18" s="1"/>
      <c r="H18" s="1"/>
    </row>
    <row r="19" spans="1:8" ht="18.75" customHeight="1">
      <c r="A19" s="1"/>
      <c r="B19" s="1"/>
      <c r="C19" s="1"/>
      <c r="D19" s="1"/>
      <c r="E19" s="1"/>
      <c r="F19" s="1"/>
      <c r="G19" s="1"/>
      <c r="H19" s="1"/>
    </row>
    <row r="20" spans="1:8" ht="18.75" customHeight="1">
      <c r="A20" s="1"/>
      <c r="B20" s="1"/>
      <c r="C20" s="1"/>
      <c r="D20" s="1"/>
      <c r="E20" s="1"/>
      <c r="F20" s="1"/>
      <c r="G20" s="1"/>
      <c r="H20" s="1"/>
    </row>
    <row r="21" spans="1:8" ht="18.75" customHeight="1">
      <c r="A21" s="1"/>
      <c r="B21" s="1"/>
      <c r="C21" s="1"/>
      <c r="D21" s="1"/>
      <c r="E21" s="1"/>
      <c r="F21" s="1"/>
      <c r="G21" s="1"/>
      <c r="H21" s="1"/>
    </row>
    <row r="22" spans="1:8" ht="18.75" customHeight="1">
      <c r="A22" s="1"/>
      <c r="B22" s="1"/>
      <c r="C22" s="1"/>
      <c r="D22" s="1"/>
      <c r="E22" s="1"/>
      <c r="F22" s="1"/>
      <c r="G22" s="1"/>
      <c r="H22" s="1"/>
    </row>
    <row r="23" spans="1:8" ht="18.75" customHeight="1">
      <c r="A23" s="1"/>
      <c r="B23" s="1"/>
      <c r="C23" s="1"/>
      <c r="D23" s="1"/>
      <c r="E23" s="1"/>
      <c r="F23" s="1"/>
      <c r="G23" s="1"/>
      <c r="H23" s="1"/>
    </row>
    <row r="24" spans="1:8" ht="18.75" customHeight="1">
      <c r="A24" s="1"/>
      <c r="B24" s="1"/>
      <c r="C24" s="1"/>
      <c r="D24" s="1"/>
      <c r="E24" s="1"/>
      <c r="F24" s="1"/>
      <c r="G24" s="1"/>
      <c r="H24" s="1"/>
    </row>
    <row r="25" spans="1:8" ht="18.75" customHeight="1">
      <c r="A25" s="1"/>
      <c r="B25" s="1"/>
      <c r="C25" s="1"/>
      <c r="D25" s="1"/>
      <c r="E25" s="1"/>
      <c r="F25" s="1"/>
      <c r="G25" s="1"/>
      <c r="H25" s="1"/>
    </row>
    <row r="26" spans="1:8" ht="18.75" customHeight="1">
      <c r="A26" s="1"/>
      <c r="B26" s="1"/>
      <c r="C26" s="1"/>
      <c r="D26" s="1"/>
      <c r="E26" s="1"/>
      <c r="F26" s="1"/>
      <c r="G26" s="1"/>
      <c r="H26" s="1"/>
    </row>
    <row r="27" spans="1:8" ht="18.75" customHeight="1">
      <c r="A27" s="1"/>
      <c r="B27" s="1"/>
      <c r="C27" s="1"/>
      <c r="D27" s="1"/>
      <c r="E27" s="1"/>
      <c r="F27" s="1"/>
      <c r="G27" s="1"/>
      <c r="H27" s="1"/>
    </row>
    <row r="28" spans="1:8" ht="18.75" customHeight="1">
      <c r="A28" s="1"/>
      <c r="B28" s="1"/>
      <c r="C28" s="1"/>
      <c r="D28" s="1"/>
      <c r="E28" s="1"/>
      <c r="F28" s="1"/>
      <c r="G28" s="1"/>
      <c r="H28" s="1"/>
    </row>
    <row r="29" spans="1:8" ht="18.75" customHeight="1">
      <c r="A29" s="1"/>
      <c r="B29" s="1"/>
      <c r="C29" s="1"/>
      <c r="D29" s="1"/>
      <c r="E29" s="1"/>
      <c r="F29" s="1"/>
      <c r="G29" s="1"/>
      <c r="H29" s="1"/>
    </row>
    <row r="30" spans="1:8" ht="18.75" customHeight="1">
      <c r="A30" s="1"/>
      <c r="B30" s="1"/>
      <c r="C30" s="1"/>
      <c r="D30" s="1"/>
      <c r="E30" s="1"/>
      <c r="F30" s="1"/>
      <c r="G30" s="1"/>
      <c r="H30" s="1"/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30"/>
  <sheetViews>
    <sheetView workbookViewId="0"/>
  </sheetViews>
  <sheetFormatPr defaultRowHeight="15"/>
  <cols>
    <col min="1" max="1" width="10.5703125" bestFit="1" customWidth="1"/>
    <col min="2" max="3" width="10.28515625" bestFit="1" customWidth="1"/>
    <col min="4" max="4" width="19.42578125" bestFit="1" customWidth="1"/>
    <col min="5" max="5" width="9.7109375" bestFit="1" customWidth="1"/>
    <col min="6" max="6" width="25.5703125" bestFit="1" customWidth="1"/>
    <col min="7" max="7" width="7.5703125" bestFit="1" customWidth="1"/>
    <col min="8" max="8" width="40.42578125" bestFit="1" customWidth="1"/>
  </cols>
  <sheetData>
    <row r="1" spans="1:8" ht="18.75" customHeight="1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</row>
    <row r="2" spans="1:8" ht="18.75" customHeight="1">
      <c r="A2" s="1"/>
      <c r="B2" s="1"/>
      <c r="C2" s="1"/>
      <c r="D2" s="1"/>
      <c r="E2" s="1"/>
      <c r="F2" s="1"/>
      <c r="G2" s="1"/>
      <c r="H2" s="1"/>
    </row>
    <row r="3" spans="1:8" ht="18.75" customHeight="1">
      <c r="A3" s="1"/>
      <c r="B3" s="1"/>
      <c r="C3" s="1"/>
      <c r="D3" s="1"/>
      <c r="E3" s="1"/>
      <c r="F3" s="1"/>
      <c r="G3" s="1"/>
      <c r="H3" s="1"/>
    </row>
    <row r="4" spans="1:8" ht="18.75" customHeight="1">
      <c r="A4" s="1"/>
      <c r="B4" s="1"/>
      <c r="C4" s="1"/>
      <c r="D4" s="1"/>
      <c r="E4" s="1"/>
      <c r="F4" s="1"/>
      <c r="G4" s="1"/>
      <c r="H4" s="1"/>
    </row>
    <row r="5" spans="1:8" ht="18.75" customHeight="1">
      <c r="A5" s="1"/>
      <c r="B5" s="1"/>
      <c r="C5" s="1"/>
      <c r="D5" s="1"/>
      <c r="E5" s="1"/>
      <c r="F5" s="1"/>
      <c r="G5" s="1"/>
      <c r="H5" s="1"/>
    </row>
    <row r="6" spans="1:8" ht="18.75" customHeight="1">
      <c r="A6" s="1"/>
      <c r="B6" s="1"/>
      <c r="C6" s="1"/>
      <c r="D6" s="1"/>
      <c r="E6" s="1"/>
      <c r="F6" s="1"/>
      <c r="G6" s="1"/>
      <c r="H6" s="1"/>
    </row>
    <row r="7" spans="1:8" ht="18.75" customHeight="1">
      <c r="A7" s="1"/>
      <c r="B7" s="1"/>
      <c r="C7" s="1"/>
      <c r="D7" s="1"/>
      <c r="E7" s="1"/>
      <c r="F7" s="1"/>
      <c r="G7" s="1"/>
      <c r="H7" s="1"/>
    </row>
    <row r="8" spans="1:8" ht="18.75" customHeight="1">
      <c r="A8" s="1"/>
      <c r="B8" s="1"/>
      <c r="C8" s="1"/>
      <c r="D8" s="1"/>
      <c r="E8" s="1"/>
      <c r="F8" s="1"/>
      <c r="G8" s="1"/>
      <c r="H8" s="1"/>
    </row>
    <row r="9" spans="1:8" ht="18.75" customHeight="1">
      <c r="A9" s="1"/>
      <c r="B9" s="1"/>
      <c r="C9" s="1"/>
      <c r="D9" s="1"/>
      <c r="E9" s="1"/>
      <c r="F9" s="1"/>
      <c r="G9" s="1"/>
      <c r="H9" s="1"/>
    </row>
    <row r="10" spans="1:8" ht="18.75" customHeight="1">
      <c r="A10" s="1"/>
      <c r="B10" s="1"/>
      <c r="C10" s="1"/>
      <c r="D10" s="1"/>
      <c r="E10" s="1"/>
      <c r="F10" s="1"/>
      <c r="G10" s="1"/>
      <c r="H10" s="1"/>
    </row>
    <row r="11" spans="1:8" ht="18.75" customHeight="1">
      <c r="A11" s="1"/>
      <c r="B11" s="1"/>
      <c r="C11" s="1"/>
      <c r="D11" s="1"/>
      <c r="E11" s="1"/>
      <c r="F11" s="1"/>
      <c r="G11" s="1"/>
      <c r="H11" s="1"/>
    </row>
    <row r="12" spans="1:8" ht="18.75" customHeight="1">
      <c r="A12" s="1"/>
      <c r="B12" s="1"/>
      <c r="C12" s="1"/>
      <c r="D12" s="1"/>
      <c r="E12" s="1"/>
      <c r="F12" s="1"/>
      <c r="G12" s="1"/>
      <c r="H12" s="1"/>
    </row>
    <row r="13" spans="1:8" ht="18.75" customHeight="1">
      <c r="A13" s="1"/>
      <c r="B13" s="1"/>
      <c r="C13" s="1"/>
      <c r="D13" s="1"/>
      <c r="E13" s="1"/>
      <c r="F13" s="1"/>
      <c r="G13" s="1"/>
      <c r="H13" s="1"/>
    </row>
    <row r="14" spans="1:8" ht="18.75" customHeight="1">
      <c r="A14" s="1"/>
      <c r="B14" s="1"/>
      <c r="C14" s="1"/>
      <c r="D14" s="1"/>
      <c r="E14" s="1"/>
      <c r="F14" s="1"/>
      <c r="G14" s="1"/>
      <c r="H14" s="1"/>
    </row>
    <row r="15" spans="1:8" ht="18.75" customHeight="1">
      <c r="A15" s="1"/>
      <c r="B15" s="1"/>
      <c r="C15" s="1"/>
      <c r="D15" s="1"/>
      <c r="E15" s="1"/>
      <c r="F15" s="1"/>
      <c r="G15" s="1"/>
      <c r="H15" s="1"/>
    </row>
    <row r="16" spans="1:8" ht="18.75" customHeight="1">
      <c r="A16" s="1"/>
      <c r="B16" s="1"/>
      <c r="C16" s="1"/>
      <c r="D16" s="1"/>
      <c r="E16" s="1"/>
      <c r="F16" s="1"/>
      <c r="G16" s="1"/>
      <c r="H16" s="1"/>
    </row>
    <row r="17" spans="1:8" ht="18.75" customHeight="1">
      <c r="A17" s="1"/>
      <c r="B17" s="1"/>
      <c r="C17" s="1"/>
      <c r="D17" s="1"/>
      <c r="E17" s="1"/>
      <c r="F17" s="1"/>
      <c r="G17" s="1"/>
      <c r="H17" s="1"/>
    </row>
    <row r="18" spans="1:8" ht="18.75" customHeight="1">
      <c r="A18" s="1"/>
      <c r="B18" s="1"/>
      <c r="C18" s="1"/>
      <c r="D18" s="1"/>
      <c r="E18" s="1"/>
      <c r="F18" s="1"/>
      <c r="G18" s="1"/>
      <c r="H18" s="1"/>
    </row>
    <row r="19" spans="1:8" ht="18.75" customHeight="1">
      <c r="A19" s="1"/>
      <c r="B19" s="1"/>
      <c r="C19" s="1"/>
      <c r="D19" s="1"/>
      <c r="E19" s="1"/>
      <c r="F19" s="1"/>
      <c r="G19" s="1"/>
      <c r="H19" s="1"/>
    </row>
    <row r="20" spans="1:8" ht="18.75" customHeight="1">
      <c r="A20" s="1"/>
      <c r="B20" s="1"/>
      <c r="C20" s="1"/>
      <c r="D20" s="1"/>
      <c r="E20" s="1"/>
      <c r="F20" s="1"/>
      <c r="G20" s="1"/>
      <c r="H20" s="1"/>
    </row>
    <row r="21" spans="1:8" ht="18.75" customHeight="1">
      <c r="A21" s="1"/>
      <c r="B21" s="1"/>
      <c r="C21" s="1"/>
      <c r="D21" s="1"/>
      <c r="E21" s="1"/>
      <c r="F21" s="1"/>
      <c r="G21" s="1"/>
      <c r="H21" s="1"/>
    </row>
    <row r="22" spans="1:8" ht="18.75" customHeight="1">
      <c r="A22" s="1"/>
      <c r="B22" s="1"/>
      <c r="C22" s="1"/>
      <c r="D22" s="1"/>
      <c r="E22" s="1"/>
      <c r="F22" s="1"/>
      <c r="G22" s="1"/>
      <c r="H22" s="1"/>
    </row>
    <row r="23" spans="1:8" ht="18.75" customHeight="1">
      <c r="A23" s="1"/>
      <c r="B23" s="1"/>
      <c r="C23" s="1"/>
      <c r="D23" s="1"/>
      <c r="E23" s="1"/>
      <c r="F23" s="1"/>
      <c r="G23" s="1"/>
      <c r="H23" s="1"/>
    </row>
    <row r="24" spans="1:8" ht="18.75" customHeight="1">
      <c r="A24" s="1"/>
      <c r="B24" s="1"/>
      <c r="C24" s="1"/>
      <c r="D24" s="1"/>
      <c r="E24" s="1"/>
      <c r="F24" s="1"/>
      <c r="G24" s="1"/>
      <c r="H24" s="1"/>
    </row>
    <row r="25" spans="1:8" ht="18.75" customHeight="1">
      <c r="A25" s="1"/>
      <c r="B25" s="1"/>
      <c r="C25" s="1"/>
      <c r="D25" s="1"/>
      <c r="E25" s="1"/>
      <c r="F25" s="1"/>
      <c r="G25" s="1"/>
      <c r="H25" s="1"/>
    </row>
    <row r="26" spans="1:8" ht="18.75" customHeight="1">
      <c r="A26" s="1"/>
      <c r="B26" s="1"/>
      <c r="C26" s="1"/>
      <c r="D26" s="1"/>
      <c r="E26" s="1"/>
      <c r="F26" s="1"/>
      <c r="G26" s="1"/>
      <c r="H26" s="1"/>
    </row>
    <row r="27" spans="1:8" ht="18.75" customHeight="1">
      <c r="A27" s="1"/>
      <c r="B27" s="1"/>
      <c r="C27" s="1"/>
      <c r="D27" s="1"/>
      <c r="E27" s="1"/>
      <c r="F27" s="1"/>
      <c r="G27" s="1"/>
      <c r="H27" s="1"/>
    </row>
    <row r="28" spans="1:8" ht="18.75" customHeight="1">
      <c r="A28" s="1"/>
      <c r="B28" s="1"/>
      <c r="C28" s="1"/>
      <c r="D28" s="1"/>
      <c r="E28" s="1"/>
      <c r="F28" s="1"/>
      <c r="G28" s="1"/>
      <c r="H28" s="1"/>
    </row>
    <row r="29" spans="1:8" ht="18.75" customHeight="1">
      <c r="A29" s="1"/>
      <c r="B29" s="1"/>
      <c r="C29" s="1"/>
      <c r="D29" s="1"/>
      <c r="E29" s="1"/>
      <c r="F29" s="1"/>
      <c r="G29" s="1"/>
      <c r="H29" s="1"/>
    </row>
    <row r="30" spans="1:8" ht="18.75" customHeight="1">
      <c r="A30" s="1"/>
      <c r="B30" s="1"/>
      <c r="C30" s="1"/>
      <c r="D30" s="1"/>
      <c r="E30" s="1"/>
      <c r="F30" s="1"/>
      <c r="G30" s="1"/>
      <c r="H30" s="1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B1:AJ112"/>
  <sheetViews>
    <sheetView tabSelected="1" topLeftCell="A20" workbookViewId="0">
      <selection activeCell="D59" sqref="D59"/>
    </sheetView>
  </sheetViews>
  <sheetFormatPr defaultRowHeight="15"/>
  <cols>
    <col min="1" max="1" width="0.5703125" style="12" bestFit="1" customWidth="1"/>
    <col min="2" max="2" width="33.140625" style="12" bestFit="1" customWidth="1"/>
    <col min="3" max="3" width="20.42578125" style="12" bestFit="1" customWidth="1"/>
    <col min="4" max="24" width="18" style="12" bestFit="1" customWidth="1"/>
    <col min="25" max="25" width="30" style="12" bestFit="1" customWidth="1"/>
    <col min="26" max="29" width="13.5703125" style="12" bestFit="1" customWidth="1"/>
    <col min="30" max="30" width="19.5703125" style="12" bestFit="1" customWidth="1"/>
    <col min="31" max="31" width="20.5703125" style="12" bestFit="1" customWidth="1"/>
    <col min="32" max="32" width="20.28515625" style="12" bestFit="1" customWidth="1"/>
    <col min="33" max="33" width="20.85546875" style="12" bestFit="1" customWidth="1"/>
    <col min="34" max="34" width="15.5703125" style="12" bestFit="1" customWidth="1"/>
    <col min="35" max="35" width="36.85546875" style="12" bestFit="1" customWidth="1"/>
    <col min="36" max="36" width="32.5703125" style="12" bestFit="1" customWidth="1"/>
    <col min="37" max="16384" width="9.140625" style="12"/>
  </cols>
  <sheetData>
    <row r="1" spans="2:5" ht="22.5" customHeight="1">
      <c r="B1" s="127" t="s">
        <v>40</v>
      </c>
      <c r="C1" s="128"/>
      <c r="D1" s="128"/>
      <c r="E1" s="129"/>
    </row>
    <row r="2" spans="2:5" ht="21.75" customHeight="1">
      <c r="B2" s="13" t="s">
        <v>41</v>
      </c>
      <c r="C2" s="3"/>
      <c r="D2" s="4" t="s">
        <v>0</v>
      </c>
      <c r="E2" s="4" t="s">
        <v>0</v>
      </c>
    </row>
    <row r="3" spans="2:5" ht="21.75" customHeight="1">
      <c r="B3" s="14" t="s">
        <v>42</v>
      </c>
      <c r="C3" s="5"/>
      <c r="D3" s="6" t="s">
        <v>0</v>
      </c>
      <c r="E3" s="6" t="s">
        <v>0</v>
      </c>
    </row>
    <row r="4" spans="2:5" ht="21.75" customHeight="1">
      <c r="B4" s="14" t="s">
        <v>43</v>
      </c>
      <c r="C4" s="5"/>
      <c r="D4" s="6" t="s">
        <v>0</v>
      </c>
      <c r="E4" s="6" t="s">
        <v>0</v>
      </c>
    </row>
    <row r="5" spans="2:5" ht="22.5" customHeight="1">
      <c r="B5" s="5" t="s">
        <v>44</v>
      </c>
      <c r="C5" s="5"/>
      <c r="D5" s="5" t="s">
        <v>45</v>
      </c>
      <c r="E5" s="5"/>
    </row>
    <row r="6" spans="2:5" ht="20.25" customHeight="1">
      <c r="B6" s="15"/>
      <c r="C6" s="15"/>
      <c r="D6" s="15"/>
      <c r="E6" s="15"/>
    </row>
    <row r="7" spans="2:5" ht="22.5" customHeight="1">
      <c r="B7" s="124" t="s">
        <v>46</v>
      </c>
      <c r="C7" s="125"/>
      <c r="D7" s="125"/>
      <c r="E7" s="126"/>
    </row>
    <row r="8" spans="2:5" ht="22.5" customHeight="1">
      <c r="B8" s="130" t="s">
        <v>47</v>
      </c>
      <c r="C8" s="131"/>
      <c r="D8" s="131"/>
      <c r="E8" s="132"/>
    </row>
    <row r="9" spans="2:5" ht="22.5" customHeight="1">
      <c r="B9" s="16" t="s">
        <v>48</v>
      </c>
      <c r="C9" s="17" t="s">
        <v>49</v>
      </c>
      <c r="D9" s="17" t="s">
        <v>50</v>
      </c>
      <c r="E9" s="18" t="s">
        <v>51</v>
      </c>
    </row>
    <row r="10" spans="2:5" ht="21.75" customHeight="1">
      <c r="B10" s="117" t="s">
        <v>52</v>
      </c>
      <c r="C10" s="3" t="s">
        <v>53</v>
      </c>
      <c r="D10" s="3"/>
      <c r="E10" s="117"/>
    </row>
    <row r="11" spans="2:5" ht="21.75" customHeight="1">
      <c r="B11" s="118"/>
      <c r="C11" s="5" t="s">
        <v>54</v>
      </c>
      <c r="D11" s="5"/>
      <c r="E11" s="118"/>
    </row>
    <row r="12" spans="2:5" ht="21.75" customHeight="1">
      <c r="B12" s="118"/>
      <c r="C12" s="5" t="s">
        <v>55</v>
      </c>
      <c r="D12" s="5"/>
      <c r="E12" s="118"/>
    </row>
    <row r="13" spans="2:5" ht="22.5" customHeight="1">
      <c r="B13" s="118"/>
      <c r="C13" s="7" t="s">
        <v>56</v>
      </c>
      <c r="D13" s="7"/>
      <c r="E13" s="118"/>
    </row>
    <row r="14" spans="2:5" ht="22.5" customHeight="1">
      <c r="B14" s="114" t="s">
        <v>57</v>
      </c>
      <c r="C14" s="115"/>
      <c r="D14" s="115"/>
      <c r="E14" s="116"/>
    </row>
    <row r="15" spans="2:5" ht="22.5" customHeight="1">
      <c r="B15" s="16" t="s">
        <v>48</v>
      </c>
      <c r="C15" s="17" t="s">
        <v>49</v>
      </c>
      <c r="D15" s="17" t="s">
        <v>50</v>
      </c>
      <c r="E15" s="19" t="s">
        <v>58</v>
      </c>
    </row>
    <row r="16" spans="2:5" ht="21.75" customHeight="1">
      <c r="B16" s="117" t="s">
        <v>59</v>
      </c>
      <c r="C16" s="13" t="s">
        <v>60</v>
      </c>
      <c r="D16" s="3"/>
      <c r="E16" s="120"/>
    </row>
    <row r="17" spans="2:5" ht="21.75" customHeight="1">
      <c r="B17" s="118"/>
      <c r="C17" s="5" t="s">
        <v>61</v>
      </c>
      <c r="D17" s="5"/>
      <c r="E17" s="121"/>
    </row>
    <row r="18" spans="2:5" ht="21.75" customHeight="1">
      <c r="B18" s="119"/>
      <c r="C18" s="5" t="s">
        <v>62</v>
      </c>
      <c r="D18" s="5"/>
      <c r="E18" s="122"/>
    </row>
    <row r="19" spans="2:5" ht="54" customHeight="1">
      <c r="B19" s="123" t="s">
        <v>63</v>
      </c>
      <c r="C19" s="20" t="s">
        <v>64</v>
      </c>
      <c r="D19" s="5"/>
      <c r="E19" s="4" t="s">
        <v>0</v>
      </c>
    </row>
    <row r="20" spans="2:5" ht="20.25" customHeight="1">
      <c r="B20" s="118"/>
      <c r="C20" s="21" t="s">
        <v>65</v>
      </c>
      <c r="D20" s="5"/>
      <c r="E20" s="4"/>
    </row>
    <row r="21" spans="2:5" ht="21.75" customHeight="1">
      <c r="B21" s="119"/>
      <c r="C21" s="5" t="s">
        <v>66</v>
      </c>
      <c r="D21" s="5"/>
      <c r="E21" s="6" t="s">
        <v>0</v>
      </c>
    </row>
    <row r="22" spans="2:5" ht="21.75" customHeight="1">
      <c r="B22" s="5" t="s">
        <v>67</v>
      </c>
      <c r="C22" s="5" t="s">
        <v>68</v>
      </c>
      <c r="D22" s="5"/>
      <c r="E22" s="6"/>
    </row>
    <row r="23" spans="2:5" ht="21.75" customHeight="1">
      <c r="B23" s="5" t="s">
        <v>69</v>
      </c>
      <c r="C23" s="14" t="s">
        <v>70</v>
      </c>
      <c r="D23" s="5"/>
      <c r="E23" s="6"/>
    </row>
    <row r="24" spans="2:5" ht="21.75" customHeight="1">
      <c r="B24" s="5" t="s">
        <v>71</v>
      </c>
      <c r="C24" s="5" t="s">
        <v>72</v>
      </c>
      <c r="D24" s="5"/>
      <c r="E24" s="6"/>
    </row>
    <row r="25" spans="2:5" ht="21.75" customHeight="1">
      <c r="B25" s="5" t="s">
        <v>73</v>
      </c>
      <c r="C25" s="5" t="s">
        <v>74</v>
      </c>
      <c r="D25" s="8"/>
      <c r="E25" s="6" t="s">
        <v>0</v>
      </c>
    </row>
    <row r="26" spans="2:5" ht="22.5" customHeight="1">
      <c r="B26" s="5" t="s">
        <v>75</v>
      </c>
      <c r="C26" s="5" t="s">
        <v>76</v>
      </c>
      <c r="D26" s="5"/>
      <c r="E26" s="6" t="s">
        <v>0</v>
      </c>
    </row>
    <row r="27" spans="2:5" ht="20.25" customHeight="1">
      <c r="B27" s="15"/>
      <c r="C27" s="15"/>
      <c r="D27" s="15"/>
      <c r="E27" s="15"/>
    </row>
    <row r="28" spans="2:5" ht="20.25" customHeight="1">
      <c r="B28" s="15"/>
      <c r="C28" s="15"/>
      <c r="D28" s="15"/>
      <c r="E28" s="15"/>
    </row>
    <row r="29" spans="2:5" ht="22.5" customHeight="1">
      <c r="B29" s="124" t="s">
        <v>77</v>
      </c>
      <c r="C29" s="125"/>
      <c r="D29" s="126"/>
      <c r="E29" s="15"/>
    </row>
    <row r="30" spans="2:5" ht="22.5" customHeight="1">
      <c r="B30" s="16" t="s">
        <v>78</v>
      </c>
      <c r="C30" s="17" t="s">
        <v>49</v>
      </c>
      <c r="D30" s="19" t="s">
        <v>50</v>
      </c>
      <c r="E30" s="15"/>
    </row>
    <row r="31" spans="2:5" ht="18.75" customHeight="1">
      <c r="B31" s="13" t="s">
        <v>22</v>
      </c>
      <c r="C31" s="13" t="s">
        <v>79</v>
      </c>
      <c r="D31" s="3"/>
      <c r="E31" s="15"/>
    </row>
    <row r="32" spans="2:5" ht="18.75" customHeight="1">
      <c r="B32" s="3" t="s">
        <v>80</v>
      </c>
      <c r="C32" s="3" t="s">
        <v>81</v>
      </c>
      <c r="D32" s="3"/>
      <c r="E32" s="15"/>
    </row>
    <row r="33" spans="2:24" ht="18.75" customHeight="1">
      <c r="B33" s="5" t="s">
        <v>82</v>
      </c>
      <c r="C33" s="5" t="s">
        <v>83</v>
      </c>
      <c r="D33" s="5"/>
      <c r="E33" s="15"/>
    </row>
    <row r="34" spans="2:24" ht="18.75" customHeight="1">
      <c r="B34" s="5" t="s">
        <v>84</v>
      </c>
      <c r="C34" s="5" t="s">
        <v>81</v>
      </c>
      <c r="D34" s="5"/>
      <c r="E34" s="15"/>
    </row>
    <row r="35" spans="2:24" ht="18.75" customHeight="1"/>
    <row r="36" spans="2:24" ht="18.75" customHeight="1"/>
    <row r="37" spans="2:24" customFormat="1" ht="18.75" customHeight="1">
      <c r="B37" s="53"/>
      <c r="C37" s="54" t="s">
        <v>1</v>
      </c>
      <c r="D37" s="54">
        <v>2020</v>
      </c>
      <c r="E37" s="54">
        <v>2021</v>
      </c>
      <c r="F37" s="54">
        <v>2022</v>
      </c>
      <c r="G37" s="54">
        <v>2023</v>
      </c>
      <c r="H37" s="54">
        <v>2024</v>
      </c>
      <c r="I37" s="54">
        <v>2025</v>
      </c>
      <c r="J37" s="54">
        <v>2026</v>
      </c>
      <c r="K37" s="54">
        <v>2027</v>
      </c>
      <c r="L37" s="54">
        <v>2028</v>
      </c>
      <c r="M37" s="54">
        <v>2029</v>
      </c>
      <c r="N37" s="54">
        <v>2030</v>
      </c>
      <c r="O37" s="54">
        <v>2031</v>
      </c>
      <c r="P37" s="54">
        <v>2032</v>
      </c>
      <c r="Q37" s="54">
        <v>2033</v>
      </c>
      <c r="R37" s="54">
        <v>2034</v>
      </c>
      <c r="S37" s="54">
        <v>2035</v>
      </c>
      <c r="T37" s="54">
        <v>2036</v>
      </c>
      <c r="U37" s="54">
        <v>2037</v>
      </c>
      <c r="V37" s="54">
        <v>2038</v>
      </c>
      <c r="W37" s="54">
        <v>2039</v>
      </c>
      <c r="X37" s="54"/>
    </row>
    <row r="38" spans="2:24" ht="18.75" customHeight="1">
      <c r="B38" s="23">
        <v>0</v>
      </c>
      <c r="C38" s="24"/>
      <c r="D38" s="25"/>
      <c r="E38" s="25"/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  <c r="U38" s="27"/>
      <c r="V38" s="27"/>
      <c r="W38" s="27"/>
      <c r="X38" s="29"/>
    </row>
    <row r="39" spans="2:24" customFormat="1" ht="18.75" customHeight="1">
      <c r="B39" s="42" t="s">
        <v>3</v>
      </c>
      <c r="C39" s="43">
        <v>0</v>
      </c>
      <c r="D39" s="44">
        <v>1</v>
      </c>
      <c r="E39" s="44">
        <v>2</v>
      </c>
      <c r="F39" s="44">
        <v>3</v>
      </c>
      <c r="G39" s="44">
        <v>4</v>
      </c>
      <c r="H39" s="44">
        <v>5</v>
      </c>
      <c r="I39" s="44">
        <v>6</v>
      </c>
      <c r="J39" s="44">
        <v>7</v>
      </c>
      <c r="K39" s="44">
        <v>8</v>
      </c>
      <c r="L39" s="44">
        <v>9</v>
      </c>
      <c r="M39" s="44">
        <v>10</v>
      </c>
      <c r="N39" s="44">
        <v>11</v>
      </c>
      <c r="O39" s="44">
        <v>12</v>
      </c>
      <c r="P39" s="44">
        <v>13</v>
      </c>
      <c r="Q39" s="44">
        <v>14</v>
      </c>
      <c r="R39" s="44">
        <v>15</v>
      </c>
      <c r="S39" s="44">
        <v>16</v>
      </c>
      <c r="T39" s="45">
        <v>17</v>
      </c>
      <c r="U39" s="44">
        <v>18</v>
      </c>
      <c r="V39" s="44">
        <v>19</v>
      </c>
      <c r="W39" s="44">
        <v>20</v>
      </c>
      <c r="X39" s="46"/>
    </row>
    <row r="40" spans="2:24" ht="18.75" customHeight="1">
      <c r="B40" s="30" t="s">
        <v>4</v>
      </c>
      <c r="C40" s="10">
        <v>0</v>
      </c>
      <c r="D40" s="11">
        <f>$D$10*0.99</f>
        <v>0</v>
      </c>
      <c r="E40" s="11">
        <f>$D$10*0.986</f>
        <v>0</v>
      </c>
      <c r="F40" s="11">
        <f>$D$10*0.982</f>
        <v>0</v>
      </c>
      <c r="G40" s="11">
        <f>$D$10*0.978</f>
        <v>0</v>
      </c>
      <c r="H40" s="11">
        <f>$D$10*0.974</f>
        <v>0</v>
      </c>
      <c r="I40" s="11">
        <f>$D$10*0.97</f>
        <v>0</v>
      </c>
      <c r="J40" s="11">
        <f>$D$10*0.966</f>
        <v>0</v>
      </c>
      <c r="K40" s="11">
        <f>$D$10*0.962</f>
        <v>0</v>
      </c>
      <c r="L40" s="11">
        <f>$D$10*0.958</f>
        <v>0</v>
      </c>
      <c r="M40" s="11">
        <f>$D$10*0.954</f>
        <v>0</v>
      </c>
      <c r="N40" s="11">
        <f>$D$10*0.95</f>
        <v>0</v>
      </c>
      <c r="O40" s="11">
        <f>$D$10*0.946</f>
        <v>0</v>
      </c>
      <c r="P40" s="11">
        <f>$D$10*0.942</f>
        <v>0</v>
      </c>
      <c r="Q40" s="11">
        <f>$D$10*0.938</f>
        <v>0</v>
      </c>
      <c r="R40" s="11">
        <f>$D$10*0.934</f>
        <v>0</v>
      </c>
      <c r="S40" s="11">
        <f>$D$10*0.93</f>
        <v>0</v>
      </c>
      <c r="T40" s="11">
        <f>$D$10*0.926</f>
        <v>0</v>
      </c>
      <c r="U40" s="11">
        <f>$D$10*0.922</f>
        <v>0</v>
      </c>
      <c r="V40" s="11">
        <f>$D$10*0.918</f>
        <v>0</v>
      </c>
      <c r="W40" s="11">
        <f>$D$10*0.914</f>
        <v>0</v>
      </c>
      <c r="X40" s="31"/>
    </row>
    <row r="41" spans="2:24" s="60" customFormat="1" ht="18.75" customHeight="1">
      <c r="B41" s="56" t="s">
        <v>5</v>
      </c>
      <c r="C41" s="57" t="s">
        <v>0</v>
      </c>
      <c r="D41" s="58">
        <f>D40*$D$13</f>
        <v>0</v>
      </c>
      <c r="E41" s="58">
        <f t="shared" ref="E41:W41" si="0">E40*$D$13</f>
        <v>0</v>
      </c>
      <c r="F41" s="58">
        <f t="shared" si="0"/>
        <v>0</v>
      </c>
      <c r="G41" s="58">
        <f t="shared" si="0"/>
        <v>0</v>
      </c>
      <c r="H41" s="58">
        <f t="shared" si="0"/>
        <v>0</v>
      </c>
      <c r="I41" s="58">
        <f t="shared" si="0"/>
        <v>0</v>
      </c>
      <c r="J41" s="58">
        <f t="shared" si="0"/>
        <v>0</v>
      </c>
      <c r="K41" s="58">
        <f t="shared" si="0"/>
        <v>0</v>
      </c>
      <c r="L41" s="58">
        <f t="shared" si="0"/>
        <v>0</v>
      </c>
      <c r="M41" s="58">
        <f t="shared" si="0"/>
        <v>0</v>
      </c>
      <c r="N41" s="58">
        <f t="shared" si="0"/>
        <v>0</v>
      </c>
      <c r="O41" s="58">
        <f t="shared" si="0"/>
        <v>0</v>
      </c>
      <c r="P41" s="58">
        <f t="shared" si="0"/>
        <v>0</v>
      </c>
      <c r="Q41" s="58">
        <f t="shared" si="0"/>
        <v>0</v>
      </c>
      <c r="R41" s="58">
        <f t="shared" si="0"/>
        <v>0</v>
      </c>
      <c r="S41" s="58">
        <f t="shared" si="0"/>
        <v>0</v>
      </c>
      <c r="T41" s="58">
        <f t="shared" si="0"/>
        <v>0</v>
      </c>
      <c r="U41" s="58">
        <f t="shared" si="0"/>
        <v>0</v>
      </c>
      <c r="V41" s="58">
        <f t="shared" si="0"/>
        <v>0</v>
      </c>
      <c r="W41" s="58">
        <f t="shared" si="0"/>
        <v>0</v>
      </c>
      <c r="X41" s="59"/>
    </row>
    <row r="42" spans="2:24" s="60" customFormat="1" ht="18.75" customHeight="1">
      <c r="B42" s="61" t="s">
        <v>6</v>
      </c>
      <c r="C42" s="62" t="s">
        <v>0</v>
      </c>
      <c r="D42" s="63"/>
      <c r="E42" s="63"/>
      <c r="F42" s="63"/>
      <c r="G42" s="63" t="s">
        <v>0</v>
      </c>
      <c r="H42" s="63" t="s">
        <v>0</v>
      </c>
      <c r="I42" s="63" t="s">
        <v>0</v>
      </c>
      <c r="J42" s="63" t="s">
        <v>0</v>
      </c>
      <c r="K42" s="63" t="s">
        <v>0</v>
      </c>
      <c r="L42" s="63" t="s">
        <v>0</v>
      </c>
      <c r="M42" s="63" t="s">
        <v>0</v>
      </c>
      <c r="N42" s="63" t="s">
        <v>0</v>
      </c>
      <c r="O42" s="63" t="s">
        <v>0</v>
      </c>
      <c r="P42" s="63" t="s">
        <v>0</v>
      </c>
      <c r="Q42" s="63" t="s">
        <v>0</v>
      </c>
      <c r="R42" s="63" t="s">
        <v>0</v>
      </c>
      <c r="S42" s="63" t="s">
        <v>0</v>
      </c>
      <c r="T42" s="63" t="s">
        <v>0</v>
      </c>
      <c r="U42" s="63" t="s">
        <v>0</v>
      </c>
      <c r="V42" s="63" t="s">
        <v>0</v>
      </c>
      <c r="W42" s="63" t="s">
        <v>0</v>
      </c>
      <c r="X42" s="64"/>
    </row>
    <row r="43" spans="2:24" s="60" customFormat="1" ht="18.75" customHeight="1">
      <c r="B43" s="65" t="s">
        <v>7</v>
      </c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8"/>
    </row>
    <row r="44" spans="2:24" s="60" customFormat="1" ht="18.75" customHeight="1">
      <c r="B44" s="69" t="s">
        <v>8</v>
      </c>
      <c r="C44" s="62">
        <f>-(D16/(1-D17)+D18)*C4</f>
        <v>0</v>
      </c>
      <c r="D44" s="70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4"/>
    </row>
    <row r="45" spans="2:24" s="60" customFormat="1" ht="18.75" customHeight="1">
      <c r="B45" s="69" t="s">
        <v>9</v>
      </c>
      <c r="C45" s="62" t="s">
        <v>0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4"/>
    </row>
    <row r="46" spans="2:24" s="60" customFormat="1" ht="18.75" customHeight="1">
      <c r="B46" s="69" t="s">
        <v>10</v>
      </c>
      <c r="C46" s="62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4"/>
    </row>
    <row r="47" spans="2:24" s="60" customFormat="1" ht="18.75" customHeight="1">
      <c r="B47" s="69" t="s">
        <v>11</v>
      </c>
      <c r="C47" s="62" t="s">
        <v>0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4"/>
    </row>
    <row r="48" spans="2:24" s="60" customFormat="1" ht="18.75" customHeight="1">
      <c r="B48" s="69" t="s">
        <v>12</v>
      </c>
      <c r="C48" s="62" t="s">
        <v>0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4"/>
    </row>
    <row r="49" spans="2:36" s="60" customFormat="1" ht="18.75" customHeight="1">
      <c r="B49" s="69" t="s">
        <v>13</v>
      </c>
      <c r="C49" s="62" t="s">
        <v>0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4"/>
    </row>
    <row r="50" spans="2:36" s="60" customFormat="1" ht="18.75" customHeight="1">
      <c r="B50" s="69" t="s">
        <v>14</v>
      </c>
      <c r="C50" s="62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4"/>
    </row>
    <row r="51" spans="2:36" s="60" customFormat="1" ht="18.75" customHeight="1">
      <c r="B51" s="69" t="s">
        <v>15</v>
      </c>
      <c r="C51" s="71"/>
      <c r="D51" s="72"/>
      <c r="E51" s="7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4"/>
    </row>
    <row r="52" spans="2:36" s="60" customFormat="1" ht="18.75" customHeight="1">
      <c r="B52" s="69" t="s">
        <v>16</v>
      </c>
      <c r="C52" s="71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4"/>
    </row>
    <row r="53" spans="2:36" s="60" customFormat="1" ht="18.75" customHeight="1">
      <c r="B53" s="74" t="s">
        <v>17</v>
      </c>
      <c r="C53" s="71"/>
      <c r="D53" s="75"/>
      <c r="E53" s="75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4"/>
    </row>
    <row r="54" spans="2:36" s="60" customFormat="1" ht="18.75" customHeight="1" thickBot="1">
      <c r="B54" s="74" t="s">
        <v>18</v>
      </c>
      <c r="C54" s="71"/>
      <c r="D54" s="63" t="e">
        <f>-(D64+D67+D68+D71+D72+D73+D74)*0.2</f>
        <v>#DIV/0!</v>
      </c>
      <c r="E54" s="63" t="e">
        <f t="shared" ref="E54:W54" si="1">-(E64+E67+E68+E71+E72+E73+E74)*0.2</f>
        <v>#DIV/0!</v>
      </c>
      <c r="F54" s="63" t="e">
        <f t="shared" si="1"/>
        <v>#DIV/0!</v>
      </c>
      <c r="G54" s="63" t="e">
        <f t="shared" si="1"/>
        <v>#DIV/0!</v>
      </c>
      <c r="H54" s="63" t="e">
        <f t="shared" si="1"/>
        <v>#DIV/0!</v>
      </c>
      <c r="I54" s="63" t="e">
        <f t="shared" si="1"/>
        <v>#DIV/0!</v>
      </c>
      <c r="J54" s="63" t="e">
        <f t="shared" si="1"/>
        <v>#DIV/0!</v>
      </c>
      <c r="K54" s="63" t="e">
        <f t="shared" si="1"/>
        <v>#DIV/0!</v>
      </c>
      <c r="L54" s="63" t="e">
        <f t="shared" si="1"/>
        <v>#DIV/0!</v>
      </c>
      <c r="M54" s="63" t="e">
        <f t="shared" si="1"/>
        <v>#DIV/0!</v>
      </c>
      <c r="N54" s="63" t="e">
        <f t="shared" si="1"/>
        <v>#DIV/0!</v>
      </c>
      <c r="O54" s="63" t="e">
        <f t="shared" si="1"/>
        <v>#DIV/0!</v>
      </c>
      <c r="P54" s="63" t="e">
        <f t="shared" si="1"/>
        <v>#DIV/0!</v>
      </c>
      <c r="Q54" s="63" t="e">
        <f t="shared" si="1"/>
        <v>#DIV/0!</v>
      </c>
      <c r="R54" s="63" t="e">
        <f t="shared" si="1"/>
        <v>#DIV/0!</v>
      </c>
      <c r="S54" s="63" t="e">
        <f t="shared" si="1"/>
        <v>#DIV/0!</v>
      </c>
      <c r="T54" s="63" t="e">
        <f t="shared" si="1"/>
        <v>#DIV/0!</v>
      </c>
      <c r="U54" s="63" t="e">
        <f t="shared" si="1"/>
        <v>#DIV/0!</v>
      </c>
      <c r="V54" s="63" t="e">
        <f t="shared" si="1"/>
        <v>#DIV/0!</v>
      </c>
      <c r="W54" s="63" t="e">
        <f t="shared" si="1"/>
        <v>#DIV/0!</v>
      </c>
      <c r="X54" s="63"/>
    </row>
    <row r="55" spans="2:36" s="60" customFormat="1" ht="18.75" customHeight="1" thickBot="1">
      <c r="B55" s="76" t="s">
        <v>19</v>
      </c>
      <c r="C55" s="77">
        <f>C44</f>
        <v>0</v>
      </c>
      <c r="D55" s="78" t="e">
        <f>SUM(D41:D54)</f>
        <v>#DIV/0!</v>
      </c>
      <c r="E55" s="78" t="e">
        <f>SUM(E41:E54)</f>
        <v>#DIV/0!</v>
      </c>
      <c r="F55" s="78" t="e">
        <f t="shared" ref="F55:W55" si="2">SUM(F41:F54)</f>
        <v>#DIV/0!</v>
      </c>
      <c r="G55" s="78" t="e">
        <f t="shared" si="2"/>
        <v>#DIV/0!</v>
      </c>
      <c r="H55" s="78" t="e">
        <f t="shared" si="2"/>
        <v>#DIV/0!</v>
      </c>
      <c r="I55" s="78" t="e">
        <f t="shared" si="2"/>
        <v>#DIV/0!</v>
      </c>
      <c r="J55" s="78" t="e">
        <f t="shared" si="2"/>
        <v>#DIV/0!</v>
      </c>
      <c r="K55" s="78" t="e">
        <f t="shared" si="2"/>
        <v>#DIV/0!</v>
      </c>
      <c r="L55" s="78" t="e">
        <f t="shared" si="2"/>
        <v>#DIV/0!</v>
      </c>
      <c r="M55" s="78" t="e">
        <f t="shared" si="2"/>
        <v>#DIV/0!</v>
      </c>
      <c r="N55" s="78" t="e">
        <f t="shared" si="2"/>
        <v>#DIV/0!</v>
      </c>
      <c r="O55" s="78" t="e">
        <f t="shared" si="2"/>
        <v>#DIV/0!</v>
      </c>
      <c r="P55" s="78" t="e">
        <f t="shared" si="2"/>
        <v>#DIV/0!</v>
      </c>
      <c r="Q55" s="78" t="e">
        <f t="shared" si="2"/>
        <v>#DIV/0!</v>
      </c>
      <c r="R55" s="78" t="e">
        <f t="shared" si="2"/>
        <v>#DIV/0!</v>
      </c>
      <c r="S55" s="78" t="e">
        <f t="shared" si="2"/>
        <v>#DIV/0!</v>
      </c>
      <c r="T55" s="78" t="e">
        <f t="shared" si="2"/>
        <v>#DIV/0!</v>
      </c>
      <c r="U55" s="78" t="e">
        <f t="shared" si="2"/>
        <v>#DIV/0!</v>
      </c>
      <c r="V55" s="78" t="e">
        <f t="shared" si="2"/>
        <v>#DIV/0!</v>
      </c>
      <c r="W55" s="78" t="e">
        <f t="shared" si="2"/>
        <v>#DIV/0!</v>
      </c>
      <c r="X55" s="78"/>
      <c r="Y55" s="79"/>
      <c r="Z55" s="80"/>
      <c r="AA55" s="79"/>
      <c r="AB55" s="79"/>
      <c r="AC55" s="79"/>
      <c r="AD55" s="79"/>
      <c r="AE55" s="79"/>
      <c r="AF55" s="79"/>
      <c r="AG55" s="79"/>
      <c r="AH55" s="79"/>
      <c r="AI55" s="79"/>
      <c r="AJ55" s="79"/>
    </row>
    <row r="56" spans="2:36" s="60" customFormat="1" ht="18.75" customHeight="1" thickBot="1">
      <c r="B56" s="81" t="s">
        <v>20</v>
      </c>
      <c r="D56" s="82" t="e">
        <f>C55+D55</f>
        <v>#DIV/0!</v>
      </c>
      <c r="E56" s="82" t="e">
        <f>D56+E55</f>
        <v>#DIV/0!</v>
      </c>
      <c r="F56" s="82" t="e">
        <f>E56+F55</f>
        <v>#DIV/0!</v>
      </c>
      <c r="G56" s="82" t="e">
        <f t="shared" ref="G56:X56" si="3">F56+G55</f>
        <v>#DIV/0!</v>
      </c>
      <c r="H56" s="82" t="e">
        <f t="shared" si="3"/>
        <v>#DIV/0!</v>
      </c>
      <c r="I56" s="82" t="e">
        <f t="shared" si="3"/>
        <v>#DIV/0!</v>
      </c>
      <c r="J56" s="82" t="e">
        <f t="shared" si="3"/>
        <v>#DIV/0!</v>
      </c>
      <c r="K56" s="82" t="e">
        <f t="shared" si="3"/>
        <v>#DIV/0!</v>
      </c>
      <c r="L56" s="82" t="e">
        <f t="shared" si="3"/>
        <v>#DIV/0!</v>
      </c>
      <c r="M56" s="82" t="e">
        <f t="shared" si="3"/>
        <v>#DIV/0!</v>
      </c>
      <c r="N56" s="82" t="e">
        <f t="shared" si="3"/>
        <v>#DIV/0!</v>
      </c>
      <c r="O56" s="82" t="e">
        <f t="shared" si="3"/>
        <v>#DIV/0!</v>
      </c>
      <c r="P56" s="82" t="e">
        <f t="shared" si="3"/>
        <v>#DIV/0!</v>
      </c>
      <c r="Q56" s="82" t="e">
        <f t="shared" si="3"/>
        <v>#DIV/0!</v>
      </c>
      <c r="R56" s="82" t="e">
        <f t="shared" si="3"/>
        <v>#DIV/0!</v>
      </c>
      <c r="S56" s="82" t="e">
        <f t="shared" si="3"/>
        <v>#DIV/0!</v>
      </c>
      <c r="T56" s="82" t="e">
        <f t="shared" si="3"/>
        <v>#DIV/0!</v>
      </c>
      <c r="U56" s="82" t="e">
        <f t="shared" si="3"/>
        <v>#DIV/0!</v>
      </c>
      <c r="V56" s="82" t="e">
        <f t="shared" si="3"/>
        <v>#DIV/0!</v>
      </c>
      <c r="W56" s="82" t="e">
        <f t="shared" si="3"/>
        <v>#DIV/0!</v>
      </c>
      <c r="X56" s="82" t="e">
        <f t="shared" si="3"/>
        <v>#DIV/0!</v>
      </c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</row>
    <row r="57" spans="2:36" s="60" customFormat="1" ht="18.75" customHeight="1" thickBot="1">
      <c r="B57" s="84" t="s">
        <v>21</v>
      </c>
      <c r="C57" s="85"/>
      <c r="D57" s="86" t="e">
        <f>IF((D56)&gt;0,"回收","未回收")</f>
        <v>#DIV/0!</v>
      </c>
      <c r="E57" s="86" t="e">
        <f>IF((E56)&gt;0,"回收","未回收")</f>
        <v>#DIV/0!</v>
      </c>
      <c r="F57" s="86" t="e">
        <f>IF((F56)&gt;0,"回收","未回收")</f>
        <v>#DIV/0!</v>
      </c>
      <c r="G57" s="86" t="e">
        <f>IF((G56)&gt;0,"回收","未回收")</f>
        <v>#DIV/0!</v>
      </c>
      <c r="H57" s="86" t="e">
        <f>IF((H56)&gt;0,"回收","未回收")</f>
        <v>#DIV/0!</v>
      </c>
      <c r="I57" s="86" t="e">
        <f>IF((I56)&gt;0,"回收","未回收")</f>
        <v>#DIV/0!</v>
      </c>
      <c r="J57" s="86" t="e">
        <f>IF((J56)&gt;0,"回收","未回收")</f>
        <v>#DIV/0!</v>
      </c>
      <c r="K57" s="86" t="e">
        <f>IF((K56)&gt;0,"回收","未回收")</f>
        <v>#DIV/0!</v>
      </c>
      <c r="L57" s="86" t="e">
        <f>IF((L56)&gt;0,"回收","未回收")</f>
        <v>#DIV/0!</v>
      </c>
      <c r="M57" s="86" t="e">
        <f>IF((M56)&gt;0,"回收","未回收")</f>
        <v>#DIV/0!</v>
      </c>
      <c r="N57" s="86" t="e">
        <f>IF((N56)&gt;0,"回收","未回收")</f>
        <v>#DIV/0!</v>
      </c>
      <c r="O57" s="86" t="e">
        <f>IF((O56)&gt;0,"回收","未回收")</f>
        <v>#DIV/0!</v>
      </c>
      <c r="P57" s="86" t="e">
        <f>IF((P56)&gt;0,"回收","未回收")</f>
        <v>#DIV/0!</v>
      </c>
      <c r="Q57" s="86" t="e">
        <f>IF((Q56)&gt;0,"回收","未回收")</f>
        <v>#DIV/0!</v>
      </c>
      <c r="R57" s="86" t="e">
        <f>IF((R56)&gt;0,"回收","未回收")</f>
        <v>#DIV/0!</v>
      </c>
      <c r="S57" s="86" t="e">
        <f>IF((S56)&gt;0,"回收","未回收")</f>
        <v>#DIV/0!</v>
      </c>
      <c r="T57" s="86" t="e">
        <f>IF((T56)&gt;0,"回收","未回收")</f>
        <v>#DIV/0!</v>
      </c>
      <c r="U57" s="86" t="e">
        <f>IF((U56)&gt;0,"回收","未回收")</f>
        <v>#DIV/0!</v>
      </c>
      <c r="V57" s="86" t="e">
        <f>IF((V56)&gt;0,"回收","未回收")</f>
        <v>#DIV/0!</v>
      </c>
      <c r="W57" s="86" t="e">
        <f>IF((W56)&gt;0,"回收","未回收")</f>
        <v>#DIV/0!</v>
      </c>
      <c r="X57" s="86" t="e">
        <f>IF((X56)&gt;0,"回收","未回收")</f>
        <v>#DIV/0!</v>
      </c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</row>
    <row r="58" spans="2:36" ht="18.75" customHeight="1">
      <c r="B58" s="37" t="s">
        <v>93</v>
      </c>
      <c r="C58" s="109" t="e">
        <f>IRR(C55:W55)</f>
        <v>#VALUE!</v>
      </c>
      <c r="D58" s="9"/>
      <c r="E58" s="9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 spans="2:36" ht="18.75" customHeight="1">
      <c r="B59" s="22"/>
      <c r="C59" s="9"/>
      <c r="D59" s="9"/>
      <c r="E59" s="9"/>
      <c r="F59" s="22"/>
      <c r="G59" s="22"/>
      <c r="H59" s="22"/>
      <c r="I59" s="22"/>
      <c r="J59" s="22"/>
      <c r="K59" s="22"/>
      <c r="L59" s="22"/>
      <c r="M59" s="9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 spans="2:36" customFormat="1" ht="18.75" customHeight="1" thickBot="1">
      <c r="B60" s="53"/>
      <c r="C60" s="54" t="s">
        <v>1</v>
      </c>
      <c r="D60" s="54">
        <f>D37</f>
        <v>2020</v>
      </c>
      <c r="E60" s="54">
        <f>E37</f>
        <v>2021</v>
      </c>
      <c r="F60" s="54">
        <f>F37</f>
        <v>2022</v>
      </c>
      <c r="G60" s="54">
        <f>G37</f>
        <v>2023</v>
      </c>
      <c r="H60" s="54">
        <f>H37</f>
        <v>2024</v>
      </c>
      <c r="I60" s="54">
        <f>I37</f>
        <v>2025</v>
      </c>
      <c r="J60" s="54">
        <f>J37</f>
        <v>2026</v>
      </c>
      <c r="K60" s="54">
        <f>K37</f>
        <v>2027</v>
      </c>
      <c r="L60" s="54">
        <f>L37</f>
        <v>2028</v>
      </c>
      <c r="M60" s="54">
        <f>M37</f>
        <v>2029</v>
      </c>
      <c r="N60" s="54">
        <f>N37</f>
        <v>2030</v>
      </c>
      <c r="O60" s="54">
        <f>O37</f>
        <v>2031</v>
      </c>
      <c r="P60" s="54">
        <f>P37</f>
        <v>2032</v>
      </c>
      <c r="Q60" s="54">
        <f>Q37</f>
        <v>2033</v>
      </c>
      <c r="R60" s="54">
        <f>R37</f>
        <v>2034</v>
      </c>
      <c r="S60" s="54">
        <f>S37</f>
        <v>2035</v>
      </c>
      <c r="T60" s="54">
        <f>T37</f>
        <v>2036</v>
      </c>
      <c r="U60" s="54">
        <f>U37</f>
        <v>2037</v>
      </c>
      <c r="V60" s="54">
        <f>V37</f>
        <v>2038</v>
      </c>
      <c r="W60" s="54">
        <f>W37</f>
        <v>2039</v>
      </c>
      <c r="X60" s="54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spans="2:36" ht="18.75" customHeight="1">
      <c r="B61" s="23">
        <v>0</v>
      </c>
      <c r="C61" s="24"/>
      <c r="D61" s="25"/>
      <c r="E61" s="25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38" t="s">
        <v>2</v>
      </c>
      <c r="U61" s="27"/>
      <c r="V61" s="27"/>
      <c r="W61" s="27"/>
      <c r="X61" s="29"/>
    </row>
    <row r="62" spans="2:36" customFormat="1" ht="18.75" customHeight="1">
      <c r="B62" s="42" t="s">
        <v>3</v>
      </c>
      <c r="C62" s="43">
        <v>0</v>
      </c>
      <c r="D62" s="44">
        <v>1</v>
      </c>
      <c r="E62" s="44">
        <v>2</v>
      </c>
      <c r="F62" s="44">
        <v>3</v>
      </c>
      <c r="G62" s="44">
        <v>4</v>
      </c>
      <c r="H62" s="44">
        <v>5</v>
      </c>
      <c r="I62" s="44">
        <v>6</v>
      </c>
      <c r="J62" s="44">
        <v>7</v>
      </c>
      <c r="K62" s="44">
        <v>8</v>
      </c>
      <c r="L62" s="44">
        <v>9</v>
      </c>
      <c r="M62" s="44">
        <v>10</v>
      </c>
      <c r="N62" s="44">
        <v>11</v>
      </c>
      <c r="O62" s="44">
        <v>12</v>
      </c>
      <c r="P62" s="44">
        <v>13</v>
      </c>
      <c r="Q62" s="44">
        <v>14</v>
      </c>
      <c r="R62" s="44">
        <v>15</v>
      </c>
      <c r="S62" s="44">
        <v>16</v>
      </c>
      <c r="T62" s="47">
        <v>17</v>
      </c>
      <c r="U62" s="44">
        <v>18</v>
      </c>
      <c r="V62" s="44">
        <v>19</v>
      </c>
      <c r="W62" s="44">
        <v>20</v>
      </c>
      <c r="X62" s="46"/>
    </row>
    <row r="63" spans="2:36" ht="18.75" customHeight="1" thickBot="1">
      <c r="B63" s="30" t="s">
        <v>4</v>
      </c>
      <c r="C63" s="10">
        <v>0</v>
      </c>
      <c r="D63" s="11">
        <f>D40</f>
        <v>0</v>
      </c>
      <c r="E63" s="11">
        <f>E40</f>
        <v>0</v>
      </c>
      <c r="F63" s="11">
        <f>F40</f>
        <v>0</v>
      </c>
      <c r="G63" s="11">
        <f>G40</f>
        <v>0</v>
      </c>
      <c r="H63" s="11">
        <f>H40</f>
        <v>0</v>
      </c>
      <c r="I63" s="11">
        <f>I40</f>
        <v>0</v>
      </c>
      <c r="J63" s="11">
        <f>J40</f>
        <v>0</v>
      </c>
      <c r="K63" s="11">
        <f>K40</f>
        <v>0</v>
      </c>
      <c r="L63" s="11">
        <f>L40</f>
        <v>0</v>
      </c>
      <c r="M63" s="11">
        <f>M40</f>
        <v>0</v>
      </c>
      <c r="N63" s="11">
        <f>N40</f>
        <v>0</v>
      </c>
      <c r="O63" s="11">
        <f>O40</f>
        <v>0</v>
      </c>
      <c r="P63" s="11">
        <f>P40</f>
        <v>0</v>
      </c>
      <c r="Q63" s="11">
        <f>Q40</f>
        <v>0</v>
      </c>
      <c r="R63" s="11">
        <f>R40</f>
        <v>0</v>
      </c>
      <c r="S63" s="11">
        <f>S40</f>
        <v>0</v>
      </c>
      <c r="T63" s="11">
        <f>T40</f>
        <v>0</v>
      </c>
      <c r="U63" s="11">
        <f>U40</f>
        <v>0</v>
      </c>
      <c r="V63" s="11">
        <f>V40</f>
        <v>0</v>
      </c>
      <c r="W63" s="11">
        <f>W40</f>
        <v>0</v>
      </c>
      <c r="X63" s="31"/>
    </row>
    <row r="64" spans="2:36" s="60" customFormat="1" ht="18.75" customHeight="1">
      <c r="B64" s="56" t="s">
        <v>5</v>
      </c>
      <c r="C64" s="57" t="s">
        <v>0</v>
      </c>
      <c r="D64" s="58">
        <f>D41</f>
        <v>0</v>
      </c>
      <c r="E64" s="58">
        <f>E41</f>
        <v>0</v>
      </c>
      <c r="F64" s="58">
        <f>F41</f>
        <v>0</v>
      </c>
      <c r="G64" s="58">
        <f>G41</f>
        <v>0</v>
      </c>
      <c r="H64" s="58">
        <f>H41</f>
        <v>0</v>
      </c>
      <c r="I64" s="58">
        <f>I41</f>
        <v>0</v>
      </c>
      <c r="J64" s="58">
        <f>J41</f>
        <v>0</v>
      </c>
      <c r="K64" s="58">
        <f>K41</f>
        <v>0</v>
      </c>
      <c r="L64" s="58">
        <f>L41</f>
        <v>0</v>
      </c>
      <c r="M64" s="58">
        <f>M41</f>
        <v>0</v>
      </c>
      <c r="N64" s="58">
        <f>N41</f>
        <v>0</v>
      </c>
      <c r="O64" s="58">
        <f>O41</f>
        <v>0</v>
      </c>
      <c r="P64" s="58">
        <f>P41</f>
        <v>0</v>
      </c>
      <c r="Q64" s="58">
        <f>Q41</f>
        <v>0</v>
      </c>
      <c r="R64" s="58">
        <f>R41</f>
        <v>0</v>
      </c>
      <c r="S64" s="58">
        <f>S41</f>
        <v>0</v>
      </c>
      <c r="T64" s="58">
        <f>T41</f>
        <v>0</v>
      </c>
      <c r="U64" s="58">
        <f>U41</f>
        <v>0</v>
      </c>
      <c r="V64" s="58">
        <f>V41</f>
        <v>0</v>
      </c>
      <c r="W64" s="58">
        <f>W41</f>
        <v>0</v>
      </c>
      <c r="X64" s="59"/>
    </row>
    <row r="65" spans="2:24" s="60" customFormat="1" ht="18.75" customHeight="1">
      <c r="B65" s="61" t="s">
        <v>6</v>
      </c>
      <c r="C65" s="62" t="s">
        <v>0</v>
      </c>
      <c r="D65" s="63"/>
      <c r="E65" s="63"/>
      <c r="F65" s="63"/>
      <c r="G65" s="63" t="s">
        <v>0</v>
      </c>
      <c r="H65" s="63" t="s">
        <v>0</v>
      </c>
      <c r="I65" s="63" t="s">
        <v>0</v>
      </c>
      <c r="J65" s="63" t="s">
        <v>0</v>
      </c>
      <c r="K65" s="63" t="s">
        <v>0</v>
      </c>
      <c r="L65" s="63" t="s">
        <v>0</v>
      </c>
      <c r="M65" s="63" t="s">
        <v>0</v>
      </c>
      <c r="N65" s="63" t="s">
        <v>0</v>
      </c>
      <c r="O65" s="63" t="s">
        <v>0</v>
      </c>
      <c r="P65" s="63" t="s">
        <v>0</v>
      </c>
      <c r="Q65" s="63" t="s">
        <v>0</v>
      </c>
      <c r="R65" s="63" t="s">
        <v>0</v>
      </c>
      <c r="S65" s="63" t="s">
        <v>0</v>
      </c>
      <c r="T65" s="63" t="s">
        <v>0</v>
      </c>
      <c r="U65" s="63" t="s">
        <v>0</v>
      </c>
      <c r="V65" s="63" t="s">
        <v>0</v>
      </c>
      <c r="W65" s="63" t="s">
        <v>0</v>
      </c>
      <c r="X65" s="64"/>
    </row>
    <row r="66" spans="2:24" s="60" customFormat="1" ht="18.75" customHeight="1" thickBot="1">
      <c r="B66" s="65" t="s">
        <v>7</v>
      </c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8"/>
    </row>
    <row r="67" spans="2:24" s="60" customFormat="1" ht="18.75" customHeight="1">
      <c r="B67" s="69" t="s">
        <v>96</v>
      </c>
      <c r="C67" s="62"/>
      <c r="D67" s="70" t="e">
        <f>$C$44/$E$16</f>
        <v>#DIV/0!</v>
      </c>
      <c r="E67" s="70" t="e">
        <f t="shared" ref="E67:W67" si="4">$C$44/$E$16</f>
        <v>#DIV/0!</v>
      </c>
      <c r="F67" s="70" t="e">
        <f t="shared" si="4"/>
        <v>#DIV/0!</v>
      </c>
      <c r="G67" s="70" t="e">
        <f t="shared" si="4"/>
        <v>#DIV/0!</v>
      </c>
      <c r="H67" s="70" t="e">
        <f t="shared" si="4"/>
        <v>#DIV/0!</v>
      </c>
      <c r="I67" s="70" t="e">
        <f t="shared" si="4"/>
        <v>#DIV/0!</v>
      </c>
      <c r="J67" s="70" t="e">
        <f t="shared" si="4"/>
        <v>#DIV/0!</v>
      </c>
      <c r="K67" s="70" t="e">
        <f t="shared" si="4"/>
        <v>#DIV/0!</v>
      </c>
      <c r="L67" s="70" t="e">
        <f t="shared" si="4"/>
        <v>#DIV/0!</v>
      </c>
      <c r="M67" s="70" t="e">
        <f t="shared" si="4"/>
        <v>#DIV/0!</v>
      </c>
      <c r="N67" s="70" t="e">
        <f t="shared" si="4"/>
        <v>#DIV/0!</v>
      </c>
      <c r="O67" s="70" t="e">
        <f t="shared" si="4"/>
        <v>#DIV/0!</v>
      </c>
      <c r="P67" s="70" t="e">
        <f t="shared" si="4"/>
        <v>#DIV/0!</v>
      </c>
      <c r="Q67" s="70" t="e">
        <f t="shared" si="4"/>
        <v>#DIV/0!</v>
      </c>
      <c r="R67" s="70" t="e">
        <f t="shared" si="4"/>
        <v>#DIV/0!</v>
      </c>
      <c r="S67" s="70" t="e">
        <f t="shared" si="4"/>
        <v>#DIV/0!</v>
      </c>
      <c r="T67" s="70" t="e">
        <f t="shared" si="4"/>
        <v>#DIV/0!</v>
      </c>
      <c r="U67" s="70" t="e">
        <f t="shared" si="4"/>
        <v>#DIV/0!</v>
      </c>
      <c r="V67" s="70" t="e">
        <f t="shared" si="4"/>
        <v>#DIV/0!</v>
      </c>
      <c r="W67" s="70" t="e">
        <f t="shared" si="4"/>
        <v>#DIV/0!</v>
      </c>
      <c r="X67" s="64"/>
    </row>
    <row r="68" spans="2:24" s="60" customFormat="1" ht="18.75" customHeight="1">
      <c r="B68" s="69" t="s">
        <v>9</v>
      </c>
      <c r="C68" s="62" t="s">
        <v>0</v>
      </c>
      <c r="D68" s="63">
        <f>D45</f>
        <v>0</v>
      </c>
      <c r="E68" s="63">
        <f>E45</f>
        <v>0</v>
      </c>
      <c r="F68" s="63">
        <f>F45</f>
        <v>0</v>
      </c>
      <c r="G68" s="63">
        <f>G45</f>
        <v>0</v>
      </c>
      <c r="H68" s="63">
        <f>H45</f>
        <v>0</v>
      </c>
      <c r="I68" s="63">
        <f>I45</f>
        <v>0</v>
      </c>
      <c r="J68" s="63">
        <f>J45</f>
        <v>0</v>
      </c>
      <c r="K68" s="63">
        <f>K45</f>
        <v>0</v>
      </c>
      <c r="L68" s="63">
        <f>L45</f>
        <v>0</v>
      </c>
      <c r="M68" s="63">
        <f>M45</f>
        <v>0</v>
      </c>
      <c r="N68" s="63">
        <f>N45</f>
        <v>0</v>
      </c>
      <c r="O68" s="63">
        <f>O45</f>
        <v>0</v>
      </c>
      <c r="P68" s="63">
        <f>P45</f>
        <v>0</v>
      </c>
      <c r="Q68" s="63">
        <f>Q45</f>
        <v>0</v>
      </c>
      <c r="R68" s="63">
        <f>R45</f>
        <v>0</v>
      </c>
      <c r="S68" s="63">
        <f>S45</f>
        <v>0</v>
      </c>
      <c r="T68" s="63">
        <f>T45</f>
        <v>0</v>
      </c>
      <c r="U68" s="63">
        <f>U45</f>
        <v>0</v>
      </c>
      <c r="V68" s="63">
        <f>V45</f>
        <v>0</v>
      </c>
      <c r="W68" s="63">
        <f>W45</f>
        <v>0</v>
      </c>
      <c r="X68" s="64"/>
    </row>
    <row r="69" spans="2:24" s="60" customFormat="1" ht="18.75" customHeight="1">
      <c r="B69" s="69" t="s">
        <v>10</v>
      </c>
      <c r="C69" s="62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4"/>
    </row>
    <row r="70" spans="2:24" s="60" customFormat="1" ht="18.75" customHeight="1">
      <c r="B70" s="69" t="s">
        <v>11</v>
      </c>
      <c r="C70" s="62" t="s">
        <v>0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</row>
    <row r="71" spans="2:24" s="60" customFormat="1" ht="18.75" customHeight="1">
      <c r="B71" s="69" t="s">
        <v>12</v>
      </c>
      <c r="C71" s="62" t="s">
        <v>0</v>
      </c>
      <c r="D71" s="63">
        <f>D48</f>
        <v>0</v>
      </c>
      <c r="E71" s="63">
        <f>E48</f>
        <v>0</v>
      </c>
      <c r="F71" s="63">
        <f>F48</f>
        <v>0</v>
      </c>
      <c r="G71" s="63">
        <f>G48</f>
        <v>0</v>
      </c>
      <c r="H71" s="63">
        <f>H48</f>
        <v>0</v>
      </c>
      <c r="I71" s="63">
        <f>I48</f>
        <v>0</v>
      </c>
      <c r="J71" s="63">
        <f>J48</f>
        <v>0</v>
      </c>
      <c r="K71" s="63">
        <f>K48</f>
        <v>0</v>
      </c>
      <c r="L71" s="63">
        <f>L48</f>
        <v>0</v>
      </c>
      <c r="M71" s="63">
        <f>M48</f>
        <v>0</v>
      </c>
      <c r="N71" s="63">
        <f>N48</f>
        <v>0</v>
      </c>
      <c r="O71" s="63">
        <f>O48</f>
        <v>0</v>
      </c>
      <c r="P71" s="63">
        <f>P48</f>
        <v>0</v>
      </c>
      <c r="Q71" s="63">
        <f>Q48</f>
        <v>0</v>
      </c>
      <c r="R71" s="63">
        <f>R48</f>
        <v>0</v>
      </c>
      <c r="S71" s="63">
        <f>S48</f>
        <v>0</v>
      </c>
      <c r="T71" s="63">
        <f>T48</f>
        <v>0</v>
      </c>
      <c r="U71" s="63">
        <f>U48</f>
        <v>0</v>
      </c>
      <c r="V71" s="63">
        <f>V48</f>
        <v>0</v>
      </c>
      <c r="W71" s="63">
        <f>W48</f>
        <v>0</v>
      </c>
      <c r="X71" s="64"/>
    </row>
    <row r="72" spans="2:24" s="60" customFormat="1" ht="18.75" customHeight="1">
      <c r="B72" s="69" t="s">
        <v>13</v>
      </c>
      <c r="C72" s="62" t="s">
        <v>0</v>
      </c>
      <c r="D72" s="63">
        <f>D49</f>
        <v>0</v>
      </c>
      <c r="E72" s="63">
        <f>E49</f>
        <v>0</v>
      </c>
      <c r="F72" s="63">
        <f>F49</f>
        <v>0</v>
      </c>
      <c r="G72" s="63">
        <f>G49</f>
        <v>0</v>
      </c>
      <c r="H72" s="63">
        <f>H49</f>
        <v>0</v>
      </c>
      <c r="I72" s="63">
        <f>I49</f>
        <v>0</v>
      </c>
      <c r="J72" s="63">
        <f>J49</f>
        <v>0</v>
      </c>
      <c r="K72" s="63">
        <f>K49</f>
        <v>0</v>
      </c>
      <c r="L72" s="63">
        <f>L49</f>
        <v>0</v>
      </c>
      <c r="M72" s="63">
        <f>M49</f>
        <v>0</v>
      </c>
      <c r="N72" s="63">
        <f>N49</f>
        <v>0</v>
      </c>
      <c r="O72" s="63">
        <f>O49</f>
        <v>0</v>
      </c>
      <c r="P72" s="63">
        <f>P49</f>
        <v>0</v>
      </c>
      <c r="Q72" s="63">
        <f>Q49</f>
        <v>0</v>
      </c>
      <c r="R72" s="63">
        <f>R49</f>
        <v>0</v>
      </c>
      <c r="S72" s="63">
        <f>S49</f>
        <v>0</v>
      </c>
      <c r="T72" s="63">
        <f>T49</f>
        <v>0</v>
      </c>
      <c r="U72" s="63">
        <f>U49</f>
        <v>0</v>
      </c>
      <c r="V72" s="63">
        <f>V49</f>
        <v>0</v>
      </c>
      <c r="W72" s="63">
        <f>W49</f>
        <v>0</v>
      </c>
      <c r="X72" s="64"/>
    </row>
    <row r="73" spans="2:24" s="60" customFormat="1" ht="18.75" customHeight="1">
      <c r="B73" s="69" t="s">
        <v>14</v>
      </c>
      <c r="C73" s="62"/>
      <c r="D73" s="63">
        <f>D50</f>
        <v>0</v>
      </c>
      <c r="E73" s="63">
        <f>E50</f>
        <v>0</v>
      </c>
      <c r="F73" s="63">
        <f>F50</f>
        <v>0</v>
      </c>
      <c r="G73" s="63">
        <f>G50</f>
        <v>0</v>
      </c>
      <c r="H73" s="63">
        <f>H50</f>
        <v>0</v>
      </c>
      <c r="I73" s="63">
        <f>I50</f>
        <v>0</v>
      </c>
      <c r="J73" s="63">
        <f>J50</f>
        <v>0</v>
      </c>
      <c r="K73" s="63">
        <f>K50</f>
        <v>0</v>
      </c>
      <c r="L73" s="63">
        <f>L50</f>
        <v>0</v>
      </c>
      <c r="M73" s="63">
        <f>M50</f>
        <v>0</v>
      </c>
      <c r="N73" s="63">
        <f>N50</f>
        <v>0</v>
      </c>
      <c r="O73" s="63">
        <f>O50</f>
        <v>0</v>
      </c>
      <c r="P73" s="63">
        <f>P50</f>
        <v>0</v>
      </c>
      <c r="Q73" s="63">
        <f>Q50</f>
        <v>0</v>
      </c>
      <c r="R73" s="63">
        <f>R50</f>
        <v>0</v>
      </c>
      <c r="S73" s="63">
        <f>S50</f>
        <v>0</v>
      </c>
      <c r="T73" s="63">
        <f>T50</f>
        <v>0</v>
      </c>
      <c r="U73" s="63">
        <f>U50</f>
        <v>0</v>
      </c>
      <c r="V73" s="63">
        <f>V50</f>
        <v>0</v>
      </c>
      <c r="W73" s="63">
        <f>W50</f>
        <v>0</v>
      </c>
      <c r="X73" s="64"/>
    </row>
    <row r="74" spans="2:24" s="60" customFormat="1" ht="18.75" customHeight="1">
      <c r="B74" s="69" t="s">
        <v>15</v>
      </c>
      <c r="C74" s="71"/>
      <c r="D74" s="72"/>
      <c r="E74" s="7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4"/>
    </row>
    <row r="75" spans="2:24" s="60" customFormat="1" ht="18.75" customHeight="1" thickBot="1">
      <c r="B75" s="69" t="s">
        <v>16</v>
      </c>
      <c r="C75" s="71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4"/>
    </row>
    <row r="76" spans="2:24" s="60" customFormat="1" ht="18.75" customHeight="1">
      <c r="B76" s="76" t="s">
        <v>94</v>
      </c>
      <c r="C76" s="87"/>
      <c r="D76" s="78" t="e">
        <f>SUM(D64:D75)</f>
        <v>#DIV/0!</v>
      </c>
      <c r="E76" s="78" t="e">
        <f t="shared" ref="E76:X76" si="5">SUM(E64:E75)</f>
        <v>#DIV/0!</v>
      </c>
      <c r="F76" s="78" t="e">
        <f t="shared" si="5"/>
        <v>#DIV/0!</v>
      </c>
      <c r="G76" s="78" t="e">
        <f t="shared" si="5"/>
        <v>#DIV/0!</v>
      </c>
      <c r="H76" s="78" t="e">
        <f t="shared" si="5"/>
        <v>#DIV/0!</v>
      </c>
      <c r="I76" s="78" t="e">
        <f t="shared" si="5"/>
        <v>#DIV/0!</v>
      </c>
      <c r="J76" s="78" t="e">
        <f t="shared" si="5"/>
        <v>#DIV/0!</v>
      </c>
      <c r="K76" s="78" t="e">
        <f t="shared" si="5"/>
        <v>#DIV/0!</v>
      </c>
      <c r="L76" s="78" t="e">
        <f t="shared" si="5"/>
        <v>#DIV/0!</v>
      </c>
      <c r="M76" s="78" t="e">
        <f t="shared" si="5"/>
        <v>#DIV/0!</v>
      </c>
      <c r="N76" s="78" t="e">
        <f t="shared" si="5"/>
        <v>#DIV/0!</v>
      </c>
      <c r="O76" s="78" t="e">
        <f t="shared" si="5"/>
        <v>#DIV/0!</v>
      </c>
      <c r="P76" s="78" t="e">
        <f t="shared" si="5"/>
        <v>#DIV/0!</v>
      </c>
      <c r="Q76" s="78" t="e">
        <f t="shared" si="5"/>
        <v>#DIV/0!</v>
      </c>
      <c r="R76" s="78" t="e">
        <f t="shared" si="5"/>
        <v>#DIV/0!</v>
      </c>
      <c r="S76" s="78" t="e">
        <f t="shared" si="5"/>
        <v>#DIV/0!</v>
      </c>
      <c r="T76" s="78" t="e">
        <f t="shared" si="5"/>
        <v>#DIV/0!</v>
      </c>
      <c r="U76" s="78" t="e">
        <f t="shared" si="5"/>
        <v>#DIV/0!</v>
      </c>
      <c r="V76" s="78" t="e">
        <f t="shared" si="5"/>
        <v>#DIV/0!</v>
      </c>
      <c r="W76" s="78" t="e">
        <f t="shared" si="5"/>
        <v>#DIV/0!</v>
      </c>
      <c r="X76" s="78">
        <f t="shared" si="5"/>
        <v>0</v>
      </c>
    </row>
    <row r="77" spans="2:24" s="60" customFormat="1" ht="18.75" customHeight="1">
      <c r="B77" s="74" t="s">
        <v>18</v>
      </c>
      <c r="C77" s="71"/>
      <c r="D77" s="63" t="e">
        <f>-D76*0.2</f>
        <v>#DIV/0!</v>
      </c>
      <c r="E77" s="63" t="e">
        <f t="shared" ref="E77:X77" si="6">-E76*0.2</f>
        <v>#DIV/0!</v>
      </c>
      <c r="F77" s="63" t="e">
        <f t="shared" si="6"/>
        <v>#DIV/0!</v>
      </c>
      <c r="G77" s="63" t="e">
        <f t="shared" si="6"/>
        <v>#DIV/0!</v>
      </c>
      <c r="H77" s="63" t="e">
        <f t="shared" si="6"/>
        <v>#DIV/0!</v>
      </c>
      <c r="I77" s="63" t="e">
        <f t="shared" si="6"/>
        <v>#DIV/0!</v>
      </c>
      <c r="J77" s="63" t="e">
        <f t="shared" si="6"/>
        <v>#DIV/0!</v>
      </c>
      <c r="K77" s="63" t="e">
        <f t="shared" si="6"/>
        <v>#DIV/0!</v>
      </c>
      <c r="L77" s="63" t="e">
        <f t="shared" si="6"/>
        <v>#DIV/0!</v>
      </c>
      <c r="M77" s="63" t="e">
        <f t="shared" si="6"/>
        <v>#DIV/0!</v>
      </c>
      <c r="N77" s="63" t="e">
        <f t="shared" si="6"/>
        <v>#DIV/0!</v>
      </c>
      <c r="O77" s="63" t="e">
        <f t="shared" si="6"/>
        <v>#DIV/0!</v>
      </c>
      <c r="P77" s="63" t="e">
        <f t="shared" si="6"/>
        <v>#DIV/0!</v>
      </c>
      <c r="Q77" s="63" t="e">
        <f t="shared" si="6"/>
        <v>#DIV/0!</v>
      </c>
      <c r="R77" s="63" t="e">
        <f t="shared" si="6"/>
        <v>#DIV/0!</v>
      </c>
      <c r="S77" s="63" t="e">
        <f t="shared" si="6"/>
        <v>#DIV/0!</v>
      </c>
      <c r="T77" s="63" t="e">
        <f t="shared" si="6"/>
        <v>#DIV/0!</v>
      </c>
      <c r="U77" s="63" t="e">
        <f t="shared" si="6"/>
        <v>#DIV/0!</v>
      </c>
      <c r="V77" s="63" t="e">
        <f t="shared" si="6"/>
        <v>#DIV/0!</v>
      </c>
      <c r="W77" s="63" t="e">
        <f t="shared" si="6"/>
        <v>#DIV/0!</v>
      </c>
      <c r="X77" s="63">
        <f t="shared" si="6"/>
        <v>0</v>
      </c>
    </row>
    <row r="78" spans="2:24" s="60" customFormat="1" ht="15.4">
      <c r="B78" s="88" t="s">
        <v>95</v>
      </c>
      <c r="D78" s="89" t="e">
        <f>SUM(D76:D77)</f>
        <v>#DIV/0!</v>
      </c>
      <c r="E78" s="89" t="e">
        <f t="shared" ref="E78:X78" si="7">SUM(E76:E77)</f>
        <v>#DIV/0!</v>
      </c>
      <c r="F78" s="89" t="e">
        <f t="shared" si="7"/>
        <v>#DIV/0!</v>
      </c>
      <c r="G78" s="89" t="e">
        <f t="shared" si="7"/>
        <v>#DIV/0!</v>
      </c>
      <c r="H78" s="89" t="e">
        <f t="shared" si="7"/>
        <v>#DIV/0!</v>
      </c>
      <c r="I78" s="89" t="e">
        <f t="shared" si="7"/>
        <v>#DIV/0!</v>
      </c>
      <c r="J78" s="89" t="e">
        <f t="shared" si="7"/>
        <v>#DIV/0!</v>
      </c>
      <c r="K78" s="89" t="e">
        <f t="shared" si="7"/>
        <v>#DIV/0!</v>
      </c>
      <c r="L78" s="89" t="e">
        <f t="shared" si="7"/>
        <v>#DIV/0!</v>
      </c>
      <c r="M78" s="89" t="e">
        <f t="shared" si="7"/>
        <v>#DIV/0!</v>
      </c>
      <c r="N78" s="89" t="e">
        <f t="shared" si="7"/>
        <v>#DIV/0!</v>
      </c>
      <c r="O78" s="89" t="e">
        <f t="shared" si="7"/>
        <v>#DIV/0!</v>
      </c>
      <c r="P78" s="89" t="e">
        <f t="shared" si="7"/>
        <v>#DIV/0!</v>
      </c>
      <c r="Q78" s="89" t="e">
        <f t="shared" si="7"/>
        <v>#DIV/0!</v>
      </c>
      <c r="R78" s="89" t="e">
        <f t="shared" si="7"/>
        <v>#DIV/0!</v>
      </c>
      <c r="S78" s="89" t="e">
        <f t="shared" si="7"/>
        <v>#DIV/0!</v>
      </c>
      <c r="T78" s="89" t="e">
        <f t="shared" si="7"/>
        <v>#DIV/0!</v>
      </c>
      <c r="U78" s="89" t="e">
        <f t="shared" si="7"/>
        <v>#DIV/0!</v>
      </c>
      <c r="V78" s="89" t="e">
        <f t="shared" si="7"/>
        <v>#DIV/0!</v>
      </c>
      <c r="W78" s="89" t="e">
        <f t="shared" si="7"/>
        <v>#DIV/0!</v>
      </c>
      <c r="X78" s="89">
        <f t="shared" si="7"/>
        <v>0</v>
      </c>
    </row>
    <row r="79" spans="2:24" s="60" customFormat="1" ht="18.75" customHeight="1" thickBot="1">
      <c r="B79" s="81" t="s">
        <v>20</v>
      </c>
      <c r="C79" s="77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90"/>
    </row>
    <row r="80" spans="2:24" ht="18.75" customHeight="1" thickBot="1">
      <c r="B80" s="34" t="s">
        <v>21</v>
      </c>
      <c r="C80" s="35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9"/>
    </row>
    <row r="81" spans="2:25" ht="18.75" customHeight="1">
      <c r="B81" s="22"/>
      <c r="C81" s="9"/>
      <c r="D81" s="9"/>
      <c r="E81" s="9"/>
      <c r="F81" s="22"/>
      <c r="G81" s="22"/>
      <c r="H81" s="22"/>
      <c r="I81" s="22"/>
      <c r="J81" s="22"/>
      <c r="K81" s="22"/>
      <c r="L81" s="22"/>
      <c r="M81" s="9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2:25" customFormat="1" ht="18.75" customHeight="1">
      <c r="C82" s="50" t="s">
        <v>1</v>
      </c>
      <c r="D82" s="51">
        <f>D37</f>
        <v>2020</v>
      </c>
      <c r="E82" s="51">
        <f>E37</f>
        <v>2021</v>
      </c>
      <c r="F82" s="51">
        <f>F37</f>
        <v>2022</v>
      </c>
      <c r="G82" s="51">
        <f>G37</f>
        <v>2023</v>
      </c>
      <c r="H82" s="51">
        <f>H37</f>
        <v>2024</v>
      </c>
      <c r="I82" s="51">
        <f>I37</f>
        <v>2025</v>
      </c>
      <c r="J82" s="51">
        <f>J37</f>
        <v>2026</v>
      </c>
      <c r="K82" s="51">
        <f>K37</f>
        <v>2027</v>
      </c>
      <c r="L82" s="51">
        <f>L37</f>
        <v>2028</v>
      </c>
      <c r="M82" s="51">
        <f>M37</f>
        <v>2029</v>
      </c>
      <c r="N82" s="51">
        <f>N37</f>
        <v>2030</v>
      </c>
      <c r="O82" s="51">
        <f>O37</f>
        <v>2031</v>
      </c>
      <c r="P82" s="51">
        <f>P37</f>
        <v>2032</v>
      </c>
      <c r="Q82" s="51">
        <f>Q37</f>
        <v>2033</v>
      </c>
      <c r="R82" s="51">
        <f>R37</f>
        <v>2034</v>
      </c>
      <c r="S82" s="51">
        <f>S37</f>
        <v>2035</v>
      </c>
      <c r="T82" s="51">
        <f>T37</f>
        <v>2036</v>
      </c>
      <c r="U82" s="51">
        <f>U37</f>
        <v>2037</v>
      </c>
      <c r="V82" s="51">
        <f>V37</f>
        <v>2038</v>
      </c>
      <c r="W82" s="51">
        <f>W37</f>
        <v>2039</v>
      </c>
      <c r="X82" s="52"/>
    </row>
    <row r="83" spans="2:25" ht="18.75" customHeight="1">
      <c r="X83" s="40"/>
    </row>
    <row r="84" spans="2:25" customFormat="1" ht="18.75" customHeight="1">
      <c r="B84" s="48" t="s">
        <v>3</v>
      </c>
      <c r="C84" s="48">
        <v>0</v>
      </c>
      <c r="D84" s="48">
        <v>1</v>
      </c>
      <c r="E84" s="48">
        <v>2</v>
      </c>
      <c r="F84" s="48">
        <v>3</v>
      </c>
      <c r="G84" s="48">
        <v>4</v>
      </c>
      <c r="H84" s="48">
        <v>5</v>
      </c>
      <c r="I84" s="48">
        <v>6</v>
      </c>
      <c r="J84" s="48">
        <v>7</v>
      </c>
      <c r="K84" s="48">
        <v>8</v>
      </c>
      <c r="L84" s="48">
        <v>9</v>
      </c>
      <c r="M84" s="48">
        <v>10</v>
      </c>
      <c r="N84" s="48">
        <v>11</v>
      </c>
      <c r="O84" s="48">
        <v>12</v>
      </c>
      <c r="P84" s="48">
        <v>13</v>
      </c>
      <c r="Q84" s="48">
        <v>14</v>
      </c>
      <c r="R84" s="48">
        <v>15</v>
      </c>
      <c r="S84" s="48">
        <v>16</v>
      </c>
      <c r="T84" s="48">
        <v>17</v>
      </c>
      <c r="U84" s="48">
        <v>18</v>
      </c>
      <c r="V84" s="48">
        <v>19</v>
      </c>
      <c r="W84" s="48">
        <v>20</v>
      </c>
      <c r="X84" s="49"/>
    </row>
    <row r="85" spans="2:25" s="60" customFormat="1" ht="18.75" customHeight="1">
      <c r="B85" s="91" t="s">
        <v>23</v>
      </c>
      <c r="C85" s="91"/>
      <c r="D85" s="92" t="e">
        <f>D78</f>
        <v>#DIV/0!</v>
      </c>
      <c r="E85" s="92" t="e">
        <f t="shared" ref="E85:W85" si="8">E78</f>
        <v>#DIV/0!</v>
      </c>
      <c r="F85" s="92" t="e">
        <f t="shared" si="8"/>
        <v>#DIV/0!</v>
      </c>
      <c r="G85" s="92" t="e">
        <f t="shared" si="8"/>
        <v>#DIV/0!</v>
      </c>
      <c r="H85" s="92" t="e">
        <f t="shared" si="8"/>
        <v>#DIV/0!</v>
      </c>
      <c r="I85" s="92" t="e">
        <f t="shared" si="8"/>
        <v>#DIV/0!</v>
      </c>
      <c r="J85" s="92" t="e">
        <f t="shared" si="8"/>
        <v>#DIV/0!</v>
      </c>
      <c r="K85" s="92" t="e">
        <f t="shared" si="8"/>
        <v>#DIV/0!</v>
      </c>
      <c r="L85" s="92" t="e">
        <f t="shared" si="8"/>
        <v>#DIV/0!</v>
      </c>
      <c r="M85" s="92" t="e">
        <f t="shared" si="8"/>
        <v>#DIV/0!</v>
      </c>
      <c r="N85" s="92" t="e">
        <f t="shared" si="8"/>
        <v>#DIV/0!</v>
      </c>
      <c r="O85" s="92" t="e">
        <f t="shared" si="8"/>
        <v>#DIV/0!</v>
      </c>
      <c r="P85" s="92" t="e">
        <f t="shared" si="8"/>
        <v>#DIV/0!</v>
      </c>
      <c r="Q85" s="92" t="e">
        <f t="shared" si="8"/>
        <v>#DIV/0!</v>
      </c>
      <c r="R85" s="92" t="e">
        <f t="shared" si="8"/>
        <v>#DIV/0!</v>
      </c>
      <c r="S85" s="92" t="e">
        <f t="shared" si="8"/>
        <v>#DIV/0!</v>
      </c>
      <c r="T85" s="92" t="e">
        <f t="shared" si="8"/>
        <v>#DIV/0!</v>
      </c>
      <c r="U85" s="92" t="e">
        <f t="shared" si="8"/>
        <v>#DIV/0!</v>
      </c>
      <c r="V85" s="92" t="e">
        <f t="shared" si="8"/>
        <v>#DIV/0!</v>
      </c>
      <c r="W85" s="92" t="e">
        <f t="shared" si="8"/>
        <v>#DIV/0!</v>
      </c>
      <c r="X85" s="91"/>
      <c r="Y85" s="91"/>
    </row>
    <row r="86" spans="2:25" s="60" customFormat="1" ht="15.4">
      <c r="B86" s="91" t="s">
        <v>24</v>
      </c>
      <c r="C86" s="91"/>
      <c r="D86" s="106" t="e">
        <f>-D67</f>
        <v>#DIV/0!</v>
      </c>
      <c r="E86" s="106" t="e">
        <f t="shared" ref="E86:W86" si="9">-E67</f>
        <v>#DIV/0!</v>
      </c>
      <c r="F86" s="106" t="e">
        <f t="shared" si="9"/>
        <v>#DIV/0!</v>
      </c>
      <c r="G86" s="106" t="e">
        <f t="shared" si="9"/>
        <v>#DIV/0!</v>
      </c>
      <c r="H86" s="106" t="e">
        <f t="shared" si="9"/>
        <v>#DIV/0!</v>
      </c>
      <c r="I86" s="106" t="e">
        <f t="shared" si="9"/>
        <v>#DIV/0!</v>
      </c>
      <c r="J86" s="106" t="e">
        <f t="shared" si="9"/>
        <v>#DIV/0!</v>
      </c>
      <c r="K86" s="106" t="e">
        <f t="shared" si="9"/>
        <v>#DIV/0!</v>
      </c>
      <c r="L86" s="106" t="e">
        <f t="shared" si="9"/>
        <v>#DIV/0!</v>
      </c>
      <c r="M86" s="106" t="e">
        <f t="shared" si="9"/>
        <v>#DIV/0!</v>
      </c>
      <c r="N86" s="106" t="e">
        <f t="shared" si="9"/>
        <v>#DIV/0!</v>
      </c>
      <c r="O86" s="106" t="e">
        <f t="shared" si="9"/>
        <v>#DIV/0!</v>
      </c>
      <c r="P86" s="106" t="e">
        <f t="shared" si="9"/>
        <v>#DIV/0!</v>
      </c>
      <c r="Q86" s="106" t="e">
        <f t="shared" si="9"/>
        <v>#DIV/0!</v>
      </c>
      <c r="R86" s="106" t="e">
        <f t="shared" si="9"/>
        <v>#DIV/0!</v>
      </c>
      <c r="S86" s="106" t="e">
        <f t="shared" si="9"/>
        <v>#DIV/0!</v>
      </c>
      <c r="T86" s="106" t="e">
        <f t="shared" si="9"/>
        <v>#DIV/0!</v>
      </c>
      <c r="U86" s="106" t="e">
        <f t="shared" si="9"/>
        <v>#DIV/0!</v>
      </c>
      <c r="V86" s="106" t="e">
        <f t="shared" si="9"/>
        <v>#DIV/0!</v>
      </c>
      <c r="W86" s="106" t="e">
        <f t="shared" si="9"/>
        <v>#DIV/0!</v>
      </c>
      <c r="X86" s="83"/>
    </row>
    <row r="87" spans="2:25" s="60" customFormat="1" ht="15.4">
      <c r="B87" s="91" t="s">
        <v>25</v>
      </c>
      <c r="C87" s="91"/>
      <c r="D87" s="93" t="e">
        <f>SUM(D85:D86)</f>
        <v>#DIV/0!</v>
      </c>
      <c r="E87" s="93" t="e">
        <f t="shared" ref="E87:W87" si="10">SUM(E85:E86)</f>
        <v>#DIV/0!</v>
      </c>
      <c r="F87" s="93" t="e">
        <f t="shared" si="10"/>
        <v>#DIV/0!</v>
      </c>
      <c r="G87" s="93" t="e">
        <f t="shared" si="10"/>
        <v>#DIV/0!</v>
      </c>
      <c r="H87" s="93" t="e">
        <f t="shared" si="10"/>
        <v>#DIV/0!</v>
      </c>
      <c r="I87" s="93" t="e">
        <f t="shared" si="10"/>
        <v>#DIV/0!</v>
      </c>
      <c r="J87" s="93" t="e">
        <f t="shared" si="10"/>
        <v>#DIV/0!</v>
      </c>
      <c r="K87" s="93" t="e">
        <f t="shared" si="10"/>
        <v>#DIV/0!</v>
      </c>
      <c r="L87" s="93" t="e">
        <f t="shared" si="10"/>
        <v>#DIV/0!</v>
      </c>
      <c r="M87" s="93" t="e">
        <f t="shared" si="10"/>
        <v>#DIV/0!</v>
      </c>
      <c r="N87" s="93" t="e">
        <f t="shared" si="10"/>
        <v>#DIV/0!</v>
      </c>
      <c r="O87" s="93" t="e">
        <f t="shared" si="10"/>
        <v>#DIV/0!</v>
      </c>
      <c r="P87" s="93" t="e">
        <f t="shared" si="10"/>
        <v>#DIV/0!</v>
      </c>
      <c r="Q87" s="93" t="e">
        <f t="shared" si="10"/>
        <v>#DIV/0!</v>
      </c>
      <c r="R87" s="93" t="e">
        <f t="shared" si="10"/>
        <v>#DIV/0!</v>
      </c>
      <c r="S87" s="93" t="e">
        <f t="shared" si="10"/>
        <v>#DIV/0!</v>
      </c>
      <c r="T87" s="93" t="e">
        <f t="shared" si="10"/>
        <v>#DIV/0!</v>
      </c>
      <c r="U87" s="93" t="e">
        <f t="shared" si="10"/>
        <v>#DIV/0!</v>
      </c>
      <c r="V87" s="93" t="e">
        <f t="shared" si="10"/>
        <v>#DIV/0!</v>
      </c>
      <c r="W87" s="93" t="e">
        <f t="shared" si="10"/>
        <v>#DIV/0!</v>
      </c>
      <c r="X87" s="94"/>
    </row>
    <row r="88" spans="2:25" s="60" customFormat="1" ht="15.4">
      <c r="B88" s="91"/>
      <c r="C88" s="91"/>
      <c r="D88" s="91"/>
      <c r="E88" s="91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6"/>
    </row>
    <row r="89" spans="2:25" s="60" customFormat="1" ht="15.4">
      <c r="B89" s="97" t="s">
        <v>26</v>
      </c>
      <c r="C89" s="98"/>
      <c r="D89" s="99">
        <f>C44</f>
        <v>0</v>
      </c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83"/>
    </row>
    <row r="90" spans="2:25" s="60" customFormat="1" ht="15.4">
      <c r="B90" s="91"/>
      <c r="C90" s="91"/>
      <c r="D90" s="91"/>
      <c r="E90" s="91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6"/>
    </row>
    <row r="91" spans="2:25" s="60" customFormat="1" ht="15.4">
      <c r="B91" s="91"/>
      <c r="C91" s="91"/>
      <c r="D91" s="91"/>
      <c r="E91" s="91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6"/>
    </row>
    <row r="92" spans="2:25" s="60" customFormat="1" ht="15.4">
      <c r="B92" s="97" t="s">
        <v>27</v>
      </c>
      <c r="C92" s="98"/>
      <c r="D92" s="99">
        <f>-D89*D31</f>
        <v>0</v>
      </c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6"/>
    </row>
    <row r="93" spans="2:25" s="60" customFormat="1" ht="15.4">
      <c r="B93" s="91" t="s">
        <v>28</v>
      </c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5"/>
      <c r="U93" s="95"/>
      <c r="V93" s="95"/>
      <c r="W93" s="95"/>
      <c r="X93" s="83"/>
    </row>
    <row r="94" spans="2:25" s="60" customFormat="1" ht="15.4">
      <c r="B94" s="91" t="s">
        <v>29</v>
      </c>
      <c r="C94" s="95"/>
      <c r="D94" s="92">
        <f>-D89*(1-D31)</f>
        <v>0</v>
      </c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4"/>
    </row>
    <row r="95" spans="2:25" s="60" customFormat="1" ht="15.4">
      <c r="B95" s="91" t="s">
        <v>30</v>
      </c>
      <c r="C95" s="95"/>
      <c r="D95" s="95"/>
      <c r="E95" s="110" t="e">
        <f>-D85*$D$33</f>
        <v>#DIV/0!</v>
      </c>
      <c r="F95" s="110" t="e">
        <f t="shared" ref="F95:W95" si="11">-E85*$D$33</f>
        <v>#DIV/0!</v>
      </c>
      <c r="G95" s="110" t="e">
        <f t="shared" si="11"/>
        <v>#DIV/0!</v>
      </c>
      <c r="H95" s="110" t="e">
        <f t="shared" si="11"/>
        <v>#DIV/0!</v>
      </c>
      <c r="I95" s="110" t="e">
        <f t="shared" si="11"/>
        <v>#DIV/0!</v>
      </c>
      <c r="J95" s="110" t="e">
        <f t="shared" si="11"/>
        <v>#DIV/0!</v>
      </c>
      <c r="K95" s="110" t="e">
        <f t="shared" si="11"/>
        <v>#DIV/0!</v>
      </c>
      <c r="L95" s="110" t="e">
        <f t="shared" si="11"/>
        <v>#DIV/0!</v>
      </c>
      <c r="M95" s="110" t="e">
        <f t="shared" si="11"/>
        <v>#DIV/0!</v>
      </c>
      <c r="N95" s="110" t="e">
        <f t="shared" si="11"/>
        <v>#DIV/0!</v>
      </c>
      <c r="O95" s="110" t="e">
        <f t="shared" si="11"/>
        <v>#DIV/0!</v>
      </c>
      <c r="P95" s="110" t="e">
        <f t="shared" si="11"/>
        <v>#DIV/0!</v>
      </c>
      <c r="Q95" s="110" t="e">
        <f t="shared" si="11"/>
        <v>#DIV/0!</v>
      </c>
      <c r="R95" s="110" t="e">
        <f t="shared" si="11"/>
        <v>#DIV/0!</v>
      </c>
      <c r="S95" s="110" t="e">
        <f t="shared" si="11"/>
        <v>#DIV/0!</v>
      </c>
      <c r="T95" s="110" t="e">
        <f t="shared" si="11"/>
        <v>#DIV/0!</v>
      </c>
      <c r="U95" s="110" t="e">
        <f t="shared" si="11"/>
        <v>#DIV/0!</v>
      </c>
      <c r="V95" s="110" t="e">
        <f t="shared" si="11"/>
        <v>#DIV/0!</v>
      </c>
      <c r="W95" s="110" t="e">
        <f t="shared" si="11"/>
        <v>#DIV/0!</v>
      </c>
      <c r="X95" s="111" t="e">
        <f>-W85</f>
        <v>#DIV/0!</v>
      </c>
    </row>
    <row r="96" spans="2:25" s="60" customFormat="1" ht="15.4">
      <c r="B96" s="100" t="s">
        <v>31</v>
      </c>
      <c r="C96" s="101"/>
      <c r="D96" s="10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3"/>
      <c r="S96" s="113"/>
      <c r="T96" s="113"/>
      <c r="U96" s="113"/>
      <c r="V96" s="112"/>
      <c r="W96" s="112"/>
      <c r="X96" s="111" t="e">
        <f>-W101-X95</f>
        <v>#DIV/0!</v>
      </c>
    </row>
    <row r="97" spans="2:24" s="60" customFormat="1" ht="15.4"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4"/>
    </row>
    <row r="98" spans="2:24" s="60" customFormat="1" ht="15.4"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4"/>
    </row>
    <row r="99" spans="2:24" s="60" customFormat="1" ht="16.149999999999999">
      <c r="B99" s="91" t="s">
        <v>32</v>
      </c>
      <c r="C99" s="102">
        <v>0</v>
      </c>
      <c r="D99" s="92" t="e">
        <f>SUM(D87:D96)</f>
        <v>#DIV/0!</v>
      </c>
      <c r="E99" s="92" t="e">
        <f t="shared" ref="E99:W99" si="12">SUM(E87:E96)</f>
        <v>#DIV/0!</v>
      </c>
      <c r="F99" s="92" t="e">
        <f t="shared" si="12"/>
        <v>#DIV/0!</v>
      </c>
      <c r="G99" s="92" t="e">
        <f t="shared" si="12"/>
        <v>#DIV/0!</v>
      </c>
      <c r="H99" s="92" t="e">
        <f t="shared" si="12"/>
        <v>#DIV/0!</v>
      </c>
      <c r="I99" s="92" t="e">
        <f t="shared" si="12"/>
        <v>#DIV/0!</v>
      </c>
      <c r="J99" s="92" t="e">
        <f t="shared" si="12"/>
        <v>#DIV/0!</v>
      </c>
      <c r="K99" s="92" t="e">
        <f t="shared" si="12"/>
        <v>#DIV/0!</v>
      </c>
      <c r="L99" s="92" t="e">
        <f t="shared" si="12"/>
        <v>#DIV/0!</v>
      </c>
      <c r="M99" s="92" t="e">
        <f t="shared" si="12"/>
        <v>#DIV/0!</v>
      </c>
      <c r="N99" s="92" t="e">
        <f t="shared" si="12"/>
        <v>#DIV/0!</v>
      </c>
      <c r="O99" s="92" t="e">
        <f t="shared" si="12"/>
        <v>#DIV/0!</v>
      </c>
      <c r="P99" s="92" t="e">
        <f t="shared" si="12"/>
        <v>#DIV/0!</v>
      </c>
      <c r="Q99" s="92" t="e">
        <f t="shared" si="12"/>
        <v>#DIV/0!</v>
      </c>
      <c r="R99" s="92" t="e">
        <f t="shared" si="12"/>
        <v>#DIV/0!</v>
      </c>
      <c r="S99" s="92" t="e">
        <f t="shared" si="12"/>
        <v>#DIV/0!</v>
      </c>
      <c r="T99" s="92" t="e">
        <f t="shared" si="12"/>
        <v>#DIV/0!</v>
      </c>
      <c r="U99" s="92" t="e">
        <f t="shared" si="12"/>
        <v>#DIV/0!</v>
      </c>
      <c r="V99" s="92" t="e">
        <f t="shared" si="12"/>
        <v>#DIV/0!</v>
      </c>
      <c r="W99" s="92" t="e">
        <f t="shared" si="12"/>
        <v>#DIV/0!</v>
      </c>
      <c r="X99" s="94"/>
    </row>
    <row r="100" spans="2:24" s="60" customFormat="1" ht="15.4">
      <c r="B100" s="91" t="s">
        <v>33</v>
      </c>
      <c r="C100" s="92">
        <v>0</v>
      </c>
      <c r="D100" s="92">
        <f>C101</f>
        <v>0</v>
      </c>
      <c r="E100" s="92" t="e">
        <f>D101</f>
        <v>#DIV/0!</v>
      </c>
      <c r="F100" s="92" t="e">
        <f>E101</f>
        <v>#DIV/0!</v>
      </c>
      <c r="G100" s="92" t="e">
        <f t="shared" ref="G100:W100" si="13">F101</f>
        <v>#DIV/0!</v>
      </c>
      <c r="H100" s="92" t="e">
        <f t="shared" si="13"/>
        <v>#DIV/0!</v>
      </c>
      <c r="I100" s="92" t="e">
        <f t="shared" si="13"/>
        <v>#DIV/0!</v>
      </c>
      <c r="J100" s="92" t="e">
        <f t="shared" si="13"/>
        <v>#DIV/0!</v>
      </c>
      <c r="K100" s="92" t="e">
        <f t="shared" si="13"/>
        <v>#DIV/0!</v>
      </c>
      <c r="L100" s="92" t="e">
        <f t="shared" si="13"/>
        <v>#DIV/0!</v>
      </c>
      <c r="M100" s="92" t="e">
        <f t="shared" si="13"/>
        <v>#DIV/0!</v>
      </c>
      <c r="N100" s="92" t="e">
        <f t="shared" si="13"/>
        <v>#DIV/0!</v>
      </c>
      <c r="O100" s="92" t="e">
        <f t="shared" si="13"/>
        <v>#DIV/0!</v>
      </c>
      <c r="P100" s="92" t="e">
        <f t="shared" si="13"/>
        <v>#DIV/0!</v>
      </c>
      <c r="Q100" s="92" t="e">
        <f t="shared" si="13"/>
        <v>#DIV/0!</v>
      </c>
      <c r="R100" s="92" t="e">
        <f t="shared" si="13"/>
        <v>#DIV/0!</v>
      </c>
      <c r="S100" s="92" t="e">
        <f t="shared" si="13"/>
        <v>#DIV/0!</v>
      </c>
      <c r="T100" s="92" t="e">
        <f t="shared" si="13"/>
        <v>#DIV/0!</v>
      </c>
      <c r="U100" s="92" t="e">
        <f t="shared" si="13"/>
        <v>#DIV/0!</v>
      </c>
      <c r="V100" s="92" t="e">
        <f t="shared" si="13"/>
        <v>#DIV/0!</v>
      </c>
      <c r="W100" s="92" t="e">
        <f t="shared" si="13"/>
        <v>#DIV/0!</v>
      </c>
      <c r="X100" s="96"/>
    </row>
    <row r="101" spans="2:24" s="60" customFormat="1" ht="15.4">
      <c r="B101" s="91" t="s">
        <v>34</v>
      </c>
      <c r="C101" s="92">
        <v>0</v>
      </c>
      <c r="D101" s="92" t="e">
        <f>D99+D100</f>
        <v>#DIV/0!</v>
      </c>
      <c r="E101" s="92" t="e">
        <f>E99+E100</f>
        <v>#DIV/0!</v>
      </c>
      <c r="F101" s="92" t="e">
        <f t="shared" ref="F101:W101" si="14">F99+F100</f>
        <v>#DIV/0!</v>
      </c>
      <c r="G101" s="92" t="e">
        <f t="shared" si="14"/>
        <v>#DIV/0!</v>
      </c>
      <c r="H101" s="92" t="e">
        <f t="shared" si="14"/>
        <v>#DIV/0!</v>
      </c>
      <c r="I101" s="92" t="e">
        <f t="shared" si="14"/>
        <v>#DIV/0!</v>
      </c>
      <c r="J101" s="92" t="e">
        <f t="shared" si="14"/>
        <v>#DIV/0!</v>
      </c>
      <c r="K101" s="92" t="e">
        <f t="shared" si="14"/>
        <v>#DIV/0!</v>
      </c>
      <c r="L101" s="92" t="e">
        <f t="shared" si="14"/>
        <v>#DIV/0!</v>
      </c>
      <c r="M101" s="92" t="e">
        <f t="shared" si="14"/>
        <v>#DIV/0!</v>
      </c>
      <c r="N101" s="92" t="e">
        <f t="shared" si="14"/>
        <v>#DIV/0!</v>
      </c>
      <c r="O101" s="92" t="e">
        <f t="shared" si="14"/>
        <v>#DIV/0!</v>
      </c>
      <c r="P101" s="92" t="e">
        <f t="shared" si="14"/>
        <v>#DIV/0!</v>
      </c>
      <c r="Q101" s="92" t="e">
        <f t="shared" si="14"/>
        <v>#DIV/0!</v>
      </c>
      <c r="R101" s="92" t="e">
        <f t="shared" si="14"/>
        <v>#DIV/0!</v>
      </c>
      <c r="S101" s="92" t="e">
        <f t="shared" si="14"/>
        <v>#DIV/0!</v>
      </c>
      <c r="T101" s="92" t="e">
        <f t="shared" si="14"/>
        <v>#DIV/0!</v>
      </c>
      <c r="U101" s="92" t="e">
        <f t="shared" si="14"/>
        <v>#DIV/0!</v>
      </c>
      <c r="V101" s="92" t="e">
        <f t="shared" si="14"/>
        <v>#DIV/0!</v>
      </c>
      <c r="W101" s="92" t="e">
        <f t="shared" si="14"/>
        <v>#DIV/0!</v>
      </c>
      <c r="X101" s="96"/>
    </row>
    <row r="102" spans="2:24" s="60" customFormat="1" ht="15.4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</row>
    <row r="103" spans="2:24" s="60" customFormat="1" ht="15.4">
      <c r="B103" s="91"/>
      <c r="C103" s="91"/>
      <c r="D103" s="91"/>
      <c r="E103" s="91"/>
      <c r="F103" s="95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</row>
    <row r="104" spans="2:24" s="60" customFormat="1" ht="15.4">
      <c r="B104" s="103" t="s">
        <v>35</v>
      </c>
      <c r="C104" s="104"/>
      <c r="D104" s="105">
        <f>-D94</f>
        <v>0</v>
      </c>
      <c r="E104" s="93" t="e">
        <f>-E95-E96</f>
        <v>#DIV/0!</v>
      </c>
      <c r="F104" s="93" t="e">
        <f t="shared" ref="F104:X104" si="15">-F95-F96</f>
        <v>#DIV/0!</v>
      </c>
      <c r="G104" s="93" t="e">
        <f t="shared" si="15"/>
        <v>#DIV/0!</v>
      </c>
      <c r="H104" s="93" t="e">
        <f t="shared" si="15"/>
        <v>#DIV/0!</v>
      </c>
      <c r="I104" s="93" t="e">
        <f t="shared" si="15"/>
        <v>#DIV/0!</v>
      </c>
      <c r="J104" s="93" t="e">
        <f t="shared" si="15"/>
        <v>#DIV/0!</v>
      </c>
      <c r="K104" s="93" t="e">
        <f t="shared" si="15"/>
        <v>#DIV/0!</v>
      </c>
      <c r="L104" s="93" t="e">
        <f t="shared" si="15"/>
        <v>#DIV/0!</v>
      </c>
      <c r="M104" s="93" t="e">
        <f t="shared" si="15"/>
        <v>#DIV/0!</v>
      </c>
      <c r="N104" s="93" t="e">
        <f t="shared" si="15"/>
        <v>#DIV/0!</v>
      </c>
      <c r="O104" s="93" t="e">
        <f t="shared" si="15"/>
        <v>#DIV/0!</v>
      </c>
      <c r="P104" s="93" t="e">
        <f t="shared" si="15"/>
        <v>#DIV/0!</v>
      </c>
      <c r="Q104" s="93" t="e">
        <f t="shared" si="15"/>
        <v>#DIV/0!</v>
      </c>
      <c r="R104" s="93" t="e">
        <f t="shared" si="15"/>
        <v>#DIV/0!</v>
      </c>
      <c r="S104" s="93" t="e">
        <f t="shared" si="15"/>
        <v>#DIV/0!</v>
      </c>
      <c r="T104" s="93" t="e">
        <f t="shared" si="15"/>
        <v>#DIV/0!</v>
      </c>
      <c r="U104" s="93" t="e">
        <f t="shared" si="15"/>
        <v>#DIV/0!</v>
      </c>
      <c r="V104" s="93" t="e">
        <f t="shared" si="15"/>
        <v>#DIV/0!</v>
      </c>
      <c r="W104" s="93" t="e">
        <f t="shared" si="15"/>
        <v>#DIV/0!</v>
      </c>
      <c r="X104" s="93" t="e">
        <f t="shared" si="15"/>
        <v>#DIV/0!</v>
      </c>
    </row>
    <row r="105" spans="2:24" s="60" customFormat="1" ht="15.4">
      <c r="B105" s="91" t="s">
        <v>36</v>
      </c>
      <c r="C105" s="108" t="e">
        <f>IRR(D104:X104)</f>
        <v>#VALUE!</v>
      </c>
      <c r="D105" s="95"/>
      <c r="E105" s="95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</row>
    <row r="106" spans="2:24" s="60" customFormat="1" ht="15.4">
      <c r="B106" s="103" t="s">
        <v>37</v>
      </c>
      <c r="C106" s="104"/>
      <c r="D106" s="105" t="e">
        <f>D85-D94</f>
        <v>#DIV/0!</v>
      </c>
      <c r="E106" s="93" t="e">
        <f>E85</f>
        <v>#DIV/0!</v>
      </c>
      <c r="F106" s="93" t="e">
        <f>F85-F96</f>
        <v>#DIV/0!</v>
      </c>
      <c r="G106" s="93" t="e">
        <f t="shared" ref="G106:W106" si="16">G85-G96</f>
        <v>#DIV/0!</v>
      </c>
      <c r="H106" s="93" t="e">
        <f t="shared" si="16"/>
        <v>#DIV/0!</v>
      </c>
      <c r="I106" s="93" t="e">
        <f t="shared" si="16"/>
        <v>#DIV/0!</v>
      </c>
      <c r="J106" s="93" t="e">
        <f t="shared" si="16"/>
        <v>#DIV/0!</v>
      </c>
      <c r="K106" s="93" t="e">
        <f t="shared" si="16"/>
        <v>#DIV/0!</v>
      </c>
      <c r="L106" s="93" t="e">
        <f t="shared" si="16"/>
        <v>#DIV/0!</v>
      </c>
      <c r="M106" s="93" t="e">
        <f t="shared" si="16"/>
        <v>#DIV/0!</v>
      </c>
      <c r="N106" s="93" t="e">
        <f t="shared" si="16"/>
        <v>#DIV/0!</v>
      </c>
      <c r="O106" s="93" t="e">
        <f t="shared" si="16"/>
        <v>#DIV/0!</v>
      </c>
      <c r="P106" s="93" t="e">
        <f t="shared" si="16"/>
        <v>#DIV/0!</v>
      </c>
      <c r="Q106" s="93" t="e">
        <f t="shared" si="16"/>
        <v>#DIV/0!</v>
      </c>
      <c r="R106" s="93" t="e">
        <f t="shared" si="16"/>
        <v>#DIV/0!</v>
      </c>
      <c r="S106" s="93" t="e">
        <f t="shared" si="16"/>
        <v>#DIV/0!</v>
      </c>
      <c r="T106" s="93" t="e">
        <f t="shared" si="16"/>
        <v>#DIV/0!</v>
      </c>
      <c r="U106" s="93" t="e">
        <f t="shared" si="16"/>
        <v>#DIV/0!</v>
      </c>
      <c r="V106" s="93" t="e">
        <f t="shared" si="16"/>
        <v>#DIV/0!</v>
      </c>
      <c r="W106" s="93" t="e">
        <f t="shared" si="16"/>
        <v>#DIV/0!</v>
      </c>
      <c r="X106" s="83"/>
    </row>
    <row r="107" spans="2:24" s="60" customFormat="1" ht="15.4">
      <c r="B107" s="103" t="s">
        <v>38</v>
      </c>
      <c r="C107" s="107" t="e">
        <f>IRR(D106:W106)</f>
        <v>#VALUE!</v>
      </c>
      <c r="D107" s="95"/>
      <c r="E107" s="95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</row>
    <row r="108" spans="2:24" s="60" customFormat="1" ht="15.4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</row>
    <row r="109" spans="2:24" s="60" customFormat="1" ht="15.4">
      <c r="B109" s="91" t="s">
        <v>39</v>
      </c>
      <c r="C109" s="92">
        <v>0</v>
      </c>
      <c r="D109" s="92">
        <f>D92</f>
        <v>0</v>
      </c>
      <c r="E109" s="92">
        <f>D109+E93</f>
        <v>0</v>
      </c>
      <c r="F109" s="92">
        <f>E109+F93</f>
        <v>0</v>
      </c>
      <c r="G109" s="92">
        <f t="shared" ref="G109:W109" si="17">F109+G93</f>
        <v>0</v>
      </c>
      <c r="H109" s="92">
        <f t="shared" si="17"/>
        <v>0</v>
      </c>
      <c r="I109" s="92">
        <f t="shared" si="17"/>
        <v>0</v>
      </c>
      <c r="J109" s="92">
        <f t="shared" si="17"/>
        <v>0</v>
      </c>
      <c r="K109" s="92">
        <f t="shared" si="17"/>
        <v>0</v>
      </c>
      <c r="L109" s="92">
        <f t="shared" si="17"/>
        <v>0</v>
      </c>
      <c r="M109" s="92">
        <f t="shared" si="17"/>
        <v>0</v>
      </c>
      <c r="N109" s="92">
        <f t="shared" si="17"/>
        <v>0</v>
      </c>
      <c r="O109" s="92">
        <f t="shared" si="17"/>
        <v>0</v>
      </c>
      <c r="P109" s="92">
        <f t="shared" si="17"/>
        <v>0</v>
      </c>
      <c r="Q109" s="92">
        <f t="shared" si="17"/>
        <v>0</v>
      </c>
      <c r="R109" s="92">
        <f t="shared" si="17"/>
        <v>0</v>
      </c>
      <c r="S109" s="92">
        <f t="shared" si="17"/>
        <v>0</v>
      </c>
      <c r="T109" s="92">
        <f t="shared" si="17"/>
        <v>0</v>
      </c>
      <c r="U109" s="92">
        <f t="shared" si="17"/>
        <v>0</v>
      </c>
      <c r="V109" s="92">
        <f t="shared" si="17"/>
        <v>0</v>
      </c>
      <c r="W109" s="92">
        <f t="shared" si="17"/>
        <v>0</v>
      </c>
      <c r="X109" s="95"/>
    </row>
    <row r="111" spans="2:24">
      <c r="B111" s="41"/>
    </row>
    <row r="112" spans="2:24" ht="16.149999999999999">
      <c r="G112" s="33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滾算紀錄單(總紀錄)</vt:lpstr>
      <vt:lpstr>滾算紀錄單(使用者記錄)</vt:lpstr>
      <vt:lpstr>滾算紀錄1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王竣生</cp:lastModifiedBy>
  <dcterms:created xsi:type="dcterms:W3CDTF">2026-01-23T06:36:02Z</dcterms:created>
  <dcterms:modified xsi:type="dcterms:W3CDTF">2026-02-20T15:50:16Z</dcterms:modified>
</cp:coreProperties>
</file>